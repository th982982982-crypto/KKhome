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Trưởng phòng Mua hàng" sheetId="5" state="visible" r:id="rId5"/>
    <sheet xmlns:r="http://schemas.openxmlformats.org/officeDocument/2006/relationships" name="02. CV Sourcing" sheetId="6" state="visible" r:id="rId6"/>
    <sheet xmlns:r="http://schemas.openxmlformats.org/officeDocument/2006/relationships" name="03. NV Mua hàng" sheetId="7" state="visible" r:id="rId7"/>
    <sheet xmlns:r="http://schemas.openxmlformats.org/officeDocument/2006/relationships" name="04. NV Theo dõi đơn hàng" sheetId="8" state="visible" r:id="rId8"/>
    <sheet xmlns:r="http://schemas.openxmlformats.org/officeDocument/2006/relationships" name="05. CV Kiểm soát giá-HĐ" sheetId="9" state="visible" r:id="rId9"/>
    <sheet xmlns:r="http://schemas.openxmlformats.org/officeDocument/2006/relationships" name="06. NV Hành chính mua hàng" sheetId="10" state="visible" r:id="rId10"/>
  </sheets>
  <definedNames>
    <definedName name="_xlnm.Print_Titles" localSheetId="4">'01. Trưởng phòng Mua hàng'!$9:$9</definedName>
    <definedName name="_xlnm.Print_Area" localSheetId="4">'01. Trưởng phòng Mua hàng'!$A$1:$I$39</definedName>
    <definedName name="_xlnm.Print_Titles" localSheetId="5">'02. CV Sourcing'!$9:$9</definedName>
    <definedName name="_xlnm.Print_Area" localSheetId="5">'02. CV Sourcing'!$A$1:$I$40</definedName>
    <definedName name="_xlnm.Print_Titles" localSheetId="6">'03. NV Mua hàng'!$9:$9</definedName>
    <definedName name="_xlnm.Print_Area" localSheetId="6">'03. NV Mua hàng'!$A$1:$I$40</definedName>
    <definedName name="_xlnm.Print_Titles" localSheetId="7">'04. NV Theo dõi đơn hàng'!$9:$9</definedName>
    <definedName name="_xlnm.Print_Area" localSheetId="7">'04. NV Theo dõi đơn hàng'!$A$1:$I$40</definedName>
    <definedName name="_xlnm.Print_Titles" localSheetId="8">'05. CV Kiểm soát giá-HĐ'!$9:$9</definedName>
    <definedName name="_xlnm.Print_Area" localSheetId="8">'05. CV Kiểm soát giá-HĐ'!$A$1:$I$40</definedName>
    <definedName name="_xlnm.Print_Titles" localSheetId="9">'06. NV Hành chính mua hàng'!$9:$9</definedName>
    <definedName name="_xlnm.Print_Area" localSheetId="9">'06. NV Hành chính mua hàng'!$A$1:$I$40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11827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5E7EB"/>
      </patternFill>
    </fill>
    <fill>
      <patternFill patternType="solid">
        <fgColor rgb="00FAFAFA"/>
      </patternFill>
    </fill>
    <fill>
      <patternFill patternType="solid">
        <f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sánh'!$C$5:$C$10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sánh'!$D$5:$D$10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sánh'!$E$5:$E$10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sánh'!$F$5:$F$10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sánh'!$G$5:$G$10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3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7920000" cy="33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Tr&#432;&#7903;ng ph&#242;ng Mua h&#224;ng'!A1" TargetMode="External" Id="rId1"/><Relationship Type="http://schemas.openxmlformats.org/officeDocument/2006/relationships/hyperlink" Target="#'02. CV Sourcing'!A1" TargetMode="External" Id="rId2"/><Relationship Type="http://schemas.openxmlformats.org/officeDocument/2006/relationships/hyperlink" Target="#'03. NV Mua h&#224;ng'!A1" TargetMode="External" Id="rId3"/><Relationship Type="http://schemas.openxmlformats.org/officeDocument/2006/relationships/hyperlink" Target="#'04. NV Theo d&#245;i &#273;&#417;n h&#224;ng'!A1" TargetMode="External" Id="rId4"/><Relationship Type="http://schemas.openxmlformats.org/officeDocument/2006/relationships/hyperlink" Target="#'05. CV Ki&#7875;m so&#225;t gi&#225;-H&#272;'!A1" TargetMode="External" Id="rId5"/><Relationship Type="http://schemas.openxmlformats.org/officeDocument/2006/relationships/hyperlink" Target="#'06. NV H&#224;nh ch&#237;nh mua h&#224;ng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01. Tr&#432;&#7903;ng ph&#242;ng Mua h&#224;ng'!A1" TargetMode="External" Id="rId1"/><Relationship Type="http://schemas.openxmlformats.org/officeDocument/2006/relationships/hyperlink" Target="#'02. CV Sourcing'!A1" TargetMode="External" Id="rId2"/><Relationship Type="http://schemas.openxmlformats.org/officeDocument/2006/relationships/hyperlink" Target="#'03. NV Mua h&#224;ng'!A1" TargetMode="External" Id="rId3"/><Relationship Type="http://schemas.openxmlformats.org/officeDocument/2006/relationships/hyperlink" Target="#'04. NV Theo d&#245;i &#273;&#417;n h&#224;ng'!A1" TargetMode="External" Id="rId4"/><Relationship Type="http://schemas.openxmlformats.org/officeDocument/2006/relationships/hyperlink" Target="#'05. CV Ki&#7875;m so&#225;t gi&#225;-H&#272;'!A1" TargetMode="External" Id="rId5"/><Relationship Type="http://schemas.openxmlformats.org/officeDocument/2006/relationships/hyperlink" Target="#'06. NV H&#224;nh ch&#237;nh mua h&#224;ng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MUA HÀNG – 06 VỊ TRÍ</t>
        </is>
      </c>
    </row>
    <row r="2">
      <c r="A2" s="3" t="inlineStr">
        <is>
          <t xml:space="preserve">Phụ lục 01 kèm Quy chế đánh giá KPI · KK HOME · </t>
        </is>
      </c>
    </row>
    <row r="3"/>
    <row r="4">
      <c r="B4" s="4" t="inlineStr">
        <is>
          <t>CÁCH DÙNG – 6 BƯỚC</t>
        </is>
      </c>
    </row>
    <row r="5" ht="20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20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20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20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20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20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 ht="20" customHeight="1"/>
    <row r="12" ht="20" customHeight="1">
      <c r="B12" s="4" t="inlineStr">
        <is>
          <t>QUY ƯỚC Ô</t>
        </is>
      </c>
    </row>
    <row r="13" ht="20" customHeight="1">
      <c r="B13" s="7" t="inlineStr">
        <is>
          <t>Ô nền vàng, chữ xanh</t>
        </is>
      </c>
      <c r="C13" s="6" t="inlineStr">
        <is>
          <t>Ô nhập liệu. Chỉ nhập vào các ô này.</t>
        </is>
      </c>
    </row>
    <row r="14" ht="30" customHeight="1">
      <c r="B14" s="8" t="inlineStr">
        <is>
          <t>Trọng số chữ xanh (cột E)</t>
        </is>
      </c>
      <c r="C14" s="6" t="inlineStr">
        <is>
          <t>Được sửa khi có quyết định điều chỉnh (Điều 17). Tổng trọng số mỗi vị trí phải = 100% – ô "Kiểm tra trọng số" báo đỏ nếu sai.</t>
        </is>
      </c>
    </row>
    <row r="15" ht="20" customHeight="1">
      <c r="B15" s="9" t="inlineStr">
        <is>
          <t>Ô nền xám</t>
        </is>
      </c>
      <c r="C15" s="6" t="inlineStr">
        <is>
          <t>Công thức tự tính. Không sửa.</t>
        </is>
      </c>
    </row>
    <row r="16" ht="20" customHeight="1"/>
    <row r="17" ht="20" customHeight="1">
      <c r="B17" s="4" t="inlineStr">
        <is>
          <t>CÔNG THỨC &amp; XẾP LOẠI (Điều 7, Điều 13 Quy chế)</t>
        </is>
      </c>
    </row>
    <row r="18" ht="20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20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0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0" customHeight="1">
      <c r="B21" s="5" t="inlineStr">
        <is>
          <t>Ví dụ</t>
        </is>
      </c>
      <c r="C21" s="6" t="inlineStr">
        <is>
          <t>Tiêu chí "Tìm nguồn hàng mới" trọng số 12%, quản lý chấm 4 → 4 ÷ 5 × 12 = 9,6 điểm. Chấm 3.5 → 8,4 điểm.</t>
        </is>
      </c>
    </row>
    <row r="22" ht="20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4" t="inlineStr">
        <is>
          <t>DANH MỤC 06 VỊ TRÍ</t>
        </is>
      </c>
    </row>
    <row r="25">
      <c r="B25" s="10" t="inlineStr">
        <is>
          <t>01</t>
        </is>
      </c>
      <c r="C25" s="11" t="inlineStr">
        <is>
          <t>Trưởng phòng Mua hàng  (10 tiêu chí)</t>
        </is>
      </c>
    </row>
    <row r="26">
      <c r="B26" s="10" t="inlineStr">
        <is>
          <t>02</t>
        </is>
      </c>
      <c r="C26" s="11" t="inlineStr">
        <is>
          <t>Chuyên viên Tìm nguồn &amp; Phát triển nhà cung cấp  (11 tiêu chí)</t>
        </is>
      </c>
    </row>
    <row r="27">
      <c r="B27" s="10" t="inlineStr">
        <is>
          <t>03</t>
        </is>
      </c>
      <c r="C27" s="11" t="inlineStr">
        <is>
          <t>Nhân viên Mua hàng (Buyer)  (11 tiêu chí)</t>
        </is>
      </c>
    </row>
    <row r="28">
      <c r="B28" s="10" t="inlineStr">
        <is>
          <t>04</t>
        </is>
      </c>
      <c r="C28" s="11" t="inlineStr">
        <is>
          <t>Nhân viên Theo dõi đơn hàng (Expeditor)  (11 tiêu chí)</t>
        </is>
      </c>
    </row>
    <row r="29">
      <c r="B29" s="10" t="inlineStr">
        <is>
          <t>05</t>
        </is>
      </c>
      <c r="C29" s="11" t="inlineStr">
        <is>
          <t>Chuyên viên Kiểm soát giá &amp; Hợp đồng mua  (11 tiêu chí)</t>
        </is>
      </c>
    </row>
    <row r="30">
      <c r="B30" s="10" t="inlineStr">
        <is>
          <t>06</t>
        </is>
      </c>
      <c r="C30" s="11" t="inlineStr">
        <is>
          <t>Nhân viên Hành chính – Dữ liệu mua hàng  (11 tiêu chí)</t>
        </is>
      </c>
    </row>
    <row r="31"/>
    <row r="32" ht="40" customHeight="1">
      <c r="B32" s="12" t="inlineStr">
        <is>
          <t>Lưu ý</t>
        </is>
      </c>
      <c r="C32" s="13" t="inlineStr">
        <is>
          <t>Tiêu chí và cách đo là bộ mẫu. Đơn vị điều chỉnh chỉ tiêu định lượng (%, số ngày, số lỗi) theo mục tiêu đã duyệt của từng kỳ trước khi phổ biến cho nhân sự (Điều 4 – Công khai). Bộ file thuộc Hệ thống W1 – KPI Doanh nghiệp của KK HOME.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xmlns:r="http://schemas.openxmlformats.org/officeDocument/2006/relationships" ref="C25" r:id="rId1"/>
    <hyperlink xmlns:r="http://schemas.openxmlformats.org/officeDocument/2006/relationships" ref="C26" r:id="rId2"/>
    <hyperlink xmlns:r="http://schemas.openxmlformats.org/officeDocument/2006/relationships" ref="C27" r:id="rId3"/>
    <hyperlink xmlns:r="http://schemas.openxmlformats.org/officeDocument/2006/relationships" ref="C28" r:id="rId4"/>
    <hyperlink xmlns:r="http://schemas.openxmlformats.org/officeDocument/2006/relationships" ref="C29" r:id="rId5"/>
    <hyperlink xmlns:r="http://schemas.openxmlformats.org/officeDocument/2006/relationships" ref="C30" r:id="rId6"/>
  </hyperlinks>
  <printOptions horizontalCentered="1"/>
  <pageMargins left="0.4" right="0.4" top="1" bottom="1" header="0.5" footer="0.5"/>
  <pageSetup orientation="portrait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1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PHÒNG MUA HÀNG</t>
        </is>
      </c>
    </row>
    <row r="2">
      <c r="A2" s="3" t="inlineStr">
        <is>
          <t xml:space="preserve">Phụ lục 01 · Tự cập nhật từ các sheet vị trí (Bước 4 – Điều 10) · KK HOME · </t>
        </is>
      </c>
    </row>
    <row r="3"/>
    <row r="4" ht="36" customHeight="1">
      <c r="A4" s="14" t="inlineStr">
        <is>
          <t>STT</t>
        </is>
      </c>
      <c r="B4" s="14" t="inlineStr">
        <is>
          <t>Vị trí</t>
        </is>
      </c>
      <c r="C4" s="14" t="inlineStr">
        <is>
          <t>Họ và tên</t>
        </is>
      </c>
      <c r="D4" s="14" t="inlineStr">
        <is>
          <t>Kỳ đánh giá</t>
        </is>
      </c>
      <c r="E4" s="14" t="inlineStr">
        <is>
          <t>Điểm tự ĐG</t>
        </is>
      </c>
      <c r="F4" s="14" t="inlineStr">
        <is>
          <t>Điểm chính thức</t>
        </is>
      </c>
      <c r="G4" s="14" t="inlineStr">
        <is>
          <t>Chênh lệch
(CT − Tự ĐG)</t>
        </is>
      </c>
      <c r="H4" s="14" t="inlineStr">
        <is>
          <t>Xếp loại</t>
        </is>
      </c>
      <c r="I4" s="14" t="inlineStr">
        <is>
          <t>Chuyên môn
(% đạt)</t>
        </is>
      </c>
      <c r="J4" s="14" t="inlineStr">
        <is>
          <t>Tuân thủ
(% đạt)</t>
        </is>
      </c>
      <c r="K4" s="14" t="inlineStr">
        <is>
          <t>Phối hợp
(% đạt)</t>
        </is>
      </c>
      <c r="L4" s="14" t="inlineStr">
        <is>
          <t>Tiến độ chấm</t>
        </is>
      </c>
    </row>
    <row r="5" ht="20" customHeight="1">
      <c r="A5" s="15" t="n">
        <v>1</v>
      </c>
      <c r="B5" s="11" t="inlineStr">
        <is>
          <t>Trưởng phòng Mua hàng</t>
        </is>
      </c>
      <c r="C5" s="6">
        <f>IF('01. Trưởng phòng Mua hàng'!C4="","",'01. Trưởng phòng Mua hàng'!C4)</f>
        <v/>
      </c>
      <c r="D5" s="15">
        <f>IF('01. Trưởng phòng Mua hàng'!G5="",'01. Trưởng phòng Mua hàng'!G4,'01. Trưởng phòng Mua hàng'!G5)</f>
        <v/>
      </c>
      <c r="E5" s="69">
        <f>'01. Trưởng phòng Mua hàng'!C24</f>
        <v/>
      </c>
      <c r="F5" s="70">
        <f>'01. Trưởng phòng Mua hàng'!C23</f>
        <v/>
      </c>
      <c r="G5" s="71">
        <f>IF(E5="","",F5-E5)</f>
        <v/>
      </c>
      <c r="H5" s="10">
        <f>'01. Trưởng phòng Mua hàng'!C26</f>
        <v/>
      </c>
      <c r="I5" s="19">
        <f>'01. Trưởng phòng Mua hàng'!H24</f>
        <v/>
      </c>
      <c r="J5" s="19">
        <f>'01. Trưởng phòng Mua hàng'!H25</f>
        <v/>
      </c>
      <c r="K5" s="19">
        <f>'01. Trưởng phòng Mua hàng'!H26</f>
        <v/>
      </c>
      <c r="L5" s="15">
        <f>'01. Trưởng phòng Mua hàng'!C25</f>
        <v/>
      </c>
    </row>
    <row r="6" ht="20" customHeight="1">
      <c r="A6" s="20" t="n">
        <v>2</v>
      </c>
      <c r="B6" s="21" t="inlineStr">
        <is>
          <t>Chuyên viên Tìm nguồn &amp; Phát triển nhà cung cấp</t>
        </is>
      </c>
      <c r="C6" s="22">
        <f>IF('02. CV Sourcing'!C4="","",'02. CV Sourcing'!C4)</f>
        <v/>
      </c>
      <c r="D6" s="20">
        <f>IF('02. CV Sourcing'!G5="",'02. CV Sourcing'!G4,'02. CV Sourcing'!G5)</f>
        <v/>
      </c>
      <c r="E6" s="72">
        <f>'02. CV Sourcing'!C25</f>
        <v/>
      </c>
      <c r="F6" s="73">
        <f>'02. CV Sourcing'!C24</f>
        <v/>
      </c>
      <c r="G6" s="74">
        <f>IF(E6="","",F6-E6)</f>
        <v/>
      </c>
      <c r="H6" s="10">
        <f>'02. CV Sourcing'!C27</f>
        <v/>
      </c>
      <c r="I6" s="26">
        <f>'02. CV Sourcing'!H25</f>
        <v/>
      </c>
      <c r="J6" s="26">
        <f>'02. CV Sourcing'!H26</f>
        <v/>
      </c>
      <c r="K6" s="26">
        <f>'02. CV Sourcing'!H27</f>
        <v/>
      </c>
      <c r="L6" s="20">
        <f>'02. CV Sourcing'!C26</f>
        <v/>
      </c>
    </row>
    <row r="7" ht="20" customHeight="1">
      <c r="A7" s="15" t="n">
        <v>3</v>
      </c>
      <c r="B7" s="11" t="inlineStr">
        <is>
          <t>Nhân viên Mua hàng (Buyer)</t>
        </is>
      </c>
      <c r="C7" s="6">
        <f>IF('03. NV Mua hàng'!C4="","",'03. NV Mua hàng'!C4)</f>
        <v/>
      </c>
      <c r="D7" s="15">
        <f>IF('03. NV Mua hàng'!G5="",'03. NV Mua hàng'!G4,'03. NV Mua hàng'!G5)</f>
        <v/>
      </c>
      <c r="E7" s="69">
        <f>'03. NV Mua hàng'!C25</f>
        <v/>
      </c>
      <c r="F7" s="70">
        <f>'03. NV Mua hàng'!C24</f>
        <v/>
      </c>
      <c r="G7" s="71">
        <f>IF(E7="","",F7-E7)</f>
        <v/>
      </c>
      <c r="H7" s="10">
        <f>'03. NV Mua hàng'!C27</f>
        <v/>
      </c>
      <c r="I7" s="19">
        <f>'03. NV Mua hàng'!H25</f>
        <v/>
      </c>
      <c r="J7" s="19">
        <f>'03. NV Mua hàng'!H26</f>
        <v/>
      </c>
      <c r="K7" s="19">
        <f>'03. NV Mua hàng'!H27</f>
        <v/>
      </c>
      <c r="L7" s="15">
        <f>'03. NV Mua hàng'!C26</f>
        <v/>
      </c>
    </row>
    <row r="8" ht="20" customHeight="1">
      <c r="A8" s="20" t="n">
        <v>4</v>
      </c>
      <c r="B8" s="21" t="inlineStr">
        <is>
          <t>Nhân viên Theo dõi đơn hàng (Expeditor)</t>
        </is>
      </c>
      <c r="C8" s="22">
        <f>IF('04. NV Theo dõi đơn hàng'!C4="","",'04. NV Theo dõi đơn hàng'!C4)</f>
        <v/>
      </c>
      <c r="D8" s="20">
        <f>IF('04. NV Theo dõi đơn hàng'!G5="",'04. NV Theo dõi đơn hàng'!G4,'04. NV Theo dõi đơn hàng'!G5)</f>
        <v/>
      </c>
      <c r="E8" s="72">
        <f>'04. NV Theo dõi đơn hàng'!C25</f>
        <v/>
      </c>
      <c r="F8" s="73">
        <f>'04. NV Theo dõi đơn hàng'!C24</f>
        <v/>
      </c>
      <c r="G8" s="74">
        <f>IF(E8="","",F8-E8)</f>
        <v/>
      </c>
      <c r="H8" s="10">
        <f>'04. NV Theo dõi đơn hàng'!C27</f>
        <v/>
      </c>
      <c r="I8" s="26">
        <f>'04. NV Theo dõi đơn hàng'!H25</f>
        <v/>
      </c>
      <c r="J8" s="26">
        <f>'04. NV Theo dõi đơn hàng'!H26</f>
        <v/>
      </c>
      <c r="K8" s="26">
        <f>'04. NV Theo dõi đơn hàng'!H27</f>
        <v/>
      </c>
      <c r="L8" s="20">
        <f>'04. NV Theo dõi đơn hàng'!C26</f>
        <v/>
      </c>
    </row>
    <row r="9" ht="20" customHeight="1">
      <c r="A9" s="15" t="n">
        <v>5</v>
      </c>
      <c r="B9" s="11" t="inlineStr">
        <is>
          <t>Chuyên viên Kiểm soát giá &amp; Hợp đồng mua</t>
        </is>
      </c>
      <c r="C9" s="6">
        <f>IF('05. CV Kiểm soát giá-HĐ'!C4="","",'05. CV Kiểm soát giá-HĐ'!C4)</f>
        <v/>
      </c>
      <c r="D9" s="15">
        <f>IF('05. CV Kiểm soát giá-HĐ'!G5="",'05. CV Kiểm soát giá-HĐ'!G4,'05. CV Kiểm soát giá-HĐ'!G5)</f>
        <v/>
      </c>
      <c r="E9" s="69">
        <f>'05. CV Kiểm soát giá-HĐ'!C25</f>
        <v/>
      </c>
      <c r="F9" s="70">
        <f>'05. CV Kiểm soát giá-HĐ'!C24</f>
        <v/>
      </c>
      <c r="G9" s="71">
        <f>IF(E9="","",F9-E9)</f>
        <v/>
      </c>
      <c r="H9" s="10">
        <f>'05. CV Kiểm soát giá-HĐ'!C27</f>
        <v/>
      </c>
      <c r="I9" s="19">
        <f>'05. CV Kiểm soát giá-HĐ'!H25</f>
        <v/>
      </c>
      <c r="J9" s="19">
        <f>'05. CV Kiểm soát giá-HĐ'!H26</f>
        <v/>
      </c>
      <c r="K9" s="19">
        <f>'05. CV Kiểm soát giá-HĐ'!H27</f>
        <v/>
      </c>
      <c r="L9" s="15">
        <f>'05. CV Kiểm soát giá-HĐ'!C26</f>
        <v/>
      </c>
    </row>
    <row r="10" ht="20" customHeight="1">
      <c r="A10" s="20" t="n">
        <v>6</v>
      </c>
      <c r="B10" s="21" t="inlineStr">
        <is>
          <t>Nhân viên Hành chính – Dữ liệu mua hàng</t>
        </is>
      </c>
      <c r="C10" s="22">
        <f>IF('06. NV Hành chính mua hàng'!C4="","",'06. NV Hành chính mua hàng'!C4)</f>
        <v/>
      </c>
      <c r="D10" s="20">
        <f>IF('06. NV Hành chính mua hàng'!G5="",'06. NV Hành chính mua hàng'!G4,'06. NV Hành chính mua hàng'!G5)</f>
        <v/>
      </c>
      <c r="E10" s="72">
        <f>'06. NV Hành chính mua hàng'!C25</f>
        <v/>
      </c>
      <c r="F10" s="73">
        <f>'06. NV Hành chính mua hàng'!C24</f>
        <v/>
      </c>
      <c r="G10" s="74">
        <f>IF(E10="","",F10-E10)</f>
        <v/>
      </c>
      <c r="H10" s="10">
        <f>'06. NV Hành chính mua hàng'!C27</f>
        <v/>
      </c>
      <c r="I10" s="26">
        <f>'06. NV Hành chính mua hàng'!H25</f>
        <v/>
      </c>
      <c r="J10" s="26">
        <f>'06. NV Hành chính mua hàng'!H26</f>
        <v/>
      </c>
      <c r="K10" s="26">
        <f>'06. NV Hành chính mua hàng'!H27</f>
        <v/>
      </c>
      <c r="L10" s="20">
        <f>'06. NV Hành chính mua hàng'!C26</f>
        <v/>
      </c>
    </row>
    <row r="11"/>
    <row r="12">
      <c r="B12" s="27" t="inlineStr">
        <is>
          <t>THỐNG KÊ TOÀN PHÒNG</t>
        </is>
      </c>
      <c r="C12" s="75" t="n"/>
    </row>
    <row r="13">
      <c r="B13" s="5" t="inlineStr">
        <is>
          <t>Số vị trí xếp loại Xuất sắc</t>
        </is>
      </c>
      <c r="C13" s="29">
        <f>COUNTIF(H5:H10,"Xuất sắc")</f>
        <v/>
      </c>
    </row>
    <row r="14">
      <c r="B14" s="5" t="inlineStr">
        <is>
          <t>Số vị trí xếp loại Đạt</t>
        </is>
      </c>
      <c r="C14" s="29">
        <f>COUNTIF(H5:H10,"Đạt")</f>
        <v/>
      </c>
    </row>
    <row r="15">
      <c r="B15" s="5" t="inlineStr">
        <is>
          <t>Số vị trí xếp loại Cần cải thiện</t>
        </is>
      </c>
      <c r="C15" s="29">
        <f>COUNTIF(H5:H10,"Cần cải thiện")</f>
        <v/>
      </c>
    </row>
    <row r="16">
      <c r="B16" s="5" t="inlineStr">
        <is>
          <t>Số vị trí chưa chấm / chưa chấm đủ</t>
        </is>
      </c>
      <c r="C16" s="29">
        <f>COUNTIF(H5:H10,"Chưa chấm")+COUNTIF(H5:H10,"Chưa chấm đủ")</f>
        <v/>
      </c>
    </row>
    <row r="17">
      <c r="B17" s="5" t="inlineStr">
        <is>
          <t>Điểm bình quân phòng (vị trí đã chấm đủ)</t>
        </is>
      </c>
      <c r="C17" s="76">
        <f>IFERROR(AVERAGEIFS(F5:F10,H5:H10,"&lt;&gt;Chưa chấm",H5:H10,"&lt;&gt;Chưa chấm đủ"),"")</f>
        <v/>
      </c>
    </row>
    <row r="18"/>
    <row r="19" ht="30" customHeight="1">
      <c r="B19" s="13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19:L19"/>
    <mergeCell ref="A2:L2"/>
    <mergeCell ref="A1:L1"/>
    <mergeCell ref="B12:C12"/>
  </mergeCells>
  <conditionalFormatting sqref="H5:H10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0">
    <cfRule type="expression" priority="5" dxfId="4">
      <formula>AND(ISNUMBER(G5),ABS(G5)&gt;=10)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</hyperlink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3" t="inlineStr">
        <is>
          <t xml:space="preserve">Phụ lục 01 · Dữ liệu lấy từ sheet Tổng hợp · KK HOME · </t>
        </is>
      </c>
    </row>
    <row r="3"/>
    <row r="4">
      <c r="A4" s="14" t="inlineStr">
        <is>
          <t>STT</t>
        </is>
      </c>
      <c r="B4" s="14" t="inlineStr">
        <is>
          <t>Vị trí</t>
        </is>
      </c>
      <c r="C4" s="14" t="inlineStr">
        <is>
          <t>Điểm tự ĐG</t>
        </is>
      </c>
      <c r="D4" s="14" t="inlineStr">
        <is>
          <t>Điểm chính thức</t>
        </is>
      </c>
      <c r="E4" s="14" t="inlineStr">
        <is>
          <t>Chuyên môn</t>
        </is>
      </c>
      <c r="F4" s="14" t="inlineStr">
        <is>
          <t>Tuân thủ</t>
        </is>
      </c>
      <c r="G4" s="14" t="inlineStr">
        <is>
          <t>Phối hợp</t>
        </is>
      </c>
    </row>
    <row r="5">
      <c r="A5" s="15" t="n">
        <v>1</v>
      </c>
      <c r="B5" s="6">
        <f>'Tổng hợp'!B5</f>
        <v/>
      </c>
      <c r="C5" s="69">
        <f>IF('Tổng hợp'!E5="",0,'Tổng hợp'!E5)</f>
        <v/>
      </c>
      <c r="D5" s="69">
        <f>'Tổng hợp'!F5</f>
        <v/>
      </c>
      <c r="E5" s="19">
        <f>'Tổng hợp'!I5</f>
        <v/>
      </c>
      <c r="F5" s="19">
        <f>'Tổng hợp'!J5</f>
        <v/>
      </c>
      <c r="G5" s="19">
        <f>'Tổng hợp'!K5</f>
        <v/>
      </c>
    </row>
    <row r="6">
      <c r="A6" s="15" t="n">
        <v>2</v>
      </c>
      <c r="B6" s="6">
        <f>'Tổng hợp'!B6</f>
        <v/>
      </c>
      <c r="C6" s="69">
        <f>IF('Tổng hợp'!E6="",0,'Tổng hợp'!E6)</f>
        <v/>
      </c>
      <c r="D6" s="69">
        <f>'Tổng hợp'!F6</f>
        <v/>
      </c>
      <c r="E6" s="19">
        <f>'Tổng hợp'!I6</f>
        <v/>
      </c>
      <c r="F6" s="19">
        <f>'Tổng hợp'!J6</f>
        <v/>
      </c>
      <c r="G6" s="19">
        <f>'Tổng hợp'!K6</f>
        <v/>
      </c>
    </row>
    <row r="7">
      <c r="A7" s="15" t="n">
        <v>3</v>
      </c>
      <c r="B7" s="6">
        <f>'Tổng hợp'!B7</f>
        <v/>
      </c>
      <c r="C7" s="69">
        <f>IF('Tổng hợp'!E7="",0,'Tổng hợp'!E7)</f>
        <v/>
      </c>
      <c r="D7" s="69">
        <f>'Tổng hợp'!F7</f>
        <v/>
      </c>
      <c r="E7" s="19">
        <f>'Tổng hợp'!I7</f>
        <v/>
      </c>
      <c r="F7" s="19">
        <f>'Tổng hợp'!J7</f>
        <v/>
      </c>
      <c r="G7" s="19">
        <f>'Tổng hợp'!K7</f>
        <v/>
      </c>
    </row>
    <row r="8">
      <c r="A8" s="15" t="n">
        <v>4</v>
      </c>
      <c r="B8" s="6">
        <f>'Tổng hợp'!B8</f>
        <v/>
      </c>
      <c r="C8" s="69">
        <f>IF('Tổng hợp'!E8="",0,'Tổng hợp'!E8)</f>
        <v/>
      </c>
      <c r="D8" s="69">
        <f>'Tổng hợp'!F8</f>
        <v/>
      </c>
      <c r="E8" s="19">
        <f>'Tổng hợp'!I8</f>
        <v/>
      </c>
      <c r="F8" s="19">
        <f>'Tổng hợp'!J8</f>
        <v/>
      </c>
      <c r="G8" s="19">
        <f>'Tổng hợp'!K8</f>
        <v/>
      </c>
    </row>
    <row r="9">
      <c r="A9" s="15" t="n">
        <v>5</v>
      </c>
      <c r="B9" s="6">
        <f>'Tổng hợp'!B9</f>
        <v/>
      </c>
      <c r="C9" s="69">
        <f>IF('Tổng hợp'!E9="",0,'Tổng hợp'!E9)</f>
        <v/>
      </c>
      <c r="D9" s="69">
        <f>'Tổng hợp'!F9</f>
        <v/>
      </c>
      <c r="E9" s="19">
        <f>'Tổng hợp'!I9</f>
        <v/>
      </c>
      <c r="F9" s="19">
        <f>'Tổng hợp'!J9</f>
        <v/>
      </c>
      <c r="G9" s="19">
        <f>'Tổng hợp'!K9</f>
        <v/>
      </c>
    </row>
    <row r="10">
      <c r="A10" s="15" t="n">
        <v>6</v>
      </c>
      <c r="B10" s="6">
        <f>'Tổng hợp'!B10</f>
        <v/>
      </c>
      <c r="C10" s="69">
        <f>IF('Tổng hợp'!E10="",0,'Tổng hợp'!E10)</f>
        <v/>
      </c>
      <c r="D10" s="69">
        <f>'Tổng hợp'!F10</f>
        <v/>
      </c>
      <c r="E10" s="19">
        <f>'Tổng hợp'!I10</f>
        <v/>
      </c>
      <c r="F10" s="19">
        <f>'Tổng hợp'!J10</f>
        <v/>
      </c>
      <c r="G10" s="19">
        <f>'Tổng hợp'!K10</f>
        <v/>
      </c>
    </row>
    <row r="11"/>
    <row r="12">
      <c r="A12" s="13" t="inlineStr">
        <is>
          <t>Biểu đồ tự cập nhật khi chấm điểm ở các sheet vị trí. Vị trí chưa chấm hiển thị 0.</t>
        </is>
      </c>
    </row>
  </sheetData>
  <mergeCells count="3">
    <mergeCell ref="A2:G2"/>
    <mergeCell ref="A1:G1"/>
    <mergeCell ref="A12:G12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3" t="inlineStr">
        <is>
          <t xml:space="preserve">Phụ lục 01 · Căn cứ Điều 4, 6, 7, 10, 12, 13 Quy chế · KK HOME · </t>
        </is>
      </c>
    </row>
    <row r="3"/>
    <row r="4">
      <c r="B4" s="4" t="inlineStr">
        <is>
          <t>1. THANG ĐIỂM 1–5 (Điều 6)</t>
        </is>
      </c>
    </row>
    <row r="5">
      <c r="B5" s="31" t="inlineStr">
        <is>
          <t>Điểm</t>
        </is>
      </c>
      <c r="C5" s="31" t="inlineStr">
        <is>
          <t>Xếp hạng</t>
        </is>
      </c>
      <c r="D5" s="31" t="inlineStr">
        <is>
          <t>Diễn giải</t>
        </is>
      </c>
      <c r="E5" s="77" t="n"/>
      <c r="F5" s="77" t="n"/>
      <c r="G5" s="75" t="n"/>
    </row>
    <row r="6">
      <c r="B6" s="33" t="n">
        <v>5</v>
      </c>
      <c r="C6" s="34" t="inlineStr">
        <is>
          <t>Tuyệt vời</t>
        </is>
      </c>
      <c r="D6" s="35" t="inlineStr">
        <is>
          <t>Hoàn thành xuất sắc, vượt mong đợi, tự giác và chủ động</t>
        </is>
      </c>
      <c r="E6" s="77" t="n"/>
      <c r="F6" s="77" t="n"/>
      <c r="G6" s="75" t="n"/>
    </row>
    <row r="7">
      <c r="B7" s="33" t="n">
        <v>4</v>
      </c>
      <c r="C7" s="34" t="inlineStr">
        <is>
          <t>Tốt</t>
        </is>
      </c>
      <c r="D7" s="35" t="inlineStr">
        <is>
          <t>Hoàn thành tốt, đạt hoặc vượt mục tiêu đề ra</t>
        </is>
      </c>
      <c r="E7" s="77" t="n"/>
      <c r="F7" s="77" t="n"/>
      <c r="G7" s="75" t="n"/>
    </row>
    <row r="8">
      <c r="B8" s="33" t="n">
        <v>3</v>
      </c>
      <c r="C8" s="34" t="inlineStr">
        <is>
          <t>Bình thường</t>
        </is>
      </c>
      <c r="D8" s="35" t="inlineStr">
        <is>
          <t>Đáp ứng đủ yêu cầu cơ bản</t>
        </is>
      </c>
      <c r="E8" s="77" t="n"/>
      <c r="F8" s="77" t="n"/>
      <c r="G8" s="75" t="n"/>
    </row>
    <row r="9">
      <c r="B9" s="33" t="n">
        <v>2</v>
      </c>
      <c r="C9" s="34" t="inlineStr">
        <is>
          <t>Chưa đạt</t>
        </is>
      </c>
      <c r="D9" s="35" t="inlineStr">
        <is>
          <t>Chưa hoàn thành tốt, có lỗi nhỏ, cần cải thiện</t>
        </is>
      </c>
      <c r="E9" s="77" t="n"/>
      <c r="F9" s="77" t="n"/>
      <c r="G9" s="75" t="n"/>
    </row>
    <row r="10">
      <c r="B10" s="33" t="n">
        <v>1</v>
      </c>
      <c r="C10" s="34" t="inlineStr">
        <is>
          <t>Kém</t>
        </is>
      </c>
      <c r="D10" s="35" t="inlineStr">
        <is>
          <t>Chưa hoàn thành, cần hỗ trợ nhiều, sai sót lớn</t>
        </is>
      </c>
      <c r="E10" s="77" t="n"/>
      <c r="F10" s="77" t="n"/>
      <c r="G10" s="75" t="n"/>
    </row>
    <row r="11">
      <c r="B11" s="37" t="inlineStr">
        <is>
          <t>Kết quả dao động giữa hai mức liền kề: được chấm điểm trung bình (VD: 3.5).</t>
        </is>
      </c>
    </row>
    <row r="12"/>
    <row r="13">
      <c r="B13" s="4" t="inlineStr">
        <is>
          <t>2. CÔNG THỨC &amp; XẾP LOẠI (Điều 7, Điều 13)</t>
        </is>
      </c>
    </row>
    <row r="14">
      <c r="B14" s="38" t="inlineStr">
        <is>
          <t>Điểm quy đổi tiêu chí</t>
        </is>
      </c>
      <c r="C14" s="35" t="inlineStr">
        <is>
          <t>Điểm chấm ÷ 5 × Trọng số × 100</t>
        </is>
      </c>
      <c r="D14" s="77" t="n"/>
      <c r="E14" s="77" t="n"/>
      <c r="F14" s="77" t="n"/>
      <c r="G14" s="75" t="n"/>
    </row>
    <row r="15">
      <c r="B15" s="38" t="inlineStr">
        <is>
          <t>Tổng điểm vị trí</t>
        </is>
      </c>
      <c r="C15" s="35" t="inlineStr">
        <is>
          <t>Cộng điểm quy đổi các tiêu chí (tối đa 100)</t>
        </is>
      </c>
      <c r="D15" s="77" t="n"/>
      <c r="E15" s="77" t="n"/>
      <c r="F15" s="77" t="n"/>
      <c r="G15" s="75" t="n"/>
    </row>
    <row r="16">
      <c r="B16" s="38" t="inlineStr">
        <is>
          <t>Xuất sắc</t>
        </is>
      </c>
      <c r="C16" s="35" t="inlineStr">
        <is>
          <t>Tổng điểm ≥ 80</t>
        </is>
      </c>
      <c r="D16" s="77" t="n"/>
      <c r="E16" s="77" t="n"/>
      <c r="F16" s="77" t="n"/>
      <c r="G16" s="75" t="n"/>
    </row>
    <row r="17">
      <c r="B17" s="38" t="inlineStr">
        <is>
          <t>Đạt</t>
        </is>
      </c>
      <c r="C17" s="35" t="inlineStr">
        <is>
          <t>Từ 70 đến dưới 80</t>
        </is>
      </c>
      <c r="D17" s="77" t="n"/>
      <c r="E17" s="77" t="n"/>
      <c r="F17" s="77" t="n"/>
      <c r="G17" s="75" t="n"/>
    </row>
    <row r="18">
      <c r="B18" s="38" t="inlineStr">
        <is>
          <t>Cần cải thiện</t>
        </is>
      </c>
      <c r="C18" s="35" t="inlineStr">
        <is>
          <t>Dưới 70</t>
        </is>
      </c>
      <c r="D18" s="77" t="n"/>
      <c r="E18" s="77" t="n"/>
      <c r="F18" s="77" t="n"/>
      <c r="G18" s="75" t="n"/>
    </row>
    <row r="19"/>
    <row r="20">
      <c r="B20" s="4" t="inlineStr">
        <is>
          <t>3. GỢI Ý QUY ĐỔI CHỨNG CỨ RA ĐIỂM (mẫu – điều chỉnh theo mục tiêu đã duyệt từng kỳ)</t>
        </is>
      </c>
    </row>
    <row r="21">
      <c r="B21" s="31" t="inlineStr">
        <is>
          <t>Loại chỉ số</t>
        </is>
      </c>
      <c r="C21" s="31" t="inlineStr">
        <is>
          <t>Điểm 5</t>
        </is>
      </c>
      <c r="D21" s="31" t="inlineStr">
        <is>
          <t>Điểm 4</t>
        </is>
      </c>
      <c r="E21" s="31" t="inlineStr">
        <is>
          <t>Điểm 3</t>
        </is>
      </c>
      <c r="F21" s="31" t="inlineStr">
        <is>
          <t>Điểm 2</t>
        </is>
      </c>
      <c r="G21" s="31" t="inlineStr">
        <is>
          <t>Điểm 1</t>
        </is>
      </c>
    </row>
    <row r="22" ht="38" customHeight="1">
      <c r="B22" s="38" t="inlineStr">
        <is>
          <t>Tỷ lệ đơn hàng giao đúng hạn (OTD)</t>
        </is>
      </c>
      <c r="C22" s="35" t="inlineStr">
        <is>
          <t>≥ 98%</t>
        </is>
      </c>
      <c r="D22" s="35" t="inlineStr">
        <is>
          <t>95% – dưới 98%</t>
        </is>
      </c>
      <c r="E22" s="35" t="inlineStr">
        <is>
          <t>90% – dưới 95%</t>
        </is>
      </c>
      <c r="F22" s="35" t="inlineStr">
        <is>
          <t>80% – dưới 90%</t>
        </is>
      </c>
      <c r="G22" s="35" t="inlineStr">
        <is>
          <t>Dưới 80%</t>
        </is>
      </c>
    </row>
    <row r="23" ht="38" customHeight="1">
      <c r="B23" s="38" t="inlineStr">
        <is>
          <t>Tiết kiệm chi phí mua so với giá mục tiêu</t>
        </is>
      </c>
      <c r="C23" s="35" t="inlineStr">
        <is>
          <t>Tiết kiệm ≥ 5%</t>
        </is>
      </c>
      <c r="D23" s="35" t="inlineStr">
        <is>
          <t>Tiết kiệm 2% – dưới 5%</t>
        </is>
      </c>
      <c r="E23" s="35" t="inlineStr">
        <is>
          <t>Bằng giá mục tiêu (±2%)</t>
        </is>
      </c>
      <c r="F23" s="35" t="inlineStr">
        <is>
          <t>Cao hơn 2% – 5%</t>
        </is>
      </c>
      <c r="G23" s="35" t="inlineStr">
        <is>
          <t>Cao hơn &gt; 5%</t>
        </is>
      </c>
    </row>
    <row r="24" ht="38" customHeight="1">
      <c r="B24" s="38" t="inlineStr">
        <is>
          <t>Tỷ lệ hàng lỗi, trả lại nhà cung cấp</t>
        </is>
      </c>
      <c r="C24" s="35" t="inlineStr">
        <is>
          <t>0%, NCC tự cải tiến</t>
        </is>
      </c>
      <c r="D24" s="35" t="inlineStr">
        <is>
          <t>≤ 0,5%</t>
        </is>
      </c>
      <c r="E24" s="35" t="inlineStr">
        <is>
          <t>0,5% – 1%</t>
        </is>
      </c>
      <c r="F24" s="35" t="inlineStr">
        <is>
          <t>1% – 3%</t>
        </is>
      </c>
      <c r="G24" s="35" t="inlineStr">
        <is>
          <t>&gt; 3% hoặc lỗi gây dừng sản xuất</t>
        </is>
      </c>
    </row>
    <row r="25" ht="38" customHeight="1">
      <c r="B25" s="38" t="inlineStr">
        <is>
          <t>Thời gian xử lý đề nghị mua (PR → PO)</t>
        </is>
      </c>
      <c r="C25" s="35" t="inlineStr">
        <is>
          <t>Nhanh hơn định mức ≥ 20%</t>
        </is>
      </c>
      <c r="D25" s="35" t="inlineStr">
        <is>
          <t>Đúng định mức</t>
        </is>
      </c>
      <c r="E25" s="35" t="inlineStr">
        <is>
          <t>Chậm ≤ 1 ngày, không ảnh hưởng</t>
        </is>
      </c>
      <c r="F25" s="35" t="inlineStr">
        <is>
          <t>Chậm 2–3 ngày</t>
        </is>
      </c>
      <c r="G25" s="35" t="inlineStr">
        <is>
          <t>Chậm &gt; 3 ngày hoặc gây thiếu hàng</t>
        </is>
      </c>
    </row>
    <row r="26" ht="38" customHeight="1">
      <c r="B26" s="38" t="inlineStr">
        <is>
          <t>Tuân thủ quy trình mua (báo giá, phê duyệt, hợp đồng)</t>
        </is>
      </c>
      <c r="C26" s="35" t="inlineStr">
        <is>
          <t>100% đúng, chủ động phát hiện rủi ro</t>
        </is>
      </c>
      <c r="D26" s="35" t="inlineStr">
        <is>
          <t>100% đúng quy trình</t>
        </is>
      </c>
      <c r="E26" s="35" t="inlineStr">
        <is>
          <t>1–2 thiếu sót nhỏ, bổ sung kịp</t>
        </is>
      </c>
      <c r="F26" s="35" t="inlineStr">
        <is>
          <t>≥ 3 thiếu sót hoặc mua trước duyệt sau</t>
        </is>
      </c>
      <c r="G26" s="35" t="inlineStr">
        <is>
          <t>Mua sai thẩm quyền, xung đột lợi ích</t>
        </is>
      </c>
    </row>
    <row r="27" ht="38" customHeight="1">
      <c r="B27" s="38" t="inlineStr">
        <is>
          <t>Hồ sơ, chứng từ mua hàng</t>
        </is>
      </c>
      <c r="C27" s="35" t="inlineStr">
        <is>
          <t>Đầy đủ, nộp sớm cho Kế toán</t>
        </is>
      </c>
      <c r="D27" s="35" t="inlineStr">
        <is>
          <t>Đầy đủ, đúng hạn</t>
        </is>
      </c>
      <c r="E27" s="35" t="inlineStr">
        <is>
          <t>Thiếu nhỏ, bổ sung trong kỳ</t>
        </is>
      </c>
      <c r="F27" s="35" t="inlineStr">
        <is>
          <t>Thiếu lặp lại, chậm thanh toán</t>
        </is>
      </c>
      <c r="G27" s="35" t="inlineStr">
        <is>
          <t>Mất chứng từ, hóa đơn không hợp lệ</t>
        </is>
      </c>
    </row>
    <row r="28"/>
    <row r="29">
      <c r="B29" s="4" t="inlineStr">
        <is>
          <t>4. NGUYÊN TẮC ĐÁNH GIÁ (Điều 4, Điều 12)</t>
        </is>
      </c>
    </row>
    <row r="30">
      <c r="B30" s="38" t="inlineStr">
        <is>
          <t>Khách quan</t>
        </is>
      </c>
      <c r="C30" s="35" t="inlineStr">
        <is>
          <t>Chấm theo kết quả thực tế, không theo thiện cảm cá nhân.</t>
        </is>
      </c>
      <c r="D30" s="77" t="n"/>
      <c r="E30" s="77" t="n"/>
      <c r="F30" s="77" t="n"/>
      <c r="G30" s="75" t="n"/>
    </row>
    <row r="31">
      <c r="B31" s="38" t="inlineStr">
        <is>
          <t>Công bằng</t>
        </is>
      </c>
      <c r="C31" s="35" t="inlineStr">
        <is>
          <t>Cùng vị trí dùng chung bộ tiêu chí, trọng số, thang điểm.</t>
        </is>
      </c>
      <c r="D31" s="77" t="n"/>
      <c r="E31" s="77" t="n"/>
      <c r="F31" s="77" t="n"/>
      <c r="G31" s="75" t="n"/>
    </row>
    <row r="32">
      <c r="B32" s="38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7" t="n"/>
      <c r="E32" s="77" t="n"/>
      <c r="F32" s="77" t="n"/>
      <c r="G32" s="75" t="n"/>
    </row>
    <row r="33">
      <c r="B33" s="38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7" t="n"/>
      <c r="E33" s="77" t="n"/>
      <c r="F33" s="77" t="n"/>
      <c r="G33" s="75" t="n"/>
    </row>
    <row r="34">
      <c r="B34" s="38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7" t="n"/>
      <c r="E34" s="77" t="n"/>
      <c r="F34" s="77" t="n"/>
      <c r="G34" s="75" t="n"/>
    </row>
    <row r="35">
      <c r="B35" s="38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7" t="n"/>
      <c r="E35" s="77" t="n"/>
      <c r="F35" s="77" t="n"/>
      <c r="G35" s="75" t="n"/>
    </row>
    <row r="36"/>
    <row r="37">
      <c r="B37" s="4" t="inlineStr">
        <is>
          <t>5. QUY TRÌNH 6 BƯỚC (Điều 10)</t>
        </is>
      </c>
    </row>
    <row r="38">
      <c r="B38" s="38" t="inlineStr">
        <is>
          <t>Bước 1 – Chuẩn bị</t>
        </is>
      </c>
      <c r="C38" s="35" t="inlineStr">
        <is>
          <t>Xác định kỳ, thông báo lịch, phổ biến tiêu chí.</t>
        </is>
      </c>
      <c r="D38" s="77" t="n"/>
      <c r="E38" s="77" t="n"/>
      <c r="F38" s="77" t="n"/>
      <c r="G38" s="75" t="n"/>
    </row>
    <row r="39">
      <c r="B39" s="38" t="inlineStr">
        <is>
          <t>Bước 2 – Tự đánh giá</t>
        </is>
      </c>
      <c r="C39" s="35" t="inlineStr">
        <is>
          <t>Nhân sự chấm cột F.</t>
        </is>
      </c>
      <c r="D39" s="77" t="n"/>
      <c r="E39" s="77" t="n"/>
      <c r="F39" s="77" t="n"/>
      <c r="G39" s="75" t="n"/>
    </row>
    <row r="40">
      <c r="B40" s="38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7" t="n"/>
      <c r="E40" s="77" t="n"/>
      <c r="F40" s="77" t="n"/>
      <c r="G40" s="75" t="n"/>
    </row>
    <row r="41">
      <c r="B41" s="38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7" t="n"/>
      <c r="E41" s="77" t="n"/>
      <c r="F41" s="77" t="n"/>
      <c r="G41" s="75" t="n"/>
    </row>
    <row r="42">
      <c r="B42" s="38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7" t="n"/>
      <c r="E42" s="77" t="n"/>
      <c r="F42" s="77" t="n"/>
      <c r="G42" s="75" t="n"/>
    </row>
    <row r="43">
      <c r="B43" s="38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7" t="n"/>
      <c r="E43" s="77" t="n"/>
      <c r="F43" s="77" t="n"/>
      <c r="G43" s="75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PHÒNG MUA HÀNG</t>
        </is>
      </c>
    </row>
    <row r="2">
      <c r="A2" s="3" t="inlineStr">
        <is>
          <t xml:space="preserve">Phòng Mua hàng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Mua hàng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Đảm bảo nguồn cung đủ &amp; đúng hạn</t>
        </is>
      </c>
      <c r="D10" s="45" t="inlineStr">
        <is>
          <t>Tỷ lệ đơn hàng giao đúng hạn (OTD) ≥ 95%; số lần thiếu hàng gây dừng sản xuất/kinh doanh = 0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Tiết kiệm chi phí mua hàng</t>
        </is>
      </c>
      <c r="D11" s="45" t="inlineStr">
        <is>
          <t>Giá trị tiết kiệm so với giá mục tiêu, giá kỳ trước; tổng chi mua so với ngân sách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Chất lượng nguồn cung</t>
        </is>
      </c>
      <c r="D12" s="45" t="inlineStr">
        <is>
          <t>Tỷ lệ hàng lỗi, trả lại; số NCC đạt chuẩn đánh giá định kỳ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Chiến lược nguồn cung &amp; quản lý NCC</t>
        </is>
      </c>
      <c r="D13" s="45" t="inlineStr">
        <is>
          <t>Danh sách NCC được duyệt cập nhật; mỗi mặt hàng chủ lực có ≥ 2 nguồn thay thế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trình mua &amp; phân cấp phê duyệt</t>
        </is>
      </c>
      <c r="D14" s="45" t="inlineStr">
        <is>
          <t>Không mua sai thẩm quyền; 100% đơn hàng có báo giá so sánh theo quy định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Kiểm soát hợp đồng &amp; rủi ro nhà cung cấp</t>
        </is>
      </c>
      <c r="D15" s="45" t="inlineStr">
        <is>
          <t>Hợp đồng mua rà soát điều khoản trước ký; không phát sinh tranh chấp do sai sót hợp đồng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Báo cáo mua hàng định kỳ</t>
        </is>
      </c>
      <c r="D16" s="45" t="inlineStr">
        <is>
          <t>Báo cáo chi mua, giá, công nợ NCC gửi Ban lãnh đạo đúng hạn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&amp; phát triển đội ngũ</t>
        </is>
      </c>
      <c r="D17" s="45" t="inlineStr">
        <is>
          <t>Điểm KPI bình quân của phòng; số nhân viên được đào tạo nghiệp vụ, đàm phán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với Sản xuất, Kho &amp; Kế toán</t>
        </is>
      </c>
      <c r="D18" s="45" t="inlineStr">
        <is>
          <t>Phản hồi các phòng ban về đáp ứng nhu cầu; đối chiếu công nợ NCC khớp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Liêm chính &amp; cải tiến</t>
        </is>
      </c>
      <c r="D19" s="45" t="inlineStr">
        <is>
          <t>Không vi phạm quy tắc xung đột lợi ích; số sáng kiến cải tiến quy trình mua được áp dụng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TÌM NGUỒN &amp; PHÁT TRIỂN NHÀ CUNG CẤP</t>
        </is>
      </c>
    </row>
    <row r="2">
      <c r="A2" s="3" t="inlineStr">
        <is>
          <t xml:space="preserve">Phòng Mua hàng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Mua hàng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Tìm nguồn hàng mới</t>
        </is>
      </c>
      <c r="D10" s="45" t="inlineStr">
        <is>
          <t>Số NCC mới đạt yêu cầu được đưa vào danh sách duyệt so với kế hoạch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Giảm giá nhờ nguồn mới</t>
        </is>
      </c>
      <c r="D11" s="45" t="inlineStr">
        <is>
          <t>Mức giảm giá đạt được khi chuyển sang hoặc thêm nguồn mới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Đánh giá năng lực NCC</t>
        </is>
      </c>
      <c r="D12" s="45" t="inlineStr">
        <is>
          <t>Tỷ lệ NCC được đánh giá định kỳ (chất lượng, giá, giao hàng, tài chính) đúng kế hoạch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Phát triển nguồn thay thế</t>
        </is>
      </c>
      <c r="D13" s="45" t="inlineStr">
        <is>
          <t>Số mặt hàng chủ lực có từ 2 nguồn trở lên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Thẩm định pháp lý &amp; tài chính NCC</t>
        </is>
      </c>
      <c r="D14" s="45" t="inlineStr">
        <is>
          <t>100% NCC mới có hồ sơ pháp lý, mã số thuế đang hoạt động, năng lực xuất hóa đơn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trình mẫu thử &amp; phê duyệt NCC</t>
        </is>
      </c>
      <c r="D15" s="45" t="inlineStr">
        <is>
          <t>Mẫu thử được QC/Kỹ thuật duyệt trước khi đặt hàng chính thức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Cập nhật dữ liệu NCC</t>
        </is>
      </c>
      <c r="D16" s="45" t="inlineStr">
        <is>
          <t>Hồ sơ, bảng giá, đầu mối liên hệ NCC cập nhật đầy đủ trên hệ thống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Tiến độ dự án tìm nguồn</t>
        </is>
      </c>
      <c r="D17" s="45" t="inlineStr">
        <is>
          <t>Các yêu cầu tìm nguồn hoàn thành đúng thời hạn cam kết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Kỹ thuật, QC &amp; Kinh doanh</t>
        </is>
      </c>
      <c r="D18" s="45" t="inlineStr">
        <is>
          <t>Phản hồi của các bộ phận về mẫu thử, thông số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nghiên cứu thị trường cung ứng</t>
        </is>
      </c>
      <c r="D19" s="45" t="inlineStr">
        <is>
          <t>Báo cáo xu hướng giá, nguồn cung, rủi ro thị trường định kỳ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Liêm chính &amp; bảo mật thông tin giá</t>
        </is>
      </c>
      <c r="D20" s="45" t="inlineStr">
        <is>
          <t>Không nhận lợi ích từ NCC; không tiết lộ giá giữa các NCC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MUA HÀNG (BUYER)</t>
        </is>
      </c>
    </row>
    <row r="2">
      <c r="A2" s="3" t="inlineStr">
        <is>
          <t xml:space="preserve">Phòng Mua hàng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Mua hàng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Xử lý đề nghị mua đúng định mức thời gian</t>
        </is>
      </c>
      <c r="D10" s="45" t="inlineStr">
        <is>
          <t>Thời gian từ đề nghị mua (PR) đến đơn đặt hàng (PO) so với định mức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Giá mua đạt mục tiêu</t>
        </is>
      </c>
      <c r="D11" s="45" t="inlineStr">
        <is>
          <t>Giá mua thực tế so với giá mục tiêu, giá kỳ trước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Mua đúng chủng loại, quy cách, số lượng</t>
        </is>
      </c>
      <c r="D12" s="45" t="inlineStr">
        <is>
          <t>Số đơn hàng phải sửa, đổi do đặt sai mã, quy cách, số lượng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Tỷ lệ hàng giao đúng hạn</t>
        </is>
      </c>
      <c r="D13" s="45" t="inlineStr">
        <is>
          <t>Tỷ lệ đơn hàng phụ trách giao đúng hạn (OTD)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trình báo giá &amp; phê duyệt</t>
        </is>
      </c>
      <c r="D14" s="45" t="inlineStr">
        <is>
          <t>Đủ số báo giá theo quy định; PO được duyệt đúng thẩm quyền trước khi gửi NCC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Hồ sơ, chứng từ mua hàng</t>
        </is>
      </c>
      <c r="D15" s="45" t="inlineStr">
        <is>
          <t>PO, hợp đồng, biên bản giao nhận, hóa đơn đầy đủ, chuyển Kế toán đúng hạn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Hóa đơn hợp lệ</t>
        </is>
      </c>
      <c r="D16" s="45" t="inlineStr">
        <is>
          <t>Số hóa đơn sai thông tin, sai thuế suất, hóa đơn NCC rủi ro phải xử lý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Cập nhật dữ liệu trên phần mềm</t>
        </is>
      </c>
      <c r="D17" s="45" t="inlineStr">
        <is>
          <t>Đơn hàng, giá, trạng thái cập nhật trên ERP/phần mềm kịp thời, chính xác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Kho, Sản xuất &amp; Kế toán</t>
        </is>
      </c>
      <c r="D18" s="45" t="inlineStr">
        <is>
          <t>Thông báo kế hoạch hàng về; đối chiếu công nợ NCC đúng hạn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đàm phán &amp; đề xuất</t>
        </is>
      </c>
      <c r="D19" s="45" t="inlineStr">
        <is>
          <t>Số đề xuất điều kiện thanh toán, giao hàng có lợi được NCC chấp nhận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Liêm chính nghề nghiệp</t>
        </is>
      </c>
      <c r="D20" s="45" t="inlineStr">
        <is>
          <t>Không nhận quà, hoa hồng từ NCC trái quy định; khai báo xung đột lợi ích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THEO DÕI ĐƠN HÀNG (EXPEDITOR)</t>
        </is>
      </c>
    </row>
    <row r="2">
      <c r="A2" s="3" t="inlineStr">
        <is>
          <t xml:space="preserve">Phòng Mua hàng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Mua hàng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Tỷ lệ đơn hàng về đúng hạn</t>
        </is>
      </c>
      <c r="D10" s="45" t="inlineStr">
        <is>
          <t>Tỷ lệ PO phụ trách được giao đúng hạn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Cảnh báo sớm rủi ro chậm hàng</t>
        </is>
      </c>
      <c r="D11" s="45" t="inlineStr">
        <is>
          <t>Tỷ lệ đơn hàng chậm được cảnh báo trước ≥ 3 ngày cho bộ phận sử dụng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Xử lý hàng thiếu, lỗi, sai quy cách</t>
        </is>
      </c>
      <c r="D12" s="45" t="inlineStr">
        <is>
          <t>Thời gian khiếu nại, đổi trả với NCC; tỷ lệ xử lý dứt điểm trong kỳ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Theo dõi giao nhận &amp; chứng từ</t>
        </is>
      </c>
      <c r="D13" s="45" t="inlineStr">
        <is>
          <t>Biên bản giao nhận, phiếu nhập kho khớp với PO và hóa đơn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Cập nhật trạng thái đơn hàng</t>
        </is>
      </c>
      <c r="D14" s="45" t="inlineStr">
        <is>
          <t>Trạng thái PO trên hệ thống cập nhật hằng ngày, chính xác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trình nhận hàng</t>
        </is>
      </c>
      <c r="D15" s="45" t="inlineStr">
        <is>
          <t>Hàng về có kiểm tra số lượng, chất lượng trước khi nhập kho theo quy trình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Báo cáo tình hình đơn hàng</t>
        </is>
      </c>
      <c r="D16" s="45" t="inlineStr">
        <is>
          <t>Báo cáo đơn hàng tồn đọng, chậm trễ gửi đúng hạn hằng tuần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Đối chiếu công nợ nhà cung cấp</t>
        </is>
      </c>
      <c r="D17" s="45" t="inlineStr">
        <is>
          <t>Biên bản đối chiếu công nợ NCC hoàn thành đúng hạn, chênh lệch được giải trình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Kho, Sản xuất &amp; NCC</t>
        </is>
      </c>
      <c r="D18" s="45" t="inlineStr">
        <is>
          <t>Phản hồi của các bên về thông tin hàng về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giải quyết vướng mắc</t>
        </is>
      </c>
      <c r="D19" s="45" t="inlineStr">
        <is>
          <t>Tự đề xuất phương án thay thế khi NCC chậm hàng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Bám sát đơn hàng gấp, phản hồi nhanh ngoài giờ khi cần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KIỂM SOÁT GIÁ &amp; HỢP ĐỒNG MUA</t>
        </is>
      </c>
    </row>
    <row r="2">
      <c r="A2" s="3" t="inlineStr">
        <is>
          <t xml:space="preserve">Phòng Mua hàng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Mua hàng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Xây dựng &amp; cập nhật giá mục tiêu</t>
        </is>
      </c>
      <c r="D10" s="45" t="inlineStr">
        <is>
          <t>Bảng giá mục tiêu, giá trần các mặt hàng chủ lực cập nhật định kỳ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Phát hiện chênh lệch giá bất thường</t>
        </is>
      </c>
      <c r="D11" s="45" t="inlineStr">
        <is>
          <t>Số trường hợp giá mua vượt giá mục tiêu được phát hiện, giải trình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Rà soát hợp đồng mua</t>
        </is>
      </c>
      <c r="D12" s="45" t="inlineStr">
        <is>
          <t>Tỷ lệ hợp đồng được rà soát điều khoản giá, thanh toán, phạt, bảo hành trước ký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Phân tích chi phí mua (spend analysis)</t>
        </is>
      </c>
      <c r="D13" s="45" t="inlineStr">
        <is>
          <t>Báo cáo phân tích chi mua theo nhóm hàng, NCC; đề xuất gom đơn, đàm phán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Chính xác số liệu kiểm soát</t>
        </is>
      </c>
      <c r="D14" s="45" t="inlineStr">
        <is>
          <t>Số lỗi trong bảng so sánh giá, báo cáo kiểm soát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phân cấp phê duyệt</t>
        </is>
      </c>
      <c r="D15" s="45" t="inlineStr">
        <is>
          <t>Phát hiện và báo cáo 100% đơn hàng duyệt sai thẩm quyền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Quản lý hiệu lực hợp đồng</t>
        </is>
      </c>
      <c r="D16" s="45" t="inlineStr">
        <is>
          <t>Cảnh báo hợp đồng sắp hết hạn trước ≥ 30 ngày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Lưu trữ hồ sơ hợp đồng</t>
        </is>
      </c>
      <c r="D17" s="45" t="inlineStr">
        <is>
          <t>Hợp đồng, phụ lục lưu đầy đủ, tra cứu được ngay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Mua hàng, Kế toán &amp; Pháp chế</t>
        </is>
      </c>
      <c r="D18" s="45" t="inlineStr">
        <is>
          <t>Phản hồi của các bên về chất lượng rà soát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cải tiến kiểm soát</t>
        </is>
      </c>
      <c r="D19" s="45" t="inlineStr">
        <is>
          <t>Số đề xuất cải tiến quy trình kiểm soát giá được áp dụng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Khách quan &amp; bảo mật</t>
        </is>
      </c>
      <c r="D20" s="45" t="inlineStr">
        <is>
          <t>Bảo mật thông tin giá, hợp đồng; đánh giá khách quan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HÀNH CHÍNH – DỮ LIỆU MUA HÀNG</t>
        </is>
      </c>
    </row>
    <row r="2">
      <c r="A2" s="3" t="inlineStr">
        <is>
          <t xml:space="preserve">Phòng Mua hàng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Mua hàng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Lập đơn đặt hàng chính xác</t>
        </is>
      </c>
      <c r="D10" s="45" t="inlineStr">
        <is>
          <t>Số PO lập sai thông tin (mã hàng, giá, số lượng, điều khoản)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Quản lý dữ liệu nhà cung cấp &amp; mặt hàng</t>
        </is>
      </c>
      <c r="D11" s="45" t="inlineStr">
        <is>
          <t>Danh mục NCC, mã hàng trên phần mềm đầy đủ, không trùng lặp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Tổng hợp báo giá</t>
        </is>
      </c>
      <c r="D12" s="45" t="inlineStr">
        <is>
          <t>Bảng so sánh báo giá lập đúng hạn, đúng mẫu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Hỗ trợ đối chiếu chứng từ</t>
        </is>
      </c>
      <c r="D13" s="45" t="inlineStr">
        <is>
          <t>Bộ chứng từ mua hàng (PO, phiếu nhập, hóa đơn) khớp trước khi chuyển Kế toán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Chuyển chứng từ cho Kế toán đúng hạn</t>
        </is>
      </c>
      <c r="D14" s="45" t="inlineStr">
        <is>
          <t>Tỷ lệ bộ chứng từ chuyển trong 03 ngày làm việc kể từ khi nhận hàng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trình lưu trữ</t>
        </is>
      </c>
      <c r="D15" s="45" t="inlineStr">
        <is>
          <t>Hồ sơ mua hàng lưu đúng thư mục, đúng thời hạn lưu trữ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Cập nhật trạng thái thanh toán NCC</t>
        </is>
      </c>
      <c r="D16" s="45" t="inlineStr">
        <is>
          <t>Lịch thanh toán NCC theo dõi chính xác, nhắc hạn kịp thời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định kỳ</t>
        </is>
      </c>
      <c r="D17" s="45" t="inlineStr">
        <is>
          <t>Báo cáo số liệu mua hàng tuần/tháng nộp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nội bộ</t>
        </is>
      </c>
      <c r="D18" s="45" t="inlineStr">
        <is>
          <t>Hỗ trợ các nhân viên mua hàng, Kho, Kế toán kịp thời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cải tiến biểu mẫu</t>
        </is>
      </c>
      <c r="D19" s="45" t="inlineStr">
        <is>
          <t>Số đề xuất cải tiến biểu mẫu, quy trình được áp dụng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 &amp; bảo mật</t>
        </is>
      </c>
      <c r="D20" s="45" t="inlineStr">
        <is>
          <t>Bảo mật giá, thông tin NCC; hoàn thành việc được giao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2026-10-06T10:09:37Z</dcterms:created>
  <dcterms:modified xmlns:dcterms="http://purl.org/dc/terms/" xmlns:xsi="http://www.w3.org/2001/XMLSchema-instance" xsi:type="dcterms:W3CDTF">2026-10-25T09:13:37Z</dcterms:modified>
</cp:coreProperties>
</file>