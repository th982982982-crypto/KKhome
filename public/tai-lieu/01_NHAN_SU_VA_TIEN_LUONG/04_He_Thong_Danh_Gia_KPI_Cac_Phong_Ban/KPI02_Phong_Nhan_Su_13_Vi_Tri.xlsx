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ướng dẫn" sheetId="1" state="visible" r:id="rId1"/>
    <sheet xmlns:r="http://schemas.openxmlformats.org/officeDocument/2006/relationships" name="Tổng hợp" sheetId="2" state="visible" r:id="rId2"/>
    <sheet xmlns:r="http://schemas.openxmlformats.org/officeDocument/2006/relationships" name="So sánh" sheetId="3" state="visible" r:id="rId3"/>
    <sheet xmlns:r="http://schemas.openxmlformats.org/officeDocument/2006/relationships" name="Nguyên tắc chấm" sheetId="4" state="visible" r:id="rId4"/>
    <sheet xmlns:r="http://schemas.openxmlformats.org/officeDocument/2006/relationships" name="01. Trưởng phòng NS" sheetId="5" state="visible" r:id="rId5"/>
    <sheet xmlns:r="http://schemas.openxmlformats.org/officeDocument/2006/relationships" name="02. Phó phòng NS" sheetId="6" state="visible" r:id="rId6"/>
    <sheet xmlns:r="http://schemas.openxmlformats.org/officeDocument/2006/relationships" name="03. HRBP" sheetId="7" state="visible" r:id="rId7"/>
    <sheet xmlns:r="http://schemas.openxmlformats.org/officeDocument/2006/relationships" name="04. Trưởng nhóm TD" sheetId="8" state="visible" r:id="rId8"/>
    <sheet xmlns:r="http://schemas.openxmlformats.org/officeDocument/2006/relationships" name="05. CV Tuyển dụng" sheetId="9" state="visible" r:id="rId9"/>
    <sheet xmlns:r="http://schemas.openxmlformats.org/officeDocument/2006/relationships" name="06. CV Lương-Phúc lợi" sheetId="10" state="visible" r:id="rId10"/>
    <sheet xmlns:r="http://schemas.openxmlformats.org/officeDocument/2006/relationships" name="07. CV BHXH" sheetId="11" state="visible" r:id="rId11"/>
    <sheet xmlns:r="http://schemas.openxmlformats.org/officeDocument/2006/relationships" name="08. CV Đào tạo" sheetId="12" state="visible" r:id="rId12"/>
    <sheet xmlns:r="http://schemas.openxmlformats.org/officeDocument/2006/relationships" name="09. CV Quan hệ LĐ" sheetId="13" state="visible" r:id="rId13"/>
    <sheet xmlns:r="http://schemas.openxmlformats.org/officeDocument/2006/relationships" name="10. CV Văn hóa DN" sheetId="14" state="visible" r:id="rId14"/>
    <sheet xmlns:r="http://schemas.openxmlformats.org/officeDocument/2006/relationships" name="11. CV HRIS" sheetId="15" state="visible" r:id="rId15"/>
    <sheet xmlns:r="http://schemas.openxmlformats.org/officeDocument/2006/relationships" name="12. NV Hành chính NS" sheetId="16" state="visible" r:id="rId16"/>
    <sheet xmlns:r="http://schemas.openxmlformats.org/officeDocument/2006/relationships" name="13. NV NS Junior" sheetId="17" state="visible" r:id="rId17"/>
  </sheets>
  <definedNames>
    <definedName name="_xlnm.Print_Titles" localSheetId="4">'01. Trưởng phòng NS'!$9:$9</definedName>
    <definedName name="_xlnm.Print_Area" localSheetId="4">'01. Trưởng phòng NS'!$A$1:$I$40</definedName>
    <definedName name="_xlnm.Print_Titles" localSheetId="5">'02. Phó phòng NS'!$9:$9</definedName>
    <definedName name="_xlnm.Print_Area" localSheetId="5">'02. Phó phòng NS'!$A$1:$I$40</definedName>
    <definedName name="_xlnm.Print_Titles" localSheetId="6">'03. HRBP'!$9:$9</definedName>
    <definedName name="_xlnm.Print_Area" localSheetId="6">'03. HRBP'!$A$1:$I$40</definedName>
    <definedName name="_xlnm.Print_Titles" localSheetId="7">'04. Trưởng nhóm TD'!$9:$9</definedName>
    <definedName name="_xlnm.Print_Area" localSheetId="7">'04. Trưởng nhóm TD'!$A$1:$I$40</definedName>
    <definedName name="_xlnm.Print_Titles" localSheetId="8">'05. CV Tuyển dụng'!$9:$9</definedName>
    <definedName name="_xlnm.Print_Area" localSheetId="8">'05. CV Tuyển dụng'!$A$1:$I$41</definedName>
    <definedName name="_xlnm.Print_Titles" localSheetId="9">'06. CV Lương-Phúc lợi'!$9:$9</definedName>
    <definedName name="_xlnm.Print_Area" localSheetId="9">'06. CV Lương-Phúc lợi'!$A$1:$I$41</definedName>
    <definedName name="_xlnm.Print_Titles" localSheetId="10">'07. CV BHXH'!$9:$9</definedName>
    <definedName name="_xlnm.Print_Area" localSheetId="10">'07. CV BHXH'!$A$1:$I$40</definedName>
    <definedName name="_xlnm.Print_Titles" localSheetId="11">'08. CV Đào tạo'!$9:$9</definedName>
    <definedName name="_xlnm.Print_Area" localSheetId="11">'08. CV Đào tạo'!$A$1:$I$41</definedName>
    <definedName name="_xlnm.Print_Titles" localSheetId="12">'09. CV Quan hệ LĐ'!$9:$9</definedName>
    <definedName name="_xlnm.Print_Area" localSheetId="12">'09. CV Quan hệ LĐ'!$A$1:$I$40</definedName>
    <definedName name="_xlnm.Print_Titles" localSheetId="13">'10. CV Văn hóa DN'!$9:$9</definedName>
    <definedName name="_xlnm.Print_Area" localSheetId="13">'10. CV Văn hóa DN'!$A$1:$I$40</definedName>
    <definedName name="_xlnm.Print_Titles" localSheetId="14">'11. CV HRIS'!$9:$9</definedName>
    <definedName name="_xlnm.Print_Area" localSheetId="14">'11. CV HRIS'!$A$1:$I$40</definedName>
    <definedName name="_xlnm.Print_Titles" localSheetId="15">'12. NV Hành chính NS'!$9:$9</definedName>
    <definedName name="_xlnm.Print_Area" localSheetId="15">'12. NV Hành chính NS'!$A$1:$I$41</definedName>
    <definedName name="_xlnm.Print_Titles" localSheetId="16">'13. NV NS Junior'!$9:$9</definedName>
    <definedName name="_xlnm.Print_Area" localSheetId="16">'13. NV NS Junior'!$A$1:$I$40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+0.0;-0.0;0.0"/>
    <numFmt numFmtId="166" formatCode="dd/mm/yyyy"/>
  </numFmts>
  <fonts count="1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6B7280"/>
      <sz val="9"/>
    </font>
    <font>
      <name val="Arial"/>
      <b val="1"/>
      <color rgb="00374151"/>
      <sz val="10"/>
    </font>
    <font>
      <name val="Arial"/>
      <color rgb="001D4ED8"/>
      <sz val="10"/>
    </font>
    <font>
      <name val="Arial"/>
      <i val="1"/>
      <color rgb="009CA3AF"/>
      <sz val="8"/>
    </font>
    <font>
      <name val="Arial"/>
      <b val="1"/>
      <color rgb="00FFFFFF"/>
      <sz val="10"/>
    </font>
    <font>
      <name val="Arial"/>
      <color rgb="00111827"/>
      <sz val="10"/>
    </font>
    <font>
      <name val="Arial"/>
      <b val="1"/>
      <color rgb="00111827"/>
      <sz val="10"/>
    </font>
    <font>
      <name val="Arial"/>
      <color rgb="00374151"/>
      <sz val="9"/>
    </font>
    <font>
      <name val="Arial"/>
      <b val="1"/>
      <color rgb="00111827"/>
      <sz val="11"/>
    </font>
    <font>
      <name val="Arial"/>
      <b val="1"/>
      <color rgb="00374151"/>
      <sz val="9"/>
    </font>
    <font>
      <name val="Arial"/>
      <b val="1"/>
      <color rgb="00FFFFFF"/>
      <sz val="11"/>
    </font>
    <font>
      <name val="Arial"/>
      <b val="1"/>
      <color rgb="001D4ED8"/>
      <sz val="10"/>
    </font>
    <font>
      <name val="Arial"/>
      <color rgb="001D4ED8"/>
      <sz val="10"/>
      <u val="single"/>
    </font>
    <font>
      <name val="Arial"/>
      <b val="1"/>
      <color rgb="006B7280"/>
      <sz val="9"/>
    </font>
    <font>
      <name val="Arial"/>
      <b val="1"/>
      <color rgb="00111827"/>
      <sz val="9"/>
    </font>
    <font>
      <name val="Arial"/>
      <color rgb="00111827"/>
      <sz val="9"/>
    </font>
  </fonts>
  <fills count="11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FFF7D6"/>
        <bgColor rgb="00FFF7D6"/>
      </patternFill>
    </fill>
    <fill>
      <patternFill patternType="solid">
        <fgColor rgb="00EEF2FF"/>
        <bgColor rgb="00EEF2FF"/>
      </patternFill>
    </fill>
    <fill>
      <patternFill patternType="solid">
        <fgColor rgb="00F3F4F6"/>
        <bgColor rgb="00F3F4F6"/>
      </patternFill>
    </fill>
    <fill>
      <patternFill patternType="solid">
        <fgColor rgb="00ECFDF5"/>
        <bgColor rgb="00ECFDF5"/>
      </patternFill>
    </fill>
    <fill>
      <patternFill patternType="solid">
        <fgColor rgb="00FFF7ED"/>
        <bgColor rgb="00FFF7ED"/>
      </patternFill>
    </fill>
    <fill>
      <patternFill patternType="solid">
        <fgColor rgb="00E5E7EB"/>
        <bgColor rgb="00E5E7EB"/>
      </patternFill>
    </fill>
    <fill>
      <patternFill patternType="solid">
        <fgColor rgb="00FAFAFA"/>
        <bgColor rgb="00FAFAFA"/>
      </patternFill>
    </fill>
    <fill>
      <patternFill patternType="solid">
        <fgColor rgb="004B5563"/>
        <bgColor rgb="004B5563"/>
      </patternFill>
    </fill>
  </fills>
  <borders count="9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D1D5DB"/>
      </left>
      <right/>
      <top/>
      <bottom/>
      <diagonal/>
    </border>
    <border>
      <left style="thin">
        <color rgb="00D1D5DB"/>
      </left>
      <right style="thin">
        <color rgb="00D1D5DB"/>
      </right>
      <top/>
      <bottom/>
      <diagonal/>
    </border>
    <border>
      <left style="thin">
        <color rgb="00D1D5DB"/>
      </left>
      <right style="thin">
        <color rgb="00D1D5DB"/>
      </right>
      <top/>
      <bottom style="thin">
        <color rgb="00D1D5DB"/>
      </bottom>
      <diagonal/>
    </border>
    <border>
      <left/>
      <right/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/>
      <diagonal/>
    </border>
    <border>
      <left/>
      <right/>
      <top style="thin">
        <color rgb="00D1D5DB"/>
      </top>
      <bottom style="thin">
        <color rgb="00D1D5DB"/>
      </bottom>
      <diagonal/>
    </border>
    <border>
      <left/>
      <right style="thin">
        <color rgb="00D1D5DB"/>
      </right>
      <top style="thin">
        <color rgb="00D1D5DB"/>
      </top>
      <bottom style="thin">
        <color rgb="00D1D5DB"/>
      </bottom>
      <diagonal/>
    </border>
  </borders>
  <cellStyleXfs count="1">
    <xf numFmtId="0" fontId="0" fillId="0" borderId="0"/>
  </cellStyleXfs>
  <cellXfs count="8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12" fillId="2" borderId="0" pivotButton="0" quotePrefix="0" xfId="0"/>
    <xf numFmtId="0" fontId="0" fillId="2" borderId="0" pivotButton="0" quotePrefix="0" xfId="0"/>
    <xf numFmtId="0" fontId="3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center" wrapText="1"/>
    </xf>
    <xf numFmtId="0" fontId="7" fillId="0" borderId="1" pivotButton="0" quotePrefix="0" xfId="0"/>
    <xf numFmtId="0" fontId="13" fillId="0" borderId="1" pivotButton="0" quotePrefix="0" xfId="0"/>
    <xf numFmtId="0" fontId="7" fillId="0" borderId="1" applyAlignment="1" pivotButton="0" quotePrefix="0" xfId="0">
      <alignment horizontal="left" vertical="center" wrapText="1"/>
    </xf>
    <xf numFmtId="0" fontId="8" fillId="5" borderId="1" pivotButton="0" quotePrefix="0" xfId="0"/>
    <xf numFmtId="0" fontId="8" fillId="0" borderId="1" applyAlignment="1" pivotButton="0" quotePrefix="0" xfId="0">
      <alignment horizontal="center" vertical="center" wrapText="1"/>
    </xf>
    <xf numFmtId="0" fontId="14" fillId="0" borderId="1" pivotButton="0" quotePrefix="0" xfId="0"/>
    <xf numFmtId="0" fontId="15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left" vertical="center" wrapText="1"/>
    </xf>
    <xf numFmtId="164" fontId="7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9" fontId="7" fillId="0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14" fillId="9" borderId="1" applyAlignment="1" pivotButton="0" quotePrefix="0" xfId="0">
      <alignment horizontal="left" vertical="center" wrapText="1"/>
    </xf>
    <xf numFmtId="164" fontId="7" fillId="9" borderId="1" applyAlignment="1" pivotButton="0" quotePrefix="0" xfId="0">
      <alignment horizontal="center" vertical="center" wrapText="1"/>
    </xf>
    <xf numFmtId="164" fontId="8" fillId="9" borderId="1" applyAlignment="1" pivotButton="0" quotePrefix="0" xfId="0">
      <alignment horizontal="center" vertical="center" wrapText="1"/>
    </xf>
    <xf numFmtId="165" fontId="7" fillId="9" borderId="1" applyAlignment="1" pivotButton="0" quotePrefix="0" xfId="0">
      <alignment horizontal="center" vertical="center" wrapText="1"/>
    </xf>
    <xf numFmtId="9" fontId="7" fillId="9" borderId="1" applyAlignment="1" pivotButton="0" quotePrefix="0" xfId="0">
      <alignment horizontal="center" vertical="center" wrapText="1"/>
    </xf>
    <xf numFmtId="0" fontId="6" fillId="2" borderId="0" pivotButton="0" quotePrefix="0" xfId="0"/>
    <xf numFmtId="0" fontId="3" fillId="0" borderId="1" pivotButton="0" quotePrefix="0" xfId="0"/>
    <xf numFmtId="1" fontId="8" fillId="5" borderId="1" applyAlignment="1" pivotButton="0" quotePrefix="0" xfId="0">
      <alignment horizontal="center" vertical="center" wrapText="1"/>
    </xf>
    <xf numFmtId="164" fontId="8" fillId="5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left" vertical="center" wrapText="1"/>
    </xf>
    <xf numFmtId="0" fontId="17" fillId="0" borderId="1" applyAlignment="1" pivotButton="0" quotePrefix="0" xfId="0">
      <alignment horizontal="left" vertical="center" wrapText="1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 wrapText="1"/>
    </xf>
    <xf numFmtId="0" fontId="5" fillId="0" borderId="0" pivotButton="0" quotePrefix="0" xfId="0"/>
    <xf numFmtId="166" fontId="4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center" wrapText="1"/>
    </xf>
    <xf numFmtId="9" fontId="4" fillId="0" borderId="1" applyAlignment="1" pivotButton="0" quotePrefix="0" xfId="0">
      <alignment horizontal="center" vertical="center" wrapText="1"/>
    </xf>
    <xf numFmtId="164" fontId="4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9" fontId="8" fillId="8" borderId="1" applyAlignment="1" pivotButton="0" quotePrefix="0" xfId="0">
      <alignment horizontal="center" vertical="center" wrapText="1"/>
    </xf>
    <xf numFmtId="164" fontId="8" fillId="8" borderId="1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pivotButton="0" quotePrefix="0" xfId="0"/>
    <xf numFmtId="164" fontId="10" fillId="5" borderId="1" applyAlignment="1" pivotButton="0" quotePrefix="0" xfId="0">
      <alignment horizontal="center" vertical="center" wrapText="1"/>
    </xf>
    <xf numFmtId="0" fontId="11" fillId="8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center" wrapText="1"/>
    </xf>
    <xf numFmtId="9" fontId="8" fillId="0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 wrapText="1"/>
    </xf>
    <xf numFmtId="0" fontId="0" fillId="3" borderId="1" pivotButton="0" quotePrefix="0" xfId="0"/>
    <xf numFmtId="0" fontId="8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9" borderId="1" applyAlignment="1" pivotButton="0" quotePrefix="0" xfId="0">
      <alignment horizontal="center" vertical="center" wrapText="1"/>
    </xf>
    <xf numFmtId="164" fontId="8" fillId="9" borderId="1" applyAlignment="1" pivotButton="0" quotePrefix="0" xfId="0">
      <alignment horizontal="center" vertical="center" wrapText="1"/>
    </xf>
    <xf numFmtId="165" fontId="7" fillId="9" borderId="1" applyAlignment="1" pivotButton="0" quotePrefix="0" xfId="0">
      <alignment horizontal="center" vertical="center" wrapText="1"/>
    </xf>
    <xf numFmtId="164" fontId="8" fillId="5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166" fontId="4" fillId="3" borderId="1" applyAlignment="1" pivotButton="0" quotePrefix="0" xfId="0">
      <alignment horizontal="center" vertical="center" wrapText="1"/>
    </xf>
    <xf numFmtId="164" fontId="4" fillId="3" borderId="1" applyAlignment="1" pivotButton="0" quotePrefix="0" xfId="0">
      <alignment horizontal="center" vertical="center" wrapText="1"/>
    </xf>
    <xf numFmtId="164" fontId="8" fillId="8" borderId="1" applyAlignment="1" pivotButton="0" quotePrefix="0" xfId="0">
      <alignment horizontal="center" vertical="center" wrapText="1"/>
    </xf>
    <xf numFmtId="164" fontId="10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7">
    <dxf>
      <fill>
        <patternFill patternType="solid">
          <fgColor rgb="00BBF7D0"/>
          <bgColor rgb="00BBF7D0"/>
        </patternFill>
      </fill>
    </dxf>
    <dxf>
      <fill>
        <patternFill patternType="solid">
          <fgColor rgb="00BFDBFE"/>
          <bgColor rgb="00BFDBFE"/>
        </patternFill>
      </fill>
    </dxf>
    <dxf>
      <fill>
        <patternFill patternType="solid">
          <fgColor rgb="00FECACA"/>
          <bgColor rgb="00FECACA"/>
        </patternFill>
      </fill>
    </dxf>
    <dxf>
      <fill>
        <patternFill patternType="solid">
          <fgColor rgb="00FDE68A"/>
          <bgColor rgb="00FDE68A"/>
        </patternFill>
      </fill>
    </dxf>
    <dxf>
      <font>
        <name val="Arial"/>
        <b val="1"/>
        <color rgb="00B91C1C"/>
      </font>
    </dxf>
    <dxf>
      <fill>
        <patternFill patternType="solid">
          <fgColor rgb="00FDBA74"/>
          <bgColor rgb="00FDBA74"/>
        </patternFill>
      </fill>
    </dxf>
    <dxf>
      <font>
        <name val="Arial"/>
        <b val="1"/>
        <color rgb="00B91C1C"/>
      </font>
      <fill>
        <patternFill patternType="solid">
          <fgColor rgb="00FECACA"/>
          <bgColor rgb="00FECAC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Điểm tự đánh giá vs Điểm chính thức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'So sánh'!C4</f>
            </strRef>
          </tx>
          <spPr>
            <a:solidFill xmlns:a="http://schemas.openxmlformats.org/drawingml/2006/main">
              <a:srgbClr val="9CA3AF"/>
            </a:solidFill>
            <a:ln xmlns:a="http://schemas.openxmlformats.org/drawingml/2006/main">
              <a:prstDash val="solid"/>
            </a:ln>
          </spPr>
          <cat>
            <numRef>
              <f>'So sánh'!$B$5:$B$17</f>
            </numRef>
          </cat>
          <val>
            <numRef>
              <f>'So sánh'!$C$5:$C$17</f>
            </numRef>
          </val>
        </ser>
        <ser>
          <idx val="1"/>
          <order val="1"/>
          <tx>
            <strRef>
              <f>'So sánh'!D4</f>
            </strRef>
          </tx>
          <spPr>
            <a:solidFill xmlns:a="http://schemas.openxmlformats.org/drawingml/2006/main">
              <a:srgbClr val="1F2937"/>
            </a:solidFill>
            <a:ln xmlns:a="http://schemas.openxmlformats.org/drawingml/2006/main">
              <a:prstDash val="solid"/>
            </a:ln>
          </spPr>
          <cat>
            <numRef>
              <f>'So sánh'!$B$5:$B$17</f>
            </numRef>
          </cat>
          <val>
            <numRef>
              <f>'So sánh'!$D$5:$D$17</f>
            </numRef>
          </val>
        </ser>
        <gapWidth val="15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Điểm (/100)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Tỷ lệ đạt theo nhóm tiêu chí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'So sánh'!E4</f>
            </strRef>
          </tx>
          <spPr>
            <a:solidFill xmlns:a="http://schemas.openxmlformats.org/drawingml/2006/main">
              <a:srgbClr val="6366F1"/>
            </a:solidFill>
            <a:ln xmlns:a="http://schemas.openxmlformats.org/drawingml/2006/main">
              <a:prstDash val="solid"/>
            </a:ln>
          </spPr>
          <cat>
            <numRef>
              <f>'So sánh'!$B$5:$B$17</f>
            </numRef>
          </cat>
          <val>
            <numRef>
              <f>'So sánh'!$E$5:$E$17</f>
            </numRef>
          </val>
        </ser>
        <ser>
          <idx val="1"/>
          <order val="1"/>
          <tx>
            <strRef>
              <f>'So sánh'!F4</f>
            </strRef>
          </tx>
          <spPr>
            <a:solidFill xmlns:a="http://schemas.openxmlformats.org/drawingml/2006/main">
              <a:srgbClr val="10B981"/>
            </a:solidFill>
            <a:ln xmlns:a="http://schemas.openxmlformats.org/drawingml/2006/main">
              <a:prstDash val="solid"/>
            </a:ln>
          </spPr>
          <cat>
            <numRef>
              <f>'So sánh'!$B$5:$B$17</f>
            </numRef>
          </cat>
          <val>
            <numRef>
              <f>'So sánh'!$F$5:$F$17</f>
            </numRef>
          </val>
        </ser>
        <ser>
          <idx val="2"/>
          <order val="2"/>
          <tx>
            <strRef>
              <f>'So sánh'!G4</f>
            </strRef>
          </tx>
          <spPr>
            <a:solidFill xmlns:a="http://schemas.openxmlformats.org/drawingml/2006/main">
              <a:srgbClr val="F59E0B"/>
            </a:solidFill>
            <a:ln xmlns:a="http://schemas.openxmlformats.org/drawingml/2006/main">
              <a:prstDash val="solid"/>
            </a:ln>
          </spPr>
          <cat>
            <numRef>
              <f>'So sánh'!$B$5:$B$17</f>
            </numRef>
          </cat>
          <val>
            <numRef>
              <f>'So sánh'!$G$5:$G$17</f>
            </numRef>
          </val>
        </ser>
        <gapWidth val="15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/>
        <numFmt formatCode="0%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8</col>
      <colOff>0</colOff>
      <row>3</row>
      <rowOff>0</rowOff>
    </from>
    <ext cx="7920000" cy="5292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34</row>
      <rowOff>0</rowOff>
    </from>
    <ext cx="7920000" cy="5292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01. Tr&#432;&#7903;ng ph&#242;ng NS'!A1" TargetMode="External" Id="rId1"/><Relationship Type="http://schemas.openxmlformats.org/officeDocument/2006/relationships/hyperlink" Target="#'02. Ph&#243; ph&#242;ng NS'!A1" TargetMode="External" Id="rId2"/><Relationship Type="http://schemas.openxmlformats.org/officeDocument/2006/relationships/hyperlink" Target="#'03. HRBP'!A1" TargetMode="External" Id="rId3"/><Relationship Type="http://schemas.openxmlformats.org/officeDocument/2006/relationships/hyperlink" Target="#'04. Tr&#432;&#7903;ng nh&#243;m TD'!A1" TargetMode="External" Id="rId4"/><Relationship Type="http://schemas.openxmlformats.org/officeDocument/2006/relationships/hyperlink" Target="#'05. CV Tuy&#7875;n d&#7909;ng'!A1" TargetMode="External" Id="rId5"/><Relationship Type="http://schemas.openxmlformats.org/officeDocument/2006/relationships/hyperlink" Target="#'06. CV L&#432;&#417;ng-Ph&#250;c l&#7907;i'!A1" TargetMode="External" Id="rId6"/><Relationship Type="http://schemas.openxmlformats.org/officeDocument/2006/relationships/hyperlink" Target="#'07. CV BHXH'!A1" TargetMode="External" Id="rId7"/><Relationship Type="http://schemas.openxmlformats.org/officeDocument/2006/relationships/hyperlink" Target="#'08. CV &#272;&#224;o t&#7841;o'!A1" TargetMode="External" Id="rId8"/><Relationship Type="http://schemas.openxmlformats.org/officeDocument/2006/relationships/hyperlink" Target="#'09. CV Quan h&#7879; L&#272;'!A1" TargetMode="External" Id="rId9"/><Relationship Type="http://schemas.openxmlformats.org/officeDocument/2006/relationships/hyperlink" Target="#'10. CV V&#259;n h&#243;a DN'!A1" TargetMode="External" Id="rId10"/><Relationship Type="http://schemas.openxmlformats.org/officeDocument/2006/relationships/hyperlink" Target="#'11. CV HRIS'!A1" TargetMode="External" Id="rId11"/><Relationship Type="http://schemas.openxmlformats.org/officeDocument/2006/relationships/hyperlink" Target="#'12. NV H&#224;nh ch&#237;nh NS'!A1" TargetMode="External" Id="rId12"/><Relationship Type="http://schemas.openxmlformats.org/officeDocument/2006/relationships/hyperlink" Target="#'13. NV NS Junior'!A1" TargetMode="External" Id="rId13"/></Relationships>
</file>

<file path=xl/worksheets/_rels/sheet2.xml.rels><Relationships xmlns="http://schemas.openxmlformats.org/package/2006/relationships"><Relationship Type="http://schemas.openxmlformats.org/officeDocument/2006/relationships/hyperlink" Target="#'01. Tr&#432;&#7903;ng ph&#242;ng NS'!A1" TargetMode="External" Id="rId1"/><Relationship Type="http://schemas.openxmlformats.org/officeDocument/2006/relationships/hyperlink" Target="#'02. Ph&#243; ph&#242;ng NS'!A1" TargetMode="External" Id="rId2"/><Relationship Type="http://schemas.openxmlformats.org/officeDocument/2006/relationships/hyperlink" Target="#'03. HRBP'!A1" TargetMode="External" Id="rId3"/><Relationship Type="http://schemas.openxmlformats.org/officeDocument/2006/relationships/hyperlink" Target="#'04. Tr&#432;&#7903;ng nh&#243;m TD'!A1" TargetMode="External" Id="rId4"/><Relationship Type="http://schemas.openxmlformats.org/officeDocument/2006/relationships/hyperlink" Target="#'05. CV Tuy&#7875;n d&#7909;ng'!A1" TargetMode="External" Id="rId5"/><Relationship Type="http://schemas.openxmlformats.org/officeDocument/2006/relationships/hyperlink" Target="#'06. CV L&#432;&#417;ng-Ph&#250;c l&#7907;i'!A1" TargetMode="External" Id="rId6"/><Relationship Type="http://schemas.openxmlformats.org/officeDocument/2006/relationships/hyperlink" Target="#'07. CV BHXH'!A1" TargetMode="External" Id="rId7"/><Relationship Type="http://schemas.openxmlformats.org/officeDocument/2006/relationships/hyperlink" Target="#'08. CV &#272;&#224;o t&#7841;o'!A1" TargetMode="External" Id="rId8"/><Relationship Type="http://schemas.openxmlformats.org/officeDocument/2006/relationships/hyperlink" Target="#'09. CV Quan h&#7879; L&#272;'!A1" TargetMode="External" Id="rId9"/><Relationship Type="http://schemas.openxmlformats.org/officeDocument/2006/relationships/hyperlink" Target="#'10. CV V&#259;n h&#243;a DN'!A1" TargetMode="External" Id="rId10"/><Relationship Type="http://schemas.openxmlformats.org/officeDocument/2006/relationships/hyperlink" Target="#'11. CV HRIS'!A1" TargetMode="External" Id="rId11"/><Relationship Type="http://schemas.openxmlformats.org/officeDocument/2006/relationships/hyperlink" Target="#'12. NV H&#224;nh ch&#237;nh NS'!A1" TargetMode="External" Id="rId12"/><Relationship Type="http://schemas.openxmlformats.org/officeDocument/2006/relationships/hyperlink" Target="#'13. NV NS Junior'!A1" TargetMode="External" Id="rId13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F59E0B"/>
    <outlinePr summaryBelow="1" summaryRight="1"/>
    <pageSetUpPr fitToPage="1"/>
  </sheetPr>
  <dimension ref="A1:C39"/>
  <sheetViews>
    <sheetView showGridLines="0" tabSelected="1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90" customWidth="1" min="3" max="3"/>
  </cols>
  <sheetData>
    <row r="1" ht="30" customHeight="1">
      <c r="A1" s="1" t="inlineStr">
        <is>
          <t>KPI PHÒNG NHÂN SỰ – 13 VỊ TRÍ (MÔ HÌNH ĐẦY ĐỦ)</t>
        </is>
      </c>
    </row>
    <row r="2">
      <c r="A2" s="2" t="inlineStr">
        <is>
          <t xml:space="preserve">Phụ lục 02 kèm Quy chế đánh giá KPI · KK HOME · </t>
        </is>
      </c>
    </row>
    <row r="3"/>
    <row r="4">
      <c r="B4" s="3" t="inlineStr">
        <is>
          <t>CÁCH DÙNG – 6 BƯỚC</t>
        </is>
      </c>
    </row>
    <row r="5" ht="18" customHeight="1">
      <c r="B5" s="5" t="inlineStr">
        <is>
          <t>Bước 1</t>
        </is>
      </c>
      <c r="C5" s="6" t="inlineStr">
        <is>
          <t>Chọn sheet đúng vị trí của nhân sự (bấm tên vị trí ở danh mục bên dưới để nhảy tới sheet).</t>
        </is>
      </c>
    </row>
    <row r="6" ht="32" customHeight="1">
      <c r="B6" s="5" t="inlineStr">
        <is>
          <t>Bước 2</t>
        </is>
      </c>
      <c r="C6" s="6" t="inlineStr">
        <is>
          <t>Nhập thông tin đầu sheet: Họ tên, Mã NV, Người đánh giá, Loại kỳ (Tháng/Quý/Năm), Kỳ đánh giá, Ngày đánh giá.</t>
        </is>
      </c>
    </row>
    <row r="7" ht="18" customHeight="1">
      <c r="B7" s="5" t="inlineStr">
        <is>
          <t>Bước 3</t>
        </is>
      </c>
      <c r="C7" s="6" t="inlineStr">
        <is>
          <t>Nhân sự tự chấm điểm cột F "Tự đánh giá" (1–5, được chấm lẻ 3.5).</t>
        </is>
      </c>
    </row>
    <row r="8" ht="32" customHeight="1">
      <c r="B8" s="5" t="inlineStr">
        <is>
          <t>Bước 4</t>
        </is>
      </c>
      <c r="C8" s="6" t="inlineStr">
        <is>
          <t>Quản lý trực tiếp chấm điểm chính thức cột G "Quản lý chấm". Chỉ điểm cột G được dùng để tính điểm quy đổi và xếp loại.</t>
        </is>
      </c>
    </row>
    <row r="9" ht="32" customHeight="1">
      <c r="B9" s="5" t="inlineStr">
        <is>
          <t>Bước 5</t>
        </is>
      </c>
      <c r="C9" s="6" t="inlineStr">
        <is>
          <t>Ghi chú lý do ở cột I khi điểm ≤ 1,5 hoặc = 5. Ô ghi chú tự tô cam nếu thiếu lý do (Điều 12 – Ngoại lệ).</t>
        </is>
      </c>
    </row>
    <row r="10" ht="32" customHeight="1">
      <c r="B10" s="5" t="inlineStr">
        <is>
          <t>Bước 6</t>
        </is>
      </c>
      <c r="C10" s="6" t="inlineStr">
        <is>
          <t>Xem kết quả ở cuối sheet vị trí, sheet "Tổng hợp" (toàn phòng) và "So sánh" (biểu đồ). In, ký và trình phê duyệt.</t>
        </is>
      </c>
    </row>
    <row r="11"/>
    <row r="12">
      <c r="B12" s="3" t="inlineStr">
        <is>
          <t>QUY ƯỚC Ô</t>
        </is>
      </c>
    </row>
    <row r="13">
      <c r="B13" s="7" t="inlineStr">
        <is>
          <t>Ô nền vàng, chữ xanh</t>
        </is>
      </c>
      <c r="C13" s="8" t="inlineStr">
        <is>
          <t>Ô nhập liệu. Chỉ nhập vào các ô này.</t>
        </is>
      </c>
    </row>
    <row r="14" ht="30" customHeight="1">
      <c r="B14" s="9" t="inlineStr">
        <is>
          <t>Trọng số chữ xanh (cột E)</t>
        </is>
      </c>
      <c r="C14" s="10" t="inlineStr">
        <is>
          <t>Được sửa khi có quyết định điều chỉnh (Điều 17). Tổng trọng số mỗi vị trí phải = 100% – ô "Kiểm tra tổng trọng số" báo đỏ nếu sai.</t>
        </is>
      </c>
    </row>
    <row r="15">
      <c r="B15" s="11" t="inlineStr">
        <is>
          <t>Ô nền xám</t>
        </is>
      </c>
      <c r="C15" s="8" t="inlineStr">
        <is>
          <t>Công thức tự tính. Không sửa.</t>
        </is>
      </c>
    </row>
    <row r="16"/>
    <row r="17">
      <c r="B17" s="3" t="inlineStr">
        <is>
          <t>CÔNG THỨC &amp; XẾP LOẠI (Điều 7, Điều 13 Quy chế)</t>
        </is>
      </c>
    </row>
    <row r="18" ht="18" customHeight="1">
      <c r="B18" s="5" t="inlineStr">
        <is>
          <t>Điểm quy đổi</t>
        </is>
      </c>
      <c r="C18" s="6" t="inlineStr">
        <is>
          <t>Điểm quản lý chấm ÷ 5 × Trọng số × 100</t>
        </is>
      </c>
    </row>
    <row r="19" ht="18" customHeight="1">
      <c r="B19" s="5" t="inlineStr">
        <is>
          <t>Tổng điểm</t>
        </is>
      </c>
      <c r="C19" s="6" t="inlineStr">
        <is>
          <t>Cộng điểm quy đổi các tiêu chí (tối đa 100 điểm)</t>
        </is>
      </c>
    </row>
    <row r="20" ht="32" customHeight="1">
      <c r="B20" s="5" t="inlineStr">
        <is>
          <t>Xếp loại</t>
        </is>
      </c>
      <c r="C20" s="6" t="inlineStr">
        <is>
          <t>≥ 80 điểm: Xuất sắc  ·  70 đến dưới 80: Đạt  ·  Dưới 70: Cần cải thiện. Chưa chấm đủ tiêu chí → hiển thị "Chưa chấm đủ".</t>
        </is>
      </c>
    </row>
    <row r="21" ht="32" customHeight="1">
      <c r="B21" s="5" t="inlineStr">
        <is>
          <t>Ví dụ</t>
        </is>
      </c>
      <c r="C21" s="6" t="inlineStr">
        <is>
          <t>Tiêu chí "Độ chính xác bảng lương" trọng số 15%, quản lý chấm 4 → 4 ÷ 5 × 15 = 12,0 điểm. Chấm 3.5 → 10,5 điểm.</t>
        </is>
      </c>
    </row>
    <row r="22" ht="32" customHeight="1">
      <c r="B22" s="5" t="inlineStr">
        <is>
          <t>Cơ cấu nhóm</t>
        </is>
      </c>
      <c r="C22" s="6" t="inlineStr">
        <is>
          <t>Chuyên môn - Nghiệp vụ 40% · Tuân thủ - Thời hạn 35% · Phối hợp - Thái độ 25% (áp dụng cho mọi vị trí trong file).</t>
        </is>
      </c>
    </row>
    <row r="23"/>
    <row r="24">
      <c r="B24" s="3" t="inlineStr">
        <is>
          <t>DANH MỤC 13 VỊ TRÍ</t>
        </is>
      </c>
    </row>
    <row r="25">
      <c r="B25" s="12" t="inlineStr">
        <is>
          <t>01</t>
        </is>
      </c>
      <c r="C25" s="13" t="inlineStr">
        <is>
          <t>Trưởng phòng Nhân sự  (10 tiêu chí)</t>
        </is>
      </c>
    </row>
    <row r="26">
      <c r="B26" s="12" t="inlineStr">
        <is>
          <t>02</t>
        </is>
      </c>
      <c r="C26" s="13" t="inlineStr">
        <is>
          <t>Phó phòng Nhân sự  (10 tiêu chí)</t>
        </is>
      </c>
    </row>
    <row r="27">
      <c r="B27" s="12" t="inlineStr">
        <is>
          <t>03</t>
        </is>
      </c>
      <c r="C27" s="13" t="inlineStr">
        <is>
          <t>Chuyên viên Đối tác nhân sự (HRBP)  (10 tiêu chí)</t>
        </is>
      </c>
    </row>
    <row r="28">
      <c r="B28" s="12" t="inlineStr">
        <is>
          <t>04</t>
        </is>
      </c>
      <c r="C28" s="13" t="inlineStr">
        <is>
          <t>Trưởng nhóm Tuyển dụng  (10 tiêu chí)</t>
        </is>
      </c>
    </row>
    <row r="29">
      <c r="B29" s="12" t="inlineStr">
        <is>
          <t>05</t>
        </is>
      </c>
      <c r="C29" s="13" t="inlineStr">
        <is>
          <t>Chuyên viên Tuyển dụng  (11 tiêu chí)</t>
        </is>
      </c>
    </row>
    <row r="30">
      <c r="B30" s="12" t="inlineStr">
        <is>
          <t>06</t>
        </is>
      </c>
      <c r="C30" s="13" t="inlineStr">
        <is>
          <t>Chuyên viên Lương &amp; Phúc lợi (C&amp;B)  (11 tiêu chí)</t>
        </is>
      </c>
    </row>
    <row r="31">
      <c r="B31" s="12" t="inlineStr">
        <is>
          <t>07</t>
        </is>
      </c>
      <c r="C31" s="13" t="inlineStr">
        <is>
          <t>Chuyên viên BHXH &amp; Chế độ  (10 tiêu chí)</t>
        </is>
      </c>
    </row>
    <row r="32">
      <c r="B32" s="12" t="inlineStr">
        <is>
          <t>08</t>
        </is>
      </c>
      <c r="C32" s="13" t="inlineStr">
        <is>
          <t>Chuyên viên Đào tạo &amp; Phát triển  (11 tiêu chí)</t>
        </is>
      </c>
    </row>
    <row r="33">
      <c r="B33" s="12" t="inlineStr">
        <is>
          <t>09</t>
        </is>
      </c>
      <c r="C33" s="13" t="inlineStr">
        <is>
          <t>Chuyên viên Quan hệ lao động &amp; Hồ sơ nhân sự  (10 tiêu chí)</t>
        </is>
      </c>
    </row>
    <row r="34">
      <c r="B34" s="12" t="inlineStr">
        <is>
          <t>10</t>
        </is>
      </c>
      <c r="C34" s="13" t="inlineStr">
        <is>
          <t>Chuyên viên Văn hóa doanh nghiệp &amp; Truyền thông nội bộ  (10 tiêu chí)</t>
        </is>
      </c>
    </row>
    <row r="35">
      <c r="B35" s="12" t="inlineStr">
        <is>
          <t>11</t>
        </is>
      </c>
      <c r="C35" s="13" t="inlineStr">
        <is>
          <t>Chuyên viên Hệ thống thông tin &amp; Báo cáo nhân sự (HRIS)  (10 tiêu chí)</t>
        </is>
      </c>
    </row>
    <row r="36">
      <c r="B36" s="12" t="inlineStr">
        <is>
          <t>12</t>
        </is>
      </c>
      <c r="C36" s="13" t="inlineStr">
        <is>
          <t>Nhân viên Hành chính nhân sự  (11 tiêu chí)</t>
        </is>
      </c>
    </row>
    <row r="37">
      <c r="B37" s="12" t="inlineStr">
        <is>
          <t>13</t>
        </is>
      </c>
      <c r="C37" s="13" t="inlineStr">
        <is>
          <t>Nhân viên Nhân sự Junior  (10 tiêu chí)</t>
        </is>
      </c>
    </row>
    <row r="38"/>
    <row r="39" ht="30" customHeight="1">
      <c r="B39" s="14" t="inlineStr">
        <is>
          <t>Lưu ý</t>
        </is>
      </c>
      <c r="C39" s="15" t="inlineStr">
        <is>
          <t>Tiêu chí và cách đo là bộ mẫu. Đơn vị điều chỉnh chỉ tiêu định lượng (%, số ngày, số lỗi) theo mục tiêu đã duyệt của từng kỳ trước khi phổ biến cho nhân sự (Điều 4 – Công khai).</t>
        </is>
      </c>
    </row>
  </sheetData>
  <mergeCells count="6">
    <mergeCell ref="B24:C24"/>
    <mergeCell ref="A1:C1"/>
    <mergeCell ref="B17:C17"/>
    <mergeCell ref="B4:C4"/>
    <mergeCell ref="A2:C2"/>
    <mergeCell ref="B12:C12"/>
  </mergeCells>
  <hyperlinks>
    <hyperlink xmlns:r="http://schemas.openxmlformats.org/officeDocument/2006/relationships" ref="C25" r:id="rId1"/>
    <hyperlink xmlns:r="http://schemas.openxmlformats.org/officeDocument/2006/relationships" ref="C26" r:id="rId2"/>
    <hyperlink xmlns:r="http://schemas.openxmlformats.org/officeDocument/2006/relationships" ref="C27" r:id="rId3"/>
    <hyperlink xmlns:r="http://schemas.openxmlformats.org/officeDocument/2006/relationships" ref="C28" r:id="rId4"/>
    <hyperlink xmlns:r="http://schemas.openxmlformats.org/officeDocument/2006/relationships" ref="C29" r:id="rId5"/>
    <hyperlink xmlns:r="http://schemas.openxmlformats.org/officeDocument/2006/relationships" ref="C30" r:id="rId6"/>
    <hyperlink xmlns:r="http://schemas.openxmlformats.org/officeDocument/2006/relationships" ref="C31" r:id="rId7"/>
    <hyperlink xmlns:r="http://schemas.openxmlformats.org/officeDocument/2006/relationships" ref="C32" r:id="rId8"/>
    <hyperlink xmlns:r="http://schemas.openxmlformats.org/officeDocument/2006/relationships" ref="C33" r:id="rId9"/>
    <hyperlink xmlns:r="http://schemas.openxmlformats.org/officeDocument/2006/relationships" ref="C34" r:id="rId10"/>
    <hyperlink xmlns:r="http://schemas.openxmlformats.org/officeDocument/2006/relationships" ref="C35" r:id="rId11"/>
    <hyperlink xmlns:r="http://schemas.openxmlformats.org/officeDocument/2006/relationships" ref="C36" r:id="rId12"/>
    <hyperlink xmlns:r="http://schemas.openxmlformats.org/officeDocument/2006/relationships" ref="C37" r:id="rId13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&amp;L&amp;8 Mr Wick Kiểm toán · taichinhketoanedu.com&amp;R&amp;8 Trang &amp;P/&amp;N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1F2937"/>
    <outlinePr summaryBelow="1" summaryRight="1"/>
    <pageSetUpPr fitToPage="1"/>
  </sheetPr>
  <dimension ref="A1:L26"/>
  <sheetViews>
    <sheetView showGridLines="0" tabSelected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52" customWidth="1" min="2" max="2"/>
    <col width="24" customWidth="1" min="3" max="3"/>
    <col width="16" customWidth="1" min="4" max="4"/>
    <col width="11" customWidth="1" min="5" max="5"/>
    <col width="12" customWidth="1" min="6" max="6"/>
    <col width="13" customWidth="1" min="7" max="7"/>
    <col width="15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30" customHeight="1">
      <c r="A1" s="1" t="inlineStr">
        <is>
          <t>TỔNG HỢP KẾT QUẢ KPI – PHÒNG NHÂN SỰ</t>
        </is>
      </c>
    </row>
    <row r="2">
      <c r="A2" s="2" t="inlineStr">
        <is>
          <t xml:space="preserve">Phụ lục 02 · Tự cập nhật từ các sheet vị trí (Bước 4 – Điều 10) · KK HOME · </t>
        </is>
      </c>
    </row>
    <row r="3"/>
    <row r="4" ht="34" customHeight="1">
      <c r="A4" s="16" t="inlineStr">
        <is>
          <t>STT</t>
        </is>
      </c>
      <c r="B4" s="16" t="inlineStr">
        <is>
          <t>Vị trí</t>
        </is>
      </c>
      <c r="C4" s="16" t="inlineStr">
        <is>
          <t>Họ và tên</t>
        </is>
      </c>
      <c r="D4" s="16" t="inlineStr">
        <is>
          <t>Kỳ đánh giá</t>
        </is>
      </c>
      <c r="E4" s="16" t="inlineStr">
        <is>
          <t>Điểm tự ĐG</t>
        </is>
      </c>
      <c r="F4" s="16" t="inlineStr">
        <is>
          <t>Điểm chính thức</t>
        </is>
      </c>
      <c r="G4" s="16" t="inlineStr">
        <is>
          <t>Chênh lệch
(CT − Tự ĐG)</t>
        </is>
      </c>
      <c r="H4" s="16" t="inlineStr">
        <is>
          <t>Xếp loại</t>
        </is>
      </c>
      <c r="I4" s="16" t="inlineStr">
        <is>
          <t>Chuyên môn
(% đạt)</t>
        </is>
      </c>
      <c r="J4" s="16" t="inlineStr">
        <is>
          <t>Tuân thủ
(% đạt)</t>
        </is>
      </c>
      <c r="K4" s="16" t="inlineStr">
        <is>
          <t>Phối hợp
(% đạt)</t>
        </is>
      </c>
      <c r="L4" s="16" t="inlineStr">
        <is>
          <t>Tiến độ chấm</t>
        </is>
      </c>
    </row>
    <row r="5" ht="20" customHeight="1">
      <c r="A5" s="17" t="n">
        <v>1</v>
      </c>
      <c r="B5" s="18" t="inlineStr">
        <is>
          <t>Trưởng phòng Nhân sự</t>
        </is>
      </c>
      <c r="C5" s="17">
        <f>IF('01. Trưởng phòng NS'!C4="","",'01. Trưởng phòng NS'!C4)</f>
        <v/>
      </c>
      <c r="D5" s="17">
        <f>IF('01. Trưởng phòng NS'!G5="",'01. Trưởng phòng NS'!G4,'01. Trưởng phòng NS'!G5)</f>
        <v/>
      </c>
      <c r="E5" s="67">
        <f>'01. Trưởng phòng NS'!C24</f>
        <v/>
      </c>
      <c r="F5" s="68">
        <f>'01. Trưởng phòng NS'!C23</f>
        <v/>
      </c>
      <c r="G5" s="69">
        <f>IF(E5="","",F5-E5)</f>
        <v/>
      </c>
      <c r="H5" s="17">
        <f>'01. Trưởng phòng NS'!C26</f>
        <v/>
      </c>
      <c r="I5" s="22">
        <f>'01. Trưởng phòng NS'!H24</f>
        <v/>
      </c>
      <c r="J5" s="22">
        <f>'01. Trưởng phòng NS'!H25</f>
        <v/>
      </c>
      <c r="K5" s="22">
        <f>'01. Trưởng phòng NS'!H26</f>
        <v/>
      </c>
      <c r="L5" s="17">
        <f>'01. Trưởng phòng NS'!C25</f>
        <v/>
      </c>
    </row>
    <row r="6" ht="20" customHeight="1">
      <c r="A6" s="23" t="n">
        <v>2</v>
      </c>
      <c r="B6" s="24" t="inlineStr">
        <is>
          <t>Phó phòng Nhân sự</t>
        </is>
      </c>
      <c r="C6" s="23">
        <f>IF('02. Phó phòng NS'!C4="","",'02. Phó phòng NS'!C4)</f>
        <v/>
      </c>
      <c r="D6" s="23">
        <f>IF('02. Phó phòng NS'!G5="",'02. Phó phòng NS'!G4,'02. Phó phòng NS'!G5)</f>
        <v/>
      </c>
      <c r="E6" s="70">
        <f>'02. Phó phòng NS'!C24</f>
        <v/>
      </c>
      <c r="F6" s="71">
        <f>'02. Phó phòng NS'!C23</f>
        <v/>
      </c>
      <c r="G6" s="72">
        <f>IF(E6="","",F6-E6)</f>
        <v/>
      </c>
      <c r="H6" s="17">
        <f>'02. Phó phòng NS'!C26</f>
        <v/>
      </c>
      <c r="I6" s="28">
        <f>'02. Phó phòng NS'!H24</f>
        <v/>
      </c>
      <c r="J6" s="28">
        <f>'02. Phó phòng NS'!H25</f>
        <v/>
      </c>
      <c r="K6" s="28">
        <f>'02. Phó phòng NS'!H26</f>
        <v/>
      </c>
      <c r="L6" s="23">
        <f>'02. Phó phòng NS'!C25</f>
        <v/>
      </c>
    </row>
    <row r="7" ht="20" customHeight="1">
      <c r="A7" s="17" t="n">
        <v>3</v>
      </c>
      <c r="B7" s="18" t="inlineStr">
        <is>
          <t>Chuyên viên Đối tác nhân sự (HRBP)</t>
        </is>
      </c>
      <c r="C7" s="17">
        <f>IF('03. HRBP'!C4="","",'03. HRBP'!C4)</f>
        <v/>
      </c>
      <c r="D7" s="17">
        <f>IF('03. HRBP'!G5="",'03. HRBP'!G4,'03. HRBP'!G5)</f>
        <v/>
      </c>
      <c r="E7" s="67">
        <f>'03. HRBP'!C24</f>
        <v/>
      </c>
      <c r="F7" s="68">
        <f>'03. HRBP'!C23</f>
        <v/>
      </c>
      <c r="G7" s="69">
        <f>IF(E7="","",F7-E7)</f>
        <v/>
      </c>
      <c r="H7" s="17">
        <f>'03. HRBP'!C26</f>
        <v/>
      </c>
      <c r="I7" s="22">
        <f>'03. HRBP'!H24</f>
        <v/>
      </c>
      <c r="J7" s="22">
        <f>'03. HRBP'!H25</f>
        <v/>
      </c>
      <c r="K7" s="22">
        <f>'03. HRBP'!H26</f>
        <v/>
      </c>
      <c r="L7" s="17">
        <f>'03. HRBP'!C25</f>
        <v/>
      </c>
    </row>
    <row r="8" ht="20" customHeight="1">
      <c r="A8" s="23" t="n">
        <v>4</v>
      </c>
      <c r="B8" s="24" t="inlineStr">
        <is>
          <t>Trưởng nhóm Tuyển dụng</t>
        </is>
      </c>
      <c r="C8" s="23">
        <f>IF('04. Trưởng nhóm TD'!C4="","",'04. Trưởng nhóm TD'!C4)</f>
        <v/>
      </c>
      <c r="D8" s="23">
        <f>IF('04. Trưởng nhóm TD'!G5="",'04. Trưởng nhóm TD'!G4,'04. Trưởng nhóm TD'!G5)</f>
        <v/>
      </c>
      <c r="E8" s="70">
        <f>'04. Trưởng nhóm TD'!C24</f>
        <v/>
      </c>
      <c r="F8" s="71">
        <f>'04. Trưởng nhóm TD'!C23</f>
        <v/>
      </c>
      <c r="G8" s="72">
        <f>IF(E8="","",F8-E8)</f>
        <v/>
      </c>
      <c r="H8" s="17">
        <f>'04. Trưởng nhóm TD'!C26</f>
        <v/>
      </c>
      <c r="I8" s="28">
        <f>'04. Trưởng nhóm TD'!H24</f>
        <v/>
      </c>
      <c r="J8" s="28">
        <f>'04. Trưởng nhóm TD'!H25</f>
        <v/>
      </c>
      <c r="K8" s="28">
        <f>'04. Trưởng nhóm TD'!H26</f>
        <v/>
      </c>
      <c r="L8" s="23">
        <f>'04. Trưởng nhóm TD'!C25</f>
        <v/>
      </c>
    </row>
    <row r="9" ht="20" customHeight="1">
      <c r="A9" s="17" t="n">
        <v>5</v>
      </c>
      <c r="B9" s="18" t="inlineStr">
        <is>
          <t>Chuyên viên Tuyển dụng</t>
        </is>
      </c>
      <c r="C9" s="17">
        <f>IF('05. CV Tuyển dụng'!C4="","",'05. CV Tuyển dụng'!C4)</f>
        <v/>
      </c>
      <c r="D9" s="17">
        <f>IF('05. CV Tuyển dụng'!G5="",'05. CV Tuyển dụng'!G4,'05. CV Tuyển dụng'!G5)</f>
        <v/>
      </c>
      <c r="E9" s="67">
        <f>'05. CV Tuyển dụng'!C25</f>
        <v/>
      </c>
      <c r="F9" s="68">
        <f>'05. CV Tuyển dụng'!C24</f>
        <v/>
      </c>
      <c r="G9" s="69">
        <f>IF(E9="","",F9-E9)</f>
        <v/>
      </c>
      <c r="H9" s="17">
        <f>'05. CV Tuyển dụng'!C27</f>
        <v/>
      </c>
      <c r="I9" s="22">
        <f>'05. CV Tuyển dụng'!H25</f>
        <v/>
      </c>
      <c r="J9" s="22">
        <f>'05. CV Tuyển dụng'!H26</f>
        <v/>
      </c>
      <c r="K9" s="22">
        <f>'05. CV Tuyển dụng'!H27</f>
        <v/>
      </c>
      <c r="L9" s="17">
        <f>'05. CV Tuyển dụng'!C26</f>
        <v/>
      </c>
    </row>
    <row r="10" ht="20" customHeight="1">
      <c r="A10" s="23" t="n">
        <v>6</v>
      </c>
      <c r="B10" s="24" t="inlineStr">
        <is>
          <t>Chuyên viên Lương &amp; Phúc lợi (C&amp;B)</t>
        </is>
      </c>
      <c r="C10" s="23">
        <f>IF('06. CV Lương-Phúc lợi'!C4="","",'06. CV Lương-Phúc lợi'!C4)</f>
        <v/>
      </c>
      <c r="D10" s="23">
        <f>IF('06. CV Lương-Phúc lợi'!G5="",'06. CV Lương-Phúc lợi'!G4,'06. CV Lương-Phúc lợi'!G5)</f>
        <v/>
      </c>
      <c r="E10" s="70">
        <f>'06. CV Lương-Phúc lợi'!C25</f>
        <v/>
      </c>
      <c r="F10" s="71">
        <f>'06. CV Lương-Phúc lợi'!C24</f>
        <v/>
      </c>
      <c r="G10" s="72">
        <f>IF(E10="","",F10-E10)</f>
        <v/>
      </c>
      <c r="H10" s="17">
        <f>'06. CV Lương-Phúc lợi'!C27</f>
        <v/>
      </c>
      <c r="I10" s="28">
        <f>'06. CV Lương-Phúc lợi'!H25</f>
        <v/>
      </c>
      <c r="J10" s="28">
        <f>'06. CV Lương-Phúc lợi'!H26</f>
        <v/>
      </c>
      <c r="K10" s="28">
        <f>'06. CV Lương-Phúc lợi'!H27</f>
        <v/>
      </c>
      <c r="L10" s="23">
        <f>'06. CV Lương-Phúc lợi'!C26</f>
        <v/>
      </c>
    </row>
    <row r="11" ht="20" customHeight="1">
      <c r="A11" s="17" t="n">
        <v>7</v>
      </c>
      <c r="B11" s="18" t="inlineStr">
        <is>
          <t>Chuyên viên BHXH &amp; Chế độ</t>
        </is>
      </c>
      <c r="C11" s="17">
        <f>IF('07. CV BHXH'!C4="","",'07. CV BHXH'!C4)</f>
        <v/>
      </c>
      <c r="D11" s="17">
        <f>IF('07. CV BHXH'!G5="",'07. CV BHXH'!G4,'07. CV BHXH'!G5)</f>
        <v/>
      </c>
      <c r="E11" s="67">
        <f>'07. CV BHXH'!C24</f>
        <v/>
      </c>
      <c r="F11" s="68">
        <f>'07. CV BHXH'!C23</f>
        <v/>
      </c>
      <c r="G11" s="69">
        <f>IF(E11="","",F11-E11)</f>
        <v/>
      </c>
      <c r="H11" s="17">
        <f>'07. CV BHXH'!C26</f>
        <v/>
      </c>
      <c r="I11" s="22">
        <f>'07. CV BHXH'!H24</f>
        <v/>
      </c>
      <c r="J11" s="22">
        <f>'07. CV BHXH'!H25</f>
        <v/>
      </c>
      <c r="K11" s="22">
        <f>'07. CV BHXH'!H26</f>
        <v/>
      </c>
      <c r="L11" s="17">
        <f>'07. CV BHXH'!C25</f>
        <v/>
      </c>
    </row>
    <row r="12" ht="20" customHeight="1">
      <c r="A12" s="23" t="n">
        <v>8</v>
      </c>
      <c r="B12" s="24" t="inlineStr">
        <is>
          <t>Chuyên viên Đào tạo &amp; Phát triển</t>
        </is>
      </c>
      <c r="C12" s="23">
        <f>IF('08. CV Đào tạo'!C4="","",'08. CV Đào tạo'!C4)</f>
        <v/>
      </c>
      <c r="D12" s="23">
        <f>IF('08. CV Đào tạo'!G5="",'08. CV Đào tạo'!G4,'08. CV Đào tạo'!G5)</f>
        <v/>
      </c>
      <c r="E12" s="70">
        <f>'08. CV Đào tạo'!C25</f>
        <v/>
      </c>
      <c r="F12" s="71">
        <f>'08. CV Đào tạo'!C24</f>
        <v/>
      </c>
      <c r="G12" s="72">
        <f>IF(E12="","",F12-E12)</f>
        <v/>
      </c>
      <c r="H12" s="17">
        <f>'08. CV Đào tạo'!C27</f>
        <v/>
      </c>
      <c r="I12" s="28">
        <f>'08. CV Đào tạo'!H25</f>
        <v/>
      </c>
      <c r="J12" s="28">
        <f>'08. CV Đào tạo'!H26</f>
        <v/>
      </c>
      <c r="K12" s="28">
        <f>'08. CV Đào tạo'!H27</f>
        <v/>
      </c>
      <c r="L12" s="23">
        <f>'08. CV Đào tạo'!C26</f>
        <v/>
      </c>
    </row>
    <row r="13" ht="20" customHeight="1">
      <c r="A13" s="17" t="n">
        <v>9</v>
      </c>
      <c r="B13" s="18" t="inlineStr">
        <is>
          <t>Chuyên viên Quan hệ lao động &amp; Hồ sơ nhân sự</t>
        </is>
      </c>
      <c r="C13" s="17">
        <f>IF('09. CV Quan hệ LĐ'!C4="","",'09. CV Quan hệ LĐ'!C4)</f>
        <v/>
      </c>
      <c r="D13" s="17">
        <f>IF('09. CV Quan hệ LĐ'!G5="",'09. CV Quan hệ LĐ'!G4,'09. CV Quan hệ LĐ'!G5)</f>
        <v/>
      </c>
      <c r="E13" s="67">
        <f>'09. CV Quan hệ LĐ'!C24</f>
        <v/>
      </c>
      <c r="F13" s="68">
        <f>'09. CV Quan hệ LĐ'!C23</f>
        <v/>
      </c>
      <c r="G13" s="69">
        <f>IF(E13="","",F13-E13)</f>
        <v/>
      </c>
      <c r="H13" s="17">
        <f>'09. CV Quan hệ LĐ'!C26</f>
        <v/>
      </c>
      <c r="I13" s="22">
        <f>'09. CV Quan hệ LĐ'!H24</f>
        <v/>
      </c>
      <c r="J13" s="22">
        <f>'09. CV Quan hệ LĐ'!H25</f>
        <v/>
      </c>
      <c r="K13" s="22">
        <f>'09. CV Quan hệ LĐ'!H26</f>
        <v/>
      </c>
      <c r="L13" s="17">
        <f>'09. CV Quan hệ LĐ'!C25</f>
        <v/>
      </c>
    </row>
    <row r="14" ht="20" customHeight="1">
      <c r="A14" s="23" t="n">
        <v>10</v>
      </c>
      <c r="B14" s="24" t="inlineStr">
        <is>
          <t>Chuyên viên Văn hóa doanh nghiệp &amp; Truyền thông nội bộ</t>
        </is>
      </c>
      <c r="C14" s="23">
        <f>IF('10. CV Văn hóa DN'!C4="","",'10. CV Văn hóa DN'!C4)</f>
        <v/>
      </c>
      <c r="D14" s="23">
        <f>IF('10. CV Văn hóa DN'!G5="",'10. CV Văn hóa DN'!G4,'10. CV Văn hóa DN'!G5)</f>
        <v/>
      </c>
      <c r="E14" s="70">
        <f>'10. CV Văn hóa DN'!C24</f>
        <v/>
      </c>
      <c r="F14" s="71">
        <f>'10. CV Văn hóa DN'!C23</f>
        <v/>
      </c>
      <c r="G14" s="72">
        <f>IF(E14="","",F14-E14)</f>
        <v/>
      </c>
      <c r="H14" s="17">
        <f>'10. CV Văn hóa DN'!C26</f>
        <v/>
      </c>
      <c r="I14" s="28">
        <f>'10. CV Văn hóa DN'!H24</f>
        <v/>
      </c>
      <c r="J14" s="28">
        <f>'10. CV Văn hóa DN'!H25</f>
        <v/>
      </c>
      <c r="K14" s="28">
        <f>'10. CV Văn hóa DN'!H26</f>
        <v/>
      </c>
      <c r="L14" s="23">
        <f>'10. CV Văn hóa DN'!C25</f>
        <v/>
      </c>
    </row>
    <row r="15" ht="20" customHeight="1">
      <c r="A15" s="17" t="n">
        <v>11</v>
      </c>
      <c r="B15" s="18" t="inlineStr">
        <is>
          <t>Chuyên viên Hệ thống thông tin &amp; Báo cáo nhân sự (HRIS)</t>
        </is>
      </c>
      <c r="C15" s="17">
        <f>IF('11. CV HRIS'!C4="","",'11. CV HRIS'!C4)</f>
        <v/>
      </c>
      <c r="D15" s="17">
        <f>IF('11. CV HRIS'!G5="",'11. CV HRIS'!G4,'11. CV HRIS'!G5)</f>
        <v/>
      </c>
      <c r="E15" s="67">
        <f>'11. CV HRIS'!C24</f>
        <v/>
      </c>
      <c r="F15" s="68">
        <f>'11. CV HRIS'!C23</f>
        <v/>
      </c>
      <c r="G15" s="69">
        <f>IF(E15="","",F15-E15)</f>
        <v/>
      </c>
      <c r="H15" s="17">
        <f>'11. CV HRIS'!C26</f>
        <v/>
      </c>
      <c r="I15" s="22">
        <f>'11. CV HRIS'!H24</f>
        <v/>
      </c>
      <c r="J15" s="22">
        <f>'11. CV HRIS'!H25</f>
        <v/>
      </c>
      <c r="K15" s="22">
        <f>'11. CV HRIS'!H26</f>
        <v/>
      </c>
      <c r="L15" s="17">
        <f>'11. CV HRIS'!C25</f>
        <v/>
      </c>
    </row>
    <row r="16" ht="20" customHeight="1">
      <c r="A16" s="23" t="n">
        <v>12</v>
      </c>
      <c r="B16" s="24" t="inlineStr">
        <is>
          <t>Nhân viên Hành chính nhân sự</t>
        </is>
      </c>
      <c r="C16" s="23">
        <f>IF('12. NV Hành chính NS'!C4="","",'12. NV Hành chính NS'!C4)</f>
        <v/>
      </c>
      <c r="D16" s="23">
        <f>IF('12. NV Hành chính NS'!G5="",'12. NV Hành chính NS'!G4,'12. NV Hành chính NS'!G5)</f>
        <v/>
      </c>
      <c r="E16" s="70">
        <f>'12. NV Hành chính NS'!C25</f>
        <v/>
      </c>
      <c r="F16" s="71">
        <f>'12. NV Hành chính NS'!C24</f>
        <v/>
      </c>
      <c r="G16" s="72">
        <f>IF(E16="","",F16-E16)</f>
        <v/>
      </c>
      <c r="H16" s="17">
        <f>'12. NV Hành chính NS'!C27</f>
        <v/>
      </c>
      <c r="I16" s="28">
        <f>'12. NV Hành chính NS'!H25</f>
        <v/>
      </c>
      <c r="J16" s="28">
        <f>'12. NV Hành chính NS'!H26</f>
        <v/>
      </c>
      <c r="K16" s="28">
        <f>'12. NV Hành chính NS'!H27</f>
        <v/>
      </c>
      <c r="L16" s="23">
        <f>'12. NV Hành chính NS'!C26</f>
        <v/>
      </c>
    </row>
    <row r="17" ht="20" customHeight="1">
      <c r="A17" s="17" t="n">
        <v>13</v>
      </c>
      <c r="B17" s="18" t="inlineStr">
        <is>
          <t>Nhân viên Nhân sự Junior</t>
        </is>
      </c>
      <c r="C17" s="17">
        <f>IF('13. NV NS Junior'!C4="","",'13. NV NS Junior'!C4)</f>
        <v/>
      </c>
      <c r="D17" s="17">
        <f>IF('13. NV NS Junior'!G5="",'13. NV NS Junior'!G4,'13. NV NS Junior'!G5)</f>
        <v/>
      </c>
      <c r="E17" s="67">
        <f>'13. NV NS Junior'!C24</f>
        <v/>
      </c>
      <c r="F17" s="68">
        <f>'13. NV NS Junior'!C23</f>
        <v/>
      </c>
      <c r="G17" s="69">
        <f>IF(E17="","",F17-E17)</f>
        <v/>
      </c>
      <c r="H17" s="17">
        <f>'13. NV NS Junior'!C26</f>
        <v/>
      </c>
      <c r="I17" s="22">
        <f>'13. NV NS Junior'!H24</f>
        <v/>
      </c>
      <c r="J17" s="22">
        <f>'13. NV NS Junior'!H25</f>
        <v/>
      </c>
      <c r="K17" s="22">
        <f>'13. NV NS Junior'!H26</f>
        <v/>
      </c>
      <c r="L17" s="17">
        <f>'13. NV NS Junior'!C25</f>
        <v/>
      </c>
    </row>
    <row r="18"/>
    <row r="19">
      <c r="B19" s="29" t="inlineStr">
        <is>
          <t>THỐNG KÊ TOÀN PHÒNG</t>
        </is>
      </c>
    </row>
    <row r="20">
      <c r="B20" s="30" t="inlineStr">
        <is>
          <t>Số vị trí xếp loại Xuất sắc</t>
        </is>
      </c>
      <c r="C20" s="31">
        <f>COUNTIF(H5:H17,"Xuất sắc")</f>
        <v/>
      </c>
    </row>
    <row r="21">
      <c r="B21" s="30" t="inlineStr">
        <is>
          <t>Số vị trí xếp loại Đạt</t>
        </is>
      </c>
      <c r="C21" s="31">
        <f>COUNTIF(H5:H17,"Đạt")</f>
        <v/>
      </c>
    </row>
    <row r="22">
      <c r="B22" s="30" t="inlineStr">
        <is>
          <t>Số vị trí xếp loại Cần cải thiện</t>
        </is>
      </c>
      <c r="C22" s="31">
        <f>COUNTIF(H5:H17,"Cần cải thiện")</f>
        <v/>
      </c>
    </row>
    <row r="23">
      <c r="B23" s="30" t="inlineStr">
        <is>
          <t>Số vị trí chưa chấm / chưa chấm đủ</t>
        </is>
      </c>
      <c r="C23" s="31">
        <f>COUNTIF(H5:H17,"Chưa chấm")+COUNTIF(H5:H17,"Chưa chấm đủ")</f>
        <v/>
      </c>
    </row>
    <row r="24">
      <c r="B24" s="30" t="inlineStr">
        <is>
          <t>Điểm bình quân phòng (vị trí đã chấm đủ)</t>
        </is>
      </c>
      <c r="C24" s="73">
        <f>IFERROR(AVERAGEIFS(F5:F17,H5:H17,"&lt;&gt;Chưa chấm",H5:H17,"&lt;&gt;Chưa chấm đủ"),"")</f>
        <v/>
      </c>
    </row>
    <row r="25"/>
    <row r="26" ht="28" customHeight="1">
      <c r="B26" s="15" t="inlineStr">
        <is>
          <t>Chênh lệch tô đỏ khi điểm chính thức lệch điểm tự đánh giá từ 10 điểm trở lên – nên trao đổi kỹ ở Bước 5. Nhân sự "Cần cải thiện" từ 02 kỳ liên tiếp trở lên thuộc diện đào tạo, kèm cặp (Điều 14).</t>
        </is>
      </c>
    </row>
  </sheetData>
  <mergeCells count="4">
    <mergeCell ref="B26:L26"/>
    <mergeCell ref="A2:L2"/>
    <mergeCell ref="B19:C19"/>
    <mergeCell ref="A1:L1"/>
  </mergeCells>
  <conditionalFormatting sqref="H5:H17">
    <cfRule type="expression" priority="1" dxfId="0">
      <formula>H5="Xuất sắc"</formula>
    </cfRule>
    <cfRule type="expression" priority="2" dxfId="1">
      <formula>H5="Đạt"</formula>
    </cfRule>
    <cfRule type="expression" priority="3" dxfId="2">
      <formula>H5="Cần cải thiện"</formula>
    </cfRule>
    <cfRule type="expression" priority="4" dxfId="3">
      <formula>H5="Chưa chấm đủ"</formula>
    </cfRule>
  </conditionalFormatting>
  <conditionalFormatting sqref="G5:G17">
    <cfRule type="expression" priority="5" dxfId="4">
      <formula>AND(ISNUMBER(G5),ABS(G5)&gt;=10)</formula>
    </cfRule>
  </conditionalFormatting>
  <hyperlinks>
    <hyperlink xmlns:r="http://schemas.openxmlformats.org/officeDocument/2006/relationships" ref="B5" r:id="rId1"/>
    <hyperlink xmlns:r="http://schemas.openxmlformats.org/officeDocument/2006/relationships" ref="B6" r:id="rId2"/>
    <hyperlink xmlns:r="http://schemas.openxmlformats.org/officeDocument/2006/relationships" ref="B7" r:id="rId3"/>
    <hyperlink xmlns:r="http://schemas.openxmlformats.org/officeDocument/2006/relationships" ref="B8" r:id="rId4"/>
    <hyperlink xmlns:r="http://schemas.openxmlformats.org/officeDocument/2006/relationships" ref="B9" r:id="rId5"/>
    <hyperlink xmlns:r="http://schemas.openxmlformats.org/officeDocument/2006/relationships" ref="B10" r:id="rId6"/>
    <hyperlink xmlns:r="http://schemas.openxmlformats.org/officeDocument/2006/relationships" ref="B11" r:id="rId7"/>
    <hyperlink xmlns:r="http://schemas.openxmlformats.org/officeDocument/2006/relationships" ref="B12" r:id="rId8"/>
    <hyperlink xmlns:r="http://schemas.openxmlformats.org/officeDocument/2006/relationships" ref="B13" r:id="rId9"/>
    <hyperlink xmlns:r="http://schemas.openxmlformats.org/officeDocument/2006/relationships" ref="B14" r:id="rId10"/>
    <hyperlink xmlns:r="http://schemas.openxmlformats.org/officeDocument/2006/relationships" ref="B15" r:id="rId11"/>
    <hyperlink xmlns:r="http://schemas.openxmlformats.org/officeDocument/2006/relationships" ref="B16" r:id="rId12"/>
    <hyperlink xmlns:r="http://schemas.openxmlformats.org/officeDocument/2006/relationships" ref="B17" r:id="rId13"/>
  </hyperlinks>
  <printOptions horizontalCentered="1"/>
  <pageMargins left="0.4" right="0.4" top="1" bottom="1" header="0.5" footer="0.5"/>
  <pageSetup orientation="landscape" paperSize="9" fitToHeight="0" fitToWidth="1"/>
  <headerFooter>
    <oddHeader/>
    <oddFooter>&amp;L&amp;8 Mr Wick Kiểm toán · taichinhketoanedu.com&amp;R&amp;8 Trang &amp;P/&amp;N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1F2937"/>
    <outlinePr summaryBelow="1" summaryRight="1"/>
    <pageSetUpPr fitToPage="1"/>
  </sheetPr>
  <dimension ref="A1:G17"/>
  <sheetViews>
    <sheetView showGridLines="0" tabSelected="0" workbookViewId="0">
      <selection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13" customWidth="1" min="4" max="4"/>
    <col width="12" customWidth="1" min="5" max="5"/>
    <col width="12" customWidth="1" min="6" max="6"/>
    <col width="12" customWidth="1" min="7" max="7"/>
  </cols>
  <sheetData>
    <row r="1" ht="30" customHeight="1">
      <c r="A1" s="1" t="inlineStr">
        <is>
          <t>SO SÁNH KẾT QUẢ GIỮA CÁC VỊ TRÍ</t>
        </is>
      </c>
    </row>
    <row r="2">
      <c r="A2" s="2" t="inlineStr">
        <is>
          <t xml:space="preserve">Phụ lục 02 · Dữ liệu lấy từ sheet Tổng hợp · KK HOME · </t>
        </is>
      </c>
    </row>
    <row r="3"/>
    <row r="4" ht="28" customHeight="1">
      <c r="A4" s="16" t="inlineStr">
        <is>
          <t>STT</t>
        </is>
      </c>
      <c r="B4" s="16" t="inlineStr">
        <is>
          <t>Vị trí</t>
        </is>
      </c>
      <c r="C4" s="16" t="inlineStr">
        <is>
          <t>Điểm tự ĐG</t>
        </is>
      </c>
      <c r="D4" s="16" t="inlineStr">
        <is>
          <t>Điểm chính thức</t>
        </is>
      </c>
      <c r="E4" s="16" t="inlineStr">
        <is>
          <t>Chuyên môn</t>
        </is>
      </c>
      <c r="F4" s="16" t="inlineStr">
        <is>
          <t>Tuân thủ</t>
        </is>
      </c>
      <c r="G4" s="16" t="inlineStr">
        <is>
          <t>Phối hợp</t>
        </is>
      </c>
    </row>
    <row r="5">
      <c r="A5" s="17" t="n">
        <v>1</v>
      </c>
      <c r="B5" s="10">
        <f>'Tổng hợp'!B5</f>
        <v/>
      </c>
      <c r="C5" s="67">
        <f>IF('Tổng hợp'!E5="",0,'Tổng hợp'!E5)</f>
        <v/>
      </c>
      <c r="D5" s="67">
        <f>'Tổng hợp'!F5</f>
        <v/>
      </c>
      <c r="E5" s="22">
        <f>'Tổng hợp'!I5</f>
        <v/>
      </c>
      <c r="F5" s="22">
        <f>'Tổng hợp'!J5</f>
        <v/>
      </c>
      <c r="G5" s="22">
        <f>'Tổng hợp'!K5</f>
        <v/>
      </c>
    </row>
    <row r="6">
      <c r="A6" s="17" t="n">
        <v>2</v>
      </c>
      <c r="B6" s="10">
        <f>'Tổng hợp'!B6</f>
        <v/>
      </c>
      <c r="C6" s="67">
        <f>IF('Tổng hợp'!E6="",0,'Tổng hợp'!E6)</f>
        <v/>
      </c>
      <c r="D6" s="67">
        <f>'Tổng hợp'!F6</f>
        <v/>
      </c>
      <c r="E6" s="22">
        <f>'Tổng hợp'!I6</f>
        <v/>
      </c>
      <c r="F6" s="22">
        <f>'Tổng hợp'!J6</f>
        <v/>
      </c>
      <c r="G6" s="22">
        <f>'Tổng hợp'!K6</f>
        <v/>
      </c>
    </row>
    <row r="7">
      <c r="A7" s="17" t="n">
        <v>3</v>
      </c>
      <c r="B7" s="10">
        <f>'Tổng hợp'!B7</f>
        <v/>
      </c>
      <c r="C7" s="67">
        <f>IF('Tổng hợp'!E7="",0,'Tổng hợp'!E7)</f>
        <v/>
      </c>
      <c r="D7" s="67">
        <f>'Tổng hợp'!F7</f>
        <v/>
      </c>
      <c r="E7" s="22">
        <f>'Tổng hợp'!I7</f>
        <v/>
      </c>
      <c r="F7" s="22">
        <f>'Tổng hợp'!J7</f>
        <v/>
      </c>
      <c r="G7" s="22">
        <f>'Tổng hợp'!K7</f>
        <v/>
      </c>
    </row>
    <row r="8">
      <c r="A8" s="17" t="n">
        <v>4</v>
      </c>
      <c r="B8" s="10">
        <f>'Tổng hợp'!B8</f>
        <v/>
      </c>
      <c r="C8" s="67">
        <f>IF('Tổng hợp'!E8="",0,'Tổng hợp'!E8)</f>
        <v/>
      </c>
      <c r="D8" s="67">
        <f>'Tổng hợp'!F8</f>
        <v/>
      </c>
      <c r="E8" s="22">
        <f>'Tổng hợp'!I8</f>
        <v/>
      </c>
      <c r="F8" s="22">
        <f>'Tổng hợp'!J8</f>
        <v/>
      </c>
      <c r="G8" s="22">
        <f>'Tổng hợp'!K8</f>
        <v/>
      </c>
    </row>
    <row r="9">
      <c r="A9" s="17" t="n">
        <v>5</v>
      </c>
      <c r="B9" s="10">
        <f>'Tổng hợp'!B9</f>
        <v/>
      </c>
      <c r="C9" s="67">
        <f>IF('Tổng hợp'!E9="",0,'Tổng hợp'!E9)</f>
        <v/>
      </c>
      <c r="D9" s="67">
        <f>'Tổng hợp'!F9</f>
        <v/>
      </c>
      <c r="E9" s="22">
        <f>'Tổng hợp'!I9</f>
        <v/>
      </c>
      <c r="F9" s="22">
        <f>'Tổng hợp'!J9</f>
        <v/>
      </c>
      <c r="G9" s="22">
        <f>'Tổng hợp'!K9</f>
        <v/>
      </c>
    </row>
    <row r="10">
      <c r="A10" s="17" t="n">
        <v>6</v>
      </c>
      <c r="B10" s="10">
        <f>'Tổng hợp'!B10</f>
        <v/>
      </c>
      <c r="C10" s="67">
        <f>IF('Tổng hợp'!E10="",0,'Tổng hợp'!E10)</f>
        <v/>
      </c>
      <c r="D10" s="67">
        <f>'Tổng hợp'!F10</f>
        <v/>
      </c>
      <c r="E10" s="22">
        <f>'Tổng hợp'!I10</f>
        <v/>
      </c>
      <c r="F10" s="22">
        <f>'Tổng hợp'!J10</f>
        <v/>
      </c>
      <c r="G10" s="22">
        <f>'Tổng hợp'!K10</f>
        <v/>
      </c>
    </row>
    <row r="11">
      <c r="A11" s="17" t="n">
        <v>7</v>
      </c>
      <c r="B11" s="10">
        <f>'Tổng hợp'!B11</f>
        <v/>
      </c>
      <c r="C11" s="67">
        <f>IF('Tổng hợp'!E11="",0,'Tổng hợp'!E11)</f>
        <v/>
      </c>
      <c r="D11" s="67">
        <f>'Tổng hợp'!F11</f>
        <v/>
      </c>
      <c r="E11" s="22">
        <f>'Tổng hợp'!I11</f>
        <v/>
      </c>
      <c r="F11" s="22">
        <f>'Tổng hợp'!J11</f>
        <v/>
      </c>
      <c r="G11" s="22">
        <f>'Tổng hợp'!K11</f>
        <v/>
      </c>
    </row>
    <row r="12">
      <c r="A12" s="17" t="n">
        <v>8</v>
      </c>
      <c r="B12" s="10">
        <f>'Tổng hợp'!B12</f>
        <v/>
      </c>
      <c r="C12" s="67">
        <f>IF('Tổng hợp'!E12="",0,'Tổng hợp'!E12)</f>
        <v/>
      </c>
      <c r="D12" s="67">
        <f>'Tổng hợp'!F12</f>
        <v/>
      </c>
      <c r="E12" s="22">
        <f>'Tổng hợp'!I12</f>
        <v/>
      </c>
      <c r="F12" s="22">
        <f>'Tổng hợp'!J12</f>
        <v/>
      </c>
      <c r="G12" s="22">
        <f>'Tổng hợp'!K12</f>
        <v/>
      </c>
    </row>
    <row r="13">
      <c r="A13" s="17" t="n">
        <v>9</v>
      </c>
      <c r="B13" s="10">
        <f>'Tổng hợp'!B13</f>
        <v/>
      </c>
      <c r="C13" s="67">
        <f>IF('Tổng hợp'!E13="",0,'Tổng hợp'!E13)</f>
        <v/>
      </c>
      <c r="D13" s="67">
        <f>'Tổng hợp'!F13</f>
        <v/>
      </c>
      <c r="E13" s="22">
        <f>'Tổng hợp'!I13</f>
        <v/>
      </c>
      <c r="F13" s="22">
        <f>'Tổng hợp'!J13</f>
        <v/>
      </c>
      <c r="G13" s="22">
        <f>'Tổng hợp'!K13</f>
        <v/>
      </c>
    </row>
    <row r="14">
      <c r="A14" s="17" t="n">
        <v>10</v>
      </c>
      <c r="B14" s="10">
        <f>'Tổng hợp'!B14</f>
        <v/>
      </c>
      <c r="C14" s="67">
        <f>IF('Tổng hợp'!E14="",0,'Tổng hợp'!E14)</f>
        <v/>
      </c>
      <c r="D14" s="67">
        <f>'Tổng hợp'!F14</f>
        <v/>
      </c>
      <c r="E14" s="22">
        <f>'Tổng hợp'!I14</f>
        <v/>
      </c>
      <c r="F14" s="22">
        <f>'Tổng hợp'!J14</f>
        <v/>
      </c>
      <c r="G14" s="22">
        <f>'Tổng hợp'!K14</f>
        <v/>
      </c>
    </row>
    <row r="15">
      <c r="A15" s="17" t="n">
        <v>11</v>
      </c>
      <c r="B15" s="10">
        <f>'Tổng hợp'!B15</f>
        <v/>
      </c>
      <c r="C15" s="67">
        <f>IF('Tổng hợp'!E15="",0,'Tổng hợp'!E15)</f>
        <v/>
      </c>
      <c r="D15" s="67">
        <f>'Tổng hợp'!F15</f>
        <v/>
      </c>
      <c r="E15" s="22">
        <f>'Tổng hợp'!I15</f>
        <v/>
      </c>
      <c r="F15" s="22">
        <f>'Tổng hợp'!J15</f>
        <v/>
      </c>
      <c r="G15" s="22">
        <f>'Tổng hợp'!K15</f>
        <v/>
      </c>
    </row>
    <row r="16">
      <c r="A16" s="17" t="n">
        <v>12</v>
      </c>
      <c r="B16" s="10">
        <f>'Tổng hợp'!B16</f>
        <v/>
      </c>
      <c r="C16" s="67">
        <f>IF('Tổng hợp'!E16="",0,'Tổng hợp'!E16)</f>
        <v/>
      </c>
      <c r="D16" s="67">
        <f>'Tổng hợp'!F16</f>
        <v/>
      </c>
      <c r="E16" s="22">
        <f>'Tổng hợp'!I16</f>
        <v/>
      </c>
      <c r="F16" s="22">
        <f>'Tổng hợp'!J16</f>
        <v/>
      </c>
      <c r="G16" s="22">
        <f>'Tổng hợp'!K16</f>
        <v/>
      </c>
    </row>
    <row r="17">
      <c r="A17" s="17" t="n">
        <v>13</v>
      </c>
      <c r="B17" s="10">
        <f>'Tổng hợp'!B17</f>
        <v/>
      </c>
      <c r="C17" s="67">
        <f>IF('Tổng hợp'!E17="",0,'Tổng hợp'!E17)</f>
        <v/>
      </c>
      <c r="D17" s="67">
        <f>'Tổng hợp'!F17</f>
        <v/>
      </c>
      <c r="E17" s="22">
        <f>'Tổng hợp'!I17</f>
        <v/>
      </c>
      <c r="F17" s="22">
        <f>'Tổng hợp'!J17</f>
        <v/>
      </c>
      <c r="G17" s="22">
        <f>'Tổng hợp'!K17</f>
        <v/>
      </c>
    </row>
  </sheetData>
  <mergeCells count="2">
    <mergeCell ref="A2:G2"/>
    <mergeCell ref="A1:G1"/>
  </mergeCells>
  <printOptions horizontalCentered="1"/>
  <pageMargins left="0.4" right="0.4" top="1" bottom="1" header="0.5" footer="0.5"/>
  <pageSetup orientation="landscape" paperSize="9" fitToHeight="0" fitToWidth="1"/>
  <headerFooter>
    <oddHeader/>
    <oddFooter>&amp;L&amp;8 Mr Wick Kiểm toán · taichinhketoanedu.com&amp;R&amp;8 Trang &amp;P/&amp;N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6B7280"/>
    <outlinePr summaryBelow="1" summaryRight="1"/>
    <pageSetUpPr fitToPage="1"/>
  </sheetPr>
  <dimension ref="A1:G43"/>
  <sheetViews>
    <sheetView showGridLines="0" tabSelected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30" customHeight="1">
      <c r="A1" s="1" t="inlineStr">
        <is>
          <t>NGUYÊN TẮC CHẤM ĐIỂM KPI</t>
        </is>
      </c>
    </row>
    <row r="2">
      <c r="A2" s="2" t="inlineStr">
        <is>
          <t xml:space="preserve">Phụ lục 02 · Căn cứ Điều 4, 6, 7, 10, 12, 13 Quy chế · KK HOME · </t>
        </is>
      </c>
    </row>
    <row r="3"/>
    <row r="4">
      <c r="B4" s="3" t="inlineStr">
        <is>
          <t>1. THANG ĐIỂM 1–5 (Điều 6)</t>
        </is>
      </c>
    </row>
    <row r="5" ht="20" customHeight="1">
      <c r="B5" s="33" t="inlineStr">
        <is>
          <t>Điểm</t>
        </is>
      </c>
      <c r="C5" s="33" t="inlineStr">
        <is>
          <t>Xếp hạng</t>
        </is>
      </c>
      <c r="D5" s="33" t="inlineStr">
        <is>
          <t>Diễn giải</t>
        </is>
      </c>
      <c r="E5" s="74" t="n"/>
      <c r="F5" s="74" t="n"/>
      <c r="G5" s="75" t="n"/>
    </row>
    <row r="6" ht="20" customHeight="1">
      <c r="B6" s="34" t="n">
        <v>5</v>
      </c>
      <c r="C6" s="35" t="inlineStr">
        <is>
          <t>Tuyệt vời</t>
        </is>
      </c>
      <c r="D6" s="35" t="inlineStr">
        <is>
          <t>Hoàn thành xuất sắc, vượt mong đợi, tự giác và chủ động</t>
        </is>
      </c>
      <c r="E6" s="74" t="n"/>
      <c r="F6" s="74" t="n"/>
      <c r="G6" s="75" t="n"/>
    </row>
    <row r="7" ht="20" customHeight="1">
      <c r="B7" s="34" t="n">
        <v>4</v>
      </c>
      <c r="C7" s="35" t="inlineStr">
        <is>
          <t>Tốt</t>
        </is>
      </c>
      <c r="D7" s="35" t="inlineStr">
        <is>
          <t>Hoàn thành tốt, đạt hoặc vượt mục tiêu đề ra</t>
        </is>
      </c>
      <c r="E7" s="74" t="n"/>
      <c r="F7" s="74" t="n"/>
      <c r="G7" s="75" t="n"/>
    </row>
    <row r="8" ht="20" customHeight="1">
      <c r="B8" s="34" t="n">
        <v>3</v>
      </c>
      <c r="C8" s="35" t="inlineStr">
        <is>
          <t>Bình thường</t>
        </is>
      </c>
      <c r="D8" s="35" t="inlineStr">
        <is>
          <t>Đáp ứng đủ yêu cầu cơ bản</t>
        </is>
      </c>
      <c r="E8" s="74" t="n"/>
      <c r="F8" s="74" t="n"/>
      <c r="G8" s="75" t="n"/>
    </row>
    <row r="9" ht="20" customHeight="1">
      <c r="B9" s="34" t="n">
        <v>2</v>
      </c>
      <c r="C9" s="35" t="inlineStr">
        <is>
          <t>Chưa đạt</t>
        </is>
      </c>
      <c r="D9" s="35" t="inlineStr">
        <is>
          <t>Chưa hoàn thành tốt, có lỗi nhỏ, cần cải thiện</t>
        </is>
      </c>
      <c r="E9" s="74" t="n"/>
      <c r="F9" s="74" t="n"/>
      <c r="G9" s="75" t="n"/>
    </row>
    <row r="10" ht="20" customHeight="1">
      <c r="B10" s="34" t="n">
        <v>1</v>
      </c>
      <c r="C10" s="35" t="inlineStr">
        <is>
          <t>Kém</t>
        </is>
      </c>
      <c r="D10" s="35" t="inlineStr">
        <is>
          <t>Chưa hoàn thành, cần hỗ trợ nhiều, sai sót lớn</t>
        </is>
      </c>
      <c r="E10" s="74" t="n"/>
      <c r="F10" s="74" t="n"/>
      <c r="G10" s="75" t="n"/>
    </row>
    <row r="11">
      <c r="B11" s="36" t="inlineStr">
        <is>
          <t>Kết quả dao động giữa hai mức liền kề: được chấm điểm trung bình (VD: 3.5).</t>
        </is>
      </c>
    </row>
    <row r="12"/>
    <row r="13">
      <c r="B13" s="3" t="inlineStr">
        <is>
          <t>2. CÔNG THỨC &amp; XẾP LOẠI (Điều 7, Điều 13)</t>
        </is>
      </c>
    </row>
    <row r="14" ht="20" customHeight="1">
      <c r="B14" s="34" t="inlineStr">
        <is>
          <t>Điểm quy đổi tiêu chí</t>
        </is>
      </c>
      <c r="C14" s="35" t="inlineStr">
        <is>
          <t>Điểm chấm ÷ 5 × Trọng số × 100</t>
        </is>
      </c>
      <c r="D14" s="74" t="n"/>
      <c r="E14" s="74" t="n"/>
      <c r="F14" s="74" t="n"/>
      <c r="G14" s="75" t="n"/>
    </row>
    <row r="15" ht="20" customHeight="1">
      <c r="B15" s="34" t="inlineStr">
        <is>
          <t>Tổng điểm vị trí</t>
        </is>
      </c>
      <c r="C15" s="35" t="inlineStr">
        <is>
          <t>Cộng điểm quy đổi các tiêu chí (tối đa 100)</t>
        </is>
      </c>
      <c r="D15" s="74" t="n"/>
      <c r="E15" s="74" t="n"/>
      <c r="F15" s="74" t="n"/>
      <c r="G15" s="75" t="n"/>
    </row>
    <row r="16" ht="20" customHeight="1">
      <c r="B16" s="34" t="inlineStr">
        <is>
          <t>Xuất sắc</t>
        </is>
      </c>
      <c r="C16" s="35" t="inlineStr">
        <is>
          <t>Tổng điểm ≥ 80</t>
        </is>
      </c>
      <c r="D16" s="74" t="n"/>
      <c r="E16" s="74" t="n"/>
      <c r="F16" s="74" t="n"/>
      <c r="G16" s="75" t="n"/>
    </row>
    <row r="17" ht="20" customHeight="1">
      <c r="B17" s="34" t="inlineStr">
        <is>
          <t>Đạt</t>
        </is>
      </c>
      <c r="C17" s="35" t="inlineStr">
        <is>
          <t>Từ 70 đến dưới 80</t>
        </is>
      </c>
      <c r="D17" s="74" t="n"/>
      <c r="E17" s="74" t="n"/>
      <c r="F17" s="74" t="n"/>
      <c r="G17" s="75" t="n"/>
    </row>
    <row r="18" ht="20" customHeight="1">
      <c r="B18" s="34" t="inlineStr">
        <is>
          <t>Cần cải thiện</t>
        </is>
      </c>
      <c r="C18" s="35" t="inlineStr">
        <is>
          <t>Dưới 70</t>
        </is>
      </c>
      <c r="D18" s="74" t="n"/>
      <c r="E18" s="74" t="n"/>
      <c r="F18" s="74" t="n"/>
      <c r="G18" s="75" t="n"/>
    </row>
    <row r="19"/>
    <row r="20">
      <c r="B20" s="3" t="inlineStr">
        <is>
          <t>3. GỢI Ý QUY ĐỔI CHỨNG CỨ RA ĐIỂM (mẫu – điều chỉnh theo mục tiêu đã duyệt từng kỳ)</t>
        </is>
      </c>
    </row>
    <row r="21" ht="20" customHeight="1">
      <c r="B21" s="33" t="inlineStr">
        <is>
          <t>Loại chỉ số</t>
        </is>
      </c>
      <c r="C21" s="33" t="inlineStr">
        <is>
          <t>Điểm 5</t>
        </is>
      </c>
      <c r="D21" s="33" t="inlineStr">
        <is>
          <t>Điểm 4</t>
        </is>
      </c>
      <c r="E21" s="33" t="inlineStr">
        <is>
          <t>Điểm 3</t>
        </is>
      </c>
      <c r="F21" s="33" t="inlineStr">
        <is>
          <t>Điểm 2</t>
        </is>
      </c>
      <c r="G21" s="33" t="inlineStr">
        <is>
          <t>Điểm 1</t>
        </is>
      </c>
    </row>
    <row r="22" ht="44" customHeight="1">
      <c r="B22" s="34" t="inlineStr">
        <is>
          <t>Tỷ lệ hoàn thành kế hoạch (tuyển dụng, đào tạo, sự kiện…)</t>
        </is>
      </c>
      <c r="C22" s="35" t="inlineStr">
        <is>
          <t>≥ 110% hoặc vượt rõ mục tiêu</t>
        </is>
      </c>
      <c r="D22" s="35" t="inlineStr">
        <is>
          <t>100% – dưới 110%</t>
        </is>
      </c>
      <c r="E22" s="35" t="inlineStr">
        <is>
          <t>90% – dưới 100%</t>
        </is>
      </c>
      <c r="F22" s="35" t="inlineStr">
        <is>
          <t>75% – dưới 90%</t>
        </is>
      </c>
      <c r="G22" s="35" t="inlineStr">
        <is>
          <t>Dưới 75%</t>
        </is>
      </c>
    </row>
    <row r="23" ht="44" customHeight="1">
      <c r="B23" s="34" t="inlineStr">
        <is>
          <t>Số lỗi, sai sót (bảng lương, BHXH, hồ sơ, chấm công…)</t>
        </is>
      </c>
      <c r="C23" s="35" t="inlineStr">
        <is>
          <t>0 lỗi, chủ động phát hiện lỗi của khâu khác</t>
        </is>
      </c>
      <c r="D23" s="35" t="inlineStr">
        <is>
          <t>0 lỗi</t>
        </is>
      </c>
      <c r="E23" s="35" t="inlineStr">
        <is>
          <t>1–2 lỗi nhỏ, sửa kịp, không ảnh hưởng</t>
        </is>
      </c>
      <c r="F23" s="35" t="inlineStr">
        <is>
          <t>≥ 3 lỗi nhỏ hoặc 1 lỗi phải điều chỉnh sau chi trả/nộp</t>
        </is>
      </c>
      <c r="G23" s="35" t="inlineStr">
        <is>
          <t>Lỗi gây thiệt hại, bị xử phạt hoặc khiếu nại</t>
        </is>
      </c>
    </row>
    <row r="24" ht="44" customHeight="1">
      <c r="B24" s="34" t="inlineStr">
        <is>
          <t>Thời hạn (kỳ lương, thủ tục, báo cáo)</t>
        </is>
      </c>
      <c r="C24" s="35" t="inlineStr">
        <is>
          <t>100% đúng hạn, nhiều việc xong sớm</t>
        </is>
      </c>
      <c r="D24" s="35" t="inlineStr">
        <is>
          <t>100% đúng hạn</t>
        </is>
      </c>
      <c r="E24" s="35" t="inlineStr">
        <is>
          <t>≥ 90% đúng hạn, trễ không ảnh hưởng</t>
        </is>
      </c>
      <c r="F24" s="35" t="inlineStr">
        <is>
          <t>75% – dưới 90%, hoặc 1 lần trễ gây ảnh hưởng</t>
        </is>
      </c>
      <c r="G24" s="35" t="inlineStr">
        <is>
          <t>Dưới 75%, hoặc trễ dẫn tới bị phạt, chậm đóng</t>
        </is>
      </c>
    </row>
    <row r="25" ht="44" customHeight="1">
      <c r="B25" s="34" t="inlineStr">
        <is>
          <t>Chi phí so với ngân sách</t>
        </is>
      </c>
      <c r="C25" s="35" t="inlineStr">
        <is>
          <t>Tiết kiệm ≥ 10% và vẫn đạt mục tiêu</t>
        </is>
      </c>
      <c r="D25" s="35" t="inlineStr">
        <is>
          <t>Trong ngân sách</t>
        </is>
      </c>
      <c r="E25" s="35" t="inlineStr">
        <is>
          <t>Vượt ≤ 5%, có giải trình được duyệt</t>
        </is>
      </c>
      <c r="F25" s="35" t="inlineStr">
        <is>
          <t>Vượt 5% – 10%</t>
        </is>
      </c>
      <c r="G25" s="35" t="inlineStr">
        <is>
          <t>Vượt &gt; 10%</t>
        </is>
      </c>
    </row>
    <row r="26" ht="44" customHeight="1">
      <c r="B26" s="34" t="inlineStr">
        <is>
          <t>Khảo sát hài lòng / phản hồi (thang 5)</t>
        </is>
      </c>
      <c r="C26" s="35" t="inlineStr">
        <is>
          <t>≥ 4,5</t>
        </is>
      </c>
      <c r="D26" s="35" t="inlineStr">
        <is>
          <t>4,0 – dưới 4,5</t>
        </is>
      </c>
      <c r="E26" s="35" t="inlineStr">
        <is>
          <t>3,5 – dưới 4,0</t>
        </is>
      </c>
      <c r="F26" s="35" t="inlineStr">
        <is>
          <t>3,0 – dưới 3,5</t>
        </is>
      </c>
      <c r="G26" s="35" t="inlineStr">
        <is>
          <t>Dưới 3,0</t>
        </is>
      </c>
    </row>
    <row r="27" ht="44" customHeight="1">
      <c r="B27" s="34" t="inlineStr">
        <is>
          <t>Tuân thủ pháp luật, bảo mật</t>
        </is>
      </c>
      <c r="C27" s="35" t="inlineStr">
        <is>
          <t>Không vi phạm, chủ động rà soát và cảnh báo rủi ro</t>
        </is>
      </c>
      <c r="D27" s="35" t="inlineStr">
        <is>
          <t>Không vi phạm</t>
        </is>
      </c>
      <c r="E27" s="35" t="inlineStr">
        <is>
          <t>Có nhắc nhở nội bộ, đã khắc phục</t>
        </is>
      </c>
      <c r="F27" s="35" t="inlineStr">
        <is>
          <t>Vi phạm quy trình nội bộ lặp lại</t>
        </is>
      </c>
      <c r="G27" s="35" t="inlineStr">
        <is>
          <t>Bị cơ quan nhà nước xử phạt hoặc rò rỉ dữ liệu</t>
        </is>
      </c>
    </row>
    <row r="28"/>
    <row r="29">
      <c r="B29" s="3" t="inlineStr">
        <is>
          <t>4. NGUYÊN TẮC ĐÁNH GIÁ (Điều 4, Điều 12)</t>
        </is>
      </c>
    </row>
    <row r="30" ht="20" customHeight="1">
      <c r="B30" s="34" t="inlineStr">
        <is>
          <t>Khách quan</t>
        </is>
      </c>
      <c r="C30" s="35" t="inlineStr">
        <is>
          <t>Chấm theo kết quả thực tế, không theo thiện cảm cá nhân.</t>
        </is>
      </c>
      <c r="D30" s="74" t="n"/>
      <c r="E30" s="74" t="n"/>
      <c r="F30" s="74" t="n"/>
      <c r="G30" s="75" t="n"/>
    </row>
    <row r="31" ht="20" customHeight="1">
      <c r="B31" s="34" t="inlineStr">
        <is>
          <t>Công bằng</t>
        </is>
      </c>
      <c r="C31" s="35" t="inlineStr">
        <is>
          <t>Cùng vị trí dùng chung bộ tiêu chí, trọng số, thang điểm.</t>
        </is>
      </c>
      <c r="D31" s="74" t="n"/>
      <c r="E31" s="74" t="n"/>
      <c r="F31" s="74" t="n"/>
      <c r="G31" s="75" t="n"/>
    </row>
    <row r="32" ht="20" customHeight="1">
      <c r="B32" s="34" t="inlineStr">
        <is>
          <t>Công khai</t>
        </is>
      </c>
      <c r="C32" s="35" t="inlineStr">
        <is>
          <t>Tiêu chí, trọng số, chỉ tiêu định lượng phổ biến cho nhân sự trước kỳ đánh giá.</t>
        </is>
      </c>
      <c r="D32" s="74" t="n"/>
      <c r="E32" s="74" t="n"/>
      <c r="F32" s="74" t="n"/>
      <c r="G32" s="75" t="n"/>
    </row>
    <row r="33" ht="20" customHeight="1">
      <c r="B33" s="34" t="inlineStr">
        <is>
          <t>Định kỳ</t>
        </is>
      </c>
      <c r="C33" s="35" t="inlineStr">
        <is>
          <t>Loại kỳ (Tháng/Quý/Năm) áp dụng thống nhất cho toàn phòng trong cùng chu kỳ.</t>
        </is>
      </c>
      <c r="D33" s="74" t="n"/>
      <c r="E33" s="74" t="n"/>
      <c r="F33" s="74" t="n"/>
      <c r="G33" s="75" t="n"/>
    </row>
    <row r="34" ht="20" customHeight="1">
      <c r="B34" s="34" t="inlineStr">
        <is>
          <t>Có phản hồi</t>
        </is>
      </c>
      <c r="C34" s="35" t="inlineStr">
        <is>
          <t>Trao đổi kết quả trực tiếp, thống nhất kế hoạch cải thiện.</t>
        </is>
      </c>
      <c r="D34" s="74" t="n"/>
      <c r="E34" s="74" t="n"/>
      <c r="F34" s="74" t="n"/>
      <c r="G34" s="75" t="n"/>
    </row>
    <row r="35" ht="20" customHeight="1">
      <c r="B35" s="34" t="inlineStr">
        <is>
          <t>Có chứng cứ</t>
        </is>
      </c>
      <c r="C35" s="35" t="inlineStr">
        <is>
          <t>Số liệu, thời hạn, biên bản, báo cáo. Điểm ≤ 1,5 hoặc = 5 phải ghi lý do ở cột Ghi chú.</t>
        </is>
      </c>
      <c r="D35" s="74" t="n"/>
      <c r="E35" s="74" t="n"/>
      <c r="F35" s="74" t="n"/>
      <c r="G35" s="75" t="n"/>
    </row>
    <row r="36"/>
    <row r="37">
      <c r="B37" s="3" t="inlineStr">
        <is>
          <t>5. QUY TRÌNH 6 BƯỚC (Điều 10)</t>
        </is>
      </c>
    </row>
    <row r="38" ht="20" customHeight="1">
      <c r="B38" s="34" t="inlineStr">
        <is>
          <t>Bước 1 – Chuẩn bị</t>
        </is>
      </c>
      <c r="C38" s="35" t="inlineStr">
        <is>
          <t>Xác định kỳ, thông báo lịch, phổ biến tiêu chí.</t>
        </is>
      </c>
      <c r="D38" s="74" t="n"/>
      <c r="E38" s="74" t="n"/>
      <c r="F38" s="74" t="n"/>
      <c r="G38" s="75" t="n"/>
    </row>
    <row r="39" ht="20" customHeight="1">
      <c r="B39" s="34" t="inlineStr">
        <is>
          <t>Bước 2 – Tự đánh giá</t>
        </is>
      </c>
      <c r="C39" s="35" t="inlineStr">
        <is>
          <t>Nhân sự chấm cột F.</t>
        </is>
      </c>
      <c r="D39" s="74" t="n"/>
      <c r="E39" s="74" t="n"/>
      <c r="F39" s="74" t="n"/>
      <c r="G39" s="75" t="n"/>
    </row>
    <row r="40" ht="20" customHeight="1">
      <c r="B40" s="34" t="inlineStr">
        <is>
          <t>Bước 3 – Quản lý chấm</t>
        </is>
      </c>
      <c r="C40" s="35" t="inlineStr">
        <is>
          <t>Quản lý trực tiếp chấm chính thức cột G, dựa trên chứng cứ.</t>
        </is>
      </c>
      <c r="D40" s="74" t="n"/>
      <c r="E40" s="74" t="n"/>
      <c r="F40" s="74" t="n"/>
      <c r="G40" s="75" t="n"/>
    </row>
    <row r="41" ht="20" customHeight="1">
      <c r="B41" s="34" t="inlineStr">
        <is>
          <t>Bước 4 – Tổng hợp</t>
        </is>
      </c>
      <c r="C41" s="35" t="inlineStr">
        <is>
          <t>File tự tính điểm quy đổi, xếp loại; sheet Tổng hợp tự cập nhật.</t>
        </is>
      </c>
      <c r="D41" s="74" t="n"/>
      <c r="E41" s="74" t="n"/>
      <c r="F41" s="74" t="n"/>
      <c r="G41" s="75" t="n"/>
    </row>
    <row r="42" ht="20" customHeight="1">
      <c r="B42" s="34" t="inlineStr">
        <is>
          <t>Bước 5 – Phản hồi</t>
        </is>
      </c>
      <c r="C42" s="35" t="inlineStr">
        <is>
          <t>Trao đổi kết quả, ghi nhận xét và kế hoạch cải thiện cuối sheet vị trí.</t>
        </is>
      </c>
      <c r="D42" s="74" t="n"/>
      <c r="E42" s="74" t="n"/>
      <c r="F42" s="74" t="n"/>
      <c r="G42" s="75" t="n"/>
    </row>
    <row r="43" ht="20" customHeight="1">
      <c r="B43" s="34" t="inlineStr">
        <is>
          <t>Bước 6 – Phê duyệt, lưu trữ</t>
        </is>
      </c>
      <c r="C43" s="35" t="inlineStr">
        <is>
          <t>Trình người có thẩm quyền ký duyệt; lưu hồ sơ làm căn cứ lương, thưởng, quy hoạch.</t>
        </is>
      </c>
      <c r="D43" s="74" t="n"/>
      <c r="E43" s="74" t="n"/>
      <c r="F43" s="74" t="n"/>
      <c r="G43" s="75" t="n"/>
    </row>
  </sheetData>
  <mergeCells count="31">
    <mergeCell ref="C30:G30"/>
    <mergeCell ref="D9:G9"/>
    <mergeCell ref="C34:G34"/>
    <mergeCell ref="D8:G8"/>
    <mergeCell ref="C42:G42"/>
    <mergeCell ref="C15:G15"/>
    <mergeCell ref="C33:G33"/>
    <mergeCell ref="B13:G13"/>
    <mergeCell ref="C14:G14"/>
    <mergeCell ref="D5:G5"/>
    <mergeCell ref="B29:G29"/>
    <mergeCell ref="C35:G35"/>
    <mergeCell ref="B37:G37"/>
    <mergeCell ref="C16:G16"/>
    <mergeCell ref="C41:G41"/>
    <mergeCell ref="C31:G31"/>
    <mergeCell ref="D10:G10"/>
    <mergeCell ref="C40:G40"/>
    <mergeCell ref="B20:G20"/>
    <mergeCell ref="A1:G1"/>
    <mergeCell ref="C43:G43"/>
    <mergeCell ref="D6:G6"/>
    <mergeCell ref="B4:G4"/>
    <mergeCell ref="C39:G39"/>
    <mergeCell ref="C17:G17"/>
    <mergeCell ref="C32:G32"/>
    <mergeCell ref="C38:G38"/>
    <mergeCell ref="D7:G7"/>
    <mergeCell ref="A2:G2"/>
    <mergeCell ref="C18:G18"/>
    <mergeCell ref="B11:G11"/>
  </mergeCells>
  <printOptions horizontalCentered="1"/>
  <pageMargins left="0.4" right="0.4" top="1" bottom="1" header="0.5" footer="0.5"/>
  <pageSetup orientation="landscape" paperSize="9" fitToHeight="0" fitToWidth="1"/>
  <headerFooter>
    <oddHeader/>
    <oddFooter>&amp;L&amp;8 Mr Wick Kiểm toán · taichinhketoanedu.com&amp;R&amp;8 Trang &amp;P/&amp;N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J36"/>
  <sheetViews>
    <sheetView showGridLines="0" tabSelected="0" zoomScale="9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34" customWidth="1" min="3" max="3"/>
    <col width="50" customWidth="1" min="4" max="4"/>
    <col width="10" customWidth="1" min="5" max="5"/>
    <col width="10" customWidth="1" min="6" max="6"/>
    <col width="10" customWidth="1" min="7" max="7"/>
    <col width="11" customWidth="1" min="8" max="8"/>
    <col width="30" customWidth="1" min="9" max="9"/>
    <col hidden="1" width="6" customWidth="1" min="10" max="10"/>
  </cols>
  <sheetData>
    <row r="1" ht="30" customHeight="1">
      <c r="A1" s="1" t="inlineStr">
        <is>
          <t>BẢNG ĐÁNH GIÁ KPI – TRƯỞNG PHÒNG NHÂN SỰ</t>
        </is>
      </c>
    </row>
    <row r="2">
      <c r="A2" s="2" t="inlineStr">
        <is>
          <t xml:space="preserve">Phòng Nhân sự · Phụ lục 02 kèm Quy chế đánh giá KPI · KK HOME · </t>
        </is>
      </c>
    </row>
    <row r="3"/>
    <row r="4">
      <c r="B4" s="37" t="inlineStr">
        <is>
          <t>Họ và tên</t>
        </is>
      </c>
      <c r="C4" s="7" t="n"/>
      <c r="E4" s="37" t="inlineStr">
        <is>
          <t>Loại kỳ đánh giá</t>
        </is>
      </c>
      <c r="G4" s="38" t="inlineStr">
        <is>
          <t>Quý</t>
        </is>
      </c>
      <c r="H4" s="75" t="n"/>
      <c r="I4" s="39" t="inlineStr">
        <is>
          <t>← chọn Tháng / Quý / Năm</t>
        </is>
      </c>
    </row>
    <row r="5">
      <c r="B5" s="37" t="inlineStr">
        <is>
          <t>Mã nhân viên</t>
        </is>
      </c>
      <c r="C5" s="7" t="n"/>
      <c r="E5" s="37" t="inlineStr">
        <is>
          <t>Kỳ đánh giá</t>
        </is>
      </c>
      <c r="G5" s="38" t="n"/>
      <c r="H5" s="75" t="n"/>
      <c r="I5" s="39" t="inlineStr">
        <is>
          <t>VD: Tháng 9/2026, Quý 3/2026, Năm 2026</t>
        </is>
      </c>
    </row>
    <row r="6">
      <c r="B6" s="37" t="inlineStr">
        <is>
          <t>Người đánh giá</t>
        </is>
      </c>
      <c r="C6" s="7" t="n"/>
      <c r="E6" s="37" t="inlineStr">
        <is>
          <t>Ngày đánh giá</t>
        </is>
      </c>
      <c r="G6" s="76" t="n"/>
      <c r="H6" s="75" t="n"/>
    </row>
    <row r="7">
      <c r="B7" s="37" t="inlineStr">
        <is>
          <t>Bộ phận</t>
        </is>
      </c>
      <c r="C7" s="7" t="inlineStr">
        <is>
          <t>Phòng Nhân sự</t>
        </is>
      </c>
    </row>
    <row r="8"/>
    <row r="9" ht="42" customHeight="1">
      <c r="A9" s="16" t="inlineStr">
        <is>
          <t>STT</t>
        </is>
      </c>
      <c r="B9" s="16" t="inlineStr">
        <is>
          <t>Nhóm tiêu chí</t>
        </is>
      </c>
      <c r="C9" s="16" t="inlineStr">
        <is>
          <t>Tiêu chí đánh giá</t>
        </is>
      </c>
      <c r="D9" s="16" t="inlineStr">
        <is>
          <t>Cách đo / Chứng cứ chấm điểm</t>
        </is>
      </c>
      <c r="E9" s="16" t="inlineStr">
        <is>
          <t>Trọng số</t>
        </is>
      </c>
      <c r="F9" s="16" t="inlineStr">
        <is>
          <t>Tự đánh giá
(1–5)</t>
        </is>
      </c>
      <c r="G9" s="16" t="inlineStr">
        <is>
          <t>Quản lý chấm
(1–5)</t>
        </is>
      </c>
      <c r="H9" s="16" t="inlineStr">
        <is>
          <t>Điểm quy đổi</t>
        </is>
      </c>
      <c r="I9" s="16" t="inlineStr">
        <is>
          <t>Ghi chú / Lý do (bắt buộc khi điểm ≤1,5 hoặc 5)</t>
        </is>
      </c>
    </row>
    <row r="10" ht="34" customHeight="1">
      <c r="A10" s="17" t="n">
        <v>1</v>
      </c>
      <c r="B10" s="41" t="inlineStr">
        <is>
          <t>Chuyên môn - Nghiệp vụ</t>
        </is>
      </c>
      <c r="C10" s="42" t="inlineStr">
        <is>
          <t>Hoạch định nhân lực &amp; ngân sách nhân sự</t>
        </is>
      </c>
      <c r="D10" s="43" t="inlineStr">
        <is>
          <t>Kế hoạch định biên, ngân sách quỹ lương trình duyệt đúng hạn; chi phí nhân sự thực tế lệch ngân sách không quá 5%</t>
        </is>
      </c>
      <c r="E10" s="44" t="n">
        <v>0.1</v>
      </c>
      <c r="F10" s="77" t="n"/>
      <c r="G10" s="77" t="n"/>
      <c r="H10" s="73">
        <f>IF(ISNUMBER(G10),G10/5*E10*100,0)</f>
        <v/>
      </c>
      <c r="I10" s="7" t="n"/>
      <c r="J10" t="inlineStr">
        <is>
          <t>CM</t>
        </is>
      </c>
    </row>
    <row r="11" ht="34" customHeight="1">
      <c r="A11" s="17" t="n">
        <v>2</v>
      </c>
      <c r="B11" s="46" t="n"/>
      <c r="C11" s="42" t="inlineStr">
        <is>
          <t>Hiệu quả tuyển dụng toàn công ty</t>
        </is>
      </c>
      <c r="D11" s="43" t="inlineStr">
        <is>
          <t>Tỷ lệ vị trí tuyển đủ, đúng hạn ≥ 90%; tỷ lệ nhân sự mới qua thử việc ≥ 85%</t>
        </is>
      </c>
      <c r="E11" s="44" t="n">
        <v>0.1</v>
      </c>
      <c r="F11" s="77" t="n"/>
      <c r="G11" s="77" t="n"/>
      <c r="H11" s="73">
        <f>IF(ISNUMBER(G11),G11/5*E11*100,0)</f>
        <v/>
      </c>
      <c r="I11" s="7" t="n"/>
      <c r="J11" t="inlineStr">
        <is>
          <t>CM</t>
        </is>
      </c>
    </row>
    <row r="12" ht="34" customHeight="1">
      <c r="A12" s="17" t="n">
        <v>3</v>
      </c>
      <c r="B12" s="46" t="n"/>
      <c r="C12" s="42" t="inlineStr">
        <is>
          <t>Tỷ lệ giữ chân nhân sự</t>
        </is>
      </c>
      <c r="D12" s="43" t="inlineStr">
        <is>
          <t>Tỷ lệ nghỉ việc tự nguyện so với mục tiêu đã duyệt; số nhân sự then chốt nghỉ việc trong kỳ</t>
        </is>
      </c>
      <c r="E12" s="44" t="n">
        <v>0.1</v>
      </c>
      <c r="F12" s="77" t="n"/>
      <c r="G12" s="77" t="n"/>
      <c r="H12" s="73">
        <f>IF(ISNUMBER(G12),G12/5*E12*100,0)</f>
        <v/>
      </c>
      <c r="I12" s="7" t="n"/>
      <c r="J12" t="inlineStr">
        <is>
          <t>CM</t>
        </is>
      </c>
    </row>
    <row r="13" ht="34" customHeight="1">
      <c r="A13" s="17" t="n">
        <v>4</v>
      </c>
      <c r="B13" s="47" t="n"/>
      <c r="C13" s="42" t="inlineStr">
        <is>
          <t>Xây dựng &amp; vận hành hệ thống chính sách nhân sự</t>
        </is>
      </c>
      <c r="D13" s="43" t="inlineStr">
        <is>
          <t>Số quy chế (lương, thưởng, KPI, đào tạo) ban hành/cập nhật theo kế hoạch; mức độ các phòng áp dụng thực tế</t>
        </is>
      </c>
      <c r="E13" s="44" t="n">
        <v>0.1</v>
      </c>
      <c r="F13" s="77" t="n"/>
      <c r="G13" s="77" t="n"/>
      <c r="H13" s="73">
        <f>IF(ISNUMBER(G13),G13/5*E13*100,0)</f>
        <v/>
      </c>
      <c r="I13" s="7" t="n"/>
      <c r="J13" t="inlineStr">
        <is>
          <t>CM</t>
        </is>
      </c>
    </row>
    <row r="14" ht="34" customHeight="1">
      <c r="A14" s="17" t="n">
        <v>5</v>
      </c>
      <c r="B14" s="48" t="inlineStr">
        <is>
          <t>Tuân thủ - Thời hạn</t>
        </is>
      </c>
      <c r="C14" s="42" t="inlineStr">
        <is>
          <t>Tuân thủ pháp luật lao động, BHXH, thuế TNCN</t>
        </is>
      </c>
      <c r="D14" s="43" t="inlineStr">
        <is>
          <t>Số lỗi bị cơ quan nhà nước nhắc nhở, xử phạt = 0; không phát sinh tranh chấp lao động do sai thủ tục</t>
        </is>
      </c>
      <c r="E14" s="44" t="n">
        <v>0.15</v>
      </c>
      <c r="F14" s="77" t="n"/>
      <c r="G14" s="77" t="n"/>
      <c r="H14" s="73">
        <f>IF(ISNUMBER(G14),G14/5*E14*100,0)</f>
        <v/>
      </c>
      <c r="I14" s="7" t="n"/>
      <c r="J14" t="inlineStr">
        <is>
          <t>TT</t>
        </is>
      </c>
    </row>
    <row r="15" ht="34" customHeight="1">
      <c r="A15" s="17" t="n">
        <v>6</v>
      </c>
      <c r="B15" s="46" t="n"/>
      <c r="C15" s="42" t="inlineStr">
        <is>
          <t>Tiến độ kỳ lương &amp; báo cáo nhân sự</t>
        </is>
      </c>
      <c r="D15" s="43" t="inlineStr">
        <is>
          <t>Bảng lương duyệt đúng lịch; báo cáo nhân sự định kỳ nộp Ban lãnh đạo đúng hạn</t>
        </is>
      </c>
      <c r="E15" s="44" t="n">
        <v>0.1</v>
      </c>
      <c r="F15" s="77" t="n"/>
      <c r="G15" s="77" t="n"/>
      <c r="H15" s="73">
        <f>IF(ISNUMBER(G15),G15/5*E15*100,0)</f>
        <v/>
      </c>
      <c r="I15" s="7" t="n"/>
      <c r="J15" t="inlineStr">
        <is>
          <t>TT</t>
        </is>
      </c>
    </row>
    <row r="16" ht="34" customHeight="1">
      <c r="A16" s="17" t="n">
        <v>7</v>
      </c>
      <c r="B16" s="47" t="n"/>
      <c r="C16" s="42" t="inlineStr">
        <is>
          <t>Kiểm soát rủi ro &amp; bảo mật dữ liệu nhân sự</t>
        </is>
      </c>
      <c r="D16" s="43" t="inlineStr">
        <is>
          <t>Hồ sơ, dữ liệu lương có phân quyền; không phát sinh rò rỉ thông tin nhân sự</t>
        </is>
      </c>
      <c r="E16" s="44" t="n">
        <v>0.1</v>
      </c>
      <c r="F16" s="77" t="n"/>
      <c r="G16" s="77" t="n"/>
      <c r="H16" s="73">
        <f>IF(ISNUMBER(G16),G16/5*E16*100,0)</f>
        <v/>
      </c>
      <c r="I16" s="7" t="n"/>
      <c r="J16" t="inlineStr">
        <is>
          <t>TT</t>
        </is>
      </c>
    </row>
    <row r="17" ht="34" customHeight="1">
      <c r="A17" s="17" t="n">
        <v>8</v>
      </c>
      <c r="B17" s="49" t="inlineStr">
        <is>
          <t>Phối hợp - Thái độ</t>
        </is>
      </c>
      <c r="C17" s="42" t="inlineStr">
        <is>
          <t>Lãnh đạo &amp; phát triển đội ngũ Phòng Nhân sự</t>
        </is>
      </c>
      <c r="D17" s="43" t="inlineStr">
        <is>
          <t>Điểm KPI bình quân của phòng; số nhân viên được kèm cặp, có lộ trình phát triển</t>
        </is>
      </c>
      <c r="E17" s="44" t="n">
        <v>0.1</v>
      </c>
      <c r="F17" s="77" t="n"/>
      <c r="G17" s="77" t="n"/>
      <c r="H17" s="73">
        <f>IF(ISNUMBER(G17),G17/5*E17*100,0)</f>
        <v/>
      </c>
      <c r="I17" s="7" t="n"/>
      <c r="J17" t="inlineStr">
        <is>
          <t>PH</t>
        </is>
      </c>
    </row>
    <row r="18" ht="34" customHeight="1">
      <c r="A18" s="17" t="n">
        <v>9</v>
      </c>
      <c r="B18" s="46" t="n"/>
      <c r="C18" s="42" t="inlineStr">
        <is>
          <t>Phối hợp với các trưởng bộ phận</t>
        </is>
      </c>
      <c r="D18" s="43" t="inlineStr">
        <is>
          <t>Phản hồi của trưởng bộ phận về hỗ trợ nhân sự; thời gian xử lý đề xuất nhân sự</t>
        </is>
      </c>
      <c r="E18" s="44" t="n">
        <v>0.08</v>
      </c>
      <c r="F18" s="77" t="n"/>
      <c r="G18" s="77" t="n"/>
      <c r="H18" s="73">
        <f>IF(ISNUMBER(G18),G18/5*E18*100,0)</f>
        <v/>
      </c>
      <c r="I18" s="7" t="n"/>
      <c r="J18" t="inlineStr">
        <is>
          <t>PH</t>
        </is>
      </c>
    </row>
    <row r="19" ht="34" customHeight="1">
      <c r="A19" s="17" t="n">
        <v>10</v>
      </c>
      <c r="B19" s="47" t="n"/>
      <c r="C19" s="42" t="inlineStr">
        <is>
          <t>Tinh thần trách nhiệm &amp; chủ động cải tiến</t>
        </is>
      </c>
      <c r="D19" s="43" t="inlineStr">
        <is>
          <t>Số sáng kiến cải tiến quy trình nhân sự được áp dụng</t>
        </is>
      </c>
      <c r="E19" s="44" t="n">
        <v>0.07000000000000001</v>
      </c>
      <c r="F19" s="77" t="n"/>
      <c r="G19" s="77" t="n"/>
      <c r="H19" s="73">
        <f>IF(ISNUMBER(G19),G19/5*E19*100,0)</f>
        <v/>
      </c>
      <c r="I19" s="7" t="n"/>
      <c r="J19" t="inlineStr">
        <is>
          <t>PH</t>
        </is>
      </c>
    </row>
    <row r="20" ht="22" customHeight="1">
      <c r="A20" s="50" t="inlineStr">
        <is>
          <t>TỔNG CỘNG</t>
        </is>
      </c>
      <c r="B20" s="74" t="n"/>
      <c r="C20" s="74" t="n"/>
      <c r="D20" s="75" t="n"/>
      <c r="E20" s="51">
        <f>SUM(E10:E19)</f>
        <v/>
      </c>
      <c r="F20" s="50" t="n"/>
      <c r="G20" s="50" t="n"/>
      <c r="H20" s="78">
        <f>SUM(H10:H19)</f>
        <v/>
      </c>
      <c r="I20" s="50" t="n"/>
    </row>
    <row r="21"/>
    <row r="22">
      <c r="A22" s="53" t="inlineStr">
        <is>
          <t>KẾT QUẢ ĐÁNH GIÁ</t>
        </is>
      </c>
      <c r="D22" s="53" t="inlineStr">
        <is>
          <t>ĐIỂM THEO NHÓM TIÊU CHÍ</t>
        </is>
      </c>
    </row>
    <row r="23" ht="20" customHeight="1">
      <c r="A23" s="54" t="inlineStr">
        <is>
          <t>Tổng điểm chính thức</t>
        </is>
      </c>
      <c r="B23" s="75" t="n"/>
      <c r="C23" s="79">
        <f>H20</f>
        <v/>
      </c>
      <c r="D23" s="57" t="inlineStr">
        <is>
          <t>Nhóm tiêu chí</t>
        </is>
      </c>
      <c r="E23" s="57" t="inlineStr">
        <is>
          <t>Trọng số</t>
        </is>
      </c>
      <c r="F23" s="57" t="inlineStr">
        <is>
          <t>Điểm tối đa</t>
        </is>
      </c>
      <c r="G23" s="57" t="inlineStr">
        <is>
          <t>Điểm đạt</t>
        </is>
      </c>
      <c r="H23" s="57" t="inlineStr">
        <is>
          <t>Tỷ lệ đạt</t>
        </is>
      </c>
    </row>
    <row r="24" ht="20" customHeight="1">
      <c r="A24" s="54" t="inlineStr">
        <is>
          <t>Điểm tự đánh giá</t>
        </is>
      </c>
      <c r="B24" s="75" t="n"/>
      <c r="C24" s="73">
        <f>IF(COUNT(F10:F19)=0,"",SUMPRODUCT(F10:F19,E10:E19)/5*100)</f>
        <v/>
      </c>
      <c r="D24" s="58" t="inlineStr">
        <is>
          <t>Chuyên môn - Nghiệp vụ</t>
        </is>
      </c>
      <c r="E24" s="22">
        <f>SUMIF($J$10:$J$19,"CM",$E$10:$E$19)</f>
        <v/>
      </c>
      <c r="F24" s="67">
        <f>E24*100</f>
        <v/>
      </c>
      <c r="G24" s="67">
        <f>SUMIF($J$10:$J$19,"CM",$H$10:$H$19)</f>
        <v/>
      </c>
      <c r="H24" s="59">
        <f>IF(F24=0,0,G24/F24)</f>
        <v/>
      </c>
    </row>
    <row r="25" ht="20" customHeight="1">
      <c r="A25" s="54" t="inlineStr">
        <is>
          <t>Tiêu chí đã chấm</t>
        </is>
      </c>
      <c r="B25" s="75" t="n"/>
      <c r="C25" s="60">
        <f>COUNT(G10:G19)&amp;" / 10"</f>
        <v/>
      </c>
      <c r="D25" s="61" t="inlineStr">
        <is>
          <t>Tuân thủ - Thời hạn</t>
        </is>
      </c>
      <c r="E25" s="22">
        <f>SUMIF($J$10:$J$19,"TT",$E$10:$E$19)</f>
        <v/>
      </c>
      <c r="F25" s="67">
        <f>E25*100</f>
        <v/>
      </c>
      <c r="G25" s="67">
        <f>SUMIF($J$10:$J$19,"TT",$H$10:$H$19)</f>
        <v/>
      </c>
      <c r="H25" s="59">
        <f>IF(F25=0,0,G25/F25)</f>
        <v/>
      </c>
    </row>
    <row r="26" ht="20" customHeight="1">
      <c r="A26" s="54" t="inlineStr">
        <is>
          <t>Xếp loại</t>
        </is>
      </c>
      <c r="B26" s="75" t="n"/>
      <c r="C26" s="62">
        <f>IF(COUNT(G10:G19)=0,"Chưa chấm",IF(COUNT(G10:G19)&lt;10,"Chưa chấm đủ",IF(H20&gt;=80,"Xuất sắc",IF(H20&gt;=70,"Đạt","Cần cải thiện"))))</f>
        <v/>
      </c>
      <c r="D26" s="63" t="inlineStr">
        <is>
          <t>Phối hợp - Thái độ</t>
        </is>
      </c>
      <c r="E26" s="22">
        <f>SUMIF($J$10:$J$19,"PH",$E$10:$E$19)</f>
        <v/>
      </c>
      <c r="F26" s="67">
        <f>E26*100</f>
        <v/>
      </c>
      <c r="G26" s="67">
        <f>SUMIF($J$10:$J$19,"PH",$H$10:$H$19)</f>
        <v/>
      </c>
      <c r="H26" s="59">
        <f>IF(F26=0,0,G26/F26)</f>
        <v/>
      </c>
    </row>
    <row r="27" ht="20" customHeight="1">
      <c r="A27" s="54" t="inlineStr">
        <is>
          <t>Kiểm tra trọng số</t>
        </is>
      </c>
      <c r="B27" s="75" t="n"/>
      <c r="C27" s="60">
        <f>IF(ROUND(E20,4)=1,"Hợp lệ – 100%","SAI – tổng trọng số phải = 100%")</f>
        <v/>
      </c>
    </row>
    <row r="28"/>
    <row r="29">
      <c r="A29" s="29" t="inlineStr">
        <is>
          <t>NHẬN XÉT &amp; KẾ HOẠCH CẢI THIỆN (Bước 5 – phản hồi kết quả)</t>
        </is>
      </c>
    </row>
    <row r="30" ht="36" customHeight="1">
      <c r="A30" s="54" t="inlineStr">
        <is>
          <t>Điểm mạnh</t>
        </is>
      </c>
      <c r="B30" s="75" t="n"/>
      <c r="C30" s="7" t="n"/>
      <c r="D30" s="74" t="n"/>
      <c r="E30" s="74" t="n"/>
      <c r="F30" s="74" t="n"/>
      <c r="G30" s="74" t="n"/>
      <c r="H30" s="74" t="n"/>
      <c r="I30" s="75" t="n"/>
    </row>
    <row r="31" ht="36" customHeight="1">
      <c r="A31" s="54" t="inlineStr">
        <is>
          <t>Cần cải thiện</t>
        </is>
      </c>
      <c r="B31" s="75" t="n"/>
      <c r="C31" s="7" t="n"/>
      <c r="D31" s="74" t="n"/>
      <c r="E31" s="74" t="n"/>
      <c r="F31" s="74" t="n"/>
      <c r="G31" s="74" t="n"/>
      <c r="H31" s="74" t="n"/>
      <c r="I31" s="75" t="n"/>
    </row>
    <row r="32" ht="36" customHeight="1">
      <c r="A32" s="54" t="inlineStr">
        <is>
          <t>Kế hoạch cải thiện</t>
        </is>
      </c>
      <c r="B32" s="75" t="n"/>
      <c r="C32" s="7" t="n"/>
      <c r="D32" s="74" t="n"/>
      <c r="E32" s="74" t="n"/>
      <c r="F32" s="74" t="n"/>
      <c r="G32" s="74" t="n"/>
      <c r="H32" s="74" t="n"/>
      <c r="I32" s="75" t="n"/>
    </row>
    <row r="33" ht="36" customHeight="1">
      <c r="A33" s="54" t="inlineStr">
        <is>
          <t>Ý kiến nhân sự</t>
        </is>
      </c>
      <c r="B33" s="75" t="n"/>
      <c r="C33" s="7" t="n"/>
      <c r="D33" s="74" t="n"/>
      <c r="E33" s="74" t="n"/>
      <c r="F33" s="74" t="n"/>
      <c r="G33" s="74" t="n"/>
      <c r="H33" s="74" t="n"/>
      <c r="I33" s="75" t="n"/>
    </row>
    <row r="34"/>
    <row r="35">
      <c r="B35" s="65" t="inlineStr">
        <is>
          <t>NHÂN SỰ ĐƯỢC ĐÁNH GIÁ</t>
        </is>
      </c>
      <c r="D35" s="65" t="inlineStr">
        <is>
          <t>QUẢN LÝ TRỰC TIẾP</t>
        </is>
      </c>
      <c r="G35" s="65" t="inlineStr">
        <is>
          <t>NGƯỜI PHÊ DUYỆT</t>
        </is>
      </c>
    </row>
    <row r="36">
      <c r="B36" s="66" t="inlineStr">
        <is>
          <t>(Ký, ghi rõ họ tên)</t>
        </is>
      </c>
      <c r="D36" s="66" t="inlineStr">
        <is>
          <t>(Ký, ghi rõ họ tên)</t>
        </is>
      </c>
      <c r="G36" s="66" t="inlineStr">
        <is>
          <t>(Ký, ghi rõ họ tên)</t>
        </is>
      </c>
    </row>
  </sheetData>
  <mergeCells count="32">
    <mergeCell ref="A24:B24"/>
    <mergeCell ref="A30:B30"/>
    <mergeCell ref="A20:D20"/>
    <mergeCell ref="E5:F5"/>
    <mergeCell ref="C32:I32"/>
    <mergeCell ref="D22:H22"/>
    <mergeCell ref="E4:F4"/>
    <mergeCell ref="A2:I2"/>
    <mergeCell ref="A25:B25"/>
    <mergeCell ref="A22:C22"/>
    <mergeCell ref="G35:I35"/>
    <mergeCell ref="C30:I30"/>
    <mergeCell ref="G6:H6"/>
    <mergeCell ref="C33:I33"/>
    <mergeCell ref="A27:B27"/>
    <mergeCell ref="B10:B13"/>
    <mergeCell ref="A29:I29"/>
    <mergeCell ref="A26:B26"/>
    <mergeCell ref="E6:F6"/>
    <mergeCell ref="A33:B33"/>
    <mergeCell ref="G5:H5"/>
    <mergeCell ref="A32:B32"/>
    <mergeCell ref="A23:B23"/>
    <mergeCell ref="G4:H4"/>
    <mergeCell ref="C31:I31"/>
    <mergeCell ref="B17:B19"/>
    <mergeCell ref="G36:I36"/>
    <mergeCell ref="A1:I1"/>
    <mergeCell ref="B14:B16"/>
    <mergeCell ref="B36:C36"/>
    <mergeCell ref="A31:B31"/>
    <mergeCell ref="B35:C35"/>
  </mergeCells>
  <conditionalFormatting sqref="I10:I19">
    <cfRule type="expression" priority="1" dxfId="5">
      <formula>AND(ISNUMBER($G10),OR($G10&lt;=1.5,$G10&gt;=5),LEN($I10)=0)</formula>
    </cfRule>
  </conditionalFormatting>
  <conditionalFormatting sqref="G10:G19">
    <cfRule type="cellIs" priority="2" operator="lessThanOrEqual" dxfId="4">
      <formula>2</formula>
    </cfRule>
  </conditionalFormatting>
  <conditionalFormatting sqref="C26">
    <cfRule type="expression" priority="3" dxfId="0">
      <formula>C26="Xuất sắc"</formula>
    </cfRule>
    <cfRule type="expression" priority="4" dxfId="1">
      <formula>C26="Đạt"</formula>
    </cfRule>
    <cfRule type="expression" priority="5" dxfId="2">
      <formula>C26="Cần cải thiện"</formula>
    </cfRule>
    <cfRule type="expression" priority="6" dxfId="3">
      <formula>C26="Chưa chấm đủ"</formula>
    </cfRule>
  </conditionalFormatting>
  <conditionalFormatting sqref="C27">
    <cfRule type="expression" priority="7" dxfId="6">
      <formula>LEFT(C27,3)="SAI"</formula>
    </cfRule>
  </conditionalFormatting>
  <dataValidations count="2">
    <dataValidation sqref="F10:G19" showDropDown="0" showInputMessage="1" showErrorMessage="1" allowBlank="1" errorTitle="Điểm không hợp lệ" error="Nhập điểm từ 1 đến 5 (cho phép số lẻ như 3.5)." promptTitle="Thang điểm 1–5" prompt="5 Tuyệt vời · 4 Tốt · 3 Bình thường · 2 Chưa đạt · 1 Kém" type="decimal" operator="between">
      <formula1>1</formula1>
      <formula2>5</formula2>
    </dataValidation>
    <dataValidation sqref="G4" showDropDown="0" showInputMessage="0" showErrorMessage="1" allowBlank="0" type="list">
      <formula1>"Tháng,Quý,Năm"</formula1>
    </dataValidation>
  </dataValidations>
  <printOptions horizontalCentered="1"/>
  <pageMargins left="0.4" right="0.4" top="1" bottom="1" header="0.5" footer="0.5"/>
  <pageSetup orientation="landscape" paperSize="9" fitToHeight="0" fitToWidth="1"/>
  <headerFooter>
    <oddHeader/>
    <oddFooter>&amp;L&amp;8 Mr Wick Kiểm toán · taichinhketoanedu.com&amp;R&amp;8 Trang &amp;P/&amp;N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J36"/>
  <sheetViews>
    <sheetView showGridLines="0" tabSelected="0" zoomScale="9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34" customWidth="1" min="3" max="3"/>
    <col width="50" customWidth="1" min="4" max="4"/>
    <col width="10" customWidth="1" min="5" max="5"/>
    <col width="10" customWidth="1" min="6" max="6"/>
    <col width="10" customWidth="1" min="7" max="7"/>
    <col width="11" customWidth="1" min="8" max="8"/>
    <col width="30" customWidth="1" min="9" max="9"/>
    <col hidden="1" width="6" customWidth="1" min="10" max="10"/>
  </cols>
  <sheetData>
    <row r="1" ht="30" customHeight="1">
      <c r="A1" s="1" t="inlineStr">
        <is>
          <t>BẢNG ĐÁNH GIÁ KPI – PHÓ PHÒNG NHÂN SỰ</t>
        </is>
      </c>
    </row>
    <row r="2">
      <c r="A2" s="2" t="inlineStr">
        <is>
          <t xml:space="preserve">Phòng Nhân sự · Phụ lục 02 kèm Quy chế đánh giá KPI · KK HOME · </t>
        </is>
      </c>
    </row>
    <row r="3"/>
    <row r="4">
      <c r="B4" s="37" t="inlineStr">
        <is>
          <t>Họ và tên</t>
        </is>
      </c>
      <c r="C4" s="7" t="n"/>
      <c r="E4" s="37" t="inlineStr">
        <is>
          <t>Loại kỳ đánh giá</t>
        </is>
      </c>
      <c r="G4" s="38" t="inlineStr">
        <is>
          <t>Quý</t>
        </is>
      </c>
      <c r="H4" s="75" t="n"/>
      <c r="I4" s="39" t="inlineStr">
        <is>
          <t>← chọn Tháng / Quý / Năm</t>
        </is>
      </c>
    </row>
    <row r="5">
      <c r="B5" s="37" t="inlineStr">
        <is>
          <t>Mã nhân viên</t>
        </is>
      </c>
      <c r="C5" s="7" t="n"/>
      <c r="E5" s="37" t="inlineStr">
        <is>
          <t>Kỳ đánh giá</t>
        </is>
      </c>
      <c r="G5" s="38" t="n"/>
      <c r="H5" s="75" t="n"/>
      <c r="I5" s="39" t="inlineStr">
        <is>
          <t>VD: Tháng 9/2026, Quý 3/2026, Năm 2026</t>
        </is>
      </c>
    </row>
    <row r="6">
      <c r="B6" s="37" t="inlineStr">
        <is>
          <t>Người đánh giá</t>
        </is>
      </c>
      <c r="C6" s="7" t="n"/>
      <c r="E6" s="37" t="inlineStr">
        <is>
          <t>Ngày đánh giá</t>
        </is>
      </c>
      <c r="G6" s="76" t="n"/>
      <c r="H6" s="75" t="n"/>
    </row>
    <row r="7">
      <c r="B7" s="37" t="inlineStr">
        <is>
          <t>Bộ phận</t>
        </is>
      </c>
      <c r="C7" s="7" t="inlineStr">
        <is>
          <t>Phòng Nhân sự</t>
        </is>
      </c>
    </row>
    <row r="8"/>
    <row r="9" ht="42" customHeight="1">
      <c r="A9" s="16" t="inlineStr">
        <is>
          <t>STT</t>
        </is>
      </c>
      <c r="B9" s="16" t="inlineStr">
        <is>
          <t>Nhóm tiêu chí</t>
        </is>
      </c>
      <c r="C9" s="16" t="inlineStr">
        <is>
          <t>Tiêu chí đánh giá</t>
        </is>
      </c>
      <c r="D9" s="16" t="inlineStr">
        <is>
          <t>Cách đo / Chứng cứ chấm điểm</t>
        </is>
      </c>
      <c r="E9" s="16" t="inlineStr">
        <is>
          <t>Trọng số</t>
        </is>
      </c>
      <c r="F9" s="16" t="inlineStr">
        <is>
          <t>Tự đánh giá
(1–5)</t>
        </is>
      </c>
      <c r="G9" s="16" t="inlineStr">
        <is>
          <t>Quản lý chấm
(1–5)</t>
        </is>
      </c>
      <c r="H9" s="16" t="inlineStr">
        <is>
          <t>Điểm quy đổi</t>
        </is>
      </c>
      <c r="I9" s="16" t="inlineStr">
        <is>
          <t>Ghi chú / Lý do (bắt buộc khi điểm ≤1,5 hoặc 5)</t>
        </is>
      </c>
    </row>
    <row r="10" ht="34" customHeight="1">
      <c r="A10" s="17" t="n">
        <v>1</v>
      </c>
      <c r="B10" s="41" t="inlineStr">
        <is>
          <t>Chuyên môn - Nghiệp vụ</t>
        </is>
      </c>
      <c r="C10" s="42" t="inlineStr">
        <is>
          <t>Kết quả các mảng được phân công</t>
        </is>
      </c>
      <c r="D10" s="43" t="inlineStr">
        <is>
          <t>Tỷ lệ hoàn thành chỉ tiêu KPI của các mảng Trưởng phòng giao</t>
        </is>
      </c>
      <c r="E10" s="44" t="n">
        <v>0.12</v>
      </c>
      <c r="F10" s="77" t="n"/>
      <c r="G10" s="77" t="n"/>
      <c r="H10" s="73">
        <f>IF(ISNUMBER(G10),G10/5*E10*100,0)</f>
        <v/>
      </c>
      <c r="I10" s="7" t="n"/>
      <c r="J10" t="inlineStr">
        <is>
          <t>CM</t>
        </is>
      </c>
    </row>
    <row r="11" ht="34" customHeight="1">
      <c r="A11" s="17" t="n">
        <v>2</v>
      </c>
      <c r="B11" s="46" t="n"/>
      <c r="C11" s="42" t="inlineStr">
        <is>
          <t>Soát xét hồ sơ, bảng lương trước khi trình duyệt</t>
        </is>
      </c>
      <c r="D11" s="43" t="inlineStr">
        <is>
          <t>Số lỗi lọt qua khâu soát xét, bị phát hiện ở cấp phê duyệt = 0</t>
        </is>
      </c>
      <c r="E11" s="44" t="n">
        <v>0.1</v>
      </c>
      <c r="F11" s="77" t="n"/>
      <c r="G11" s="77" t="n"/>
      <c r="H11" s="73">
        <f>IF(ISNUMBER(G11),G11/5*E11*100,0)</f>
        <v/>
      </c>
      <c r="I11" s="7" t="n"/>
      <c r="J11" t="inlineStr">
        <is>
          <t>CM</t>
        </is>
      </c>
    </row>
    <row r="12" ht="34" customHeight="1">
      <c r="A12" s="17" t="n">
        <v>3</v>
      </c>
      <c r="B12" s="46" t="n"/>
      <c r="C12" s="42" t="inlineStr">
        <is>
          <t>Triển khai chính sách, quy chế nhân sự</t>
        </is>
      </c>
      <c r="D12" s="43" t="inlineStr">
        <is>
          <t>Tỷ lệ chính sách triển khai đúng kế hoạch, có văn bản hướng dẫn cho các phòng</t>
        </is>
      </c>
      <c r="E12" s="44" t="n">
        <v>0.1</v>
      </c>
      <c r="F12" s="77" t="n"/>
      <c r="G12" s="77" t="n"/>
      <c r="H12" s="73">
        <f>IF(ISNUMBER(G12),G12/5*E12*100,0)</f>
        <v/>
      </c>
      <c r="I12" s="7" t="n"/>
      <c r="J12" t="inlineStr">
        <is>
          <t>CM</t>
        </is>
      </c>
    </row>
    <row r="13" ht="34" customHeight="1">
      <c r="A13" s="17" t="n">
        <v>4</v>
      </c>
      <c r="B13" s="47" t="n"/>
      <c r="C13" s="42" t="inlineStr">
        <is>
          <t>Điều hành thay khi Trưởng phòng vắng mặt</t>
        </is>
      </c>
      <c r="D13" s="43" t="inlineStr">
        <is>
          <t>Công việc không gián đoạn; xử lý đúng phạm vi ủy quyền</t>
        </is>
      </c>
      <c r="E13" s="44" t="n">
        <v>0.08</v>
      </c>
      <c r="F13" s="77" t="n"/>
      <c r="G13" s="77" t="n"/>
      <c r="H13" s="73">
        <f>IF(ISNUMBER(G13),G13/5*E13*100,0)</f>
        <v/>
      </c>
      <c r="I13" s="7" t="n"/>
      <c r="J13" t="inlineStr">
        <is>
          <t>CM</t>
        </is>
      </c>
    </row>
    <row r="14" ht="34" customHeight="1">
      <c r="A14" s="17" t="n">
        <v>5</v>
      </c>
      <c r="B14" s="48" t="inlineStr">
        <is>
          <t>Tuân thủ - Thời hạn</t>
        </is>
      </c>
      <c r="C14" s="42" t="inlineStr">
        <is>
          <t>Tuân thủ pháp luật trong mảng phụ trách</t>
        </is>
      </c>
      <c r="D14" s="43" t="inlineStr">
        <is>
          <t>Không phát sinh sai phạm về lao động, BHXH, thuế TNCN thuộc mảng phụ trách</t>
        </is>
      </c>
      <c r="E14" s="44" t="n">
        <v>0.15</v>
      </c>
      <c r="F14" s="77" t="n"/>
      <c r="G14" s="77" t="n"/>
      <c r="H14" s="73">
        <f>IF(ISNUMBER(G14),G14/5*E14*100,0)</f>
        <v/>
      </c>
      <c r="I14" s="7" t="n"/>
      <c r="J14" t="inlineStr">
        <is>
          <t>TT</t>
        </is>
      </c>
    </row>
    <row r="15" ht="30" customHeight="1">
      <c r="A15" s="17" t="n">
        <v>6</v>
      </c>
      <c r="B15" s="46" t="n"/>
      <c r="C15" s="42" t="inlineStr">
        <is>
          <t>Tiến độ công việc của nhóm</t>
        </is>
      </c>
      <c r="D15" s="43" t="inlineStr">
        <is>
          <t>Tỷ lệ đầu việc của nhóm hoàn thành đúng hạn</t>
        </is>
      </c>
      <c r="E15" s="44" t="n">
        <v>0.1</v>
      </c>
      <c r="F15" s="77" t="n"/>
      <c r="G15" s="77" t="n"/>
      <c r="H15" s="73">
        <f>IF(ISNUMBER(G15),G15/5*E15*100,0)</f>
        <v/>
      </c>
      <c r="I15" s="7" t="n"/>
      <c r="J15" t="inlineStr">
        <is>
          <t>TT</t>
        </is>
      </c>
    </row>
    <row r="16" ht="30" customHeight="1">
      <c r="A16" s="17" t="n">
        <v>7</v>
      </c>
      <c r="B16" s="47" t="n"/>
      <c r="C16" s="42" t="inlineStr">
        <is>
          <t>Báo cáo định kỳ cho Trưởng phòng</t>
        </is>
      </c>
      <c r="D16" s="43" t="inlineStr">
        <is>
          <t>Nộp đúng hạn; số liệu khớp với hồ sơ gốc</t>
        </is>
      </c>
      <c r="E16" s="44" t="n">
        <v>0.1</v>
      </c>
      <c r="F16" s="77" t="n"/>
      <c r="G16" s="77" t="n"/>
      <c r="H16" s="73">
        <f>IF(ISNUMBER(G16),G16/5*E16*100,0)</f>
        <v/>
      </c>
      <c r="I16" s="7" t="n"/>
      <c r="J16" t="inlineStr">
        <is>
          <t>TT</t>
        </is>
      </c>
    </row>
    <row r="17" ht="30" customHeight="1">
      <c r="A17" s="17" t="n">
        <v>8</v>
      </c>
      <c r="B17" s="49" t="inlineStr">
        <is>
          <t>Phối hợp - Thái độ</t>
        </is>
      </c>
      <c r="C17" s="42" t="inlineStr">
        <is>
          <t>Kèm cặp, đào tạo nhân viên</t>
        </is>
      </c>
      <c r="D17" s="43" t="inlineStr">
        <is>
          <t>Số nhân viên được kèm cặp; điểm KPI của nhóm phụ trách</t>
        </is>
      </c>
      <c r="E17" s="44" t="n">
        <v>0.1</v>
      </c>
      <c r="F17" s="77" t="n"/>
      <c r="G17" s="77" t="n"/>
      <c r="H17" s="73">
        <f>IF(ISNUMBER(G17),G17/5*E17*100,0)</f>
        <v/>
      </c>
      <c r="I17" s="7" t="n"/>
      <c r="J17" t="inlineStr">
        <is>
          <t>PH</t>
        </is>
      </c>
    </row>
    <row r="18" ht="30" customHeight="1">
      <c r="A18" s="17" t="n">
        <v>9</v>
      </c>
      <c r="B18" s="46" t="n"/>
      <c r="C18" s="42" t="inlineStr">
        <is>
          <t>Phối hợp liên phòng ban</t>
        </is>
      </c>
      <c r="D18" s="43" t="inlineStr">
        <is>
          <t>Phản hồi của các phòng; số yêu cầu tồn đọng quá hạn</t>
        </is>
      </c>
      <c r="E18" s="44" t="n">
        <v>0.08</v>
      </c>
      <c r="F18" s="77" t="n"/>
      <c r="G18" s="77" t="n"/>
      <c r="H18" s="73">
        <f>IF(ISNUMBER(G18),G18/5*E18*100,0)</f>
        <v/>
      </c>
      <c r="I18" s="7" t="n"/>
      <c r="J18" t="inlineStr">
        <is>
          <t>PH</t>
        </is>
      </c>
    </row>
    <row r="19" ht="34" customHeight="1">
      <c r="A19" s="17" t="n">
        <v>10</v>
      </c>
      <c r="B19" s="47" t="n"/>
      <c r="C19" s="42" t="inlineStr">
        <is>
          <t>Tinh thần trách nhiệm &amp; chủ động</t>
        </is>
      </c>
      <c r="D19" s="43" t="inlineStr">
        <is>
          <t>Đề xuất cải tiến; chủ động xử lý phát sinh không chờ chỉ đạo</t>
        </is>
      </c>
      <c r="E19" s="44" t="n">
        <v>0.07000000000000001</v>
      </c>
      <c r="F19" s="77" t="n"/>
      <c r="G19" s="77" t="n"/>
      <c r="H19" s="73">
        <f>IF(ISNUMBER(G19),G19/5*E19*100,0)</f>
        <v/>
      </c>
      <c r="I19" s="7" t="n"/>
      <c r="J19" t="inlineStr">
        <is>
          <t>PH</t>
        </is>
      </c>
    </row>
    <row r="20" ht="22" customHeight="1">
      <c r="A20" s="50" t="inlineStr">
        <is>
          <t>TỔNG CỘNG</t>
        </is>
      </c>
      <c r="B20" s="74" t="n"/>
      <c r="C20" s="74" t="n"/>
      <c r="D20" s="75" t="n"/>
      <c r="E20" s="51">
        <f>SUM(E10:E19)</f>
        <v/>
      </c>
      <c r="F20" s="50" t="n"/>
      <c r="G20" s="50" t="n"/>
      <c r="H20" s="78">
        <f>SUM(H10:H19)</f>
        <v/>
      </c>
      <c r="I20" s="50" t="n"/>
    </row>
    <row r="21"/>
    <row r="22">
      <c r="A22" s="53" t="inlineStr">
        <is>
          <t>KẾT QUẢ ĐÁNH GIÁ</t>
        </is>
      </c>
      <c r="D22" s="53" t="inlineStr">
        <is>
          <t>ĐIỂM THEO NHÓM TIÊU CHÍ</t>
        </is>
      </c>
    </row>
    <row r="23" ht="20" customHeight="1">
      <c r="A23" s="54" t="inlineStr">
        <is>
          <t>Tổng điểm chính thức</t>
        </is>
      </c>
      <c r="B23" s="75" t="n"/>
      <c r="C23" s="79">
        <f>H20</f>
        <v/>
      </c>
      <c r="D23" s="57" t="inlineStr">
        <is>
          <t>Nhóm tiêu chí</t>
        </is>
      </c>
      <c r="E23" s="57" t="inlineStr">
        <is>
          <t>Trọng số</t>
        </is>
      </c>
      <c r="F23" s="57" t="inlineStr">
        <is>
          <t>Điểm tối đa</t>
        </is>
      </c>
      <c r="G23" s="57" t="inlineStr">
        <is>
          <t>Điểm đạt</t>
        </is>
      </c>
      <c r="H23" s="57" t="inlineStr">
        <is>
          <t>Tỷ lệ đạt</t>
        </is>
      </c>
    </row>
    <row r="24" ht="20" customHeight="1">
      <c r="A24" s="54" t="inlineStr">
        <is>
          <t>Điểm tự đánh giá</t>
        </is>
      </c>
      <c r="B24" s="75" t="n"/>
      <c r="C24" s="73">
        <f>IF(COUNT(F10:F19)=0,"",SUMPRODUCT(F10:F19,E10:E19)/5*100)</f>
        <v/>
      </c>
      <c r="D24" s="58" t="inlineStr">
        <is>
          <t>Chuyên môn - Nghiệp vụ</t>
        </is>
      </c>
      <c r="E24" s="22">
        <f>SUMIF($J$10:$J$19,"CM",$E$10:$E$19)</f>
        <v/>
      </c>
      <c r="F24" s="67">
        <f>E24*100</f>
        <v/>
      </c>
      <c r="G24" s="67">
        <f>SUMIF($J$10:$J$19,"CM",$H$10:$H$19)</f>
        <v/>
      </c>
      <c r="H24" s="59">
        <f>IF(F24=0,0,G24/F24)</f>
        <v/>
      </c>
    </row>
    <row r="25" ht="20" customHeight="1">
      <c r="A25" s="54" t="inlineStr">
        <is>
          <t>Tiêu chí đã chấm</t>
        </is>
      </c>
      <c r="B25" s="75" t="n"/>
      <c r="C25" s="60">
        <f>COUNT(G10:G19)&amp;" / 10"</f>
        <v/>
      </c>
      <c r="D25" s="61" t="inlineStr">
        <is>
          <t>Tuân thủ - Thời hạn</t>
        </is>
      </c>
      <c r="E25" s="22">
        <f>SUMIF($J$10:$J$19,"TT",$E$10:$E$19)</f>
        <v/>
      </c>
      <c r="F25" s="67">
        <f>E25*100</f>
        <v/>
      </c>
      <c r="G25" s="67">
        <f>SUMIF($J$10:$J$19,"TT",$H$10:$H$19)</f>
        <v/>
      </c>
      <c r="H25" s="59">
        <f>IF(F25=0,0,G25/F25)</f>
        <v/>
      </c>
    </row>
    <row r="26" ht="20" customHeight="1">
      <c r="A26" s="54" t="inlineStr">
        <is>
          <t>Xếp loại</t>
        </is>
      </c>
      <c r="B26" s="75" t="n"/>
      <c r="C26" s="62">
        <f>IF(COUNT(G10:G19)=0,"Chưa chấm",IF(COUNT(G10:G19)&lt;10,"Chưa chấm đủ",IF(H20&gt;=80,"Xuất sắc",IF(H20&gt;=70,"Đạt","Cần cải thiện"))))</f>
        <v/>
      </c>
      <c r="D26" s="63" t="inlineStr">
        <is>
          <t>Phối hợp - Thái độ</t>
        </is>
      </c>
      <c r="E26" s="22">
        <f>SUMIF($J$10:$J$19,"PH",$E$10:$E$19)</f>
        <v/>
      </c>
      <c r="F26" s="67">
        <f>E26*100</f>
        <v/>
      </c>
      <c r="G26" s="67">
        <f>SUMIF($J$10:$J$19,"PH",$H$10:$H$19)</f>
        <v/>
      </c>
      <c r="H26" s="59">
        <f>IF(F26=0,0,G26/F26)</f>
        <v/>
      </c>
    </row>
    <row r="27" ht="20" customHeight="1">
      <c r="A27" s="54" t="inlineStr">
        <is>
          <t>Kiểm tra trọng số</t>
        </is>
      </c>
      <c r="B27" s="75" t="n"/>
      <c r="C27" s="60">
        <f>IF(ROUND(E20,4)=1,"Hợp lệ – 100%","SAI – tổng trọng số phải = 100%")</f>
        <v/>
      </c>
    </row>
    <row r="28"/>
    <row r="29">
      <c r="A29" s="29" t="inlineStr">
        <is>
          <t>NHẬN XÉT &amp; KẾ HOẠCH CẢI THIỆN (Bước 5 – phản hồi kết quả)</t>
        </is>
      </c>
    </row>
    <row r="30" ht="36" customHeight="1">
      <c r="A30" s="54" t="inlineStr">
        <is>
          <t>Điểm mạnh</t>
        </is>
      </c>
      <c r="B30" s="75" t="n"/>
      <c r="C30" s="7" t="n"/>
      <c r="D30" s="74" t="n"/>
      <c r="E30" s="74" t="n"/>
      <c r="F30" s="74" t="n"/>
      <c r="G30" s="74" t="n"/>
      <c r="H30" s="74" t="n"/>
      <c r="I30" s="75" t="n"/>
    </row>
    <row r="31" ht="36" customHeight="1">
      <c r="A31" s="54" t="inlineStr">
        <is>
          <t>Cần cải thiện</t>
        </is>
      </c>
      <c r="B31" s="75" t="n"/>
      <c r="C31" s="7" t="n"/>
      <c r="D31" s="74" t="n"/>
      <c r="E31" s="74" t="n"/>
      <c r="F31" s="74" t="n"/>
      <c r="G31" s="74" t="n"/>
      <c r="H31" s="74" t="n"/>
      <c r="I31" s="75" t="n"/>
    </row>
    <row r="32" ht="36" customHeight="1">
      <c r="A32" s="54" t="inlineStr">
        <is>
          <t>Kế hoạch cải thiện</t>
        </is>
      </c>
      <c r="B32" s="75" t="n"/>
      <c r="C32" s="7" t="n"/>
      <c r="D32" s="74" t="n"/>
      <c r="E32" s="74" t="n"/>
      <c r="F32" s="74" t="n"/>
      <c r="G32" s="74" t="n"/>
      <c r="H32" s="74" t="n"/>
      <c r="I32" s="75" t="n"/>
    </row>
    <row r="33" ht="36" customHeight="1">
      <c r="A33" s="54" t="inlineStr">
        <is>
          <t>Ý kiến nhân sự</t>
        </is>
      </c>
      <c r="B33" s="75" t="n"/>
      <c r="C33" s="7" t="n"/>
      <c r="D33" s="74" t="n"/>
      <c r="E33" s="74" t="n"/>
      <c r="F33" s="74" t="n"/>
      <c r="G33" s="74" t="n"/>
      <c r="H33" s="74" t="n"/>
      <c r="I33" s="75" t="n"/>
    </row>
    <row r="34"/>
    <row r="35">
      <c r="B35" s="65" t="inlineStr">
        <is>
          <t>NHÂN SỰ ĐƯỢC ĐÁNH GIÁ</t>
        </is>
      </c>
      <c r="D35" s="65" t="inlineStr">
        <is>
          <t>QUẢN LÝ TRỰC TIẾP</t>
        </is>
      </c>
      <c r="G35" s="65" t="inlineStr">
        <is>
          <t>NGƯỜI PHÊ DUYỆT</t>
        </is>
      </c>
    </row>
    <row r="36">
      <c r="B36" s="66" t="inlineStr">
        <is>
          <t>(Ký, ghi rõ họ tên)</t>
        </is>
      </c>
      <c r="D36" s="66" t="inlineStr">
        <is>
          <t>(Ký, ghi rõ họ tên)</t>
        </is>
      </c>
      <c r="G36" s="66" t="inlineStr">
        <is>
          <t>(Ký, ghi rõ họ tên)</t>
        </is>
      </c>
    </row>
  </sheetData>
  <mergeCells count="32">
    <mergeCell ref="A24:B24"/>
    <mergeCell ref="A30:B30"/>
    <mergeCell ref="A20:D20"/>
    <mergeCell ref="E5:F5"/>
    <mergeCell ref="C32:I32"/>
    <mergeCell ref="D22:H22"/>
    <mergeCell ref="E4:F4"/>
    <mergeCell ref="A2:I2"/>
    <mergeCell ref="A25:B25"/>
    <mergeCell ref="A22:C22"/>
    <mergeCell ref="G35:I35"/>
    <mergeCell ref="C30:I30"/>
    <mergeCell ref="G6:H6"/>
    <mergeCell ref="C33:I33"/>
    <mergeCell ref="A27:B27"/>
    <mergeCell ref="B10:B13"/>
    <mergeCell ref="A29:I29"/>
    <mergeCell ref="A26:B26"/>
    <mergeCell ref="E6:F6"/>
    <mergeCell ref="A33:B33"/>
    <mergeCell ref="G5:H5"/>
    <mergeCell ref="A32:B32"/>
    <mergeCell ref="A23:B23"/>
    <mergeCell ref="G4:H4"/>
    <mergeCell ref="C31:I31"/>
    <mergeCell ref="B17:B19"/>
    <mergeCell ref="G36:I36"/>
    <mergeCell ref="A1:I1"/>
    <mergeCell ref="B14:B16"/>
    <mergeCell ref="B36:C36"/>
    <mergeCell ref="A31:B31"/>
    <mergeCell ref="B35:C35"/>
  </mergeCells>
  <conditionalFormatting sqref="I10:I19">
    <cfRule type="expression" priority="1" dxfId="5">
      <formula>AND(ISNUMBER($G10),OR($G10&lt;=1.5,$G10&gt;=5),LEN($I10)=0)</formula>
    </cfRule>
  </conditionalFormatting>
  <conditionalFormatting sqref="G10:G19">
    <cfRule type="cellIs" priority="2" operator="lessThanOrEqual" dxfId="4">
      <formula>2</formula>
    </cfRule>
  </conditionalFormatting>
  <conditionalFormatting sqref="C26">
    <cfRule type="expression" priority="3" dxfId="0">
      <formula>C26="Xuất sắc"</formula>
    </cfRule>
    <cfRule type="expression" priority="4" dxfId="1">
      <formula>C26="Đạt"</formula>
    </cfRule>
    <cfRule type="expression" priority="5" dxfId="2">
      <formula>C26="Cần cải thiện"</formula>
    </cfRule>
    <cfRule type="expression" priority="6" dxfId="3">
      <formula>C26="Chưa chấm đủ"</formula>
    </cfRule>
  </conditionalFormatting>
  <conditionalFormatting sqref="C27">
    <cfRule type="expression" priority="7" dxfId="6">
      <formula>LEFT(C27,3)="SAI"</formula>
    </cfRule>
  </conditionalFormatting>
  <dataValidations count="2">
    <dataValidation sqref="F10:G19" showDropDown="0" showInputMessage="1" showErrorMessage="1" allowBlank="1" errorTitle="Điểm không hợp lệ" error="Nhập điểm từ 1 đến 5 (cho phép số lẻ như 3.5)." promptTitle="Thang điểm 1–5" prompt="5 Tuyệt vời · 4 Tốt · 3 Bình thường · 2 Chưa đạt · 1 Kém" type="decimal" operator="between">
      <formula1>1</formula1>
      <formula2>5</formula2>
    </dataValidation>
    <dataValidation sqref="G4" showDropDown="0" showInputMessage="0" showErrorMessage="1" allowBlank="0" type="list">
      <formula1>"Tháng,Quý,Năm"</formula1>
    </dataValidation>
  </dataValidations>
  <printOptions horizontalCentered="1"/>
  <pageMargins left="0.4" right="0.4" top="1" bottom="1" header="0.5" footer="0.5"/>
  <pageSetup orientation="landscape" paperSize="9" fitToHeight="0" fitToWidth="1"/>
  <headerFooter>
    <oddHeader/>
    <oddFooter>&amp;L&amp;8 Mr Wick Kiểm toán · taichinhketoanedu.com&amp;R&amp;8 Trang &amp;P/&amp;N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J36"/>
  <sheetViews>
    <sheetView showGridLines="0" tabSelected="0" zoomScale="9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34" customWidth="1" min="3" max="3"/>
    <col width="50" customWidth="1" min="4" max="4"/>
    <col width="10" customWidth="1" min="5" max="5"/>
    <col width="10" customWidth="1" min="6" max="6"/>
    <col width="10" customWidth="1" min="7" max="7"/>
    <col width="11" customWidth="1" min="8" max="8"/>
    <col width="30" customWidth="1" min="9" max="9"/>
    <col hidden="1" width="6" customWidth="1" min="10" max="10"/>
  </cols>
  <sheetData>
    <row r="1" ht="30" customHeight="1">
      <c r="A1" s="1" t="inlineStr">
        <is>
          <t>BẢNG ĐÁNH GIÁ KPI – CHUYÊN VIÊN ĐỐI TÁC NHÂN SỰ (HRBP)</t>
        </is>
      </c>
    </row>
    <row r="2">
      <c r="A2" s="2" t="inlineStr">
        <is>
          <t xml:space="preserve">Phòng Nhân sự · Phụ lục 02 kèm Quy chế đánh giá KPI · KK HOME · </t>
        </is>
      </c>
    </row>
    <row r="3"/>
    <row r="4">
      <c r="B4" s="37" t="inlineStr">
        <is>
          <t>Họ và tên</t>
        </is>
      </c>
      <c r="C4" s="7" t="n"/>
      <c r="E4" s="37" t="inlineStr">
        <is>
          <t>Loại kỳ đánh giá</t>
        </is>
      </c>
      <c r="G4" s="38" t="inlineStr">
        <is>
          <t>Quý</t>
        </is>
      </c>
      <c r="H4" s="75" t="n"/>
      <c r="I4" s="39" t="inlineStr">
        <is>
          <t>← chọn Tháng / Quý / Năm</t>
        </is>
      </c>
    </row>
    <row r="5">
      <c r="B5" s="37" t="inlineStr">
        <is>
          <t>Mã nhân viên</t>
        </is>
      </c>
      <c r="C5" s="7" t="n"/>
      <c r="E5" s="37" t="inlineStr">
        <is>
          <t>Kỳ đánh giá</t>
        </is>
      </c>
      <c r="G5" s="38" t="n"/>
      <c r="H5" s="75" t="n"/>
      <c r="I5" s="39" t="inlineStr">
        <is>
          <t>VD: Tháng 9/2026, Quý 3/2026, Năm 2026</t>
        </is>
      </c>
    </row>
    <row r="6">
      <c r="B6" s="37" t="inlineStr">
        <is>
          <t>Người đánh giá</t>
        </is>
      </c>
      <c r="C6" s="7" t="n"/>
      <c r="E6" s="37" t="inlineStr">
        <is>
          <t>Ngày đánh giá</t>
        </is>
      </c>
      <c r="G6" s="76" t="n"/>
      <c r="H6" s="75" t="n"/>
    </row>
    <row r="7">
      <c r="B7" s="37" t="inlineStr">
        <is>
          <t>Bộ phận</t>
        </is>
      </c>
      <c r="C7" s="7" t="inlineStr">
        <is>
          <t>Phòng Nhân sự</t>
        </is>
      </c>
    </row>
    <row r="8"/>
    <row r="9" ht="42" customHeight="1">
      <c r="A9" s="16" t="inlineStr">
        <is>
          <t>STT</t>
        </is>
      </c>
      <c r="B9" s="16" t="inlineStr">
        <is>
          <t>Nhóm tiêu chí</t>
        </is>
      </c>
      <c r="C9" s="16" t="inlineStr">
        <is>
          <t>Tiêu chí đánh giá</t>
        </is>
      </c>
      <c r="D9" s="16" t="inlineStr">
        <is>
          <t>Cách đo / Chứng cứ chấm điểm</t>
        </is>
      </c>
      <c r="E9" s="16" t="inlineStr">
        <is>
          <t>Trọng số</t>
        </is>
      </c>
      <c r="F9" s="16" t="inlineStr">
        <is>
          <t>Tự đánh giá
(1–5)</t>
        </is>
      </c>
      <c r="G9" s="16" t="inlineStr">
        <is>
          <t>Quản lý chấm
(1–5)</t>
        </is>
      </c>
      <c r="H9" s="16" t="inlineStr">
        <is>
          <t>Điểm quy đổi</t>
        </is>
      </c>
      <c r="I9" s="16" t="inlineStr">
        <is>
          <t>Ghi chú / Lý do (bắt buộc khi điểm ≤1,5 hoặc 5)</t>
        </is>
      </c>
    </row>
    <row r="10" ht="34" customHeight="1">
      <c r="A10" s="17" t="n">
        <v>1</v>
      </c>
      <c r="B10" s="41" t="inlineStr">
        <is>
          <t>Chuyên môn - Nghiệp vụ</t>
        </is>
      </c>
      <c r="C10" s="42" t="inlineStr">
        <is>
          <t>Kế hoạch nhân sự bám mục tiêu kinh doanh của khối</t>
        </is>
      </c>
      <c r="D10" s="43" t="inlineStr">
        <is>
          <t>Kế hoạch nhân sự của khối phụ trách được duyệt, gắn với chỉ tiêu kinh doanh</t>
        </is>
      </c>
      <c r="E10" s="44" t="n">
        <v>0.1</v>
      </c>
      <c r="F10" s="77" t="n"/>
      <c r="G10" s="77" t="n"/>
      <c r="H10" s="73">
        <f>IF(ISNUMBER(G10),G10/5*E10*100,0)</f>
        <v/>
      </c>
      <c r="I10" s="7" t="n"/>
      <c r="J10" t="inlineStr">
        <is>
          <t>CM</t>
        </is>
      </c>
    </row>
    <row r="11" ht="34" customHeight="1">
      <c r="A11" s="17" t="n">
        <v>2</v>
      </c>
      <c r="B11" s="46" t="n"/>
      <c r="C11" s="42" t="inlineStr">
        <is>
          <t>Tư vấn quản lý về vấn đề con người</t>
        </is>
      </c>
      <c r="D11" s="43" t="inlineStr">
        <is>
          <t>Số vấn đề (hiệu suất, kỷ luật, cơ cấu) được tư vấn và xử lý dứt điểm</t>
        </is>
      </c>
      <c r="E11" s="44" t="n">
        <v>0.1</v>
      </c>
      <c r="F11" s="77" t="n"/>
      <c r="G11" s="77" t="n"/>
      <c r="H11" s="73">
        <f>IF(ISNUMBER(G11),G11/5*E11*100,0)</f>
        <v/>
      </c>
      <c r="I11" s="7" t="n"/>
      <c r="J11" t="inlineStr">
        <is>
          <t>CM</t>
        </is>
      </c>
    </row>
    <row r="12" ht="30" customHeight="1">
      <c r="A12" s="17" t="n">
        <v>3</v>
      </c>
      <c r="B12" s="46" t="n"/>
      <c r="C12" s="42" t="inlineStr">
        <is>
          <t>Tỷ lệ nghỉ việc tại khối phụ trách</t>
        </is>
      </c>
      <c r="D12" s="43" t="inlineStr">
        <is>
          <t>Tỷ lệ nghỉ việc tự nguyện so với mục tiêu của khối</t>
        </is>
      </c>
      <c r="E12" s="44" t="n">
        <v>0.1</v>
      </c>
      <c r="F12" s="77" t="n"/>
      <c r="G12" s="77" t="n"/>
      <c r="H12" s="73">
        <f>IF(ISNUMBER(G12),G12/5*E12*100,0)</f>
        <v/>
      </c>
      <c r="I12" s="7" t="n"/>
      <c r="J12" t="inlineStr">
        <is>
          <t>CM</t>
        </is>
      </c>
    </row>
    <row r="13" ht="34" customHeight="1">
      <c r="A13" s="17" t="n">
        <v>4</v>
      </c>
      <c r="B13" s="47" t="n"/>
      <c r="C13" s="42" t="inlineStr">
        <is>
          <t>Quản trị hiệu suất tại khối phụ trách</t>
        </is>
      </c>
      <c r="D13" s="43" t="inlineStr">
        <is>
          <t>Tỷ lệ nhân sự được đánh giá KPI đúng kỳ; nhân sự "Cần cải thiện" có kế hoạch cải thiện</t>
        </is>
      </c>
      <c r="E13" s="44" t="n">
        <v>0.1</v>
      </c>
      <c r="F13" s="77" t="n"/>
      <c r="G13" s="77" t="n"/>
      <c r="H13" s="73">
        <f>IF(ISNUMBER(G13),G13/5*E13*100,0)</f>
        <v/>
      </c>
      <c r="I13" s="7" t="n"/>
      <c r="J13" t="inlineStr">
        <is>
          <t>CM</t>
        </is>
      </c>
    </row>
    <row r="14" ht="30" customHeight="1">
      <c r="A14" s="17" t="n">
        <v>5</v>
      </c>
      <c r="B14" s="48" t="inlineStr">
        <is>
          <t>Tuân thủ - Thời hạn</t>
        </is>
      </c>
      <c r="C14" s="42" t="inlineStr">
        <is>
          <t>Áp dụng đúng chính sách nhân sự</t>
        </is>
      </c>
      <c r="D14" s="43" t="inlineStr">
        <is>
          <t>Số trường hợp áp dụng sai quy chế tại khối = 0</t>
        </is>
      </c>
      <c r="E14" s="44" t="n">
        <v>0.12</v>
      </c>
      <c r="F14" s="77" t="n"/>
      <c r="G14" s="77" t="n"/>
      <c r="H14" s="73">
        <f>IF(ISNUMBER(G14),G14/5*E14*100,0)</f>
        <v/>
      </c>
      <c r="I14" s="7" t="n"/>
      <c r="J14" t="inlineStr">
        <is>
          <t>TT</t>
        </is>
      </c>
    </row>
    <row r="15" ht="34" customHeight="1">
      <c r="A15" s="17" t="n">
        <v>6</v>
      </c>
      <c r="B15" s="46" t="n"/>
      <c r="C15" s="42" t="inlineStr">
        <is>
          <t>Tiến độ các kế hoạch nhân sự của khối</t>
        </is>
      </c>
      <c r="D15" s="43" t="inlineStr">
        <is>
          <t>Đầu việc tuyển dụng, đào tạo, luân chuyển hoàn thành đúng mốc</t>
        </is>
      </c>
      <c r="E15" s="44" t="n">
        <v>0.12</v>
      </c>
      <c r="F15" s="77" t="n"/>
      <c r="G15" s="77" t="n"/>
      <c r="H15" s="73">
        <f>IF(ISNUMBER(G15),G15/5*E15*100,0)</f>
        <v/>
      </c>
      <c r="I15" s="7" t="n"/>
      <c r="J15" t="inlineStr">
        <is>
          <t>TT</t>
        </is>
      </c>
    </row>
    <row r="16" ht="34" customHeight="1">
      <c r="A16" s="17" t="n">
        <v>7</v>
      </c>
      <c r="B16" s="47" t="n"/>
      <c r="C16" s="42" t="inlineStr">
        <is>
          <t>Kiểm soát rủi ro quan hệ lao động</t>
        </is>
      </c>
      <c r="D16" s="43" t="inlineStr">
        <is>
          <t>Rủi ro được ghi nhận và báo sớm; không có khiếu nại vượt cấp</t>
        </is>
      </c>
      <c r="E16" s="44" t="n">
        <v>0.11</v>
      </c>
      <c r="F16" s="77" t="n"/>
      <c r="G16" s="77" t="n"/>
      <c r="H16" s="73">
        <f>IF(ISNUMBER(G16),G16/5*E16*100,0)</f>
        <v/>
      </c>
      <c r="I16" s="7" t="n"/>
      <c r="J16" t="inlineStr">
        <is>
          <t>TT</t>
        </is>
      </c>
    </row>
    <row r="17" ht="30" customHeight="1">
      <c r="A17" s="17" t="n">
        <v>8</v>
      </c>
      <c r="B17" s="49" t="inlineStr">
        <is>
          <t>Phối hợp - Thái độ</t>
        </is>
      </c>
      <c r="C17" s="42" t="inlineStr">
        <is>
          <t>Mức hài lòng của quản lý khối</t>
        </is>
      </c>
      <c r="D17" s="43" t="inlineStr">
        <is>
          <t>Điểm khảo sát định kỳ của quản lý khối phụ trách</t>
        </is>
      </c>
      <c r="E17" s="44" t="n">
        <v>0.1</v>
      </c>
      <c r="F17" s="77" t="n"/>
      <c r="G17" s="77" t="n"/>
      <c r="H17" s="73">
        <f>IF(ISNUMBER(G17),G17/5*E17*100,0)</f>
        <v/>
      </c>
      <c r="I17" s="7" t="n"/>
      <c r="J17" t="inlineStr">
        <is>
          <t>PH</t>
        </is>
      </c>
    </row>
    <row r="18" ht="30" customHeight="1">
      <c r="A18" s="17" t="n">
        <v>9</v>
      </c>
      <c r="B18" s="46" t="n"/>
      <c r="C18" s="42" t="inlineStr">
        <is>
          <t>Kết nối Phòng Nhân sự với khối</t>
        </is>
      </c>
      <c r="D18" s="43" t="inlineStr">
        <is>
          <t>Yêu cầu, phản hồi chuyển đúng đầu mối, đúng hạn</t>
        </is>
      </c>
      <c r="E18" s="44" t="n">
        <v>0.08</v>
      </c>
      <c r="F18" s="77" t="n"/>
      <c r="G18" s="77" t="n"/>
      <c r="H18" s="73">
        <f>IF(ISNUMBER(G18),G18/5*E18*100,0)</f>
        <v/>
      </c>
      <c r="I18" s="7" t="n"/>
      <c r="J18" t="inlineStr">
        <is>
          <t>PH</t>
        </is>
      </c>
    </row>
    <row r="19" ht="30" customHeight="1">
      <c r="A19" s="17" t="n">
        <v>10</v>
      </c>
      <c r="B19" s="47" t="n"/>
      <c r="C19" s="42" t="inlineStr">
        <is>
          <t>Tinh thần trách nhiệm &amp; chủ động</t>
        </is>
      </c>
      <c r="D19" s="43" t="inlineStr">
        <is>
          <t>Chủ động đề xuất giải pháp nhân sự cho khối</t>
        </is>
      </c>
      <c r="E19" s="44" t="n">
        <v>0.07000000000000001</v>
      </c>
      <c r="F19" s="77" t="n"/>
      <c r="G19" s="77" t="n"/>
      <c r="H19" s="73">
        <f>IF(ISNUMBER(G19),G19/5*E19*100,0)</f>
        <v/>
      </c>
      <c r="I19" s="7" t="n"/>
      <c r="J19" t="inlineStr">
        <is>
          <t>PH</t>
        </is>
      </c>
    </row>
    <row r="20" ht="22" customHeight="1">
      <c r="A20" s="50" t="inlineStr">
        <is>
          <t>TỔNG CỘNG</t>
        </is>
      </c>
      <c r="B20" s="74" t="n"/>
      <c r="C20" s="74" t="n"/>
      <c r="D20" s="75" t="n"/>
      <c r="E20" s="51">
        <f>SUM(E10:E19)</f>
        <v/>
      </c>
      <c r="F20" s="50" t="n"/>
      <c r="G20" s="50" t="n"/>
      <c r="H20" s="78">
        <f>SUM(H10:H19)</f>
        <v/>
      </c>
      <c r="I20" s="50" t="n"/>
    </row>
    <row r="21"/>
    <row r="22">
      <c r="A22" s="53" t="inlineStr">
        <is>
          <t>KẾT QUẢ ĐÁNH GIÁ</t>
        </is>
      </c>
      <c r="D22" s="53" t="inlineStr">
        <is>
          <t>ĐIỂM THEO NHÓM TIÊU CHÍ</t>
        </is>
      </c>
    </row>
    <row r="23" ht="20" customHeight="1">
      <c r="A23" s="54" t="inlineStr">
        <is>
          <t>Tổng điểm chính thức</t>
        </is>
      </c>
      <c r="B23" s="75" t="n"/>
      <c r="C23" s="79">
        <f>H20</f>
        <v/>
      </c>
      <c r="D23" s="57" t="inlineStr">
        <is>
          <t>Nhóm tiêu chí</t>
        </is>
      </c>
      <c r="E23" s="57" t="inlineStr">
        <is>
          <t>Trọng số</t>
        </is>
      </c>
      <c r="F23" s="57" t="inlineStr">
        <is>
          <t>Điểm tối đa</t>
        </is>
      </c>
      <c r="G23" s="57" t="inlineStr">
        <is>
          <t>Điểm đạt</t>
        </is>
      </c>
      <c r="H23" s="57" t="inlineStr">
        <is>
          <t>Tỷ lệ đạt</t>
        </is>
      </c>
    </row>
    <row r="24" ht="20" customHeight="1">
      <c r="A24" s="54" t="inlineStr">
        <is>
          <t>Điểm tự đánh giá</t>
        </is>
      </c>
      <c r="B24" s="75" t="n"/>
      <c r="C24" s="73">
        <f>IF(COUNT(F10:F19)=0,"",SUMPRODUCT(F10:F19,E10:E19)/5*100)</f>
        <v/>
      </c>
      <c r="D24" s="58" t="inlineStr">
        <is>
          <t>Chuyên môn - Nghiệp vụ</t>
        </is>
      </c>
      <c r="E24" s="22">
        <f>SUMIF($J$10:$J$19,"CM",$E$10:$E$19)</f>
        <v/>
      </c>
      <c r="F24" s="67">
        <f>E24*100</f>
        <v/>
      </c>
      <c r="G24" s="67">
        <f>SUMIF($J$10:$J$19,"CM",$H$10:$H$19)</f>
        <v/>
      </c>
      <c r="H24" s="59">
        <f>IF(F24=0,0,G24/F24)</f>
        <v/>
      </c>
    </row>
    <row r="25" ht="20" customHeight="1">
      <c r="A25" s="54" t="inlineStr">
        <is>
          <t>Tiêu chí đã chấm</t>
        </is>
      </c>
      <c r="B25" s="75" t="n"/>
      <c r="C25" s="60">
        <f>COUNT(G10:G19)&amp;" / 10"</f>
        <v/>
      </c>
      <c r="D25" s="61" t="inlineStr">
        <is>
          <t>Tuân thủ - Thời hạn</t>
        </is>
      </c>
      <c r="E25" s="22">
        <f>SUMIF($J$10:$J$19,"TT",$E$10:$E$19)</f>
        <v/>
      </c>
      <c r="F25" s="67">
        <f>E25*100</f>
        <v/>
      </c>
      <c r="G25" s="67">
        <f>SUMIF($J$10:$J$19,"TT",$H$10:$H$19)</f>
        <v/>
      </c>
      <c r="H25" s="59">
        <f>IF(F25=0,0,G25/F25)</f>
        <v/>
      </c>
    </row>
    <row r="26" ht="20" customHeight="1">
      <c r="A26" s="54" t="inlineStr">
        <is>
          <t>Xếp loại</t>
        </is>
      </c>
      <c r="B26" s="75" t="n"/>
      <c r="C26" s="62">
        <f>IF(COUNT(G10:G19)=0,"Chưa chấm",IF(COUNT(G10:G19)&lt;10,"Chưa chấm đủ",IF(H20&gt;=80,"Xuất sắc",IF(H20&gt;=70,"Đạt","Cần cải thiện"))))</f>
        <v/>
      </c>
      <c r="D26" s="63" t="inlineStr">
        <is>
          <t>Phối hợp - Thái độ</t>
        </is>
      </c>
      <c r="E26" s="22">
        <f>SUMIF($J$10:$J$19,"PH",$E$10:$E$19)</f>
        <v/>
      </c>
      <c r="F26" s="67">
        <f>E26*100</f>
        <v/>
      </c>
      <c r="G26" s="67">
        <f>SUMIF($J$10:$J$19,"PH",$H$10:$H$19)</f>
        <v/>
      </c>
      <c r="H26" s="59">
        <f>IF(F26=0,0,G26/F26)</f>
        <v/>
      </c>
    </row>
    <row r="27" ht="20" customHeight="1">
      <c r="A27" s="54" t="inlineStr">
        <is>
          <t>Kiểm tra trọng số</t>
        </is>
      </c>
      <c r="B27" s="75" t="n"/>
      <c r="C27" s="60">
        <f>IF(ROUND(E20,4)=1,"Hợp lệ – 100%","SAI – tổng trọng số phải = 100%")</f>
        <v/>
      </c>
    </row>
    <row r="28"/>
    <row r="29">
      <c r="A29" s="29" t="inlineStr">
        <is>
          <t>NHẬN XÉT &amp; KẾ HOẠCH CẢI THIỆN (Bước 5 – phản hồi kết quả)</t>
        </is>
      </c>
    </row>
    <row r="30" ht="36" customHeight="1">
      <c r="A30" s="54" t="inlineStr">
        <is>
          <t>Điểm mạnh</t>
        </is>
      </c>
      <c r="B30" s="75" t="n"/>
      <c r="C30" s="7" t="n"/>
      <c r="D30" s="74" t="n"/>
      <c r="E30" s="74" t="n"/>
      <c r="F30" s="74" t="n"/>
      <c r="G30" s="74" t="n"/>
      <c r="H30" s="74" t="n"/>
      <c r="I30" s="75" t="n"/>
    </row>
    <row r="31" ht="36" customHeight="1">
      <c r="A31" s="54" t="inlineStr">
        <is>
          <t>Cần cải thiện</t>
        </is>
      </c>
      <c r="B31" s="75" t="n"/>
      <c r="C31" s="7" t="n"/>
      <c r="D31" s="74" t="n"/>
      <c r="E31" s="74" t="n"/>
      <c r="F31" s="74" t="n"/>
      <c r="G31" s="74" t="n"/>
      <c r="H31" s="74" t="n"/>
      <c r="I31" s="75" t="n"/>
    </row>
    <row r="32" ht="36" customHeight="1">
      <c r="A32" s="54" t="inlineStr">
        <is>
          <t>Kế hoạch cải thiện</t>
        </is>
      </c>
      <c r="B32" s="75" t="n"/>
      <c r="C32" s="7" t="n"/>
      <c r="D32" s="74" t="n"/>
      <c r="E32" s="74" t="n"/>
      <c r="F32" s="74" t="n"/>
      <c r="G32" s="74" t="n"/>
      <c r="H32" s="74" t="n"/>
      <c r="I32" s="75" t="n"/>
    </row>
    <row r="33" ht="36" customHeight="1">
      <c r="A33" s="54" t="inlineStr">
        <is>
          <t>Ý kiến nhân sự</t>
        </is>
      </c>
      <c r="B33" s="75" t="n"/>
      <c r="C33" s="7" t="n"/>
      <c r="D33" s="74" t="n"/>
      <c r="E33" s="74" t="n"/>
      <c r="F33" s="74" t="n"/>
      <c r="G33" s="74" t="n"/>
      <c r="H33" s="74" t="n"/>
      <c r="I33" s="75" t="n"/>
    </row>
    <row r="34"/>
    <row r="35">
      <c r="B35" s="65" t="inlineStr">
        <is>
          <t>NHÂN SỰ ĐƯỢC ĐÁNH GIÁ</t>
        </is>
      </c>
      <c r="D35" s="65" t="inlineStr">
        <is>
          <t>QUẢN LÝ TRỰC TIẾP</t>
        </is>
      </c>
      <c r="G35" s="65" t="inlineStr">
        <is>
          <t>NGƯỜI PHÊ DUYỆT</t>
        </is>
      </c>
    </row>
    <row r="36">
      <c r="B36" s="66" t="inlineStr">
        <is>
          <t>(Ký, ghi rõ họ tên)</t>
        </is>
      </c>
      <c r="D36" s="66" t="inlineStr">
        <is>
          <t>(Ký, ghi rõ họ tên)</t>
        </is>
      </c>
      <c r="G36" s="66" t="inlineStr">
        <is>
          <t>(Ký, ghi rõ họ tên)</t>
        </is>
      </c>
    </row>
  </sheetData>
  <mergeCells count="32">
    <mergeCell ref="A24:B24"/>
    <mergeCell ref="A30:B30"/>
    <mergeCell ref="A20:D20"/>
    <mergeCell ref="E5:F5"/>
    <mergeCell ref="C32:I32"/>
    <mergeCell ref="D22:H22"/>
    <mergeCell ref="E4:F4"/>
    <mergeCell ref="A2:I2"/>
    <mergeCell ref="A25:B25"/>
    <mergeCell ref="A22:C22"/>
    <mergeCell ref="G35:I35"/>
    <mergeCell ref="C30:I30"/>
    <mergeCell ref="G6:H6"/>
    <mergeCell ref="C33:I33"/>
    <mergeCell ref="A27:B27"/>
    <mergeCell ref="B10:B13"/>
    <mergeCell ref="A29:I29"/>
    <mergeCell ref="A26:B26"/>
    <mergeCell ref="E6:F6"/>
    <mergeCell ref="A33:B33"/>
    <mergeCell ref="G5:H5"/>
    <mergeCell ref="A32:B32"/>
    <mergeCell ref="A23:B23"/>
    <mergeCell ref="G4:H4"/>
    <mergeCell ref="C31:I31"/>
    <mergeCell ref="B17:B19"/>
    <mergeCell ref="G36:I36"/>
    <mergeCell ref="A1:I1"/>
    <mergeCell ref="B14:B16"/>
    <mergeCell ref="B36:C36"/>
    <mergeCell ref="A31:B31"/>
    <mergeCell ref="B35:C35"/>
  </mergeCells>
  <conditionalFormatting sqref="I10:I19">
    <cfRule type="expression" priority="1" dxfId="5">
      <formula>AND(ISNUMBER($G10),OR($G10&lt;=1.5,$G10&gt;=5),LEN($I10)=0)</formula>
    </cfRule>
  </conditionalFormatting>
  <conditionalFormatting sqref="G10:G19">
    <cfRule type="cellIs" priority="2" operator="lessThanOrEqual" dxfId="4">
      <formula>2</formula>
    </cfRule>
  </conditionalFormatting>
  <conditionalFormatting sqref="C26">
    <cfRule type="expression" priority="3" dxfId="0">
      <formula>C26="Xuất sắc"</formula>
    </cfRule>
    <cfRule type="expression" priority="4" dxfId="1">
      <formula>C26="Đạt"</formula>
    </cfRule>
    <cfRule type="expression" priority="5" dxfId="2">
      <formula>C26="Cần cải thiện"</formula>
    </cfRule>
    <cfRule type="expression" priority="6" dxfId="3">
      <formula>C26="Chưa chấm đủ"</formula>
    </cfRule>
  </conditionalFormatting>
  <conditionalFormatting sqref="C27">
    <cfRule type="expression" priority="7" dxfId="6">
      <formula>LEFT(C27,3)="SAI"</formula>
    </cfRule>
  </conditionalFormatting>
  <dataValidations count="2">
    <dataValidation sqref="F10:G19" showDropDown="0" showInputMessage="1" showErrorMessage="1" allowBlank="1" errorTitle="Điểm không hợp lệ" error="Nhập điểm từ 1 đến 5 (cho phép số lẻ như 3.5)." promptTitle="Thang điểm 1–5" prompt="5 Tuyệt vời · 4 Tốt · 3 Bình thường · 2 Chưa đạt · 1 Kém" type="decimal" operator="between">
      <formula1>1</formula1>
      <formula2>5</formula2>
    </dataValidation>
    <dataValidation sqref="G4" showDropDown="0" showInputMessage="0" showErrorMessage="1" allowBlank="0" type="list">
      <formula1>"Tháng,Quý,Năm"</formula1>
    </dataValidation>
  </dataValidations>
  <printOptions horizontalCentered="1"/>
  <pageMargins left="0.4" right="0.4" top="1" bottom="1" header="0.5" footer="0.5"/>
  <pageSetup orientation="landscape" paperSize="9" fitToHeight="0" fitToWidth="1"/>
  <headerFooter>
    <oddHeader/>
    <oddFooter>&amp;L&amp;8 Mr Wick Kiểm toán · taichinhketoanedu.com&amp;R&amp;8 Trang &amp;P/&amp;N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J36"/>
  <sheetViews>
    <sheetView showGridLines="0" tabSelected="0" zoomScale="9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34" customWidth="1" min="3" max="3"/>
    <col width="50" customWidth="1" min="4" max="4"/>
    <col width="10" customWidth="1" min="5" max="5"/>
    <col width="10" customWidth="1" min="6" max="6"/>
    <col width="10" customWidth="1" min="7" max="7"/>
    <col width="11" customWidth="1" min="8" max="8"/>
    <col width="30" customWidth="1" min="9" max="9"/>
    <col hidden="1" width="6" customWidth="1" min="10" max="10"/>
  </cols>
  <sheetData>
    <row r="1" ht="30" customHeight="1">
      <c r="A1" s="1" t="inlineStr">
        <is>
          <t>BẢNG ĐÁNH GIÁ KPI – TRƯỞNG NHÓM TUYỂN DỤNG</t>
        </is>
      </c>
    </row>
    <row r="2">
      <c r="A2" s="2" t="inlineStr">
        <is>
          <t xml:space="preserve">Phòng Nhân sự · Phụ lục 02 kèm Quy chế đánh giá KPI · KK HOME · </t>
        </is>
      </c>
    </row>
    <row r="3"/>
    <row r="4">
      <c r="B4" s="37" t="inlineStr">
        <is>
          <t>Họ và tên</t>
        </is>
      </c>
      <c r="C4" s="7" t="n"/>
      <c r="E4" s="37" t="inlineStr">
        <is>
          <t>Loại kỳ đánh giá</t>
        </is>
      </c>
      <c r="G4" s="38" t="inlineStr">
        <is>
          <t>Quý</t>
        </is>
      </c>
      <c r="H4" s="75" t="n"/>
      <c r="I4" s="39" t="inlineStr">
        <is>
          <t>← chọn Tháng / Quý / Năm</t>
        </is>
      </c>
    </row>
    <row r="5">
      <c r="B5" s="37" t="inlineStr">
        <is>
          <t>Mã nhân viên</t>
        </is>
      </c>
      <c r="C5" s="7" t="n"/>
      <c r="E5" s="37" t="inlineStr">
        <is>
          <t>Kỳ đánh giá</t>
        </is>
      </c>
      <c r="G5" s="38" t="n"/>
      <c r="H5" s="75" t="n"/>
      <c r="I5" s="39" t="inlineStr">
        <is>
          <t>VD: Tháng 9/2026, Quý 3/2026, Năm 2026</t>
        </is>
      </c>
    </row>
    <row r="6">
      <c r="B6" s="37" t="inlineStr">
        <is>
          <t>Người đánh giá</t>
        </is>
      </c>
      <c r="C6" s="7" t="n"/>
      <c r="E6" s="37" t="inlineStr">
        <is>
          <t>Ngày đánh giá</t>
        </is>
      </c>
      <c r="G6" s="76" t="n"/>
      <c r="H6" s="75" t="n"/>
    </row>
    <row r="7">
      <c r="B7" s="37" t="inlineStr">
        <is>
          <t>Bộ phận</t>
        </is>
      </c>
      <c r="C7" s="7" t="inlineStr">
        <is>
          <t>Phòng Nhân sự</t>
        </is>
      </c>
    </row>
    <row r="8"/>
    <row r="9" ht="42" customHeight="1">
      <c r="A9" s="16" t="inlineStr">
        <is>
          <t>STT</t>
        </is>
      </c>
      <c r="B9" s="16" t="inlineStr">
        <is>
          <t>Nhóm tiêu chí</t>
        </is>
      </c>
      <c r="C9" s="16" t="inlineStr">
        <is>
          <t>Tiêu chí đánh giá</t>
        </is>
      </c>
      <c r="D9" s="16" t="inlineStr">
        <is>
          <t>Cách đo / Chứng cứ chấm điểm</t>
        </is>
      </c>
      <c r="E9" s="16" t="inlineStr">
        <is>
          <t>Trọng số</t>
        </is>
      </c>
      <c r="F9" s="16" t="inlineStr">
        <is>
          <t>Tự đánh giá
(1–5)</t>
        </is>
      </c>
      <c r="G9" s="16" t="inlineStr">
        <is>
          <t>Quản lý chấm
(1–5)</t>
        </is>
      </c>
      <c r="H9" s="16" t="inlineStr">
        <is>
          <t>Điểm quy đổi</t>
        </is>
      </c>
      <c r="I9" s="16" t="inlineStr">
        <is>
          <t>Ghi chú / Lý do (bắt buộc khi điểm ≤1,5 hoặc 5)</t>
        </is>
      </c>
    </row>
    <row r="10" ht="34" customHeight="1">
      <c r="A10" s="17" t="n">
        <v>1</v>
      </c>
      <c r="B10" s="41" t="inlineStr">
        <is>
          <t>Chuyên môn - Nghiệp vụ</t>
        </is>
      </c>
      <c r="C10" s="42" t="inlineStr">
        <is>
          <t>Hoàn thành kế hoạch tuyển dụng của nhóm</t>
        </is>
      </c>
      <c r="D10" s="43" t="inlineStr">
        <is>
          <t>Số vị trí tuyển đủ / số vị trí được giao trong kỳ</t>
        </is>
      </c>
      <c r="E10" s="44" t="n">
        <v>0.12</v>
      </c>
      <c r="F10" s="77" t="n"/>
      <c r="G10" s="77" t="n"/>
      <c r="H10" s="73">
        <f>IF(ISNUMBER(G10),G10/5*E10*100,0)</f>
        <v/>
      </c>
      <c r="I10" s="7" t="n"/>
      <c r="J10" t="inlineStr">
        <is>
          <t>CM</t>
        </is>
      </c>
    </row>
    <row r="11" ht="34" customHeight="1">
      <c r="A11" s="17" t="n">
        <v>2</v>
      </c>
      <c r="B11" s="46" t="n"/>
      <c r="C11" s="42" t="inlineStr">
        <is>
          <t>Thời gian tuyển dụng bình quân</t>
        </is>
      </c>
      <c r="D11" s="43" t="inlineStr">
        <is>
          <t>Số ngày bình quân từ khi duyệt yêu cầu đến khi ứng viên nhận việc, so với định mức từng cấp bậc</t>
        </is>
      </c>
      <c r="E11" s="44" t="n">
        <v>0.1</v>
      </c>
      <c r="F11" s="77" t="n"/>
      <c r="G11" s="77" t="n"/>
      <c r="H11" s="73">
        <f>IF(ISNUMBER(G11),G11/5*E11*100,0)</f>
        <v/>
      </c>
      <c r="I11" s="7" t="n"/>
      <c r="J11" t="inlineStr">
        <is>
          <t>CM</t>
        </is>
      </c>
    </row>
    <row r="12" ht="30" customHeight="1">
      <c r="A12" s="17" t="n">
        <v>3</v>
      </c>
      <c r="B12" s="46" t="n"/>
      <c r="C12" s="42" t="inlineStr">
        <is>
          <t>Chất lượng tuyển dụng</t>
        </is>
      </c>
      <c r="D12" s="43" t="inlineStr">
        <is>
          <t>Tỷ lệ qua thử việc; tỷ lệ nhân sự mới gắn bó sau 6 tháng</t>
        </is>
      </c>
      <c r="E12" s="44" t="n">
        <v>0.1</v>
      </c>
      <c r="F12" s="77" t="n"/>
      <c r="G12" s="77" t="n"/>
      <c r="H12" s="73">
        <f>IF(ISNUMBER(G12),G12/5*E12*100,0)</f>
        <v/>
      </c>
      <c r="I12" s="7" t="n"/>
      <c r="J12" t="inlineStr">
        <is>
          <t>CM</t>
        </is>
      </c>
    </row>
    <row r="13" ht="34" customHeight="1">
      <c r="A13" s="17" t="n">
        <v>4</v>
      </c>
      <c r="B13" s="47" t="n"/>
      <c r="C13" s="42" t="inlineStr">
        <is>
          <t>Phát triển kênh &amp; thương hiệu tuyển dụng</t>
        </is>
      </c>
      <c r="D13" s="43" t="inlineStr">
        <is>
          <t>Số kênh tuyển dụng hiệu quả; tỷ lệ ứng viên từ giới thiệu nội bộ</t>
        </is>
      </c>
      <c r="E13" s="44" t="n">
        <v>0.08</v>
      </c>
      <c r="F13" s="77" t="n"/>
      <c r="G13" s="77" t="n"/>
      <c r="H13" s="73">
        <f>IF(ISNUMBER(G13),G13/5*E13*100,0)</f>
        <v/>
      </c>
      <c r="I13" s="7" t="n"/>
      <c r="J13" t="inlineStr">
        <is>
          <t>CM</t>
        </is>
      </c>
    </row>
    <row r="14" ht="30" customHeight="1">
      <c r="A14" s="17" t="n">
        <v>5</v>
      </c>
      <c r="B14" s="48" t="inlineStr">
        <is>
          <t>Tuân thủ - Thời hạn</t>
        </is>
      </c>
      <c r="C14" s="42" t="inlineStr">
        <is>
          <t>Kiểm soát ngân sách tuyển dụng</t>
        </is>
      </c>
      <c r="D14" s="43" t="inlineStr">
        <is>
          <t>Chi phí tuyển dụng thực tế so với ngân sách được duyệt</t>
        </is>
      </c>
      <c r="E14" s="44" t="n">
        <v>0.12</v>
      </c>
      <c r="F14" s="77" t="n"/>
      <c r="G14" s="77" t="n"/>
      <c r="H14" s="73">
        <f>IF(ISNUMBER(G14),G14/5*E14*100,0)</f>
        <v/>
      </c>
      <c r="I14" s="7" t="n"/>
      <c r="J14" t="inlineStr">
        <is>
          <t>TT</t>
        </is>
      </c>
    </row>
    <row r="15" ht="34" customHeight="1">
      <c r="A15" s="17" t="n">
        <v>6</v>
      </c>
      <c r="B15" s="46" t="n"/>
      <c r="C15" s="42" t="inlineStr">
        <is>
          <t>Tuân thủ quy trình, không phân biệt đối xử</t>
        </is>
      </c>
      <c r="D15" s="43" t="inlineStr">
        <is>
          <t>Tin tuyển dụng, câu hỏi phỏng vấn không có nội dung phân biệt giới tính, độ tuổi, tình trạng hôn nhân</t>
        </is>
      </c>
      <c r="E15" s="44" t="n">
        <v>0.12</v>
      </c>
      <c r="F15" s="77" t="n"/>
      <c r="G15" s="77" t="n"/>
      <c r="H15" s="73">
        <f>IF(ISNUMBER(G15),G15/5*E15*100,0)</f>
        <v/>
      </c>
      <c r="I15" s="7" t="n"/>
      <c r="J15" t="inlineStr">
        <is>
          <t>TT</t>
        </is>
      </c>
    </row>
    <row r="16" ht="34" customHeight="1">
      <c r="A16" s="17" t="n">
        <v>7</v>
      </c>
      <c r="B16" s="47" t="n"/>
      <c r="C16" s="42" t="inlineStr">
        <is>
          <t>Báo cáo tuyển dụng</t>
        </is>
      </c>
      <c r="D16" s="43" t="inlineStr">
        <is>
          <t>Báo cáo tuần/tháng nộp đúng hạn, số liệu khớp dữ liệu ứng viên</t>
        </is>
      </c>
      <c r="E16" s="44" t="n">
        <v>0.11</v>
      </c>
      <c r="F16" s="77" t="n"/>
      <c r="G16" s="77" t="n"/>
      <c r="H16" s="73">
        <f>IF(ISNUMBER(G16),G16/5*E16*100,0)</f>
        <v/>
      </c>
      <c r="I16" s="7" t="n"/>
      <c r="J16" t="inlineStr">
        <is>
          <t>TT</t>
        </is>
      </c>
    </row>
    <row r="17" ht="30" customHeight="1">
      <c r="A17" s="17" t="n">
        <v>8</v>
      </c>
      <c r="B17" s="49" t="inlineStr">
        <is>
          <t>Phối hợp - Thái độ</t>
        </is>
      </c>
      <c r="C17" s="42" t="inlineStr">
        <is>
          <t>Quản lý, kèm cặp nhóm tuyển dụng</t>
        </is>
      </c>
      <c r="D17" s="43" t="inlineStr">
        <is>
          <t>Điểm KPI bình quân của nhóm; số thành viên được kèm cặp</t>
        </is>
      </c>
      <c r="E17" s="44" t="n">
        <v>0.1</v>
      </c>
      <c r="F17" s="77" t="n"/>
      <c r="G17" s="77" t="n"/>
      <c r="H17" s="73">
        <f>IF(ISNUMBER(G17),G17/5*E17*100,0)</f>
        <v/>
      </c>
      <c r="I17" s="7" t="n"/>
      <c r="J17" t="inlineStr">
        <is>
          <t>PH</t>
        </is>
      </c>
    </row>
    <row r="18" ht="34" customHeight="1">
      <c r="A18" s="17" t="n">
        <v>9</v>
      </c>
      <c r="B18" s="46" t="n"/>
      <c r="C18" s="42" t="inlineStr">
        <is>
          <t>Phối hợp với trưởng bộ phận có nhu cầu tuyển</t>
        </is>
      </c>
      <c r="D18" s="43" t="inlineStr">
        <is>
          <t>Thời gian phản hồi yêu cầu; mức hài lòng của trưởng bộ phận</t>
        </is>
      </c>
      <c r="E18" s="44" t="n">
        <v>0.08</v>
      </c>
      <c r="F18" s="77" t="n"/>
      <c r="G18" s="77" t="n"/>
      <c r="H18" s="73">
        <f>IF(ISNUMBER(G18),G18/5*E18*100,0)</f>
        <v/>
      </c>
      <c r="I18" s="7" t="n"/>
      <c r="J18" t="inlineStr">
        <is>
          <t>PH</t>
        </is>
      </c>
    </row>
    <row r="19" ht="30" customHeight="1">
      <c r="A19" s="17" t="n">
        <v>10</v>
      </c>
      <c r="B19" s="47" t="n"/>
      <c r="C19" s="42" t="inlineStr">
        <is>
          <t>Tinh thần trách nhiệm &amp; chủ động</t>
        </is>
      </c>
      <c r="D19" s="43" t="inlineStr">
        <is>
          <t>Xây dựng nguồn ứng viên dự phòng cho vị trí then chốt</t>
        </is>
      </c>
      <c r="E19" s="44" t="n">
        <v>0.07000000000000001</v>
      </c>
      <c r="F19" s="77" t="n"/>
      <c r="G19" s="77" t="n"/>
      <c r="H19" s="73">
        <f>IF(ISNUMBER(G19),G19/5*E19*100,0)</f>
        <v/>
      </c>
      <c r="I19" s="7" t="n"/>
      <c r="J19" t="inlineStr">
        <is>
          <t>PH</t>
        </is>
      </c>
    </row>
    <row r="20" ht="22" customHeight="1">
      <c r="A20" s="50" t="inlineStr">
        <is>
          <t>TỔNG CỘNG</t>
        </is>
      </c>
      <c r="B20" s="74" t="n"/>
      <c r="C20" s="74" t="n"/>
      <c r="D20" s="75" t="n"/>
      <c r="E20" s="51">
        <f>SUM(E10:E19)</f>
        <v/>
      </c>
      <c r="F20" s="50" t="n"/>
      <c r="G20" s="50" t="n"/>
      <c r="H20" s="78">
        <f>SUM(H10:H19)</f>
        <v/>
      </c>
      <c r="I20" s="50" t="n"/>
    </row>
    <row r="21"/>
    <row r="22">
      <c r="A22" s="53" t="inlineStr">
        <is>
          <t>KẾT QUẢ ĐÁNH GIÁ</t>
        </is>
      </c>
      <c r="D22" s="53" t="inlineStr">
        <is>
          <t>ĐIỂM THEO NHÓM TIÊU CHÍ</t>
        </is>
      </c>
    </row>
    <row r="23" ht="20" customHeight="1">
      <c r="A23" s="54" t="inlineStr">
        <is>
          <t>Tổng điểm chính thức</t>
        </is>
      </c>
      <c r="B23" s="75" t="n"/>
      <c r="C23" s="79">
        <f>H20</f>
        <v/>
      </c>
      <c r="D23" s="57" t="inlineStr">
        <is>
          <t>Nhóm tiêu chí</t>
        </is>
      </c>
      <c r="E23" s="57" t="inlineStr">
        <is>
          <t>Trọng số</t>
        </is>
      </c>
      <c r="F23" s="57" t="inlineStr">
        <is>
          <t>Điểm tối đa</t>
        </is>
      </c>
      <c r="G23" s="57" t="inlineStr">
        <is>
          <t>Điểm đạt</t>
        </is>
      </c>
      <c r="H23" s="57" t="inlineStr">
        <is>
          <t>Tỷ lệ đạt</t>
        </is>
      </c>
    </row>
    <row r="24" ht="20" customHeight="1">
      <c r="A24" s="54" t="inlineStr">
        <is>
          <t>Điểm tự đánh giá</t>
        </is>
      </c>
      <c r="B24" s="75" t="n"/>
      <c r="C24" s="73">
        <f>IF(COUNT(F10:F19)=0,"",SUMPRODUCT(F10:F19,E10:E19)/5*100)</f>
        <v/>
      </c>
      <c r="D24" s="58" t="inlineStr">
        <is>
          <t>Chuyên môn - Nghiệp vụ</t>
        </is>
      </c>
      <c r="E24" s="22">
        <f>SUMIF($J$10:$J$19,"CM",$E$10:$E$19)</f>
        <v/>
      </c>
      <c r="F24" s="67">
        <f>E24*100</f>
        <v/>
      </c>
      <c r="G24" s="67">
        <f>SUMIF($J$10:$J$19,"CM",$H$10:$H$19)</f>
        <v/>
      </c>
      <c r="H24" s="59">
        <f>IF(F24=0,0,G24/F24)</f>
        <v/>
      </c>
    </row>
    <row r="25" ht="20" customHeight="1">
      <c r="A25" s="54" t="inlineStr">
        <is>
          <t>Tiêu chí đã chấm</t>
        </is>
      </c>
      <c r="B25" s="75" t="n"/>
      <c r="C25" s="60">
        <f>COUNT(G10:G19)&amp;" / 10"</f>
        <v/>
      </c>
      <c r="D25" s="61" t="inlineStr">
        <is>
          <t>Tuân thủ - Thời hạn</t>
        </is>
      </c>
      <c r="E25" s="22">
        <f>SUMIF($J$10:$J$19,"TT",$E$10:$E$19)</f>
        <v/>
      </c>
      <c r="F25" s="67">
        <f>E25*100</f>
        <v/>
      </c>
      <c r="G25" s="67">
        <f>SUMIF($J$10:$J$19,"TT",$H$10:$H$19)</f>
        <v/>
      </c>
      <c r="H25" s="59">
        <f>IF(F25=0,0,G25/F25)</f>
        <v/>
      </c>
    </row>
    <row r="26" ht="20" customHeight="1">
      <c r="A26" s="54" t="inlineStr">
        <is>
          <t>Xếp loại</t>
        </is>
      </c>
      <c r="B26" s="75" t="n"/>
      <c r="C26" s="62">
        <f>IF(COUNT(G10:G19)=0,"Chưa chấm",IF(COUNT(G10:G19)&lt;10,"Chưa chấm đủ",IF(H20&gt;=80,"Xuất sắc",IF(H20&gt;=70,"Đạt","Cần cải thiện"))))</f>
        <v/>
      </c>
      <c r="D26" s="63" t="inlineStr">
        <is>
          <t>Phối hợp - Thái độ</t>
        </is>
      </c>
      <c r="E26" s="22">
        <f>SUMIF($J$10:$J$19,"PH",$E$10:$E$19)</f>
        <v/>
      </c>
      <c r="F26" s="67">
        <f>E26*100</f>
        <v/>
      </c>
      <c r="G26" s="67">
        <f>SUMIF($J$10:$J$19,"PH",$H$10:$H$19)</f>
        <v/>
      </c>
      <c r="H26" s="59">
        <f>IF(F26=0,0,G26/F26)</f>
        <v/>
      </c>
    </row>
    <row r="27" ht="20" customHeight="1">
      <c r="A27" s="54" t="inlineStr">
        <is>
          <t>Kiểm tra trọng số</t>
        </is>
      </c>
      <c r="B27" s="75" t="n"/>
      <c r="C27" s="60">
        <f>IF(ROUND(E20,4)=1,"Hợp lệ – 100%","SAI – tổng trọng số phải = 100%")</f>
        <v/>
      </c>
    </row>
    <row r="28"/>
    <row r="29">
      <c r="A29" s="29" t="inlineStr">
        <is>
          <t>NHẬN XÉT &amp; KẾ HOẠCH CẢI THIỆN (Bước 5 – phản hồi kết quả)</t>
        </is>
      </c>
    </row>
    <row r="30" ht="36" customHeight="1">
      <c r="A30" s="54" t="inlineStr">
        <is>
          <t>Điểm mạnh</t>
        </is>
      </c>
      <c r="B30" s="75" t="n"/>
      <c r="C30" s="7" t="n"/>
      <c r="D30" s="74" t="n"/>
      <c r="E30" s="74" t="n"/>
      <c r="F30" s="74" t="n"/>
      <c r="G30" s="74" t="n"/>
      <c r="H30" s="74" t="n"/>
      <c r="I30" s="75" t="n"/>
    </row>
    <row r="31" ht="36" customHeight="1">
      <c r="A31" s="54" t="inlineStr">
        <is>
          <t>Cần cải thiện</t>
        </is>
      </c>
      <c r="B31" s="75" t="n"/>
      <c r="C31" s="7" t="n"/>
      <c r="D31" s="74" t="n"/>
      <c r="E31" s="74" t="n"/>
      <c r="F31" s="74" t="n"/>
      <c r="G31" s="74" t="n"/>
      <c r="H31" s="74" t="n"/>
      <c r="I31" s="75" t="n"/>
    </row>
    <row r="32" ht="36" customHeight="1">
      <c r="A32" s="54" t="inlineStr">
        <is>
          <t>Kế hoạch cải thiện</t>
        </is>
      </c>
      <c r="B32" s="75" t="n"/>
      <c r="C32" s="7" t="n"/>
      <c r="D32" s="74" t="n"/>
      <c r="E32" s="74" t="n"/>
      <c r="F32" s="74" t="n"/>
      <c r="G32" s="74" t="n"/>
      <c r="H32" s="74" t="n"/>
      <c r="I32" s="75" t="n"/>
    </row>
    <row r="33" ht="36" customHeight="1">
      <c r="A33" s="54" t="inlineStr">
        <is>
          <t>Ý kiến nhân sự</t>
        </is>
      </c>
      <c r="B33" s="75" t="n"/>
      <c r="C33" s="7" t="n"/>
      <c r="D33" s="74" t="n"/>
      <c r="E33" s="74" t="n"/>
      <c r="F33" s="74" t="n"/>
      <c r="G33" s="74" t="n"/>
      <c r="H33" s="74" t="n"/>
      <c r="I33" s="75" t="n"/>
    </row>
    <row r="34"/>
    <row r="35">
      <c r="B35" s="65" t="inlineStr">
        <is>
          <t>NHÂN SỰ ĐƯỢC ĐÁNH GIÁ</t>
        </is>
      </c>
      <c r="D35" s="65" t="inlineStr">
        <is>
          <t>QUẢN LÝ TRỰC TIẾP</t>
        </is>
      </c>
      <c r="G35" s="65" t="inlineStr">
        <is>
          <t>NGƯỜI PHÊ DUYỆT</t>
        </is>
      </c>
    </row>
    <row r="36">
      <c r="B36" s="66" t="inlineStr">
        <is>
          <t>(Ký, ghi rõ họ tên)</t>
        </is>
      </c>
      <c r="D36" s="66" t="inlineStr">
        <is>
          <t>(Ký, ghi rõ họ tên)</t>
        </is>
      </c>
      <c r="G36" s="66" t="inlineStr">
        <is>
          <t>(Ký, ghi rõ họ tên)</t>
        </is>
      </c>
    </row>
  </sheetData>
  <mergeCells count="32">
    <mergeCell ref="A24:B24"/>
    <mergeCell ref="A30:B30"/>
    <mergeCell ref="A20:D20"/>
    <mergeCell ref="E5:F5"/>
    <mergeCell ref="C32:I32"/>
    <mergeCell ref="D22:H22"/>
    <mergeCell ref="E4:F4"/>
    <mergeCell ref="A2:I2"/>
    <mergeCell ref="A25:B25"/>
    <mergeCell ref="A22:C22"/>
    <mergeCell ref="G35:I35"/>
    <mergeCell ref="C30:I30"/>
    <mergeCell ref="G6:H6"/>
    <mergeCell ref="C33:I33"/>
    <mergeCell ref="A27:B27"/>
    <mergeCell ref="B10:B13"/>
    <mergeCell ref="A29:I29"/>
    <mergeCell ref="A26:B26"/>
    <mergeCell ref="E6:F6"/>
    <mergeCell ref="A33:B33"/>
    <mergeCell ref="G5:H5"/>
    <mergeCell ref="A32:B32"/>
    <mergeCell ref="A23:B23"/>
    <mergeCell ref="G4:H4"/>
    <mergeCell ref="C31:I31"/>
    <mergeCell ref="B17:B19"/>
    <mergeCell ref="G36:I36"/>
    <mergeCell ref="A1:I1"/>
    <mergeCell ref="B14:B16"/>
    <mergeCell ref="B36:C36"/>
    <mergeCell ref="A31:B31"/>
    <mergeCell ref="B35:C35"/>
  </mergeCells>
  <conditionalFormatting sqref="I10:I19">
    <cfRule type="expression" priority="1" dxfId="5">
      <formula>AND(ISNUMBER($G10),OR($G10&lt;=1.5,$G10&gt;=5),LEN($I10)=0)</formula>
    </cfRule>
  </conditionalFormatting>
  <conditionalFormatting sqref="G10:G19">
    <cfRule type="cellIs" priority="2" operator="lessThanOrEqual" dxfId="4">
      <formula>2</formula>
    </cfRule>
  </conditionalFormatting>
  <conditionalFormatting sqref="C26">
    <cfRule type="expression" priority="3" dxfId="0">
      <formula>C26="Xuất sắc"</formula>
    </cfRule>
    <cfRule type="expression" priority="4" dxfId="1">
      <formula>C26="Đạt"</formula>
    </cfRule>
    <cfRule type="expression" priority="5" dxfId="2">
      <formula>C26="Cần cải thiện"</formula>
    </cfRule>
    <cfRule type="expression" priority="6" dxfId="3">
      <formula>C26="Chưa chấm đủ"</formula>
    </cfRule>
  </conditionalFormatting>
  <conditionalFormatting sqref="C27">
    <cfRule type="expression" priority="7" dxfId="6">
      <formula>LEFT(C27,3)="SAI"</formula>
    </cfRule>
  </conditionalFormatting>
  <dataValidations count="2">
    <dataValidation sqref="F10:G19" showDropDown="0" showInputMessage="1" showErrorMessage="1" allowBlank="1" errorTitle="Điểm không hợp lệ" error="Nhập điểm từ 1 đến 5 (cho phép số lẻ như 3.5)." promptTitle="Thang điểm 1–5" prompt="5 Tuyệt vời · 4 Tốt · 3 Bình thường · 2 Chưa đạt · 1 Kém" type="decimal" operator="between">
      <formula1>1</formula1>
      <formula2>5</formula2>
    </dataValidation>
    <dataValidation sqref="G4" showDropDown="0" showInputMessage="0" showErrorMessage="1" allowBlank="0" type="list">
      <formula1>"Tháng,Quý,Năm"</formula1>
    </dataValidation>
  </dataValidations>
  <printOptions horizontalCentered="1"/>
  <pageMargins left="0.4" right="0.4" top="1" bottom="1" header="0.5" footer="0.5"/>
  <pageSetup orientation="landscape" paperSize="9" fitToHeight="0" fitToWidth="1"/>
  <headerFooter>
    <oddHeader/>
    <oddFooter>&amp;L&amp;8 Mr Wick Kiểm toán · taichinhketoanedu.com&amp;R&amp;8 Trang &amp;P/&amp;N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J37"/>
  <sheetViews>
    <sheetView showGridLines="0" tabSelected="0" zoomScale="9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34" customWidth="1" min="3" max="3"/>
    <col width="50" customWidth="1" min="4" max="4"/>
    <col width="10" customWidth="1" min="5" max="5"/>
    <col width="10" customWidth="1" min="6" max="6"/>
    <col width="10" customWidth="1" min="7" max="7"/>
    <col width="11" customWidth="1" min="8" max="8"/>
    <col width="30" customWidth="1" min="9" max="9"/>
    <col hidden="1" width="6" customWidth="1" min="10" max="10"/>
  </cols>
  <sheetData>
    <row r="1" ht="30" customHeight="1">
      <c r="A1" s="1" t="inlineStr">
        <is>
          <t>BẢNG ĐÁNH GIÁ KPI – CHUYÊN VIÊN TUYỂN DỤNG</t>
        </is>
      </c>
    </row>
    <row r="2">
      <c r="A2" s="2" t="inlineStr">
        <is>
          <t xml:space="preserve">Phòng Nhân sự · Phụ lục 02 kèm Quy chế đánh giá KPI · KK HOME · </t>
        </is>
      </c>
    </row>
    <row r="3"/>
    <row r="4">
      <c r="B4" s="37" t="inlineStr">
        <is>
          <t>Họ và tên</t>
        </is>
      </c>
      <c r="C4" s="7" t="n"/>
      <c r="E4" s="37" t="inlineStr">
        <is>
          <t>Loại kỳ đánh giá</t>
        </is>
      </c>
      <c r="G4" s="38" t="inlineStr">
        <is>
          <t>Quý</t>
        </is>
      </c>
      <c r="H4" s="75" t="n"/>
      <c r="I4" s="39" t="inlineStr">
        <is>
          <t>← chọn Tháng / Quý / Năm</t>
        </is>
      </c>
    </row>
    <row r="5">
      <c r="B5" s="37" t="inlineStr">
        <is>
          <t>Mã nhân viên</t>
        </is>
      </c>
      <c r="C5" s="7" t="n"/>
      <c r="E5" s="37" t="inlineStr">
        <is>
          <t>Kỳ đánh giá</t>
        </is>
      </c>
      <c r="G5" s="38" t="n"/>
      <c r="H5" s="75" t="n"/>
      <c r="I5" s="39" t="inlineStr">
        <is>
          <t>VD: Tháng 9/2026, Quý 3/2026, Năm 2026</t>
        </is>
      </c>
    </row>
    <row r="6">
      <c r="B6" s="37" t="inlineStr">
        <is>
          <t>Người đánh giá</t>
        </is>
      </c>
      <c r="C6" s="7" t="n"/>
      <c r="E6" s="37" t="inlineStr">
        <is>
          <t>Ngày đánh giá</t>
        </is>
      </c>
      <c r="G6" s="76" t="n"/>
      <c r="H6" s="75" t="n"/>
    </row>
    <row r="7">
      <c r="B7" s="37" t="inlineStr">
        <is>
          <t>Bộ phận</t>
        </is>
      </c>
      <c r="C7" s="7" t="inlineStr">
        <is>
          <t>Phòng Nhân sự</t>
        </is>
      </c>
    </row>
    <row r="8"/>
    <row r="9" ht="42" customHeight="1">
      <c r="A9" s="16" t="inlineStr">
        <is>
          <t>STT</t>
        </is>
      </c>
      <c r="B9" s="16" t="inlineStr">
        <is>
          <t>Nhóm tiêu chí</t>
        </is>
      </c>
      <c r="C9" s="16" t="inlineStr">
        <is>
          <t>Tiêu chí đánh giá</t>
        </is>
      </c>
      <c r="D9" s="16" t="inlineStr">
        <is>
          <t>Cách đo / Chứng cứ chấm điểm</t>
        </is>
      </c>
      <c r="E9" s="16" t="inlineStr">
        <is>
          <t>Trọng số</t>
        </is>
      </c>
      <c r="F9" s="16" t="inlineStr">
        <is>
          <t>Tự đánh giá
(1–5)</t>
        </is>
      </c>
      <c r="G9" s="16" t="inlineStr">
        <is>
          <t>Quản lý chấm
(1–5)</t>
        </is>
      </c>
      <c r="H9" s="16" t="inlineStr">
        <is>
          <t>Điểm quy đổi</t>
        </is>
      </c>
      <c r="I9" s="16" t="inlineStr">
        <is>
          <t>Ghi chú / Lý do (bắt buộc khi điểm ≤1,5 hoặc 5)</t>
        </is>
      </c>
    </row>
    <row r="10" ht="30" customHeight="1">
      <c r="A10" s="17" t="n">
        <v>1</v>
      </c>
      <c r="B10" s="41" t="inlineStr">
        <is>
          <t>Chuyên môn - Nghiệp vụ</t>
        </is>
      </c>
      <c r="C10" s="42" t="inlineStr">
        <is>
          <t>Tỷ lệ hoàn thành kế hoạch tuyển dụng</t>
        </is>
      </c>
      <c r="D10" s="43" t="inlineStr">
        <is>
          <t>Số vị trí tuyển đủ / số vị trí được giao trong kỳ</t>
        </is>
      </c>
      <c r="E10" s="44" t="n">
        <v>0.12</v>
      </c>
      <c r="F10" s="77" t="n"/>
      <c r="G10" s="77" t="n"/>
      <c r="H10" s="73">
        <f>IF(ISNUMBER(G10),G10/5*E10*100,0)</f>
        <v/>
      </c>
      <c r="I10" s="7" t="n"/>
      <c r="J10" t="inlineStr">
        <is>
          <t>CM</t>
        </is>
      </c>
    </row>
    <row r="11" ht="34" customHeight="1">
      <c r="A11" s="17" t="n">
        <v>2</v>
      </c>
      <c r="B11" s="46" t="n"/>
      <c r="C11" s="42" t="inlineStr">
        <is>
          <t>Thời gian tuyển dụng (time-to-fill)</t>
        </is>
      </c>
      <c r="D11" s="43" t="inlineStr">
        <is>
          <t>Số ngày bình quân từ khi duyệt yêu cầu đến khi ứng viên nhận việc, so với định mức</t>
        </is>
      </c>
      <c r="E11" s="44" t="n">
        <v>0.1</v>
      </c>
      <c r="F11" s="77" t="n"/>
      <c r="G11" s="77" t="n"/>
      <c r="H11" s="73">
        <f>IF(ISNUMBER(G11),G11/5*E11*100,0)</f>
        <v/>
      </c>
      <c r="I11" s="7" t="n"/>
      <c r="J11" t="inlineStr">
        <is>
          <t>CM</t>
        </is>
      </c>
    </row>
    <row r="12" ht="34" customHeight="1">
      <c r="A12" s="17" t="n">
        <v>3</v>
      </c>
      <c r="B12" s="46" t="n"/>
      <c r="C12" s="42" t="inlineStr">
        <is>
          <t>Chất lượng tuyển dụng</t>
        </is>
      </c>
      <c r="D12" s="43" t="inlineStr">
        <is>
          <t>Tỷ lệ nhân sự mới qua thử việc; đánh giá của quản lý trực tiếp sau 2 tháng</t>
        </is>
      </c>
      <c r="E12" s="44" t="n">
        <v>0.1</v>
      </c>
      <c r="F12" s="77" t="n"/>
      <c r="G12" s="77" t="n"/>
      <c r="H12" s="73">
        <f>IF(ISNUMBER(G12),G12/5*E12*100,0)</f>
        <v/>
      </c>
      <c r="I12" s="7" t="n"/>
      <c r="J12" t="inlineStr">
        <is>
          <t>CM</t>
        </is>
      </c>
    </row>
    <row r="13" ht="34" customHeight="1">
      <c r="A13" s="17" t="n">
        <v>4</v>
      </c>
      <c r="B13" s="47" t="n"/>
      <c r="C13" s="42" t="inlineStr">
        <is>
          <t>Chi phí tuyển dụng</t>
        </is>
      </c>
      <c r="D13" s="43" t="inlineStr">
        <is>
          <t>Chi phí bình quân cho 1 nhân sự tuyển được so với ngân sách</t>
        </is>
      </c>
      <c r="E13" s="44" t="n">
        <v>0.08</v>
      </c>
      <c r="F13" s="77" t="n"/>
      <c r="G13" s="77" t="n"/>
      <c r="H13" s="73">
        <f>IF(ISNUMBER(G13),G13/5*E13*100,0)</f>
        <v/>
      </c>
      <c r="I13" s="7" t="n"/>
      <c r="J13" t="inlineStr">
        <is>
          <t>CM</t>
        </is>
      </c>
    </row>
    <row r="14" ht="34" customHeight="1">
      <c r="A14" s="17" t="n">
        <v>5</v>
      </c>
      <c r="B14" s="48" t="inlineStr">
        <is>
          <t>Tuân thủ - Thời hạn</t>
        </is>
      </c>
      <c r="C14" s="42" t="inlineStr">
        <is>
          <t>Tuân thủ quy trình tuyển dụng</t>
        </is>
      </c>
      <c r="D14" s="43" t="inlineStr">
        <is>
          <t>Đủ bước: yêu cầu tuyển được duyệt, phiếu chấm phỏng vấn, thư mời nhận việc đúng mẫu</t>
        </is>
      </c>
      <c r="E14" s="44" t="n">
        <v>0.12</v>
      </c>
      <c r="F14" s="77" t="n"/>
      <c r="G14" s="77" t="n"/>
      <c r="H14" s="73">
        <f>IF(ISNUMBER(G14),G14/5*E14*100,0)</f>
        <v/>
      </c>
      <c r="I14" s="7" t="n"/>
      <c r="J14" t="inlineStr">
        <is>
          <t>TT</t>
        </is>
      </c>
    </row>
    <row r="15" ht="30" customHeight="1">
      <c r="A15" s="17" t="n">
        <v>6</v>
      </c>
      <c r="B15" s="46" t="n"/>
      <c r="C15" s="42" t="inlineStr">
        <is>
          <t>Hồ sơ nhân sự mới đầy đủ</t>
        </is>
      </c>
      <c r="D15" s="43" t="inlineStr">
        <is>
          <t>Tỷ lệ hồ sơ đủ giấy tờ trước ngày nhận việc</t>
        </is>
      </c>
      <c r="E15" s="44" t="n">
        <v>0.08</v>
      </c>
      <c r="F15" s="77" t="n"/>
      <c r="G15" s="77" t="n"/>
      <c r="H15" s="73">
        <f>IF(ISNUMBER(G15),G15/5*E15*100,0)</f>
        <v/>
      </c>
      <c r="I15" s="7" t="n"/>
      <c r="J15" t="inlineStr">
        <is>
          <t>TT</t>
        </is>
      </c>
    </row>
    <row r="16" ht="30" customHeight="1">
      <c r="A16" s="17" t="n">
        <v>7</v>
      </c>
      <c r="B16" s="46" t="n"/>
      <c r="C16" s="42" t="inlineStr">
        <is>
          <t>Tiến độ báo cáo tuyển dụng</t>
        </is>
      </c>
      <c r="D16" s="43" t="inlineStr">
        <is>
          <t>Báo cáo tuần/tháng nộp đúng hạn, số liệu khớp</t>
        </is>
      </c>
      <c r="E16" s="44" t="n">
        <v>0.08</v>
      </c>
      <c r="F16" s="77" t="n"/>
      <c r="G16" s="77" t="n"/>
      <c r="H16" s="73">
        <f>IF(ISNUMBER(G16),G16/5*E16*100,0)</f>
        <v/>
      </c>
      <c r="I16" s="7" t="n"/>
      <c r="J16" t="inlineStr">
        <is>
          <t>TT</t>
        </is>
      </c>
    </row>
    <row r="17" ht="34" customHeight="1">
      <c r="A17" s="17" t="n">
        <v>8</v>
      </c>
      <c r="B17" s="47" t="n"/>
      <c r="C17" s="42" t="inlineStr">
        <is>
          <t>Bảo mật thông tin ứng viên</t>
        </is>
      </c>
      <c r="D17" s="43" t="inlineStr">
        <is>
          <t>Không để lộ dữ liệu cá nhân ứng viên; lưu trữ và hủy hồ sơ theo quy định nội bộ</t>
        </is>
      </c>
      <c r="E17" s="44" t="n">
        <v>0.07000000000000001</v>
      </c>
      <c r="F17" s="77" t="n"/>
      <c r="G17" s="77" t="n"/>
      <c r="H17" s="73">
        <f>IF(ISNUMBER(G17),G17/5*E17*100,0)</f>
        <v/>
      </c>
      <c r="I17" s="7" t="n"/>
      <c r="J17" t="inlineStr">
        <is>
          <t>TT</t>
        </is>
      </c>
    </row>
    <row r="18" ht="34" customHeight="1">
      <c r="A18" s="17" t="n">
        <v>9</v>
      </c>
      <c r="B18" s="49" t="inlineStr">
        <is>
          <t>Phối hợp - Thái độ</t>
        </is>
      </c>
      <c r="C18" s="42" t="inlineStr">
        <is>
          <t>Phối hợp với bộ phận có nhu cầu tuyển</t>
        </is>
      </c>
      <c r="D18" s="43" t="inlineStr">
        <is>
          <t>Thời gian phản hồi yêu cầu; mức hài lòng của trưởng bộ phận</t>
        </is>
      </c>
      <c r="E18" s="44" t="n">
        <v>0.1</v>
      </c>
      <c r="F18" s="77" t="n"/>
      <c r="G18" s="77" t="n"/>
      <c r="H18" s="73">
        <f>IF(ISNUMBER(G18),G18/5*E18*100,0)</f>
        <v/>
      </c>
      <c r="I18" s="7" t="n"/>
      <c r="J18" t="inlineStr">
        <is>
          <t>PH</t>
        </is>
      </c>
    </row>
    <row r="19" ht="34" customHeight="1">
      <c r="A19" s="17" t="n">
        <v>10</v>
      </c>
      <c r="B19" s="46" t="n"/>
      <c r="C19" s="42" t="inlineStr">
        <is>
          <t>Trải nghiệm ứng viên</t>
        </is>
      </c>
      <c r="D19" s="43" t="inlineStr">
        <is>
          <t>Tỷ lệ ứng viên được phản hồi kết quả trong 3 ngày làm việc sau phỏng vấn</t>
        </is>
      </c>
      <c r="E19" s="44" t="n">
        <v>0.08</v>
      </c>
      <c r="F19" s="77" t="n"/>
      <c r="G19" s="77" t="n"/>
      <c r="H19" s="73">
        <f>IF(ISNUMBER(G19),G19/5*E19*100,0)</f>
        <v/>
      </c>
      <c r="I19" s="7" t="n"/>
      <c r="J19" t="inlineStr">
        <is>
          <t>PH</t>
        </is>
      </c>
    </row>
    <row r="20" ht="30" customHeight="1">
      <c r="A20" s="17" t="n">
        <v>11</v>
      </c>
      <c r="B20" s="47" t="n"/>
      <c r="C20" s="42" t="inlineStr">
        <is>
          <t>Tinh thần trách nhiệm &amp; chủ động</t>
        </is>
      </c>
      <c r="D20" s="43" t="inlineStr">
        <is>
          <t>Tự xây dựng nguồn ứng viên dự phòng (talent pool)</t>
        </is>
      </c>
      <c r="E20" s="44" t="n">
        <v>0.07000000000000001</v>
      </c>
      <c r="F20" s="77" t="n"/>
      <c r="G20" s="77" t="n"/>
      <c r="H20" s="73">
        <f>IF(ISNUMBER(G20),G20/5*E20*100,0)</f>
        <v/>
      </c>
      <c r="I20" s="7" t="n"/>
      <c r="J20" t="inlineStr">
        <is>
          <t>PH</t>
        </is>
      </c>
    </row>
    <row r="21" ht="22" customHeight="1">
      <c r="A21" s="50" t="inlineStr">
        <is>
          <t>TỔNG CỘNG</t>
        </is>
      </c>
      <c r="B21" s="74" t="n"/>
      <c r="C21" s="74" t="n"/>
      <c r="D21" s="75" t="n"/>
      <c r="E21" s="51">
        <f>SUM(E10:E20)</f>
        <v/>
      </c>
      <c r="F21" s="50" t="n"/>
      <c r="G21" s="50" t="n"/>
      <c r="H21" s="78">
        <f>SUM(H10:H20)</f>
        <v/>
      </c>
      <c r="I21" s="50" t="n"/>
    </row>
    <row r="22"/>
    <row r="23">
      <c r="A23" s="53" t="inlineStr">
        <is>
          <t>KẾT QUẢ ĐÁNH GIÁ</t>
        </is>
      </c>
      <c r="D23" s="53" t="inlineStr">
        <is>
          <t>ĐIỂM THEO NHÓM TIÊU CHÍ</t>
        </is>
      </c>
    </row>
    <row r="24" ht="20" customHeight="1">
      <c r="A24" s="54" t="inlineStr">
        <is>
          <t>Tổng điểm chính thức</t>
        </is>
      </c>
      <c r="B24" s="75" t="n"/>
      <c r="C24" s="79">
        <f>H21</f>
        <v/>
      </c>
      <c r="D24" s="57" t="inlineStr">
        <is>
          <t>Nhóm tiêu chí</t>
        </is>
      </c>
      <c r="E24" s="57" t="inlineStr">
        <is>
          <t>Trọng số</t>
        </is>
      </c>
      <c r="F24" s="57" t="inlineStr">
        <is>
          <t>Điểm tối đa</t>
        </is>
      </c>
      <c r="G24" s="57" t="inlineStr">
        <is>
          <t>Điểm đạt</t>
        </is>
      </c>
      <c r="H24" s="57" t="inlineStr">
        <is>
          <t>Tỷ lệ đạt</t>
        </is>
      </c>
    </row>
    <row r="25" ht="20" customHeight="1">
      <c r="A25" s="54" t="inlineStr">
        <is>
          <t>Điểm tự đánh giá</t>
        </is>
      </c>
      <c r="B25" s="75" t="n"/>
      <c r="C25" s="73">
        <f>IF(COUNT(F10:F20)=0,"",SUMPRODUCT(F10:F20,E10:E20)/5*100)</f>
        <v/>
      </c>
      <c r="D25" s="58" t="inlineStr">
        <is>
          <t>Chuyên môn - Nghiệp vụ</t>
        </is>
      </c>
      <c r="E25" s="22">
        <f>SUMIF($J$10:$J$20,"CM",$E$10:$E$20)</f>
        <v/>
      </c>
      <c r="F25" s="67">
        <f>E25*100</f>
        <v/>
      </c>
      <c r="G25" s="67">
        <f>SUMIF($J$10:$J$20,"CM",$H$10:$H$20)</f>
        <v/>
      </c>
      <c r="H25" s="59">
        <f>IF(F25=0,0,G25/F25)</f>
        <v/>
      </c>
    </row>
    <row r="26" ht="20" customHeight="1">
      <c r="A26" s="54" t="inlineStr">
        <is>
          <t>Tiêu chí đã chấm</t>
        </is>
      </c>
      <c r="B26" s="75" t="n"/>
      <c r="C26" s="60">
        <f>COUNT(G10:G20)&amp;" / 11"</f>
        <v/>
      </c>
      <c r="D26" s="61" t="inlineStr">
        <is>
          <t>Tuân thủ - Thời hạn</t>
        </is>
      </c>
      <c r="E26" s="22">
        <f>SUMIF($J$10:$J$20,"TT",$E$10:$E$20)</f>
        <v/>
      </c>
      <c r="F26" s="67">
        <f>E26*100</f>
        <v/>
      </c>
      <c r="G26" s="67">
        <f>SUMIF($J$10:$J$20,"TT",$H$10:$H$20)</f>
        <v/>
      </c>
      <c r="H26" s="59">
        <f>IF(F26=0,0,G26/F26)</f>
        <v/>
      </c>
    </row>
    <row r="27" ht="20" customHeight="1">
      <c r="A27" s="54" t="inlineStr">
        <is>
          <t>Xếp loại</t>
        </is>
      </c>
      <c r="B27" s="75" t="n"/>
      <c r="C27" s="62">
        <f>IF(COUNT(G10:G20)=0,"Chưa chấm",IF(COUNT(G10:G20)&lt;11,"Chưa chấm đủ",IF(H21&gt;=80,"Xuất sắc",IF(H21&gt;=70,"Đạt","Cần cải thiện"))))</f>
        <v/>
      </c>
      <c r="D27" s="63" t="inlineStr">
        <is>
          <t>Phối hợp - Thái độ</t>
        </is>
      </c>
      <c r="E27" s="22">
        <f>SUMIF($J$10:$J$20,"PH",$E$10:$E$20)</f>
        <v/>
      </c>
      <c r="F27" s="67">
        <f>E27*100</f>
        <v/>
      </c>
      <c r="G27" s="67">
        <f>SUMIF($J$10:$J$20,"PH",$H$10:$H$20)</f>
        <v/>
      </c>
      <c r="H27" s="59">
        <f>IF(F27=0,0,G27/F27)</f>
        <v/>
      </c>
    </row>
    <row r="28" ht="20" customHeight="1">
      <c r="A28" s="54" t="inlineStr">
        <is>
          <t>Kiểm tra trọng số</t>
        </is>
      </c>
      <c r="B28" s="75" t="n"/>
      <c r="C28" s="60">
        <f>IF(ROUND(E21,4)=1,"Hợp lệ – 100%","SAI – tổng trọng số phải = 100%")</f>
        <v/>
      </c>
    </row>
    <row r="29"/>
    <row r="30">
      <c r="A30" s="29" t="inlineStr">
        <is>
          <t>NHẬN XÉT &amp; KẾ HOẠCH CẢI THIỆN (Bước 5 – phản hồi kết quả)</t>
        </is>
      </c>
    </row>
    <row r="31" ht="36" customHeight="1">
      <c r="A31" s="54" t="inlineStr">
        <is>
          <t>Điểm mạnh</t>
        </is>
      </c>
      <c r="B31" s="75" t="n"/>
      <c r="C31" s="7" t="n"/>
      <c r="D31" s="74" t="n"/>
      <c r="E31" s="74" t="n"/>
      <c r="F31" s="74" t="n"/>
      <c r="G31" s="74" t="n"/>
      <c r="H31" s="74" t="n"/>
      <c r="I31" s="75" t="n"/>
    </row>
    <row r="32" ht="36" customHeight="1">
      <c r="A32" s="54" t="inlineStr">
        <is>
          <t>Cần cải thiện</t>
        </is>
      </c>
      <c r="B32" s="75" t="n"/>
      <c r="C32" s="7" t="n"/>
      <c r="D32" s="74" t="n"/>
      <c r="E32" s="74" t="n"/>
      <c r="F32" s="74" t="n"/>
      <c r="G32" s="74" t="n"/>
      <c r="H32" s="74" t="n"/>
      <c r="I32" s="75" t="n"/>
    </row>
    <row r="33" ht="36" customHeight="1">
      <c r="A33" s="54" t="inlineStr">
        <is>
          <t>Kế hoạch cải thiện</t>
        </is>
      </c>
      <c r="B33" s="75" t="n"/>
      <c r="C33" s="7" t="n"/>
      <c r="D33" s="74" t="n"/>
      <c r="E33" s="74" t="n"/>
      <c r="F33" s="74" t="n"/>
      <c r="G33" s="74" t="n"/>
      <c r="H33" s="74" t="n"/>
      <c r="I33" s="75" t="n"/>
    </row>
    <row r="34" ht="36" customHeight="1">
      <c r="A34" s="54" t="inlineStr">
        <is>
          <t>Ý kiến nhân sự</t>
        </is>
      </c>
      <c r="B34" s="75" t="n"/>
      <c r="C34" s="7" t="n"/>
      <c r="D34" s="74" t="n"/>
      <c r="E34" s="74" t="n"/>
      <c r="F34" s="74" t="n"/>
      <c r="G34" s="74" t="n"/>
      <c r="H34" s="74" t="n"/>
      <c r="I34" s="75" t="n"/>
    </row>
    <row r="35"/>
    <row r="36">
      <c r="B36" s="65" t="inlineStr">
        <is>
          <t>NHÂN SỰ ĐƯỢC ĐÁNH GIÁ</t>
        </is>
      </c>
      <c r="D36" s="65" t="inlineStr">
        <is>
          <t>QUẢN LÝ TRỰC TIẾP</t>
        </is>
      </c>
      <c r="G36" s="65" t="inlineStr">
        <is>
          <t>NGƯỜI PHÊ DUYỆT</t>
        </is>
      </c>
    </row>
    <row r="37">
      <c r="B37" s="66" t="inlineStr">
        <is>
          <t>(Ký, ghi rõ họ tên)</t>
        </is>
      </c>
      <c r="D37" s="66" t="inlineStr">
        <is>
          <t>(Ký, ghi rõ họ tên)</t>
        </is>
      </c>
      <c r="G37" s="66" t="inlineStr">
        <is>
          <t>(Ký, ghi rõ họ tên)</t>
        </is>
      </c>
    </row>
  </sheetData>
  <mergeCells count="32">
    <mergeCell ref="A24:B24"/>
    <mergeCell ref="G37:I37"/>
    <mergeCell ref="E5:F5"/>
    <mergeCell ref="C32:I32"/>
    <mergeCell ref="E4:F4"/>
    <mergeCell ref="B14:B17"/>
    <mergeCell ref="A2:I2"/>
    <mergeCell ref="A25:B25"/>
    <mergeCell ref="A23:C23"/>
    <mergeCell ref="C34:I34"/>
    <mergeCell ref="G6:H6"/>
    <mergeCell ref="A27:B27"/>
    <mergeCell ref="C33:I33"/>
    <mergeCell ref="B10:B13"/>
    <mergeCell ref="A26:B26"/>
    <mergeCell ref="E6:F6"/>
    <mergeCell ref="A33:B33"/>
    <mergeCell ref="B37:C37"/>
    <mergeCell ref="G5:H5"/>
    <mergeCell ref="A32:B32"/>
    <mergeCell ref="B18:B20"/>
    <mergeCell ref="A30:I30"/>
    <mergeCell ref="G4:H4"/>
    <mergeCell ref="C31:I31"/>
    <mergeCell ref="G36:I36"/>
    <mergeCell ref="A21:D21"/>
    <mergeCell ref="A28:B28"/>
    <mergeCell ref="A1:I1"/>
    <mergeCell ref="B36:C36"/>
    <mergeCell ref="D23:H23"/>
    <mergeCell ref="A31:B31"/>
    <mergeCell ref="A34:B34"/>
  </mergeCells>
  <conditionalFormatting sqref="I10:I20">
    <cfRule type="expression" priority="1" dxfId="5">
      <formula>AND(ISNUMBER($G10),OR($G10&lt;=1.5,$G10&gt;=5),LEN($I10)=0)</formula>
    </cfRule>
  </conditionalFormatting>
  <conditionalFormatting sqref="G10:G20">
    <cfRule type="cellIs" priority="2" operator="lessThanOrEqual" dxfId="4">
      <formula>2</formula>
    </cfRule>
  </conditionalFormatting>
  <conditionalFormatting sqref="C27">
    <cfRule type="expression" priority="3" dxfId="0">
      <formula>C27="Xuất sắc"</formula>
    </cfRule>
    <cfRule type="expression" priority="4" dxfId="1">
      <formula>C27="Đạt"</formula>
    </cfRule>
    <cfRule type="expression" priority="5" dxfId="2">
      <formula>C27="Cần cải thiện"</formula>
    </cfRule>
    <cfRule type="expression" priority="6" dxfId="3">
      <formula>C27="Chưa chấm đủ"</formula>
    </cfRule>
  </conditionalFormatting>
  <conditionalFormatting sqref="C28">
    <cfRule type="expression" priority="7" dxfId="6">
      <formula>LEFT(C28,3)="SAI"</formula>
    </cfRule>
  </conditionalFormatting>
  <dataValidations count="2">
    <dataValidation sqref="F10:G20" showDropDown="0" showInputMessage="1" showErrorMessage="1" allowBlank="1" errorTitle="Điểm không hợp lệ" error="Nhập điểm từ 1 đến 5 (cho phép số lẻ như 3.5)." promptTitle="Thang điểm 1–5" prompt="5 Tuyệt vời · 4 Tốt · 3 Bình thường · 2 Chưa đạt · 1 Kém" type="decimal" operator="between">
      <formula1>1</formula1>
      <formula2>5</formula2>
    </dataValidation>
    <dataValidation sqref="G4" showDropDown="0" showInputMessage="0" showErrorMessage="1" allowBlank="0" type="list">
      <formula1>"Tháng,Quý,Năm"</formula1>
    </dataValidation>
  </dataValidations>
  <printOptions horizontalCentered="1"/>
  <pageMargins left="0.4" right="0.4" top="1" bottom="1" header="0.5" footer="0.5"/>
  <pageSetup orientation="landscape" paperSize="9" fitToHeight="0" fitToWidth="1"/>
  <headerFooter>
    <oddHeader/>
    <oddFooter>&amp;L&amp;8 Mr Wick Kiểm toán · taichinhketoanedu.com&amp;R&amp;8 Trang &amp;P/&amp;N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J37"/>
  <sheetViews>
    <sheetView showGridLines="0" tabSelected="0" zoomScale="9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34" customWidth="1" min="3" max="3"/>
    <col width="50" customWidth="1" min="4" max="4"/>
    <col width="10" customWidth="1" min="5" max="5"/>
    <col width="10" customWidth="1" min="6" max="6"/>
    <col width="10" customWidth="1" min="7" max="7"/>
    <col width="11" customWidth="1" min="8" max="8"/>
    <col width="30" customWidth="1" min="9" max="9"/>
    <col hidden="1" width="6" customWidth="1" min="10" max="10"/>
  </cols>
  <sheetData>
    <row r="1" ht="30" customHeight="1">
      <c r="A1" s="1" t="inlineStr">
        <is>
          <t>BẢNG ĐÁNH GIÁ KPI – CHUYÊN VIÊN LƯƠNG &amp; PHÚC LỢI (C&amp;B)</t>
        </is>
      </c>
    </row>
    <row r="2">
      <c r="A2" s="2" t="inlineStr">
        <is>
          <t xml:space="preserve">Phòng Nhân sự · Phụ lục 02 kèm Quy chế đánh giá KPI · KK HOME · </t>
        </is>
      </c>
    </row>
    <row r="3"/>
    <row r="4">
      <c r="B4" s="37" t="inlineStr">
        <is>
          <t>Họ và tên</t>
        </is>
      </c>
      <c r="C4" s="7" t="n"/>
      <c r="E4" s="37" t="inlineStr">
        <is>
          <t>Loại kỳ đánh giá</t>
        </is>
      </c>
      <c r="G4" s="38" t="inlineStr">
        <is>
          <t>Quý</t>
        </is>
      </c>
      <c r="H4" s="75" t="n"/>
      <c r="I4" s="39" t="inlineStr">
        <is>
          <t>← chọn Tháng / Quý / Năm</t>
        </is>
      </c>
    </row>
    <row r="5">
      <c r="B5" s="37" t="inlineStr">
        <is>
          <t>Mã nhân viên</t>
        </is>
      </c>
      <c r="C5" s="7" t="n"/>
      <c r="E5" s="37" t="inlineStr">
        <is>
          <t>Kỳ đánh giá</t>
        </is>
      </c>
      <c r="G5" s="38" t="n"/>
      <c r="H5" s="75" t="n"/>
      <c r="I5" s="39" t="inlineStr">
        <is>
          <t>VD: Tháng 9/2026, Quý 3/2026, Năm 2026</t>
        </is>
      </c>
    </row>
    <row r="6">
      <c r="B6" s="37" t="inlineStr">
        <is>
          <t>Người đánh giá</t>
        </is>
      </c>
      <c r="C6" s="7" t="n"/>
      <c r="E6" s="37" t="inlineStr">
        <is>
          <t>Ngày đánh giá</t>
        </is>
      </c>
      <c r="G6" s="76" t="n"/>
      <c r="H6" s="75" t="n"/>
    </row>
    <row r="7">
      <c r="B7" s="37" t="inlineStr">
        <is>
          <t>Bộ phận</t>
        </is>
      </c>
      <c r="C7" s="7" t="inlineStr">
        <is>
          <t>Phòng Nhân sự</t>
        </is>
      </c>
    </row>
    <row r="8"/>
    <row r="9" ht="42" customHeight="1">
      <c r="A9" s="16" t="inlineStr">
        <is>
          <t>STT</t>
        </is>
      </c>
      <c r="B9" s="16" t="inlineStr">
        <is>
          <t>Nhóm tiêu chí</t>
        </is>
      </c>
      <c r="C9" s="16" t="inlineStr">
        <is>
          <t>Tiêu chí đánh giá</t>
        </is>
      </c>
      <c r="D9" s="16" t="inlineStr">
        <is>
          <t>Cách đo / Chứng cứ chấm điểm</t>
        </is>
      </c>
      <c r="E9" s="16" t="inlineStr">
        <is>
          <t>Trọng số</t>
        </is>
      </c>
      <c r="F9" s="16" t="inlineStr">
        <is>
          <t>Tự đánh giá
(1–5)</t>
        </is>
      </c>
      <c r="G9" s="16" t="inlineStr">
        <is>
          <t>Quản lý chấm
(1–5)</t>
        </is>
      </c>
      <c r="H9" s="16" t="inlineStr">
        <is>
          <t>Điểm quy đổi</t>
        </is>
      </c>
      <c r="I9" s="16" t="inlineStr">
        <is>
          <t>Ghi chú / Lý do (bắt buộc khi điểm ≤1,5 hoặc 5)</t>
        </is>
      </c>
    </row>
    <row r="10" ht="34" customHeight="1">
      <c r="A10" s="17" t="n">
        <v>1</v>
      </c>
      <c r="B10" s="41" t="inlineStr">
        <is>
          <t>Chuyên môn - Nghiệp vụ</t>
        </is>
      </c>
      <c r="C10" s="42" t="inlineStr">
        <is>
          <t>Độ chính xác bảng lương</t>
        </is>
      </c>
      <c r="D10" s="43" t="inlineStr">
        <is>
          <t>Số lỗi tính lương, phụ cấp, khấu trừ phát hiện sau khi chi trả = 0</t>
        </is>
      </c>
      <c r="E10" s="44" t="n">
        <v>0.15</v>
      </c>
      <c r="F10" s="77" t="n"/>
      <c r="G10" s="77" t="n"/>
      <c r="H10" s="73">
        <f>IF(ISNUMBER(G10),G10/5*E10*100,0)</f>
        <v/>
      </c>
      <c r="I10" s="7" t="n"/>
      <c r="J10" t="inlineStr">
        <is>
          <t>CM</t>
        </is>
      </c>
    </row>
    <row r="11" ht="34" customHeight="1">
      <c r="A11" s="17" t="n">
        <v>2</v>
      </c>
      <c r="B11" s="46" t="n"/>
      <c r="C11" s="42" t="inlineStr">
        <is>
          <t>Tính thuế TNCN từ tiền lương, tiền công</t>
        </is>
      </c>
      <c r="D11" s="43" t="inlineStr">
        <is>
          <t>Khấu trừ đúng biểu thuế, giảm trừ gia cảnh; quyết toán không phải điều chỉnh</t>
        </is>
      </c>
      <c r="E11" s="44" t="n">
        <v>0.1</v>
      </c>
      <c r="F11" s="77" t="n"/>
      <c r="G11" s="77" t="n"/>
      <c r="H11" s="73">
        <f>IF(ISNUMBER(G11),G11/5*E11*100,0)</f>
        <v/>
      </c>
      <c r="I11" s="7" t="n"/>
      <c r="J11" t="inlineStr">
        <is>
          <t>CM</t>
        </is>
      </c>
    </row>
    <row r="12" ht="34" customHeight="1">
      <c r="A12" s="17" t="n">
        <v>3</v>
      </c>
      <c r="B12" s="46" t="n"/>
      <c r="C12" s="42" t="inlineStr">
        <is>
          <t>Quản lý thang bảng lương &amp; khảo sát lương</t>
        </is>
      </c>
      <c r="D12" s="43" t="inlineStr">
        <is>
          <t>Thang bảng lương cập nhật theo lương tối thiểu vùng; có số liệu khảo sát lương thị trường cho vị trí then chốt</t>
        </is>
      </c>
      <c r="E12" s="44" t="n">
        <v>0.1</v>
      </c>
      <c r="F12" s="77" t="n"/>
      <c r="G12" s="77" t="n"/>
      <c r="H12" s="73">
        <f>IF(ISNUMBER(G12),G12/5*E12*100,0)</f>
        <v/>
      </c>
      <c r="I12" s="7" t="n"/>
      <c r="J12" t="inlineStr">
        <is>
          <t>CM</t>
        </is>
      </c>
    </row>
    <row r="13" ht="34" customHeight="1">
      <c r="A13" s="17" t="n">
        <v>4</v>
      </c>
      <c r="B13" s="47" t="n"/>
      <c r="C13" s="42" t="inlineStr">
        <is>
          <t>Quản lý chế độ phúc lợi</t>
        </is>
      </c>
      <c r="D13" s="43" t="inlineStr">
        <is>
          <t>Chi phúc lợi (hiếu hỉ, nghỉ mát, quà tặng…) đúng quy chế, đúng hạn</t>
        </is>
      </c>
      <c r="E13" s="44" t="n">
        <v>0.05</v>
      </c>
      <c r="F13" s="77" t="n"/>
      <c r="G13" s="77" t="n"/>
      <c r="H13" s="73">
        <f>IF(ISNUMBER(G13),G13/5*E13*100,0)</f>
        <v/>
      </c>
      <c r="I13" s="7" t="n"/>
      <c r="J13" t="inlineStr">
        <is>
          <t>CM</t>
        </is>
      </c>
    </row>
    <row r="14" ht="34" customHeight="1">
      <c r="A14" s="17" t="n">
        <v>5</v>
      </c>
      <c r="B14" s="48" t="inlineStr">
        <is>
          <t>Tuân thủ - Thời hạn</t>
        </is>
      </c>
      <c r="C14" s="42" t="inlineStr">
        <is>
          <t>Đúng hạn kỳ lương</t>
        </is>
      </c>
      <c r="D14" s="43" t="inlineStr">
        <is>
          <t>Bảng lương trình duyệt và chi trả đúng ngày theo quy chế lương</t>
        </is>
      </c>
      <c r="E14" s="44" t="n">
        <v>0.12</v>
      </c>
      <c r="F14" s="77" t="n"/>
      <c r="G14" s="77" t="n"/>
      <c r="H14" s="73">
        <f>IF(ISNUMBER(G14),G14/5*E14*100,0)</f>
        <v/>
      </c>
      <c r="I14" s="7" t="n"/>
      <c r="J14" t="inlineStr">
        <is>
          <t>TT</t>
        </is>
      </c>
    </row>
    <row r="15" ht="30" customHeight="1">
      <c r="A15" s="17" t="n">
        <v>6</v>
      </c>
      <c r="B15" s="46" t="n"/>
      <c r="C15" s="42" t="inlineStr">
        <is>
          <t>Tuân thủ quy chế lương thưởng</t>
        </is>
      </c>
      <c r="D15" s="43" t="inlineStr">
        <is>
          <t>Áp dụng đúng thang bảng lương, quy chế thưởng, phụ cấp</t>
        </is>
      </c>
      <c r="E15" s="44" t="n">
        <v>0.1</v>
      </c>
      <c r="F15" s="77" t="n"/>
      <c r="G15" s="77" t="n"/>
      <c r="H15" s="73">
        <f>IF(ISNUMBER(G15),G15/5*E15*100,0)</f>
        <v/>
      </c>
      <c r="I15" s="7" t="n"/>
      <c r="J15" t="inlineStr">
        <is>
          <t>TT</t>
        </is>
      </c>
    </row>
    <row r="16" ht="34" customHeight="1">
      <c r="A16" s="17" t="n">
        <v>7</v>
      </c>
      <c r="B16" s="46" t="n"/>
      <c r="C16" s="42" t="inlineStr">
        <is>
          <t>Quyết toán thuế TNCN</t>
        </is>
      </c>
      <c r="D16" s="43" t="inlineStr">
        <is>
          <t>Hồ sơ khai, quyết toán thuế TNCN nộp đúng hạn; không phát sinh tiền chậm nộp</t>
        </is>
      </c>
      <c r="E16" s="44" t="n">
        <v>0.08</v>
      </c>
      <c r="F16" s="77" t="n"/>
      <c r="G16" s="77" t="n"/>
      <c r="H16" s="73">
        <f>IF(ISNUMBER(G16),G16/5*E16*100,0)</f>
        <v/>
      </c>
      <c r="I16" s="7" t="n"/>
      <c r="J16" t="inlineStr">
        <is>
          <t>TT</t>
        </is>
      </c>
    </row>
    <row r="17" ht="30" customHeight="1">
      <c r="A17" s="17" t="n">
        <v>8</v>
      </c>
      <c r="B17" s="47" t="n"/>
      <c r="C17" s="42" t="inlineStr">
        <is>
          <t>Bảo mật thông tin lương</t>
        </is>
      </c>
      <c r="D17" s="43" t="inlineStr">
        <is>
          <t>Không rò rỉ bảng lương; file lương có phân quyền</t>
        </is>
      </c>
      <c r="E17" s="44" t="n">
        <v>0.05</v>
      </c>
      <c r="F17" s="77" t="n"/>
      <c r="G17" s="77" t="n"/>
      <c r="H17" s="73">
        <f>IF(ISNUMBER(G17),G17/5*E17*100,0)</f>
        <v/>
      </c>
      <c r="I17" s="7" t="n"/>
      <c r="J17" t="inlineStr">
        <is>
          <t>TT</t>
        </is>
      </c>
    </row>
    <row r="18" ht="34" customHeight="1">
      <c r="A18" s="17" t="n">
        <v>9</v>
      </c>
      <c r="B18" s="49" t="inlineStr">
        <is>
          <t>Phối hợp - Thái độ</t>
        </is>
      </c>
      <c r="C18" s="42" t="inlineStr">
        <is>
          <t>Phối hợp với Kế toán &amp; chuyên viên BHXH</t>
        </is>
      </c>
      <c r="D18" s="43" t="inlineStr">
        <is>
          <t>Chi phí lương, khoản trích BHXH khớp sổ kế toán và dữ liệu BHXH</t>
        </is>
      </c>
      <c r="E18" s="44" t="n">
        <v>0.1</v>
      </c>
      <c r="F18" s="77" t="n"/>
      <c r="G18" s="77" t="n"/>
      <c r="H18" s="73">
        <f>IF(ISNUMBER(G18),G18/5*E18*100,0)</f>
        <v/>
      </c>
      <c r="I18" s="7" t="n"/>
      <c r="J18" t="inlineStr">
        <is>
          <t>PH</t>
        </is>
      </c>
    </row>
    <row r="19" ht="30" customHeight="1">
      <c r="A19" s="17" t="n">
        <v>10</v>
      </c>
      <c r="B19" s="46" t="n"/>
      <c r="C19" s="42" t="inlineStr">
        <is>
          <t>Giải đáp thắc mắc của người lao động</t>
        </is>
      </c>
      <c r="D19" s="43" t="inlineStr">
        <is>
          <t>Thời gian phản hồi thắc mắc về lương ≤ 2 ngày làm việc</t>
        </is>
      </c>
      <c r="E19" s="44" t="n">
        <v>0.08</v>
      </c>
      <c r="F19" s="77" t="n"/>
      <c r="G19" s="77" t="n"/>
      <c r="H19" s="73">
        <f>IF(ISNUMBER(G19),G19/5*E19*100,0)</f>
        <v/>
      </c>
      <c r="I19" s="7" t="n"/>
      <c r="J19" t="inlineStr">
        <is>
          <t>PH</t>
        </is>
      </c>
    </row>
    <row r="20" ht="30" customHeight="1">
      <c r="A20" s="17" t="n">
        <v>11</v>
      </c>
      <c r="B20" s="47" t="n"/>
      <c r="C20" s="42" t="inlineStr">
        <is>
          <t>Tinh thần trách nhiệm &amp; chủ động</t>
        </is>
      </c>
      <c r="D20" s="43" t="inlineStr">
        <is>
          <t>Cập nhật kịp thời thay đổi chính sách lương, thuế TNCN</t>
        </is>
      </c>
      <c r="E20" s="44" t="n">
        <v>0.07000000000000001</v>
      </c>
      <c r="F20" s="77" t="n"/>
      <c r="G20" s="77" t="n"/>
      <c r="H20" s="73">
        <f>IF(ISNUMBER(G20),G20/5*E20*100,0)</f>
        <v/>
      </c>
      <c r="I20" s="7" t="n"/>
      <c r="J20" t="inlineStr">
        <is>
          <t>PH</t>
        </is>
      </c>
    </row>
    <row r="21" ht="22" customHeight="1">
      <c r="A21" s="50" t="inlineStr">
        <is>
          <t>TỔNG CỘNG</t>
        </is>
      </c>
      <c r="B21" s="74" t="n"/>
      <c r="C21" s="74" t="n"/>
      <c r="D21" s="75" t="n"/>
      <c r="E21" s="51">
        <f>SUM(E10:E20)</f>
        <v/>
      </c>
      <c r="F21" s="50" t="n"/>
      <c r="G21" s="50" t="n"/>
      <c r="H21" s="78">
        <f>SUM(H10:H20)</f>
        <v/>
      </c>
      <c r="I21" s="50" t="n"/>
    </row>
    <row r="22"/>
    <row r="23">
      <c r="A23" s="53" t="inlineStr">
        <is>
          <t>KẾT QUẢ ĐÁNH GIÁ</t>
        </is>
      </c>
      <c r="D23" s="53" t="inlineStr">
        <is>
          <t>ĐIỂM THEO NHÓM TIÊU CHÍ</t>
        </is>
      </c>
    </row>
    <row r="24" ht="20" customHeight="1">
      <c r="A24" s="54" t="inlineStr">
        <is>
          <t>Tổng điểm chính thức</t>
        </is>
      </c>
      <c r="B24" s="75" t="n"/>
      <c r="C24" s="79">
        <f>H21</f>
        <v/>
      </c>
      <c r="D24" s="57" t="inlineStr">
        <is>
          <t>Nhóm tiêu chí</t>
        </is>
      </c>
      <c r="E24" s="57" t="inlineStr">
        <is>
          <t>Trọng số</t>
        </is>
      </c>
      <c r="F24" s="57" t="inlineStr">
        <is>
          <t>Điểm tối đa</t>
        </is>
      </c>
      <c r="G24" s="57" t="inlineStr">
        <is>
          <t>Điểm đạt</t>
        </is>
      </c>
      <c r="H24" s="57" t="inlineStr">
        <is>
          <t>Tỷ lệ đạt</t>
        </is>
      </c>
    </row>
    <row r="25" ht="20" customHeight="1">
      <c r="A25" s="54" t="inlineStr">
        <is>
          <t>Điểm tự đánh giá</t>
        </is>
      </c>
      <c r="B25" s="75" t="n"/>
      <c r="C25" s="73">
        <f>IF(COUNT(F10:F20)=0,"",SUMPRODUCT(F10:F20,E10:E20)/5*100)</f>
        <v/>
      </c>
      <c r="D25" s="58" t="inlineStr">
        <is>
          <t>Chuyên môn - Nghiệp vụ</t>
        </is>
      </c>
      <c r="E25" s="22">
        <f>SUMIF($J$10:$J$20,"CM",$E$10:$E$20)</f>
        <v/>
      </c>
      <c r="F25" s="67">
        <f>E25*100</f>
        <v/>
      </c>
      <c r="G25" s="67">
        <f>SUMIF($J$10:$J$20,"CM",$H$10:$H$20)</f>
        <v/>
      </c>
      <c r="H25" s="59">
        <f>IF(F25=0,0,G25/F25)</f>
        <v/>
      </c>
    </row>
    <row r="26" ht="20" customHeight="1">
      <c r="A26" s="54" t="inlineStr">
        <is>
          <t>Tiêu chí đã chấm</t>
        </is>
      </c>
      <c r="B26" s="75" t="n"/>
      <c r="C26" s="60">
        <f>COUNT(G10:G20)&amp;" / 11"</f>
        <v/>
      </c>
      <c r="D26" s="61" t="inlineStr">
        <is>
          <t>Tuân thủ - Thời hạn</t>
        </is>
      </c>
      <c r="E26" s="22">
        <f>SUMIF($J$10:$J$20,"TT",$E$10:$E$20)</f>
        <v/>
      </c>
      <c r="F26" s="67">
        <f>E26*100</f>
        <v/>
      </c>
      <c r="G26" s="67">
        <f>SUMIF($J$10:$J$20,"TT",$H$10:$H$20)</f>
        <v/>
      </c>
      <c r="H26" s="59">
        <f>IF(F26=0,0,G26/F26)</f>
        <v/>
      </c>
    </row>
    <row r="27" ht="20" customHeight="1">
      <c r="A27" s="54" t="inlineStr">
        <is>
          <t>Xếp loại</t>
        </is>
      </c>
      <c r="B27" s="75" t="n"/>
      <c r="C27" s="62">
        <f>IF(COUNT(G10:G20)=0,"Chưa chấm",IF(COUNT(G10:G20)&lt;11,"Chưa chấm đủ",IF(H21&gt;=80,"Xuất sắc",IF(H21&gt;=70,"Đạt","Cần cải thiện"))))</f>
        <v/>
      </c>
      <c r="D27" s="63" t="inlineStr">
        <is>
          <t>Phối hợp - Thái độ</t>
        </is>
      </c>
      <c r="E27" s="22">
        <f>SUMIF($J$10:$J$20,"PH",$E$10:$E$20)</f>
        <v/>
      </c>
      <c r="F27" s="67">
        <f>E27*100</f>
        <v/>
      </c>
      <c r="G27" s="67">
        <f>SUMIF($J$10:$J$20,"PH",$H$10:$H$20)</f>
        <v/>
      </c>
      <c r="H27" s="59">
        <f>IF(F27=0,0,G27/F27)</f>
        <v/>
      </c>
    </row>
    <row r="28" ht="20" customHeight="1">
      <c r="A28" s="54" t="inlineStr">
        <is>
          <t>Kiểm tra trọng số</t>
        </is>
      </c>
      <c r="B28" s="75" t="n"/>
      <c r="C28" s="60">
        <f>IF(ROUND(E21,4)=1,"Hợp lệ – 100%","SAI – tổng trọng số phải = 100%")</f>
        <v/>
      </c>
    </row>
    <row r="29"/>
    <row r="30">
      <c r="A30" s="29" t="inlineStr">
        <is>
          <t>NHẬN XÉT &amp; KẾ HOẠCH CẢI THIỆN (Bước 5 – phản hồi kết quả)</t>
        </is>
      </c>
    </row>
    <row r="31" ht="36" customHeight="1">
      <c r="A31" s="54" t="inlineStr">
        <is>
          <t>Điểm mạnh</t>
        </is>
      </c>
      <c r="B31" s="75" t="n"/>
      <c r="C31" s="7" t="n"/>
      <c r="D31" s="74" t="n"/>
      <c r="E31" s="74" t="n"/>
      <c r="F31" s="74" t="n"/>
      <c r="G31" s="74" t="n"/>
      <c r="H31" s="74" t="n"/>
      <c r="I31" s="75" t="n"/>
    </row>
    <row r="32" ht="36" customHeight="1">
      <c r="A32" s="54" t="inlineStr">
        <is>
          <t>Cần cải thiện</t>
        </is>
      </c>
      <c r="B32" s="75" t="n"/>
      <c r="C32" s="7" t="n"/>
      <c r="D32" s="74" t="n"/>
      <c r="E32" s="74" t="n"/>
      <c r="F32" s="74" t="n"/>
      <c r="G32" s="74" t="n"/>
      <c r="H32" s="74" t="n"/>
      <c r="I32" s="75" t="n"/>
    </row>
    <row r="33" ht="36" customHeight="1">
      <c r="A33" s="54" t="inlineStr">
        <is>
          <t>Kế hoạch cải thiện</t>
        </is>
      </c>
      <c r="B33" s="75" t="n"/>
      <c r="C33" s="7" t="n"/>
      <c r="D33" s="74" t="n"/>
      <c r="E33" s="74" t="n"/>
      <c r="F33" s="74" t="n"/>
      <c r="G33" s="74" t="n"/>
      <c r="H33" s="74" t="n"/>
      <c r="I33" s="75" t="n"/>
    </row>
    <row r="34" ht="36" customHeight="1">
      <c r="A34" s="54" t="inlineStr">
        <is>
          <t>Ý kiến nhân sự</t>
        </is>
      </c>
      <c r="B34" s="75" t="n"/>
      <c r="C34" s="7" t="n"/>
      <c r="D34" s="74" t="n"/>
      <c r="E34" s="74" t="n"/>
      <c r="F34" s="74" t="n"/>
      <c r="G34" s="74" t="n"/>
      <c r="H34" s="74" t="n"/>
      <c r="I34" s="75" t="n"/>
    </row>
    <row r="35"/>
    <row r="36">
      <c r="B36" s="65" t="inlineStr">
        <is>
          <t>NHÂN SỰ ĐƯỢC ĐÁNH GIÁ</t>
        </is>
      </c>
      <c r="D36" s="65" t="inlineStr">
        <is>
          <t>QUẢN LÝ TRỰC TIẾP</t>
        </is>
      </c>
      <c r="G36" s="65" t="inlineStr">
        <is>
          <t>NGƯỜI PHÊ DUYỆT</t>
        </is>
      </c>
    </row>
    <row r="37">
      <c r="B37" s="66" t="inlineStr">
        <is>
          <t>(Ký, ghi rõ họ tên)</t>
        </is>
      </c>
      <c r="D37" s="66" t="inlineStr">
        <is>
          <t>(Ký, ghi rõ họ tên)</t>
        </is>
      </c>
      <c r="G37" s="66" t="inlineStr">
        <is>
          <t>(Ký, ghi rõ họ tên)</t>
        </is>
      </c>
    </row>
  </sheetData>
  <mergeCells count="32">
    <mergeCell ref="A24:B24"/>
    <mergeCell ref="G37:I37"/>
    <mergeCell ref="E5:F5"/>
    <mergeCell ref="C32:I32"/>
    <mergeCell ref="E4:F4"/>
    <mergeCell ref="B14:B17"/>
    <mergeCell ref="A2:I2"/>
    <mergeCell ref="A25:B25"/>
    <mergeCell ref="A23:C23"/>
    <mergeCell ref="C34:I34"/>
    <mergeCell ref="G6:H6"/>
    <mergeCell ref="A27:B27"/>
    <mergeCell ref="C33:I33"/>
    <mergeCell ref="B10:B13"/>
    <mergeCell ref="A26:B26"/>
    <mergeCell ref="E6:F6"/>
    <mergeCell ref="A33:B33"/>
    <mergeCell ref="B37:C37"/>
    <mergeCell ref="G5:H5"/>
    <mergeCell ref="A32:B32"/>
    <mergeCell ref="B18:B20"/>
    <mergeCell ref="A30:I30"/>
    <mergeCell ref="G4:H4"/>
    <mergeCell ref="C31:I31"/>
    <mergeCell ref="G36:I36"/>
    <mergeCell ref="A21:D21"/>
    <mergeCell ref="A28:B28"/>
    <mergeCell ref="A1:I1"/>
    <mergeCell ref="B36:C36"/>
    <mergeCell ref="D23:H23"/>
    <mergeCell ref="A31:B31"/>
    <mergeCell ref="A34:B34"/>
  </mergeCells>
  <conditionalFormatting sqref="I10:I20">
    <cfRule type="expression" priority="1" dxfId="5">
      <formula>AND(ISNUMBER($G10),OR($G10&lt;=1.5,$G10&gt;=5),LEN($I10)=0)</formula>
    </cfRule>
  </conditionalFormatting>
  <conditionalFormatting sqref="G10:G20">
    <cfRule type="cellIs" priority="2" operator="lessThanOrEqual" dxfId="4">
      <formula>2</formula>
    </cfRule>
  </conditionalFormatting>
  <conditionalFormatting sqref="C27">
    <cfRule type="expression" priority="3" dxfId="0">
      <formula>C27="Xuất sắc"</formula>
    </cfRule>
    <cfRule type="expression" priority="4" dxfId="1">
      <formula>C27="Đạt"</formula>
    </cfRule>
    <cfRule type="expression" priority="5" dxfId="2">
      <formula>C27="Cần cải thiện"</formula>
    </cfRule>
    <cfRule type="expression" priority="6" dxfId="3">
      <formula>C27="Chưa chấm đủ"</formula>
    </cfRule>
  </conditionalFormatting>
  <conditionalFormatting sqref="C28">
    <cfRule type="expression" priority="7" dxfId="6">
      <formula>LEFT(C28,3)="SAI"</formula>
    </cfRule>
  </conditionalFormatting>
  <dataValidations count="2">
    <dataValidation sqref="F10:G20" showDropDown="0" showInputMessage="1" showErrorMessage="1" allowBlank="1" errorTitle="Điểm không hợp lệ" error="Nhập điểm từ 1 đến 5 (cho phép số lẻ như 3.5)." promptTitle="Thang điểm 1–5" prompt="5 Tuyệt vời · 4 Tốt · 3 Bình thường · 2 Chưa đạt · 1 Kém" type="decimal" operator="between">
      <formula1>1</formula1>
      <formula2>5</formula2>
    </dataValidation>
    <dataValidation sqref="G4" showDropDown="0" showInputMessage="0" showErrorMessage="1" allowBlank="0" type="list">
      <formula1>"Tháng,Quý,Năm"</formula1>
    </dataValidation>
  </dataValidations>
  <printOptions horizontalCentered="1"/>
  <pageMargins left="0.4" right="0.4" top="1" bottom="1" header="0.5" footer="0.5"/>
  <pageSetup orientation="landscape" paperSize="9" fitToHeight="0" fitToWidth="1"/>
  <headerFooter>
    <oddHeader/>
    <oddFooter>&amp;L&amp;8 Mr Wick Kiểm toán · taichinhketoanedu.com&amp;R&amp;8 Trang &amp;P/&amp;N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J36"/>
  <sheetViews>
    <sheetView showGridLines="0" tabSelected="0" zoomScale="9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34" customWidth="1" min="3" max="3"/>
    <col width="50" customWidth="1" min="4" max="4"/>
    <col width="10" customWidth="1" min="5" max="5"/>
    <col width="10" customWidth="1" min="6" max="6"/>
    <col width="10" customWidth="1" min="7" max="7"/>
    <col width="11" customWidth="1" min="8" max="8"/>
    <col width="30" customWidth="1" min="9" max="9"/>
    <col hidden="1" width="6" customWidth="1" min="10" max="10"/>
  </cols>
  <sheetData>
    <row r="1" ht="30" customHeight="1">
      <c r="A1" s="1" t="inlineStr">
        <is>
          <t>BẢNG ĐÁNH GIÁ KPI – CHUYÊN VIÊN BHXH &amp; CHẾ ĐỘ</t>
        </is>
      </c>
    </row>
    <row r="2">
      <c r="A2" s="2" t="inlineStr">
        <is>
          <t xml:space="preserve">Phòng Nhân sự · Phụ lục 02 kèm Quy chế đánh giá KPI · KK HOME · </t>
        </is>
      </c>
    </row>
    <row r="3"/>
    <row r="4">
      <c r="B4" s="37" t="inlineStr">
        <is>
          <t>Họ và tên</t>
        </is>
      </c>
      <c r="C4" s="7" t="n"/>
      <c r="E4" s="37" t="inlineStr">
        <is>
          <t>Loại kỳ đánh giá</t>
        </is>
      </c>
      <c r="G4" s="38" t="inlineStr">
        <is>
          <t>Quý</t>
        </is>
      </c>
      <c r="H4" s="75" t="n"/>
      <c r="I4" s="39" t="inlineStr">
        <is>
          <t>← chọn Tháng / Quý / Năm</t>
        </is>
      </c>
    </row>
    <row r="5">
      <c r="B5" s="37" t="inlineStr">
        <is>
          <t>Mã nhân viên</t>
        </is>
      </c>
      <c r="C5" s="7" t="n"/>
      <c r="E5" s="37" t="inlineStr">
        <is>
          <t>Kỳ đánh giá</t>
        </is>
      </c>
      <c r="G5" s="38" t="n"/>
      <c r="H5" s="75" t="n"/>
      <c r="I5" s="39" t="inlineStr">
        <is>
          <t>VD: Tháng 9/2026, Quý 3/2026, Năm 2026</t>
        </is>
      </c>
    </row>
    <row r="6">
      <c r="B6" s="37" t="inlineStr">
        <is>
          <t>Người đánh giá</t>
        </is>
      </c>
      <c r="C6" s="7" t="n"/>
      <c r="E6" s="37" t="inlineStr">
        <is>
          <t>Ngày đánh giá</t>
        </is>
      </c>
      <c r="G6" s="76" t="n"/>
      <c r="H6" s="75" t="n"/>
    </row>
    <row r="7">
      <c r="B7" s="37" t="inlineStr">
        <is>
          <t>Bộ phận</t>
        </is>
      </c>
      <c r="C7" s="7" t="inlineStr">
        <is>
          <t>Phòng Nhân sự</t>
        </is>
      </c>
    </row>
    <row r="8"/>
    <row r="9" ht="42" customHeight="1">
      <c r="A9" s="16" t="inlineStr">
        <is>
          <t>STT</t>
        </is>
      </c>
      <c r="B9" s="16" t="inlineStr">
        <is>
          <t>Nhóm tiêu chí</t>
        </is>
      </c>
      <c r="C9" s="16" t="inlineStr">
        <is>
          <t>Tiêu chí đánh giá</t>
        </is>
      </c>
      <c r="D9" s="16" t="inlineStr">
        <is>
          <t>Cách đo / Chứng cứ chấm điểm</t>
        </is>
      </c>
      <c r="E9" s="16" t="inlineStr">
        <is>
          <t>Trọng số</t>
        </is>
      </c>
      <c r="F9" s="16" t="inlineStr">
        <is>
          <t>Tự đánh giá
(1–5)</t>
        </is>
      </c>
      <c r="G9" s="16" t="inlineStr">
        <is>
          <t>Quản lý chấm
(1–5)</t>
        </is>
      </c>
      <c r="H9" s="16" t="inlineStr">
        <is>
          <t>Điểm quy đổi</t>
        </is>
      </c>
      <c r="I9" s="16" t="inlineStr">
        <is>
          <t>Ghi chú / Lý do (bắt buộc khi điểm ≤1,5 hoặc 5)</t>
        </is>
      </c>
    </row>
    <row r="10" ht="30" customHeight="1">
      <c r="A10" s="17" t="n">
        <v>1</v>
      </c>
      <c r="B10" s="41" t="inlineStr">
        <is>
          <t>Chuyên môn - Nghiệp vụ</t>
        </is>
      </c>
      <c r="C10" s="42" t="inlineStr">
        <is>
          <t>Thủ tục tham gia BHXH, BHYT, BHTN</t>
        </is>
      </c>
      <c r="D10" s="43" t="inlineStr">
        <is>
          <t>Báo tăng/giảm, điều chỉnh mức đóng, cấp thẻ BHYT chính xác</t>
        </is>
      </c>
      <c r="E10" s="44" t="n">
        <v>0.12</v>
      </c>
      <c r="F10" s="77" t="n"/>
      <c r="G10" s="77" t="n"/>
      <c r="H10" s="73">
        <f>IF(ISNUMBER(G10),G10/5*E10*100,0)</f>
        <v/>
      </c>
      <c r="I10" s="7" t="n"/>
      <c r="J10" t="inlineStr">
        <is>
          <t>CM</t>
        </is>
      </c>
    </row>
    <row r="11" ht="34" customHeight="1">
      <c r="A11" s="17" t="n">
        <v>2</v>
      </c>
      <c r="B11" s="46" t="n"/>
      <c r="C11" s="42" t="inlineStr">
        <is>
          <t>Giải quyết chế độ ốm đau, thai sản, dưỡng sức</t>
        </is>
      </c>
      <c r="D11" s="43" t="inlineStr">
        <is>
          <t>Hồ sơ đủ, đúng; được cơ quan BHXH chấp nhận ngay lần nộp đầu</t>
        </is>
      </c>
      <c r="E11" s="44" t="n">
        <v>0.1</v>
      </c>
      <c r="F11" s="77" t="n"/>
      <c r="G11" s="77" t="n"/>
      <c r="H11" s="73">
        <f>IF(ISNUMBER(G11),G11/5*E11*100,0)</f>
        <v/>
      </c>
      <c r="I11" s="7" t="n"/>
      <c r="J11" t="inlineStr">
        <is>
          <t>CM</t>
        </is>
      </c>
    </row>
    <row r="12" ht="34" customHeight="1">
      <c r="A12" s="17" t="n">
        <v>3</v>
      </c>
      <c r="B12" s="46" t="n"/>
      <c r="C12" s="42" t="inlineStr">
        <is>
          <t>Đối chiếu số liệu đóng BHXH</t>
        </is>
      </c>
      <c r="D12" s="43" t="inlineStr">
        <is>
          <t>Đối chiếu hằng tháng với cơ quan BHXH; không phát sinh chênh lệch</t>
        </is>
      </c>
      <c r="E12" s="44" t="n">
        <v>0.1</v>
      </c>
      <c r="F12" s="77" t="n"/>
      <c r="G12" s="77" t="n"/>
      <c r="H12" s="73">
        <f>IF(ISNUMBER(G12),G12/5*E12*100,0)</f>
        <v/>
      </c>
      <c r="I12" s="7" t="n"/>
      <c r="J12" t="inlineStr">
        <is>
          <t>CM</t>
        </is>
      </c>
    </row>
    <row r="13" ht="34" customHeight="1">
      <c r="A13" s="17" t="n">
        <v>4</v>
      </c>
      <c r="B13" s="47" t="n"/>
      <c r="C13" s="42" t="inlineStr">
        <is>
          <t>Hồ sơ tai nạn lao động, bệnh nghề nghiệp</t>
        </is>
      </c>
      <c r="D13" s="43" t="inlineStr">
        <is>
          <t>Lập, nộp hồ sơ đủ và đúng hạn khi phát sinh (không phát sinh: chấm theo mức chuẩn bị quy trình)</t>
        </is>
      </c>
      <c r="E13" s="44" t="n">
        <v>0.08</v>
      </c>
      <c r="F13" s="77" t="n"/>
      <c r="G13" s="77" t="n"/>
      <c r="H13" s="73">
        <f>IF(ISNUMBER(G13),G13/5*E13*100,0)</f>
        <v/>
      </c>
      <c r="I13" s="7" t="n"/>
      <c r="J13" t="inlineStr">
        <is>
          <t>CM</t>
        </is>
      </c>
    </row>
    <row r="14" ht="30" customHeight="1">
      <c r="A14" s="17" t="n">
        <v>5</v>
      </c>
      <c r="B14" s="48" t="inlineStr">
        <is>
          <t>Tuân thủ - Thời hạn</t>
        </is>
      </c>
      <c r="C14" s="42" t="inlineStr">
        <is>
          <t>Đúng hạn nộp tiền BHXH</t>
        </is>
      </c>
      <c r="D14" s="43" t="inlineStr">
        <is>
          <t>Không phát sinh chậm đóng, tiền lãi chậm đóng BHXH</t>
        </is>
      </c>
      <c r="E14" s="44" t="n">
        <v>0.15</v>
      </c>
      <c r="F14" s="77" t="n"/>
      <c r="G14" s="77" t="n"/>
      <c r="H14" s="73">
        <f>IF(ISNUMBER(G14),G14/5*E14*100,0)</f>
        <v/>
      </c>
      <c r="I14" s="7" t="n"/>
      <c r="J14" t="inlineStr">
        <is>
          <t>TT</t>
        </is>
      </c>
    </row>
    <row r="15" ht="34" customHeight="1">
      <c r="A15" s="17" t="n">
        <v>6</v>
      </c>
      <c r="B15" s="46" t="n"/>
      <c r="C15" s="42" t="inlineStr">
        <is>
          <t>Chốt, trả sổ BHXH khi nghỉ việc</t>
        </is>
      </c>
      <c r="D15" s="43" t="inlineStr">
        <is>
          <t>Hoàn tất xác nhận quá trình đóng và trả hồ sơ trong thời hạn luật định</t>
        </is>
      </c>
      <c r="E15" s="44" t="n">
        <v>0.1</v>
      </c>
      <c r="F15" s="77" t="n"/>
      <c r="G15" s="77" t="n"/>
      <c r="H15" s="73">
        <f>IF(ISNUMBER(G15),G15/5*E15*100,0)</f>
        <v/>
      </c>
      <c r="I15" s="7" t="n"/>
      <c r="J15" t="inlineStr">
        <is>
          <t>TT</t>
        </is>
      </c>
    </row>
    <row r="16" ht="30" customHeight="1">
      <c r="A16" s="17" t="n">
        <v>7</v>
      </c>
      <c r="B16" s="47" t="n"/>
      <c r="C16" s="42" t="inlineStr">
        <is>
          <t>Cập nhật chính sách BHXH mới</t>
        </is>
      </c>
      <c r="D16" s="43" t="inlineStr">
        <is>
          <t>Áp dụng kịp thời thay đổi về mức đóng, đối tượng, chế độ</t>
        </is>
      </c>
      <c r="E16" s="44" t="n">
        <v>0.1</v>
      </c>
      <c r="F16" s="77" t="n"/>
      <c r="G16" s="77" t="n"/>
      <c r="H16" s="73">
        <f>IF(ISNUMBER(G16),G16/5*E16*100,0)</f>
        <v/>
      </c>
      <c r="I16" s="7" t="n"/>
      <c r="J16" t="inlineStr">
        <is>
          <t>TT</t>
        </is>
      </c>
    </row>
    <row r="17" ht="30" customHeight="1">
      <c r="A17" s="17" t="n">
        <v>8</v>
      </c>
      <c r="B17" s="49" t="inlineStr">
        <is>
          <t>Phối hợp - Thái độ</t>
        </is>
      </c>
      <c r="C17" s="42" t="inlineStr">
        <is>
          <t>Hướng dẫn người lao động về chế độ</t>
        </is>
      </c>
      <c r="D17" s="43" t="inlineStr">
        <is>
          <t>Thời gian phản hồi; số hồ sơ phải bổ sung do hướng dẫn sai</t>
        </is>
      </c>
      <c r="E17" s="44" t="n">
        <v>0.1</v>
      </c>
      <c r="F17" s="77" t="n"/>
      <c r="G17" s="77" t="n"/>
      <c r="H17" s="73">
        <f>IF(ISNUMBER(G17),G17/5*E17*100,0)</f>
        <v/>
      </c>
      <c r="I17" s="7" t="n"/>
      <c r="J17" t="inlineStr">
        <is>
          <t>PH</t>
        </is>
      </c>
    </row>
    <row r="18" ht="30" customHeight="1">
      <c r="A18" s="17" t="n">
        <v>9</v>
      </c>
      <c r="B18" s="46" t="n"/>
      <c r="C18" s="42" t="inlineStr">
        <is>
          <t>Phối hợp với C&amp;B và Kế toán</t>
        </is>
      </c>
      <c r="D18" s="43" t="inlineStr">
        <is>
          <t>Số liệu trích nộp BHXH khớp bảng lương và sổ kế toán</t>
        </is>
      </c>
      <c r="E18" s="44" t="n">
        <v>0.08</v>
      </c>
      <c r="F18" s="77" t="n"/>
      <c r="G18" s="77" t="n"/>
      <c r="H18" s="73">
        <f>IF(ISNUMBER(G18),G18/5*E18*100,0)</f>
        <v/>
      </c>
      <c r="I18" s="7" t="n"/>
      <c r="J18" t="inlineStr">
        <is>
          <t>PH</t>
        </is>
      </c>
    </row>
    <row r="19" ht="30" customHeight="1">
      <c r="A19" s="17" t="n">
        <v>10</v>
      </c>
      <c r="B19" s="47" t="n"/>
      <c r="C19" s="42" t="inlineStr">
        <is>
          <t>Tinh thần trách nhiệm &amp; chủ động</t>
        </is>
      </c>
      <c r="D19" s="43" t="inlineStr">
        <is>
          <t>Chủ động nhắc hạn, theo dõi hồ sơ tồn tại cơ quan BHXH</t>
        </is>
      </c>
      <c r="E19" s="44" t="n">
        <v>0.07000000000000001</v>
      </c>
      <c r="F19" s="77" t="n"/>
      <c r="G19" s="77" t="n"/>
      <c r="H19" s="73">
        <f>IF(ISNUMBER(G19),G19/5*E19*100,0)</f>
        <v/>
      </c>
      <c r="I19" s="7" t="n"/>
      <c r="J19" t="inlineStr">
        <is>
          <t>PH</t>
        </is>
      </c>
    </row>
    <row r="20" ht="22" customHeight="1">
      <c r="A20" s="50" t="inlineStr">
        <is>
          <t>TỔNG CỘNG</t>
        </is>
      </c>
      <c r="B20" s="74" t="n"/>
      <c r="C20" s="74" t="n"/>
      <c r="D20" s="75" t="n"/>
      <c r="E20" s="51">
        <f>SUM(E10:E19)</f>
        <v/>
      </c>
      <c r="F20" s="50" t="n"/>
      <c r="G20" s="50" t="n"/>
      <c r="H20" s="78">
        <f>SUM(H10:H19)</f>
        <v/>
      </c>
      <c r="I20" s="50" t="n"/>
    </row>
    <row r="21"/>
    <row r="22">
      <c r="A22" s="53" t="inlineStr">
        <is>
          <t>KẾT QUẢ ĐÁNH GIÁ</t>
        </is>
      </c>
      <c r="D22" s="53" t="inlineStr">
        <is>
          <t>ĐIỂM THEO NHÓM TIÊU CHÍ</t>
        </is>
      </c>
    </row>
    <row r="23" ht="20" customHeight="1">
      <c r="A23" s="54" t="inlineStr">
        <is>
          <t>Tổng điểm chính thức</t>
        </is>
      </c>
      <c r="B23" s="75" t="n"/>
      <c r="C23" s="79">
        <f>H20</f>
        <v/>
      </c>
      <c r="D23" s="57" t="inlineStr">
        <is>
          <t>Nhóm tiêu chí</t>
        </is>
      </c>
      <c r="E23" s="57" t="inlineStr">
        <is>
          <t>Trọng số</t>
        </is>
      </c>
      <c r="F23" s="57" t="inlineStr">
        <is>
          <t>Điểm tối đa</t>
        </is>
      </c>
      <c r="G23" s="57" t="inlineStr">
        <is>
          <t>Điểm đạt</t>
        </is>
      </c>
      <c r="H23" s="57" t="inlineStr">
        <is>
          <t>Tỷ lệ đạt</t>
        </is>
      </c>
    </row>
    <row r="24" ht="20" customHeight="1">
      <c r="A24" s="54" t="inlineStr">
        <is>
          <t>Điểm tự đánh giá</t>
        </is>
      </c>
      <c r="B24" s="75" t="n"/>
      <c r="C24" s="73">
        <f>IF(COUNT(F10:F19)=0,"",SUMPRODUCT(F10:F19,E10:E19)/5*100)</f>
        <v/>
      </c>
      <c r="D24" s="58" t="inlineStr">
        <is>
          <t>Chuyên môn - Nghiệp vụ</t>
        </is>
      </c>
      <c r="E24" s="22">
        <f>SUMIF($J$10:$J$19,"CM",$E$10:$E$19)</f>
        <v/>
      </c>
      <c r="F24" s="67">
        <f>E24*100</f>
        <v/>
      </c>
      <c r="G24" s="67">
        <f>SUMIF($J$10:$J$19,"CM",$H$10:$H$19)</f>
        <v/>
      </c>
      <c r="H24" s="59">
        <f>IF(F24=0,0,G24/F24)</f>
        <v/>
      </c>
    </row>
    <row r="25" ht="20" customHeight="1">
      <c r="A25" s="54" t="inlineStr">
        <is>
          <t>Tiêu chí đã chấm</t>
        </is>
      </c>
      <c r="B25" s="75" t="n"/>
      <c r="C25" s="60">
        <f>COUNT(G10:G19)&amp;" / 10"</f>
        <v/>
      </c>
      <c r="D25" s="61" t="inlineStr">
        <is>
          <t>Tuân thủ - Thời hạn</t>
        </is>
      </c>
      <c r="E25" s="22">
        <f>SUMIF($J$10:$J$19,"TT",$E$10:$E$19)</f>
        <v/>
      </c>
      <c r="F25" s="67">
        <f>E25*100</f>
        <v/>
      </c>
      <c r="G25" s="67">
        <f>SUMIF($J$10:$J$19,"TT",$H$10:$H$19)</f>
        <v/>
      </c>
      <c r="H25" s="59">
        <f>IF(F25=0,0,G25/F25)</f>
        <v/>
      </c>
    </row>
    <row r="26" ht="20" customHeight="1">
      <c r="A26" s="54" t="inlineStr">
        <is>
          <t>Xếp loại</t>
        </is>
      </c>
      <c r="B26" s="75" t="n"/>
      <c r="C26" s="62">
        <f>IF(COUNT(G10:G19)=0,"Chưa chấm",IF(COUNT(G10:G19)&lt;10,"Chưa chấm đủ",IF(H20&gt;=80,"Xuất sắc",IF(H20&gt;=70,"Đạt","Cần cải thiện"))))</f>
        <v/>
      </c>
      <c r="D26" s="63" t="inlineStr">
        <is>
          <t>Phối hợp - Thái độ</t>
        </is>
      </c>
      <c r="E26" s="22">
        <f>SUMIF($J$10:$J$19,"PH",$E$10:$E$19)</f>
        <v/>
      </c>
      <c r="F26" s="67">
        <f>E26*100</f>
        <v/>
      </c>
      <c r="G26" s="67">
        <f>SUMIF($J$10:$J$19,"PH",$H$10:$H$19)</f>
        <v/>
      </c>
      <c r="H26" s="59">
        <f>IF(F26=0,0,G26/F26)</f>
        <v/>
      </c>
    </row>
    <row r="27" ht="20" customHeight="1">
      <c r="A27" s="54" t="inlineStr">
        <is>
          <t>Kiểm tra trọng số</t>
        </is>
      </c>
      <c r="B27" s="75" t="n"/>
      <c r="C27" s="60">
        <f>IF(ROUND(E20,4)=1,"Hợp lệ – 100%","SAI – tổng trọng số phải = 100%")</f>
        <v/>
      </c>
    </row>
    <row r="28"/>
    <row r="29">
      <c r="A29" s="29" t="inlineStr">
        <is>
          <t>NHẬN XÉT &amp; KẾ HOẠCH CẢI THIỆN (Bước 5 – phản hồi kết quả)</t>
        </is>
      </c>
    </row>
    <row r="30" ht="36" customHeight="1">
      <c r="A30" s="54" t="inlineStr">
        <is>
          <t>Điểm mạnh</t>
        </is>
      </c>
      <c r="B30" s="75" t="n"/>
      <c r="C30" s="7" t="n"/>
      <c r="D30" s="74" t="n"/>
      <c r="E30" s="74" t="n"/>
      <c r="F30" s="74" t="n"/>
      <c r="G30" s="74" t="n"/>
      <c r="H30" s="74" t="n"/>
      <c r="I30" s="75" t="n"/>
    </row>
    <row r="31" ht="36" customHeight="1">
      <c r="A31" s="54" t="inlineStr">
        <is>
          <t>Cần cải thiện</t>
        </is>
      </c>
      <c r="B31" s="75" t="n"/>
      <c r="C31" s="7" t="n"/>
      <c r="D31" s="74" t="n"/>
      <c r="E31" s="74" t="n"/>
      <c r="F31" s="74" t="n"/>
      <c r="G31" s="74" t="n"/>
      <c r="H31" s="74" t="n"/>
      <c r="I31" s="75" t="n"/>
    </row>
    <row r="32" ht="36" customHeight="1">
      <c r="A32" s="54" t="inlineStr">
        <is>
          <t>Kế hoạch cải thiện</t>
        </is>
      </c>
      <c r="B32" s="75" t="n"/>
      <c r="C32" s="7" t="n"/>
      <c r="D32" s="74" t="n"/>
      <c r="E32" s="74" t="n"/>
      <c r="F32" s="74" t="n"/>
      <c r="G32" s="74" t="n"/>
      <c r="H32" s="74" t="n"/>
      <c r="I32" s="75" t="n"/>
    </row>
    <row r="33" ht="36" customHeight="1">
      <c r="A33" s="54" t="inlineStr">
        <is>
          <t>Ý kiến nhân sự</t>
        </is>
      </c>
      <c r="B33" s="75" t="n"/>
      <c r="C33" s="7" t="n"/>
      <c r="D33" s="74" t="n"/>
      <c r="E33" s="74" t="n"/>
      <c r="F33" s="74" t="n"/>
      <c r="G33" s="74" t="n"/>
      <c r="H33" s="74" t="n"/>
      <c r="I33" s="75" t="n"/>
    </row>
    <row r="34"/>
    <row r="35">
      <c r="B35" s="65" t="inlineStr">
        <is>
          <t>NHÂN SỰ ĐƯỢC ĐÁNH GIÁ</t>
        </is>
      </c>
      <c r="D35" s="65" t="inlineStr">
        <is>
          <t>QUẢN LÝ TRỰC TIẾP</t>
        </is>
      </c>
      <c r="G35" s="65" t="inlineStr">
        <is>
          <t>NGƯỜI PHÊ DUYỆT</t>
        </is>
      </c>
    </row>
    <row r="36">
      <c r="B36" s="66" t="inlineStr">
        <is>
          <t>(Ký, ghi rõ họ tên)</t>
        </is>
      </c>
      <c r="D36" s="66" t="inlineStr">
        <is>
          <t>(Ký, ghi rõ họ tên)</t>
        </is>
      </c>
      <c r="G36" s="66" t="inlineStr">
        <is>
          <t>(Ký, ghi rõ họ tên)</t>
        </is>
      </c>
    </row>
  </sheetData>
  <mergeCells count="32">
    <mergeCell ref="A24:B24"/>
    <mergeCell ref="A30:B30"/>
    <mergeCell ref="A20:D20"/>
    <mergeCell ref="E5:F5"/>
    <mergeCell ref="C32:I32"/>
    <mergeCell ref="D22:H22"/>
    <mergeCell ref="E4:F4"/>
    <mergeCell ref="A2:I2"/>
    <mergeCell ref="A25:B25"/>
    <mergeCell ref="A22:C22"/>
    <mergeCell ref="G35:I35"/>
    <mergeCell ref="C30:I30"/>
    <mergeCell ref="G6:H6"/>
    <mergeCell ref="C33:I33"/>
    <mergeCell ref="A27:B27"/>
    <mergeCell ref="B10:B13"/>
    <mergeCell ref="A29:I29"/>
    <mergeCell ref="A26:B26"/>
    <mergeCell ref="E6:F6"/>
    <mergeCell ref="A33:B33"/>
    <mergeCell ref="G5:H5"/>
    <mergeCell ref="A32:B32"/>
    <mergeCell ref="A23:B23"/>
    <mergeCell ref="G4:H4"/>
    <mergeCell ref="C31:I31"/>
    <mergeCell ref="B17:B19"/>
    <mergeCell ref="G36:I36"/>
    <mergeCell ref="A1:I1"/>
    <mergeCell ref="B14:B16"/>
    <mergeCell ref="B36:C36"/>
    <mergeCell ref="A31:B31"/>
    <mergeCell ref="B35:C35"/>
  </mergeCells>
  <conditionalFormatting sqref="I10:I19">
    <cfRule type="expression" priority="1" dxfId="5">
      <formula>AND(ISNUMBER($G10),OR($G10&lt;=1.5,$G10&gt;=5),LEN($I10)=0)</formula>
    </cfRule>
  </conditionalFormatting>
  <conditionalFormatting sqref="G10:G19">
    <cfRule type="cellIs" priority="2" operator="lessThanOrEqual" dxfId="4">
      <formula>2</formula>
    </cfRule>
  </conditionalFormatting>
  <conditionalFormatting sqref="C26">
    <cfRule type="expression" priority="3" dxfId="0">
      <formula>C26="Xuất sắc"</formula>
    </cfRule>
    <cfRule type="expression" priority="4" dxfId="1">
      <formula>C26="Đạt"</formula>
    </cfRule>
    <cfRule type="expression" priority="5" dxfId="2">
      <formula>C26="Cần cải thiện"</formula>
    </cfRule>
    <cfRule type="expression" priority="6" dxfId="3">
      <formula>C26="Chưa chấm đủ"</formula>
    </cfRule>
  </conditionalFormatting>
  <conditionalFormatting sqref="C27">
    <cfRule type="expression" priority="7" dxfId="6">
      <formula>LEFT(C27,3)="SAI"</formula>
    </cfRule>
  </conditionalFormatting>
  <dataValidations count="2">
    <dataValidation sqref="F10:G19" showDropDown="0" showInputMessage="1" showErrorMessage="1" allowBlank="1" errorTitle="Điểm không hợp lệ" error="Nhập điểm từ 1 đến 5 (cho phép số lẻ như 3.5)." promptTitle="Thang điểm 1–5" prompt="5 Tuyệt vời · 4 Tốt · 3 Bình thường · 2 Chưa đạt · 1 Kém" type="decimal" operator="between">
      <formula1>1</formula1>
      <formula2>5</formula2>
    </dataValidation>
    <dataValidation sqref="G4" showDropDown="0" showInputMessage="0" showErrorMessage="1" allowBlank="0" type="list">
      <formula1>"Tháng,Quý,Năm"</formula1>
    </dataValidation>
  </dataValidations>
  <printOptions horizontalCentered="1"/>
  <pageMargins left="0.4" right="0.4" top="1" bottom="1" header="0.5" footer="0.5"/>
  <pageSetup orientation="landscape" paperSize="9" fitToHeight="0" fitToWidth="1"/>
  <headerFooter>
    <oddHeader/>
    <oddFooter>&amp;L&amp;8 Mr Wick Kiểm toán · taichinhketoanedu.com&amp;R&amp;8 Trang &amp;P/&amp;N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J37"/>
  <sheetViews>
    <sheetView showGridLines="0" tabSelected="0" zoomScale="9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34" customWidth="1" min="3" max="3"/>
    <col width="50" customWidth="1" min="4" max="4"/>
    <col width="10" customWidth="1" min="5" max="5"/>
    <col width="10" customWidth="1" min="6" max="6"/>
    <col width="10" customWidth="1" min="7" max="7"/>
    <col width="11" customWidth="1" min="8" max="8"/>
    <col width="30" customWidth="1" min="9" max="9"/>
    <col hidden="1" width="6" customWidth="1" min="10" max="10"/>
  </cols>
  <sheetData>
    <row r="1" ht="30" customHeight="1">
      <c r="A1" s="1" t="inlineStr">
        <is>
          <t>BẢNG ĐÁNH GIÁ KPI – CHUYÊN VIÊN ĐÀO TẠO &amp; PHÁT TRIỂN</t>
        </is>
      </c>
    </row>
    <row r="2">
      <c r="A2" s="2" t="inlineStr">
        <is>
          <t xml:space="preserve">Phòng Nhân sự · Phụ lục 02 kèm Quy chế đánh giá KPI · KK HOME · </t>
        </is>
      </c>
    </row>
    <row r="3"/>
    <row r="4">
      <c r="B4" s="37" t="inlineStr">
        <is>
          <t>Họ và tên</t>
        </is>
      </c>
      <c r="C4" s="7" t="n"/>
      <c r="E4" s="37" t="inlineStr">
        <is>
          <t>Loại kỳ đánh giá</t>
        </is>
      </c>
      <c r="G4" s="38" t="inlineStr">
        <is>
          <t>Quý</t>
        </is>
      </c>
      <c r="H4" s="75" t="n"/>
      <c r="I4" s="39" t="inlineStr">
        <is>
          <t>← chọn Tháng / Quý / Năm</t>
        </is>
      </c>
    </row>
    <row r="5">
      <c r="B5" s="37" t="inlineStr">
        <is>
          <t>Mã nhân viên</t>
        </is>
      </c>
      <c r="C5" s="7" t="n"/>
      <c r="E5" s="37" t="inlineStr">
        <is>
          <t>Kỳ đánh giá</t>
        </is>
      </c>
      <c r="G5" s="38" t="n"/>
      <c r="H5" s="75" t="n"/>
      <c r="I5" s="39" t="inlineStr">
        <is>
          <t>VD: Tháng 9/2026, Quý 3/2026, Năm 2026</t>
        </is>
      </c>
    </row>
    <row r="6">
      <c r="B6" s="37" t="inlineStr">
        <is>
          <t>Người đánh giá</t>
        </is>
      </c>
      <c r="C6" s="7" t="n"/>
      <c r="E6" s="37" t="inlineStr">
        <is>
          <t>Ngày đánh giá</t>
        </is>
      </c>
      <c r="G6" s="76" t="n"/>
      <c r="H6" s="75" t="n"/>
    </row>
    <row r="7">
      <c r="B7" s="37" t="inlineStr">
        <is>
          <t>Bộ phận</t>
        </is>
      </c>
      <c r="C7" s="7" t="inlineStr">
        <is>
          <t>Phòng Nhân sự</t>
        </is>
      </c>
    </row>
    <row r="8"/>
    <row r="9" ht="42" customHeight="1">
      <c r="A9" s="16" t="inlineStr">
        <is>
          <t>STT</t>
        </is>
      </c>
      <c r="B9" s="16" t="inlineStr">
        <is>
          <t>Nhóm tiêu chí</t>
        </is>
      </c>
      <c r="C9" s="16" t="inlineStr">
        <is>
          <t>Tiêu chí đánh giá</t>
        </is>
      </c>
      <c r="D9" s="16" t="inlineStr">
        <is>
          <t>Cách đo / Chứng cứ chấm điểm</t>
        </is>
      </c>
      <c r="E9" s="16" t="inlineStr">
        <is>
          <t>Trọng số</t>
        </is>
      </c>
      <c r="F9" s="16" t="inlineStr">
        <is>
          <t>Tự đánh giá
(1–5)</t>
        </is>
      </c>
      <c r="G9" s="16" t="inlineStr">
        <is>
          <t>Quản lý chấm
(1–5)</t>
        </is>
      </c>
      <c r="H9" s="16" t="inlineStr">
        <is>
          <t>Điểm quy đổi</t>
        </is>
      </c>
      <c r="I9" s="16" t="inlineStr">
        <is>
          <t>Ghi chú / Lý do (bắt buộc khi điểm ≤1,5 hoặc 5)</t>
        </is>
      </c>
    </row>
    <row r="10" ht="30" customHeight="1">
      <c r="A10" s="17" t="n">
        <v>1</v>
      </c>
      <c r="B10" s="41" t="inlineStr">
        <is>
          <t>Chuyên môn - Nghiệp vụ</t>
        </is>
      </c>
      <c r="C10" s="42" t="inlineStr">
        <is>
          <t>Hoàn thành kế hoạch đào tạo</t>
        </is>
      </c>
      <c r="D10" s="43" t="inlineStr">
        <is>
          <t>Số khóa thực hiện / số khóa theo kế hoạch được duyệt</t>
        </is>
      </c>
      <c r="E10" s="44" t="n">
        <v>0.12</v>
      </c>
      <c r="F10" s="77" t="n"/>
      <c r="G10" s="77" t="n"/>
      <c r="H10" s="73">
        <f>IF(ISNUMBER(G10),G10/5*E10*100,0)</f>
        <v/>
      </c>
      <c r="I10" s="7" t="n"/>
      <c r="J10" t="inlineStr">
        <is>
          <t>CM</t>
        </is>
      </c>
    </row>
    <row r="11" ht="34" customHeight="1">
      <c r="A11" s="17" t="n">
        <v>2</v>
      </c>
      <c r="B11" s="46" t="n"/>
      <c r="C11" s="42" t="inlineStr">
        <is>
          <t>Hiệu quả đào tạo</t>
        </is>
      </c>
      <c r="D11" s="43" t="inlineStr">
        <is>
          <t>Điểm đánh giá sau khóa học; tỷ lệ học viên đạt bài kiểm tra</t>
        </is>
      </c>
      <c r="E11" s="44" t="n">
        <v>0.1</v>
      </c>
      <c r="F11" s="77" t="n"/>
      <c r="G11" s="77" t="n"/>
      <c r="H11" s="73">
        <f>IF(ISNUMBER(G11),G11/5*E11*100,0)</f>
        <v/>
      </c>
      <c r="I11" s="7" t="n"/>
      <c r="J11" t="inlineStr">
        <is>
          <t>CM</t>
        </is>
      </c>
    </row>
    <row r="12" ht="34" customHeight="1">
      <c r="A12" s="17" t="n">
        <v>3</v>
      </c>
      <c r="B12" s="46" t="n"/>
      <c r="C12" s="42" t="inlineStr">
        <is>
          <t>Hội nhập nhân sự mới (onboarding)</t>
        </is>
      </c>
      <c r="D12" s="43" t="inlineStr">
        <is>
          <t>Tỷ lệ nhân sự mới hoàn thành chương trình hội nhập trong 30 ngày</t>
        </is>
      </c>
      <c r="E12" s="44" t="n">
        <v>0.1</v>
      </c>
      <c r="F12" s="77" t="n"/>
      <c r="G12" s="77" t="n"/>
      <c r="H12" s="73">
        <f>IF(ISNUMBER(G12),G12/5*E12*100,0)</f>
        <v/>
      </c>
      <c r="I12" s="7" t="n"/>
      <c r="J12" t="inlineStr">
        <is>
          <t>CM</t>
        </is>
      </c>
    </row>
    <row r="13" ht="34" customHeight="1">
      <c r="A13" s="17" t="n">
        <v>4</v>
      </c>
      <c r="B13" s="47" t="n"/>
      <c r="C13" s="42" t="inlineStr">
        <is>
          <t>Khung năng lực &amp; lộ trình phát triển</t>
        </is>
      </c>
      <c r="D13" s="43" t="inlineStr">
        <is>
          <t>Số vị trí có khung năng lực, lộ trình phát triển được duyệt</t>
        </is>
      </c>
      <c r="E13" s="44" t="n">
        <v>0.08</v>
      </c>
      <c r="F13" s="77" t="n"/>
      <c r="G13" s="77" t="n"/>
      <c r="H13" s="73">
        <f>IF(ISNUMBER(G13),G13/5*E13*100,0)</f>
        <v/>
      </c>
      <c r="I13" s="7" t="n"/>
      <c r="J13" t="inlineStr">
        <is>
          <t>CM</t>
        </is>
      </c>
    </row>
    <row r="14" ht="30" customHeight="1">
      <c r="A14" s="17" t="n">
        <v>5</v>
      </c>
      <c r="B14" s="48" t="inlineStr">
        <is>
          <t>Tuân thủ - Thời hạn</t>
        </is>
      </c>
      <c r="C14" s="42" t="inlineStr">
        <is>
          <t>Kiểm soát ngân sách đào tạo</t>
        </is>
      </c>
      <c r="D14" s="43" t="inlineStr">
        <is>
          <t>Chi phí đào tạo thực tế so với ngân sách</t>
        </is>
      </c>
      <c r="E14" s="44" t="n">
        <v>0.1</v>
      </c>
      <c r="F14" s="77" t="n"/>
      <c r="G14" s="77" t="n"/>
      <c r="H14" s="73">
        <f>IF(ISNUMBER(G14),G14/5*E14*100,0)</f>
        <v/>
      </c>
      <c r="I14" s="7" t="n"/>
      <c r="J14" t="inlineStr">
        <is>
          <t>TT</t>
        </is>
      </c>
    </row>
    <row r="15" ht="34" customHeight="1">
      <c r="A15" s="17" t="n">
        <v>6</v>
      </c>
      <c r="B15" s="46" t="n"/>
      <c r="C15" s="42" t="inlineStr">
        <is>
          <t>Hồ sơ đào tạo &amp; hợp đồng đào tạo</t>
        </is>
      </c>
      <c r="D15" s="43" t="inlineStr">
        <is>
          <t>Đủ danh sách điểm danh, kết quả; có hợp đồng đào tạo khi công ty chịu chi phí</t>
        </is>
      </c>
      <c r="E15" s="44" t="n">
        <v>0.1</v>
      </c>
      <c r="F15" s="77" t="n"/>
      <c r="G15" s="77" t="n"/>
      <c r="H15" s="73">
        <f>IF(ISNUMBER(G15),G15/5*E15*100,0)</f>
        <v/>
      </c>
      <c r="I15" s="7" t="n"/>
      <c r="J15" t="inlineStr">
        <is>
          <t>TT</t>
        </is>
      </c>
    </row>
    <row r="16" ht="30" customHeight="1">
      <c r="A16" s="17" t="n">
        <v>7</v>
      </c>
      <c r="B16" s="46" t="n"/>
      <c r="C16" s="42" t="inlineStr">
        <is>
          <t>Đúng tiến độ triển khai</t>
        </is>
      </c>
      <c r="D16" s="43" t="inlineStr">
        <is>
          <t>Khóa học tổ chức đúng lịch đã thông báo</t>
        </is>
      </c>
      <c r="E16" s="44" t="n">
        <v>0.08</v>
      </c>
      <c r="F16" s="77" t="n"/>
      <c r="G16" s="77" t="n"/>
      <c r="H16" s="73">
        <f>IF(ISNUMBER(G16),G16/5*E16*100,0)</f>
        <v/>
      </c>
      <c r="I16" s="7" t="n"/>
      <c r="J16" t="inlineStr">
        <is>
          <t>TT</t>
        </is>
      </c>
    </row>
    <row r="17" ht="34" customHeight="1">
      <c r="A17" s="17" t="n">
        <v>8</v>
      </c>
      <c r="B17" s="47" t="n"/>
      <c r="C17" s="42" t="inlineStr">
        <is>
          <t>Đào tạo bắt buộc (an toàn vệ sinh lao động, nội quy)</t>
        </is>
      </c>
      <c r="D17" s="43" t="inlineStr">
        <is>
          <t>Tỷ lệ nhân sự thuộc đối tượng hoàn thành đào tạo bắt buộc</t>
        </is>
      </c>
      <c r="E17" s="44" t="n">
        <v>0.07000000000000001</v>
      </c>
      <c r="F17" s="77" t="n"/>
      <c r="G17" s="77" t="n"/>
      <c r="H17" s="73">
        <f>IF(ISNUMBER(G17),G17/5*E17*100,0)</f>
        <v/>
      </c>
      <c r="I17" s="7" t="n"/>
      <c r="J17" t="inlineStr">
        <is>
          <t>TT</t>
        </is>
      </c>
    </row>
    <row r="18" ht="30" customHeight="1">
      <c r="A18" s="17" t="n">
        <v>9</v>
      </c>
      <c r="B18" s="49" t="inlineStr">
        <is>
          <t>Phối hợp - Thái độ</t>
        </is>
      </c>
      <c r="C18" s="42" t="inlineStr">
        <is>
          <t>Phối hợp xác định nhu cầu đào tạo</t>
        </is>
      </c>
      <c r="D18" s="43" t="inlineStr">
        <is>
          <t>Khảo sát nhu cầu với trưởng bộ phận hoàn thành đúng hạn</t>
        </is>
      </c>
      <c r="E18" s="44" t="n">
        <v>0.1</v>
      </c>
      <c r="F18" s="77" t="n"/>
      <c r="G18" s="77" t="n"/>
      <c r="H18" s="73">
        <f>IF(ISNUMBER(G18),G18/5*E18*100,0)</f>
        <v/>
      </c>
      <c r="I18" s="7" t="n"/>
      <c r="J18" t="inlineStr">
        <is>
          <t>PH</t>
        </is>
      </c>
    </row>
    <row r="19" ht="30" customHeight="1">
      <c r="A19" s="17" t="n">
        <v>10</v>
      </c>
      <c r="B19" s="46" t="n"/>
      <c r="C19" s="42" t="inlineStr">
        <is>
          <t>Phát triển giảng viên nội bộ</t>
        </is>
      </c>
      <c r="D19" s="43" t="inlineStr">
        <is>
          <t>Số giảng viên nội bộ tham gia giảng dạy trong kỳ</t>
        </is>
      </c>
      <c r="E19" s="44" t="n">
        <v>0.08</v>
      </c>
      <c r="F19" s="77" t="n"/>
      <c r="G19" s="77" t="n"/>
      <c r="H19" s="73">
        <f>IF(ISNUMBER(G19),G19/5*E19*100,0)</f>
        <v/>
      </c>
      <c r="I19" s="7" t="n"/>
      <c r="J19" t="inlineStr">
        <is>
          <t>PH</t>
        </is>
      </c>
    </row>
    <row r="20" ht="30" customHeight="1">
      <c r="A20" s="17" t="n">
        <v>11</v>
      </c>
      <c r="B20" s="47" t="n"/>
      <c r="C20" s="42" t="inlineStr">
        <is>
          <t>Tinh thần trách nhiệm &amp; chủ động</t>
        </is>
      </c>
      <c r="D20" s="43" t="inlineStr">
        <is>
          <t>Đề xuất chương trình mới, cải tiến phương pháp đào tạo</t>
        </is>
      </c>
      <c r="E20" s="44" t="n">
        <v>0.07000000000000001</v>
      </c>
      <c r="F20" s="77" t="n"/>
      <c r="G20" s="77" t="n"/>
      <c r="H20" s="73">
        <f>IF(ISNUMBER(G20),G20/5*E20*100,0)</f>
        <v/>
      </c>
      <c r="I20" s="7" t="n"/>
      <c r="J20" t="inlineStr">
        <is>
          <t>PH</t>
        </is>
      </c>
    </row>
    <row r="21" ht="22" customHeight="1">
      <c r="A21" s="50" t="inlineStr">
        <is>
          <t>TỔNG CỘNG</t>
        </is>
      </c>
      <c r="B21" s="74" t="n"/>
      <c r="C21" s="74" t="n"/>
      <c r="D21" s="75" t="n"/>
      <c r="E21" s="51">
        <f>SUM(E10:E20)</f>
        <v/>
      </c>
      <c r="F21" s="50" t="n"/>
      <c r="G21" s="50" t="n"/>
      <c r="H21" s="78">
        <f>SUM(H10:H20)</f>
        <v/>
      </c>
      <c r="I21" s="50" t="n"/>
    </row>
    <row r="22"/>
    <row r="23">
      <c r="A23" s="53" t="inlineStr">
        <is>
          <t>KẾT QUẢ ĐÁNH GIÁ</t>
        </is>
      </c>
      <c r="D23" s="53" t="inlineStr">
        <is>
          <t>ĐIỂM THEO NHÓM TIÊU CHÍ</t>
        </is>
      </c>
    </row>
    <row r="24" ht="20" customHeight="1">
      <c r="A24" s="54" t="inlineStr">
        <is>
          <t>Tổng điểm chính thức</t>
        </is>
      </c>
      <c r="B24" s="75" t="n"/>
      <c r="C24" s="79">
        <f>H21</f>
        <v/>
      </c>
      <c r="D24" s="57" t="inlineStr">
        <is>
          <t>Nhóm tiêu chí</t>
        </is>
      </c>
      <c r="E24" s="57" t="inlineStr">
        <is>
          <t>Trọng số</t>
        </is>
      </c>
      <c r="F24" s="57" t="inlineStr">
        <is>
          <t>Điểm tối đa</t>
        </is>
      </c>
      <c r="G24" s="57" t="inlineStr">
        <is>
          <t>Điểm đạt</t>
        </is>
      </c>
      <c r="H24" s="57" t="inlineStr">
        <is>
          <t>Tỷ lệ đạt</t>
        </is>
      </c>
    </row>
    <row r="25" ht="20" customHeight="1">
      <c r="A25" s="54" t="inlineStr">
        <is>
          <t>Điểm tự đánh giá</t>
        </is>
      </c>
      <c r="B25" s="75" t="n"/>
      <c r="C25" s="73">
        <f>IF(COUNT(F10:F20)=0,"",SUMPRODUCT(F10:F20,E10:E20)/5*100)</f>
        <v/>
      </c>
      <c r="D25" s="58" t="inlineStr">
        <is>
          <t>Chuyên môn - Nghiệp vụ</t>
        </is>
      </c>
      <c r="E25" s="22">
        <f>SUMIF($J$10:$J$20,"CM",$E$10:$E$20)</f>
        <v/>
      </c>
      <c r="F25" s="67">
        <f>E25*100</f>
        <v/>
      </c>
      <c r="G25" s="67">
        <f>SUMIF($J$10:$J$20,"CM",$H$10:$H$20)</f>
        <v/>
      </c>
      <c r="H25" s="59">
        <f>IF(F25=0,0,G25/F25)</f>
        <v/>
      </c>
    </row>
    <row r="26" ht="20" customHeight="1">
      <c r="A26" s="54" t="inlineStr">
        <is>
          <t>Tiêu chí đã chấm</t>
        </is>
      </c>
      <c r="B26" s="75" t="n"/>
      <c r="C26" s="60">
        <f>COUNT(G10:G20)&amp;" / 11"</f>
        <v/>
      </c>
      <c r="D26" s="61" t="inlineStr">
        <is>
          <t>Tuân thủ - Thời hạn</t>
        </is>
      </c>
      <c r="E26" s="22">
        <f>SUMIF($J$10:$J$20,"TT",$E$10:$E$20)</f>
        <v/>
      </c>
      <c r="F26" s="67">
        <f>E26*100</f>
        <v/>
      </c>
      <c r="G26" s="67">
        <f>SUMIF($J$10:$J$20,"TT",$H$10:$H$20)</f>
        <v/>
      </c>
      <c r="H26" s="59">
        <f>IF(F26=0,0,G26/F26)</f>
        <v/>
      </c>
    </row>
    <row r="27" ht="20" customHeight="1">
      <c r="A27" s="54" t="inlineStr">
        <is>
          <t>Xếp loại</t>
        </is>
      </c>
      <c r="B27" s="75" t="n"/>
      <c r="C27" s="62">
        <f>IF(COUNT(G10:G20)=0,"Chưa chấm",IF(COUNT(G10:G20)&lt;11,"Chưa chấm đủ",IF(H21&gt;=80,"Xuất sắc",IF(H21&gt;=70,"Đạt","Cần cải thiện"))))</f>
        <v/>
      </c>
      <c r="D27" s="63" t="inlineStr">
        <is>
          <t>Phối hợp - Thái độ</t>
        </is>
      </c>
      <c r="E27" s="22">
        <f>SUMIF($J$10:$J$20,"PH",$E$10:$E$20)</f>
        <v/>
      </c>
      <c r="F27" s="67">
        <f>E27*100</f>
        <v/>
      </c>
      <c r="G27" s="67">
        <f>SUMIF($J$10:$J$20,"PH",$H$10:$H$20)</f>
        <v/>
      </c>
      <c r="H27" s="59">
        <f>IF(F27=0,0,G27/F27)</f>
        <v/>
      </c>
    </row>
    <row r="28" ht="20" customHeight="1">
      <c r="A28" s="54" t="inlineStr">
        <is>
          <t>Kiểm tra trọng số</t>
        </is>
      </c>
      <c r="B28" s="75" t="n"/>
      <c r="C28" s="60">
        <f>IF(ROUND(E21,4)=1,"Hợp lệ – 100%","SAI – tổng trọng số phải = 100%")</f>
        <v/>
      </c>
    </row>
    <row r="29"/>
    <row r="30">
      <c r="A30" s="29" t="inlineStr">
        <is>
          <t>NHẬN XÉT &amp; KẾ HOẠCH CẢI THIỆN (Bước 5 – phản hồi kết quả)</t>
        </is>
      </c>
    </row>
    <row r="31" ht="36" customHeight="1">
      <c r="A31" s="54" t="inlineStr">
        <is>
          <t>Điểm mạnh</t>
        </is>
      </c>
      <c r="B31" s="75" t="n"/>
      <c r="C31" s="7" t="n"/>
      <c r="D31" s="74" t="n"/>
      <c r="E31" s="74" t="n"/>
      <c r="F31" s="74" t="n"/>
      <c r="G31" s="74" t="n"/>
      <c r="H31" s="74" t="n"/>
      <c r="I31" s="75" t="n"/>
    </row>
    <row r="32" ht="36" customHeight="1">
      <c r="A32" s="54" t="inlineStr">
        <is>
          <t>Cần cải thiện</t>
        </is>
      </c>
      <c r="B32" s="75" t="n"/>
      <c r="C32" s="7" t="n"/>
      <c r="D32" s="74" t="n"/>
      <c r="E32" s="74" t="n"/>
      <c r="F32" s="74" t="n"/>
      <c r="G32" s="74" t="n"/>
      <c r="H32" s="74" t="n"/>
      <c r="I32" s="75" t="n"/>
    </row>
    <row r="33" ht="36" customHeight="1">
      <c r="A33" s="54" t="inlineStr">
        <is>
          <t>Kế hoạch cải thiện</t>
        </is>
      </c>
      <c r="B33" s="75" t="n"/>
      <c r="C33" s="7" t="n"/>
      <c r="D33" s="74" t="n"/>
      <c r="E33" s="74" t="n"/>
      <c r="F33" s="74" t="n"/>
      <c r="G33" s="74" t="n"/>
      <c r="H33" s="74" t="n"/>
      <c r="I33" s="75" t="n"/>
    </row>
    <row r="34" ht="36" customHeight="1">
      <c r="A34" s="54" t="inlineStr">
        <is>
          <t>Ý kiến nhân sự</t>
        </is>
      </c>
      <c r="B34" s="75" t="n"/>
      <c r="C34" s="7" t="n"/>
      <c r="D34" s="74" t="n"/>
      <c r="E34" s="74" t="n"/>
      <c r="F34" s="74" t="n"/>
      <c r="G34" s="74" t="n"/>
      <c r="H34" s="74" t="n"/>
      <c r="I34" s="75" t="n"/>
    </row>
    <row r="35"/>
    <row r="36">
      <c r="B36" s="65" t="inlineStr">
        <is>
          <t>NHÂN SỰ ĐƯỢC ĐÁNH GIÁ</t>
        </is>
      </c>
      <c r="D36" s="65" t="inlineStr">
        <is>
          <t>QUẢN LÝ TRỰC TIẾP</t>
        </is>
      </c>
      <c r="G36" s="65" t="inlineStr">
        <is>
          <t>NGƯỜI PHÊ DUYỆT</t>
        </is>
      </c>
    </row>
    <row r="37">
      <c r="B37" s="66" t="inlineStr">
        <is>
          <t>(Ký, ghi rõ họ tên)</t>
        </is>
      </c>
      <c r="D37" s="66" t="inlineStr">
        <is>
          <t>(Ký, ghi rõ họ tên)</t>
        </is>
      </c>
      <c r="G37" s="66" t="inlineStr">
        <is>
          <t>(Ký, ghi rõ họ tên)</t>
        </is>
      </c>
    </row>
  </sheetData>
  <mergeCells count="32">
    <mergeCell ref="A24:B24"/>
    <mergeCell ref="G37:I37"/>
    <mergeCell ref="E5:F5"/>
    <mergeCell ref="C32:I32"/>
    <mergeCell ref="E4:F4"/>
    <mergeCell ref="B14:B17"/>
    <mergeCell ref="A2:I2"/>
    <mergeCell ref="A25:B25"/>
    <mergeCell ref="A23:C23"/>
    <mergeCell ref="C34:I34"/>
    <mergeCell ref="G6:H6"/>
    <mergeCell ref="A27:B27"/>
    <mergeCell ref="C33:I33"/>
    <mergeCell ref="B10:B13"/>
    <mergeCell ref="A26:B26"/>
    <mergeCell ref="E6:F6"/>
    <mergeCell ref="A33:B33"/>
    <mergeCell ref="B37:C37"/>
    <mergeCell ref="G5:H5"/>
    <mergeCell ref="A32:B32"/>
    <mergeCell ref="B18:B20"/>
    <mergeCell ref="A30:I30"/>
    <mergeCell ref="G4:H4"/>
    <mergeCell ref="C31:I31"/>
    <mergeCell ref="G36:I36"/>
    <mergeCell ref="A21:D21"/>
    <mergeCell ref="A28:B28"/>
    <mergeCell ref="A1:I1"/>
    <mergeCell ref="B36:C36"/>
    <mergeCell ref="D23:H23"/>
    <mergeCell ref="A31:B31"/>
    <mergeCell ref="A34:B34"/>
  </mergeCells>
  <conditionalFormatting sqref="I10:I20">
    <cfRule type="expression" priority="1" dxfId="5">
      <formula>AND(ISNUMBER($G10),OR($G10&lt;=1.5,$G10&gt;=5),LEN($I10)=0)</formula>
    </cfRule>
  </conditionalFormatting>
  <conditionalFormatting sqref="G10:G20">
    <cfRule type="cellIs" priority="2" operator="lessThanOrEqual" dxfId="4">
      <formula>2</formula>
    </cfRule>
  </conditionalFormatting>
  <conditionalFormatting sqref="C27">
    <cfRule type="expression" priority="3" dxfId="0">
      <formula>C27="Xuất sắc"</formula>
    </cfRule>
    <cfRule type="expression" priority="4" dxfId="1">
      <formula>C27="Đạt"</formula>
    </cfRule>
    <cfRule type="expression" priority="5" dxfId="2">
      <formula>C27="Cần cải thiện"</formula>
    </cfRule>
    <cfRule type="expression" priority="6" dxfId="3">
      <formula>C27="Chưa chấm đủ"</formula>
    </cfRule>
  </conditionalFormatting>
  <conditionalFormatting sqref="C28">
    <cfRule type="expression" priority="7" dxfId="6">
      <formula>LEFT(C28,3)="SAI"</formula>
    </cfRule>
  </conditionalFormatting>
  <dataValidations count="2">
    <dataValidation sqref="F10:G20" showDropDown="0" showInputMessage="1" showErrorMessage="1" allowBlank="1" errorTitle="Điểm không hợp lệ" error="Nhập điểm từ 1 đến 5 (cho phép số lẻ như 3.5)." promptTitle="Thang điểm 1–5" prompt="5 Tuyệt vời · 4 Tốt · 3 Bình thường · 2 Chưa đạt · 1 Kém" type="decimal" operator="between">
      <formula1>1</formula1>
      <formula2>5</formula2>
    </dataValidation>
    <dataValidation sqref="G4" showDropDown="0" showInputMessage="0" showErrorMessage="1" allowBlank="0" type="list">
      <formula1>"Tháng,Quý,Năm"</formula1>
    </dataValidation>
  </dataValidations>
  <printOptions horizontalCentered="1"/>
  <pageMargins left="0.4" right="0.4" top="1" bottom="1" header="0.5" footer="0.5"/>
  <pageSetup orientation="landscape" paperSize="9" fitToHeight="0" fitToWidth="1"/>
  <headerFooter>
    <oddHeader/>
    <oddFooter>&amp;L&amp;8 Mr Wick Kiểm toán · taichinhketoanedu.com&amp;R&amp;8 Trang &amp;P/&amp;N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J36"/>
  <sheetViews>
    <sheetView showGridLines="0" tabSelected="0" zoomScale="9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34" customWidth="1" min="3" max="3"/>
    <col width="50" customWidth="1" min="4" max="4"/>
    <col width="10" customWidth="1" min="5" max="5"/>
    <col width="10" customWidth="1" min="6" max="6"/>
    <col width="10" customWidth="1" min="7" max="7"/>
    <col width="11" customWidth="1" min="8" max="8"/>
    <col width="30" customWidth="1" min="9" max="9"/>
    <col hidden="1" width="6" customWidth="1" min="10" max="10"/>
  </cols>
  <sheetData>
    <row r="1" ht="30" customHeight="1">
      <c r="A1" s="1" t="inlineStr">
        <is>
          <t>BẢNG ĐÁNH GIÁ KPI – CHUYÊN VIÊN QUAN HỆ LAO ĐỘNG &amp; HỒ SƠ NHÂN SỰ</t>
        </is>
      </c>
    </row>
    <row r="2">
      <c r="A2" s="2" t="inlineStr">
        <is>
          <t xml:space="preserve">Phòng Nhân sự · Phụ lục 02 kèm Quy chế đánh giá KPI · KK HOME · </t>
        </is>
      </c>
    </row>
    <row r="3"/>
    <row r="4">
      <c r="B4" s="37" t="inlineStr">
        <is>
          <t>Họ và tên</t>
        </is>
      </c>
      <c r="C4" s="7" t="n"/>
      <c r="E4" s="37" t="inlineStr">
        <is>
          <t>Loại kỳ đánh giá</t>
        </is>
      </c>
      <c r="G4" s="38" t="inlineStr">
        <is>
          <t>Quý</t>
        </is>
      </c>
      <c r="H4" s="75" t="n"/>
      <c r="I4" s="39" t="inlineStr">
        <is>
          <t>← chọn Tháng / Quý / Năm</t>
        </is>
      </c>
    </row>
    <row r="5">
      <c r="B5" s="37" t="inlineStr">
        <is>
          <t>Mã nhân viên</t>
        </is>
      </c>
      <c r="C5" s="7" t="n"/>
      <c r="E5" s="37" t="inlineStr">
        <is>
          <t>Kỳ đánh giá</t>
        </is>
      </c>
      <c r="G5" s="38" t="n"/>
      <c r="H5" s="75" t="n"/>
      <c r="I5" s="39" t="inlineStr">
        <is>
          <t>VD: Tháng 9/2026, Quý 3/2026, Năm 2026</t>
        </is>
      </c>
    </row>
    <row r="6">
      <c r="B6" s="37" t="inlineStr">
        <is>
          <t>Người đánh giá</t>
        </is>
      </c>
      <c r="C6" s="7" t="n"/>
      <c r="E6" s="37" t="inlineStr">
        <is>
          <t>Ngày đánh giá</t>
        </is>
      </c>
      <c r="G6" s="76" t="n"/>
      <c r="H6" s="75" t="n"/>
    </row>
    <row r="7">
      <c r="B7" s="37" t="inlineStr">
        <is>
          <t>Bộ phận</t>
        </is>
      </c>
      <c r="C7" s="7" t="inlineStr">
        <is>
          <t>Phòng Nhân sự</t>
        </is>
      </c>
    </row>
    <row r="8"/>
    <row r="9" ht="42" customHeight="1">
      <c r="A9" s="16" t="inlineStr">
        <is>
          <t>STT</t>
        </is>
      </c>
      <c r="B9" s="16" t="inlineStr">
        <is>
          <t>Nhóm tiêu chí</t>
        </is>
      </c>
      <c r="C9" s="16" t="inlineStr">
        <is>
          <t>Tiêu chí đánh giá</t>
        </is>
      </c>
      <c r="D9" s="16" t="inlineStr">
        <is>
          <t>Cách đo / Chứng cứ chấm điểm</t>
        </is>
      </c>
      <c r="E9" s="16" t="inlineStr">
        <is>
          <t>Trọng số</t>
        </is>
      </c>
      <c r="F9" s="16" t="inlineStr">
        <is>
          <t>Tự đánh giá
(1–5)</t>
        </is>
      </c>
      <c r="G9" s="16" t="inlineStr">
        <is>
          <t>Quản lý chấm
(1–5)</t>
        </is>
      </c>
      <c r="H9" s="16" t="inlineStr">
        <is>
          <t>Điểm quy đổi</t>
        </is>
      </c>
      <c r="I9" s="16" t="inlineStr">
        <is>
          <t>Ghi chú / Lý do (bắt buộc khi điểm ≤1,5 hoặc 5)</t>
        </is>
      </c>
    </row>
    <row r="10" ht="34" customHeight="1">
      <c r="A10" s="17" t="n">
        <v>1</v>
      </c>
      <c r="B10" s="41" t="inlineStr">
        <is>
          <t>Chuyên môn - Nghiệp vụ</t>
        </is>
      </c>
      <c r="C10" s="42" t="inlineStr">
        <is>
          <t>Quản lý hợp đồng lao động</t>
        </is>
      </c>
      <c r="D10" s="43" t="inlineStr">
        <is>
          <t>Tỷ lệ HĐLĐ ký/gia hạn trước khi hết hạn; đúng loại hợp đồng theo luật</t>
        </is>
      </c>
      <c r="E10" s="44" t="n">
        <v>0.12</v>
      </c>
      <c r="F10" s="77" t="n"/>
      <c r="G10" s="77" t="n"/>
      <c r="H10" s="73">
        <f>IF(ISNUMBER(G10),G10/5*E10*100,0)</f>
        <v/>
      </c>
      <c r="I10" s="7" t="n"/>
      <c r="J10" t="inlineStr">
        <is>
          <t>CM</t>
        </is>
      </c>
    </row>
    <row r="11" ht="30" customHeight="1">
      <c r="A11" s="17" t="n">
        <v>2</v>
      </c>
      <c r="B11" s="46" t="n"/>
      <c r="C11" s="42" t="inlineStr">
        <is>
          <t>Hồ sơ nhân sự đầy đủ, cập nhật</t>
        </is>
      </c>
      <c r="D11" s="43" t="inlineStr">
        <is>
          <t>Tỷ lệ hồ sơ đủ giấy tờ; dữ liệu phần mềm khớp hồ sơ giấy</t>
        </is>
      </c>
      <c r="E11" s="44" t="n">
        <v>0.1</v>
      </c>
      <c r="F11" s="77" t="n"/>
      <c r="G11" s="77" t="n"/>
      <c r="H11" s="73">
        <f>IF(ISNUMBER(G11),G11/5*E11*100,0)</f>
        <v/>
      </c>
      <c r="I11" s="7" t="n"/>
      <c r="J11" t="inlineStr">
        <is>
          <t>CM</t>
        </is>
      </c>
    </row>
    <row r="12" ht="34" customHeight="1">
      <c r="A12" s="17" t="n">
        <v>3</v>
      </c>
      <c r="B12" s="46" t="n"/>
      <c r="C12" s="42" t="inlineStr">
        <is>
          <t>Xử lý kỷ luật, chấm dứt HĐLĐ</t>
        </is>
      </c>
      <c r="D12" s="43" t="inlineStr">
        <is>
          <t>Đúng trình tự, có biên bản; không phát sinh tranh chấp do sai thủ tục</t>
        </is>
      </c>
      <c r="E12" s="44" t="n">
        <v>0.1</v>
      </c>
      <c r="F12" s="77" t="n"/>
      <c r="G12" s="77" t="n"/>
      <c r="H12" s="73">
        <f>IF(ISNUMBER(G12),G12/5*E12*100,0)</f>
        <v/>
      </c>
      <c r="I12" s="7" t="n"/>
      <c r="J12" t="inlineStr">
        <is>
          <t>CM</t>
        </is>
      </c>
    </row>
    <row r="13" ht="34" customHeight="1">
      <c r="A13" s="17" t="n">
        <v>4</v>
      </c>
      <c r="B13" s="47" t="n"/>
      <c r="C13" s="42" t="inlineStr">
        <is>
          <t>Nội quy lao động &amp; thỏa ước</t>
        </is>
      </c>
      <c r="D13" s="43" t="inlineStr">
        <is>
          <t>Nội quy, thỏa ước được cập nhật, đăng ký/thông báo theo quy định</t>
        </is>
      </c>
      <c r="E13" s="44" t="n">
        <v>0.08</v>
      </c>
      <c r="F13" s="77" t="n"/>
      <c r="G13" s="77" t="n"/>
      <c r="H13" s="73">
        <f>IF(ISNUMBER(G13),G13/5*E13*100,0)</f>
        <v/>
      </c>
      <c r="I13" s="7" t="n"/>
      <c r="J13" t="inlineStr">
        <is>
          <t>CM</t>
        </is>
      </c>
    </row>
    <row r="14" ht="34" customHeight="1">
      <c r="A14" s="17" t="n">
        <v>5</v>
      </c>
      <c r="B14" s="48" t="inlineStr">
        <is>
          <t>Tuân thủ - Thời hạn</t>
        </is>
      </c>
      <c r="C14" s="42" t="inlineStr">
        <is>
          <t>Tuân thủ pháp luật lao động</t>
        </is>
      </c>
      <c r="D14" s="43" t="inlineStr">
        <is>
          <t>Số vi phạm bị nhắc nhở, xử phạt khi thanh tra, kiểm tra lao động = 0</t>
        </is>
      </c>
      <c r="E14" s="44" t="n">
        <v>0.15</v>
      </c>
      <c r="F14" s="77" t="n"/>
      <c r="G14" s="77" t="n"/>
      <c r="H14" s="73">
        <f>IF(ISNUMBER(G14),G14/5*E14*100,0)</f>
        <v/>
      </c>
      <c r="I14" s="7" t="n"/>
      <c r="J14" t="inlineStr">
        <is>
          <t>TT</t>
        </is>
      </c>
    </row>
    <row r="15" ht="34" customHeight="1">
      <c r="A15" s="17" t="n">
        <v>6</v>
      </c>
      <c r="B15" s="46" t="n"/>
      <c r="C15" s="42" t="inlineStr">
        <is>
          <t>Đúng hạn thủ tục thôi việc</t>
        </is>
      </c>
      <c r="D15" s="43" t="inlineStr">
        <is>
          <t>Thanh toán đủ quyền lợi, trả hồ sơ trong thời hạn luật định</t>
        </is>
      </c>
      <c r="E15" s="44" t="n">
        <v>0.1</v>
      </c>
      <c r="F15" s="77" t="n"/>
      <c r="G15" s="77" t="n"/>
      <c r="H15" s="73">
        <f>IF(ISNUMBER(G15),G15/5*E15*100,0)</f>
        <v/>
      </c>
      <c r="I15" s="7" t="n"/>
      <c r="J15" t="inlineStr">
        <is>
          <t>TT</t>
        </is>
      </c>
    </row>
    <row r="16" ht="30" customHeight="1">
      <c r="A16" s="17" t="n">
        <v>7</v>
      </c>
      <c r="B16" s="47" t="n"/>
      <c r="C16" s="42" t="inlineStr">
        <is>
          <t>Báo cáo tình hình sử dụng lao động</t>
        </is>
      </c>
      <c r="D16" s="43" t="inlineStr">
        <is>
          <t>Nộp báo cáo định kỳ cho cơ quan quản lý lao động đúng hạn</t>
        </is>
      </c>
      <c r="E16" s="44" t="n">
        <v>0.1</v>
      </c>
      <c r="F16" s="77" t="n"/>
      <c r="G16" s="77" t="n"/>
      <c r="H16" s="73">
        <f>IF(ISNUMBER(G16),G16/5*E16*100,0)</f>
        <v/>
      </c>
      <c r="I16" s="7" t="n"/>
      <c r="J16" t="inlineStr">
        <is>
          <t>TT</t>
        </is>
      </c>
    </row>
    <row r="17" ht="34" customHeight="1">
      <c r="A17" s="17" t="n">
        <v>8</v>
      </c>
      <c r="B17" s="49" t="inlineStr">
        <is>
          <t>Phối hợp - Thái độ</t>
        </is>
      </c>
      <c r="C17" s="42" t="inlineStr">
        <is>
          <t>Đối thoại &amp; giải quyết khiếu nại</t>
        </is>
      </c>
      <c r="D17" s="43" t="inlineStr">
        <is>
          <t>Số khiếu nại xử lý trong thời hạn; đối thoại tại nơi làm việc tổ chức đúng định kỳ</t>
        </is>
      </c>
      <c r="E17" s="44" t="n">
        <v>0.1</v>
      </c>
      <c r="F17" s="77" t="n"/>
      <c r="G17" s="77" t="n"/>
      <c r="H17" s="73">
        <f>IF(ISNUMBER(G17),G17/5*E17*100,0)</f>
        <v/>
      </c>
      <c r="I17" s="7" t="n"/>
      <c r="J17" t="inlineStr">
        <is>
          <t>PH</t>
        </is>
      </c>
    </row>
    <row r="18" ht="34" customHeight="1">
      <c r="A18" s="17" t="n">
        <v>9</v>
      </c>
      <c r="B18" s="46" t="n"/>
      <c r="C18" s="42" t="inlineStr">
        <is>
          <t>Phối hợp với tổ chức đại diện người lao động</t>
        </is>
      </c>
      <c r="D18" s="43" t="inlineStr">
        <is>
          <t>Phối hợp nội dung đối thoại, thỏa ước, kỷ luật đúng quy định</t>
        </is>
      </c>
      <c r="E18" s="44" t="n">
        <v>0.08</v>
      </c>
      <c r="F18" s="77" t="n"/>
      <c r="G18" s="77" t="n"/>
      <c r="H18" s="73">
        <f>IF(ISNUMBER(G18),G18/5*E18*100,0)</f>
        <v/>
      </c>
      <c r="I18" s="7" t="n"/>
      <c r="J18" t="inlineStr">
        <is>
          <t>PH</t>
        </is>
      </c>
    </row>
    <row r="19" ht="30" customHeight="1">
      <c r="A19" s="17" t="n">
        <v>10</v>
      </c>
      <c r="B19" s="47" t="n"/>
      <c r="C19" s="42" t="inlineStr">
        <is>
          <t>Tinh thần trách nhiệm &amp; chủ động</t>
        </is>
      </c>
      <c r="D19" s="43" t="inlineStr">
        <is>
          <t>Cảnh báo sớm rủi ro tranh chấp lao động</t>
        </is>
      </c>
      <c r="E19" s="44" t="n">
        <v>0.07000000000000001</v>
      </c>
      <c r="F19" s="77" t="n"/>
      <c r="G19" s="77" t="n"/>
      <c r="H19" s="73">
        <f>IF(ISNUMBER(G19),G19/5*E19*100,0)</f>
        <v/>
      </c>
      <c r="I19" s="7" t="n"/>
      <c r="J19" t="inlineStr">
        <is>
          <t>PH</t>
        </is>
      </c>
    </row>
    <row r="20" ht="22" customHeight="1">
      <c r="A20" s="50" t="inlineStr">
        <is>
          <t>TỔNG CỘNG</t>
        </is>
      </c>
      <c r="B20" s="74" t="n"/>
      <c r="C20" s="74" t="n"/>
      <c r="D20" s="75" t="n"/>
      <c r="E20" s="51">
        <f>SUM(E10:E19)</f>
        <v/>
      </c>
      <c r="F20" s="50" t="n"/>
      <c r="G20" s="50" t="n"/>
      <c r="H20" s="78">
        <f>SUM(H10:H19)</f>
        <v/>
      </c>
      <c r="I20" s="50" t="n"/>
    </row>
    <row r="21"/>
    <row r="22">
      <c r="A22" s="53" t="inlineStr">
        <is>
          <t>KẾT QUẢ ĐÁNH GIÁ</t>
        </is>
      </c>
      <c r="D22" s="53" t="inlineStr">
        <is>
          <t>ĐIỂM THEO NHÓM TIÊU CHÍ</t>
        </is>
      </c>
    </row>
    <row r="23" ht="20" customHeight="1">
      <c r="A23" s="54" t="inlineStr">
        <is>
          <t>Tổng điểm chính thức</t>
        </is>
      </c>
      <c r="B23" s="75" t="n"/>
      <c r="C23" s="79">
        <f>H20</f>
        <v/>
      </c>
      <c r="D23" s="57" t="inlineStr">
        <is>
          <t>Nhóm tiêu chí</t>
        </is>
      </c>
      <c r="E23" s="57" t="inlineStr">
        <is>
          <t>Trọng số</t>
        </is>
      </c>
      <c r="F23" s="57" t="inlineStr">
        <is>
          <t>Điểm tối đa</t>
        </is>
      </c>
      <c r="G23" s="57" t="inlineStr">
        <is>
          <t>Điểm đạt</t>
        </is>
      </c>
      <c r="H23" s="57" t="inlineStr">
        <is>
          <t>Tỷ lệ đạt</t>
        </is>
      </c>
    </row>
    <row r="24" ht="20" customHeight="1">
      <c r="A24" s="54" t="inlineStr">
        <is>
          <t>Điểm tự đánh giá</t>
        </is>
      </c>
      <c r="B24" s="75" t="n"/>
      <c r="C24" s="73">
        <f>IF(COUNT(F10:F19)=0,"",SUMPRODUCT(F10:F19,E10:E19)/5*100)</f>
        <v/>
      </c>
      <c r="D24" s="58" t="inlineStr">
        <is>
          <t>Chuyên môn - Nghiệp vụ</t>
        </is>
      </c>
      <c r="E24" s="22">
        <f>SUMIF($J$10:$J$19,"CM",$E$10:$E$19)</f>
        <v/>
      </c>
      <c r="F24" s="67">
        <f>E24*100</f>
        <v/>
      </c>
      <c r="G24" s="67">
        <f>SUMIF($J$10:$J$19,"CM",$H$10:$H$19)</f>
        <v/>
      </c>
      <c r="H24" s="59">
        <f>IF(F24=0,0,G24/F24)</f>
        <v/>
      </c>
    </row>
    <row r="25" ht="20" customHeight="1">
      <c r="A25" s="54" t="inlineStr">
        <is>
          <t>Tiêu chí đã chấm</t>
        </is>
      </c>
      <c r="B25" s="75" t="n"/>
      <c r="C25" s="60">
        <f>COUNT(G10:G19)&amp;" / 10"</f>
        <v/>
      </c>
      <c r="D25" s="61" t="inlineStr">
        <is>
          <t>Tuân thủ - Thời hạn</t>
        </is>
      </c>
      <c r="E25" s="22">
        <f>SUMIF($J$10:$J$19,"TT",$E$10:$E$19)</f>
        <v/>
      </c>
      <c r="F25" s="67">
        <f>E25*100</f>
        <v/>
      </c>
      <c r="G25" s="67">
        <f>SUMIF($J$10:$J$19,"TT",$H$10:$H$19)</f>
        <v/>
      </c>
      <c r="H25" s="59">
        <f>IF(F25=0,0,G25/F25)</f>
        <v/>
      </c>
    </row>
    <row r="26" ht="20" customHeight="1">
      <c r="A26" s="54" t="inlineStr">
        <is>
          <t>Xếp loại</t>
        </is>
      </c>
      <c r="B26" s="75" t="n"/>
      <c r="C26" s="62">
        <f>IF(COUNT(G10:G19)=0,"Chưa chấm",IF(COUNT(G10:G19)&lt;10,"Chưa chấm đủ",IF(H20&gt;=80,"Xuất sắc",IF(H20&gt;=70,"Đạt","Cần cải thiện"))))</f>
        <v/>
      </c>
      <c r="D26" s="63" t="inlineStr">
        <is>
          <t>Phối hợp - Thái độ</t>
        </is>
      </c>
      <c r="E26" s="22">
        <f>SUMIF($J$10:$J$19,"PH",$E$10:$E$19)</f>
        <v/>
      </c>
      <c r="F26" s="67">
        <f>E26*100</f>
        <v/>
      </c>
      <c r="G26" s="67">
        <f>SUMIF($J$10:$J$19,"PH",$H$10:$H$19)</f>
        <v/>
      </c>
      <c r="H26" s="59">
        <f>IF(F26=0,0,G26/F26)</f>
        <v/>
      </c>
    </row>
    <row r="27" ht="20" customHeight="1">
      <c r="A27" s="54" t="inlineStr">
        <is>
          <t>Kiểm tra trọng số</t>
        </is>
      </c>
      <c r="B27" s="75" t="n"/>
      <c r="C27" s="60">
        <f>IF(ROUND(E20,4)=1,"Hợp lệ – 100%","SAI – tổng trọng số phải = 100%")</f>
        <v/>
      </c>
    </row>
    <row r="28"/>
    <row r="29">
      <c r="A29" s="29" t="inlineStr">
        <is>
          <t>NHẬN XÉT &amp; KẾ HOẠCH CẢI THIỆN (Bước 5 – phản hồi kết quả)</t>
        </is>
      </c>
    </row>
    <row r="30" ht="36" customHeight="1">
      <c r="A30" s="54" t="inlineStr">
        <is>
          <t>Điểm mạnh</t>
        </is>
      </c>
      <c r="B30" s="75" t="n"/>
      <c r="C30" s="7" t="n"/>
      <c r="D30" s="74" t="n"/>
      <c r="E30" s="74" t="n"/>
      <c r="F30" s="74" t="n"/>
      <c r="G30" s="74" t="n"/>
      <c r="H30" s="74" t="n"/>
      <c r="I30" s="75" t="n"/>
    </row>
    <row r="31" ht="36" customHeight="1">
      <c r="A31" s="54" t="inlineStr">
        <is>
          <t>Cần cải thiện</t>
        </is>
      </c>
      <c r="B31" s="75" t="n"/>
      <c r="C31" s="7" t="n"/>
      <c r="D31" s="74" t="n"/>
      <c r="E31" s="74" t="n"/>
      <c r="F31" s="74" t="n"/>
      <c r="G31" s="74" t="n"/>
      <c r="H31" s="74" t="n"/>
      <c r="I31" s="75" t="n"/>
    </row>
    <row r="32" ht="36" customHeight="1">
      <c r="A32" s="54" t="inlineStr">
        <is>
          <t>Kế hoạch cải thiện</t>
        </is>
      </c>
      <c r="B32" s="75" t="n"/>
      <c r="C32" s="7" t="n"/>
      <c r="D32" s="74" t="n"/>
      <c r="E32" s="74" t="n"/>
      <c r="F32" s="74" t="n"/>
      <c r="G32" s="74" t="n"/>
      <c r="H32" s="74" t="n"/>
      <c r="I32" s="75" t="n"/>
    </row>
    <row r="33" ht="36" customHeight="1">
      <c r="A33" s="54" t="inlineStr">
        <is>
          <t>Ý kiến nhân sự</t>
        </is>
      </c>
      <c r="B33" s="75" t="n"/>
      <c r="C33" s="7" t="n"/>
      <c r="D33" s="74" t="n"/>
      <c r="E33" s="74" t="n"/>
      <c r="F33" s="74" t="n"/>
      <c r="G33" s="74" t="n"/>
      <c r="H33" s="74" t="n"/>
      <c r="I33" s="75" t="n"/>
    </row>
    <row r="34"/>
    <row r="35">
      <c r="B35" s="65" t="inlineStr">
        <is>
          <t>NHÂN SỰ ĐƯỢC ĐÁNH GIÁ</t>
        </is>
      </c>
      <c r="D35" s="65" t="inlineStr">
        <is>
          <t>QUẢN LÝ TRỰC TIẾP</t>
        </is>
      </c>
      <c r="G35" s="65" t="inlineStr">
        <is>
          <t>NGƯỜI PHÊ DUYỆT</t>
        </is>
      </c>
    </row>
    <row r="36">
      <c r="B36" s="66" t="inlineStr">
        <is>
          <t>(Ký, ghi rõ họ tên)</t>
        </is>
      </c>
      <c r="D36" s="66" t="inlineStr">
        <is>
          <t>(Ký, ghi rõ họ tên)</t>
        </is>
      </c>
      <c r="G36" s="66" t="inlineStr">
        <is>
          <t>(Ký, ghi rõ họ tên)</t>
        </is>
      </c>
    </row>
  </sheetData>
  <mergeCells count="32">
    <mergeCell ref="A24:B24"/>
    <mergeCell ref="A30:B30"/>
    <mergeCell ref="A20:D20"/>
    <mergeCell ref="E5:F5"/>
    <mergeCell ref="C32:I32"/>
    <mergeCell ref="D22:H22"/>
    <mergeCell ref="E4:F4"/>
    <mergeCell ref="A2:I2"/>
    <mergeCell ref="A25:B25"/>
    <mergeCell ref="A22:C22"/>
    <mergeCell ref="G35:I35"/>
    <mergeCell ref="C30:I30"/>
    <mergeCell ref="G6:H6"/>
    <mergeCell ref="C33:I33"/>
    <mergeCell ref="A27:B27"/>
    <mergeCell ref="B10:B13"/>
    <mergeCell ref="A29:I29"/>
    <mergeCell ref="A26:B26"/>
    <mergeCell ref="E6:F6"/>
    <mergeCell ref="A33:B33"/>
    <mergeCell ref="G5:H5"/>
    <mergeCell ref="A32:B32"/>
    <mergeCell ref="A23:B23"/>
    <mergeCell ref="G4:H4"/>
    <mergeCell ref="C31:I31"/>
    <mergeCell ref="B17:B19"/>
    <mergeCell ref="G36:I36"/>
    <mergeCell ref="A1:I1"/>
    <mergeCell ref="B14:B16"/>
    <mergeCell ref="B36:C36"/>
    <mergeCell ref="A31:B31"/>
    <mergeCell ref="B35:C35"/>
  </mergeCells>
  <conditionalFormatting sqref="I10:I19">
    <cfRule type="expression" priority="1" dxfId="5">
      <formula>AND(ISNUMBER($G10),OR($G10&lt;=1.5,$G10&gt;=5),LEN($I10)=0)</formula>
    </cfRule>
  </conditionalFormatting>
  <conditionalFormatting sqref="G10:G19">
    <cfRule type="cellIs" priority="2" operator="lessThanOrEqual" dxfId="4">
      <formula>2</formula>
    </cfRule>
  </conditionalFormatting>
  <conditionalFormatting sqref="C26">
    <cfRule type="expression" priority="3" dxfId="0">
      <formula>C26="Xuất sắc"</formula>
    </cfRule>
    <cfRule type="expression" priority="4" dxfId="1">
      <formula>C26="Đạt"</formula>
    </cfRule>
    <cfRule type="expression" priority="5" dxfId="2">
      <formula>C26="Cần cải thiện"</formula>
    </cfRule>
    <cfRule type="expression" priority="6" dxfId="3">
      <formula>C26="Chưa chấm đủ"</formula>
    </cfRule>
  </conditionalFormatting>
  <conditionalFormatting sqref="C27">
    <cfRule type="expression" priority="7" dxfId="6">
      <formula>LEFT(C27,3)="SAI"</formula>
    </cfRule>
  </conditionalFormatting>
  <dataValidations count="2">
    <dataValidation sqref="F10:G19" showDropDown="0" showInputMessage="1" showErrorMessage="1" allowBlank="1" errorTitle="Điểm không hợp lệ" error="Nhập điểm từ 1 đến 5 (cho phép số lẻ như 3.5)." promptTitle="Thang điểm 1–5" prompt="5 Tuyệt vời · 4 Tốt · 3 Bình thường · 2 Chưa đạt · 1 Kém" type="decimal" operator="between">
      <formula1>1</formula1>
      <formula2>5</formula2>
    </dataValidation>
    <dataValidation sqref="G4" showDropDown="0" showInputMessage="0" showErrorMessage="1" allowBlank="0" type="list">
      <formula1>"Tháng,Quý,Năm"</formula1>
    </dataValidation>
  </dataValidations>
  <printOptions horizontalCentered="1"/>
  <pageMargins left="0.4" right="0.4" top="1" bottom="1" header="0.5" footer="0.5"/>
  <pageSetup orientation="landscape" paperSize="9" fitToHeight="0" fitToWidth="1"/>
  <headerFooter>
    <oddHeader/>
    <oddFooter>&amp;L&amp;8 Mr Wick Kiểm toán · taichinhketoanedu.com&amp;R&amp;8 Trang &amp;P/&amp;N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J36"/>
  <sheetViews>
    <sheetView showGridLines="0" tabSelected="0" zoomScale="9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34" customWidth="1" min="3" max="3"/>
    <col width="50" customWidth="1" min="4" max="4"/>
    <col width="10" customWidth="1" min="5" max="5"/>
    <col width="10" customWidth="1" min="6" max="6"/>
    <col width="10" customWidth="1" min="7" max="7"/>
    <col width="11" customWidth="1" min="8" max="8"/>
    <col width="30" customWidth="1" min="9" max="9"/>
    <col hidden="1" width="6" customWidth="1" min="10" max="10"/>
  </cols>
  <sheetData>
    <row r="1" ht="30" customHeight="1">
      <c r="A1" s="1" t="inlineStr">
        <is>
          <t>BẢNG ĐÁNH GIÁ KPI – CHUYÊN VIÊN VĂN HÓA DOANH NGHIỆP &amp; TRUYỀN THÔNG NỘI BỘ</t>
        </is>
      </c>
    </row>
    <row r="2">
      <c r="A2" s="2" t="inlineStr">
        <is>
          <t xml:space="preserve">Phòng Nhân sự · Phụ lục 02 kèm Quy chế đánh giá KPI · KK HOME · </t>
        </is>
      </c>
    </row>
    <row r="3"/>
    <row r="4">
      <c r="B4" s="37" t="inlineStr">
        <is>
          <t>Họ và tên</t>
        </is>
      </c>
      <c r="C4" s="7" t="n"/>
      <c r="E4" s="37" t="inlineStr">
        <is>
          <t>Loại kỳ đánh giá</t>
        </is>
      </c>
      <c r="G4" s="38" t="inlineStr">
        <is>
          <t>Quý</t>
        </is>
      </c>
      <c r="H4" s="75" t="n"/>
      <c r="I4" s="39" t="inlineStr">
        <is>
          <t>← chọn Tháng / Quý / Năm</t>
        </is>
      </c>
    </row>
    <row r="5">
      <c r="B5" s="37" t="inlineStr">
        <is>
          <t>Mã nhân viên</t>
        </is>
      </c>
      <c r="C5" s="7" t="n"/>
      <c r="E5" s="37" t="inlineStr">
        <is>
          <t>Kỳ đánh giá</t>
        </is>
      </c>
      <c r="G5" s="38" t="n"/>
      <c r="H5" s="75" t="n"/>
      <c r="I5" s="39" t="inlineStr">
        <is>
          <t>VD: Tháng 9/2026, Quý 3/2026, Năm 2026</t>
        </is>
      </c>
    </row>
    <row r="6">
      <c r="B6" s="37" t="inlineStr">
        <is>
          <t>Người đánh giá</t>
        </is>
      </c>
      <c r="C6" s="7" t="n"/>
      <c r="E6" s="37" t="inlineStr">
        <is>
          <t>Ngày đánh giá</t>
        </is>
      </c>
      <c r="G6" s="76" t="n"/>
      <c r="H6" s="75" t="n"/>
    </row>
    <row r="7">
      <c r="B7" s="37" t="inlineStr">
        <is>
          <t>Bộ phận</t>
        </is>
      </c>
      <c r="C7" s="7" t="inlineStr">
        <is>
          <t>Phòng Nhân sự</t>
        </is>
      </c>
    </row>
    <row r="8"/>
    <row r="9" ht="42" customHeight="1">
      <c r="A9" s="16" t="inlineStr">
        <is>
          <t>STT</t>
        </is>
      </c>
      <c r="B9" s="16" t="inlineStr">
        <is>
          <t>Nhóm tiêu chí</t>
        </is>
      </c>
      <c r="C9" s="16" t="inlineStr">
        <is>
          <t>Tiêu chí đánh giá</t>
        </is>
      </c>
      <c r="D9" s="16" t="inlineStr">
        <is>
          <t>Cách đo / Chứng cứ chấm điểm</t>
        </is>
      </c>
      <c r="E9" s="16" t="inlineStr">
        <is>
          <t>Trọng số</t>
        </is>
      </c>
      <c r="F9" s="16" t="inlineStr">
        <is>
          <t>Tự đánh giá
(1–5)</t>
        </is>
      </c>
      <c r="G9" s="16" t="inlineStr">
        <is>
          <t>Quản lý chấm
(1–5)</t>
        </is>
      </c>
      <c r="H9" s="16" t="inlineStr">
        <is>
          <t>Điểm quy đổi</t>
        </is>
      </c>
      <c r="I9" s="16" t="inlineStr">
        <is>
          <t>Ghi chú / Lý do (bắt buộc khi điểm ≤1,5 hoặc 5)</t>
        </is>
      </c>
    </row>
    <row r="10" ht="34" customHeight="1">
      <c r="A10" s="17" t="n">
        <v>1</v>
      </c>
      <c r="B10" s="41" t="inlineStr">
        <is>
          <t>Chuyên môn - Nghiệp vụ</t>
        </is>
      </c>
      <c r="C10" s="42" t="inlineStr">
        <is>
          <t>Kế hoạch văn hóa &amp; truyền thông nội bộ</t>
        </is>
      </c>
      <c r="D10" s="43" t="inlineStr">
        <is>
          <t>Tỷ lệ hoạt động triển khai theo kế hoạch năm</t>
        </is>
      </c>
      <c r="E10" s="44" t="n">
        <v>0.12</v>
      </c>
      <c r="F10" s="77" t="n"/>
      <c r="G10" s="77" t="n"/>
      <c r="H10" s="73">
        <f>IF(ISNUMBER(G10),G10/5*E10*100,0)</f>
        <v/>
      </c>
      <c r="I10" s="7" t="n"/>
      <c r="J10" t="inlineStr">
        <is>
          <t>CM</t>
        </is>
      </c>
    </row>
    <row r="11" ht="30" customHeight="1">
      <c r="A11" s="17" t="n">
        <v>2</v>
      </c>
      <c r="B11" s="46" t="n"/>
      <c r="C11" s="42" t="inlineStr">
        <is>
          <t>Mức độ gắn kết nhân viên</t>
        </is>
      </c>
      <c r="D11" s="43" t="inlineStr">
        <is>
          <t>Điểm khảo sát gắn kết (eNPS) so với kỳ trước</t>
        </is>
      </c>
      <c r="E11" s="44" t="n">
        <v>0.1</v>
      </c>
      <c r="F11" s="77" t="n"/>
      <c r="G11" s="77" t="n"/>
      <c r="H11" s="73">
        <f>IF(ISNUMBER(G11),G11/5*E11*100,0)</f>
        <v/>
      </c>
      <c r="I11" s="7" t="n"/>
      <c r="J11" t="inlineStr">
        <is>
          <t>CM</t>
        </is>
      </c>
    </row>
    <row r="12" ht="34" customHeight="1">
      <c r="A12" s="17" t="n">
        <v>3</v>
      </c>
      <c r="B12" s="46" t="n"/>
      <c r="C12" s="42" t="inlineStr">
        <is>
          <t>Kênh truyền thông nội bộ</t>
        </is>
      </c>
      <c r="D12" s="43" t="inlineStr">
        <is>
          <t>Bản tin, thông báo phát hành đúng lịch; tỷ lệ nhân viên đọc/tương tác</t>
        </is>
      </c>
      <c r="E12" s="44" t="n">
        <v>0.1</v>
      </c>
      <c r="F12" s="77" t="n"/>
      <c r="G12" s="77" t="n"/>
      <c r="H12" s="73">
        <f>IF(ISNUMBER(G12),G12/5*E12*100,0)</f>
        <v/>
      </c>
      <c r="I12" s="7" t="n"/>
      <c r="J12" t="inlineStr">
        <is>
          <t>CM</t>
        </is>
      </c>
    </row>
    <row r="13" ht="30" customHeight="1">
      <c r="A13" s="17" t="n">
        <v>4</v>
      </c>
      <c r="B13" s="47" t="n"/>
      <c r="C13" s="42" t="inlineStr">
        <is>
          <t>Chương trình ghi nhận, khen thưởng</t>
        </is>
      </c>
      <c r="D13" s="43" t="inlineStr">
        <is>
          <t>Tổ chức đúng kỳ, đúng tiêu chí đã công bố</t>
        </is>
      </c>
      <c r="E13" s="44" t="n">
        <v>0.08</v>
      </c>
      <c r="F13" s="77" t="n"/>
      <c r="G13" s="77" t="n"/>
      <c r="H13" s="73">
        <f>IF(ISNUMBER(G13),G13/5*E13*100,0)</f>
        <v/>
      </c>
      <c r="I13" s="7" t="n"/>
      <c r="J13" t="inlineStr">
        <is>
          <t>CM</t>
        </is>
      </c>
    </row>
    <row r="14" ht="30" customHeight="1">
      <c r="A14" s="17" t="n">
        <v>5</v>
      </c>
      <c r="B14" s="48" t="inlineStr">
        <is>
          <t>Tuân thủ - Thời hạn</t>
        </is>
      </c>
      <c r="C14" s="42" t="inlineStr">
        <is>
          <t>Kiểm soát ngân sách sự kiện</t>
        </is>
      </c>
      <c r="D14" s="43" t="inlineStr">
        <is>
          <t>Chi phí thực tế so với ngân sách từng sự kiện</t>
        </is>
      </c>
      <c r="E14" s="44" t="n">
        <v>0.12</v>
      </c>
      <c r="F14" s="77" t="n"/>
      <c r="G14" s="77" t="n"/>
      <c r="H14" s="73">
        <f>IF(ISNUMBER(G14),G14/5*E14*100,0)</f>
        <v/>
      </c>
      <c r="I14" s="7" t="n"/>
      <c r="J14" t="inlineStr">
        <is>
          <t>TT</t>
        </is>
      </c>
    </row>
    <row r="15" ht="30" customHeight="1">
      <c r="A15" s="17" t="n">
        <v>6</v>
      </c>
      <c r="B15" s="46" t="n"/>
      <c r="C15" s="42" t="inlineStr">
        <is>
          <t>Đúng tiến độ sự kiện</t>
        </is>
      </c>
      <c r="D15" s="43" t="inlineStr">
        <is>
          <t>Sự kiện diễn ra đúng lịch, đủ hạng mục đã duyệt</t>
        </is>
      </c>
      <c r="E15" s="44" t="n">
        <v>0.12</v>
      </c>
      <c r="F15" s="77" t="n"/>
      <c r="G15" s="77" t="n"/>
      <c r="H15" s="73">
        <f>IF(ISNUMBER(G15),G15/5*E15*100,0)</f>
        <v/>
      </c>
      <c r="I15" s="7" t="n"/>
      <c r="J15" t="inlineStr">
        <is>
          <t>TT</t>
        </is>
      </c>
    </row>
    <row r="16" ht="34" customHeight="1">
      <c r="A16" s="17" t="n">
        <v>7</v>
      </c>
      <c r="B16" s="47" t="n"/>
      <c r="C16" s="42" t="inlineStr">
        <is>
          <t>Thông tin chính xác, đúng phê duyệt</t>
        </is>
      </c>
      <c r="D16" s="43" t="inlineStr">
        <is>
          <t>Nội dung được duyệt trước khi phát hành; số lỗi thông tin = 0</t>
        </is>
      </c>
      <c r="E16" s="44" t="n">
        <v>0.11</v>
      </c>
      <c r="F16" s="77" t="n"/>
      <c r="G16" s="77" t="n"/>
      <c r="H16" s="73">
        <f>IF(ISNUMBER(G16),G16/5*E16*100,0)</f>
        <v/>
      </c>
      <c r="I16" s="7" t="n"/>
      <c r="J16" t="inlineStr">
        <is>
          <t>TT</t>
        </is>
      </c>
    </row>
    <row r="17" ht="30" customHeight="1">
      <c r="A17" s="17" t="n">
        <v>8</v>
      </c>
      <c r="B17" s="49" t="inlineStr">
        <is>
          <t>Phối hợp - Thái độ</t>
        </is>
      </c>
      <c r="C17" s="42" t="inlineStr">
        <is>
          <t>Phối hợp các phòng ban</t>
        </is>
      </c>
      <c r="D17" s="43" t="inlineStr">
        <is>
          <t>Số phòng ban tham gia; phản hồi sau sự kiện</t>
        </is>
      </c>
      <c r="E17" s="44" t="n">
        <v>0.1</v>
      </c>
      <c r="F17" s="77" t="n"/>
      <c r="G17" s="77" t="n"/>
      <c r="H17" s="73">
        <f>IF(ISNUMBER(G17),G17/5*E17*100,0)</f>
        <v/>
      </c>
      <c r="I17" s="7" t="n"/>
      <c r="J17" t="inlineStr">
        <is>
          <t>PH</t>
        </is>
      </c>
    </row>
    <row r="18" ht="30" customHeight="1">
      <c r="A18" s="17" t="n">
        <v>9</v>
      </c>
      <c r="B18" s="46" t="n"/>
      <c r="C18" s="42" t="inlineStr">
        <is>
          <t>Lan tỏa giá trị cốt lõi</t>
        </is>
      </c>
      <c r="D18" s="43" t="inlineStr">
        <is>
          <t>Số câu chuyện, gương điển hình được ghi nhận và chia sẻ</t>
        </is>
      </c>
      <c r="E18" s="44" t="n">
        <v>0.08</v>
      </c>
      <c r="F18" s="77" t="n"/>
      <c r="G18" s="77" t="n"/>
      <c r="H18" s="73">
        <f>IF(ISNUMBER(G18),G18/5*E18*100,0)</f>
        <v/>
      </c>
      <c r="I18" s="7" t="n"/>
      <c r="J18" t="inlineStr">
        <is>
          <t>PH</t>
        </is>
      </c>
    </row>
    <row r="19" ht="30" customHeight="1">
      <c r="A19" s="17" t="n">
        <v>10</v>
      </c>
      <c r="B19" s="47" t="n"/>
      <c r="C19" s="42" t="inlineStr">
        <is>
          <t>Tinh thần trách nhiệm &amp; sáng tạo</t>
        </is>
      </c>
      <c r="D19" s="43" t="inlineStr">
        <is>
          <t>Ý tưởng mới được áp dụng trong kỳ</t>
        </is>
      </c>
      <c r="E19" s="44" t="n">
        <v>0.07000000000000001</v>
      </c>
      <c r="F19" s="77" t="n"/>
      <c r="G19" s="77" t="n"/>
      <c r="H19" s="73">
        <f>IF(ISNUMBER(G19),G19/5*E19*100,0)</f>
        <v/>
      </c>
      <c r="I19" s="7" t="n"/>
      <c r="J19" t="inlineStr">
        <is>
          <t>PH</t>
        </is>
      </c>
    </row>
    <row r="20" ht="22" customHeight="1">
      <c r="A20" s="50" t="inlineStr">
        <is>
          <t>TỔNG CỘNG</t>
        </is>
      </c>
      <c r="B20" s="74" t="n"/>
      <c r="C20" s="74" t="n"/>
      <c r="D20" s="75" t="n"/>
      <c r="E20" s="51">
        <f>SUM(E10:E19)</f>
        <v/>
      </c>
      <c r="F20" s="50" t="n"/>
      <c r="G20" s="50" t="n"/>
      <c r="H20" s="78">
        <f>SUM(H10:H19)</f>
        <v/>
      </c>
      <c r="I20" s="50" t="n"/>
    </row>
    <row r="21"/>
    <row r="22">
      <c r="A22" s="53" t="inlineStr">
        <is>
          <t>KẾT QUẢ ĐÁNH GIÁ</t>
        </is>
      </c>
      <c r="D22" s="53" t="inlineStr">
        <is>
          <t>ĐIỂM THEO NHÓM TIÊU CHÍ</t>
        </is>
      </c>
    </row>
    <row r="23" ht="20" customHeight="1">
      <c r="A23" s="54" t="inlineStr">
        <is>
          <t>Tổng điểm chính thức</t>
        </is>
      </c>
      <c r="B23" s="75" t="n"/>
      <c r="C23" s="79">
        <f>H20</f>
        <v/>
      </c>
      <c r="D23" s="57" t="inlineStr">
        <is>
          <t>Nhóm tiêu chí</t>
        </is>
      </c>
      <c r="E23" s="57" t="inlineStr">
        <is>
          <t>Trọng số</t>
        </is>
      </c>
      <c r="F23" s="57" t="inlineStr">
        <is>
          <t>Điểm tối đa</t>
        </is>
      </c>
      <c r="G23" s="57" t="inlineStr">
        <is>
          <t>Điểm đạt</t>
        </is>
      </c>
      <c r="H23" s="57" t="inlineStr">
        <is>
          <t>Tỷ lệ đạt</t>
        </is>
      </c>
    </row>
    <row r="24" ht="20" customHeight="1">
      <c r="A24" s="54" t="inlineStr">
        <is>
          <t>Điểm tự đánh giá</t>
        </is>
      </c>
      <c r="B24" s="75" t="n"/>
      <c r="C24" s="73">
        <f>IF(COUNT(F10:F19)=0,"",SUMPRODUCT(F10:F19,E10:E19)/5*100)</f>
        <v/>
      </c>
      <c r="D24" s="58" t="inlineStr">
        <is>
          <t>Chuyên môn - Nghiệp vụ</t>
        </is>
      </c>
      <c r="E24" s="22">
        <f>SUMIF($J$10:$J$19,"CM",$E$10:$E$19)</f>
        <v/>
      </c>
      <c r="F24" s="67">
        <f>E24*100</f>
        <v/>
      </c>
      <c r="G24" s="67">
        <f>SUMIF($J$10:$J$19,"CM",$H$10:$H$19)</f>
        <v/>
      </c>
      <c r="H24" s="59">
        <f>IF(F24=0,0,G24/F24)</f>
        <v/>
      </c>
    </row>
    <row r="25" ht="20" customHeight="1">
      <c r="A25" s="54" t="inlineStr">
        <is>
          <t>Tiêu chí đã chấm</t>
        </is>
      </c>
      <c r="B25" s="75" t="n"/>
      <c r="C25" s="60">
        <f>COUNT(G10:G19)&amp;" / 10"</f>
        <v/>
      </c>
      <c r="D25" s="61" t="inlineStr">
        <is>
          <t>Tuân thủ - Thời hạn</t>
        </is>
      </c>
      <c r="E25" s="22">
        <f>SUMIF($J$10:$J$19,"TT",$E$10:$E$19)</f>
        <v/>
      </c>
      <c r="F25" s="67">
        <f>E25*100</f>
        <v/>
      </c>
      <c r="G25" s="67">
        <f>SUMIF($J$10:$J$19,"TT",$H$10:$H$19)</f>
        <v/>
      </c>
      <c r="H25" s="59">
        <f>IF(F25=0,0,G25/F25)</f>
        <v/>
      </c>
    </row>
    <row r="26" ht="20" customHeight="1">
      <c r="A26" s="54" t="inlineStr">
        <is>
          <t>Xếp loại</t>
        </is>
      </c>
      <c r="B26" s="75" t="n"/>
      <c r="C26" s="62">
        <f>IF(COUNT(G10:G19)=0,"Chưa chấm",IF(COUNT(G10:G19)&lt;10,"Chưa chấm đủ",IF(H20&gt;=80,"Xuất sắc",IF(H20&gt;=70,"Đạt","Cần cải thiện"))))</f>
        <v/>
      </c>
      <c r="D26" s="63" t="inlineStr">
        <is>
          <t>Phối hợp - Thái độ</t>
        </is>
      </c>
      <c r="E26" s="22">
        <f>SUMIF($J$10:$J$19,"PH",$E$10:$E$19)</f>
        <v/>
      </c>
      <c r="F26" s="67">
        <f>E26*100</f>
        <v/>
      </c>
      <c r="G26" s="67">
        <f>SUMIF($J$10:$J$19,"PH",$H$10:$H$19)</f>
        <v/>
      </c>
      <c r="H26" s="59">
        <f>IF(F26=0,0,G26/F26)</f>
        <v/>
      </c>
    </row>
    <row r="27" ht="20" customHeight="1">
      <c r="A27" s="54" t="inlineStr">
        <is>
          <t>Kiểm tra trọng số</t>
        </is>
      </c>
      <c r="B27" s="75" t="n"/>
      <c r="C27" s="60">
        <f>IF(ROUND(E20,4)=1,"Hợp lệ – 100%","SAI – tổng trọng số phải = 100%")</f>
        <v/>
      </c>
    </row>
    <row r="28"/>
    <row r="29">
      <c r="A29" s="29" t="inlineStr">
        <is>
          <t>NHẬN XÉT &amp; KẾ HOẠCH CẢI THIỆN (Bước 5 – phản hồi kết quả)</t>
        </is>
      </c>
    </row>
    <row r="30" ht="36" customHeight="1">
      <c r="A30" s="54" t="inlineStr">
        <is>
          <t>Điểm mạnh</t>
        </is>
      </c>
      <c r="B30" s="75" t="n"/>
      <c r="C30" s="7" t="n"/>
      <c r="D30" s="74" t="n"/>
      <c r="E30" s="74" t="n"/>
      <c r="F30" s="74" t="n"/>
      <c r="G30" s="74" t="n"/>
      <c r="H30" s="74" t="n"/>
      <c r="I30" s="75" t="n"/>
    </row>
    <row r="31" ht="36" customHeight="1">
      <c r="A31" s="54" t="inlineStr">
        <is>
          <t>Cần cải thiện</t>
        </is>
      </c>
      <c r="B31" s="75" t="n"/>
      <c r="C31" s="7" t="n"/>
      <c r="D31" s="74" t="n"/>
      <c r="E31" s="74" t="n"/>
      <c r="F31" s="74" t="n"/>
      <c r="G31" s="74" t="n"/>
      <c r="H31" s="74" t="n"/>
      <c r="I31" s="75" t="n"/>
    </row>
    <row r="32" ht="36" customHeight="1">
      <c r="A32" s="54" t="inlineStr">
        <is>
          <t>Kế hoạch cải thiện</t>
        </is>
      </c>
      <c r="B32" s="75" t="n"/>
      <c r="C32" s="7" t="n"/>
      <c r="D32" s="74" t="n"/>
      <c r="E32" s="74" t="n"/>
      <c r="F32" s="74" t="n"/>
      <c r="G32" s="74" t="n"/>
      <c r="H32" s="74" t="n"/>
      <c r="I32" s="75" t="n"/>
    </row>
    <row r="33" ht="36" customHeight="1">
      <c r="A33" s="54" t="inlineStr">
        <is>
          <t>Ý kiến nhân sự</t>
        </is>
      </c>
      <c r="B33" s="75" t="n"/>
      <c r="C33" s="7" t="n"/>
      <c r="D33" s="74" t="n"/>
      <c r="E33" s="74" t="n"/>
      <c r="F33" s="74" t="n"/>
      <c r="G33" s="74" t="n"/>
      <c r="H33" s="74" t="n"/>
      <c r="I33" s="75" t="n"/>
    </row>
    <row r="34"/>
    <row r="35">
      <c r="B35" s="65" t="inlineStr">
        <is>
          <t>NHÂN SỰ ĐƯỢC ĐÁNH GIÁ</t>
        </is>
      </c>
      <c r="D35" s="65" t="inlineStr">
        <is>
          <t>QUẢN LÝ TRỰC TIẾP</t>
        </is>
      </c>
      <c r="G35" s="65" t="inlineStr">
        <is>
          <t>NGƯỜI PHÊ DUYỆT</t>
        </is>
      </c>
    </row>
    <row r="36">
      <c r="B36" s="66" t="inlineStr">
        <is>
          <t>(Ký, ghi rõ họ tên)</t>
        </is>
      </c>
      <c r="D36" s="66" t="inlineStr">
        <is>
          <t>(Ký, ghi rõ họ tên)</t>
        </is>
      </c>
      <c r="G36" s="66" t="inlineStr">
        <is>
          <t>(Ký, ghi rõ họ tên)</t>
        </is>
      </c>
    </row>
  </sheetData>
  <mergeCells count="32">
    <mergeCell ref="A24:B24"/>
    <mergeCell ref="A30:B30"/>
    <mergeCell ref="A20:D20"/>
    <mergeCell ref="E5:F5"/>
    <mergeCell ref="C32:I32"/>
    <mergeCell ref="D22:H22"/>
    <mergeCell ref="E4:F4"/>
    <mergeCell ref="A2:I2"/>
    <mergeCell ref="A25:B25"/>
    <mergeCell ref="A22:C22"/>
    <mergeCell ref="G35:I35"/>
    <mergeCell ref="C30:I30"/>
    <mergeCell ref="G6:H6"/>
    <mergeCell ref="C33:I33"/>
    <mergeCell ref="A27:B27"/>
    <mergeCell ref="B10:B13"/>
    <mergeCell ref="A29:I29"/>
    <mergeCell ref="A26:B26"/>
    <mergeCell ref="E6:F6"/>
    <mergeCell ref="A33:B33"/>
    <mergeCell ref="G5:H5"/>
    <mergeCell ref="A32:B32"/>
    <mergeCell ref="A23:B23"/>
    <mergeCell ref="G4:H4"/>
    <mergeCell ref="C31:I31"/>
    <mergeCell ref="B17:B19"/>
    <mergeCell ref="G36:I36"/>
    <mergeCell ref="A1:I1"/>
    <mergeCell ref="B14:B16"/>
    <mergeCell ref="B36:C36"/>
    <mergeCell ref="A31:B31"/>
    <mergeCell ref="B35:C35"/>
  </mergeCells>
  <conditionalFormatting sqref="I10:I19">
    <cfRule type="expression" priority="1" dxfId="5">
      <formula>AND(ISNUMBER($G10),OR($G10&lt;=1.5,$G10&gt;=5),LEN($I10)=0)</formula>
    </cfRule>
  </conditionalFormatting>
  <conditionalFormatting sqref="G10:G19">
    <cfRule type="cellIs" priority="2" operator="lessThanOrEqual" dxfId="4">
      <formula>2</formula>
    </cfRule>
  </conditionalFormatting>
  <conditionalFormatting sqref="C26">
    <cfRule type="expression" priority="3" dxfId="0">
      <formula>C26="Xuất sắc"</formula>
    </cfRule>
    <cfRule type="expression" priority="4" dxfId="1">
      <formula>C26="Đạt"</formula>
    </cfRule>
    <cfRule type="expression" priority="5" dxfId="2">
      <formula>C26="Cần cải thiện"</formula>
    </cfRule>
    <cfRule type="expression" priority="6" dxfId="3">
      <formula>C26="Chưa chấm đủ"</formula>
    </cfRule>
  </conditionalFormatting>
  <conditionalFormatting sqref="C27">
    <cfRule type="expression" priority="7" dxfId="6">
      <formula>LEFT(C27,3)="SAI"</formula>
    </cfRule>
  </conditionalFormatting>
  <dataValidations count="2">
    <dataValidation sqref="F10:G19" showDropDown="0" showInputMessage="1" showErrorMessage="1" allowBlank="1" errorTitle="Điểm không hợp lệ" error="Nhập điểm từ 1 đến 5 (cho phép số lẻ như 3.5)." promptTitle="Thang điểm 1–5" prompt="5 Tuyệt vời · 4 Tốt · 3 Bình thường · 2 Chưa đạt · 1 Kém" type="decimal" operator="between">
      <formula1>1</formula1>
      <formula2>5</formula2>
    </dataValidation>
    <dataValidation sqref="G4" showDropDown="0" showInputMessage="0" showErrorMessage="1" allowBlank="0" type="list">
      <formula1>"Tháng,Quý,Năm"</formula1>
    </dataValidation>
  </dataValidations>
  <printOptions horizontalCentered="1"/>
  <pageMargins left="0.4" right="0.4" top="1" bottom="1" header="0.5" footer="0.5"/>
  <pageSetup orientation="landscape" paperSize="9" fitToHeight="0" fitToWidth="1"/>
  <headerFooter>
    <oddHeader/>
    <oddFooter>&amp;L&amp;8 Mr Wick Kiểm toán · taichinhketoanedu.com&amp;R&amp;8 Trang &amp;P/&amp;N</oddFooter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J36"/>
  <sheetViews>
    <sheetView showGridLines="0" tabSelected="0" zoomScale="9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34" customWidth="1" min="3" max="3"/>
    <col width="50" customWidth="1" min="4" max="4"/>
    <col width="10" customWidth="1" min="5" max="5"/>
    <col width="10" customWidth="1" min="6" max="6"/>
    <col width="10" customWidth="1" min="7" max="7"/>
    <col width="11" customWidth="1" min="8" max="8"/>
    <col width="30" customWidth="1" min="9" max="9"/>
    <col hidden="1" width="6" customWidth="1" min="10" max="10"/>
  </cols>
  <sheetData>
    <row r="1" ht="30" customHeight="1">
      <c r="A1" s="1" t="inlineStr">
        <is>
          <t>BẢNG ĐÁNH GIÁ KPI – CHUYÊN VIÊN HỆ THỐNG THÔNG TIN &amp; BÁO CÁO NHÂN SỰ (HRIS)</t>
        </is>
      </c>
    </row>
    <row r="2">
      <c r="A2" s="2" t="inlineStr">
        <is>
          <t xml:space="preserve">Phòng Nhân sự · Phụ lục 02 kèm Quy chế đánh giá KPI · KK HOME · </t>
        </is>
      </c>
    </row>
    <row r="3"/>
    <row r="4">
      <c r="B4" s="37" t="inlineStr">
        <is>
          <t>Họ và tên</t>
        </is>
      </c>
      <c r="C4" s="7" t="n"/>
      <c r="E4" s="37" t="inlineStr">
        <is>
          <t>Loại kỳ đánh giá</t>
        </is>
      </c>
      <c r="G4" s="38" t="inlineStr">
        <is>
          <t>Quý</t>
        </is>
      </c>
      <c r="H4" s="75" t="n"/>
      <c r="I4" s="39" t="inlineStr">
        <is>
          <t>← chọn Tháng / Quý / Năm</t>
        </is>
      </c>
    </row>
    <row r="5">
      <c r="B5" s="37" t="inlineStr">
        <is>
          <t>Mã nhân viên</t>
        </is>
      </c>
      <c r="C5" s="7" t="n"/>
      <c r="E5" s="37" t="inlineStr">
        <is>
          <t>Kỳ đánh giá</t>
        </is>
      </c>
      <c r="G5" s="38" t="n"/>
      <c r="H5" s="75" t="n"/>
      <c r="I5" s="39" t="inlineStr">
        <is>
          <t>VD: Tháng 9/2026, Quý 3/2026, Năm 2026</t>
        </is>
      </c>
    </row>
    <row r="6">
      <c r="B6" s="37" t="inlineStr">
        <is>
          <t>Người đánh giá</t>
        </is>
      </c>
      <c r="C6" s="7" t="n"/>
      <c r="E6" s="37" t="inlineStr">
        <is>
          <t>Ngày đánh giá</t>
        </is>
      </c>
      <c r="G6" s="76" t="n"/>
      <c r="H6" s="75" t="n"/>
    </row>
    <row r="7">
      <c r="B7" s="37" t="inlineStr">
        <is>
          <t>Bộ phận</t>
        </is>
      </c>
      <c r="C7" s="7" t="inlineStr">
        <is>
          <t>Phòng Nhân sự</t>
        </is>
      </c>
    </row>
    <row r="8"/>
    <row r="9" ht="42" customHeight="1">
      <c r="A9" s="16" t="inlineStr">
        <is>
          <t>STT</t>
        </is>
      </c>
      <c r="B9" s="16" t="inlineStr">
        <is>
          <t>Nhóm tiêu chí</t>
        </is>
      </c>
      <c r="C9" s="16" t="inlineStr">
        <is>
          <t>Tiêu chí đánh giá</t>
        </is>
      </c>
      <c r="D9" s="16" t="inlineStr">
        <is>
          <t>Cách đo / Chứng cứ chấm điểm</t>
        </is>
      </c>
      <c r="E9" s="16" t="inlineStr">
        <is>
          <t>Trọng số</t>
        </is>
      </c>
      <c r="F9" s="16" t="inlineStr">
        <is>
          <t>Tự đánh giá
(1–5)</t>
        </is>
      </c>
      <c r="G9" s="16" t="inlineStr">
        <is>
          <t>Quản lý chấm
(1–5)</t>
        </is>
      </c>
      <c r="H9" s="16" t="inlineStr">
        <is>
          <t>Điểm quy đổi</t>
        </is>
      </c>
      <c r="I9" s="16" t="inlineStr">
        <is>
          <t>Ghi chú / Lý do (bắt buộc khi điểm ≤1,5 hoặc 5)</t>
        </is>
      </c>
    </row>
    <row r="10" ht="34" customHeight="1">
      <c r="A10" s="17" t="n">
        <v>1</v>
      </c>
      <c r="B10" s="41" t="inlineStr">
        <is>
          <t>Chuyên môn - Nghiệp vụ</t>
        </is>
      </c>
      <c r="C10" s="42" t="inlineStr">
        <is>
          <t>Dữ liệu nhân sự chính xác trên phần mềm</t>
        </is>
      </c>
      <c r="D10" s="43" t="inlineStr">
        <is>
          <t>Tỷ lệ bản ghi sai/thiếu qua kiểm tra chọn mẫu</t>
        </is>
      </c>
      <c r="E10" s="44" t="n">
        <v>0.12</v>
      </c>
      <c r="F10" s="77" t="n"/>
      <c r="G10" s="77" t="n"/>
      <c r="H10" s="73">
        <f>IF(ISNUMBER(G10),G10/5*E10*100,0)</f>
        <v/>
      </c>
      <c r="I10" s="7" t="n"/>
      <c r="J10" t="inlineStr">
        <is>
          <t>CM</t>
        </is>
      </c>
    </row>
    <row r="11" ht="34" customHeight="1">
      <c r="A11" s="17" t="n">
        <v>2</v>
      </c>
      <c r="B11" s="46" t="n"/>
      <c r="C11" s="42" t="inlineStr">
        <is>
          <t>Báo cáo quản trị nhân sự</t>
        </is>
      </c>
      <c r="D11" s="43" t="inlineStr">
        <is>
          <t>Báo cáo định biên, biến động, chi phí nhân sự chính xác, có phân tích và đề xuất</t>
        </is>
      </c>
      <c r="E11" s="44" t="n">
        <v>0.1</v>
      </c>
      <c r="F11" s="77" t="n"/>
      <c r="G11" s="77" t="n"/>
      <c r="H11" s="73">
        <f>IF(ISNUMBER(G11),G11/5*E11*100,0)</f>
        <v/>
      </c>
      <c r="I11" s="7" t="n"/>
      <c r="J11" t="inlineStr">
        <is>
          <t>CM</t>
        </is>
      </c>
    </row>
    <row r="12" ht="34" customHeight="1">
      <c r="A12" s="17" t="n">
        <v>3</v>
      </c>
      <c r="B12" s="46" t="n"/>
      <c r="C12" s="42" t="inlineStr">
        <is>
          <t>Vận hành &amp; phân quyền phần mềm nhân sự</t>
        </is>
      </c>
      <c r="D12" s="43" t="inlineStr">
        <is>
          <t>Hệ thống ổn định; lỗi người dùng báo được xử lý trong ngày</t>
        </is>
      </c>
      <c r="E12" s="44" t="n">
        <v>0.1</v>
      </c>
      <c r="F12" s="77" t="n"/>
      <c r="G12" s="77" t="n"/>
      <c r="H12" s="73">
        <f>IF(ISNUMBER(G12),G12/5*E12*100,0)</f>
        <v/>
      </c>
      <c r="I12" s="7" t="n"/>
      <c r="J12" t="inlineStr">
        <is>
          <t>CM</t>
        </is>
      </c>
    </row>
    <row r="13" ht="30" customHeight="1">
      <c r="A13" s="17" t="n">
        <v>4</v>
      </c>
      <c r="B13" s="47" t="n"/>
      <c r="C13" s="42" t="inlineStr">
        <is>
          <t>Số hóa quy trình nhân sự</t>
        </is>
      </c>
      <c r="D13" s="43" t="inlineStr">
        <is>
          <t>Số quy trình chuyển sang xử lý trên hệ thống trong kỳ</t>
        </is>
      </c>
      <c r="E13" s="44" t="n">
        <v>0.08</v>
      </c>
      <c r="F13" s="77" t="n"/>
      <c r="G13" s="77" t="n"/>
      <c r="H13" s="73">
        <f>IF(ISNUMBER(G13),G13/5*E13*100,0)</f>
        <v/>
      </c>
      <c r="I13" s="7" t="n"/>
      <c r="J13" t="inlineStr">
        <is>
          <t>CM</t>
        </is>
      </c>
    </row>
    <row r="14" ht="30" customHeight="1">
      <c r="A14" s="17" t="n">
        <v>5</v>
      </c>
      <c r="B14" s="48" t="inlineStr">
        <is>
          <t>Tuân thủ - Thời hạn</t>
        </is>
      </c>
      <c r="C14" s="42" t="inlineStr">
        <is>
          <t>Đúng hạn báo cáo</t>
        </is>
      </c>
      <c r="D14" s="43" t="inlineStr">
        <is>
          <t>Báo cáo tuần/tháng/quý gửi đúng lịch</t>
        </is>
      </c>
      <c r="E14" s="44" t="n">
        <v>0.12</v>
      </c>
      <c r="F14" s="77" t="n"/>
      <c r="G14" s="77" t="n"/>
      <c r="H14" s="73">
        <f>IF(ISNUMBER(G14),G14/5*E14*100,0)</f>
        <v/>
      </c>
      <c r="I14" s="7" t="n"/>
      <c r="J14" t="inlineStr">
        <is>
          <t>TT</t>
        </is>
      </c>
    </row>
    <row r="15" ht="34" customHeight="1">
      <c r="A15" s="17" t="n">
        <v>6</v>
      </c>
      <c r="B15" s="46" t="n"/>
      <c r="C15" s="42" t="inlineStr">
        <is>
          <t>Bảo vệ dữ liệu cá nhân người lao động</t>
        </is>
      </c>
      <c r="D15" s="43" t="inlineStr">
        <is>
          <t>Phân quyền đúng vai trò; không rò rỉ; tuân thủ quy định về bảo vệ dữ liệu cá nhân</t>
        </is>
      </c>
      <c r="E15" s="44" t="n">
        <v>0.13</v>
      </c>
      <c r="F15" s="77" t="n"/>
      <c r="G15" s="77" t="n"/>
      <c r="H15" s="73">
        <f>IF(ISNUMBER(G15),G15/5*E15*100,0)</f>
        <v/>
      </c>
      <c r="I15" s="7" t="n"/>
      <c r="J15" t="inlineStr">
        <is>
          <t>TT</t>
        </is>
      </c>
    </row>
    <row r="16" ht="30" customHeight="1">
      <c r="A16" s="17" t="n">
        <v>7</v>
      </c>
      <c r="B16" s="47" t="n"/>
      <c r="C16" s="42" t="inlineStr">
        <is>
          <t>Sao lưu dữ liệu</t>
        </is>
      </c>
      <c r="D16" s="43" t="inlineStr">
        <is>
          <t>Sao lưu định kỳ; thử khôi phục thành công</t>
        </is>
      </c>
      <c r="E16" s="44" t="n">
        <v>0.1</v>
      </c>
      <c r="F16" s="77" t="n"/>
      <c r="G16" s="77" t="n"/>
      <c r="H16" s="73">
        <f>IF(ISNUMBER(G16),G16/5*E16*100,0)</f>
        <v/>
      </c>
      <c r="I16" s="7" t="n"/>
      <c r="J16" t="inlineStr">
        <is>
          <t>TT</t>
        </is>
      </c>
    </row>
    <row r="17" ht="30" customHeight="1">
      <c r="A17" s="17" t="n">
        <v>8</v>
      </c>
      <c r="B17" s="49" t="inlineStr">
        <is>
          <t>Phối hợp - Thái độ</t>
        </is>
      </c>
      <c r="C17" s="42" t="inlineStr">
        <is>
          <t>Hỗ trợ người dùng</t>
        </is>
      </c>
      <c r="D17" s="43" t="inlineStr">
        <is>
          <t>Thời gian phản hồi yêu cầu hỗ trợ; mức hài lòng người dùng</t>
        </is>
      </c>
      <c r="E17" s="44" t="n">
        <v>0.1</v>
      </c>
      <c r="F17" s="77" t="n"/>
      <c r="G17" s="77" t="n"/>
      <c r="H17" s="73">
        <f>IF(ISNUMBER(G17),G17/5*E17*100,0)</f>
        <v/>
      </c>
      <c r="I17" s="7" t="n"/>
      <c r="J17" t="inlineStr">
        <is>
          <t>PH</t>
        </is>
      </c>
    </row>
    <row r="18" ht="30" customHeight="1">
      <c r="A18" s="17" t="n">
        <v>9</v>
      </c>
      <c r="B18" s="46" t="n"/>
      <c r="C18" s="42" t="inlineStr">
        <is>
          <t>Phối hợp với IT, Kế toán</t>
        </is>
      </c>
      <c r="D18" s="43" t="inlineStr">
        <is>
          <t>Dữ liệu kết nối phần mềm kế toán, chấm công khớp nhau</t>
        </is>
      </c>
      <c r="E18" s="44" t="n">
        <v>0.08</v>
      </c>
      <c r="F18" s="77" t="n"/>
      <c r="G18" s="77" t="n"/>
      <c r="H18" s="73">
        <f>IF(ISNUMBER(G18),G18/5*E18*100,0)</f>
        <v/>
      </c>
      <c r="I18" s="7" t="n"/>
      <c r="J18" t="inlineStr">
        <is>
          <t>PH</t>
        </is>
      </c>
    </row>
    <row r="19" ht="30" customHeight="1">
      <c r="A19" s="17" t="n">
        <v>10</v>
      </c>
      <c r="B19" s="47" t="n"/>
      <c r="C19" s="42" t="inlineStr">
        <is>
          <t>Tinh thần trách nhiệm &amp; chủ động</t>
        </is>
      </c>
      <c r="D19" s="43" t="inlineStr">
        <is>
          <t>Đề xuất báo cáo, dashboard mới phục vụ quản lý</t>
        </is>
      </c>
      <c r="E19" s="44" t="n">
        <v>0.07000000000000001</v>
      </c>
      <c r="F19" s="77" t="n"/>
      <c r="G19" s="77" t="n"/>
      <c r="H19" s="73">
        <f>IF(ISNUMBER(G19),G19/5*E19*100,0)</f>
        <v/>
      </c>
      <c r="I19" s="7" t="n"/>
      <c r="J19" t="inlineStr">
        <is>
          <t>PH</t>
        </is>
      </c>
    </row>
    <row r="20" ht="22" customHeight="1">
      <c r="A20" s="50" t="inlineStr">
        <is>
          <t>TỔNG CỘNG</t>
        </is>
      </c>
      <c r="B20" s="74" t="n"/>
      <c r="C20" s="74" t="n"/>
      <c r="D20" s="75" t="n"/>
      <c r="E20" s="51">
        <f>SUM(E10:E19)</f>
        <v/>
      </c>
      <c r="F20" s="50" t="n"/>
      <c r="G20" s="50" t="n"/>
      <c r="H20" s="78">
        <f>SUM(H10:H19)</f>
        <v/>
      </c>
      <c r="I20" s="50" t="n"/>
    </row>
    <row r="21"/>
    <row r="22">
      <c r="A22" s="53" t="inlineStr">
        <is>
          <t>KẾT QUẢ ĐÁNH GIÁ</t>
        </is>
      </c>
      <c r="D22" s="53" t="inlineStr">
        <is>
          <t>ĐIỂM THEO NHÓM TIÊU CHÍ</t>
        </is>
      </c>
    </row>
    <row r="23" ht="20" customHeight="1">
      <c r="A23" s="54" t="inlineStr">
        <is>
          <t>Tổng điểm chính thức</t>
        </is>
      </c>
      <c r="B23" s="75" t="n"/>
      <c r="C23" s="79">
        <f>H20</f>
        <v/>
      </c>
      <c r="D23" s="57" t="inlineStr">
        <is>
          <t>Nhóm tiêu chí</t>
        </is>
      </c>
      <c r="E23" s="57" t="inlineStr">
        <is>
          <t>Trọng số</t>
        </is>
      </c>
      <c r="F23" s="57" t="inlineStr">
        <is>
          <t>Điểm tối đa</t>
        </is>
      </c>
      <c r="G23" s="57" t="inlineStr">
        <is>
          <t>Điểm đạt</t>
        </is>
      </c>
      <c r="H23" s="57" t="inlineStr">
        <is>
          <t>Tỷ lệ đạt</t>
        </is>
      </c>
    </row>
    <row r="24" ht="20" customHeight="1">
      <c r="A24" s="54" t="inlineStr">
        <is>
          <t>Điểm tự đánh giá</t>
        </is>
      </c>
      <c r="B24" s="75" t="n"/>
      <c r="C24" s="73">
        <f>IF(COUNT(F10:F19)=0,"",SUMPRODUCT(F10:F19,E10:E19)/5*100)</f>
        <v/>
      </c>
      <c r="D24" s="58" t="inlineStr">
        <is>
          <t>Chuyên môn - Nghiệp vụ</t>
        </is>
      </c>
      <c r="E24" s="22">
        <f>SUMIF($J$10:$J$19,"CM",$E$10:$E$19)</f>
        <v/>
      </c>
      <c r="F24" s="67">
        <f>E24*100</f>
        <v/>
      </c>
      <c r="G24" s="67">
        <f>SUMIF($J$10:$J$19,"CM",$H$10:$H$19)</f>
        <v/>
      </c>
      <c r="H24" s="59">
        <f>IF(F24=0,0,G24/F24)</f>
        <v/>
      </c>
    </row>
    <row r="25" ht="20" customHeight="1">
      <c r="A25" s="54" t="inlineStr">
        <is>
          <t>Tiêu chí đã chấm</t>
        </is>
      </c>
      <c r="B25" s="75" t="n"/>
      <c r="C25" s="60">
        <f>COUNT(G10:G19)&amp;" / 10"</f>
        <v/>
      </c>
      <c r="D25" s="61" t="inlineStr">
        <is>
          <t>Tuân thủ - Thời hạn</t>
        </is>
      </c>
      <c r="E25" s="22">
        <f>SUMIF($J$10:$J$19,"TT",$E$10:$E$19)</f>
        <v/>
      </c>
      <c r="F25" s="67">
        <f>E25*100</f>
        <v/>
      </c>
      <c r="G25" s="67">
        <f>SUMIF($J$10:$J$19,"TT",$H$10:$H$19)</f>
        <v/>
      </c>
      <c r="H25" s="59">
        <f>IF(F25=0,0,G25/F25)</f>
        <v/>
      </c>
    </row>
    <row r="26" ht="20" customHeight="1">
      <c r="A26" s="54" t="inlineStr">
        <is>
          <t>Xếp loại</t>
        </is>
      </c>
      <c r="B26" s="75" t="n"/>
      <c r="C26" s="62">
        <f>IF(COUNT(G10:G19)=0,"Chưa chấm",IF(COUNT(G10:G19)&lt;10,"Chưa chấm đủ",IF(H20&gt;=80,"Xuất sắc",IF(H20&gt;=70,"Đạt","Cần cải thiện"))))</f>
        <v/>
      </c>
      <c r="D26" s="63" t="inlineStr">
        <is>
          <t>Phối hợp - Thái độ</t>
        </is>
      </c>
      <c r="E26" s="22">
        <f>SUMIF($J$10:$J$19,"PH",$E$10:$E$19)</f>
        <v/>
      </c>
      <c r="F26" s="67">
        <f>E26*100</f>
        <v/>
      </c>
      <c r="G26" s="67">
        <f>SUMIF($J$10:$J$19,"PH",$H$10:$H$19)</f>
        <v/>
      </c>
      <c r="H26" s="59">
        <f>IF(F26=0,0,G26/F26)</f>
        <v/>
      </c>
    </row>
    <row r="27" ht="20" customHeight="1">
      <c r="A27" s="54" t="inlineStr">
        <is>
          <t>Kiểm tra trọng số</t>
        </is>
      </c>
      <c r="B27" s="75" t="n"/>
      <c r="C27" s="60">
        <f>IF(ROUND(E20,4)=1,"Hợp lệ – 100%","SAI – tổng trọng số phải = 100%")</f>
        <v/>
      </c>
    </row>
    <row r="28"/>
    <row r="29">
      <c r="A29" s="29" t="inlineStr">
        <is>
          <t>NHẬN XÉT &amp; KẾ HOẠCH CẢI THIỆN (Bước 5 – phản hồi kết quả)</t>
        </is>
      </c>
    </row>
    <row r="30" ht="36" customHeight="1">
      <c r="A30" s="54" t="inlineStr">
        <is>
          <t>Điểm mạnh</t>
        </is>
      </c>
      <c r="B30" s="75" t="n"/>
      <c r="C30" s="7" t="n"/>
      <c r="D30" s="74" t="n"/>
      <c r="E30" s="74" t="n"/>
      <c r="F30" s="74" t="n"/>
      <c r="G30" s="74" t="n"/>
      <c r="H30" s="74" t="n"/>
      <c r="I30" s="75" t="n"/>
    </row>
    <row r="31" ht="36" customHeight="1">
      <c r="A31" s="54" t="inlineStr">
        <is>
          <t>Cần cải thiện</t>
        </is>
      </c>
      <c r="B31" s="75" t="n"/>
      <c r="C31" s="7" t="n"/>
      <c r="D31" s="74" t="n"/>
      <c r="E31" s="74" t="n"/>
      <c r="F31" s="74" t="n"/>
      <c r="G31" s="74" t="n"/>
      <c r="H31" s="74" t="n"/>
      <c r="I31" s="75" t="n"/>
    </row>
    <row r="32" ht="36" customHeight="1">
      <c r="A32" s="54" t="inlineStr">
        <is>
          <t>Kế hoạch cải thiện</t>
        </is>
      </c>
      <c r="B32" s="75" t="n"/>
      <c r="C32" s="7" t="n"/>
      <c r="D32" s="74" t="n"/>
      <c r="E32" s="74" t="n"/>
      <c r="F32" s="74" t="n"/>
      <c r="G32" s="74" t="n"/>
      <c r="H32" s="74" t="n"/>
      <c r="I32" s="75" t="n"/>
    </row>
    <row r="33" ht="36" customHeight="1">
      <c r="A33" s="54" t="inlineStr">
        <is>
          <t>Ý kiến nhân sự</t>
        </is>
      </c>
      <c r="B33" s="75" t="n"/>
      <c r="C33" s="7" t="n"/>
      <c r="D33" s="74" t="n"/>
      <c r="E33" s="74" t="n"/>
      <c r="F33" s="74" t="n"/>
      <c r="G33" s="74" t="n"/>
      <c r="H33" s="74" t="n"/>
      <c r="I33" s="75" t="n"/>
    </row>
    <row r="34"/>
    <row r="35">
      <c r="B35" s="65" t="inlineStr">
        <is>
          <t>NHÂN SỰ ĐƯỢC ĐÁNH GIÁ</t>
        </is>
      </c>
      <c r="D35" s="65" t="inlineStr">
        <is>
          <t>QUẢN LÝ TRỰC TIẾP</t>
        </is>
      </c>
      <c r="G35" s="65" t="inlineStr">
        <is>
          <t>NGƯỜI PHÊ DUYỆT</t>
        </is>
      </c>
    </row>
    <row r="36">
      <c r="B36" s="66" t="inlineStr">
        <is>
          <t>(Ký, ghi rõ họ tên)</t>
        </is>
      </c>
      <c r="D36" s="66" t="inlineStr">
        <is>
          <t>(Ký, ghi rõ họ tên)</t>
        </is>
      </c>
      <c r="G36" s="66" t="inlineStr">
        <is>
          <t>(Ký, ghi rõ họ tên)</t>
        </is>
      </c>
    </row>
  </sheetData>
  <mergeCells count="32">
    <mergeCell ref="A24:B24"/>
    <mergeCell ref="A30:B30"/>
    <mergeCell ref="A20:D20"/>
    <mergeCell ref="E5:F5"/>
    <mergeCell ref="C32:I32"/>
    <mergeCell ref="D22:H22"/>
    <mergeCell ref="E4:F4"/>
    <mergeCell ref="A2:I2"/>
    <mergeCell ref="A25:B25"/>
    <mergeCell ref="A22:C22"/>
    <mergeCell ref="G35:I35"/>
    <mergeCell ref="C30:I30"/>
    <mergeCell ref="G6:H6"/>
    <mergeCell ref="C33:I33"/>
    <mergeCell ref="A27:B27"/>
    <mergeCell ref="B10:B13"/>
    <mergeCell ref="A29:I29"/>
    <mergeCell ref="A26:B26"/>
    <mergeCell ref="E6:F6"/>
    <mergeCell ref="A33:B33"/>
    <mergeCell ref="G5:H5"/>
    <mergeCell ref="A32:B32"/>
    <mergeCell ref="A23:B23"/>
    <mergeCell ref="G4:H4"/>
    <mergeCell ref="C31:I31"/>
    <mergeCell ref="B17:B19"/>
    <mergeCell ref="G36:I36"/>
    <mergeCell ref="A1:I1"/>
    <mergeCell ref="B14:B16"/>
    <mergeCell ref="B36:C36"/>
    <mergeCell ref="A31:B31"/>
    <mergeCell ref="B35:C35"/>
  </mergeCells>
  <conditionalFormatting sqref="I10:I19">
    <cfRule type="expression" priority="1" dxfId="5">
      <formula>AND(ISNUMBER($G10),OR($G10&lt;=1.5,$G10&gt;=5),LEN($I10)=0)</formula>
    </cfRule>
  </conditionalFormatting>
  <conditionalFormatting sqref="G10:G19">
    <cfRule type="cellIs" priority="2" operator="lessThanOrEqual" dxfId="4">
      <formula>2</formula>
    </cfRule>
  </conditionalFormatting>
  <conditionalFormatting sqref="C26">
    <cfRule type="expression" priority="3" dxfId="0">
      <formula>C26="Xuất sắc"</formula>
    </cfRule>
    <cfRule type="expression" priority="4" dxfId="1">
      <formula>C26="Đạt"</formula>
    </cfRule>
    <cfRule type="expression" priority="5" dxfId="2">
      <formula>C26="Cần cải thiện"</formula>
    </cfRule>
    <cfRule type="expression" priority="6" dxfId="3">
      <formula>C26="Chưa chấm đủ"</formula>
    </cfRule>
  </conditionalFormatting>
  <conditionalFormatting sqref="C27">
    <cfRule type="expression" priority="7" dxfId="6">
      <formula>LEFT(C27,3)="SAI"</formula>
    </cfRule>
  </conditionalFormatting>
  <dataValidations count="2">
    <dataValidation sqref="F10:G19" showDropDown="0" showInputMessage="1" showErrorMessage="1" allowBlank="1" errorTitle="Điểm không hợp lệ" error="Nhập điểm từ 1 đến 5 (cho phép số lẻ như 3.5)." promptTitle="Thang điểm 1–5" prompt="5 Tuyệt vời · 4 Tốt · 3 Bình thường · 2 Chưa đạt · 1 Kém" type="decimal" operator="between">
      <formula1>1</formula1>
      <formula2>5</formula2>
    </dataValidation>
    <dataValidation sqref="G4" showDropDown="0" showInputMessage="0" showErrorMessage="1" allowBlank="0" type="list">
      <formula1>"Tháng,Quý,Năm"</formula1>
    </dataValidation>
  </dataValidations>
  <printOptions horizontalCentered="1"/>
  <pageMargins left="0.4" right="0.4" top="1" bottom="1" header="0.5" footer="0.5"/>
  <pageSetup orientation="landscape" paperSize="9" fitToHeight="0" fitToWidth="1"/>
  <headerFooter>
    <oddHeader/>
    <oddFooter>&amp;L&amp;8 Mr Wick Kiểm toán · taichinhketoanedu.com&amp;R&amp;8 Trang &amp;P/&amp;N</oddFooter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J37"/>
  <sheetViews>
    <sheetView showGridLines="0" tabSelected="0" zoomScale="9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34" customWidth="1" min="3" max="3"/>
    <col width="50" customWidth="1" min="4" max="4"/>
    <col width="10" customWidth="1" min="5" max="5"/>
    <col width="10" customWidth="1" min="6" max="6"/>
    <col width="10" customWidth="1" min="7" max="7"/>
    <col width="11" customWidth="1" min="8" max="8"/>
    <col width="30" customWidth="1" min="9" max="9"/>
    <col hidden="1" width="6" customWidth="1" min="10" max="10"/>
  </cols>
  <sheetData>
    <row r="1" ht="30" customHeight="1">
      <c r="A1" s="1" t="inlineStr">
        <is>
          <t>BẢNG ĐÁNH GIÁ KPI – NHÂN VIÊN HÀNH CHÍNH NHÂN SỰ</t>
        </is>
      </c>
    </row>
    <row r="2">
      <c r="A2" s="2" t="inlineStr">
        <is>
          <t xml:space="preserve">Phòng Nhân sự · Phụ lục 02 kèm Quy chế đánh giá KPI · KK HOME · </t>
        </is>
      </c>
    </row>
    <row r="3"/>
    <row r="4">
      <c r="B4" s="37" t="inlineStr">
        <is>
          <t>Họ và tên</t>
        </is>
      </c>
      <c r="C4" s="7" t="n"/>
      <c r="E4" s="37" t="inlineStr">
        <is>
          <t>Loại kỳ đánh giá</t>
        </is>
      </c>
      <c r="G4" s="38" t="inlineStr">
        <is>
          <t>Quý</t>
        </is>
      </c>
      <c r="H4" s="75" t="n"/>
      <c r="I4" s="39" t="inlineStr">
        <is>
          <t>← chọn Tháng / Quý / Năm</t>
        </is>
      </c>
    </row>
    <row r="5">
      <c r="B5" s="37" t="inlineStr">
        <is>
          <t>Mã nhân viên</t>
        </is>
      </c>
      <c r="C5" s="7" t="n"/>
      <c r="E5" s="37" t="inlineStr">
        <is>
          <t>Kỳ đánh giá</t>
        </is>
      </c>
      <c r="G5" s="38" t="n"/>
      <c r="H5" s="75" t="n"/>
      <c r="I5" s="39" t="inlineStr">
        <is>
          <t>VD: Tháng 9/2026, Quý 3/2026, Năm 2026</t>
        </is>
      </c>
    </row>
    <row r="6">
      <c r="B6" s="37" t="inlineStr">
        <is>
          <t>Người đánh giá</t>
        </is>
      </c>
      <c r="C6" s="7" t="n"/>
      <c r="E6" s="37" t="inlineStr">
        <is>
          <t>Ngày đánh giá</t>
        </is>
      </c>
      <c r="G6" s="76" t="n"/>
      <c r="H6" s="75" t="n"/>
    </row>
    <row r="7">
      <c r="B7" s="37" t="inlineStr">
        <is>
          <t>Bộ phận</t>
        </is>
      </c>
      <c r="C7" s="7" t="inlineStr">
        <is>
          <t>Phòng Nhân sự</t>
        </is>
      </c>
    </row>
    <row r="8"/>
    <row r="9" ht="42" customHeight="1">
      <c r="A9" s="16" t="inlineStr">
        <is>
          <t>STT</t>
        </is>
      </c>
      <c r="B9" s="16" t="inlineStr">
        <is>
          <t>Nhóm tiêu chí</t>
        </is>
      </c>
      <c r="C9" s="16" t="inlineStr">
        <is>
          <t>Tiêu chí đánh giá</t>
        </is>
      </c>
      <c r="D9" s="16" t="inlineStr">
        <is>
          <t>Cách đo / Chứng cứ chấm điểm</t>
        </is>
      </c>
      <c r="E9" s="16" t="inlineStr">
        <is>
          <t>Trọng số</t>
        </is>
      </c>
      <c r="F9" s="16" t="inlineStr">
        <is>
          <t>Tự đánh giá
(1–5)</t>
        </is>
      </c>
      <c r="G9" s="16" t="inlineStr">
        <is>
          <t>Quản lý chấm
(1–5)</t>
        </is>
      </c>
      <c r="H9" s="16" t="inlineStr">
        <is>
          <t>Điểm quy đổi</t>
        </is>
      </c>
      <c r="I9" s="16" t="inlineStr">
        <is>
          <t>Ghi chú / Lý do (bắt buộc khi điểm ≤1,5 hoặc 5)</t>
        </is>
      </c>
    </row>
    <row r="10" ht="34" customHeight="1">
      <c r="A10" s="17" t="n">
        <v>1</v>
      </c>
      <c r="B10" s="41" t="inlineStr">
        <is>
          <t>Chuyên môn - Nghiệp vụ</t>
        </is>
      </c>
      <c r="C10" s="42" t="inlineStr">
        <is>
          <t>Chấm công chính xác</t>
        </is>
      </c>
      <c r="D10" s="43" t="inlineStr">
        <is>
          <t>Dữ liệu công khớp máy chấm công, đơn từ; số khiếu nại về công</t>
        </is>
      </c>
      <c r="E10" s="44" t="n">
        <v>0.12</v>
      </c>
      <c r="F10" s="77" t="n"/>
      <c r="G10" s="77" t="n"/>
      <c r="H10" s="73">
        <f>IF(ISNUMBER(G10),G10/5*E10*100,0)</f>
        <v/>
      </c>
      <c r="I10" s="7" t="n"/>
      <c r="J10" t="inlineStr">
        <is>
          <t>CM</t>
        </is>
      </c>
    </row>
    <row r="11" ht="34" customHeight="1">
      <c r="A11" s="17" t="n">
        <v>2</v>
      </c>
      <c r="B11" s="46" t="n"/>
      <c r="C11" s="42" t="inlineStr">
        <is>
          <t>Quản lý nghỉ phép, làm thêm giờ</t>
        </is>
      </c>
      <c r="D11" s="43" t="inlineStr">
        <is>
          <t>Ngày phép, giờ làm thêm theo dõi đúng; làm thêm không vượt giới hạn luật định</t>
        </is>
      </c>
      <c r="E11" s="44" t="n">
        <v>0.1</v>
      </c>
      <c r="F11" s="77" t="n"/>
      <c r="G11" s="77" t="n"/>
      <c r="H11" s="73">
        <f>IF(ISNUMBER(G11),G11/5*E11*100,0)</f>
        <v/>
      </c>
      <c r="I11" s="7" t="n"/>
      <c r="J11" t="inlineStr">
        <is>
          <t>CM</t>
        </is>
      </c>
    </row>
    <row r="12" ht="30" customHeight="1">
      <c r="A12" s="17" t="n">
        <v>3</v>
      </c>
      <c r="B12" s="46" t="n"/>
      <c r="C12" s="42" t="inlineStr">
        <is>
          <t>Quản lý tài sản, văn phòng phẩm</t>
        </is>
      </c>
      <c r="D12" s="43" t="inlineStr">
        <is>
          <t>Kiểm kê khớp sổ theo dõi; cấp phát đúng định mức</t>
        </is>
      </c>
      <c r="E12" s="44" t="n">
        <v>0.1</v>
      </c>
      <c r="F12" s="77" t="n"/>
      <c r="G12" s="77" t="n"/>
      <c r="H12" s="73">
        <f>IF(ISNUMBER(G12),G12/5*E12*100,0)</f>
        <v/>
      </c>
      <c r="I12" s="7" t="n"/>
      <c r="J12" t="inlineStr">
        <is>
          <t>CM</t>
        </is>
      </c>
    </row>
    <row r="13" ht="34" customHeight="1">
      <c r="A13" s="17" t="n">
        <v>4</v>
      </c>
      <c r="B13" s="47" t="n"/>
      <c r="C13" s="42" t="inlineStr">
        <is>
          <t>Soạn thảo văn bản, quyết định nhân sự</t>
        </is>
      </c>
      <c r="D13" s="43" t="inlineStr">
        <is>
          <t>Đúng mẫu, đúng thể thức; số văn bản phải sửa lại</t>
        </is>
      </c>
      <c r="E13" s="44" t="n">
        <v>0.08</v>
      </c>
      <c r="F13" s="77" t="n"/>
      <c r="G13" s="77" t="n"/>
      <c r="H13" s="73">
        <f>IF(ISNUMBER(G13),G13/5*E13*100,0)</f>
        <v/>
      </c>
      <c r="I13" s="7" t="n"/>
      <c r="J13" t="inlineStr">
        <is>
          <t>CM</t>
        </is>
      </c>
    </row>
    <row r="14" ht="30" customHeight="1">
      <c r="A14" s="17" t="n">
        <v>5</v>
      </c>
      <c r="B14" s="48" t="inlineStr">
        <is>
          <t>Tuân thủ - Thời hạn</t>
        </is>
      </c>
      <c r="C14" s="42" t="inlineStr">
        <is>
          <t>Đúng hạn chốt công</t>
        </is>
      </c>
      <c r="D14" s="43" t="inlineStr">
        <is>
          <t>Bảng công chuyển bộ phận lương đúng ngày chốt</t>
        </is>
      </c>
      <c r="E14" s="44" t="n">
        <v>0.12</v>
      </c>
      <c r="F14" s="77" t="n"/>
      <c r="G14" s="77" t="n"/>
      <c r="H14" s="73">
        <f>IF(ISNUMBER(G14),G14/5*E14*100,0)</f>
        <v/>
      </c>
      <c r="I14" s="7" t="n"/>
      <c r="J14" t="inlineStr">
        <is>
          <t>TT</t>
        </is>
      </c>
    </row>
    <row r="15" ht="30" customHeight="1">
      <c r="A15" s="17" t="n">
        <v>6</v>
      </c>
      <c r="B15" s="46" t="n"/>
      <c r="C15" s="42" t="inlineStr">
        <is>
          <t>Lưu trữ văn bản, quản lý con dấu</t>
        </is>
      </c>
      <c r="D15" s="43" t="inlineStr">
        <is>
          <t>Văn bản đi/đến vào sổ đầy đủ; không thất lạc</t>
        </is>
      </c>
      <c r="E15" s="44" t="n">
        <v>0.08</v>
      </c>
      <c r="F15" s="77" t="n"/>
      <c r="G15" s="77" t="n"/>
      <c r="H15" s="73">
        <f>IF(ISNUMBER(G15),G15/5*E15*100,0)</f>
        <v/>
      </c>
      <c r="I15" s="7" t="n"/>
      <c r="J15" t="inlineStr">
        <is>
          <t>TT</t>
        </is>
      </c>
    </row>
    <row r="16" ht="34" customHeight="1">
      <c r="A16" s="17" t="n">
        <v>7</v>
      </c>
      <c r="B16" s="46" t="n"/>
      <c r="C16" s="42" t="inlineStr">
        <is>
          <t>Tuân thủ quy trình mua sắm hành chính</t>
        </is>
      </c>
      <c r="D16" s="43" t="inlineStr">
        <is>
          <t>Chứng từ mua sắm đủ, hợp lệ; phê duyệt đúng cấp</t>
        </is>
      </c>
      <c r="E16" s="44" t="n">
        <v>0.08</v>
      </c>
      <c r="F16" s="77" t="n"/>
      <c r="G16" s="77" t="n"/>
      <c r="H16" s="73">
        <f>IF(ISNUMBER(G16),G16/5*E16*100,0)</f>
        <v/>
      </c>
      <c r="I16" s="7" t="n"/>
      <c r="J16" t="inlineStr">
        <is>
          <t>TT</t>
        </is>
      </c>
    </row>
    <row r="17" ht="34" customHeight="1">
      <c r="A17" s="17" t="n">
        <v>8</v>
      </c>
      <c r="B17" s="47" t="n"/>
      <c r="C17" s="42" t="inlineStr">
        <is>
          <t>An toàn, phòng cháy chữa cháy văn phòng</t>
        </is>
      </c>
      <c r="D17" s="43" t="inlineStr">
        <is>
          <t>Kiểm tra thiết bị PCCC, vệ sinh văn phòng đúng định kỳ</t>
        </is>
      </c>
      <c r="E17" s="44" t="n">
        <v>0.07000000000000001</v>
      </c>
      <c r="F17" s="77" t="n"/>
      <c r="G17" s="77" t="n"/>
      <c r="H17" s="73">
        <f>IF(ISNUMBER(G17),G17/5*E17*100,0)</f>
        <v/>
      </c>
      <c r="I17" s="7" t="n"/>
      <c r="J17" t="inlineStr">
        <is>
          <t>TT</t>
        </is>
      </c>
    </row>
    <row r="18" ht="30" customHeight="1">
      <c r="A18" s="17" t="n">
        <v>9</v>
      </c>
      <c r="B18" s="49" t="inlineStr">
        <is>
          <t>Phối hợp - Thái độ</t>
        </is>
      </c>
      <c r="C18" s="42" t="inlineStr">
        <is>
          <t>Hỗ trợ các phòng ban</t>
        </is>
      </c>
      <c r="D18" s="43" t="inlineStr">
        <is>
          <t>Thời gian xử lý yêu cầu hành chính; phản hồi của các phòng</t>
        </is>
      </c>
      <c r="E18" s="44" t="n">
        <v>0.1</v>
      </c>
      <c r="F18" s="77" t="n"/>
      <c r="G18" s="77" t="n"/>
      <c r="H18" s="73">
        <f>IF(ISNUMBER(G18),G18/5*E18*100,0)</f>
        <v/>
      </c>
      <c r="I18" s="7" t="n"/>
      <c r="J18" t="inlineStr">
        <is>
          <t>PH</t>
        </is>
      </c>
    </row>
    <row r="19" ht="30" customHeight="1">
      <c r="A19" s="17" t="n">
        <v>10</v>
      </c>
      <c r="B19" s="46" t="n"/>
      <c r="C19" s="42" t="inlineStr">
        <is>
          <t>Tổ chức hoạt động nội bộ</t>
        </is>
      </c>
      <c r="D19" s="43" t="inlineStr">
        <is>
          <t>Hoạt động diễn ra đúng kế hoạch, trong ngân sách</t>
        </is>
      </c>
      <c r="E19" s="44" t="n">
        <v>0.08</v>
      </c>
      <c r="F19" s="77" t="n"/>
      <c r="G19" s="77" t="n"/>
      <c r="H19" s="73">
        <f>IF(ISNUMBER(G19),G19/5*E19*100,0)</f>
        <v/>
      </c>
      <c r="I19" s="7" t="n"/>
      <c r="J19" t="inlineStr">
        <is>
          <t>PH</t>
        </is>
      </c>
    </row>
    <row r="20" ht="30" customHeight="1">
      <c r="A20" s="17" t="n">
        <v>11</v>
      </c>
      <c r="B20" s="47" t="n"/>
      <c r="C20" s="42" t="inlineStr">
        <is>
          <t>Tinh thần trách nhiệm &amp; chủ động</t>
        </is>
      </c>
      <c r="D20" s="43" t="inlineStr">
        <is>
          <t>Thái độ phục vụ; chủ động phát hiện, xử lý phát sinh</t>
        </is>
      </c>
      <c r="E20" s="44" t="n">
        <v>0.07000000000000001</v>
      </c>
      <c r="F20" s="77" t="n"/>
      <c r="G20" s="77" t="n"/>
      <c r="H20" s="73">
        <f>IF(ISNUMBER(G20),G20/5*E20*100,0)</f>
        <v/>
      </c>
      <c r="I20" s="7" t="n"/>
      <c r="J20" t="inlineStr">
        <is>
          <t>PH</t>
        </is>
      </c>
    </row>
    <row r="21" ht="22" customHeight="1">
      <c r="A21" s="50" t="inlineStr">
        <is>
          <t>TỔNG CỘNG</t>
        </is>
      </c>
      <c r="B21" s="74" t="n"/>
      <c r="C21" s="74" t="n"/>
      <c r="D21" s="75" t="n"/>
      <c r="E21" s="51">
        <f>SUM(E10:E20)</f>
        <v/>
      </c>
      <c r="F21" s="50" t="n"/>
      <c r="G21" s="50" t="n"/>
      <c r="H21" s="78">
        <f>SUM(H10:H20)</f>
        <v/>
      </c>
      <c r="I21" s="50" t="n"/>
    </row>
    <row r="22"/>
    <row r="23">
      <c r="A23" s="53" t="inlineStr">
        <is>
          <t>KẾT QUẢ ĐÁNH GIÁ</t>
        </is>
      </c>
      <c r="D23" s="53" t="inlineStr">
        <is>
          <t>ĐIỂM THEO NHÓM TIÊU CHÍ</t>
        </is>
      </c>
    </row>
    <row r="24" ht="20" customHeight="1">
      <c r="A24" s="54" t="inlineStr">
        <is>
          <t>Tổng điểm chính thức</t>
        </is>
      </c>
      <c r="B24" s="75" t="n"/>
      <c r="C24" s="79">
        <f>H21</f>
        <v/>
      </c>
      <c r="D24" s="57" t="inlineStr">
        <is>
          <t>Nhóm tiêu chí</t>
        </is>
      </c>
      <c r="E24" s="57" t="inlineStr">
        <is>
          <t>Trọng số</t>
        </is>
      </c>
      <c r="F24" s="57" t="inlineStr">
        <is>
          <t>Điểm tối đa</t>
        </is>
      </c>
      <c r="G24" s="57" t="inlineStr">
        <is>
          <t>Điểm đạt</t>
        </is>
      </c>
      <c r="H24" s="57" t="inlineStr">
        <is>
          <t>Tỷ lệ đạt</t>
        </is>
      </c>
    </row>
    <row r="25" ht="20" customHeight="1">
      <c r="A25" s="54" t="inlineStr">
        <is>
          <t>Điểm tự đánh giá</t>
        </is>
      </c>
      <c r="B25" s="75" t="n"/>
      <c r="C25" s="73">
        <f>IF(COUNT(F10:F20)=0,"",SUMPRODUCT(F10:F20,E10:E20)/5*100)</f>
        <v/>
      </c>
      <c r="D25" s="58" t="inlineStr">
        <is>
          <t>Chuyên môn - Nghiệp vụ</t>
        </is>
      </c>
      <c r="E25" s="22">
        <f>SUMIF($J$10:$J$20,"CM",$E$10:$E$20)</f>
        <v/>
      </c>
      <c r="F25" s="67">
        <f>E25*100</f>
        <v/>
      </c>
      <c r="G25" s="67">
        <f>SUMIF($J$10:$J$20,"CM",$H$10:$H$20)</f>
        <v/>
      </c>
      <c r="H25" s="59">
        <f>IF(F25=0,0,G25/F25)</f>
        <v/>
      </c>
    </row>
    <row r="26" ht="20" customHeight="1">
      <c r="A26" s="54" t="inlineStr">
        <is>
          <t>Tiêu chí đã chấm</t>
        </is>
      </c>
      <c r="B26" s="75" t="n"/>
      <c r="C26" s="60">
        <f>COUNT(G10:G20)&amp;" / 11"</f>
        <v/>
      </c>
      <c r="D26" s="61" t="inlineStr">
        <is>
          <t>Tuân thủ - Thời hạn</t>
        </is>
      </c>
      <c r="E26" s="22">
        <f>SUMIF($J$10:$J$20,"TT",$E$10:$E$20)</f>
        <v/>
      </c>
      <c r="F26" s="67">
        <f>E26*100</f>
        <v/>
      </c>
      <c r="G26" s="67">
        <f>SUMIF($J$10:$J$20,"TT",$H$10:$H$20)</f>
        <v/>
      </c>
      <c r="H26" s="59">
        <f>IF(F26=0,0,G26/F26)</f>
        <v/>
      </c>
    </row>
    <row r="27" ht="20" customHeight="1">
      <c r="A27" s="54" t="inlineStr">
        <is>
          <t>Xếp loại</t>
        </is>
      </c>
      <c r="B27" s="75" t="n"/>
      <c r="C27" s="62">
        <f>IF(COUNT(G10:G20)=0,"Chưa chấm",IF(COUNT(G10:G20)&lt;11,"Chưa chấm đủ",IF(H21&gt;=80,"Xuất sắc",IF(H21&gt;=70,"Đạt","Cần cải thiện"))))</f>
        <v/>
      </c>
      <c r="D27" s="63" t="inlineStr">
        <is>
          <t>Phối hợp - Thái độ</t>
        </is>
      </c>
      <c r="E27" s="22">
        <f>SUMIF($J$10:$J$20,"PH",$E$10:$E$20)</f>
        <v/>
      </c>
      <c r="F27" s="67">
        <f>E27*100</f>
        <v/>
      </c>
      <c r="G27" s="67">
        <f>SUMIF($J$10:$J$20,"PH",$H$10:$H$20)</f>
        <v/>
      </c>
      <c r="H27" s="59">
        <f>IF(F27=0,0,G27/F27)</f>
        <v/>
      </c>
    </row>
    <row r="28" ht="20" customHeight="1">
      <c r="A28" s="54" t="inlineStr">
        <is>
          <t>Kiểm tra trọng số</t>
        </is>
      </c>
      <c r="B28" s="75" t="n"/>
      <c r="C28" s="60">
        <f>IF(ROUND(E21,4)=1,"Hợp lệ – 100%","SAI – tổng trọng số phải = 100%")</f>
        <v/>
      </c>
    </row>
    <row r="29"/>
    <row r="30">
      <c r="A30" s="29" t="inlineStr">
        <is>
          <t>NHẬN XÉT &amp; KẾ HOẠCH CẢI THIỆN (Bước 5 – phản hồi kết quả)</t>
        </is>
      </c>
    </row>
    <row r="31" ht="36" customHeight="1">
      <c r="A31" s="54" t="inlineStr">
        <is>
          <t>Điểm mạnh</t>
        </is>
      </c>
      <c r="B31" s="75" t="n"/>
      <c r="C31" s="7" t="n"/>
      <c r="D31" s="74" t="n"/>
      <c r="E31" s="74" t="n"/>
      <c r="F31" s="74" t="n"/>
      <c r="G31" s="74" t="n"/>
      <c r="H31" s="74" t="n"/>
      <c r="I31" s="75" t="n"/>
    </row>
    <row r="32" ht="36" customHeight="1">
      <c r="A32" s="54" t="inlineStr">
        <is>
          <t>Cần cải thiện</t>
        </is>
      </c>
      <c r="B32" s="75" t="n"/>
      <c r="C32" s="7" t="n"/>
      <c r="D32" s="74" t="n"/>
      <c r="E32" s="74" t="n"/>
      <c r="F32" s="74" t="n"/>
      <c r="G32" s="74" t="n"/>
      <c r="H32" s="74" t="n"/>
      <c r="I32" s="75" t="n"/>
    </row>
    <row r="33" ht="36" customHeight="1">
      <c r="A33" s="54" t="inlineStr">
        <is>
          <t>Kế hoạch cải thiện</t>
        </is>
      </c>
      <c r="B33" s="75" t="n"/>
      <c r="C33" s="7" t="n"/>
      <c r="D33" s="74" t="n"/>
      <c r="E33" s="74" t="n"/>
      <c r="F33" s="74" t="n"/>
      <c r="G33" s="74" t="n"/>
      <c r="H33" s="74" t="n"/>
      <c r="I33" s="75" t="n"/>
    </row>
    <row r="34" ht="36" customHeight="1">
      <c r="A34" s="54" t="inlineStr">
        <is>
          <t>Ý kiến nhân sự</t>
        </is>
      </c>
      <c r="B34" s="75" t="n"/>
      <c r="C34" s="7" t="n"/>
      <c r="D34" s="74" t="n"/>
      <c r="E34" s="74" t="n"/>
      <c r="F34" s="74" t="n"/>
      <c r="G34" s="74" t="n"/>
      <c r="H34" s="74" t="n"/>
      <c r="I34" s="75" t="n"/>
    </row>
    <row r="35"/>
    <row r="36">
      <c r="B36" s="65" t="inlineStr">
        <is>
          <t>NHÂN SỰ ĐƯỢC ĐÁNH GIÁ</t>
        </is>
      </c>
      <c r="D36" s="65" t="inlineStr">
        <is>
          <t>QUẢN LÝ TRỰC TIẾP</t>
        </is>
      </c>
      <c r="G36" s="65" t="inlineStr">
        <is>
          <t>NGƯỜI PHÊ DUYỆT</t>
        </is>
      </c>
    </row>
    <row r="37">
      <c r="B37" s="66" t="inlineStr">
        <is>
          <t>(Ký, ghi rõ họ tên)</t>
        </is>
      </c>
      <c r="D37" s="66" t="inlineStr">
        <is>
          <t>(Ký, ghi rõ họ tên)</t>
        </is>
      </c>
      <c r="G37" s="66" t="inlineStr">
        <is>
          <t>(Ký, ghi rõ họ tên)</t>
        </is>
      </c>
    </row>
  </sheetData>
  <mergeCells count="32">
    <mergeCell ref="A24:B24"/>
    <mergeCell ref="G37:I37"/>
    <mergeCell ref="E5:F5"/>
    <mergeCell ref="C32:I32"/>
    <mergeCell ref="E4:F4"/>
    <mergeCell ref="B14:B17"/>
    <mergeCell ref="A2:I2"/>
    <mergeCell ref="A25:B25"/>
    <mergeCell ref="A23:C23"/>
    <mergeCell ref="C34:I34"/>
    <mergeCell ref="G6:H6"/>
    <mergeCell ref="A27:B27"/>
    <mergeCell ref="C33:I33"/>
    <mergeCell ref="B10:B13"/>
    <mergeCell ref="A26:B26"/>
    <mergeCell ref="E6:F6"/>
    <mergeCell ref="A33:B33"/>
    <mergeCell ref="B37:C37"/>
    <mergeCell ref="G5:H5"/>
    <mergeCell ref="A32:B32"/>
    <mergeCell ref="B18:B20"/>
    <mergeCell ref="A30:I30"/>
    <mergeCell ref="G4:H4"/>
    <mergeCell ref="C31:I31"/>
    <mergeCell ref="G36:I36"/>
    <mergeCell ref="A21:D21"/>
    <mergeCell ref="A28:B28"/>
    <mergeCell ref="A1:I1"/>
    <mergeCell ref="B36:C36"/>
    <mergeCell ref="D23:H23"/>
    <mergeCell ref="A31:B31"/>
    <mergeCell ref="A34:B34"/>
  </mergeCells>
  <conditionalFormatting sqref="I10:I20">
    <cfRule type="expression" priority="1" dxfId="5">
      <formula>AND(ISNUMBER($G10),OR($G10&lt;=1.5,$G10&gt;=5),LEN($I10)=0)</formula>
    </cfRule>
  </conditionalFormatting>
  <conditionalFormatting sqref="G10:G20">
    <cfRule type="cellIs" priority="2" operator="lessThanOrEqual" dxfId="4">
      <formula>2</formula>
    </cfRule>
  </conditionalFormatting>
  <conditionalFormatting sqref="C27">
    <cfRule type="expression" priority="3" dxfId="0">
      <formula>C27="Xuất sắc"</formula>
    </cfRule>
    <cfRule type="expression" priority="4" dxfId="1">
      <formula>C27="Đạt"</formula>
    </cfRule>
    <cfRule type="expression" priority="5" dxfId="2">
      <formula>C27="Cần cải thiện"</formula>
    </cfRule>
    <cfRule type="expression" priority="6" dxfId="3">
      <formula>C27="Chưa chấm đủ"</formula>
    </cfRule>
  </conditionalFormatting>
  <conditionalFormatting sqref="C28">
    <cfRule type="expression" priority="7" dxfId="6">
      <formula>LEFT(C28,3)="SAI"</formula>
    </cfRule>
  </conditionalFormatting>
  <dataValidations count="2">
    <dataValidation sqref="F10:G20" showDropDown="0" showInputMessage="1" showErrorMessage="1" allowBlank="1" errorTitle="Điểm không hợp lệ" error="Nhập điểm từ 1 đến 5 (cho phép số lẻ như 3.5)." promptTitle="Thang điểm 1–5" prompt="5 Tuyệt vời · 4 Tốt · 3 Bình thường · 2 Chưa đạt · 1 Kém" type="decimal" operator="between">
      <formula1>1</formula1>
      <formula2>5</formula2>
    </dataValidation>
    <dataValidation sqref="G4" showDropDown="0" showInputMessage="0" showErrorMessage="1" allowBlank="0" type="list">
      <formula1>"Tháng,Quý,Năm"</formula1>
    </dataValidation>
  </dataValidations>
  <printOptions horizontalCentered="1"/>
  <pageMargins left="0.4" right="0.4" top="1" bottom="1" header="0.5" footer="0.5"/>
  <pageSetup orientation="landscape" paperSize="9" fitToHeight="0" fitToWidth="1"/>
  <headerFooter>
    <oddHeader/>
    <oddFooter>&amp;L&amp;8 Mr Wick Kiểm toán · taichinhketoanedu.com&amp;R&amp;8 Trang &amp;P/&amp;N</oddFooter>
    <evenHeader/>
    <evenFooter/>
    <firstHeader/>
    <firstFooter/>
  </headerFooter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J36"/>
  <sheetViews>
    <sheetView showGridLines="0" tabSelected="0" zoomScale="9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34" customWidth="1" min="3" max="3"/>
    <col width="50" customWidth="1" min="4" max="4"/>
    <col width="10" customWidth="1" min="5" max="5"/>
    <col width="10" customWidth="1" min="6" max="6"/>
    <col width="10" customWidth="1" min="7" max="7"/>
    <col width="11" customWidth="1" min="8" max="8"/>
    <col width="30" customWidth="1" min="9" max="9"/>
    <col hidden="1" width="6" customWidth="1" min="10" max="10"/>
  </cols>
  <sheetData>
    <row r="1" ht="30" customHeight="1">
      <c r="A1" s="1" t="inlineStr">
        <is>
          <t>BẢNG ĐÁNH GIÁ KPI – NHÂN VIÊN NHÂN SỰ JUNIOR</t>
        </is>
      </c>
    </row>
    <row r="2">
      <c r="A2" s="2" t="inlineStr">
        <is>
          <t xml:space="preserve">Phòng Nhân sự · Phụ lục 02 kèm Quy chế đánh giá KPI · KK HOME · </t>
        </is>
      </c>
    </row>
    <row r="3"/>
    <row r="4">
      <c r="B4" s="37" t="inlineStr">
        <is>
          <t>Họ và tên</t>
        </is>
      </c>
      <c r="C4" s="7" t="n"/>
      <c r="E4" s="37" t="inlineStr">
        <is>
          <t>Loại kỳ đánh giá</t>
        </is>
      </c>
      <c r="G4" s="38" t="inlineStr">
        <is>
          <t>Quý</t>
        </is>
      </c>
      <c r="H4" s="75" t="n"/>
      <c r="I4" s="39" t="inlineStr">
        <is>
          <t>← chọn Tháng / Quý / Năm</t>
        </is>
      </c>
    </row>
    <row r="5">
      <c r="B5" s="37" t="inlineStr">
        <is>
          <t>Mã nhân viên</t>
        </is>
      </c>
      <c r="C5" s="7" t="n"/>
      <c r="E5" s="37" t="inlineStr">
        <is>
          <t>Kỳ đánh giá</t>
        </is>
      </c>
      <c r="G5" s="38" t="n"/>
      <c r="H5" s="75" t="n"/>
      <c r="I5" s="39" t="inlineStr">
        <is>
          <t>VD: Tháng 9/2026, Quý 3/2026, Năm 2026</t>
        </is>
      </c>
    </row>
    <row r="6">
      <c r="B6" s="37" t="inlineStr">
        <is>
          <t>Người đánh giá</t>
        </is>
      </c>
      <c r="C6" s="7" t="n"/>
      <c r="E6" s="37" t="inlineStr">
        <is>
          <t>Ngày đánh giá</t>
        </is>
      </c>
      <c r="G6" s="76" t="n"/>
      <c r="H6" s="75" t="n"/>
    </row>
    <row r="7">
      <c r="B7" s="37" t="inlineStr">
        <is>
          <t>Bộ phận</t>
        </is>
      </c>
      <c r="C7" s="7" t="inlineStr">
        <is>
          <t>Phòng Nhân sự</t>
        </is>
      </c>
    </row>
    <row r="8"/>
    <row r="9" ht="42" customHeight="1">
      <c r="A9" s="16" t="inlineStr">
        <is>
          <t>STT</t>
        </is>
      </c>
      <c r="B9" s="16" t="inlineStr">
        <is>
          <t>Nhóm tiêu chí</t>
        </is>
      </c>
      <c r="C9" s="16" t="inlineStr">
        <is>
          <t>Tiêu chí đánh giá</t>
        </is>
      </c>
      <c r="D9" s="16" t="inlineStr">
        <is>
          <t>Cách đo / Chứng cứ chấm điểm</t>
        </is>
      </c>
      <c r="E9" s="16" t="inlineStr">
        <is>
          <t>Trọng số</t>
        </is>
      </c>
      <c r="F9" s="16" t="inlineStr">
        <is>
          <t>Tự đánh giá
(1–5)</t>
        </is>
      </c>
      <c r="G9" s="16" t="inlineStr">
        <is>
          <t>Quản lý chấm
(1–5)</t>
        </is>
      </c>
      <c r="H9" s="16" t="inlineStr">
        <is>
          <t>Điểm quy đổi</t>
        </is>
      </c>
      <c r="I9" s="16" t="inlineStr">
        <is>
          <t>Ghi chú / Lý do (bắt buộc khi điểm ≤1,5 hoặc 5)</t>
        </is>
      </c>
    </row>
    <row r="10" ht="30" customHeight="1">
      <c r="A10" s="17" t="n">
        <v>1</v>
      </c>
      <c r="B10" s="41" t="inlineStr">
        <is>
          <t>Chuyên môn - Nghiệp vụ</t>
        </is>
      </c>
      <c r="C10" s="42" t="inlineStr">
        <is>
          <t>Hoàn thành công việc được giao</t>
        </is>
      </c>
      <c r="D10" s="43" t="inlineStr">
        <is>
          <t>Tỷ lệ đầu việc hoàn thành / đầu việc được giao</t>
        </is>
      </c>
      <c r="E10" s="44" t="n">
        <v>0.12</v>
      </c>
      <c r="F10" s="77" t="n"/>
      <c r="G10" s="77" t="n"/>
      <c r="H10" s="73">
        <f>IF(ISNUMBER(G10),G10/5*E10*100,0)</f>
        <v/>
      </c>
      <c r="I10" s="7" t="n"/>
      <c r="J10" t="inlineStr">
        <is>
          <t>CM</t>
        </is>
      </c>
    </row>
    <row r="11" ht="34" customHeight="1">
      <c r="A11" s="17" t="n">
        <v>2</v>
      </c>
      <c r="B11" s="46" t="n"/>
      <c r="C11" s="42" t="inlineStr">
        <is>
          <t>Độ chính xác nhập liệu hồ sơ, chấm công</t>
        </is>
      </c>
      <c r="D11" s="43" t="inlineStr">
        <is>
          <t>Số lỗi nhập liệu phát hiện qua soát xét</t>
        </is>
      </c>
      <c r="E11" s="44" t="n">
        <v>0.1</v>
      </c>
      <c r="F11" s="77" t="n"/>
      <c r="G11" s="77" t="n"/>
      <c r="H11" s="73">
        <f>IF(ISNUMBER(G11),G11/5*E11*100,0)</f>
        <v/>
      </c>
      <c r="I11" s="7" t="n"/>
      <c r="J11" t="inlineStr">
        <is>
          <t>CM</t>
        </is>
      </c>
    </row>
    <row r="12" ht="34" customHeight="1">
      <c r="A12" s="17" t="n">
        <v>3</v>
      </c>
      <c r="B12" s="46" t="n"/>
      <c r="C12" s="42" t="inlineStr">
        <is>
          <t>Tiến bộ chuyên môn</t>
        </is>
      </c>
      <c r="D12" s="43" t="inlineStr">
        <is>
          <t>Nắm được quy trình nhân sự cơ bản; kết quả bài kiểm tra nội bộ</t>
        </is>
      </c>
      <c r="E12" s="44" t="n">
        <v>0.1</v>
      </c>
      <c r="F12" s="77" t="n"/>
      <c r="G12" s="77" t="n"/>
      <c r="H12" s="73">
        <f>IF(ISNUMBER(G12),G12/5*E12*100,0)</f>
        <v/>
      </c>
      <c r="I12" s="7" t="n"/>
      <c r="J12" t="inlineStr">
        <is>
          <t>CM</t>
        </is>
      </c>
    </row>
    <row r="13" ht="34" customHeight="1">
      <c r="A13" s="17" t="n">
        <v>4</v>
      </c>
      <c r="B13" s="47" t="n"/>
      <c r="C13" s="42" t="inlineStr">
        <is>
          <t>Hỗ trợ tuyển dụng, hội nhập</t>
        </is>
      </c>
      <c r="D13" s="43" t="inlineStr">
        <is>
          <t>Sàng lọc hồ sơ, sắp lịch phỏng vấn, chuẩn bị ngày đầu cho nhân sự mới đúng yêu cầu</t>
        </is>
      </c>
      <c r="E13" s="44" t="n">
        <v>0.08</v>
      </c>
      <c r="F13" s="77" t="n"/>
      <c r="G13" s="77" t="n"/>
      <c r="H13" s="73">
        <f>IF(ISNUMBER(G13),G13/5*E13*100,0)</f>
        <v/>
      </c>
      <c r="I13" s="7" t="n"/>
      <c r="J13" t="inlineStr">
        <is>
          <t>CM</t>
        </is>
      </c>
    </row>
    <row r="14" ht="30" customHeight="1">
      <c r="A14" s="17" t="n">
        <v>5</v>
      </c>
      <c r="B14" s="48" t="inlineStr">
        <is>
          <t>Tuân thủ - Thời hạn</t>
        </is>
      </c>
      <c r="C14" s="42" t="inlineStr">
        <is>
          <t>Đúng hạn</t>
        </is>
      </c>
      <c r="D14" s="43" t="inlineStr">
        <is>
          <t>Tỷ lệ đầu việc hoàn thành đúng hạn</t>
        </is>
      </c>
      <c r="E14" s="44" t="n">
        <v>0.12</v>
      </c>
      <c r="F14" s="77" t="n"/>
      <c r="G14" s="77" t="n"/>
      <c r="H14" s="73">
        <f>IF(ISNUMBER(G14),G14/5*E14*100,0)</f>
        <v/>
      </c>
      <c r="I14" s="7" t="n"/>
      <c r="J14" t="inlineStr">
        <is>
          <t>TT</t>
        </is>
      </c>
    </row>
    <row r="15" ht="30" customHeight="1">
      <c r="A15" s="17" t="n">
        <v>6</v>
      </c>
      <c r="B15" s="46" t="n"/>
      <c r="C15" s="42" t="inlineStr">
        <is>
          <t>Tuân thủ nội quy, quy trình</t>
        </is>
      </c>
      <c r="D15" s="43" t="inlineStr">
        <is>
          <t>Số lần vi phạm nội quy, làm sai quy trình</t>
        </is>
      </c>
      <c r="E15" s="44" t="n">
        <v>0.12</v>
      </c>
      <c r="F15" s="77" t="n"/>
      <c r="G15" s="77" t="n"/>
      <c r="H15" s="73">
        <f>IF(ISNUMBER(G15),G15/5*E15*100,0)</f>
        <v/>
      </c>
      <c r="I15" s="7" t="n"/>
      <c r="J15" t="inlineStr">
        <is>
          <t>TT</t>
        </is>
      </c>
    </row>
    <row r="16" ht="30" customHeight="1">
      <c r="A16" s="17" t="n">
        <v>7</v>
      </c>
      <c r="B16" s="47" t="n"/>
      <c r="C16" s="42" t="inlineStr">
        <is>
          <t>Bảo mật thông tin</t>
        </is>
      </c>
      <c r="D16" s="43" t="inlineStr">
        <is>
          <t>Không chia sẻ dữ liệu nhân sự ngoài phạm vi được giao</t>
        </is>
      </c>
      <c r="E16" s="44" t="n">
        <v>0.11</v>
      </c>
      <c r="F16" s="77" t="n"/>
      <c r="G16" s="77" t="n"/>
      <c r="H16" s="73">
        <f>IF(ISNUMBER(G16),G16/5*E16*100,0)</f>
        <v/>
      </c>
      <c r="I16" s="7" t="n"/>
      <c r="J16" t="inlineStr">
        <is>
          <t>TT</t>
        </is>
      </c>
    </row>
    <row r="17" ht="30" customHeight="1">
      <c r="A17" s="17" t="n">
        <v>8</v>
      </c>
      <c r="B17" s="49" t="inlineStr">
        <is>
          <t>Phối hợp - Thái độ</t>
        </is>
      </c>
      <c r="C17" s="42" t="inlineStr">
        <is>
          <t>Tinh thần học hỏi</t>
        </is>
      </c>
      <c r="D17" s="43" t="inlineStr">
        <is>
          <t>Chủ động hỏi, ghi chép, áp dụng góp ý của người kèm cặp</t>
        </is>
      </c>
      <c r="E17" s="44" t="n">
        <v>0.1</v>
      </c>
      <c r="F17" s="77" t="n"/>
      <c r="G17" s="77" t="n"/>
      <c r="H17" s="73">
        <f>IF(ISNUMBER(G17),G17/5*E17*100,0)</f>
        <v/>
      </c>
      <c r="I17" s="7" t="n"/>
      <c r="J17" t="inlineStr">
        <is>
          <t>PH</t>
        </is>
      </c>
    </row>
    <row r="18" ht="30" customHeight="1">
      <c r="A18" s="17" t="n">
        <v>9</v>
      </c>
      <c r="B18" s="46" t="n"/>
      <c r="C18" s="42" t="inlineStr">
        <is>
          <t>Phối hợp với đồng nghiệp</t>
        </is>
      </c>
      <c r="D18" s="43" t="inlineStr">
        <is>
          <t>Phản hồi của đồng nghiệp trong phòng</t>
        </is>
      </c>
      <c r="E18" s="44" t="n">
        <v>0.08</v>
      </c>
      <c r="F18" s="77" t="n"/>
      <c r="G18" s="77" t="n"/>
      <c r="H18" s="73">
        <f>IF(ISNUMBER(G18),G18/5*E18*100,0)</f>
        <v/>
      </c>
      <c r="I18" s="7" t="n"/>
      <c r="J18" t="inlineStr">
        <is>
          <t>PH</t>
        </is>
      </c>
    </row>
    <row r="19" ht="30" customHeight="1">
      <c r="A19" s="17" t="n">
        <v>10</v>
      </c>
      <c r="B19" s="47" t="n"/>
      <c r="C19" s="42" t="inlineStr">
        <is>
          <t>Thái độ &amp; chuyên cần</t>
        </is>
      </c>
      <c r="D19" s="43" t="inlineStr">
        <is>
          <t>Số buổi đi muộn, nghỉ không phép</t>
        </is>
      </c>
      <c r="E19" s="44" t="n">
        <v>0.07000000000000001</v>
      </c>
      <c r="F19" s="77" t="n"/>
      <c r="G19" s="77" t="n"/>
      <c r="H19" s="73">
        <f>IF(ISNUMBER(G19),G19/5*E19*100,0)</f>
        <v/>
      </c>
      <c r="I19" s="7" t="n"/>
      <c r="J19" t="inlineStr">
        <is>
          <t>PH</t>
        </is>
      </c>
    </row>
    <row r="20" ht="22" customHeight="1">
      <c r="A20" s="50" t="inlineStr">
        <is>
          <t>TỔNG CỘNG</t>
        </is>
      </c>
      <c r="B20" s="74" t="n"/>
      <c r="C20" s="74" t="n"/>
      <c r="D20" s="75" t="n"/>
      <c r="E20" s="51">
        <f>SUM(E10:E19)</f>
        <v/>
      </c>
      <c r="F20" s="50" t="n"/>
      <c r="G20" s="50" t="n"/>
      <c r="H20" s="78">
        <f>SUM(H10:H19)</f>
        <v/>
      </c>
      <c r="I20" s="50" t="n"/>
    </row>
    <row r="21"/>
    <row r="22">
      <c r="A22" s="53" t="inlineStr">
        <is>
          <t>KẾT QUẢ ĐÁNH GIÁ</t>
        </is>
      </c>
      <c r="D22" s="53" t="inlineStr">
        <is>
          <t>ĐIỂM THEO NHÓM TIÊU CHÍ</t>
        </is>
      </c>
    </row>
    <row r="23" ht="20" customHeight="1">
      <c r="A23" s="54" t="inlineStr">
        <is>
          <t>Tổng điểm chính thức</t>
        </is>
      </c>
      <c r="B23" s="75" t="n"/>
      <c r="C23" s="79">
        <f>H20</f>
        <v/>
      </c>
      <c r="D23" s="57" t="inlineStr">
        <is>
          <t>Nhóm tiêu chí</t>
        </is>
      </c>
      <c r="E23" s="57" t="inlineStr">
        <is>
          <t>Trọng số</t>
        </is>
      </c>
      <c r="F23" s="57" t="inlineStr">
        <is>
          <t>Điểm tối đa</t>
        </is>
      </c>
      <c r="G23" s="57" t="inlineStr">
        <is>
          <t>Điểm đạt</t>
        </is>
      </c>
      <c r="H23" s="57" t="inlineStr">
        <is>
          <t>Tỷ lệ đạt</t>
        </is>
      </c>
    </row>
    <row r="24" ht="20" customHeight="1">
      <c r="A24" s="54" t="inlineStr">
        <is>
          <t>Điểm tự đánh giá</t>
        </is>
      </c>
      <c r="B24" s="75" t="n"/>
      <c r="C24" s="73">
        <f>IF(COUNT(F10:F19)=0,"",SUMPRODUCT(F10:F19,E10:E19)/5*100)</f>
        <v/>
      </c>
      <c r="D24" s="58" t="inlineStr">
        <is>
          <t>Chuyên môn - Nghiệp vụ</t>
        </is>
      </c>
      <c r="E24" s="22">
        <f>SUMIF($J$10:$J$19,"CM",$E$10:$E$19)</f>
        <v/>
      </c>
      <c r="F24" s="67">
        <f>E24*100</f>
        <v/>
      </c>
      <c r="G24" s="67">
        <f>SUMIF($J$10:$J$19,"CM",$H$10:$H$19)</f>
        <v/>
      </c>
      <c r="H24" s="59">
        <f>IF(F24=0,0,G24/F24)</f>
        <v/>
      </c>
    </row>
    <row r="25" ht="20" customHeight="1">
      <c r="A25" s="54" t="inlineStr">
        <is>
          <t>Tiêu chí đã chấm</t>
        </is>
      </c>
      <c r="B25" s="75" t="n"/>
      <c r="C25" s="60">
        <f>COUNT(G10:G19)&amp;" / 10"</f>
        <v/>
      </c>
      <c r="D25" s="61" t="inlineStr">
        <is>
          <t>Tuân thủ - Thời hạn</t>
        </is>
      </c>
      <c r="E25" s="22">
        <f>SUMIF($J$10:$J$19,"TT",$E$10:$E$19)</f>
        <v/>
      </c>
      <c r="F25" s="67">
        <f>E25*100</f>
        <v/>
      </c>
      <c r="G25" s="67">
        <f>SUMIF($J$10:$J$19,"TT",$H$10:$H$19)</f>
        <v/>
      </c>
      <c r="H25" s="59">
        <f>IF(F25=0,0,G25/F25)</f>
        <v/>
      </c>
    </row>
    <row r="26" ht="20" customHeight="1">
      <c r="A26" s="54" t="inlineStr">
        <is>
          <t>Xếp loại</t>
        </is>
      </c>
      <c r="B26" s="75" t="n"/>
      <c r="C26" s="62">
        <f>IF(COUNT(G10:G19)=0,"Chưa chấm",IF(COUNT(G10:G19)&lt;10,"Chưa chấm đủ",IF(H20&gt;=80,"Xuất sắc",IF(H20&gt;=70,"Đạt","Cần cải thiện"))))</f>
        <v/>
      </c>
      <c r="D26" s="63" t="inlineStr">
        <is>
          <t>Phối hợp - Thái độ</t>
        </is>
      </c>
      <c r="E26" s="22">
        <f>SUMIF($J$10:$J$19,"PH",$E$10:$E$19)</f>
        <v/>
      </c>
      <c r="F26" s="67">
        <f>E26*100</f>
        <v/>
      </c>
      <c r="G26" s="67">
        <f>SUMIF($J$10:$J$19,"PH",$H$10:$H$19)</f>
        <v/>
      </c>
      <c r="H26" s="59">
        <f>IF(F26=0,0,G26/F26)</f>
        <v/>
      </c>
    </row>
    <row r="27" ht="20" customHeight="1">
      <c r="A27" s="54" t="inlineStr">
        <is>
          <t>Kiểm tra trọng số</t>
        </is>
      </c>
      <c r="B27" s="75" t="n"/>
      <c r="C27" s="60">
        <f>IF(ROUND(E20,4)=1,"Hợp lệ – 100%","SAI – tổng trọng số phải = 100%")</f>
        <v/>
      </c>
    </row>
    <row r="28"/>
    <row r="29">
      <c r="A29" s="29" t="inlineStr">
        <is>
          <t>NHẬN XÉT &amp; KẾ HOẠCH CẢI THIỆN (Bước 5 – phản hồi kết quả)</t>
        </is>
      </c>
    </row>
    <row r="30" ht="36" customHeight="1">
      <c r="A30" s="54" t="inlineStr">
        <is>
          <t>Điểm mạnh</t>
        </is>
      </c>
      <c r="B30" s="75" t="n"/>
      <c r="C30" s="7" t="n"/>
      <c r="D30" s="74" t="n"/>
      <c r="E30" s="74" t="n"/>
      <c r="F30" s="74" t="n"/>
      <c r="G30" s="74" t="n"/>
      <c r="H30" s="74" t="n"/>
      <c r="I30" s="75" t="n"/>
    </row>
    <row r="31" ht="36" customHeight="1">
      <c r="A31" s="54" t="inlineStr">
        <is>
          <t>Cần cải thiện</t>
        </is>
      </c>
      <c r="B31" s="75" t="n"/>
      <c r="C31" s="7" t="n"/>
      <c r="D31" s="74" t="n"/>
      <c r="E31" s="74" t="n"/>
      <c r="F31" s="74" t="n"/>
      <c r="G31" s="74" t="n"/>
      <c r="H31" s="74" t="n"/>
      <c r="I31" s="75" t="n"/>
    </row>
    <row r="32" ht="36" customHeight="1">
      <c r="A32" s="54" t="inlineStr">
        <is>
          <t>Kế hoạch cải thiện</t>
        </is>
      </c>
      <c r="B32" s="75" t="n"/>
      <c r="C32" s="7" t="n"/>
      <c r="D32" s="74" t="n"/>
      <c r="E32" s="74" t="n"/>
      <c r="F32" s="74" t="n"/>
      <c r="G32" s="74" t="n"/>
      <c r="H32" s="74" t="n"/>
      <c r="I32" s="75" t="n"/>
    </row>
    <row r="33" ht="36" customHeight="1">
      <c r="A33" s="54" t="inlineStr">
        <is>
          <t>Ý kiến nhân sự</t>
        </is>
      </c>
      <c r="B33" s="75" t="n"/>
      <c r="C33" s="7" t="n"/>
      <c r="D33" s="74" t="n"/>
      <c r="E33" s="74" t="n"/>
      <c r="F33" s="74" t="n"/>
      <c r="G33" s="74" t="n"/>
      <c r="H33" s="74" t="n"/>
      <c r="I33" s="75" t="n"/>
    </row>
    <row r="34"/>
    <row r="35">
      <c r="B35" s="65" t="inlineStr">
        <is>
          <t>NHÂN SỰ ĐƯỢC ĐÁNH GIÁ</t>
        </is>
      </c>
      <c r="D35" s="65" t="inlineStr">
        <is>
          <t>QUẢN LÝ TRỰC TIẾP</t>
        </is>
      </c>
      <c r="G35" s="65" t="inlineStr">
        <is>
          <t>NGƯỜI PHÊ DUYỆT</t>
        </is>
      </c>
    </row>
    <row r="36">
      <c r="B36" s="66" t="inlineStr">
        <is>
          <t>(Ký, ghi rõ họ tên)</t>
        </is>
      </c>
      <c r="D36" s="66" t="inlineStr">
        <is>
          <t>(Ký, ghi rõ họ tên)</t>
        </is>
      </c>
      <c r="G36" s="66" t="inlineStr">
        <is>
          <t>(Ký, ghi rõ họ tên)</t>
        </is>
      </c>
    </row>
  </sheetData>
  <mergeCells count="32">
    <mergeCell ref="A24:B24"/>
    <mergeCell ref="A30:B30"/>
    <mergeCell ref="A20:D20"/>
    <mergeCell ref="E5:F5"/>
    <mergeCell ref="C32:I32"/>
    <mergeCell ref="D22:H22"/>
    <mergeCell ref="E4:F4"/>
    <mergeCell ref="A2:I2"/>
    <mergeCell ref="A25:B25"/>
    <mergeCell ref="A22:C22"/>
    <mergeCell ref="G35:I35"/>
    <mergeCell ref="C30:I30"/>
    <mergeCell ref="G6:H6"/>
    <mergeCell ref="C33:I33"/>
    <mergeCell ref="A27:B27"/>
    <mergeCell ref="B10:B13"/>
    <mergeCell ref="A29:I29"/>
    <mergeCell ref="A26:B26"/>
    <mergeCell ref="E6:F6"/>
    <mergeCell ref="A33:B33"/>
    <mergeCell ref="G5:H5"/>
    <mergeCell ref="A32:B32"/>
    <mergeCell ref="A23:B23"/>
    <mergeCell ref="G4:H4"/>
    <mergeCell ref="C31:I31"/>
    <mergeCell ref="B17:B19"/>
    <mergeCell ref="G36:I36"/>
    <mergeCell ref="A1:I1"/>
    <mergeCell ref="B14:B16"/>
    <mergeCell ref="B36:C36"/>
    <mergeCell ref="A31:B31"/>
    <mergeCell ref="B35:C35"/>
  </mergeCells>
  <conditionalFormatting sqref="I10:I19">
    <cfRule type="expression" priority="1" dxfId="5">
      <formula>AND(ISNUMBER($G10),OR($G10&lt;=1.5,$G10&gt;=5),LEN($I10)=0)</formula>
    </cfRule>
  </conditionalFormatting>
  <conditionalFormatting sqref="G10:G19">
    <cfRule type="cellIs" priority="2" operator="lessThanOrEqual" dxfId="4">
      <formula>2</formula>
    </cfRule>
  </conditionalFormatting>
  <conditionalFormatting sqref="C26">
    <cfRule type="expression" priority="3" dxfId="0">
      <formula>C26="Xuất sắc"</formula>
    </cfRule>
    <cfRule type="expression" priority="4" dxfId="1">
      <formula>C26="Đạt"</formula>
    </cfRule>
    <cfRule type="expression" priority="5" dxfId="2">
      <formula>C26="Cần cải thiện"</formula>
    </cfRule>
    <cfRule type="expression" priority="6" dxfId="3">
      <formula>C26="Chưa chấm đủ"</formula>
    </cfRule>
  </conditionalFormatting>
  <conditionalFormatting sqref="C27">
    <cfRule type="expression" priority="7" dxfId="6">
      <formula>LEFT(C27,3)="SAI"</formula>
    </cfRule>
  </conditionalFormatting>
  <dataValidations count="2">
    <dataValidation sqref="F10:G19" showDropDown="0" showInputMessage="1" showErrorMessage="1" allowBlank="1" errorTitle="Điểm không hợp lệ" error="Nhập điểm từ 1 đến 5 (cho phép số lẻ như 3.5)." promptTitle="Thang điểm 1–5" prompt="5 Tuyệt vời · 4 Tốt · 3 Bình thường · 2 Chưa đạt · 1 Kém" type="decimal" operator="between">
      <formula1>1</formula1>
      <formula2>5</formula2>
    </dataValidation>
    <dataValidation sqref="G4" showDropDown="0" showInputMessage="0" showErrorMessage="1" allowBlank="0" type="list">
      <formula1>"Tháng,Quý,Năm"</formula1>
    </dataValidation>
  </dataValidations>
  <printOptions horizontalCentered="1"/>
  <pageMargins left="0.4" right="0.4" top="1" bottom="1" header="0.5" footer="0.5"/>
  <pageSetup orientation="landscape" paperSize="9" fitToHeight="0" fitToWidth="1"/>
  <headerFooter>
    <oddHeader/>
    <oddFooter>&amp;L&amp;8 Mr Wick Kiểm toán · taichinhketoanedu.com&amp;R&amp;8 Trang &amp;P/&amp;N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Mr Wick Kiểm toán</dc:creator>
  <dc:title xmlns:dc="http://purl.org/dc/elements/1.1/">KPI Phòng Nhân sự – 13 vị trí (mô hình đầy đủ)</dc:title>
  <dcterms:created xmlns:dcterms="http://purl.org/dc/terms/" xmlns:xsi="http://www.w3.org/2001/XMLSchema-instance" xsi:type="dcterms:W3CDTF">2026-09-30T04:33:11Z</dcterms:created>
  <dcterms:modified xmlns:dcterms="http://purl.org/dc/terms/" xmlns:xsi="http://www.w3.org/2001/XMLSchema-instance" xsi:type="dcterms:W3CDTF">2026-10-25T09:13:35Z</dcterms:modified>
</cp:coreProperties>
</file>