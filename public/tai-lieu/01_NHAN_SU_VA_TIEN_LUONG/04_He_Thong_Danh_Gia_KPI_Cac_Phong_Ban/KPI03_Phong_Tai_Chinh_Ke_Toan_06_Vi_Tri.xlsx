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Giám đốc Tài chính" sheetId="5" state="visible" r:id="rId5"/>
    <sheet xmlns:r="http://schemas.openxmlformats.org/officeDocument/2006/relationships" name="02. Trưởng phòng Tài chính" sheetId="6" state="visible" r:id="rId6"/>
    <sheet xmlns:r="http://schemas.openxmlformats.org/officeDocument/2006/relationships" name="03. CV Kế hoạch-Ngân sách" sheetId="7" state="visible" r:id="rId7"/>
    <sheet xmlns:r="http://schemas.openxmlformats.org/officeDocument/2006/relationships" name="04. CV Dòng tiền-Ngân hàng" sheetId="8" state="visible" r:id="rId8"/>
    <sheet xmlns:r="http://schemas.openxmlformats.org/officeDocument/2006/relationships" name="05. CV Đầu tư-Dự án" sheetId="9" state="visible" r:id="rId9"/>
    <sheet xmlns:r="http://schemas.openxmlformats.org/officeDocument/2006/relationships" name="06. CV Tín dụng KH" sheetId="10" state="visible" r:id="rId10"/>
  </sheets>
  <definedNames>
    <definedName name="_xlnm.Print_Titles" localSheetId="4">'01. Giám đốc Tài chính'!$9:$9</definedName>
    <definedName name="_xlnm.Print_Area" localSheetId="4">'01. Giám đốc Tài chính'!$A$1:$I$39</definedName>
    <definedName name="_xlnm.Print_Titles" localSheetId="5">'02. Trưởng phòng Tài chính'!$9:$9</definedName>
    <definedName name="_xlnm.Print_Area" localSheetId="5">'02. Trưởng phòng Tài chính'!$A$1:$I$39</definedName>
    <definedName name="_xlnm.Print_Titles" localSheetId="6">'03. CV Kế hoạch-Ngân sách'!$9:$9</definedName>
    <definedName name="_xlnm.Print_Area" localSheetId="6">'03. CV Kế hoạch-Ngân sách'!$A$1:$I$40</definedName>
    <definedName name="_xlnm.Print_Titles" localSheetId="7">'04. CV Dòng tiền-Ngân hàng'!$9:$9</definedName>
    <definedName name="_xlnm.Print_Area" localSheetId="7">'04. CV Dòng tiền-Ngân hàng'!$A$1:$I$40</definedName>
    <definedName name="_xlnm.Print_Titles" localSheetId="8">'05. CV Đầu tư-Dự án'!$9:$9</definedName>
    <definedName name="_xlnm.Print_Area" localSheetId="8">'05. CV Đầu tư-Dự án'!$A$1:$I$40</definedName>
    <definedName name="_xlnm.Print_Titles" localSheetId="9">'06. CV Tín dụng KH'!$9:$9</definedName>
    <definedName name="_xlnm.Print_Area" localSheetId="9">'06. CV Tín dụng KH'!$A$1:$I$40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sánh'!$C$5:$C$10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sánh'!$D$5:$D$10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sánh'!$E$5:$E$10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sánh'!$F$5:$F$10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sánh'!$G$5:$G$10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3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920000" cy="33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Gi&#225;m &#273;&#7889;c T&#224;i ch&#237;nh'!A1" TargetMode="External" Id="rId1"/><Relationship Type="http://schemas.openxmlformats.org/officeDocument/2006/relationships/hyperlink" Target="#'02. Tr&#432;&#7903;ng ph&#242;ng T&#224;i ch&#237;nh'!A1" TargetMode="External" Id="rId2"/><Relationship Type="http://schemas.openxmlformats.org/officeDocument/2006/relationships/hyperlink" Target="#'03. CV K&#7871; ho&#7841;ch-Ng&#226;n s&#225;ch'!A1" TargetMode="External" Id="rId3"/><Relationship Type="http://schemas.openxmlformats.org/officeDocument/2006/relationships/hyperlink" Target="#'04. CV D&#242;ng ti&#7873;n-Ng&#226;n h&#224;ng'!A1" TargetMode="External" Id="rId4"/><Relationship Type="http://schemas.openxmlformats.org/officeDocument/2006/relationships/hyperlink" Target="#'05. CV &#272;&#7847;u t&#432;-D&#7921; &#225;n'!A1" TargetMode="External" Id="rId5"/><Relationship Type="http://schemas.openxmlformats.org/officeDocument/2006/relationships/hyperlink" Target="#'06. CV T&#237;n d&#7909;ng KH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01. Gi&#225;m &#273;&#7889;c T&#224;i ch&#237;nh'!A1" TargetMode="External" Id="rId1"/><Relationship Type="http://schemas.openxmlformats.org/officeDocument/2006/relationships/hyperlink" Target="#'02. Tr&#432;&#7903;ng ph&#242;ng T&#224;i ch&#237;nh'!A1" TargetMode="External" Id="rId2"/><Relationship Type="http://schemas.openxmlformats.org/officeDocument/2006/relationships/hyperlink" Target="#'03. CV K&#7871; ho&#7841;ch-Ng&#226;n s&#225;ch'!A1" TargetMode="External" Id="rId3"/><Relationship Type="http://schemas.openxmlformats.org/officeDocument/2006/relationships/hyperlink" Target="#'04. CV D&#242;ng ti&#7873;n-Ng&#226;n h&#224;ng'!A1" TargetMode="External" Id="rId4"/><Relationship Type="http://schemas.openxmlformats.org/officeDocument/2006/relationships/hyperlink" Target="#'05. CV &#272;&#7847;u t&#432;-D&#7921; &#225;n'!A1" TargetMode="External" Id="rId5"/><Relationship Type="http://schemas.openxmlformats.org/officeDocument/2006/relationships/hyperlink" Target="#'06. CV T&#237;n d&#7909;ng KH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TÀI CHÍNH – 06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"Quản lý dòng tiền" trọng số 10%, quản lý chấm 4 → 4 ÷ 5 × 10 = 8,0 điểm. Chấm 3.5 → 7,0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06 VỊ TRÍ</t>
        </is>
      </c>
    </row>
    <row r="25">
      <c r="B25" s="10" t="inlineStr">
        <is>
          <t>01</t>
        </is>
      </c>
      <c r="C25" s="11" t="inlineStr">
        <is>
          <t>Giám đốc Tài chính (CFO)  (10 tiêu chí)</t>
        </is>
      </c>
    </row>
    <row r="26">
      <c r="B26" s="10" t="inlineStr">
        <is>
          <t>02</t>
        </is>
      </c>
      <c r="C26" s="11" t="inlineStr">
        <is>
          <t>Trưởng phòng Tài chính  (10 tiêu chí)</t>
        </is>
      </c>
    </row>
    <row r="27">
      <c r="B27" s="10" t="inlineStr">
        <is>
          <t>03</t>
        </is>
      </c>
      <c r="C27" s="11" t="inlineStr">
        <is>
          <t>Chuyên viên Kế hoạch &amp; Ngân sách (FP&amp;A)  (11 tiêu chí)</t>
        </is>
      </c>
    </row>
    <row r="28">
      <c r="B28" s="10" t="inlineStr">
        <is>
          <t>04</t>
        </is>
      </c>
      <c r="C28" s="11" t="inlineStr">
        <is>
          <t>Chuyên viên Quản lý dòng tiền &amp; Quan hệ ngân hàng  (11 tiêu chí)</t>
        </is>
      </c>
    </row>
    <row r="29">
      <c r="B29" s="10" t="inlineStr">
        <is>
          <t>05</t>
        </is>
      </c>
      <c r="C29" s="11" t="inlineStr">
        <is>
          <t>Chuyên viên Đầu tư &amp; Phân tích dự án  (11 tiêu chí)</t>
        </is>
      </c>
    </row>
    <row r="30">
      <c r="B30" s="10" t="inlineStr">
        <is>
          <t>06</t>
        </is>
      </c>
      <c r="C30" s="11" t="inlineStr">
        <is>
          <t>Chuyên viên Quản lý tín dụng khách hàng (Credit Control)  (11 tiêu chí)</t>
        </is>
      </c>
    </row>
    <row r="31"/>
    <row r="32" ht="40" customHeight="1">
      <c r="B32" s="12" t="inlineStr">
        <is>
          <t>Lưu ý</t>
        </is>
      </c>
      <c r="C32" s="13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1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TÀI CHÍNH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Giám đốc Tài chính (CFO)</t>
        </is>
      </c>
      <c r="C5" s="6">
        <f>IF('01. Giám đốc Tài chính'!C4="","",'01. Giám đốc Tài chính'!C4)</f>
        <v/>
      </c>
      <c r="D5" s="15">
        <f>IF('01. Giám đốc Tài chính'!G5="",'01. Giám đốc Tài chính'!G4,'01. Giám đốc Tài chính'!G5)</f>
        <v/>
      </c>
      <c r="E5" s="69">
        <f>'01. Giám đốc Tài chính'!C24</f>
        <v/>
      </c>
      <c r="F5" s="70">
        <f>'01. Giám đốc Tài chính'!C23</f>
        <v/>
      </c>
      <c r="G5" s="71">
        <f>IF(E5="","",F5-E5)</f>
        <v/>
      </c>
      <c r="H5" s="10">
        <f>'01. Giám đốc Tài chính'!C26</f>
        <v/>
      </c>
      <c r="I5" s="19">
        <f>'01. Giám đốc Tài chính'!H24</f>
        <v/>
      </c>
      <c r="J5" s="19">
        <f>'01. Giám đốc Tài chính'!H25</f>
        <v/>
      </c>
      <c r="K5" s="19">
        <f>'01. Giám đốc Tài chính'!H26</f>
        <v/>
      </c>
      <c r="L5" s="15">
        <f>'01. Giám đốc Tài chính'!C25</f>
        <v/>
      </c>
    </row>
    <row r="6" ht="20" customHeight="1">
      <c r="A6" s="20" t="n">
        <v>2</v>
      </c>
      <c r="B6" s="21" t="inlineStr">
        <is>
          <t>Trưởng phòng Tài chính</t>
        </is>
      </c>
      <c r="C6" s="22">
        <f>IF('02. Trưởng phòng Tài chính'!C4="","",'02. Trưởng phòng Tài chính'!C4)</f>
        <v/>
      </c>
      <c r="D6" s="20">
        <f>IF('02. Trưởng phòng Tài chính'!G5="",'02. Trưởng phòng Tài chính'!G4,'02. Trưởng phòng Tài chính'!G5)</f>
        <v/>
      </c>
      <c r="E6" s="72">
        <f>'02. Trưởng phòng Tài chính'!C24</f>
        <v/>
      </c>
      <c r="F6" s="73">
        <f>'02. Trưởng phòng Tài chính'!C23</f>
        <v/>
      </c>
      <c r="G6" s="74">
        <f>IF(E6="","",F6-E6)</f>
        <v/>
      </c>
      <c r="H6" s="10">
        <f>'02. Trưởng phòng Tài chính'!C26</f>
        <v/>
      </c>
      <c r="I6" s="26">
        <f>'02. Trưởng phòng Tài chính'!H24</f>
        <v/>
      </c>
      <c r="J6" s="26">
        <f>'02. Trưởng phòng Tài chính'!H25</f>
        <v/>
      </c>
      <c r="K6" s="26">
        <f>'02. Trưởng phòng Tài chính'!H26</f>
        <v/>
      </c>
      <c r="L6" s="20">
        <f>'02. Trưởng phòng Tài chính'!C25</f>
        <v/>
      </c>
    </row>
    <row r="7" ht="20" customHeight="1">
      <c r="A7" s="15" t="n">
        <v>3</v>
      </c>
      <c r="B7" s="11" t="inlineStr">
        <is>
          <t>Chuyên viên Kế hoạch &amp; Ngân sách (FP&amp;A)</t>
        </is>
      </c>
      <c r="C7" s="6">
        <f>IF('03. CV Kế hoạch-Ngân sách'!C4="","",'03. CV Kế hoạch-Ngân sách'!C4)</f>
        <v/>
      </c>
      <c r="D7" s="15">
        <f>IF('03. CV Kế hoạch-Ngân sách'!G5="",'03. CV Kế hoạch-Ngân sách'!G4,'03. CV Kế hoạch-Ngân sách'!G5)</f>
        <v/>
      </c>
      <c r="E7" s="69">
        <f>'03. CV Kế hoạch-Ngân sách'!C25</f>
        <v/>
      </c>
      <c r="F7" s="70">
        <f>'03. CV Kế hoạch-Ngân sách'!C24</f>
        <v/>
      </c>
      <c r="G7" s="71">
        <f>IF(E7="","",F7-E7)</f>
        <v/>
      </c>
      <c r="H7" s="10">
        <f>'03. CV Kế hoạch-Ngân sách'!C27</f>
        <v/>
      </c>
      <c r="I7" s="19">
        <f>'03. CV Kế hoạch-Ngân sách'!H25</f>
        <v/>
      </c>
      <c r="J7" s="19">
        <f>'03. CV Kế hoạch-Ngân sách'!H26</f>
        <v/>
      </c>
      <c r="K7" s="19">
        <f>'03. CV Kế hoạch-Ngân sách'!H27</f>
        <v/>
      </c>
      <c r="L7" s="15">
        <f>'03. CV Kế hoạch-Ngân sách'!C26</f>
        <v/>
      </c>
    </row>
    <row r="8" ht="20" customHeight="1">
      <c r="A8" s="20" t="n">
        <v>4</v>
      </c>
      <c r="B8" s="21" t="inlineStr">
        <is>
          <t>Chuyên viên Quản lý dòng tiền &amp; Quan hệ ngân hàng</t>
        </is>
      </c>
      <c r="C8" s="22">
        <f>IF('04. CV Dòng tiền-Ngân hàng'!C4="","",'04. CV Dòng tiền-Ngân hàng'!C4)</f>
        <v/>
      </c>
      <c r="D8" s="20">
        <f>IF('04. CV Dòng tiền-Ngân hàng'!G5="",'04. CV Dòng tiền-Ngân hàng'!G4,'04. CV Dòng tiền-Ngân hàng'!G5)</f>
        <v/>
      </c>
      <c r="E8" s="72">
        <f>'04. CV Dòng tiền-Ngân hàng'!C25</f>
        <v/>
      </c>
      <c r="F8" s="73">
        <f>'04. CV Dòng tiền-Ngân hàng'!C24</f>
        <v/>
      </c>
      <c r="G8" s="74">
        <f>IF(E8="","",F8-E8)</f>
        <v/>
      </c>
      <c r="H8" s="10">
        <f>'04. CV Dòng tiền-Ngân hàng'!C27</f>
        <v/>
      </c>
      <c r="I8" s="26">
        <f>'04. CV Dòng tiền-Ngân hàng'!H25</f>
        <v/>
      </c>
      <c r="J8" s="26">
        <f>'04. CV Dòng tiền-Ngân hàng'!H26</f>
        <v/>
      </c>
      <c r="K8" s="26">
        <f>'04. CV Dòng tiền-Ngân hàng'!H27</f>
        <v/>
      </c>
      <c r="L8" s="20">
        <f>'04. CV Dòng tiền-Ngân hàng'!C26</f>
        <v/>
      </c>
    </row>
    <row r="9" ht="20" customHeight="1">
      <c r="A9" s="15" t="n">
        <v>5</v>
      </c>
      <c r="B9" s="11" t="inlineStr">
        <is>
          <t>Chuyên viên Đầu tư &amp; Phân tích dự án</t>
        </is>
      </c>
      <c r="C9" s="6">
        <f>IF('05. CV Đầu tư-Dự án'!C4="","",'05. CV Đầu tư-Dự án'!C4)</f>
        <v/>
      </c>
      <c r="D9" s="15">
        <f>IF('05. CV Đầu tư-Dự án'!G5="",'05. CV Đầu tư-Dự án'!G4,'05. CV Đầu tư-Dự án'!G5)</f>
        <v/>
      </c>
      <c r="E9" s="69">
        <f>'05. CV Đầu tư-Dự án'!C25</f>
        <v/>
      </c>
      <c r="F9" s="70">
        <f>'05. CV Đầu tư-Dự án'!C24</f>
        <v/>
      </c>
      <c r="G9" s="71">
        <f>IF(E9="","",F9-E9)</f>
        <v/>
      </c>
      <c r="H9" s="10">
        <f>'05. CV Đầu tư-Dự án'!C27</f>
        <v/>
      </c>
      <c r="I9" s="19">
        <f>'05. CV Đầu tư-Dự án'!H25</f>
        <v/>
      </c>
      <c r="J9" s="19">
        <f>'05. CV Đầu tư-Dự án'!H26</f>
        <v/>
      </c>
      <c r="K9" s="19">
        <f>'05. CV Đầu tư-Dự án'!H27</f>
        <v/>
      </c>
      <c r="L9" s="15">
        <f>'05. CV Đầu tư-Dự án'!C26</f>
        <v/>
      </c>
    </row>
    <row r="10" ht="20" customHeight="1">
      <c r="A10" s="20" t="n">
        <v>6</v>
      </c>
      <c r="B10" s="21" t="inlineStr">
        <is>
          <t>Chuyên viên Quản lý tín dụng khách hàng (Credit Control)</t>
        </is>
      </c>
      <c r="C10" s="22">
        <f>IF('06. CV Tín dụng KH'!C4="","",'06. CV Tín dụng KH'!C4)</f>
        <v/>
      </c>
      <c r="D10" s="20">
        <f>IF('06. CV Tín dụng KH'!G5="",'06. CV Tín dụng KH'!G4,'06. CV Tín dụng KH'!G5)</f>
        <v/>
      </c>
      <c r="E10" s="72">
        <f>'06. CV Tín dụng KH'!C25</f>
        <v/>
      </c>
      <c r="F10" s="73">
        <f>'06. CV Tín dụng KH'!C24</f>
        <v/>
      </c>
      <c r="G10" s="74">
        <f>IF(E10="","",F10-E10)</f>
        <v/>
      </c>
      <c r="H10" s="10">
        <f>'06. CV Tín dụng KH'!C27</f>
        <v/>
      </c>
      <c r="I10" s="26">
        <f>'06. CV Tín dụng KH'!H25</f>
        <v/>
      </c>
      <c r="J10" s="26">
        <f>'06. CV Tín dụng KH'!H26</f>
        <v/>
      </c>
      <c r="K10" s="26">
        <f>'06. CV Tín dụng KH'!H27</f>
        <v/>
      </c>
      <c r="L10" s="20">
        <f>'06. CV Tín dụng KH'!C26</f>
        <v/>
      </c>
    </row>
    <row r="11"/>
    <row r="12">
      <c r="B12" s="27" t="inlineStr">
        <is>
          <t>THỐNG KÊ TOÀN PHÒNG</t>
        </is>
      </c>
      <c r="C12" s="75" t="n"/>
    </row>
    <row r="13">
      <c r="B13" s="5" t="inlineStr">
        <is>
          <t>Số vị trí xếp loại Xuất sắc</t>
        </is>
      </c>
      <c r="C13" s="29">
        <f>COUNTIF(H5:H10,"Xuất sắc")</f>
        <v/>
      </c>
    </row>
    <row r="14">
      <c r="B14" s="5" t="inlineStr">
        <is>
          <t>Số vị trí xếp loại Đạt</t>
        </is>
      </c>
      <c r="C14" s="29">
        <f>COUNTIF(H5:H10,"Đạt")</f>
        <v/>
      </c>
    </row>
    <row r="15">
      <c r="B15" s="5" t="inlineStr">
        <is>
          <t>Số vị trí xếp loại Cần cải thiện</t>
        </is>
      </c>
      <c r="C15" s="29">
        <f>COUNTIF(H5:H10,"Cần cải thiện")</f>
        <v/>
      </c>
    </row>
    <row r="16">
      <c r="B16" s="5" t="inlineStr">
        <is>
          <t>Số vị trí chưa chấm / chưa chấm đủ</t>
        </is>
      </c>
      <c r="C16" s="29">
        <f>COUNTIF(H5:H10,"Chưa chấm")+COUNTIF(H5:H10,"Chưa chấm đủ")</f>
        <v/>
      </c>
    </row>
    <row r="17">
      <c r="B17" s="5" t="inlineStr">
        <is>
          <t>Điểm bình quân phòng (vị trí đã chấm đủ)</t>
        </is>
      </c>
      <c r="C17" s="76">
        <f>IFERROR(AVERAGEIFS(F5:F10,H5:H10,"&lt;&gt;Chưa chấm",H5:H10,"&lt;&gt;Chưa chấm đủ"),"")</f>
        <v/>
      </c>
    </row>
    <row r="18"/>
    <row r="19" ht="30" customHeight="1">
      <c r="B19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19:L19"/>
    <mergeCell ref="A2:L2"/>
    <mergeCell ref="A1:L1"/>
    <mergeCell ref="B12:C12"/>
  </mergeCells>
  <conditionalFormatting sqref="H5:H10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0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/>
    <row r="12">
      <c r="A12" s="13" t="inlineStr">
        <is>
          <t>Biểu đồ tự cập nhật khi chấm điểm ở các sheet vị trí. Vị trí chưa chấm hiển thị 0.</t>
        </is>
      </c>
    </row>
  </sheetData>
  <mergeCells count="3">
    <mergeCell ref="A2:G2"/>
    <mergeCell ref="A1:G1"/>
    <mergeCell ref="A12:G12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7" t="n"/>
      <c r="F5" s="77" t="n"/>
      <c r="G5" s="75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7" t="n"/>
      <c r="F6" s="77" t="n"/>
      <c r="G6" s="75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7" t="n"/>
      <c r="F7" s="77" t="n"/>
      <c r="G7" s="75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7" t="n"/>
      <c r="F8" s="77" t="n"/>
      <c r="G8" s="75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7" t="n"/>
      <c r="F9" s="77" t="n"/>
      <c r="G9" s="75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7" t="n"/>
      <c r="F10" s="77" t="n"/>
      <c r="G10" s="75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7" t="n"/>
      <c r="E14" s="77" t="n"/>
      <c r="F14" s="77" t="n"/>
      <c r="G14" s="75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7" t="n"/>
      <c r="E15" s="77" t="n"/>
      <c r="F15" s="77" t="n"/>
      <c r="G15" s="75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7" t="n"/>
      <c r="E16" s="77" t="n"/>
      <c r="F16" s="77" t="n"/>
      <c r="G16" s="75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7" t="n"/>
      <c r="E17" s="77" t="n"/>
      <c r="F17" s="77" t="n"/>
      <c r="G17" s="75" t="n"/>
    </row>
    <row r="18">
      <c r="B18" s="38" t="inlineStr">
        <is>
          <t>Cần cải thiện</t>
        </is>
      </c>
      <c r="C18" s="35" t="inlineStr">
        <is>
          <t>Dưới 70</t>
        </is>
      </c>
      <c r="D18" s="77" t="n"/>
      <c r="E18" s="77" t="n"/>
      <c r="F18" s="77" t="n"/>
      <c r="G18" s="75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Chênh lệch dự báo dòng tiền / ngân sách</t>
        </is>
      </c>
      <c r="C22" s="35" t="inlineStr">
        <is>
          <t>Lệch ≤ 3%</t>
        </is>
      </c>
      <c r="D22" s="35" t="inlineStr">
        <is>
          <t>Lệch 3% – 5%</t>
        </is>
      </c>
      <c r="E22" s="35" t="inlineStr">
        <is>
          <t>Lệch 5% – 10%</t>
        </is>
      </c>
      <c r="F22" s="35" t="inlineStr">
        <is>
          <t>Lệch 10% – 15%</t>
        </is>
      </c>
      <c r="G22" s="35" t="inlineStr">
        <is>
          <t>Lệch &gt; 15%</t>
        </is>
      </c>
    </row>
    <row r="23" ht="38" customHeight="1">
      <c r="B23" s="38" t="inlineStr">
        <is>
          <t>Thời hạn báo cáo tài chính quản trị</t>
        </is>
      </c>
      <c r="C23" s="35" t="inlineStr">
        <is>
          <t>100% đúng hạn, nhiều báo cáo nộp sớm</t>
        </is>
      </c>
      <c r="D23" s="35" t="inlineStr">
        <is>
          <t>100% đúng hạn</t>
        </is>
      </c>
      <c r="E23" s="35" t="inlineStr">
        <is>
          <t>≥ 90% đúng hạn, trễ không ảnh hưởng</t>
        </is>
      </c>
      <c r="F23" s="35" t="inlineStr">
        <is>
          <t>75% – dưới 90%, hoặc 1 lần trễ ảnh hưởng quyết định</t>
        </is>
      </c>
      <c r="G23" s="35" t="inlineStr">
        <is>
          <t>Dưới 75%</t>
        </is>
      </c>
    </row>
    <row r="24" ht="38" customHeight="1">
      <c r="B24" s="38" t="inlineStr">
        <is>
          <t>Chi phí vốn / lãi vay bình quân</t>
        </is>
      </c>
      <c r="C24" s="35" t="inlineStr">
        <is>
          <t>Thấp hơn kế hoạch ≥ 0,5 điểm %</t>
        </is>
      </c>
      <c r="D24" s="35" t="inlineStr">
        <is>
          <t>Bằng hoặc thấp hơn kế hoạch</t>
        </is>
      </c>
      <c r="E24" s="35" t="inlineStr">
        <is>
          <t>Cao hơn ≤ 0,3 điểm %</t>
        </is>
      </c>
      <c r="F24" s="35" t="inlineStr">
        <is>
          <t>Cao hơn 0,3 – 1 điểm %</t>
        </is>
      </c>
      <c r="G24" s="35" t="inlineStr">
        <is>
          <t>Cao hơn &gt; 1 điểm %</t>
        </is>
      </c>
    </row>
    <row r="25" ht="38" customHeight="1">
      <c r="B25" s="38" t="inlineStr">
        <is>
          <t>Thanh khoản (thiếu hụt tiền)</t>
        </is>
      </c>
      <c r="C25" s="35" t="inlineStr">
        <is>
          <t>Không thiếu hụt, tiền nhàn rỗi được tối ưu</t>
        </is>
      </c>
      <c r="D25" s="35" t="inlineStr">
        <is>
          <t>Không thiếu hụt</t>
        </is>
      </c>
      <c r="E25" s="35" t="inlineStr">
        <is>
          <t>Thiếu hụt ngắn, xử lý trong ngày</t>
        </is>
      </c>
      <c r="F25" s="35" t="inlineStr">
        <is>
          <t>Thiếu hụt phải vay nóng, chậm thanh toán</t>
        </is>
      </c>
      <c r="G25" s="35" t="inlineStr">
        <is>
          <t>Mất khả năng thanh toán đúng hạn</t>
        </is>
      </c>
    </row>
    <row r="26" ht="38" customHeight="1">
      <c r="B26" s="38" t="inlineStr">
        <is>
          <t>Nợ quá hạn khách hàng (credit control)</t>
        </is>
      </c>
      <c r="C26" s="35" t="inlineStr">
        <is>
          <t>Dưới 2% tổng phải thu</t>
        </is>
      </c>
      <c r="D26" s="35" t="inlineStr">
        <is>
          <t>2% – dưới 5%</t>
        </is>
      </c>
      <c r="E26" s="35" t="inlineStr">
        <is>
          <t>5% – dưới 8%</t>
        </is>
      </c>
      <c r="F26" s="35" t="inlineStr">
        <is>
          <t>8% – dưới 12%</t>
        </is>
      </c>
      <c r="G26" s="35" t="inlineStr">
        <is>
          <t>≥ 12% hoặc phát sinh nợ khó đòi lớn</t>
        </is>
      </c>
    </row>
    <row r="27" ht="38" customHeight="1">
      <c r="B27" s="38" t="inlineStr">
        <is>
          <t>Tuân thủ cam kết vay, quy chế tài chính</t>
        </is>
      </c>
      <c r="C27" s="35" t="inlineStr">
        <is>
          <t>Không vi phạm, chủ động cảnh báo sớm</t>
        </is>
      </c>
      <c r="D27" s="35" t="inlineStr">
        <is>
          <t>Không vi phạm</t>
        </is>
      </c>
      <c r="E27" s="35" t="inlineStr">
        <is>
          <t>Có nhắc nhở, đã khắc phục</t>
        </is>
      </c>
      <c r="F27" s="35" t="inlineStr">
        <is>
          <t>Vi phạm phải xin miễn trừ</t>
        </is>
      </c>
      <c r="G27" s="35" t="inlineStr">
        <is>
          <t>Vi phạm dẫn tới phạt, thu hồi khoản vay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7" t="n"/>
      <c r="E30" s="77" t="n"/>
      <c r="F30" s="77" t="n"/>
      <c r="G30" s="75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7" t="n"/>
      <c r="E31" s="77" t="n"/>
      <c r="F31" s="77" t="n"/>
      <c r="G31" s="75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7" t="n"/>
      <c r="E32" s="77" t="n"/>
      <c r="F32" s="77" t="n"/>
      <c r="G32" s="75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7" t="n"/>
      <c r="E33" s="77" t="n"/>
      <c r="F33" s="77" t="n"/>
      <c r="G33" s="75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7" t="n"/>
      <c r="E34" s="77" t="n"/>
      <c r="F34" s="77" t="n"/>
      <c r="G34" s="75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7" t="n"/>
      <c r="E35" s="77" t="n"/>
      <c r="F35" s="77" t="n"/>
      <c r="G35" s="75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7" t="n"/>
      <c r="E38" s="77" t="n"/>
      <c r="F38" s="77" t="n"/>
      <c r="G38" s="75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7" t="n"/>
      <c r="E39" s="77" t="n"/>
      <c r="F39" s="77" t="n"/>
      <c r="G39" s="75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7" t="n"/>
      <c r="E40" s="77" t="n"/>
      <c r="F40" s="77" t="n"/>
      <c r="G40" s="75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7" t="n"/>
      <c r="E41" s="77" t="n"/>
      <c r="F41" s="77" t="n"/>
      <c r="G41" s="75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7" t="n"/>
      <c r="E42" s="77" t="n"/>
      <c r="F42" s="77" t="n"/>
      <c r="G42" s="75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7" t="n"/>
      <c r="E43" s="77" t="n"/>
      <c r="F43" s="77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GIÁM ĐỐC TÀI CHÍNH (CFO)</t>
        </is>
      </c>
    </row>
    <row r="2">
      <c r="A2" s="3" t="inlineStr">
        <is>
          <t xml:space="preserve">Phòng Tài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Tài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Hiệu quả tài chính doanh nghiệp</t>
        </is>
      </c>
      <c r="D10" s="45" t="inlineStr">
        <is>
          <t>Lợi nhuận, biên lợi nhuận, ROE so với kế hoạch được duyệt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Đảm bảo thanh khoản &amp; cấu trúc vốn</t>
        </is>
      </c>
      <c r="D11" s="45" t="inlineStr">
        <is>
          <t>Không thiếu hụt tiền; hệ số nợ, khả năng thanh toán trong ngưỡng an toàn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Huy động &amp; chi phí vốn</t>
        </is>
      </c>
      <c r="D12" s="45" t="inlineStr">
        <is>
          <t>Hạn mức tín dụng đủ cho kế hoạch kinh doanh; chi phí vốn bình quân so với kế hoạch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Hoạch định ngân sách &amp; chiến lược tài chính</t>
        </is>
      </c>
      <c r="D13" s="45" t="inlineStr">
        <is>
          <t>Ngân sách năm, kế hoạch tài chính trung hạn trình duyệt đúng hạn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Quản trị rủi ro tài chính</t>
        </is>
      </c>
      <c r="D14" s="45" t="inlineStr">
        <is>
          <t>Rủi ro tỷ giá, lãi suất, tín dụng được nhận diện và có biện pháp; không tổn thất lớn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cam kết vay &amp; quy chế tài chính</t>
        </is>
      </c>
      <c r="D15" s="45" t="inlineStr">
        <is>
          <t>Không vi phạm cam kết với ngân hàng, nhà đầu tư; quy chế tài chính cập nhật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Báo cáo cho Ban lãnh đạo, chủ sở hữu, nhà đầu tư</t>
        </is>
      </c>
      <c r="D16" s="45" t="inlineStr">
        <is>
          <t>Báo cáo tài chính quản trị, báo cáo nhà đầu tư đúng hạn, chính xác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khối Tài chính – Kế toán</t>
        </is>
      </c>
      <c r="D17" s="45" t="inlineStr">
        <is>
          <t>Điểm KPI bình quân khối; quy hoạch kế cận vị trí then chốt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&amp; tư vấn Ban lãnh đạo</t>
        </is>
      </c>
      <c r="D18" s="45" t="inlineStr">
        <is>
          <t>Mức độ hỗ trợ ra quyết định đầu tư, giá bán, chi phí; phản hồi của Tổng Giám đốc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Chuyển đổi số tài chính</t>
        </is>
      </c>
      <c r="D19" s="45" t="inlineStr">
        <is>
          <t>Số quy trình tài chính được tự động hóa, báo cáo thời gian thực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TÀI CHÍNH</t>
        </is>
      </c>
    </row>
    <row r="2">
      <c r="A2" s="3" t="inlineStr">
        <is>
          <t xml:space="preserve">Phòng Tài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Tài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Quản lý dòng tiền</t>
        </is>
      </c>
      <c r="D10" s="45" t="inlineStr">
        <is>
          <t>Dự báo dòng tiền tuần/tháng lệch thực tế ≤ 5%; không thiếu hụt tiền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Kiểm soát ngân sách</t>
        </is>
      </c>
      <c r="D11" s="45" t="inlineStr">
        <is>
          <t>Chi phí các phòng ban so với ngân sách; cảnh báo vượt ngân sách kịp thời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Quan hệ tín dụng &amp; chi phí vay</t>
        </is>
      </c>
      <c r="D12" s="45" t="inlineStr">
        <is>
          <t>Hạn mức tín dụng được gia hạn đúng hạn; lãi suất bình quân so với kế hoạch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Phân tích hiệu quả kinh doanh</t>
        </is>
      </c>
      <c r="D13" s="45" t="inlineStr">
        <is>
          <t>Báo cáo phân tích lợi nhuận theo sản phẩm, khách hàng, kênh có đề xuất hành động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chế tài chính &amp; cam kết vay</t>
        </is>
      </c>
      <c r="D14" s="45" t="inlineStr">
        <is>
          <t>Hồ sơ vay, giải ngân, tài sản bảo đảm đầy đủ; không vi phạm cam kết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Báo cáo tài chính quản trị đúng hạn</t>
        </is>
      </c>
      <c r="D15" s="45" t="inlineStr">
        <is>
          <t>Báo cáo tháng/quý nộp đúng hạn, số liệu khớp sổ kế toán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Kiểm soát thanh toán</t>
        </is>
      </c>
      <c r="D16" s="45" t="inlineStr">
        <is>
          <t>Thanh toán đúng phê duyệt, đúng hạn; không thanh toán trùng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của phòng; kèm cặp chuyên viên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với Kế toán, Kinh doanh, Mua hàng</t>
        </is>
      </c>
      <c r="D18" s="45" t="inlineStr">
        <is>
          <t>Phản hồi các phòng ban; số liệu thống nhất với Kế toán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Cải tiến quy trình tài chính</t>
        </is>
      </c>
      <c r="D19" s="45" t="inlineStr">
        <is>
          <t>Số cải tiến (phê duyệt điện tử, dashboard dòng tiền) được áp dụng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KẾ HOẠCH &amp; NGÂN SÁCH (FP&amp;A)</t>
        </is>
      </c>
    </row>
    <row r="2">
      <c r="A2" s="3" t="inlineStr">
        <is>
          <t xml:space="preserve">Phòng Tài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Tài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Lập ngân sách đúng hạn</t>
        </is>
      </c>
      <c r="D10" s="45" t="inlineStr">
        <is>
          <t>Ngân sách năm/quý tổng hợp, trình duyệt đúng lịch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Độ chính xác dự báo</t>
        </is>
      </c>
      <c r="D11" s="45" t="inlineStr">
        <is>
          <t>Chênh lệch dự báo doanh thu, chi phí so với thực tế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Phân tích biến động</t>
        </is>
      </c>
      <c r="D12" s="45" t="inlineStr">
        <is>
          <t>Báo cáo phân tích chênh lệch thực tế – kế hoạch có nguyên nhân, đề xuất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Mô hình tài chính</t>
        </is>
      </c>
      <c r="D13" s="45" t="inlineStr">
        <is>
          <t>Mô hình dự báo, kịch bản (độ nhạy) được xây dựng, cập nhật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Báo cáo quản trị đúng hạn</t>
        </is>
      </c>
      <c r="D14" s="45" t="inlineStr">
        <is>
          <t>Báo cáo tháng gửi Ban lãnh đạo đúng hạn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Chính xác số liệu</t>
        </is>
      </c>
      <c r="D15" s="45" t="inlineStr">
        <is>
          <t>Số lỗi công thức, số liệu trong báo cáo quản trị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Tuân thủ quy trình ngân sách</t>
        </is>
      </c>
      <c r="D16" s="45" t="inlineStr">
        <is>
          <t>Điều chỉnh ngân sách có phê duyệt đúng thẩm quyền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Theo dõi chỉ tiêu tài chính các phòng ban</t>
        </is>
      </c>
      <c r="D17" s="45" t="inlineStr">
        <is>
          <t>Dashboard chỉ tiêu cập nhật định kỳ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các phòng ban</t>
        </is>
      </c>
      <c r="D18" s="45" t="inlineStr">
        <is>
          <t>Hỗ trợ các phòng ban lập, theo dõi ngân sách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tối ưu chi phí</t>
        </is>
      </c>
      <c r="D19" s="45" t="inlineStr">
        <is>
          <t>Số đề xuất tiết kiệm được Ban lãnh đạo chấp thuận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Bảo mật thông tin tài chính</t>
        </is>
      </c>
      <c r="D20" s="45" t="inlineStr">
        <is>
          <t>Không tiết lộ số liệu kế hoạch, kết quả kinh doanh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QUẢN LÝ DÒNG TIỀN &amp; QUAN HỆ NGÂN HÀNG</t>
        </is>
      </c>
    </row>
    <row r="2">
      <c r="A2" s="3" t="inlineStr">
        <is>
          <t xml:space="preserve">Phòng Tài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Tài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Dự báo dòng tiền</t>
        </is>
      </c>
      <c r="D10" s="45" t="inlineStr">
        <is>
          <t>Dự báo dòng tiền tuần lệch thực tế ≤ 5%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Đảm bảo thanh toán đúng hạn</t>
        </is>
      </c>
      <c r="D11" s="45" t="inlineStr">
        <is>
          <t>Không chậm thanh toán do thiếu tiền hoặc do thao tác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Tối ưu tiền nhàn rỗi</t>
        </is>
      </c>
      <c r="D12" s="45" t="inlineStr">
        <is>
          <t>Tiền nhàn rỗi được gửi kỳ hạn/đầu tư ngắn hạn theo chính sách; lãi thu được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Hồ sơ vay &amp; giải ngân</t>
        </is>
      </c>
      <c r="D13" s="45" t="inlineStr">
        <is>
          <t>Hồ sơ vay, giải ngân, gia hạn hoàn thành đúng hạn, không bị trả lại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cam kết vay</t>
        </is>
      </c>
      <c r="D14" s="45" t="inlineStr">
        <is>
          <t>Báo cáo định kỳ cho ngân hàng đúng hạn; chỉ số cam kết được theo dõi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Đối chiếu số dư ngân hàng</t>
        </is>
      </c>
      <c r="D15" s="45" t="inlineStr">
        <is>
          <t>Sổ phụ đối chiếu hằng ngày/tháng khớp; chênh lệch được xử lý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Bảo mật giao dịch ngân hàng</t>
        </is>
      </c>
      <c r="D16" s="45" t="inlineStr">
        <is>
          <t>Token, mật khẩu, phân quyền ngân hàng điện tử quản lý an toàn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dòng tiền đúng hạn</t>
        </is>
      </c>
      <c r="D17" s="45" t="inlineStr">
        <is>
          <t>Báo cáo tiền, nợ vay gửi Trưởng phòng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Kế toán &amp; các ngân hàng</t>
        </is>
      </c>
      <c r="D18" s="45" t="inlineStr">
        <is>
          <t>Phản hồi của ngân hàng, Kế toán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giảm phí, lãi vay</t>
        </is>
      </c>
      <c r="D19" s="45" t="inlineStr">
        <is>
          <t>Số đề xuất được áp dụng, giá trị tiết kiệm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Trung thực &amp; trách nhiệm</t>
        </is>
      </c>
      <c r="D20" s="45" t="inlineStr">
        <is>
          <t>Không sai phạm trong giao dịch tiền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ĐẦU TƯ &amp; PHÂN TÍCH DỰ ÁN</t>
        </is>
      </c>
    </row>
    <row r="2">
      <c r="A2" s="3" t="inlineStr">
        <is>
          <t xml:space="preserve">Phòng Tài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Tài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Thẩm định dự án đầu tư</t>
        </is>
      </c>
      <c r="D10" s="45" t="inlineStr">
        <is>
          <t>Số dự án được thẩm định đúng hạn, có NPV, IRR, thời gian hoàn vốn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phân tích</t>
        </is>
      </c>
      <c r="D11" s="45" t="inlineStr">
        <is>
          <t>Chênh lệch hiệu quả thực tế so với phương án thẩm định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Theo dõi hiệu quả sau đầu tư</t>
        </is>
      </c>
      <c r="D12" s="45" t="inlineStr">
        <is>
          <t>Báo cáo hậu kiểm dự án định kỳ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Phân tích đối thủ &amp; thị trường vốn</t>
        </is>
      </c>
      <c r="D13" s="45" t="inlineStr">
        <is>
          <t>Báo cáo phân tích ngành, cơ hội đầu tư định kỳ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trình phê duyệt đầu tư</t>
        </is>
      </c>
      <c r="D14" s="45" t="inlineStr">
        <is>
          <t>Hồ sơ dự án đầy đủ, đúng thẩm quyền phê duyệt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Chính xác mô hình &amp; số liệu</t>
        </is>
      </c>
      <c r="D15" s="45" t="inlineStr">
        <is>
          <t>Số lỗi trong mô hình thẩm định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Báo cáo đúng hạn</t>
        </is>
      </c>
      <c r="D16" s="45" t="inlineStr">
        <is>
          <t>Báo cáo thẩm định, hậu kiểm nộp đúng hạn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Bảo mật thông tin đầu tư</t>
        </is>
      </c>
      <c r="D17" s="45" t="inlineStr">
        <is>
          <t>Không tiết lộ thông tin dự án, thương vụ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các phòng ban &amp; đối tác</t>
        </is>
      </c>
      <c r="D18" s="45" t="inlineStr">
        <is>
          <t>Thu thập số liệu kịp thời; phản hồi của đối tác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cơ hội đầu tư</t>
        </is>
      </c>
      <c r="D19" s="45" t="inlineStr">
        <is>
          <t>Số đề xuất được đưa vào danh mục xem xét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Khách quan &amp; trách nhiệm</t>
        </is>
      </c>
      <c r="D20" s="45" t="inlineStr">
        <is>
          <t>Đánh giá độc lập, nêu rõ rủi ro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QUẢN LÝ TÍN DỤNG KHÁCH HÀNG (CREDIT CONTROL)</t>
        </is>
      </c>
    </row>
    <row r="2">
      <c r="A2" s="3" t="inlineStr">
        <is>
          <t xml:space="preserve">Phòng Tài chính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Tài chính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Tỷ lệ nợ quá hạn</t>
        </is>
      </c>
      <c r="D10" s="45" t="inlineStr">
        <is>
          <t>Nợ quá hạn / tổng phải thu so với mục tiêu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Số ngày thu tiền bình quân (DSO)</t>
        </is>
      </c>
      <c r="D11" s="45" t="inlineStr">
        <is>
          <t>DSO so với mục tiêu kỳ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Thẩm định hạn mức tín dụng khách hàng</t>
        </is>
      </c>
      <c r="D12" s="45" t="inlineStr">
        <is>
          <t>100% khách hàng mua chịu có hồ sơ thẩm định, hạn mức được duyệt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Thu hồi nợ khó đòi</t>
        </is>
      </c>
      <c r="D13" s="45" t="inlineStr">
        <is>
          <t>Giá trị nợ quá hạn dài được thu hồi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chính sách tín dụng</t>
        </is>
      </c>
      <c r="D14" s="45" t="inlineStr">
        <is>
          <t>Không bán vượt hạn mức khi chưa được duyệt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Đối chiếu công nợ khách hàng</t>
        </is>
      </c>
      <c r="D15" s="45" t="inlineStr">
        <is>
          <t>Biên bản đối chiếu công nợ định kỳ đầy đủ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Báo cáo tuổi nợ đúng hạn</t>
        </is>
      </c>
      <c r="D16" s="45" t="inlineStr">
        <is>
          <t>Báo cáo tuổi nợ, dự kiến thu gửi đúng hạn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Hồ sơ trích lập dự phòng</t>
        </is>
      </c>
      <c r="D17" s="45" t="inlineStr">
        <is>
          <t>Hồ sơ chứng minh nợ khó đòi đầy đủ phục vụ trích lập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Kinh doanh &amp; Kế toán</t>
        </is>
      </c>
      <c r="D18" s="45" t="inlineStr">
        <is>
          <t>Phản hồi của Kinh doanh; số liệu khớp với Kế toán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cải tiến chính sách tín dụng</t>
        </is>
      </c>
      <c r="D19" s="45" t="inlineStr">
        <is>
          <t>Số đề xuất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Kiên trì &amp; chuyên nghiệp</t>
        </is>
      </c>
      <c r="D20" s="45" t="inlineStr">
        <is>
          <t>Ứng xử chuyên nghiệp với khách hàng khi thu nợ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2026-10-06T10:09:40Z</dcterms:created>
  <dcterms:modified xmlns:dcterms="http://purl.org/dc/terms/" xmlns:xsi="http://www.w3.org/2001/XMLSchema-instance" xsi:type="dcterms:W3CDTF">2026-10-25T09:13:36Z</dcterms:modified>
</cp:coreProperties>
</file>