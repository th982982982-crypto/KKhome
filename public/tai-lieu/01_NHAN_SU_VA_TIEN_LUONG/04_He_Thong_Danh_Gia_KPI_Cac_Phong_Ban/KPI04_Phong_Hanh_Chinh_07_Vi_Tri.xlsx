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So sánh" sheetId="3" state="visible" r:id="rId3"/>
    <sheet xmlns:r="http://schemas.openxmlformats.org/officeDocument/2006/relationships" name="Nguyên tắc chấm" sheetId="4" state="visible" r:id="rId4"/>
    <sheet xmlns:r="http://schemas.openxmlformats.org/officeDocument/2006/relationships" name="01. Trưởng phòng HC" sheetId="5" state="visible" r:id="rId5"/>
    <sheet xmlns:r="http://schemas.openxmlformats.org/officeDocument/2006/relationships" name="02. CV Hành chính TH" sheetId="6" state="visible" r:id="rId6"/>
    <sheet xmlns:r="http://schemas.openxmlformats.org/officeDocument/2006/relationships" name="03. NV Văn thư-Lưu trữ" sheetId="7" state="visible" r:id="rId7"/>
    <sheet xmlns:r="http://schemas.openxmlformats.org/officeDocument/2006/relationships" name="04. NV Lễ tân" sheetId="8" state="visible" r:id="rId8"/>
    <sheet xmlns:r="http://schemas.openxmlformats.org/officeDocument/2006/relationships" name="05. Lái xe công ty" sheetId="9" state="visible" r:id="rId9"/>
    <sheet xmlns:r="http://schemas.openxmlformats.org/officeDocument/2006/relationships" name="06. NV Bảo vệ" sheetId="10" state="visible" r:id="rId10"/>
    <sheet xmlns:r="http://schemas.openxmlformats.org/officeDocument/2006/relationships" name="07. NV Tạp vụ" sheetId="11" state="visible" r:id="rId11"/>
  </sheets>
  <definedNames>
    <definedName name="_xlnm.Print_Titles" localSheetId="4">'01. Trưởng phòng HC'!$9:$9</definedName>
    <definedName name="_xlnm.Print_Area" localSheetId="4">'01. Trưởng phòng HC'!$A$1:$I$39</definedName>
    <definedName name="_xlnm.Print_Titles" localSheetId="5">'02. CV Hành chính TH'!$9:$9</definedName>
    <definedName name="_xlnm.Print_Area" localSheetId="5">'02. CV Hành chính TH'!$A$1:$I$40</definedName>
    <definedName name="_xlnm.Print_Titles" localSheetId="6">'03. NV Văn thư-Lưu trữ'!$9:$9</definedName>
    <definedName name="_xlnm.Print_Area" localSheetId="6">'03. NV Văn thư-Lưu trữ'!$A$1:$I$40</definedName>
    <definedName name="_xlnm.Print_Titles" localSheetId="7">'04. NV Lễ tân'!$9:$9</definedName>
    <definedName name="_xlnm.Print_Area" localSheetId="7">'04. NV Lễ tân'!$A$1:$I$40</definedName>
    <definedName name="_xlnm.Print_Titles" localSheetId="8">'05. Lái xe công ty'!$9:$9</definedName>
    <definedName name="_xlnm.Print_Area" localSheetId="8">'05. Lái xe công ty'!$A$1:$I$40</definedName>
    <definedName name="_xlnm.Print_Titles" localSheetId="9">'06. NV Bảo vệ'!$9:$9</definedName>
    <definedName name="_xlnm.Print_Area" localSheetId="9">'06. NV Bảo vệ'!$A$1:$I$40</definedName>
    <definedName name="_xlnm.Print_Titles" localSheetId="10">'07. NV Tạp vụ'!$9:$9</definedName>
    <definedName name="_xlnm.Print_Area" localSheetId="10">'07. NV Tạp vụ'!$A$1:$I$40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374151"/>
      <sz val="10"/>
    </font>
    <font>
      <name val="Arial"/>
      <color rgb="001D4ED8"/>
      <sz val="10"/>
    </font>
    <font>
      <name val="Arial"/>
      <color rgb="009CA3AF"/>
      <sz val="8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color rgb="00374151"/>
      <sz val="9"/>
    </font>
    <font>
      <name val="Arial"/>
      <color rgb="00111827"/>
      <sz val="9"/>
    </font>
    <font>
      <name val="Arial"/>
      <b val="1"/>
      <color rgb="00111827"/>
      <sz val="11"/>
    </font>
    <font>
      <name val="Arial"/>
      <b val="1"/>
      <color rgb="00374151"/>
      <sz val="9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1D4ED8"/>
      <sz val="10"/>
      <u val="single"/>
    </font>
    <font>
      <name val="Arial"/>
      <b val="1"/>
      <color rgb="006B7280"/>
      <sz val="9"/>
    </font>
    <font>
      <name val="Arial"/>
      <b val="1"/>
      <color rgb="00111827"/>
      <sz val="9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E5E7EB"/>
      </patternFill>
    </fill>
    <fill>
      <patternFill patternType="solid">
        <fgColor rgb="00FAFAFA"/>
      </patternFill>
    </fill>
    <fill>
      <patternFill patternType="solid">
        <fgColor rgb="004B5563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9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8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BBF7D0"/>
          <bgColor rgb="00BBF7D0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ont>
        <b val="1"/>
        <color rgb="00B91C1C"/>
      </font>
    </dxf>
    <dxf>
      <fill>
        <patternFill patternType="solid">
          <fgColor rgb="00FDBA74"/>
          <bgColor rgb="00FDBA74"/>
        </patternFill>
      </fill>
    </dxf>
    <dxf>
      <font>
        <b val="1"/>
        <color rgb="00B91C1C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tự đánh giá vs Điểm chính thức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'So sánh'!$B$5:$B$11</f>
            </numRef>
          </cat>
          <val>
            <numRef>
              <f>'So sánh'!$C$5:$C$11</f>
            </numRef>
          </val>
        </ser>
        <ser>
          <idx val="1"/>
          <order val="1"/>
          <tx>
            <strRef>
              <f>'So sánh'!D4</f>
            </strRef>
          </tx>
          <spPr>
            <a:solidFill xmlns:a="http://schemas.openxmlformats.org/drawingml/2006/main">
              <a:srgbClr val="1F2937"/>
            </a:solidFill>
            <a:ln xmlns:a="http://schemas.openxmlformats.org/drawingml/2006/main">
              <a:prstDash val="solid"/>
            </a:ln>
          </spPr>
          <cat>
            <numRef>
              <f>'So sánh'!$B$5:$B$11</f>
            </numRef>
          </cat>
          <val>
            <numRef>
              <f>'So sánh'!$D$5:$D$11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(/100)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đạt theo nhóm tiêu chí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sánh'!E4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'So sánh'!$B$5:$B$11</f>
            </numRef>
          </cat>
          <val>
            <numRef>
              <f>'So sánh'!$E$5:$E$11</f>
            </numRef>
          </val>
        </ser>
        <ser>
          <idx val="1"/>
          <order val="1"/>
          <tx>
            <strRef>
              <f>'So sánh'!F4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'So sánh'!$B$5:$B$11</f>
            </numRef>
          </cat>
          <val>
            <numRef>
              <f>'So sánh'!$F$5:$F$11</f>
            </numRef>
          </val>
        </ser>
        <ser>
          <idx val="2"/>
          <order val="2"/>
          <tx>
            <strRef>
              <f>'So sánh'!G4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'So sánh'!$B$5:$B$11</f>
            </numRef>
          </cat>
          <val>
            <numRef>
              <f>'So sánh'!$G$5:$G$11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đạt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25</row>
      <rowOff>0</rowOff>
    </from>
    <ext cx="7920000" cy="3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. Tr&#432;&#7903;ng ph&#242;ng HC'!A1" TargetMode="External" Id="rId1"/><Relationship Type="http://schemas.openxmlformats.org/officeDocument/2006/relationships/hyperlink" Target="#'02. CV H&#224;nh ch&#237;nh TH'!A1" TargetMode="External" Id="rId2"/><Relationship Type="http://schemas.openxmlformats.org/officeDocument/2006/relationships/hyperlink" Target="#'03. NV V&#259;n th&#432;-L&#432;u tr&#7919;'!A1" TargetMode="External" Id="rId3"/><Relationship Type="http://schemas.openxmlformats.org/officeDocument/2006/relationships/hyperlink" Target="#'04. NV L&#7877; t&#226;n'!A1" TargetMode="External" Id="rId4"/><Relationship Type="http://schemas.openxmlformats.org/officeDocument/2006/relationships/hyperlink" Target="#'05. L&#225;i xe c&#244;ng ty'!A1" TargetMode="External" Id="rId5"/><Relationship Type="http://schemas.openxmlformats.org/officeDocument/2006/relationships/hyperlink" Target="#'06. NV B&#7843;o v&#7879;'!A1" TargetMode="External" Id="rId6"/><Relationship Type="http://schemas.openxmlformats.org/officeDocument/2006/relationships/hyperlink" Target="#'07. NV T&#7841;p v&#7909;'!A1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#'01. Tr&#432;&#7903;ng ph&#242;ng HC'!A1" TargetMode="External" Id="rId1"/><Relationship Type="http://schemas.openxmlformats.org/officeDocument/2006/relationships/hyperlink" Target="#'02. CV H&#224;nh ch&#237;nh TH'!A1" TargetMode="External" Id="rId2"/><Relationship Type="http://schemas.openxmlformats.org/officeDocument/2006/relationships/hyperlink" Target="#'03. NV V&#259;n th&#432;-L&#432;u tr&#7919;'!A1" TargetMode="External" Id="rId3"/><Relationship Type="http://schemas.openxmlformats.org/officeDocument/2006/relationships/hyperlink" Target="#'04. NV L&#7877; t&#226;n'!A1" TargetMode="External" Id="rId4"/><Relationship Type="http://schemas.openxmlformats.org/officeDocument/2006/relationships/hyperlink" Target="#'05. L&#225;i xe c&#244;ng ty'!A1" TargetMode="External" Id="rId5"/><Relationship Type="http://schemas.openxmlformats.org/officeDocument/2006/relationships/hyperlink" Target="#'06. NV B&#7843;o v&#7879;'!A1" TargetMode="External" Id="rId6"/><Relationship Type="http://schemas.openxmlformats.org/officeDocument/2006/relationships/hyperlink" Target="#'07. NV T&#7841;p v&#7909;'!A1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C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 ht="30" customHeight="1">
      <c r="A1" s="1" t="inlineStr">
        <is>
          <t>KPI HÀNH CHÍNH – 07 VỊ TRÍ</t>
        </is>
      </c>
    </row>
    <row r="2">
      <c r="A2" s="3" t="inlineStr">
        <is>
          <t xml:space="preserve">Phụ lục 01 kèm Quy chế đánh giá KPI · KK HOME · </t>
        </is>
      </c>
    </row>
    <row r="3"/>
    <row r="4">
      <c r="B4" s="4" t="inlineStr">
        <is>
          <t>CÁCH DÙNG – 6 BƯỚC</t>
        </is>
      </c>
    </row>
    <row r="5" ht="20" customHeight="1">
      <c r="B5" s="5" t="inlineStr">
        <is>
          <t>Bước 1</t>
        </is>
      </c>
      <c r="C5" s="6" t="inlineStr">
        <is>
          <t>Chọn sheet đúng vị trí của nhân sự (bấm tên vị trí ở danh mục bên dưới để nhảy tới sheet).</t>
        </is>
      </c>
    </row>
    <row r="6" ht="20" customHeight="1">
      <c r="B6" s="5" t="inlineStr">
        <is>
          <t>Bước 2</t>
        </is>
      </c>
      <c r="C6" s="6" t="inlineStr">
        <is>
          <t>Nhập thông tin đầu sheet: Họ tên, Mã NV, Người đánh giá, Loại kỳ (Tháng/Quý/Năm), Kỳ đánh giá, Ngày đánh giá.</t>
        </is>
      </c>
    </row>
    <row r="7" ht="20" customHeight="1">
      <c r="B7" s="5" t="inlineStr">
        <is>
          <t>Bước 3</t>
        </is>
      </c>
      <c r="C7" s="6" t="inlineStr">
        <is>
          <t>Nhân sự tự chấm điểm cột F "Tự đánh giá" (1–5, được chấm lẻ 3.5).</t>
        </is>
      </c>
    </row>
    <row r="8" ht="20" customHeight="1">
      <c r="B8" s="5" t="inlineStr">
        <is>
          <t>Bước 4</t>
        </is>
      </c>
      <c r="C8" s="6" t="inlineStr">
        <is>
          <t>Quản lý trực tiếp chấm điểm chính thức cột G "Quản lý chấm". Chỉ điểm cột G được dùng để tính điểm quy đổi và xếp loại.</t>
        </is>
      </c>
    </row>
    <row r="9" ht="20" customHeight="1">
      <c r="B9" s="5" t="inlineStr">
        <is>
          <t>Bước 5</t>
        </is>
      </c>
      <c r="C9" s="6" t="inlineStr">
        <is>
          <t>Ghi chú lý do ở cột I khi điểm ≤ 1,5 hoặc = 5. Ô ghi chú tự tô cam nếu thiếu lý do (Điều 12 – Ngoại lệ).</t>
        </is>
      </c>
    </row>
    <row r="10" ht="20" customHeight="1">
      <c r="B10" s="5" t="inlineStr">
        <is>
          <t>Bước 6</t>
        </is>
      </c>
      <c r="C10" s="6" t="inlineStr">
        <is>
          <t>Xem kết quả ở cuối sheet vị trí, sheet "Tổng hợp" (toàn phòng) và "So sánh" (biểu đồ). In, ký và trình phê duyệt.</t>
        </is>
      </c>
    </row>
    <row r="11" ht="20" customHeight="1"/>
    <row r="12" ht="20" customHeight="1">
      <c r="B12" s="4" t="inlineStr">
        <is>
          <t>QUY ƯỚC Ô</t>
        </is>
      </c>
    </row>
    <row r="13" ht="20" customHeight="1">
      <c r="B13" s="7" t="inlineStr">
        <is>
          <t>Ô nền vàng, chữ xanh</t>
        </is>
      </c>
      <c r="C13" s="6" t="inlineStr">
        <is>
          <t>Ô nhập liệu. Chỉ nhập vào các ô này.</t>
        </is>
      </c>
    </row>
    <row r="14" ht="30" customHeight="1">
      <c r="B14" s="8" t="inlineStr">
        <is>
          <t>Trọng số chữ xanh (cột E)</t>
        </is>
      </c>
      <c r="C14" s="6" t="inlineStr">
        <is>
          <t>Được sửa khi có quyết định điều chỉnh (Điều 17). Tổng trọng số mỗi vị trí phải = 100% – ô "Kiểm tra trọng số" báo đỏ nếu sai.</t>
        </is>
      </c>
    </row>
    <row r="15" ht="20" customHeight="1">
      <c r="B15" s="9" t="inlineStr">
        <is>
          <t>Ô nền xám</t>
        </is>
      </c>
      <c r="C15" s="6" t="inlineStr">
        <is>
          <t>Công thức tự tính. Không sửa.</t>
        </is>
      </c>
    </row>
    <row r="16" ht="20" customHeight="1"/>
    <row r="17" ht="20" customHeight="1">
      <c r="B17" s="4" t="inlineStr">
        <is>
          <t>CÔNG THỨC &amp; XẾP LOẠI (Điều 7, Điều 13 Quy chế)</t>
        </is>
      </c>
    </row>
    <row r="18" ht="20" customHeight="1">
      <c r="B18" s="5" t="inlineStr">
        <is>
          <t>Điểm quy đổi</t>
        </is>
      </c>
      <c r="C18" s="6" t="inlineStr">
        <is>
          <t>Điểm quản lý chấm ÷ 5 × Trọng số × 100</t>
        </is>
      </c>
    </row>
    <row r="19" ht="20" customHeight="1">
      <c r="B19" s="5" t="inlineStr">
        <is>
          <t>Tổng điểm</t>
        </is>
      </c>
      <c r="C19" s="6" t="inlineStr">
        <is>
          <t>Cộng điểm quy đổi các tiêu chí (tối đa 100 điểm)</t>
        </is>
      </c>
    </row>
    <row r="20" ht="30" customHeight="1">
      <c r="B20" s="5" t="inlineStr">
        <is>
          <t>Xếp loại</t>
        </is>
      </c>
      <c r="C20" s="6" t="inlineStr">
        <is>
          <t>≥ 80 điểm: Xuất sắc  ·  70 đến dưới 80: Đạt  ·  Dưới 70: Cần cải thiện. Chưa chấm đủ tiêu chí → hiển thị "Chưa chấm đủ".</t>
        </is>
      </c>
    </row>
    <row r="21" ht="30" customHeight="1">
      <c r="B21" s="5" t="inlineStr">
        <is>
          <t>Ví dụ</t>
        </is>
      </c>
      <c r="C21" s="6" t="inlineStr">
        <is>
          <t>Tiêu chí "Mua sắm văn phòng phẩm, thiết bị" trọng số 12%, quản lý chấm 4 → 4 ÷ 5 × 12 = 9,6 điểm. Chấm 3.5 → 8,4 điểm.</t>
        </is>
      </c>
    </row>
    <row r="22" ht="20" customHeight="1">
      <c r="B22" s="5" t="inlineStr">
        <is>
          <t>Cơ cấu nhóm</t>
        </is>
      </c>
      <c r="C22" s="6" t="inlineStr">
        <is>
          <t>Chuyên môn - Nghiệp vụ 40% · Tuân thủ - Thời hạn 35% · Phối hợp - Thái độ 25% (áp dụng cho mọi vị trí trong file).</t>
        </is>
      </c>
    </row>
    <row r="23"/>
    <row r="24">
      <c r="B24" s="4" t="inlineStr">
        <is>
          <t>DANH MỤC 07 VỊ TRÍ</t>
        </is>
      </c>
    </row>
    <row r="25">
      <c r="B25" s="10" t="inlineStr">
        <is>
          <t>01</t>
        </is>
      </c>
      <c r="C25" s="11" t="inlineStr">
        <is>
          <t>Trưởng phòng Hành chính  (10 tiêu chí)</t>
        </is>
      </c>
    </row>
    <row r="26">
      <c r="B26" s="10" t="inlineStr">
        <is>
          <t>02</t>
        </is>
      </c>
      <c r="C26" s="11" t="inlineStr">
        <is>
          <t>Chuyên viên Hành chính tổng hợp  (11 tiêu chí)</t>
        </is>
      </c>
    </row>
    <row r="27">
      <c r="B27" s="10" t="inlineStr">
        <is>
          <t>03</t>
        </is>
      </c>
      <c r="C27" s="11" t="inlineStr">
        <is>
          <t>Nhân viên Văn thư – Lưu trữ  (11 tiêu chí)</t>
        </is>
      </c>
    </row>
    <row r="28">
      <c r="B28" s="10" t="inlineStr">
        <is>
          <t>04</t>
        </is>
      </c>
      <c r="C28" s="11" t="inlineStr">
        <is>
          <t>Nhân viên Lễ tân  (11 tiêu chí)</t>
        </is>
      </c>
    </row>
    <row r="29">
      <c r="B29" s="10" t="inlineStr">
        <is>
          <t>05</t>
        </is>
      </c>
      <c r="C29" s="11" t="inlineStr">
        <is>
          <t>Lái xe công ty (xe đưa đón)  (11 tiêu chí)</t>
        </is>
      </c>
    </row>
    <row r="30">
      <c r="B30" s="10" t="inlineStr">
        <is>
          <t>06</t>
        </is>
      </c>
      <c r="C30" s="11" t="inlineStr">
        <is>
          <t>Nhân viên Bảo vệ  (11 tiêu chí)</t>
        </is>
      </c>
    </row>
    <row r="31">
      <c r="B31" s="10" t="inlineStr">
        <is>
          <t>07</t>
        </is>
      </c>
      <c r="C31" s="11" t="inlineStr">
        <is>
          <t>Nhân viên Tạp vụ – Vệ sinh  (11 tiêu chí)</t>
        </is>
      </c>
    </row>
    <row r="32"/>
    <row r="33" ht="40" customHeight="1">
      <c r="B33" s="12" t="inlineStr">
        <is>
          <t>Lưu ý</t>
        </is>
      </c>
      <c r="C33" s="13" t="inlineStr">
        <is>
          <t>Tiêu chí và cách đo là bộ mẫu. Đơn vị điều chỉnh chỉ tiêu định lượng (%, số ngày, số lỗi) theo mục tiêu đã duyệt của từng kỳ trước khi phổ biến cho nhân sự (Điều 4 – Công khai). Bộ file thuộc Hệ thống W1 – KPI Doanh nghiệp của KK HOME.</t>
        </is>
      </c>
    </row>
  </sheetData>
  <mergeCells count="6">
    <mergeCell ref="B24:C24"/>
    <mergeCell ref="A1:C1"/>
    <mergeCell ref="B17:C17"/>
    <mergeCell ref="B4:C4"/>
    <mergeCell ref="A2:C2"/>
    <mergeCell ref="B12:C12"/>
  </mergeCells>
  <hyperlinks>
    <hyperlink xmlns:r="http://schemas.openxmlformats.org/officeDocument/2006/relationships" ref="C25" r:id="rId1"/>
    <hyperlink xmlns:r="http://schemas.openxmlformats.org/officeDocument/2006/relationships" ref="C26" r:id="rId2"/>
    <hyperlink xmlns:r="http://schemas.openxmlformats.org/officeDocument/2006/relationships" ref="C27" r:id="rId3"/>
    <hyperlink xmlns:r="http://schemas.openxmlformats.org/officeDocument/2006/relationships" ref="C28" r:id="rId4"/>
    <hyperlink xmlns:r="http://schemas.openxmlformats.org/officeDocument/2006/relationships" ref="C29" r:id="rId5"/>
    <hyperlink xmlns:r="http://schemas.openxmlformats.org/officeDocument/2006/relationships" ref="C30" r:id="rId6"/>
    <hyperlink xmlns:r="http://schemas.openxmlformats.org/officeDocument/2006/relationships" ref="C31" r:id="rId7"/>
  </hyperlinks>
  <printOptions horizontalCentered="1"/>
  <pageMargins left="0.4" right="0.4" top="1" bottom="1" header="0.5" footer="0.5"/>
  <pageSetup orientation="portrait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L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16" customWidth="1" min="4" max="4"/>
    <col width="11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TỔNG HỢP KẾT QUẢ KPI – PHÒNG HÀNH CHÍNH</t>
        </is>
      </c>
    </row>
    <row r="2">
      <c r="A2" s="3" t="inlineStr">
        <is>
          <t xml:space="preserve">Phụ lục 01 · Tự cập nhật từ các sheet vị trí (Bước 4 – Điều 10) · KK HOME · </t>
        </is>
      </c>
    </row>
    <row r="3"/>
    <row r="4" ht="36" customHeight="1">
      <c r="A4" s="14" t="inlineStr">
        <is>
          <t>STT</t>
        </is>
      </c>
      <c r="B4" s="14" t="inlineStr">
        <is>
          <t>Vị trí</t>
        </is>
      </c>
      <c r="C4" s="14" t="inlineStr">
        <is>
          <t>Họ và tên</t>
        </is>
      </c>
      <c r="D4" s="14" t="inlineStr">
        <is>
          <t>Kỳ đánh giá</t>
        </is>
      </c>
      <c r="E4" s="14" t="inlineStr">
        <is>
          <t>Điểm tự ĐG</t>
        </is>
      </c>
      <c r="F4" s="14" t="inlineStr">
        <is>
          <t>Điểm chính thức</t>
        </is>
      </c>
      <c r="G4" s="14" t="inlineStr">
        <is>
          <t>Chênh lệch
(CT − Tự ĐG)</t>
        </is>
      </c>
      <c r="H4" s="14" t="inlineStr">
        <is>
          <t>Xếp loại</t>
        </is>
      </c>
      <c r="I4" s="14" t="inlineStr">
        <is>
          <t>Chuyên môn
(% đạt)</t>
        </is>
      </c>
      <c r="J4" s="14" t="inlineStr">
        <is>
          <t>Tuân thủ
(% đạt)</t>
        </is>
      </c>
      <c r="K4" s="14" t="inlineStr">
        <is>
          <t>Phối hợp
(% đạt)</t>
        </is>
      </c>
      <c r="L4" s="14" t="inlineStr">
        <is>
          <t>Tiến độ chấm</t>
        </is>
      </c>
    </row>
    <row r="5" ht="20" customHeight="1">
      <c r="A5" s="15" t="n">
        <v>1</v>
      </c>
      <c r="B5" s="11" t="inlineStr">
        <is>
          <t>Trưởng phòng Hành chính</t>
        </is>
      </c>
      <c r="C5" s="6">
        <f>IF('01. Trưởng phòng HC'!C4="","",'01. Trưởng phòng HC'!C4)</f>
        <v/>
      </c>
      <c r="D5" s="15">
        <f>IF('01. Trưởng phòng HC'!G5="",'01. Trưởng phòng HC'!G4,'01. Trưởng phòng HC'!G5)</f>
        <v/>
      </c>
      <c r="E5" s="69">
        <f>'01. Trưởng phòng HC'!C24</f>
        <v/>
      </c>
      <c r="F5" s="70">
        <f>'01. Trưởng phòng HC'!C23</f>
        <v/>
      </c>
      <c r="G5" s="71">
        <f>IF(E5="","",F5-E5)</f>
        <v/>
      </c>
      <c r="H5" s="10">
        <f>'01. Trưởng phòng HC'!C26</f>
        <v/>
      </c>
      <c r="I5" s="19">
        <f>'01. Trưởng phòng HC'!H24</f>
        <v/>
      </c>
      <c r="J5" s="19">
        <f>'01. Trưởng phòng HC'!H25</f>
        <v/>
      </c>
      <c r="K5" s="19">
        <f>'01. Trưởng phòng HC'!H26</f>
        <v/>
      </c>
      <c r="L5" s="15">
        <f>'01. Trưởng phòng HC'!C25</f>
        <v/>
      </c>
    </row>
    <row r="6" ht="20" customHeight="1">
      <c r="A6" s="20" t="n">
        <v>2</v>
      </c>
      <c r="B6" s="21" t="inlineStr">
        <is>
          <t>Chuyên viên Hành chính tổng hợp</t>
        </is>
      </c>
      <c r="C6" s="22">
        <f>IF('02. CV Hành chính TH'!C4="","",'02. CV Hành chính TH'!C4)</f>
        <v/>
      </c>
      <c r="D6" s="20">
        <f>IF('02. CV Hành chính TH'!G5="",'02. CV Hành chính TH'!G4,'02. CV Hành chính TH'!G5)</f>
        <v/>
      </c>
      <c r="E6" s="72">
        <f>'02. CV Hành chính TH'!C25</f>
        <v/>
      </c>
      <c r="F6" s="73">
        <f>'02. CV Hành chính TH'!C24</f>
        <v/>
      </c>
      <c r="G6" s="74">
        <f>IF(E6="","",F6-E6)</f>
        <v/>
      </c>
      <c r="H6" s="10">
        <f>'02. CV Hành chính TH'!C27</f>
        <v/>
      </c>
      <c r="I6" s="26">
        <f>'02. CV Hành chính TH'!H25</f>
        <v/>
      </c>
      <c r="J6" s="26">
        <f>'02. CV Hành chính TH'!H26</f>
        <v/>
      </c>
      <c r="K6" s="26">
        <f>'02. CV Hành chính TH'!H27</f>
        <v/>
      </c>
      <c r="L6" s="20">
        <f>'02. CV Hành chính TH'!C26</f>
        <v/>
      </c>
    </row>
    <row r="7" ht="20" customHeight="1">
      <c r="A7" s="15" t="n">
        <v>3</v>
      </c>
      <c r="B7" s="11" t="inlineStr">
        <is>
          <t>Nhân viên Văn thư – Lưu trữ</t>
        </is>
      </c>
      <c r="C7" s="6">
        <f>IF('03. NV Văn thư-Lưu trữ'!C4="","",'03. NV Văn thư-Lưu trữ'!C4)</f>
        <v/>
      </c>
      <c r="D7" s="15">
        <f>IF('03. NV Văn thư-Lưu trữ'!G5="",'03. NV Văn thư-Lưu trữ'!G4,'03. NV Văn thư-Lưu trữ'!G5)</f>
        <v/>
      </c>
      <c r="E7" s="69">
        <f>'03. NV Văn thư-Lưu trữ'!C25</f>
        <v/>
      </c>
      <c r="F7" s="70">
        <f>'03. NV Văn thư-Lưu trữ'!C24</f>
        <v/>
      </c>
      <c r="G7" s="71">
        <f>IF(E7="","",F7-E7)</f>
        <v/>
      </c>
      <c r="H7" s="10">
        <f>'03. NV Văn thư-Lưu trữ'!C27</f>
        <v/>
      </c>
      <c r="I7" s="19">
        <f>'03. NV Văn thư-Lưu trữ'!H25</f>
        <v/>
      </c>
      <c r="J7" s="19">
        <f>'03. NV Văn thư-Lưu trữ'!H26</f>
        <v/>
      </c>
      <c r="K7" s="19">
        <f>'03. NV Văn thư-Lưu trữ'!H27</f>
        <v/>
      </c>
      <c r="L7" s="15">
        <f>'03. NV Văn thư-Lưu trữ'!C26</f>
        <v/>
      </c>
    </row>
    <row r="8" ht="20" customHeight="1">
      <c r="A8" s="20" t="n">
        <v>4</v>
      </c>
      <c r="B8" s="21" t="inlineStr">
        <is>
          <t>Nhân viên Lễ tân</t>
        </is>
      </c>
      <c r="C8" s="22">
        <f>IF('04. NV Lễ tân'!C4="","",'04. NV Lễ tân'!C4)</f>
        <v/>
      </c>
      <c r="D8" s="20">
        <f>IF('04. NV Lễ tân'!G5="",'04. NV Lễ tân'!G4,'04. NV Lễ tân'!G5)</f>
        <v/>
      </c>
      <c r="E8" s="72">
        <f>'04. NV Lễ tân'!C25</f>
        <v/>
      </c>
      <c r="F8" s="73">
        <f>'04. NV Lễ tân'!C24</f>
        <v/>
      </c>
      <c r="G8" s="74">
        <f>IF(E8="","",F8-E8)</f>
        <v/>
      </c>
      <c r="H8" s="10">
        <f>'04. NV Lễ tân'!C27</f>
        <v/>
      </c>
      <c r="I8" s="26">
        <f>'04. NV Lễ tân'!H25</f>
        <v/>
      </c>
      <c r="J8" s="26">
        <f>'04. NV Lễ tân'!H26</f>
        <v/>
      </c>
      <c r="K8" s="26">
        <f>'04. NV Lễ tân'!H27</f>
        <v/>
      </c>
      <c r="L8" s="20">
        <f>'04. NV Lễ tân'!C26</f>
        <v/>
      </c>
    </row>
    <row r="9" ht="20" customHeight="1">
      <c r="A9" s="15" t="n">
        <v>5</v>
      </c>
      <c r="B9" s="11" t="inlineStr">
        <is>
          <t>Lái xe công ty (xe đưa đón)</t>
        </is>
      </c>
      <c r="C9" s="6">
        <f>IF('05. Lái xe công ty'!C4="","",'05. Lái xe công ty'!C4)</f>
        <v/>
      </c>
      <c r="D9" s="15">
        <f>IF('05. Lái xe công ty'!G5="",'05. Lái xe công ty'!G4,'05. Lái xe công ty'!G5)</f>
        <v/>
      </c>
      <c r="E9" s="69">
        <f>'05. Lái xe công ty'!C25</f>
        <v/>
      </c>
      <c r="F9" s="70">
        <f>'05. Lái xe công ty'!C24</f>
        <v/>
      </c>
      <c r="G9" s="71">
        <f>IF(E9="","",F9-E9)</f>
        <v/>
      </c>
      <c r="H9" s="10">
        <f>'05. Lái xe công ty'!C27</f>
        <v/>
      </c>
      <c r="I9" s="19">
        <f>'05. Lái xe công ty'!H25</f>
        <v/>
      </c>
      <c r="J9" s="19">
        <f>'05. Lái xe công ty'!H26</f>
        <v/>
      </c>
      <c r="K9" s="19">
        <f>'05. Lái xe công ty'!H27</f>
        <v/>
      </c>
      <c r="L9" s="15">
        <f>'05. Lái xe công ty'!C26</f>
        <v/>
      </c>
    </row>
    <row r="10" ht="20" customHeight="1">
      <c r="A10" s="20" t="n">
        <v>6</v>
      </c>
      <c r="B10" s="21" t="inlineStr">
        <is>
          <t>Nhân viên Bảo vệ</t>
        </is>
      </c>
      <c r="C10" s="22">
        <f>IF('06. NV Bảo vệ'!C4="","",'06. NV Bảo vệ'!C4)</f>
        <v/>
      </c>
      <c r="D10" s="20">
        <f>IF('06. NV Bảo vệ'!G5="",'06. NV Bảo vệ'!G4,'06. NV Bảo vệ'!G5)</f>
        <v/>
      </c>
      <c r="E10" s="72">
        <f>'06. NV Bảo vệ'!C25</f>
        <v/>
      </c>
      <c r="F10" s="73">
        <f>'06. NV Bảo vệ'!C24</f>
        <v/>
      </c>
      <c r="G10" s="74">
        <f>IF(E10="","",F10-E10)</f>
        <v/>
      </c>
      <c r="H10" s="10">
        <f>'06. NV Bảo vệ'!C27</f>
        <v/>
      </c>
      <c r="I10" s="26">
        <f>'06. NV Bảo vệ'!H25</f>
        <v/>
      </c>
      <c r="J10" s="26">
        <f>'06. NV Bảo vệ'!H26</f>
        <v/>
      </c>
      <c r="K10" s="26">
        <f>'06. NV Bảo vệ'!H27</f>
        <v/>
      </c>
      <c r="L10" s="20">
        <f>'06. NV Bảo vệ'!C26</f>
        <v/>
      </c>
    </row>
    <row r="11" ht="20" customHeight="1">
      <c r="A11" s="15" t="n">
        <v>7</v>
      </c>
      <c r="B11" s="11" t="inlineStr">
        <is>
          <t>Nhân viên Tạp vụ – Vệ sinh</t>
        </is>
      </c>
      <c r="C11" s="6">
        <f>IF('07. NV Tạp vụ'!C4="","",'07. NV Tạp vụ'!C4)</f>
        <v/>
      </c>
      <c r="D11" s="15">
        <f>IF('07. NV Tạp vụ'!G5="",'07. NV Tạp vụ'!G4,'07. NV Tạp vụ'!G5)</f>
        <v/>
      </c>
      <c r="E11" s="69">
        <f>'07. NV Tạp vụ'!C25</f>
        <v/>
      </c>
      <c r="F11" s="70">
        <f>'07. NV Tạp vụ'!C24</f>
        <v/>
      </c>
      <c r="G11" s="71">
        <f>IF(E11="","",F11-E11)</f>
        <v/>
      </c>
      <c r="H11" s="10">
        <f>'07. NV Tạp vụ'!C27</f>
        <v/>
      </c>
      <c r="I11" s="19">
        <f>'07. NV Tạp vụ'!H25</f>
        <v/>
      </c>
      <c r="J11" s="19">
        <f>'07. NV Tạp vụ'!H26</f>
        <v/>
      </c>
      <c r="K11" s="19">
        <f>'07. NV Tạp vụ'!H27</f>
        <v/>
      </c>
      <c r="L11" s="15">
        <f>'07. NV Tạp vụ'!C26</f>
        <v/>
      </c>
    </row>
    <row r="12"/>
    <row r="13">
      <c r="B13" s="27" t="inlineStr">
        <is>
          <t>THỐNG KÊ TOÀN PHÒNG</t>
        </is>
      </c>
      <c r="C13" s="75" t="n"/>
    </row>
    <row r="14">
      <c r="B14" s="5" t="inlineStr">
        <is>
          <t>Số vị trí xếp loại Xuất sắc</t>
        </is>
      </c>
      <c r="C14" s="29">
        <f>COUNTIF(H5:H11,"Xuất sắc")</f>
        <v/>
      </c>
    </row>
    <row r="15">
      <c r="B15" s="5" t="inlineStr">
        <is>
          <t>Số vị trí xếp loại Đạt</t>
        </is>
      </c>
      <c r="C15" s="29">
        <f>COUNTIF(H5:H11,"Đạt")</f>
        <v/>
      </c>
    </row>
    <row r="16">
      <c r="B16" s="5" t="inlineStr">
        <is>
          <t>Số vị trí xếp loại Cần cải thiện</t>
        </is>
      </c>
      <c r="C16" s="29">
        <f>COUNTIF(H5:H11,"Cần cải thiện")</f>
        <v/>
      </c>
    </row>
    <row r="17">
      <c r="B17" s="5" t="inlineStr">
        <is>
          <t>Số vị trí chưa chấm / chưa chấm đủ</t>
        </is>
      </c>
      <c r="C17" s="29">
        <f>COUNTIF(H5:H11,"Chưa chấm")+COUNTIF(H5:H11,"Chưa chấm đủ")</f>
        <v/>
      </c>
    </row>
    <row r="18">
      <c r="B18" s="5" t="inlineStr">
        <is>
          <t>Điểm bình quân phòng (vị trí đã chấm đủ)</t>
        </is>
      </c>
      <c r="C18" s="76">
        <f>IFERROR(AVERAGEIFS(F5:F11,H5:H11,"&lt;&gt;Chưa chấm",H5:H11,"&lt;&gt;Chưa chấm đủ"),"")</f>
        <v/>
      </c>
    </row>
    <row r="19"/>
    <row r="20" ht="30" customHeight="1">
      <c r="B20" s="13" t="inlineStr">
        <is>
          <t>Chênh lệch tô đỏ khi điểm chính thức lệch điểm tự đánh giá từ 10 điểm trở lên – nên trao đổi kỹ ở Bước 5. Nhân sự "Cần cải thiện" từ 02 kỳ liên tiếp trở lên thuộc diện đào tạo, kèm cặp (Điều 14).</t>
        </is>
      </c>
    </row>
  </sheetData>
  <mergeCells count="4">
    <mergeCell ref="B13:C13"/>
    <mergeCell ref="B20:L20"/>
    <mergeCell ref="A2:L2"/>
    <mergeCell ref="A1:L1"/>
  </mergeCells>
  <conditionalFormatting sqref="H5:H11">
    <cfRule type="expression" priority="1" dxfId="0">
      <formula>H5="Xuất sắc"</formula>
    </cfRule>
    <cfRule type="expression" priority="2" dxfId="1">
      <formula>H5="Đạt"</formula>
    </cfRule>
    <cfRule type="expression" priority="3" dxfId="2">
      <formula>H5="Cần cải thiện"</formula>
    </cfRule>
    <cfRule type="expression" priority="4" dxfId="3">
      <formula>H5="Chưa chấm đủ"</formula>
    </cfRule>
  </conditionalFormatting>
  <conditionalFormatting sqref="G5:G11">
    <cfRule type="expression" priority="5" dxfId="4">
      <formula>AND(ISNUMBER(G5),ABS(G5)&gt;=10)</formula>
    </cfRule>
  </conditionalFormatting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</hyperlink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SO SÁNH KẾT QUẢ GIỮA CÁC VỊ TRÍ</t>
        </is>
      </c>
    </row>
    <row r="2">
      <c r="A2" s="3" t="inlineStr">
        <is>
          <t xml:space="preserve">Phụ lục 01 · Dữ liệu lấy từ sheet Tổng hợp · KK HOME · </t>
        </is>
      </c>
    </row>
    <row r="3"/>
    <row r="4">
      <c r="A4" s="14" t="inlineStr">
        <is>
          <t>STT</t>
        </is>
      </c>
      <c r="B4" s="14" t="inlineStr">
        <is>
          <t>Vị trí</t>
        </is>
      </c>
      <c r="C4" s="14" t="inlineStr">
        <is>
          <t>Điểm tự ĐG</t>
        </is>
      </c>
      <c r="D4" s="14" t="inlineStr">
        <is>
          <t>Điểm chính thức</t>
        </is>
      </c>
      <c r="E4" s="14" t="inlineStr">
        <is>
          <t>Chuyên môn</t>
        </is>
      </c>
      <c r="F4" s="14" t="inlineStr">
        <is>
          <t>Tuân thủ</t>
        </is>
      </c>
      <c r="G4" s="14" t="inlineStr">
        <is>
          <t>Phối hợp</t>
        </is>
      </c>
    </row>
    <row r="5">
      <c r="A5" s="15" t="n">
        <v>1</v>
      </c>
      <c r="B5" s="6">
        <f>'Tổng hợp'!B5</f>
        <v/>
      </c>
      <c r="C5" s="69">
        <f>IF('Tổng hợp'!E5="",0,'Tổng hợp'!E5)</f>
        <v/>
      </c>
      <c r="D5" s="69">
        <f>'Tổng hợp'!F5</f>
        <v/>
      </c>
      <c r="E5" s="19">
        <f>'Tổng hợp'!I5</f>
        <v/>
      </c>
      <c r="F5" s="19">
        <f>'Tổng hợp'!J5</f>
        <v/>
      </c>
      <c r="G5" s="19">
        <f>'Tổng hợp'!K5</f>
        <v/>
      </c>
    </row>
    <row r="6">
      <c r="A6" s="15" t="n">
        <v>2</v>
      </c>
      <c r="B6" s="6">
        <f>'Tổng hợp'!B6</f>
        <v/>
      </c>
      <c r="C6" s="69">
        <f>IF('Tổng hợp'!E6="",0,'Tổng hợp'!E6)</f>
        <v/>
      </c>
      <c r="D6" s="69">
        <f>'Tổng hợp'!F6</f>
        <v/>
      </c>
      <c r="E6" s="19">
        <f>'Tổng hợp'!I6</f>
        <v/>
      </c>
      <c r="F6" s="19">
        <f>'Tổng hợp'!J6</f>
        <v/>
      </c>
      <c r="G6" s="19">
        <f>'Tổng hợp'!K6</f>
        <v/>
      </c>
    </row>
    <row r="7">
      <c r="A7" s="15" t="n">
        <v>3</v>
      </c>
      <c r="B7" s="6">
        <f>'Tổng hợp'!B7</f>
        <v/>
      </c>
      <c r="C7" s="69">
        <f>IF('Tổng hợp'!E7="",0,'Tổng hợp'!E7)</f>
        <v/>
      </c>
      <c r="D7" s="69">
        <f>'Tổng hợp'!F7</f>
        <v/>
      </c>
      <c r="E7" s="19">
        <f>'Tổng hợp'!I7</f>
        <v/>
      </c>
      <c r="F7" s="19">
        <f>'Tổng hợp'!J7</f>
        <v/>
      </c>
      <c r="G7" s="19">
        <f>'Tổng hợp'!K7</f>
        <v/>
      </c>
    </row>
    <row r="8">
      <c r="A8" s="15" t="n">
        <v>4</v>
      </c>
      <c r="B8" s="6">
        <f>'Tổng hợp'!B8</f>
        <v/>
      </c>
      <c r="C8" s="69">
        <f>IF('Tổng hợp'!E8="",0,'Tổng hợp'!E8)</f>
        <v/>
      </c>
      <c r="D8" s="69">
        <f>'Tổng hợp'!F8</f>
        <v/>
      </c>
      <c r="E8" s="19">
        <f>'Tổng hợp'!I8</f>
        <v/>
      </c>
      <c r="F8" s="19">
        <f>'Tổng hợp'!J8</f>
        <v/>
      </c>
      <c r="G8" s="19">
        <f>'Tổng hợp'!K8</f>
        <v/>
      </c>
    </row>
    <row r="9">
      <c r="A9" s="15" t="n">
        <v>5</v>
      </c>
      <c r="B9" s="6">
        <f>'Tổng hợp'!B9</f>
        <v/>
      </c>
      <c r="C9" s="69">
        <f>IF('Tổng hợp'!E9="",0,'Tổng hợp'!E9)</f>
        <v/>
      </c>
      <c r="D9" s="69">
        <f>'Tổng hợp'!F9</f>
        <v/>
      </c>
      <c r="E9" s="19">
        <f>'Tổng hợp'!I9</f>
        <v/>
      </c>
      <c r="F9" s="19">
        <f>'Tổng hợp'!J9</f>
        <v/>
      </c>
      <c r="G9" s="19">
        <f>'Tổng hợp'!K9</f>
        <v/>
      </c>
    </row>
    <row r="10">
      <c r="A10" s="15" t="n">
        <v>6</v>
      </c>
      <c r="B10" s="6">
        <f>'Tổng hợp'!B10</f>
        <v/>
      </c>
      <c r="C10" s="69">
        <f>IF('Tổng hợp'!E10="",0,'Tổng hợp'!E10)</f>
        <v/>
      </c>
      <c r="D10" s="69">
        <f>'Tổng hợp'!F10</f>
        <v/>
      </c>
      <c r="E10" s="19">
        <f>'Tổng hợp'!I10</f>
        <v/>
      </c>
      <c r="F10" s="19">
        <f>'Tổng hợp'!J10</f>
        <v/>
      </c>
      <c r="G10" s="19">
        <f>'Tổng hợp'!K10</f>
        <v/>
      </c>
    </row>
    <row r="11">
      <c r="A11" s="15" t="n">
        <v>7</v>
      </c>
      <c r="B11" s="6">
        <f>'Tổng hợp'!B11</f>
        <v/>
      </c>
      <c r="C11" s="69">
        <f>IF('Tổng hợp'!E11="",0,'Tổng hợp'!E11)</f>
        <v/>
      </c>
      <c r="D11" s="69">
        <f>'Tổng hợp'!F11</f>
        <v/>
      </c>
      <c r="E11" s="19">
        <f>'Tổng hợp'!I11</f>
        <v/>
      </c>
      <c r="F11" s="19">
        <f>'Tổng hợp'!J11</f>
        <v/>
      </c>
      <c r="G11" s="19">
        <f>'Tổng hợp'!K11</f>
        <v/>
      </c>
    </row>
    <row r="12"/>
    <row r="13">
      <c r="A13" s="13" t="inlineStr">
        <is>
          <t>Biểu đồ tự cập nhật khi chấm điểm ở các sheet vị trí. Vị trí chưa chấm hiển thị 0.</t>
        </is>
      </c>
    </row>
  </sheetData>
  <mergeCells count="3">
    <mergeCell ref="A13:G13"/>
    <mergeCell ref="A2:G2"/>
    <mergeCell ref="A1:G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NGUYÊN TẮC CHẤM ĐIỂM KPI</t>
        </is>
      </c>
    </row>
    <row r="2">
      <c r="A2" s="3" t="inlineStr">
        <is>
          <t xml:space="preserve">Phụ lục 01 · Căn cứ Điều 4, 6, 7, 10, 12, 13 Quy chế · KK HOME · </t>
        </is>
      </c>
    </row>
    <row r="3"/>
    <row r="4">
      <c r="B4" s="4" t="inlineStr">
        <is>
          <t>1. THANG ĐIỂM 1–5 (Điều 6)</t>
        </is>
      </c>
    </row>
    <row r="5">
      <c r="B5" s="31" t="inlineStr">
        <is>
          <t>Điểm</t>
        </is>
      </c>
      <c r="C5" s="31" t="inlineStr">
        <is>
          <t>Xếp hạng</t>
        </is>
      </c>
      <c r="D5" s="31" t="inlineStr">
        <is>
          <t>Diễn giải</t>
        </is>
      </c>
      <c r="E5" s="77" t="n"/>
      <c r="F5" s="77" t="n"/>
      <c r="G5" s="75" t="n"/>
    </row>
    <row r="6">
      <c r="B6" s="33" t="n">
        <v>5</v>
      </c>
      <c r="C6" s="34" t="inlineStr">
        <is>
          <t>Tuyệt vời</t>
        </is>
      </c>
      <c r="D6" s="35" t="inlineStr">
        <is>
          <t>Hoàn thành xuất sắc, vượt mong đợi, tự giác và chủ động</t>
        </is>
      </c>
      <c r="E6" s="77" t="n"/>
      <c r="F6" s="77" t="n"/>
      <c r="G6" s="75" t="n"/>
    </row>
    <row r="7">
      <c r="B7" s="33" t="n">
        <v>4</v>
      </c>
      <c r="C7" s="34" t="inlineStr">
        <is>
          <t>Tốt</t>
        </is>
      </c>
      <c r="D7" s="35" t="inlineStr">
        <is>
          <t>Hoàn thành tốt, đạt hoặc vượt mục tiêu đề ra</t>
        </is>
      </c>
      <c r="E7" s="77" t="n"/>
      <c r="F7" s="77" t="n"/>
      <c r="G7" s="75" t="n"/>
    </row>
    <row r="8">
      <c r="B8" s="33" t="n">
        <v>3</v>
      </c>
      <c r="C8" s="34" t="inlineStr">
        <is>
          <t>Bình thường</t>
        </is>
      </c>
      <c r="D8" s="35" t="inlineStr">
        <is>
          <t>Đáp ứng đủ yêu cầu cơ bản</t>
        </is>
      </c>
      <c r="E8" s="77" t="n"/>
      <c r="F8" s="77" t="n"/>
      <c r="G8" s="75" t="n"/>
    </row>
    <row r="9">
      <c r="B9" s="33" t="n">
        <v>2</v>
      </c>
      <c r="C9" s="34" t="inlineStr">
        <is>
          <t>Chưa đạt</t>
        </is>
      </c>
      <c r="D9" s="35" t="inlineStr">
        <is>
          <t>Chưa hoàn thành tốt, có lỗi nhỏ, cần cải thiện</t>
        </is>
      </c>
      <c r="E9" s="77" t="n"/>
      <c r="F9" s="77" t="n"/>
      <c r="G9" s="75" t="n"/>
    </row>
    <row r="10">
      <c r="B10" s="33" t="n">
        <v>1</v>
      </c>
      <c r="C10" s="34" t="inlineStr">
        <is>
          <t>Kém</t>
        </is>
      </c>
      <c r="D10" s="35" t="inlineStr">
        <is>
          <t>Chưa hoàn thành, cần hỗ trợ nhiều, sai sót lớn</t>
        </is>
      </c>
      <c r="E10" s="77" t="n"/>
      <c r="F10" s="77" t="n"/>
      <c r="G10" s="75" t="n"/>
    </row>
    <row r="11">
      <c r="B11" s="37" t="inlineStr">
        <is>
          <t>Kết quả dao động giữa hai mức liền kề: được chấm điểm trung bình (VD: 3.5).</t>
        </is>
      </c>
    </row>
    <row r="12"/>
    <row r="13">
      <c r="B13" s="4" t="inlineStr">
        <is>
          <t>2. CÔNG THỨC &amp; XẾP LOẠI (Điều 7, Điều 13)</t>
        </is>
      </c>
    </row>
    <row r="14">
      <c r="B14" s="38" t="inlineStr">
        <is>
          <t>Điểm quy đổi tiêu chí</t>
        </is>
      </c>
      <c r="C14" s="35" t="inlineStr">
        <is>
          <t>Điểm chấm ÷ 5 × Trọng số × 100</t>
        </is>
      </c>
      <c r="D14" s="77" t="n"/>
      <c r="E14" s="77" t="n"/>
      <c r="F14" s="77" t="n"/>
      <c r="G14" s="75" t="n"/>
    </row>
    <row r="15">
      <c r="B15" s="38" t="inlineStr">
        <is>
          <t>Tổng điểm vị trí</t>
        </is>
      </c>
      <c r="C15" s="35" t="inlineStr">
        <is>
          <t>Cộng điểm quy đổi các tiêu chí (tối đa 100)</t>
        </is>
      </c>
      <c r="D15" s="77" t="n"/>
      <c r="E15" s="77" t="n"/>
      <c r="F15" s="77" t="n"/>
      <c r="G15" s="75" t="n"/>
    </row>
    <row r="16">
      <c r="B16" s="38" t="inlineStr">
        <is>
          <t>Xuất sắc</t>
        </is>
      </c>
      <c r="C16" s="35" t="inlineStr">
        <is>
          <t>Tổng điểm ≥ 80</t>
        </is>
      </c>
      <c r="D16" s="77" t="n"/>
      <c r="E16" s="77" t="n"/>
      <c r="F16" s="77" t="n"/>
      <c r="G16" s="75" t="n"/>
    </row>
    <row r="17">
      <c r="B17" s="38" t="inlineStr">
        <is>
          <t>Đạt</t>
        </is>
      </c>
      <c r="C17" s="35" t="inlineStr">
        <is>
          <t>Từ 70 đến dưới 80</t>
        </is>
      </c>
      <c r="D17" s="77" t="n"/>
      <c r="E17" s="77" t="n"/>
      <c r="F17" s="77" t="n"/>
      <c r="G17" s="75" t="n"/>
    </row>
    <row r="18">
      <c r="B18" s="38" t="inlineStr">
        <is>
          <t>Cần cải thiện</t>
        </is>
      </c>
      <c r="C18" s="35" t="inlineStr">
        <is>
          <t>Dưới 70</t>
        </is>
      </c>
      <c r="D18" s="77" t="n"/>
      <c r="E18" s="77" t="n"/>
      <c r="F18" s="77" t="n"/>
      <c r="G18" s="75" t="n"/>
    </row>
    <row r="19"/>
    <row r="20">
      <c r="B20" s="4" t="inlineStr">
        <is>
          <t>3. GỢI Ý QUY ĐỔI CHỨNG CỨ RA ĐIỂM (mẫu – điều chỉnh theo mục tiêu đã duyệt từng kỳ)</t>
        </is>
      </c>
    </row>
    <row r="21">
      <c r="B21" s="31" t="inlineStr">
        <is>
          <t>Loại chỉ số</t>
        </is>
      </c>
      <c r="C21" s="31" t="inlineStr">
        <is>
          <t>Điểm 5</t>
        </is>
      </c>
      <c r="D21" s="31" t="inlineStr">
        <is>
          <t>Điểm 4</t>
        </is>
      </c>
      <c r="E21" s="31" t="inlineStr">
        <is>
          <t>Điểm 3</t>
        </is>
      </c>
      <c r="F21" s="31" t="inlineStr">
        <is>
          <t>Điểm 2</t>
        </is>
      </c>
      <c r="G21" s="31" t="inlineStr">
        <is>
          <t>Điểm 1</t>
        </is>
      </c>
    </row>
    <row r="22" ht="38" customHeight="1">
      <c r="B22" s="38" t="inlineStr">
        <is>
          <t>Mức hài lòng nội bộ về dịch vụ hành chính (thang 5)</t>
        </is>
      </c>
      <c r="C22" s="35" t="inlineStr">
        <is>
          <t>≥ 4,5</t>
        </is>
      </c>
      <c r="D22" s="35" t="inlineStr">
        <is>
          <t>4,0 – dưới 4,5</t>
        </is>
      </c>
      <c r="E22" s="35" t="inlineStr">
        <is>
          <t>3,5 – dưới 4,0</t>
        </is>
      </c>
      <c r="F22" s="35" t="inlineStr">
        <is>
          <t>3,0 – dưới 3,5</t>
        </is>
      </c>
      <c r="G22" s="35" t="inlineStr">
        <is>
          <t>Dưới 3,0</t>
        </is>
      </c>
    </row>
    <row r="23" ht="38" customHeight="1">
      <c r="B23" s="38" t="inlineStr">
        <is>
          <t>Thời gian xử lý yêu cầu hành chính</t>
        </is>
      </c>
      <c r="C23" s="35" t="inlineStr">
        <is>
          <t>Nhanh hơn định mức, không tồn đọng</t>
        </is>
      </c>
      <c r="D23" s="35" t="inlineStr">
        <is>
          <t>Đúng định mức</t>
        </is>
      </c>
      <c r="E23" s="35" t="inlineStr">
        <is>
          <t>≥ 90% đúng định mức</t>
        </is>
      </c>
      <c r="F23" s="35" t="inlineStr">
        <is>
          <t>75% – dưới 90%</t>
        </is>
      </c>
      <c r="G23" s="35" t="inlineStr">
        <is>
          <t>Dưới 75% hoặc tồn đọng kéo dài</t>
        </is>
      </c>
    </row>
    <row r="24" ht="38" customHeight="1">
      <c r="B24" s="38" t="inlineStr">
        <is>
          <t>Chi phí hành chính so với ngân sách</t>
        </is>
      </c>
      <c r="C24" s="35" t="inlineStr">
        <is>
          <t>Tiết kiệm ≥ 10%, vẫn đảm bảo dịch vụ</t>
        </is>
      </c>
      <c r="D24" s="35" t="inlineStr">
        <is>
          <t>Trong ngân sách</t>
        </is>
      </c>
      <c r="E24" s="35" t="inlineStr">
        <is>
          <t>Vượt ≤ 5%, có giải trình được duyệt</t>
        </is>
      </c>
      <c r="F24" s="35" t="inlineStr">
        <is>
          <t>Vượt 5% – 10%</t>
        </is>
      </c>
      <c r="G24" s="35" t="inlineStr">
        <is>
          <t>Vượt &gt; 10%</t>
        </is>
      </c>
    </row>
    <row r="25" ht="38" customHeight="1">
      <c r="B25" s="38" t="inlineStr">
        <is>
          <t>Sai sót văn bản, hồ sơ, con dấu</t>
        </is>
      </c>
      <c r="C25" s="35" t="inlineStr">
        <is>
          <t>0 lỗi, chủ động phát hiện lỗi khâu khác</t>
        </is>
      </c>
      <c r="D25" s="35" t="inlineStr">
        <is>
          <t>0 lỗi</t>
        </is>
      </c>
      <c r="E25" s="35" t="inlineStr">
        <is>
          <t>1–2 lỗi nhỏ, sửa kịp</t>
        </is>
      </c>
      <c r="F25" s="35" t="inlineStr">
        <is>
          <t>≥ 3 lỗi hoặc 1 lỗi phải thu hồi văn bản</t>
        </is>
      </c>
      <c r="G25" s="35" t="inlineStr">
        <is>
          <t>Lỗi gây thiệt hại pháp lý, mất hồ sơ</t>
        </is>
      </c>
    </row>
    <row r="26" ht="38" customHeight="1">
      <c r="B26" s="38" t="inlineStr">
        <is>
          <t>An ninh, an toàn văn phòng</t>
        </is>
      </c>
      <c r="C26" s="35" t="inlineStr">
        <is>
          <t>Không sự cố, chủ động khắc phục nguy cơ</t>
        </is>
      </c>
      <c r="D26" s="35" t="inlineStr">
        <is>
          <t>Không sự cố</t>
        </is>
      </c>
      <c r="E26" s="35" t="inlineStr">
        <is>
          <t>Sự cố nhỏ, xử lý kịp</t>
        </is>
      </c>
      <c r="F26" s="35" t="inlineStr">
        <is>
          <t>Sự cố lặp lại do chủ quan</t>
        </is>
      </c>
      <c r="G26" s="35" t="inlineStr">
        <is>
          <t>Mất tài sản, cháy nổ, tai nạn</t>
        </is>
      </c>
    </row>
    <row r="27" ht="38" customHeight="1">
      <c r="B27" s="38" t="inlineStr">
        <is>
          <t>Chấp hành nội quy, giờ giấc</t>
        </is>
      </c>
      <c r="C27" s="35" t="inlineStr">
        <is>
          <t>Không vi phạm, là tấm gương</t>
        </is>
      </c>
      <c r="D27" s="35" t="inlineStr">
        <is>
          <t>Không vi phạm</t>
        </is>
      </c>
      <c r="E27" s="35" t="inlineStr">
        <is>
          <t>1 lần nhắc nhở</t>
        </is>
      </c>
      <c r="F27" s="35" t="inlineStr">
        <is>
          <t>2–3 lần vi phạm</t>
        </is>
      </c>
      <c r="G27" s="35" t="inlineStr">
        <is>
          <t>Vi phạm nghiêm trọng hoặc lặp lại nhiều lần</t>
        </is>
      </c>
    </row>
    <row r="28"/>
    <row r="29">
      <c r="B29" s="4" t="inlineStr">
        <is>
          <t>4. NGUYÊN TẮC ĐÁNH GIÁ (Điều 4, Điều 12)</t>
        </is>
      </c>
    </row>
    <row r="30">
      <c r="B30" s="38" t="inlineStr">
        <is>
          <t>Khách quan</t>
        </is>
      </c>
      <c r="C30" s="35" t="inlineStr">
        <is>
          <t>Chấm theo kết quả thực tế, không theo thiện cảm cá nhân.</t>
        </is>
      </c>
      <c r="D30" s="77" t="n"/>
      <c r="E30" s="77" t="n"/>
      <c r="F30" s="77" t="n"/>
      <c r="G30" s="75" t="n"/>
    </row>
    <row r="31">
      <c r="B31" s="38" t="inlineStr">
        <is>
          <t>Công bằng</t>
        </is>
      </c>
      <c r="C31" s="35" t="inlineStr">
        <is>
          <t>Cùng vị trí dùng chung bộ tiêu chí, trọng số, thang điểm.</t>
        </is>
      </c>
      <c r="D31" s="77" t="n"/>
      <c r="E31" s="77" t="n"/>
      <c r="F31" s="77" t="n"/>
      <c r="G31" s="75" t="n"/>
    </row>
    <row r="32">
      <c r="B32" s="38" t="inlineStr">
        <is>
          <t>Công khai</t>
        </is>
      </c>
      <c r="C32" s="35" t="inlineStr">
        <is>
          <t>Tiêu chí, trọng số, chỉ tiêu định lượng phổ biến cho nhân sự trước kỳ đánh giá.</t>
        </is>
      </c>
      <c r="D32" s="77" t="n"/>
      <c r="E32" s="77" t="n"/>
      <c r="F32" s="77" t="n"/>
      <c r="G32" s="75" t="n"/>
    </row>
    <row r="33">
      <c r="B33" s="38" t="inlineStr">
        <is>
          <t>Định kỳ</t>
        </is>
      </c>
      <c r="C33" s="35" t="inlineStr">
        <is>
          <t>Loại kỳ (Tháng/Quý/Năm) áp dụng thống nhất cho toàn phòng trong cùng chu kỳ.</t>
        </is>
      </c>
      <c r="D33" s="77" t="n"/>
      <c r="E33" s="77" t="n"/>
      <c r="F33" s="77" t="n"/>
      <c r="G33" s="75" t="n"/>
    </row>
    <row r="34">
      <c r="B34" s="38" t="inlineStr">
        <is>
          <t>Có phản hồi</t>
        </is>
      </c>
      <c r="C34" s="35" t="inlineStr">
        <is>
          <t>Trao đổi kết quả trực tiếp, thống nhất kế hoạch cải thiện.</t>
        </is>
      </c>
      <c r="D34" s="77" t="n"/>
      <c r="E34" s="77" t="n"/>
      <c r="F34" s="77" t="n"/>
      <c r="G34" s="75" t="n"/>
    </row>
    <row r="35">
      <c r="B35" s="38" t="inlineStr">
        <is>
          <t>Có chứng cứ</t>
        </is>
      </c>
      <c r="C35" s="35" t="inlineStr">
        <is>
          <t>Số liệu, thời hạn, biên bản, báo cáo. Điểm ≤ 1,5 hoặc = 5 phải ghi lý do ở cột Ghi chú.</t>
        </is>
      </c>
      <c r="D35" s="77" t="n"/>
      <c r="E35" s="77" t="n"/>
      <c r="F35" s="77" t="n"/>
      <c r="G35" s="75" t="n"/>
    </row>
    <row r="36"/>
    <row r="37">
      <c r="B37" s="4" t="inlineStr">
        <is>
          <t>5. QUY TRÌNH 6 BƯỚC (Điều 10)</t>
        </is>
      </c>
    </row>
    <row r="38">
      <c r="B38" s="38" t="inlineStr">
        <is>
          <t>Bước 1 – Chuẩn bị</t>
        </is>
      </c>
      <c r="C38" s="35" t="inlineStr">
        <is>
          <t>Xác định kỳ, thông báo lịch, phổ biến tiêu chí.</t>
        </is>
      </c>
      <c r="D38" s="77" t="n"/>
      <c r="E38" s="77" t="n"/>
      <c r="F38" s="77" t="n"/>
      <c r="G38" s="75" t="n"/>
    </row>
    <row r="39">
      <c r="B39" s="38" t="inlineStr">
        <is>
          <t>Bước 2 – Tự đánh giá</t>
        </is>
      </c>
      <c r="C39" s="35" t="inlineStr">
        <is>
          <t>Nhân sự chấm cột F.</t>
        </is>
      </c>
      <c r="D39" s="77" t="n"/>
      <c r="E39" s="77" t="n"/>
      <c r="F39" s="77" t="n"/>
      <c r="G39" s="75" t="n"/>
    </row>
    <row r="40">
      <c r="B40" s="38" t="inlineStr">
        <is>
          <t>Bước 3 – Quản lý chấm</t>
        </is>
      </c>
      <c r="C40" s="35" t="inlineStr">
        <is>
          <t>Quản lý trực tiếp chấm chính thức cột G, dựa trên chứng cứ.</t>
        </is>
      </c>
      <c r="D40" s="77" t="n"/>
      <c r="E40" s="77" t="n"/>
      <c r="F40" s="77" t="n"/>
      <c r="G40" s="75" t="n"/>
    </row>
    <row r="41">
      <c r="B41" s="38" t="inlineStr">
        <is>
          <t>Bước 4 – Tổng hợp</t>
        </is>
      </c>
      <c r="C41" s="35" t="inlineStr">
        <is>
          <t>File tự tính điểm quy đổi, xếp loại; sheet Tổng hợp tự cập nhật.</t>
        </is>
      </c>
      <c r="D41" s="77" t="n"/>
      <c r="E41" s="77" t="n"/>
      <c r="F41" s="77" t="n"/>
      <c r="G41" s="75" t="n"/>
    </row>
    <row r="42">
      <c r="B42" s="38" t="inlineStr">
        <is>
          <t>Bước 5 – Phản hồi</t>
        </is>
      </c>
      <c r="C42" s="35" t="inlineStr">
        <is>
          <t>Trao đổi kết quả, ghi nhận xét và kế hoạch cải thiện cuối sheet vị trí.</t>
        </is>
      </c>
      <c r="D42" s="77" t="n"/>
      <c r="E42" s="77" t="n"/>
      <c r="F42" s="77" t="n"/>
      <c r="G42" s="75" t="n"/>
    </row>
    <row r="43">
      <c r="B43" s="38" t="inlineStr">
        <is>
          <t>Bước 6 – Phê duyệt, lưu trữ</t>
        </is>
      </c>
      <c r="C43" s="35" t="inlineStr">
        <is>
          <t>Trình người có thẩm quyền ký duyệt; lưu hồ sơ làm căn cứ lương, thưởng, quy hoạch.</t>
        </is>
      </c>
      <c r="D43" s="77" t="n"/>
      <c r="E43" s="77" t="n"/>
      <c r="F43" s="77" t="n"/>
      <c r="G43" s="75" t="n"/>
    </row>
  </sheetData>
  <mergeCells count="31">
    <mergeCell ref="C30:G30"/>
    <mergeCell ref="D9:G9"/>
    <mergeCell ref="C34:G34"/>
    <mergeCell ref="D8:G8"/>
    <mergeCell ref="C42:G42"/>
    <mergeCell ref="C15:G15"/>
    <mergeCell ref="C33:G33"/>
    <mergeCell ref="B13:G13"/>
    <mergeCell ref="C14:G14"/>
    <mergeCell ref="D5:G5"/>
    <mergeCell ref="B29:G29"/>
    <mergeCell ref="C35:G35"/>
    <mergeCell ref="B37:G37"/>
    <mergeCell ref="C16:G16"/>
    <mergeCell ref="C41:G41"/>
    <mergeCell ref="C31:G31"/>
    <mergeCell ref="D10:G10"/>
    <mergeCell ref="C40:G40"/>
    <mergeCell ref="B20:G20"/>
    <mergeCell ref="A1:G1"/>
    <mergeCell ref="C43:G43"/>
    <mergeCell ref="D6:G6"/>
    <mergeCell ref="B4:G4"/>
    <mergeCell ref="C39:G39"/>
    <mergeCell ref="C17:G17"/>
    <mergeCell ref="C32:G32"/>
    <mergeCell ref="C38:G38"/>
    <mergeCell ref="D7:G7"/>
    <mergeCell ref="A2:G2"/>
    <mergeCell ref="C18:G18"/>
    <mergeCell ref="B11:G1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6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TRƯỞNG PHÒNG HÀNH CHÍNH</t>
        </is>
      </c>
    </row>
    <row r="2">
      <c r="A2" s="3" t="inlineStr">
        <is>
          <t xml:space="preserve">Phòng Hành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Hành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Đảm bảo điều kiện làm việc văn phòng</t>
        </is>
      </c>
      <c r="D10" s="45" t="inlineStr">
        <is>
          <t>Mức hài lòng nội bộ về cơ sở vật chất, dịch vụ hành chính ≥ 4,0/5</t>
        </is>
      </c>
      <c r="E10" s="46" t="n">
        <v>0.1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Quản lý chi phí hành chính</t>
        </is>
      </c>
      <c r="D11" s="45" t="inlineStr">
        <is>
          <t>Chi phí văn phòng phẩm, điện nước, xe, tiếp khách so với ngân sách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Quản lý tài sản, công cụ dụng cụ</t>
        </is>
      </c>
      <c r="D12" s="45" t="inlineStr">
        <is>
          <t>Sổ theo dõi tài sản cập nhật; kiểm kê định kỳ khớp; không thất thoát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Hệ thống văn bản, con dấu &amp; lưu trữ</t>
        </is>
      </c>
      <c r="D13" s="45" t="inlineStr">
        <is>
          <t>Quy trình ban hành văn bản, quản lý con dấu, lưu trữ vận hành đúng quy định</t>
        </is>
      </c>
      <c r="E13" s="46" t="n">
        <v>0.1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PCCC, an ninh &amp; an toàn văn phòng</t>
        </is>
      </c>
      <c r="D14" s="45" t="inlineStr">
        <is>
          <t>Hồ sơ PCCC, diễn tập đúng kỳ; không xảy ra mất mát, cháy nổ</t>
        </is>
      </c>
      <c r="E14" s="46" t="n">
        <v>0.15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Quản lý hợp đồng dịch vụ hành chính</t>
        </is>
      </c>
      <c r="D15" s="45" t="inlineStr">
        <is>
          <t>Hợp đồng thuê văn phòng, bảo vệ, vệ sinh, xe được gia hạn đúng hạn, nghiệm thu đầy đủ</t>
        </is>
      </c>
      <c r="E15" s="46" t="n">
        <v>0.1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50" t="n"/>
      <c r="C16" s="44" t="inlineStr">
        <is>
          <t>Tổ chức sự kiện nội bộ đúng kế hoạch</t>
        </is>
      </c>
      <c r="D16" s="45" t="inlineStr">
        <is>
          <t>Họp, hội nghị, sự kiện nội bộ chuẩn bị đúng tiến độ, trong ngân sách</t>
        </is>
      </c>
      <c r="E16" s="46" t="n">
        <v>0.1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2" t="inlineStr">
        <is>
          <t>Phối hợp - Thái độ</t>
        </is>
      </c>
      <c r="C17" s="44" t="inlineStr">
        <is>
          <t>Lãnh đạo &amp; phát triển đội ngũ</t>
        </is>
      </c>
      <c r="D17" s="45" t="inlineStr">
        <is>
          <t>Điểm KPI bình quân của phòng; phân công rõ ràng, kèm cặp nhân viên</t>
        </is>
      </c>
      <c r="E17" s="46" t="n">
        <v>0.1</v>
      </c>
      <c r="F17" s="79" t="n"/>
      <c r="G17" s="79" t="n"/>
      <c r="H17" s="76">
        <f>IF(ISNUMBER(G17),G17/5*E17*100,0)</f>
        <v/>
      </c>
      <c r="I17" s="48" t="n"/>
      <c r="J17" t="inlineStr">
        <is>
          <t>PH</t>
        </is>
      </c>
    </row>
    <row r="18" ht="34" customHeight="1">
      <c r="A18" s="15" t="n">
        <v>9</v>
      </c>
      <c r="B18" s="49" t="n"/>
      <c r="C18" s="44" t="inlineStr">
        <is>
          <t>Phối hợp &amp; hỗ trợ các phòng ban</t>
        </is>
      </c>
      <c r="D18" s="45" t="inlineStr">
        <is>
          <t>Thời gian xử lý yêu cầu hành chính; phản hồi của trưởng các phòng ban</t>
        </is>
      </c>
      <c r="E18" s="46" t="n">
        <v>0.08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50" t="n"/>
      <c r="C19" s="44" t="inlineStr">
        <is>
          <t>Cải tiến &amp; số hóa hành chính</t>
        </is>
      </c>
      <c r="D19" s="45" t="inlineStr">
        <is>
          <t>Số quy trình được số hóa (đặt xe, đặt phòng họp, văn bản điện tử) được áp dụng</t>
        </is>
      </c>
      <c r="E19" s="46" t="n">
        <v>0.07000000000000001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22" customHeight="1">
      <c r="A20" s="53" t="inlineStr">
        <is>
          <t>TỔNG CỘNG</t>
        </is>
      </c>
      <c r="B20" s="77" t="n"/>
      <c r="C20" s="77" t="n"/>
      <c r="D20" s="75" t="n"/>
      <c r="E20" s="55">
        <f>SUM(E10:E19)</f>
        <v/>
      </c>
      <c r="F20" s="54" t="n"/>
      <c r="G20" s="54" t="n"/>
      <c r="H20" s="80">
        <f>SUM(H10:H19)</f>
        <v/>
      </c>
      <c r="I20" s="54" t="n"/>
    </row>
    <row r="21"/>
    <row r="22">
      <c r="A22" s="27" t="inlineStr">
        <is>
          <t>KẾT QUẢ ĐÁNH GIÁ</t>
        </is>
      </c>
      <c r="B22" s="77" t="n"/>
      <c r="C22" s="75" t="n"/>
      <c r="D22" s="27" t="inlineStr">
        <is>
          <t>ĐIỂM THEO NHÓM TIÊU CHÍ</t>
        </is>
      </c>
      <c r="E22" s="77" t="n"/>
      <c r="F22" s="77" t="n"/>
      <c r="G22" s="77" t="n"/>
      <c r="H22" s="75" t="n"/>
    </row>
    <row r="23" ht="20" customHeight="1">
      <c r="A23" s="5" t="inlineStr">
        <is>
          <t>Tổng điểm chính thức</t>
        </is>
      </c>
      <c r="B23" s="75" t="n"/>
      <c r="C23" s="81">
        <f>H20</f>
        <v/>
      </c>
      <c r="D23" s="58" t="inlineStr">
        <is>
          <t>Nhóm tiêu chí</t>
        </is>
      </c>
      <c r="E23" s="59" t="inlineStr">
        <is>
          <t>Trọng số</t>
        </is>
      </c>
      <c r="F23" s="59" t="inlineStr">
        <is>
          <t>Điểm tối đa</t>
        </is>
      </c>
      <c r="G23" s="59" t="inlineStr">
        <is>
          <t>Điểm đạt</t>
        </is>
      </c>
      <c r="H23" s="59" t="inlineStr">
        <is>
          <t>Tỷ lệ đạt</t>
        </is>
      </c>
    </row>
    <row r="24" ht="20" customHeight="1">
      <c r="A24" s="5" t="inlineStr">
        <is>
          <t>Điểm tự đánh giá</t>
        </is>
      </c>
      <c r="B24" s="75" t="n"/>
      <c r="C24" s="76">
        <f>IF(COUNT(F10:F19)=0,"",SUMPRODUCT(F10:F19,E10:E19)/5*100)</f>
        <v/>
      </c>
      <c r="D24" s="60" t="inlineStr">
        <is>
          <t>Chuyên môn - Nghiệp vụ</t>
        </is>
      </c>
      <c r="E24" s="19">
        <f>SUMIF($J$10:$J$19,"CM",$E$10:$E$19)</f>
        <v/>
      </c>
      <c r="F24" s="69">
        <f>E24*100</f>
        <v/>
      </c>
      <c r="G24" s="69">
        <f>SUMIF($J$10:$J$19,"CM",$H$10:$H$19)</f>
        <v/>
      </c>
      <c r="H24" s="61">
        <f>IF(F24=0,0,G24/F24)</f>
        <v/>
      </c>
    </row>
    <row r="25" ht="20" customHeight="1">
      <c r="A25" s="5" t="inlineStr">
        <is>
          <t>Tiêu chí đã chấm</t>
        </is>
      </c>
      <c r="B25" s="75" t="n"/>
      <c r="C25" s="62">
        <f>COUNT(G10:G19)&amp;" / 10"</f>
        <v/>
      </c>
      <c r="D25" s="63" t="inlineStr">
        <is>
          <t>Tuân thủ - Thời hạn</t>
        </is>
      </c>
      <c r="E25" s="19">
        <f>SUMIF($J$10:$J$19,"TT",$E$10:$E$19)</f>
        <v/>
      </c>
      <c r="F25" s="69">
        <f>E25*100</f>
        <v/>
      </c>
      <c r="G25" s="69">
        <f>SUMIF($J$10:$J$19,"TT",$H$10:$H$19)</f>
        <v/>
      </c>
      <c r="H25" s="61">
        <f>IF(F25=0,0,G25/F25)</f>
        <v/>
      </c>
    </row>
    <row r="26" ht="20" customHeight="1">
      <c r="A26" s="5" t="inlineStr">
        <is>
          <t>Xếp loại</t>
        </is>
      </c>
      <c r="B26" s="75" t="n"/>
      <c r="C26" s="64">
        <f>IF(COUNT(G10:G19)=0,"Chưa chấm",IF(COUNT(G10:G19)&lt;10,"Chưa chấm đủ",IF(H20&gt;=80,"Xuất sắc",IF(H20&gt;=70,"Đạt","Cần cải thiện"))))</f>
        <v/>
      </c>
      <c r="D26" s="65" t="inlineStr">
        <is>
          <t>Phối hợp - Thái độ</t>
        </is>
      </c>
      <c r="E26" s="19">
        <f>SUMIF($J$10:$J$19,"PH",$E$10:$E$19)</f>
        <v/>
      </c>
      <c r="F26" s="69">
        <f>E26*100</f>
        <v/>
      </c>
      <c r="G26" s="69">
        <f>SUMIF($J$10:$J$19,"PH",$H$10:$H$19)</f>
        <v/>
      </c>
      <c r="H26" s="61">
        <f>IF(F26=0,0,G26/F26)</f>
        <v/>
      </c>
    </row>
    <row r="27" ht="20" customHeight="1">
      <c r="A27" s="5" t="inlineStr">
        <is>
          <t>Kiểm tra trọng số</t>
        </is>
      </c>
      <c r="B27" s="75" t="n"/>
      <c r="C27" s="62">
        <f>IF(ROUND(E20,4)=1,"Hợp lệ – 100%","SAI – tổng trọng số phải = 100%")</f>
        <v/>
      </c>
    </row>
    <row r="28"/>
    <row r="29">
      <c r="A29" s="27" t="inlineStr">
        <is>
          <t>NHẬN XÉT &amp; KẾ HOẠCH CẢI THIỆN (Bước 5 – phản hồi kết quả)</t>
        </is>
      </c>
      <c r="B29" s="77" t="n"/>
      <c r="C29" s="77" t="n"/>
      <c r="D29" s="77" t="n"/>
      <c r="E29" s="77" t="n"/>
      <c r="F29" s="77" t="n"/>
      <c r="G29" s="77" t="n"/>
      <c r="H29" s="77" t="n"/>
      <c r="I29" s="75" t="n"/>
    </row>
    <row r="30" ht="36" customHeight="1">
      <c r="A30" s="5" t="inlineStr">
        <is>
          <t>Điểm mạnh</t>
        </is>
      </c>
      <c r="B30" s="75" t="n"/>
      <c r="C30" s="66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Cần cải thiện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Kế hoạch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Ý kiến nhân sự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/>
    <row r="35">
      <c r="B35" s="67" t="inlineStr">
        <is>
          <t>NHÂN SỰ ĐƯỢC ĐÁNH GIÁ</t>
        </is>
      </c>
      <c r="D35" s="67" t="inlineStr">
        <is>
          <t>QUẢN LÝ TRỰC TIẾP</t>
        </is>
      </c>
      <c r="G35" s="67" t="inlineStr">
        <is>
          <t>NGƯỜI PHÊ DUYỆT</t>
        </is>
      </c>
    </row>
    <row r="36">
      <c r="B36" s="68" t="inlineStr">
        <is>
          <t>(Ký, ghi rõ họ tên)</t>
        </is>
      </c>
      <c r="D36" s="68" t="inlineStr">
        <is>
          <t>(Ký, ghi rõ họ tên)</t>
        </is>
      </c>
      <c r="G36" s="68" t="inlineStr">
        <is>
          <t>(Ký, ghi rõ họ tên)</t>
        </is>
      </c>
    </row>
  </sheetData>
  <mergeCells count="36">
    <mergeCell ref="A24:B24"/>
    <mergeCell ref="A30:B30"/>
    <mergeCell ref="C6:D6"/>
    <mergeCell ref="A20:D20"/>
    <mergeCell ref="C5:D5"/>
    <mergeCell ref="E5:F5"/>
    <mergeCell ref="C32:I32"/>
    <mergeCell ref="D22:H22"/>
    <mergeCell ref="C4:D4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C7:D7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HÀNH CHÍNH TỔNG HỢP</t>
        </is>
      </c>
    </row>
    <row r="2">
      <c r="A2" s="3" t="inlineStr">
        <is>
          <t xml:space="preserve">Phòng Hành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Hành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Mua sắm văn phòng phẩm, thiết bị</t>
        </is>
      </c>
      <c r="D10" s="45" t="inlineStr">
        <is>
          <t>Đáp ứng đủ, đúng hạn; giá mua so với giá thị trường, ngân sách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Quản lý tài sản văn phòng</t>
        </is>
      </c>
      <c r="D11" s="45" t="inlineStr">
        <is>
          <t>Sổ tài sản, bàn giao, điều chuyển cập nhật; kiểm kê khớp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Quản lý dịch vụ thuê ngoài</t>
        </is>
      </c>
      <c r="D12" s="45" t="inlineStr">
        <is>
          <t>Chất lượng vệ sinh, bảo vệ, bảo trì được kiểm tra định kỳ, nghiệm thu đúng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Tổ chức hội họp, công tác, tiếp khách</t>
        </is>
      </c>
      <c r="D13" s="45" t="inlineStr">
        <is>
          <t>Đặt phòng, vé, khách sạn, hậu cần chính xác, đúng hạn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Thời gian xử lý yêu cầu hành chính</t>
        </is>
      </c>
      <c r="D14" s="45" t="inlineStr">
        <is>
          <t>Tỷ lệ yêu cầu được xử lý trong định mức thời gian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Hồ sơ thanh toán chi phí hành chính</t>
        </is>
      </c>
      <c r="D15" s="45" t="inlineStr">
        <is>
          <t>Chứng từ, hóa đơn đầy đủ, hợp lệ, chuyển Kế toán đúng hạn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Tuân thủ quy định PCCC, an toàn</t>
        </is>
      </c>
      <c r="D16" s="45" t="inlineStr">
        <is>
          <t>Theo dõi kiểm tra thiết bị PCCC, sơ cứu đúng định kỳ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hành chính định kỳ</t>
        </is>
      </c>
      <c r="D17" s="45" t="inlineStr">
        <is>
          <t>Báo cáo chi phí, tài sản, dịch vụ nộp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các phòng ban</t>
        </is>
      </c>
      <c r="D18" s="45" t="inlineStr">
        <is>
          <t>Mức hài lòng nội bộ về hỗ trợ hành chính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tiết kiệm chi phí</t>
        </is>
      </c>
      <c r="D19" s="45" t="inlineStr">
        <is>
          <t>Số đề xuất tiết kiệm điện, nước, văn phòng phẩm được áp dụng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Chủ động xử lý phát sinh, hỗ trợ ngoài giờ khi cần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VĂN THƯ – LƯU TRỮ</t>
        </is>
      </c>
    </row>
    <row r="2">
      <c r="A2" s="3" t="inlineStr">
        <is>
          <t xml:space="preserve">Phòng Hành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Hành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Tiếp nhận &amp; chuyển văn bản đến</t>
        </is>
      </c>
      <c r="D10" s="45" t="inlineStr">
        <is>
          <t>Văn bản đến được vào sổ, chuyển đúng người trong ngày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Phát hành văn bản đi</t>
        </is>
      </c>
      <c r="D11" s="45" t="inlineStr">
        <is>
          <t>Văn bản đi đúng thể thức, đủ chữ ký, đóng dấu, gửi đúng địa chỉ, đúng hạn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Quản lý &amp; sử dụng con dấu</t>
        </is>
      </c>
      <c r="D12" s="45" t="inlineStr">
        <is>
          <t>Chỉ đóng dấu khi văn bản có chữ ký đúng thẩm quyền; sổ theo dõi đầy đủ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Lưu trữ hồ sơ khoa học</t>
        </is>
      </c>
      <c r="D13" s="45" t="inlineStr">
        <is>
          <t>Hồ sơ phân loại, đánh số, lưu đúng thư mục; tra cứu trong ≤ 15 phút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Thể thức văn bản đúng quy định</t>
        </is>
      </c>
      <c r="D14" s="45" t="inlineStr">
        <is>
          <t>Số văn bản sai thể thức, sai số ký hiệu phải phát hành lại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Bảo mật văn bản, tài liệu</t>
        </is>
      </c>
      <c r="D15" s="45" t="inlineStr">
        <is>
          <t>Không để lộ văn bản mật, nội bộ; mượn trả hồ sơ có sổ theo dõi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Số hóa hồ sơ</t>
        </is>
      </c>
      <c r="D16" s="45" t="inlineStr">
        <is>
          <t>Tỷ lệ văn bản quan trọng được scan, lưu trữ điện tử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Theo dõi hạn xử lý văn bản</t>
        </is>
      </c>
      <c r="D17" s="45" t="inlineStr">
        <is>
          <t>Nhắc hạn văn bản cần trả lời, báo cáo cơ quan nhà nước kịp thời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các phòng ban</t>
        </is>
      </c>
      <c r="D18" s="45" t="inlineStr">
        <is>
          <t>Hỗ trợ tra cứu, sao lục hồ sơ kịp thời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Chủ động cải tiến công tác văn thư</t>
        </is>
      </c>
      <c r="D19" s="45" t="inlineStr">
        <is>
          <t>Đề xuất cải tiến sổ sách, biểu mẫu được áp dụng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Cẩn thận &amp; trách nhiệm</t>
        </is>
      </c>
      <c r="D20" s="45" t="inlineStr">
        <is>
          <t>Không thất lạc văn bản, hồ sơ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LỄ TÂN</t>
        </is>
      </c>
    </row>
    <row r="2">
      <c r="A2" s="3" t="inlineStr">
        <is>
          <t xml:space="preserve">Phòng Hành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Hành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Đón tiếp khách chuyên nghiệp</t>
        </is>
      </c>
      <c r="D10" s="45" t="inlineStr">
        <is>
          <t>Mức hài lòng của khách, phòng ban về đón tiếp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Tiếp nhận &amp; chuyển cuộc gọi</t>
        </is>
      </c>
      <c r="D11" s="45" t="inlineStr">
        <is>
          <t>Tỷ lệ cuộc gọi được nghe, chuyển đúng người; ghi lại lời nhắn đầy đủ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Quản lý phòng họp &amp; lịch hẹn</t>
        </is>
      </c>
      <c r="D12" s="45" t="inlineStr">
        <is>
          <t>Đặt phòng họp, chuẩn bị nước uống, thiết bị đúng lịch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Tiếp nhận thư từ, bưu phẩm</t>
        </is>
      </c>
      <c r="D13" s="45" t="inlineStr">
        <is>
          <t>Thư, bưu phẩm vào sổ, chuyển đúng người trong ngày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Kiểm soát khách ra vào</t>
        </is>
      </c>
      <c r="D14" s="45" t="inlineStr">
        <is>
          <t>100% khách được đăng ký, phát thẻ, hướng dẫn đúng quy định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Chấp hành giờ giấc &amp; tác phong</t>
        </is>
      </c>
      <c r="D15" s="45" t="inlineStr">
        <is>
          <t>Có mặt đúng giờ; đồng phục, tác phong đúng chuẩn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Quản lý khu vực lễ tân</t>
        </is>
      </c>
      <c r="D16" s="45" t="inlineStr">
        <is>
          <t>Khu vực sảnh, quầy lễ tân sạch sẽ, gọn gàng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Bảo mật thông tin</t>
        </is>
      </c>
      <c r="D17" s="45" t="inlineStr">
        <is>
          <t>Không cung cấp thông tin nội bộ, nhân sự cho người ngoài trái quy định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Hành chính &amp; các phòng ban</t>
        </is>
      </c>
      <c r="D18" s="45" t="inlineStr">
        <is>
          <t>Hỗ trợ việc hành chính được giao kịp thời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Thái độ niềm nở, chủ động</t>
        </is>
      </c>
      <c r="D19" s="45" t="inlineStr">
        <is>
          <t>Phản hồi tích cực từ khách và đồng nghiệp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Bàn giao công việc đầy đủ khi vắng mặt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LÁI XE CÔNG TY (XE ĐƯA ĐÓN)</t>
        </is>
      </c>
    </row>
    <row r="2">
      <c r="A2" s="3" t="inlineStr">
        <is>
          <t xml:space="preserve">Phòng Hành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Hành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lịch đưa đón</t>
        </is>
      </c>
      <c r="D10" s="45" t="inlineStr">
        <is>
          <t>Số chuyến hoàn thành / số chuyến được điều động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Đúng giờ</t>
        </is>
      </c>
      <c r="D11" s="45" t="inlineStr">
        <is>
          <t>Tỷ lệ có mặt đúng giờ hẹn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Tiết kiệm nhiên liệu &amp; chi phí xe</t>
        </is>
      </c>
      <c r="D12" s="45" t="inlineStr">
        <is>
          <t>Mức tiêu hao nhiên liệu, phí cầu đường so với định mức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Bảo dưỡng &amp; giữ gìn xe</t>
        </is>
      </c>
      <c r="D13" s="45" t="inlineStr">
        <is>
          <t>Bảo dưỡng đúng lịch; xe sạch, đủ giấy tờ, đăng kiểm, bảo hiểm còn hạn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An toàn giao thông</t>
        </is>
      </c>
      <c r="D14" s="45" t="inlineStr">
        <is>
          <t>Số vi phạm giao thông, phạt nguội, va chạm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Ghi nhật trình đầy đủ</t>
        </is>
      </c>
      <c r="D15" s="45" t="inlineStr">
        <is>
          <t>Sổ nhật trình, km, nhiên liệu ghi chính xác, nộp đúng hạn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Thanh toán chi phí xe đúng quy định</t>
        </is>
      </c>
      <c r="D16" s="45" t="inlineStr">
        <is>
          <t>Hóa đơn xăng dầu, sửa chữa hợp lệ, nộp đúng hạn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Chấp hành điều động</t>
        </is>
      </c>
      <c r="D17" s="45" t="inlineStr">
        <is>
          <t>Không tự ý dùng xe việc riêng; báo cáo trước khi thay đổi lịch trình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Thái độ phục vụ</t>
        </is>
      </c>
      <c r="D18" s="45" t="inlineStr">
        <is>
          <t>Phản hồi của lãnh đạo, khách về thái độ, tác phong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Bảo mật thông tin</t>
        </is>
      </c>
      <c r="D19" s="45" t="inlineStr">
        <is>
          <t>Không tiết lộ thông tin nghe được trong quá trình phục vụ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Sẵn sàng phục vụ ngoài giờ khi có yêu cầu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BẢO VỆ</t>
        </is>
      </c>
    </row>
    <row r="2">
      <c r="A2" s="3" t="inlineStr">
        <is>
          <t xml:space="preserve">Phòng Hành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Hành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Đảm bảo an ninh trật tự</t>
        </is>
      </c>
      <c r="D10" s="45" t="inlineStr">
        <is>
          <t>Không xảy ra mất cắp, xâm nhập trái phép trong ca trực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Kiểm soát người &amp; phương tiện ra vào</t>
        </is>
      </c>
      <c r="D11" s="45" t="inlineStr">
        <is>
          <t>100% khách, xe, hàng hóa ra vào được kiểm tra, ghi sổ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Tuần tra theo lịch</t>
        </is>
      </c>
      <c r="D12" s="45" t="inlineStr">
        <is>
          <t>Số lượt tuần tra đúng lịch, có ký sổ/quét điểm tuần tra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Sẵn sàng PCCC &amp; xử lý sự cố</t>
        </is>
      </c>
      <c r="D13" s="45" t="inlineStr">
        <is>
          <t>Thao tác thành thạo thiết bị PCCC; xử lý sự cố đúng phương án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Chấp hành ca trực</t>
        </is>
      </c>
      <c r="D14" s="45" t="inlineStr">
        <is>
          <t>Không bỏ vị trí, ngủ gật trong ca; giao ca đầy đủ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Ghi sổ trực &amp; báo cáo</t>
        </is>
      </c>
      <c r="D15" s="45" t="inlineStr">
        <is>
          <t>Sổ giao ca, sổ khách, sổ sự việc ghi đầy đủ, chính xác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Kiểm soát hàng hóa ra cổng</t>
        </is>
      </c>
      <c r="D16" s="45" t="inlineStr">
        <is>
          <t>Hàng ra cổng có phiếu xuất/giấy ra cổng hợp lệ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Đồng phục, tác phong</t>
        </is>
      </c>
      <c r="D17" s="45" t="inlineStr">
        <is>
          <t>Đồng phục đúng quy định; thái độ lịch sự với khách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Hành chính &amp; các bộ phận</t>
        </is>
      </c>
      <c r="D18" s="45" t="inlineStr">
        <is>
          <t>Hỗ trợ sắp xếp xe, hướng dẫn khách, hỗ trợ sự kiện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Phát hiện &amp; báo cáo nguy cơ</t>
        </is>
      </c>
      <c r="D19" s="45" t="inlineStr">
        <is>
          <t>Số nguy cơ mất an ninh, cháy nổ được phát hiện, báo cáo kịp thời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Trung thực &amp; trách nhiệm</t>
        </is>
      </c>
      <c r="D20" s="45" t="inlineStr">
        <is>
          <t>Không tiếp tay cho hành vi gian lận, mất mát tài sản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TẠP VỤ – VỆ SINH</t>
        </is>
      </c>
    </row>
    <row r="2">
      <c r="A2" s="3" t="inlineStr">
        <is>
          <t xml:space="preserve">Phòng Hành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Hành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Vệ sinh khu vực phụ trách</t>
        </is>
      </c>
      <c r="D10" s="45" t="inlineStr">
        <is>
          <t>Kết quả kiểm tra vệ sinh hằng ngày/tuần đạt chuẩn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Vệ sinh khu vệ sinh, pantry</t>
        </is>
      </c>
      <c r="D11" s="45" t="inlineStr">
        <is>
          <t>Tần suất làm sạch đúng lịch; không có phản ánh mùi, bẩn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Chuẩn bị nước uống, phòng họp</t>
        </is>
      </c>
      <c r="D12" s="45" t="inlineStr">
        <is>
          <t>Chuẩn bị đúng giờ, đúng số lượng theo lịch họp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Quản lý vật tư vệ sinh</t>
        </is>
      </c>
      <c r="D13" s="45" t="inlineStr">
        <is>
          <t>Sử dụng tiết kiệm; báo mua kịp thời, không để thiếu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Chấp hành giờ giấc, lịch vệ sinh</t>
        </is>
      </c>
      <c r="D14" s="45" t="inlineStr">
        <is>
          <t>Hoàn thành lịch vệ sinh đúng giờ quy định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An toàn khi làm việc</t>
        </is>
      </c>
      <c r="D15" s="45" t="inlineStr">
        <is>
          <t>Sử dụng hóa chất, thiết bị đúng hướng dẫn; đặt biển cảnh báo sàn ướt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Phân loại rác đúng quy định</t>
        </is>
      </c>
      <c r="D16" s="45" t="inlineStr">
        <is>
          <t>Rác được phân loại, thu gom đúng nơi, đúng giờ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Giữ gìn tài sản văn phòng</t>
        </is>
      </c>
      <c r="D17" s="45" t="inlineStr">
        <is>
          <t>Báo hỏng hóc thiết bị, cơ sở vật chất kịp thời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Thái độ với đồng nghiệp &amp; khách</t>
        </is>
      </c>
      <c r="D18" s="45" t="inlineStr">
        <is>
          <t>Phản hồi của các phòng ban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Hỗ trợ công việc phát sinh</t>
        </is>
      </c>
      <c r="D19" s="45" t="inlineStr">
        <is>
          <t>Hỗ trợ dọn dẹp sự kiện, chuyển đồ khi có yêu cầu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Trung thực &amp; trách nhiệm</t>
        </is>
      </c>
      <c r="D20" s="45" t="inlineStr">
        <is>
          <t>Không xâm phạm tài sản, tài liệu của người khác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2026-10-06T10:09:38Z</dcterms:created>
  <dcterms:modified xmlns:dcterms="http://purl.org/dc/terms/" xmlns:xsi="http://www.w3.org/2001/XMLSchema-instance" xsi:type="dcterms:W3CDTF">2026-10-25T09:13:36Z</dcterms:modified>
</cp:coreProperties>
</file>