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XNK" sheetId="5" state="visible" r:id="rId5"/>
    <sheet xmlns:r="http://schemas.openxmlformats.org/officeDocument/2006/relationships" name="02. CV Chứng từ XNK" sheetId="6" state="visible" r:id="rId6"/>
    <sheet xmlns:r="http://schemas.openxmlformats.org/officeDocument/2006/relationships" name="03. CV Khai hải quan" sheetId="7" state="visible" r:id="rId7"/>
    <sheet xmlns:r="http://schemas.openxmlformats.org/officeDocument/2006/relationships" name="04. CV Logistics QT" sheetId="8" state="visible" r:id="rId8"/>
    <sheet xmlns:r="http://schemas.openxmlformats.org/officeDocument/2006/relationships" name="05. CV CO-Chuyên ngành" sheetId="9" state="visible" r:id="rId9"/>
    <sheet xmlns:r="http://schemas.openxmlformats.org/officeDocument/2006/relationships" name="06. CV Thanh toán QT" sheetId="10" state="visible" r:id="rId10"/>
  </sheets>
  <definedNames>
    <definedName name="_xlnm.Print_Titles" localSheetId="4">'01. Trưởng phòng XNK'!$9:$9</definedName>
    <definedName name="_xlnm.Print_Area" localSheetId="4">'01. Trưởng phòng XNK'!$A$1:$I$39</definedName>
    <definedName name="_xlnm.Print_Titles" localSheetId="5">'02. CV Chứng từ XNK'!$9:$9</definedName>
    <definedName name="_xlnm.Print_Area" localSheetId="5">'02. CV Chứng từ XNK'!$A$1:$I$40</definedName>
    <definedName name="_xlnm.Print_Titles" localSheetId="6">'03. CV Khai hải quan'!$9:$9</definedName>
    <definedName name="_xlnm.Print_Area" localSheetId="6">'03. CV Khai hải quan'!$A$1:$I$40</definedName>
    <definedName name="_xlnm.Print_Titles" localSheetId="7">'04. CV Logistics QT'!$9:$9</definedName>
    <definedName name="_xlnm.Print_Area" localSheetId="7">'04. CV Logistics QT'!$A$1:$I$40</definedName>
    <definedName name="_xlnm.Print_Titles" localSheetId="8">'05. CV CO-Chuyên ngành'!$9:$9</definedName>
    <definedName name="_xlnm.Print_Area" localSheetId="8">'05. CV CO-Chuyên ngành'!$A$1:$I$40</definedName>
    <definedName name="_xlnm.Print_Titles" localSheetId="9">'06. CV Thanh toán QT'!$9:$9</definedName>
    <definedName name="_xlnm.Print_Area" localSheetId="9">'06. CV Thanh toán QT'!$A$1:$I$40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XNK'!A1" TargetMode="External" Id="rId1"/><Relationship Type="http://schemas.openxmlformats.org/officeDocument/2006/relationships/hyperlink" Target="#'02. CV Ch&#7913;ng t&#7915; XNK'!A1" TargetMode="External" Id="rId2"/><Relationship Type="http://schemas.openxmlformats.org/officeDocument/2006/relationships/hyperlink" Target="#'03. CV Khai h&#7843;i quan'!A1" TargetMode="External" Id="rId3"/><Relationship Type="http://schemas.openxmlformats.org/officeDocument/2006/relationships/hyperlink" Target="#'04. CV Logistics QT'!A1" TargetMode="External" Id="rId4"/><Relationship Type="http://schemas.openxmlformats.org/officeDocument/2006/relationships/hyperlink" Target="#'05. CV CO-Chuy&#234;n ng&#224;nh'!A1" TargetMode="External" Id="rId5"/><Relationship Type="http://schemas.openxmlformats.org/officeDocument/2006/relationships/hyperlink" Target="#'06. CV Thanh to&#225;n QT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XNK'!A1" TargetMode="External" Id="rId1"/><Relationship Type="http://schemas.openxmlformats.org/officeDocument/2006/relationships/hyperlink" Target="#'02. CV Ch&#7913;ng t&#7915; XNK'!A1" TargetMode="External" Id="rId2"/><Relationship Type="http://schemas.openxmlformats.org/officeDocument/2006/relationships/hyperlink" Target="#'03. CV Khai h&#7843;i quan'!A1" TargetMode="External" Id="rId3"/><Relationship Type="http://schemas.openxmlformats.org/officeDocument/2006/relationships/hyperlink" Target="#'04. CV Logistics QT'!A1" TargetMode="External" Id="rId4"/><Relationship Type="http://schemas.openxmlformats.org/officeDocument/2006/relationships/hyperlink" Target="#'05. CV CO-Chuy&#234;n ng&#224;nh'!A1" TargetMode="External" Id="rId5"/><Relationship Type="http://schemas.openxmlformats.org/officeDocument/2006/relationships/hyperlink" Target="#'06. CV Thanh to&#225;n QT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XUẤT NHẬP KHẨU – 06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"Lập bộ chứng từ đầy đủ, chính xác"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06 VỊ TRÍ</t>
        </is>
      </c>
    </row>
    <row r="25">
      <c r="B25" s="10" t="inlineStr">
        <is>
          <t>01</t>
        </is>
      </c>
      <c r="C25" s="11" t="inlineStr">
        <is>
          <t>Trưởng phòng Xuất nhập khẩu  (10 tiêu chí)</t>
        </is>
      </c>
    </row>
    <row r="26">
      <c r="B26" s="10" t="inlineStr">
        <is>
          <t>02</t>
        </is>
      </c>
      <c r="C26" s="11" t="inlineStr">
        <is>
          <t>Chuyên viên Chứng từ xuất nhập khẩu  (11 tiêu chí)</t>
        </is>
      </c>
    </row>
    <row r="27">
      <c r="B27" s="10" t="inlineStr">
        <is>
          <t>03</t>
        </is>
      </c>
      <c r="C27" s="11" t="inlineStr">
        <is>
          <t>Chuyên viên Khai báo hải quan  (11 tiêu chí)</t>
        </is>
      </c>
    </row>
    <row r="28">
      <c r="B28" s="10" t="inlineStr">
        <is>
          <t>04</t>
        </is>
      </c>
      <c r="C28" s="11" t="inlineStr">
        <is>
          <t>Chuyên viên Logistics quốc tế  (11 tiêu chí)</t>
        </is>
      </c>
    </row>
    <row r="29">
      <c r="B29" s="10" t="inlineStr">
        <is>
          <t>05</t>
        </is>
      </c>
      <c r="C29" s="11" t="inlineStr">
        <is>
          <t>Chuyên viên C/O &amp; Thủ tục chuyên ngành  (11 tiêu chí)</t>
        </is>
      </c>
    </row>
    <row r="30">
      <c r="B30" s="10" t="inlineStr">
        <is>
          <t>06</t>
        </is>
      </c>
      <c r="C30" s="11" t="inlineStr">
        <is>
          <t>Chuyên viên Hợp đồng ngoại &amp; Thanh toán quốc tế  (11 tiêu chí)</t>
        </is>
      </c>
    </row>
    <row r="31"/>
    <row r="32" ht="40" customHeight="1">
      <c r="B32" s="12" t="inlineStr">
        <is>
          <t>Lưu ý</t>
        </is>
      </c>
      <c r="C32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XUẤT NHẬP KHẨU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Xuất nhập khẩu</t>
        </is>
      </c>
      <c r="C5" s="6">
        <f>IF('01. Trưởng phòng XNK'!C4="","",'01. Trưởng phòng XNK'!C4)</f>
        <v/>
      </c>
      <c r="D5" s="15">
        <f>IF('01. Trưởng phòng XNK'!G5="",'01. Trưởng phòng XNK'!G4,'01. Trưởng phòng XNK'!G5)</f>
        <v/>
      </c>
      <c r="E5" s="69">
        <f>'01. Trưởng phòng XNK'!C24</f>
        <v/>
      </c>
      <c r="F5" s="70">
        <f>'01. Trưởng phòng XNK'!C23</f>
        <v/>
      </c>
      <c r="G5" s="71">
        <f>IF(E5="","",F5-E5)</f>
        <v/>
      </c>
      <c r="H5" s="10">
        <f>'01. Trưởng phòng XNK'!C26</f>
        <v/>
      </c>
      <c r="I5" s="19">
        <f>'01. Trưởng phòng XNK'!H24</f>
        <v/>
      </c>
      <c r="J5" s="19">
        <f>'01. Trưởng phòng XNK'!H25</f>
        <v/>
      </c>
      <c r="K5" s="19">
        <f>'01. Trưởng phòng XNK'!H26</f>
        <v/>
      </c>
      <c r="L5" s="15">
        <f>'01. Trưởng phòng XNK'!C25</f>
        <v/>
      </c>
    </row>
    <row r="6" ht="20" customHeight="1">
      <c r="A6" s="20" t="n">
        <v>2</v>
      </c>
      <c r="B6" s="21" t="inlineStr">
        <is>
          <t>Chuyên viên Chứng từ xuất nhập khẩu</t>
        </is>
      </c>
      <c r="C6" s="22">
        <f>IF('02. CV Chứng từ XNK'!C4="","",'02. CV Chứng từ XNK'!C4)</f>
        <v/>
      </c>
      <c r="D6" s="20">
        <f>IF('02. CV Chứng từ XNK'!G5="",'02. CV Chứng từ XNK'!G4,'02. CV Chứng từ XNK'!G5)</f>
        <v/>
      </c>
      <c r="E6" s="72">
        <f>'02. CV Chứng từ XNK'!C25</f>
        <v/>
      </c>
      <c r="F6" s="73">
        <f>'02. CV Chứng từ XNK'!C24</f>
        <v/>
      </c>
      <c r="G6" s="74">
        <f>IF(E6="","",F6-E6)</f>
        <v/>
      </c>
      <c r="H6" s="10">
        <f>'02. CV Chứng từ XNK'!C27</f>
        <v/>
      </c>
      <c r="I6" s="26">
        <f>'02. CV Chứng từ XNK'!H25</f>
        <v/>
      </c>
      <c r="J6" s="26">
        <f>'02. CV Chứng từ XNK'!H26</f>
        <v/>
      </c>
      <c r="K6" s="26">
        <f>'02. CV Chứng từ XNK'!H27</f>
        <v/>
      </c>
      <c r="L6" s="20">
        <f>'02. CV Chứng từ XNK'!C26</f>
        <v/>
      </c>
    </row>
    <row r="7" ht="20" customHeight="1">
      <c r="A7" s="15" t="n">
        <v>3</v>
      </c>
      <c r="B7" s="11" t="inlineStr">
        <is>
          <t>Chuyên viên Khai báo hải quan</t>
        </is>
      </c>
      <c r="C7" s="6">
        <f>IF('03. CV Khai hải quan'!C4="","",'03. CV Khai hải quan'!C4)</f>
        <v/>
      </c>
      <c r="D7" s="15">
        <f>IF('03. CV Khai hải quan'!G5="",'03. CV Khai hải quan'!G4,'03. CV Khai hải quan'!G5)</f>
        <v/>
      </c>
      <c r="E7" s="69">
        <f>'03. CV Khai hải quan'!C25</f>
        <v/>
      </c>
      <c r="F7" s="70">
        <f>'03. CV Khai hải quan'!C24</f>
        <v/>
      </c>
      <c r="G7" s="71">
        <f>IF(E7="","",F7-E7)</f>
        <v/>
      </c>
      <c r="H7" s="10">
        <f>'03. CV Khai hải quan'!C27</f>
        <v/>
      </c>
      <c r="I7" s="19">
        <f>'03. CV Khai hải quan'!H25</f>
        <v/>
      </c>
      <c r="J7" s="19">
        <f>'03. CV Khai hải quan'!H26</f>
        <v/>
      </c>
      <c r="K7" s="19">
        <f>'03. CV Khai hải quan'!H27</f>
        <v/>
      </c>
      <c r="L7" s="15">
        <f>'03. CV Khai hải quan'!C26</f>
        <v/>
      </c>
    </row>
    <row r="8" ht="20" customHeight="1">
      <c r="A8" s="20" t="n">
        <v>4</v>
      </c>
      <c r="B8" s="21" t="inlineStr">
        <is>
          <t>Chuyên viên Logistics quốc tế</t>
        </is>
      </c>
      <c r="C8" s="22">
        <f>IF('04. CV Logistics QT'!C4="","",'04. CV Logistics QT'!C4)</f>
        <v/>
      </c>
      <c r="D8" s="20">
        <f>IF('04. CV Logistics QT'!G5="",'04. CV Logistics QT'!G4,'04. CV Logistics QT'!G5)</f>
        <v/>
      </c>
      <c r="E8" s="72">
        <f>'04. CV Logistics QT'!C25</f>
        <v/>
      </c>
      <c r="F8" s="73">
        <f>'04. CV Logistics QT'!C24</f>
        <v/>
      </c>
      <c r="G8" s="74">
        <f>IF(E8="","",F8-E8)</f>
        <v/>
      </c>
      <c r="H8" s="10">
        <f>'04. CV Logistics QT'!C27</f>
        <v/>
      </c>
      <c r="I8" s="26">
        <f>'04. CV Logistics QT'!H25</f>
        <v/>
      </c>
      <c r="J8" s="26">
        <f>'04. CV Logistics QT'!H26</f>
        <v/>
      </c>
      <c r="K8" s="26">
        <f>'04. CV Logistics QT'!H27</f>
        <v/>
      </c>
      <c r="L8" s="20">
        <f>'04. CV Logistics QT'!C26</f>
        <v/>
      </c>
    </row>
    <row r="9" ht="20" customHeight="1">
      <c r="A9" s="15" t="n">
        <v>5</v>
      </c>
      <c r="B9" s="11" t="inlineStr">
        <is>
          <t>Chuyên viên C/O &amp; Thủ tục chuyên ngành</t>
        </is>
      </c>
      <c r="C9" s="6">
        <f>IF('05. CV CO-Chuyên ngành'!C4="","",'05. CV CO-Chuyên ngành'!C4)</f>
        <v/>
      </c>
      <c r="D9" s="15">
        <f>IF('05. CV CO-Chuyên ngành'!G5="",'05. CV CO-Chuyên ngành'!G4,'05. CV CO-Chuyên ngành'!G5)</f>
        <v/>
      </c>
      <c r="E9" s="69">
        <f>'05. CV CO-Chuyên ngành'!C25</f>
        <v/>
      </c>
      <c r="F9" s="70">
        <f>'05. CV CO-Chuyên ngành'!C24</f>
        <v/>
      </c>
      <c r="G9" s="71">
        <f>IF(E9="","",F9-E9)</f>
        <v/>
      </c>
      <c r="H9" s="10">
        <f>'05. CV CO-Chuyên ngành'!C27</f>
        <v/>
      </c>
      <c r="I9" s="19">
        <f>'05. CV CO-Chuyên ngành'!H25</f>
        <v/>
      </c>
      <c r="J9" s="19">
        <f>'05. CV CO-Chuyên ngành'!H26</f>
        <v/>
      </c>
      <c r="K9" s="19">
        <f>'05. CV CO-Chuyên ngành'!H27</f>
        <v/>
      </c>
      <c r="L9" s="15">
        <f>'05. CV CO-Chuyên ngành'!C26</f>
        <v/>
      </c>
    </row>
    <row r="10" ht="20" customHeight="1">
      <c r="A10" s="20" t="n">
        <v>6</v>
      </c>
      <c r="B10" s="21" t="inlineStr">
        <is>
          <t>Chuyên viên Hợp đồng ngoại &amp; Thanh toán quốc tế</t>
        </is>
      </c>
      <c r="C10" s="22">
        <f>IF('06. CV Thanh toán QT'!C4="","",'06. CV Thanh toán QT'!C4)</f>
        <v/>
      </c>
      <c r="D10" s="20">
        <f>IF('06. CV Thanh toán QT'!G5="",'06. CV Thanh toán QT'!G4,'06. CV Thanh toán QT'!G5)</f>
        <v/>
      </c>
      <c r="E10" s="72">
        <f>'06. CV Thanh toán QT'!C25</f>
        <v/>
      </c>
      <c r="F10" s="73">
        <f>'06. CV Thanh toán QT'!C24</f>
        <v/>
      </c>
      <c r="G10" s="74">
        <f>IF(E10="","",F10-E10)</f>
        <v/>
      </c>
      <c r="H10" s="10">
        <f>'06. CV Thanh toán QT'!C27</f>
        <v/>
      </c>
      <c r="I10" s="26">
        <f>'06. CV Thanh toán QT'!H25</f>
        <v/>
      </c>
      <c r="J10" s="26">
        <f>'06. CV Thanh toán QT'!H26</f>
        <v/>
      </c>
      <c r="K10" s="26">
        <f>'06. CV Thanh toán QT'!H27</f>
        <v/>
      </c>
      <c r="L10" s="20">
        <f>'06. CV Thanh toán QT'!C26</f>
        <v/>
      </c>
    </row>
    <row r="11"/>
    <row r="12">
      <c r="B12" s="27" t="inlineStr">
        <is>
          <t>THỐNG KÊ TOÀN PHÒNG</t>
        </is>
      </c>
      <c r="C12" s="75" t="n"/>
    </row>
    <row r="13">
      <c r="B13" s="5" t="inlineStr">
        <is>
          <t>Số vị trí xếp loại Xuất sắc</t>
        </is>
      </c>
      <c r="C13" s="29">
        <f>COUNTIF(H5:H10,"Xuất sắc")</f>
        <v/>
      </c>
    </row>
    <row r="14">
      <c r="B14" s="5" t="inlineStr">
        <is>
          <t>Số vị trí xếp loại Đạt</t>
        </is>
      </c>
      <c r="C14" s="29">
        <f>COUNTIF(H5:H10,"Đạt")</f>
        <v/>
      </c>
    </row>
    <row r="15">
      <c r="B15" s="5" t="inlineStr">
        <is>
          <t>Số vị trí xếp loại Cần cải thiện</t>
        </is>
      </c>
      <c r="C15" s="29">
        <f>COUNTIF(H5:H10,"Cần cải thiện")</f>
        <v/>
      </c>
    </row>
    <row r="16">
      <c r="B16" s="5" t="inlineStr">
        <is>
          <t>Số vị trí chưa chấm / chưa chấm đủ</t>
        </is>
      </c>
      <c r="C16" s="29">
        <f>COUNTIF(H5:H10,"Chưa chấm")+COUNTIF(H5:H10,"Chưa chấm đủ")</f>
        <v/>
      </c>
    </row>
    <row r="17">
      <c r="B17" s="5" t="inlineStr">
        <is>
          <t>Điểm bình quân phòng (vị trí đã chấm đủ)</t>
        </is>
      </c>
      <c r="C17" s="76">
        <f>IFERROR(AVERAGEIFS(F5:F10,H5:H10,"&lt;&gt;Chưa chấm",H5:H10,"&lt;&gt;Chưa chấm đủ"),"")</f>
        <v/>
      </c>
    </row>
    <row r="18"/>
    <row r="19" ht="30" customHeight="1">
      <c r="B19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9:L19"/>
    <mergeCell ref="A2:L2"/>
    <mergeCell ref="A1:L1"/>
    <mergeCell ref="B12:C12"/>
  </mergeCells>
  <conditionalFormatting sqref="H5:H10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0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/>
    <row r="12">
      <c r="A12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2:G12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Thông quan đúng hạn (lô hàng)</t>
        </is>
      </c>
      <c r="C22" s="35" t="inlineStr">
        <is>
          <t>100%, nhiều lô thông quan sớm</t>
        </is>
      </c>
      <c r="D22" s="35" t="inlineStr">
        <is>
          <t>≥ 98%</t>
        </is>
      </c>
      <c r="E22" s="35" t="inlineStr">
        <is>
          <t>95% – dưới 98%</t>
        </is>
      </c>
      <c r="F22" s="35" t="inlineStr">
        <is>
          <t>90% – dưới 95%</t>
        </is>
      </c>
      <c r="G22" s="35" t="inlineStr">
        <is>
          <t>Dưới 90% hoặc lô hàng bị lưu kho</t>
        </is>
      </c>
    </row>
    <row r="23" ht="38" customHeight="1">
      <c r="B23" s="38" t="inlineStr">
        <is>
          <t>Sai sót tờ khai, chứng từ XNK</t>
        </is>
      </c>
      <c r="C23" s="35" t="inlineStr">
        <is>
          <t>0 lỗi, chủ động phát hiện lỗi khâu trước</t>
        </is>
      </c>
      <c r="D23" s="35" t="inlineStr">
        <is>
          <t>0 lỗi</t>
        </is>
      </c>
      <c r="E23" s="35" t="inlineStr">
        <is>
          <t>1–2 lỗi nhỏ, sửa trước khi nộp</t>
        </is>
      </c>
      <c r="F23" s="35" t="inlineStr">
        <is>
          <t>Phải khai bổ sung/sửa tờ khai</t>
        </is>
      </c>
      <c r="G23" s="35" t="inlineStr">
        <is>
          <t>Bị xử phạt, ấn định thuế, truy thu</t>
        </is>
      </c>
    </row>
    <row r="24" ht="38" customHeight="1">
      <c r="B24" s="38" t="inlineStr">
        <is>
          <t>Chi phí lưu kho, lưu container (DEM/DET)</t>
        </is>
      </c>
      <c r="C24" s="35" t="inlineStr">
        <is>
          <t>0 đồng</t>
        </is>
      </c>
      <c r="D24" s="35" t="inlineStr">
        <is>
          <t>Trong mức cho phép</t>
        </is>
      </c>
      <c r="E24" s="35" t="inlineStr">
        <is>
          <t>Vượt ≤ 10%, có lý do khách quan</t>
        </is>
      </c>
      <c r="F24" s="35" t="inlineStr">
        <is>
          <t>Vượt 10% – 30%</t>
        </is>
      </c>
      <c r="G24" s="35" t="inlineStr">
        <is>
          <t>Vượt &gt; 30% do lỗi chủ quan</t>
        </is>
      </c>
    </row>
    <row r="25" ht="38" customHeight="1">
      <c r="B25" s="38" t="inlineStr">
        <is>
          <t>Chi phí logistics quốc tế / lô</t>
        </is>
      </c>
      <c r="C25" s="35" t="inlineStr">
        <is>
          <t>Thấp hơn định mức ≥ 10%</t>
        </is>
      </c>
      <c r="D25" s="35" t="inlineStr">
        <is>
          <t>Trong định mức</t>
        </is>
      </c>
      <c r="E25" s="35" t="inlineStr">
        <is>
          <t>Vượt ≤ 5%</t>
        </is>
      </c>
      <c r="F25" s="35" t="inlineStr">
        <is>
          <t>Vượt 5% – 10%</t>
        </is>
      </c>
      <c r="G25" s="35" t="inlineStr">
        <is>
          <t>Vượt &gt; 10%</t>
        </is>
      </c>
    </row>
    <row r="26" ht="38" customHeight="1">
      <c r="B26" s="38" t="inlineStr">
        <is>
          <t>Bộ chứng từ thanh toán (L/C, nhờ thu)</t>
        </is>
      </c>
      <c r="C26" s="35" t="inlineStr">
        <is>
          <t>Không bất hợp lệ, nộp sớm</t>
        </is>
      </c>
      <c r="D26" s="35" t="inlineStr">
        <is>
          <t>Không bất hợp lệ</t>
        </is>
      </c>
      <c r="E26" s="35" t="inlineStr">
        <is>
          <t>Bất hợp lệ nhỏ, khắc phục kịp</t>
        </is>
      </c>
      <c r="F26" s="35" t="inlineStr">
        <is>
          <t>Bất hợp lệ bị phạt phí</t>
        </is>
      </c>
      <c r="G26" s="35" t="inlineStr">
        <is>
          <t>Bị từ chối thanh toán</t>
        </is>
      </c>
    </row>
    <row r="27" ht="38" customHeight="1">
      <c r="B27" s="38" t="inlineStr">
        <is>
          <t>Tuân thủ quy định hải quan, chuyên ngành</t>
        </is>
      </c>
      <c r="C27" s="35" t="inlineStr">
        <is>
          <t>Không vi phạm, chủ động rà soát rủi ro</t>
        </is>
      </c>
      <c r="D27" s="35" t="inlineStr">
        <is>
          <t>Không vi phạm</t>
        </is>
      </c>
      <c r="E27" s="35" t="inlineStr">
        <is>
          <t>Bị nhắc nhở, đã khắc phục</t>
        </is>
      </c>
      <c r="F27" s="35" t="inlineStr">
        <is>
          <t>Vi phạm lặp lại</t>
        </is>
      </c>
      <c r="G27" s="35" t="inlineStr">
        <is>
          <t>Bị xử phạt nặng, tạm dừng XNK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XUẤT NHẬP KHẨU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Thông quan &amp; giao hàng đúng tiến độ</t>
        </is>
      </c>
      <c r="D10" s="45" t="inlineStr">
        <is>
          <t>Tỷ lệ lô hàng thông quan, giao đúng hạn hợp đồng ≥ 98%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Chi phí logistics quốc tế</t>
        </is>
      </c>
      <c r="D11" s="45" t="inlineStr">
        <is>
          <t>Cước vận tải, phí giao nhận, lưu kho, lưu container so với ngân sách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Quản lý thanh toán quốc tế</t>
        </is>
      </c>
      <c r="D12" s="45" t="inlineStr">
        <is>
          <t>Bộ chứng từ thanh toán không bất hợp lệ; thu tiền xuất khẩu đúng hạn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Tối ưu thuế XNK hợp pháp</t>
        </is>
      </c>
      <c r="D13" s="45" t="inlineStr">
        <is>
          <t>Áp dụng đúng mã HS, ưu đãi thuế theo C/O; giá trị tiết kiệm hợp pháp đạt được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pháp luật hải quan</t>
        </is>
      </c>
      <c r="D14" s="45" t="inlineStr">
        <is>
          <t>Không bị xử phạt, ấn định thuế; kiểm tra sau thông quan không phát hiện sai phạm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Quản lý hồ sơ XNK &amp; lưu trữ</t>
        </is>
      </c>
      <c r="D15" s="45" t="inlineStr">
        <is>
          <t>Bộ hồ sơ từng lô đầy đủ, lưu trữ đủ thời hạn theo quy định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XNK định kỳ</t>
        </is>
      </c>
      <c r="D16" s="45" t="inlineStr">
        <is>
          <t>Báo cáo kim ngạch, chi phí, tiến độ lô hàng gửi Ban lãnh đạo đúng hạn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kèm cặp nhân viên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Kinh doanh, Mua hàng, Kế toán, Kho</t>
        </is>
      </c>
      <c r="D18" s="45" t="inlineStr">
        <is>
          <t>Phản hồi các phòng ban; đối chiếu số liệu thuế XNK với Kế toán khớp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Cải tiến quy trình XNK</t>
        </is>
      </c>
      <c r="D19" s="45" t="inlineStr">
        <is>
          <t>Số cải tiến (khai báo điện tử, chuẩn hóa mã HS, chọn NVT) được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CHỨNG TỪ XUẤT NHẬP KHẨU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Lập bộ chứng từ đầy đủ, chính xác</t>
        </is>
      </c>
      <c r="D10" s="45" t="inlineStr">
        <is>
          <t>Hóa đơn thương mại, phiếu đóng gói, vận đơn, C/O khớp nhau và khớp hợp đồng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Thời gian hoàn thành bộ chứng từ</t>
        </is>
      </c>
      <c r="D11" s="45" t="inlineStr">
        <is>
          <t>Tỷ lệ bộ chứng từ hoàn thành đúng thời hạn yêu cầu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Bộ chứng từ thanh toán hợp lệ</t>
        </is>
      </c>
      <c r="D12" s="45" t="inlineStr">
        <is>
          <t>Số bộ chứng từ L/C, nhờ thu bị ngân hàng báo bất hợp lệ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Theo dõi lô hàng</t>
        </is>
      </c>
      <c r="D13" s="45" t="inlineStr">
        <is>
          <t>Cập nhật lịch tàu, tình trạng lô hàng cho các bên kịp thời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yêu cầu chứng từ của hợp đồng &amp; L/C</t>
        </is>
      </c>
      <c r="D14" s="45" t="inlineStr">
        <is>
          <t>Không sai lệch điều khoản chứng từ so với hợp đồng, L/C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Lưu trữ hồ sơ XNK</t>
        </is>
      </c>
      <c r="D15" s="45" t="inlineStr">
        <is>
          <t>Bộ hồ sơ mỗi lô lưu đầy đủ, đúng thứ tự, tra cứu được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Chuyển chứng từ cho Kế toán</t>
        </is>
      </c>
      <c r="D16" s="45" t="inlineStr">
        <is>
          <t>Chứng từ phục vụ hạch toán, hoàn thuế chuyển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định kỳ</t>
        </is>
      </c>
      <c r="D17" s="45" t="inlineStr">
        <is>
          <t>Báo cáo lô hàng, chứng từ tồn đọng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khách hàng, NCC, ngân hàng</t>
        </is>
      </c>
      <c r="D18" s="45" t="inlineStr">
        <is>
          <t>Phản hồi của đối tác về chứng từ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Chủ động cải tiến biểu mẫu</t>
        </is>
      </c>
      <c r="D19" s="45" t="inlineStr">
        <is>
          <t>Số mẫu chứng từ được chuẩn hóa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Cẩn thận &amp; trách nhiệm</t>
        </is>
      </c>
      <c r="D20" s="45" t="inlineStr">
        <is>
          <t>Kiểm tra chéo trước khi phát hành chứng từ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KHAI BÁO HẢI QUAN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Khai báo tờ khai đúng hạn</t>
        </is>
      </c>
      <c r="D10" s="45" t="inlineStr">
        <is>
          <t>Tỷ lệ tờ khai được truyền đúng thời hạn theo kế hoạch lô hàng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Chính xác tờ khai</t>
        </is>
      </c>
      <c r="D11" s="45" t="inlineStr">
        <is>
          <t>Số tờ khai phải sửa, khai bổ sung do sai mã HS, trị giá, xuất xứ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Áp mã HS &amp; thuế suất đúng</t>
        </is>
      </c>
      <c r="D12" s="45" t="inlineStr">
        <is>
          <t>Mã HS, thuế suất áp dụng được hải quan chấp nhận; không bị ấn định thuế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Thông quan nhanh</t>
        </is>
      </c>
      <c r="D13" s="45" t="inlineStr">
        <is>
          <t>Thời gian thông quan bình quân so với định mức theo luồng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định hải quan</t>
        </is>
      </c>
      <c r="D14" s="45" t="inlineStr">
        <is>
          <t>Không bị xử phạt vi phạm hành chính về hải quan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Nộp thuế &amp; lệ phí đúng hạn</t>
        </is>
      </c>
      <c r="D15" s="45" t="inlineStr">
        <is>
          <t>Thuế nhập khẩu, VAT hàng nhập nộp đúng hạn, không phát sinh chậm nộp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Quản lý hồ sơ hải quan</t>
        </is>
      </c>
      <c r="D16" s="45" t="inlineStr">
        <is>
          <t>Hồ sơ hải quan lưu đủ, sẵn sàng cho kiểm tra sau thông quan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Theo dõi hàng tạm nhập – tái xuất, gia công</t>
        </is>
      </c>
      <c r="D17" s="45" t="inlineStr">
        <is>
          <t>Thanh khoản, báo cáo quyết toán đúng hạn (nếu có loại hình)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Chứng từ, Logistics, Kế toán</t>
        </is>
      </c>
      <c r="D18" s="45" t="inlineStr">
        <is>
          <t>Thông tin thông quan được báo kịp thời cho các bên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Cập nhật quy định hải quan mới</t>
        </is>
      </c>
      <c r="D19" s="45" t="inlineStr">
        <is>
          <t>Chủ động cập nhật thay đổi quy định, biểu thuế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Trách nhiệm &amp; liêm chính</t>
        </is>
      </c>
      <c r="D20" s="45" t="inlineStr">
        <is>
          <t>Khai báo trung thực; không vi phạm quy tắc ứng xử với cơ quan hải quan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LOGISTICS QUỐC TẾ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Đặt chỗ &amp; vận chuyển đúng lịch</t>
        </is>
      </c>
      <c r="D10" s="45" t="inlineStr">
        <is>
          <t>Tỷ lệ lô hàng được booking, xuất/nhận đúng lịch tàu, chuyến bay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Chi phí cước &amp; giao nhận</t>
        </is>
      </c>
      <c r="D11" s="45" t="inlineStr">
        <is>
          <t>Cước, phí local charge so với báo giá được duyệt, định mức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Lựa chọn &amp; đánh giá forwarder</t>
        </is>
      </c>
      <c r="D12" s="45" t="inlineStr">
        <is>
          <t>Có ≥ 2 báo giá cho mỗi lô; đánh giá forwarder định kỳ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Chi phí lưu kho, lưu container</t>
        </is>
      </c>
      <c r="D13" s="45" t="inlineStr">
        <is>
          <t>Chi phí DEM/DET phát sinh do lỗi chủ quan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Bảo hiểm hàng hóa</t>
        </is>
      </c>
      <c r="D14" s="45" t="inlineStr">
        <is>
          <t>100% lô hàng thuộc trách nhiệm công ty được mua bảo hiểm đúng điều kiện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điều kiện Incoterms &amp; hợp đồng</t>
        </is>
      </c>
      <c r="D15" s="45" t="inlineStr">
        <is>
          <t>Thực hiện đúng trách nhiệm vận chuyển theo Incoterms đã ký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Theo dõi lịch trình &amp; thông báo</t>
        </is>
      </c>
      <c r="D16" s="45" t="inlineStr">
        <is>
          <t>Thông báo ETD, ETA, chậm trễ cho các bên kịp thời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Quyết toán chi phí logistics</t>
        </is>
      </c>
      <c r="D17" s="45" t="inlineStr">
        <is>
          <t>Hóa đơn, chứng từ chi phí logistics đối chiếu, chuyển Kế toán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Kho, Khai hải quan, Kinh doanh</t>
        </is>
      </c>
      <c r="D18" s="45" t="inlineStr">
        <is>
          <t>Phản hồi của các bên về điều phối lô hàng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Xử lý sự cố vận chuyển</t>
        </is>
      </c>
      <c r="D19" s="45" t="inlineStr">
        <is>
          <t>Thời gian, kết quả xử lý hàng tổn thất, chậm, sai tuyến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Theo dõi lô hàng gấp ngoài giờ khi cần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C/O &amp; THỦ TỤC CHUYÊN NGÀNH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Cấp C/O đúng hạn</t>
        </is>
      </c>
      <c r="D10" s="45" t="inlineStr">
        <is>
          <t>Tỷ lệ C/O được cấp đúng thời hạn yêu cầu của khách/lô hàng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C/O hợp lệ</t>
        </is>
      </c>
      <c r="D11" s="45" t="inlineStr">
        <is>
          <t>Số C/O bị từ chối ưu đãi, phải cấp lại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Thủ tục kiểm tra chuyên ngành</t>
        </is>
      </c>
      <c r="D12" s="45" t="inlineStr">
        <is>
          <t>Hồ sơ kiểm dịch, kiểm tra chất lượng, công bố hoàn thành đúng hạn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Hồ sơ chứng minh xuất xứ</t>
        </is>
      </c>
      <c r="D13" s="45" t="inlineStr">
        <is>
          <t>Bảng kê nguyên liệu, quy trình sản xuất đầy đủ, sẵn sàng khi kiểm tra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tắc xuất xứ</t>
        </is>
      </c>
      <c r="D14" s="45" t="inlineStr">
        <is>
          <t>Không khai sai xuất xứ; không bị kiểm tra xác minh bất lợi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Theo dõi giấy phép, giấy chứng nhận</t>
        </is>
      </c>
      <c r="D15" s="45" t="inlineStr">
        <is>
          <t>Không để giấy phép, chứng nhận hết hạn làm ảnh hưởng lô hàng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Lưu trữ hồ sơ C/O &amp; chuyên ngành</t>
        </is>
      </c>
      <c r="D16" s="45" t="inlineStr">
        <is>
          <t>Hồ sơ lưu đầy đủ theo thời hạn quy định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định kỳ</t>
        </is>
      </c>
      <c r="D17" s="45" t="inlineStr">
        <is>
          <t>Báo cáo tình hình C/O, thủ tục chuyên ngành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Sản xuất, Mua hàng, Hải quan</t>
        </is>
      </c>
      <c r="D18" s="45" t="inlineStr">
        <is>
          <t>Thu thập hồ sơ nguyên liệu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Cập nhật hiệp định thương mại, quy định mới</t>
        </is>
      </c>
      <c r="D19" s="45" t="inlineStr">
        <is>
          <t>Đề xuất tận dụng ưu đãi thuế theo hiệp định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Cẩn thận &amp; trách nhiệm</t>
        </is>
      </c>
      <c r="D20" s="45" t="inlineStr">
        <is>
          <t>Kiểm tra kỹ hồ sơ trước khi nộp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HỢP ĐỒNG NGOẠI &amp; THANH TOÁN QUỐC TẾ</t>
        </is>
      </c>
    </row>
    <row r="2">
      <c r="A2" s="3" t="inlineStr">
        <is>
          <t xml:space="preserve">Phòng Xuất nhập khẩu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Xuất nhập khẩu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Theo dõi thực hiện hợp đồng ngoại</t>
        </is>
      </c>
      <c r="D10" s="45" t="inlineStr">
        <is>
          <t>Tiến độ giao hàng, thanh toán của từng hợp đồng cập nhật đầy đủ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Thu tiền xuất khẩu đúng hạn</t>
        </is>
      </c>
      <c r="D11" s="45" t="inlineStr">
        <is>
          <t>Tỷ lệ khoản phải thu xuất khẩu thu đúng hạn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Thanh toán nhập khẩu đúng hạn</t>
        </is>
      </c>
      <c r="D12" s="45" t="inlineStr">
        <is>
          <t>Thanh toán NCC nước ngoài đúng hạn, không phát sinh phạt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Mở &amp; sửa L/C chính xác</t>
        </is>
      </c>
      <c r="D13" s="45" t="inlineStr">
        <is>
          <t>Số lần sửa L/C do lỗi soạn thảo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Bộ chứng từ thanh toán hợp lệ</t>
        </is>
      </c>
      <c r="D14" s="45" t="inlineStr">
        <is>
          <t>Số bộ chứng từ bị bất hợp lệ, phí phạt phát sinh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quy định ngoại hối</t>
        </is>
      </c>
      <c r="D15" s="45" t="inlineStr">
        <is>
          <t>Hồ sơ thanh toán quốc tế đầy đủ theo yêu cầu ngân hàng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Đối chiếu công nợ nước ngoài</t>
        </is>
      </c>
      <c r="D16" s="45" t="inlineStr">
        <is>
          <t>Công nợ khách hàng, NCC nước ngoài đối chiếu định kỳ, khớp với Kế toán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thanh toán quốc tế</t>
        </is>
      </c>
      <c r="D17" s="45" t="inlineStr">
        <is>
          <t>Báo cáo dòng tiền ngoại tệ, công nợ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ngân hàng, Kế toán, Kinh doanh</t>
        </is>
      </c>
      <c r="D18" s="45" t="inlineStr">
        <is>
          <t>Phản hồi của các bên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giảm phí ngân hàng, rủi ro tỷ giá</t>
        </is>
      </c>
      <c r="D19" s="45" t="inlineStr">
        <is>
          <t>Số đề xuất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Bảo mật &amp; trách nhiệm</t>
        </is>
      </c>
      <c r="D20" s="45" t="inlineStr">
        <is>
          <t>Bảo mật thông tin tài khoản, giao dịch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2026-10-06T10:09:39Z</dcterms:created>
  <dcterms:modified xmlns:dcterms="http://purl.org/dc/terms/" xmlns:xsi="http://www.w3.org/2001/XMLSchema-instance" xsi:type="dcterms:W3CDTF">2026-10-25T09:13:39Z</dcterms:modified>
</cp:coreProperties>
</file>