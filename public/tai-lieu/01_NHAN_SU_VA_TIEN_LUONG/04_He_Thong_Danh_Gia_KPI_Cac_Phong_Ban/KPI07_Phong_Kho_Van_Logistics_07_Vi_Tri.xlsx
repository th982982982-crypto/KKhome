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Kho vận" sheetId="5" state="visible" r:id="rId5"/>
    <sheet xmlns:r="http://schemas.openxmlformats.org/officeDocument/2006/relationships" name="02. Thủ kho tổng" sheetId="6" state="visible" r:id="rId6"/>
    <sheet xmlns:r="http://schemas.openxmlformats.org/officeDocument/2006/relationships" name="03. NV Kho" sheetId="7" state="visible" r:id="rId7"/>
    <sheet xmlns:r="http://schemas.openxmlformats.org/officeDocument/2006/relationships" name="04. NV Điều phối vận tải" sheetId="8" state="visible" r:id="rId8"/>
    <sheet xmlns:r="http://schemas.openxmlformats.org/officeDocument/2006/relationships" name="05. Lái xe giao hàng" sheetId="9" state="visible" r:id="rId9"/>
    <sheet xmlns:r="http://schemas.openxmlformats.org/officeDocument/2006/relationships" name="06. NV Giao nhận" sheetId="10" state="visible" r:id="rId10"/>
    <sheet xmlns:r="http://schemas.openxmlformats.org/officeDocument/2006/relationships" name="07. NV Dữ liệu kho-WMS" sheetId="11" state="visible" r:id="rId11"/>
  </sheets>
  <definedNames>
    <definedName name="_xlnm.Print_Titles" localSheetId="4">'01. Trưởng phòng Kho vận'!$9:$9</definedName>
    <definedName name="_xlnm.Print_Area" localSheetId="4">'01. Trưởng phòng Kho vận'!$A$1:$I$39</definedName>
    <definedName name="_xlnm.Print_Titles" localSheetId="5">'02. Thủ kho tổng'!$9:$9</definedName>
    <definedName name="_xlnm.Print_Area" localSheetId="5">'02. Thủ kho tổng'!$A$1:$I$40</definedName>
    <definedName name="_xlnm.Print_Titles" localSheetId="6">'03. NV Kho'!$9:$9</definedName>
    <definedName name="_xlnm.Print_Area" localSheetId="6">'03. NV Kho'!$A$1:$I$40</definedName>
    <definedName name="_xlnm.Print_Titles" localSheetId="7">'04. NV Điều phối vận tải'!$9:$9</definedName>
    <definedName name="_xlnm.Print_Area" localSheetId="7">'04. NV Điều phối vận tải'!$A$1:$I$40</definedName>
    <definedName name="_xlnm.Print_Titles" localSheetId="8">'05. Lái xe giao hàng'!$9:$9</definedName>
    <definedName name="_xlnm.Print_Area" localSheetId="8">'05. Lái xe giao hàng'!$A$1:$I$40</definedName>
    <definedName name="_xlnm.Print_Titles" localSheetId="9">'06. NV Giao nhận'!$9:$9</definedName>
    <definedName name="_xlnm.Print_Area" localSheetId="9">'06. NV Giao nhận'!$A$1:$I$40</definedName>
    <definedName name="_xlnm.Print_Titles" localSheetId="10">'07. NV Dữ liệu kho-WMS'!$9:$9</definedName>
    <definedName name="_xlnm.Print_Area" localSheetId="10">'07. NV Dữ liệu kho-WMS'!$A$1:$I$40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sánh'!$C$5:$C$11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sánh'!$D$5:$D$11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sánh'!$E$5:$E$11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sánh'!$F$5:$F$11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sánh'!$B$5:$B$11</f>
            </numRef>
          </cat>
          <val>
            <numRef>
              <f>'So sánh'!$G$5:$G$11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25</row>
      <rowOff>0</rowOff>
    </from>
    <ext cx="7920000" cy="3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Kho v&#7853;n'!A1" TargetMode="External" Id="rId1"/><Relationship Type="http://schemas.openxmlformats.org/officeDocument/2006/relationships/hyperlink" Target="#'02. Th&#7911; kho t&#7893;ng'!A1" TargetMode="External" Id="rId2"/><Relationship Type="http://schemas.openxmlformats.org/officeDocument/2006/relationships/hyperlink" Target="#'03. NV Kho'!A1" TargetMode="External" Id="rId3"/><Relationship Type="http://schemas.openxmlformats.org/officeDocument/2006/relationships/hyperlink" Target="#'04. NV &#272;i&#7873;u ph&#7889;i v&#7853;n t&#7843;i'!A1" TargetMode="External" Id="rId4"/><Relationship Type="http://schemas.openxmlformats.org/officeDocument/2006/relationships/hyperlink" Target="#'05. L&#225;i xe giao h&#224;ng'!A1" TargetMode="External" Id="rId5"/><Relationship Type="http://schemas.openxmlformats.org/officeDocument/2006/relationships/hyperlink" Target="#'06. NV Giao nh&#7853;n'!A1" TargetMode="External" Id="rId6"/><Relationship Type="http://schemas.openxmlformats.org/officeDocument/2006/relationships/hyperlink" Target="#'07. NV D&#7919; li&#7879;u kho-WMS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Kho v&#7853;n'!A1" TargetMode="External" Id="rId1"/><Relationship Type="http://schemas.openxmlformats.org/officeDocument/2006/relationships/hyperlink" Target="#'02. Th&#7911; kho t&#7893;ng'!A1" TargetMode="External" Id="rId2"/><Relationship Type="http://schemas.openxmlformats.org/officeDocument/2006/relationships/hyperlink" Target="#'03. NV Kho'!A1" TargetMode="External" Id="rId3"/><Relationship Type="http://schemas.openxmlformats.org/officeDocument/2006/relationships/hyperlink" Target="#'04. NV &#272;i&#7873;u ph&#7889;i v&#7853;n t&#7843;i'!A1" TargetMode="External" Id="rId4"/><Relationship Type="http://schemas.openxmlformats.org/officeDocument/2006/relationships/hyperlink" Target="#'05. L&#225;i xe giao h&#224;ng'!A1" TargetMode="External" Id="rId5"/><Relationship Type="http://schemas.openxmlformats.org/officeDocument/2006/relationships/hyperlink" Target="#'06. NV Giao nh&#7853;n'!A1" TargetMode="External" Id="rId6"/><Relationship Type="http://schemas.openxmlformats.org/officeDocument/2006/relationships/hyperlink" Target="#'07. NV D&#7919; li&#7879;u kho-WMS'!A1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KHO VẬN – LOGISTICS – 07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"Độ chính xác tồn kho phụ trách"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07 VỊ TRÍ</t>
        </is>
      </c>
    </row>
    <row r="25">
      <c r="B25" s="10" t="inlineStr">
        <is>
          <t>01</t>
        </is>
      </c>
      <c r="C25" s="11" t="inlineStr">
        <is>
          <t>Trưởng phòng Kho vận – Logistics  (10 tiêu chí)</t>
        </is>
      </c>
    </row>
    <row r="26">
      <c r="B26" s="10" t="inlineStr">
        <is>
          <t>02</t>
        </is>
      </c>
      <c r="C26" s="11" t="inlineStr">
        <is>
          <t>Thủ kho tổng  (11 tiêu chí)</t>
        </is>
      </c>
    </row>
    <row r="27">
      <c r="B27" s="10" t="inlineStr">
        <is>
          <t>03</t>
        </is>
      </c>
      <c r="C27" s="11" t="inlineStr">
        <is>
          <t>Nhân viên Kho (nhập – xuất – soạn hàng)  (11 tiêu chí)</t>
        </is>
      </c>
    </row>
    <row r="28">
      <c r="B28" s="10" t="inlineStr">
        <is>
          <t>04</t>
        </is>
      </c>
      <c r="C28" s="11" t="inlineStr">
        <is>
          <t>Nhân viên Điều phối vận tải  (11 tiêu chí)</t>
        </is>
      </c>
    </row>
    <row r="29">
      <c r="B29" s="10" t="inlineStr">
        <is>
          <t>05</t>
        </is>
      </c>
      <c r="C29" s="11" t="inlineStr">
        <is>
          <t>Lái xe giao hàng  (11 tiêu chí)</t>
        </is>
      </c>
    </row>
    <row r="30">
      <c r="B30" s="10" t="inlineStr">
        <is>
          <t>06</t>
        </is>
      </c>
      <c r="C30" s="11" t="inlineStr">
        <is>
          <t>Nhân viên Giao nhận  (11 tiêu chí)</t>
        </is>
      </c>
    </row>
    <row r="31">
      <c r="B31" s="10" t="inlineStr">
        <is>
          <t>07</t>
        </is>
      </c>
      <c r="C31" s="11" t="inlineStr">
        <is>
          <t>Nhân viên Kiểm kê &amp; Dữ liệu kho (WMS)  (11 tiêu chí)</t>
        </is>
      </c>
    </row>
    <row r="32"/>
    <row r="33" ht="40" customHeight="1">
      <c r="B33" s="12" t="inlineStr">
        <is>
          <t>Lưu ý</t>
        </is>
      </c>
      <c r="C33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  <hyperlink xmlns:r="http://schemas.openxmlformats.org/officeDocument/2006/relationships" ref="C31" r:id="rId7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KHO VẬN – LOGISTICS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Kho vận – Logistics</t>
        </is>
      </c>
      <c r="C5" s="6">
        <f>IF('01. Trưởng phòng Kho vận'!C4="","",'01. Trưởng phòng Kho vận'!C4)</f>
        <v/>
      </c>
      <c r="D5" s="15">
        <f>IF('01. Trưởng phòng Kho vận'!G5="",'01. Trưởng phòng Kho vận'!G4,'01. Trưởng phòng Kho vận'!G5)</f>
        <v/>
      </c>
      <c r="E5" s="69">
        <f>'01. Trưởng phòng Kho vận'!C24</f>
        <v/>
      </c>
      <c r="F5" s="70">
        <f>'01. Trưởng phòng Kho vận'!C23</f>
        <v/>
      </c>
      <c r="G5" s="71">
        <f>IF(E5="","",F5-E5)</f>
        <v/>
      </c>
      <c r="H5" s="10">
        <f>'01. Trưởng phòng Kho vận'!C26</f>
        <v/>
      </c>
      <c r="I5" s="19">
        <f>'01. Trưởng phòng Kho vận'!H24</f>
        <v/>
      </c>
      <c r="J5" s="19">
        <f>'01. Trưởng phòng Kho vận'!H25</f>
        <v/>
      </c>
      <c r="K5" s="19">
        <f>'01. Trưởng phòng Kho vận'!H26</f>
        <v/>
      </c>
      <c r="L5" s="15">
        <f>'01. Trưởng phòng Kho vận'!C25</f>
        <v/>
      </c>
    </row>
    <row r="6" ht="20" customHeight="1">
      <c r="A6" s="20" t="n">
        <v>2</v>
      </c>
      <c r="B6" s="21" t="inlineStr">
        <is>
          <t>Thủ kho tổng</t>
        </is>
      </c>
      <c r="C6" s="22">
        <f>IF('02. Thủ kho tổng'!C4="","",'02. Thủ kho tổng'!C4)</f>
        <v/>
      </c>
      <c r="D6" s="20">
        <f>IF('02. Thủ kho tổng'!G5="",'02. Thủ kho tổng'!G4,'02. Thủ kho tổng'!G5)</f>
        <v/>
      </c>
      <c r="E6" s="72">
        <f>'02. Thủ kho tổng'!C25</f>
        <v/>
      </c>
      <c r="F6" s="73">
        <f>'02. Thủ kho tổng'!C24</f>
        <v/>
      </c>
      <c r="G6" s="74">
        <f>IF(E6="","",F6-E6)</f>
        <v/>
      </c>
      <c r="H6" s="10">
        <f>'02. Thủ kho tổng'!C27</f>
        <v/>
      </c>
      <c r="I6" s="26">
        <f>'02. Thủ kho tổng'!H25</f>
        <v/>
      </c>
      <c r="J6" s="26">
        <f>'02. Thủ kho tổng'!H26</f>
        <v/>
      </c>
      <c r="K6" s="26">
        <f>'02. Thủ kho tổng'!H27</f>
        <v/>
      </c>
      <c r="L6" s="20">
        <f>'02. Thủ kho tổng'!C26</f>
        <v/>
      </c>
    </row>
    <row r="7" ht="20" customHeight="1">
      <c r="A7" s="15" t="n">
        <v>3</v>
      </c>
      <c r="B7" s="11" t="inlineStr">
        <is>
          <t>Nhân viên Kho (nhập – xuất – soạn hàng)</t>
        </is>
      </c>
      <c r="C7" s="6">
        <f>IF('03. NV Kho'!C4="","",'03. NV Kho'!C4)</f>
        <v/>
      </c>
      <c r="D7" s="15">
        <f>IF('03. NV Kho'!G5="",'03. NV Kho'!G4,'03. NV Kho'!G5)</f>
        <v/>
      </c>
      <c r="E7" s="69">
        <f>'03. NV Kho'!C25</f>
        <v/>
      </c>
      <c r="F7" s="70">
        <f>'03. NV Kho'!C24</f>
        <v/>
      </c>
      <c r="G7" s="71">
        <f>IF(E7="","",F7-E7)</f>
        <v/>
      </c>
      <c r="H7" s="10">
        <f>'03. NV Kho'!C27</f>
        <v/>
      </c>
      <c r="I7" s="19">
        <f>'03. NV Kho'!H25</f>
        <v/>
      </c>
      <c r="J7" s="19">
        <f>'03. NV Kho'!H26</f>
        <v/>
      </c>
      <c r="K7" s="19">
        <f>'03. NV Kho'!H27</f>
        <v/>
      </c>
      <c r="L7" s="15">
        <f>'03. NV Kho'!C26</f>
        <v/>
      </c>
    </row>
    <row r="8" ht="20" customHeight="1">
      <c r="A8" s="20" t="n">
        <v>4</v>
      </c>
      <c r="B8" s="21" t="inlineStr">
        <is>
          <t>Nhân viên Điều phối vận tải</t>
        </is>
      </c>
      <c r="C8" s="22">
        <f>IF('04. NV Điều phối vận tải'!C4="","",'04. NV Điều phối vận tải'!C4)</f>
        <v/>
      </c>
      <c r="D8" s="20">
        <f>IF('04. NV Điều phối vận tải'!G5="",'04. NV Điều phối vận tải'!G4,'04. NV Điều phối vận tải'!G5)</f>
        <v/>
      </c>
      <c r="E8" s="72">
        <f>'04. NV Điều phối vận tải'!C25</f>
        <v/>
      </c>
      <c r="F8" s="73">
        <f>'04. NV Điều phối vận tải'!C24</f>
        <v/>
      </c>
      <c r="G8" s="74">
        <f>IF(E8="","",F8-E8)</f>
        <v/>
      </c>
      <c r="H8" s="10">
        <f>'04. NV Điều phối vận tải'!C27</f>
        <v/>
      </c>
      <c r="I8" s="26">
        <f>'04. NV Điều phối vận tải'!H25</f>
        <v/>
      </c>
      <c r="J8" s="26">
        <f>'04. NV Điều phối vận tải'!H26</f>
        <v/>
      </c>
      <c r="K8" s="26">
        <f>'04. NV Điều phối vận tải'!H27</f>
        <v/>
      </c>
      <c r="L8" s="20">
        <f>'04. NV Điều phối vận tải'!C26</f>
        <v/>
      </c>
    </row>
    <row r="9" ht="20" customHeight="1">
      <c r="A9" s="15" t="n">
        <v>5</v>
      </c>
      <c r="B9" s="11" t="inlineStr">
        <is>
          <t>Lái xe giao hàng</t>
        </is>
      </c>
      <c r="C9" s="6">
        <f>IF('05. Lái xe giao hàng'!C4="","",'05. Lái xe giao hàng'!C4)</f>
        <v/>
      </c>
      <c r="D9" s="15">
        <f>IF('05. Lái xe giao hàng'!G5="",'05. Lái xe giao hàng'!G4,'05. Lái xe giao hàng'!G5)</f>
        <v/>
      </c>
      <c r="E9" s="69">
        <f>'05. Lái xe giao hàng'!C25</f>
        <v/>
      </c>
      <c r="F9" s="70">
        <f>'05. Lái xe giao hàng'!C24</f>
        <v/>
      </c>
      <c r="G9" s="71">
        <f>IF(E9="","",F9-E9)</f>
        <v/>
      </c>
      <c r="H9" s="10">
        <f>'05. Lái xe giao hàng'!C27</f>
        <v/>
      </c>
      <c r="I9" s="19">
        <f>'05. Lái xe giao hàng'!H25</f>
        <v/>
      </c>
      <c r="J9" s="19">
        <f>'05. Lái xe giao hàng'!H26</f>
        <v/>
      </c>
      <c r="K9" s="19">
        <f>'05. Lái xe giao hàng'!H27</f>
        <v/>
      </c>
      <c r="L9" s="15">
        <f>'05. Lái xe giao hàng'!C26</f>
        <v/>
      </c>
    </row>
    <row r="10" ht="20" customHeight="1">
      <c r="A10" s="20" t="n">
        <v>6</v>
      </c>
      <c r="B10" s="21" t="inlineStr">
        <is>
          <t>Nhân viên Giao nhận</t>
        </is>
      </c>
      <c r="C10" s="22">
        <f>IF('06. NV Giao nhận'!C4="","",'06. NV Giao nhận'!C4)</f>
        <v/>
      </c>
      <c r="D10" s="20">
        <f>IF('06. NV Giao nhận'!G5="",'06. NV Giao nhận'!G4,'06. NV Giao nhận'!G5)</f>
        <v/>
      </c>
      <c r="E10" s="72">
        <f>'06. NV Giao nhận'!C25</f>
        <v/>
      </c>
      <c r="F10" s="73">
        <f>'06. NV Giao nhận'!C24</f>
        <v/>
      </c>
      <c r="G10" s="74">
        <f>IF(E10="","",F10-E10)</f>
        <v/>
      </c>
      <c r="H10" s="10">
        <f>'06. NV Giao nhận'!C27</f>
        <v/>
      </c>
      <c r="I10" s="26">
        <f>'06. NV Giao nhận'!H25</f>
        <v/>
      </c>
      <c r="J10" s="26">
        <f>'06. NV Giao nhận'!H26</f>
        <v/>
      </c>
      <c r="K10" s="26">
        <f>'06. NV Giao nhận'!H27</f>
        <v/>
      </c>
      <c r="L10" s="20">
        <f>'06. NV Giao nhận'!C26</f>
        <v/>
      </c>
    </row>
    <row r="11" ht="20" customHeight="1">
      <c r="A11" s="15" t="n">
        <v>7</v>
      </c>
      <c r="B11" s="11" t="inlineStr">
        <is>
          <t>Nhân viên Kiểm kê &amp; Dữ liệu kho (WMS)</t>
        </is>
      </c>
      <c r="C11" s="6">
        <f>IF('07. NV Dữ liệu kho-WMS'!C4="","",'07. NV Dữ liệu kho-WMS'!C4)</f>
        <v/>
      </c>
      <c r="D11" s="15">
        <f>IF('07. NV Dữ liệu kho-WMS'!G5="",'07. NV Dữ liệu kho-WMS'!G4,'07. NV Dữ liệu kho-WMS'!G5)</f>
        <v/>
      </c>
      <c r="E11" s="69">
        <f>'07. NV Dữ liệu kho-WMS'!C25</f>
        <v/>
      </c>
      <c r="F11" s="70">
        <f>'07. NV Dữ liệu kho-WMS'!C24</f>
        <v/>
      </c>
      <c r="G11" s="71">
        <f>IF(E11="","",F11-E11)</f>
        <v/>
      </c>
      <c r="H11" s="10">
        <f>'07. NV Dữ liệu kho-WMS'!C27</f>
        <v/>
      </c>
      <c r="I11" s="19">
        <f>'07. NV Dữ liệu kho-WMS'!H25</f>
        <v/>
      </c>
      <c r="J11" s="19">
        <f>'07. NV Dữ liệu kho-WMS'!H26</f>
        <v/>
      </c>
      <c r="K11" s="19">
        <f>'07. NV Dữ liệu kho-WMS'!H27</f>
        <v/>
      </c>
      <c r="L11" s="15">
        <f>'07. NV Dữ liệu kho-WMS'!C26</f>
        <v/>
      </c>
    </row>
    <row r="12"/>
    <row r="13">
      <c r="B13" s="27" t="inlineStr">
        <is>
          <t>THỐNG KÊ TOÀN PHÒNG</t>
        </is>
      </c>
      <c r="C13" s="75" t="n"/>
    </row>
    <row r="14">
      <c r="B14" s="5" t="inlineStr">
        <is>
          <t>Số vị trí xếp loại Xuất sắc</t>
        </is>
      </c>
      <c r="C14" s="29">
        <f>COUNTIF(H5:H11,"Xuất sắc")</f>
        <v/>
      </c>
    </row>
    <row r="15">
      <c r="B15" s="5" t="inlineStr">
        <is>
          <t>Số vị trí xếp loại Đạt</t>
        </is>
      </c>
      <c r="C15" s="29">
        <f>COUNTIF(H5:H11,"Đạt")</f>
        <v/>
      </c>
    </row>
    <row r="16">
      <c r="B16" s="5" t="inlineStr">
        <is>
          <t>Số vị trí xếp loại Cần cải thiện</t>
        </is>
      </c>
      <c r="C16" s="29">
        <f>COUNTIF(H5:H11,"Cần cải thiện")</f>
        <v/>
      </c>
    </row>
    <row r="17">
      <c r="B17" s="5" t="inlineStr">
        <is>
          <t>Số vị trí chưa chấm / chưa chấm đủ</t>
        </is>
      </c>
      <c r="C17" s="29">
        <f>COUNTIF(H5:H11,"Chưa chấm")+COUNTIF(H5:H11,"Chưa chấm đủ")</f>
        <v/>
      </c>
    </row>
    <row r="18">
      <c r="B18" s="5" t="inlineStr">
        <is>
          <t>Điểm bình quân phòng (vị trí đã chấm đủ)</t>
        </is>
      </c>
      <c r="C18" s="76">
        <f>IFERROR(AVERAGEIFS(F5:F11,H5:H11,"&lt;&gt;Chưa chấm",H5:H11,"&lt;&gt;Chưa chấm đủ"),"")</f>
        <v/>
      </c>
    </row>
    <row r="19"/>
    <row r="20" ht="30" customHeight="1">
      <c r="B20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3:C13"/>
    <mergeCell ref="B20:L20"/>
    <mergeCell ref="A2:L2"/>
    <mergeCell ref="A1:L1"/>
  </mergeCells>
  <conditionalFormatting sqref="H5:H11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1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>
      <c r="A11" s="15" t="n">
        <v>7</v>
      </c>
      <c r="B11" s="6">
        <f>'Tổng hợp'!B11</f>
        <v/>
      </c>
      <c r="C11" s="69">
        <f>IF('Tổng hợp'!E11="",0,'Tổng hợp'!E11)</f>
        <v/>
      </c>
      <c r="D11" s="69">
        <f>'Tổng hợp'!F11</f>
        <v/>
      </c>
      <c r="E11" s="19">
        <f>'Tổng hợp'!I11</f>
        <v/>
      </c>
      <c r="F11" s="19">
        <f>'Tổng hợp'!J11</f>
        <v/>
      </c>
      <c r="G11" s="19">
        <f>'Tổng hợp'!K11</f>
        <v/>
      </c>
    </row>
    <row r="12"/>
    <row r="13">
      <c r="A13" s="13" t="inlineStr">
        <is>
          <t>Biểu đồ tự cập nhật khi chấm điểm ở các sheet vị trí. Vị trí chưa chấm hiển thị 0.</t>
        </is>
      </c>
    </row>
  </sheetData>
  <mergeCells count="3">
    <mergeCell ref="A13:G13"/>
    <mergeCell ref="A2:G2"/>
    <mergeCell ref="A1:G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Độ chính xác tồn kho (kiểm kê so với sổ)</t>
        </is>
      </c>
      <c r="C22" s="35" t="inlineStr">
        <is>
          <t>≥ 99,8%</t>
        </is>
      </c>
      <c r="D22" s="35" t="inlineStr">
        <is>
          <t>99,5% – dưới 99,8%</t>
        </is>
      </c>
      <c r="E22" s="35" t="inlineStr">
        <is>
          <t>99% – dưới 99,5%</t>
        </is>
      </c>
      <c r="F22" s="35" t="inlineStr">
        <is>
          <t>97% – dưới 99%</t>
        </is>
      </c>
      <c r="G22" s="35" t="inlineStr">
        <is>
          <t>Dưới 97%</t>
        </is>
      </c>
    </row>
    <row r="23" ht="38" customHeight="1">
      <c r="B23" s="38" t="inlineStr">
        <is>
          <t>Giao hàng đúng hạn, đủ hàng (OTIF)</t>
        </is>
      </c>
      <c r="C23" s="35" t="inlineStr">
        <is>
          <t>≥ 98%</t>
        </is>
      </c>
      <c r="D23" s="35" t="inlineStr">
        <is>
          <t>95% – dưới 98%</t>
        </is>
      </c>
      <c r="E23" s="35" t="inlineStr">
        <is>
          <t>90% – dưới 95%</t>
        </is>
      </c>
      <c r="F23" s="35" t="inlineStr">
        <is>
          <t>80% – dưới 90%</t>
        </is>
      </c>
      <c r="G23" s="35" t="inlineStr">
        <is>
          <t>Dưới 80%</t>
        </is>
      </c>
    </row>
    <row r="24" ht="38" customHeight="1">
      <c r="B24" s="38" t="inlineStr">
        <is>
          <t>Sai sót soạn hàng, giao nhầm</t>
        </is>
      </c>
      <c r="C24" s="35" t="inlineStr">
        <is>
          <t>0 lỗi, chủ động phát hiện lỗi khâu trước</t>
        </is>
      </c>
      <c r="D24" s="35" t="inlineStr">
        <is>
          <t>0 lỗi</t>
        </is>
      </c>
      <c r="E24" s="35" t="inlineStr">
        <is>
          <t>1–2 lỗi nhỏ, xử lý trong ngày</t>
        </is>
      </c>
      <c r="F24" s="35" t="inlineStr">
        <is>
          <t>≥ 3 lỗi hoặc 1 lỗi bị khách khiếu nại</t>
        </is>
      </c>
      <c r="G24" s="35" t="inlineStr">
        <is>
          <t>Lỗi gây mất hàng, bồi thường</t>
        </is>
      </c>
    </row>
    <row r="25" ht="38" customHeight="1">
      <c r="B25" s="38" t="inlineStr">
        <is>
          <t>Hao hụt, hư hỏng hàng hóa</t>
        </is>
      </c>
      <c r="C25" s="35" t="inlineStr">
        <is>
          <t>Thấp hơn định mức ≥ 50%</t>
        </is>
      </c>
      <c r="D25" s="35" t="inlineStr">
        <is>
          <t>Trong định mức</t>
        </is>
      </c>
      <c r="E25" s="35" t="inlineStr">
        <is>
          <t>Vượt định mức ≤ 10%</t>
        </is>
      </c>
      <c r="F25" s="35" t="inlineStr">
        <is>
          <t>Vượt 10% – 30%</t>
        </is>
      </c>
      <c r="G25" s="35" t="inlineStr">
        <is>
          <t>Vượt &gt; 30% hoặc mất hàng không rõ nguyên nhân</t>
        </is>
      </c>
    </row>
    <row r="26" ht="38" customHeight="1">
      <c r="B26" s="38" t="inlineStr">
        <is>
          <t>Chi phí vận chuyển / đơn vị hàng</t>
        </is>
      </c>
      <c r="C26" s="35" t="inlineStr">
        <is>
          <t>Thấp hơn định mức ≥ 10%</t>
        </is>
      </c>
      <c r="D26" s="35" t="inlineStr">
        <is>
          <t>Trong định mức</t>
        </is>
      </c>
      <c r="E26" s="35" t="inlineStr">
        <is>
          <t>Vượt ≤ 5%</t>
        </is>
      </c>
      <c r="F26" s="35" t="inlineStr">
        <is>
          <t>Vượt 5% – 10%</t>
        </is>
      </c>
      <c r="G26" s="35" t="inlineStr">
        <is>
          <t>Vượt &gt; 10%</t>
        </is>
      </c>
    </row>
    <row r="27" ht="38" customHeight="1">
      <c r="B27" s="38" t="inlineStr">
        <is>
          <t>An toàn kho &amp; giao thông</t>
        </is>
      </c>
      <c r="C27" s="35" t="inlineStr">
        <is>
          <t>Không sự cố, chủ động khắc phục nguy cơ</t>
        </is>
      </c>
      <c r="D27" s="35" t="inlineStr">
        <is>
          <t>Không sự cố</t>
        </is>
      </c>
      <c r="E27" s="35" t="inlineStr">
        <is>
          <t>Sự cố nhỏ, không thiệt hại</t>
        </is>
      </c>
      <c r="F27" s="35" t="inlineStr">
        <is>
          <t>Vi phạm an toàn lặp lại</t>
        </is>
      </c>
      <c r="G27" s="35" t="inlineStr">
        <is>
          <t>Tai nạn lao động, giao thông, cháy nổ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KHO VẬN – LOGISTICS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Độ chính xác tồn kho toàn hệ thống</t>
        </is>
      </c>
      <c r="D10" s="45" t="inlineStr">
        <is>
          <t>Kết quả kiểm kê so với sổ sách ≥ 99,5%; chênh lệch được giải trình, xử lý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Giao hàng đúng hạn, đủ hàng (OTIF)</t>
        </is>
      </c>
      <c r="D11" s="45" t="inlineStr">
        <is>
          <t>Tỷ lệ đơn hàng giao đúng hạn, đủ số lượng cho khách và nội bộ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Chi phí kho vận</t>
        </is>
      </c>
      <c r="D12" s="45" t="inlineStr">
        <is>
          <t>Chi phí kho, vận chuyển / doanh thu hoặc / đơn vị hàng so với ngân sách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Tối ưu tồn kho &amp; vòng quay</t>
        </is>
      </c>
      <c r="D13" s="45" t="inlineStr">
        <is>
          <t>Vòng quay hàng tồn kho; giá trị hàng chậm luân chuyển, cận date được xử lý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kho, PCCC &amp; an toàn giao thông</t>
        </is>
      </c>
      <c r="D14" s="45" t="inlineStr">
        <is>
          <t>Không xảy ra tai nạn, cháy nổ; kiểm tra PCCC, xe nâng, xe tải đúng định kỳ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nhập – xuất – kiểm kê</t>
        </is>
      </c>
      <c r="D15" s="45" t="inlineStr">
        <is>
          <t>Phiếu nhập, xuất có đủ chữ ký, chứng từ; kiểm kê định kỳ đúng lịch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kho vận định kỳ</t>
        </is>
      </c>
      <c r="D16" s="45" t="inlineStr">
        <is>
          <t>Báo cáo tồn kho, hao hụt, chi phí vận chuyển gửi Ban lãnh đạo, Kế toán đúng hạn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tỷ lệ nghỉ việc nhân sự kho, lái xe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Mua hàng, Kinh doanh &amp; Kế toán</t>
        </is>
      </c>
      <c r="D18" s="45" t="inlineStr">
        <is>
          <t>Phản hồi các phòng ban; đối chiếu số liệu tồn kho với Kế toán khớp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Cải tiến vận hành kho</t>
        </is>
      </c>
      <c r="D19" s="45" t="inlineStr">
        <is>
          <t>Số cải tiến bố trí kho, quy trình, ứng dụng mã vạch/WMS được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THỦ KHO TỔNG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Độ chính xác tồn kho phụ trách</t>
        </is>
      </c>
      <c r="D10" s="45" t="inlineStr">
        <is>
          <t>Kết quả kiểm kê so với sổ kho ≥ 99,5%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Nhập – xuất đúng chứng từ</t>
        </is>
      </c>
      <c r="D11" s="45" t="inlineStr">
        <is>
          <t>100% hàng nhập, xuất có phiếu được duyệt; không xuất hàng khi chưa đủ chứng từ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Kiểm soát hao hụt, hư hỏng</t>
        </is>
      </c>
      <c r="D12" s="45" t="inlineStr">
        <is>
          <t>Giá trị hao hụt, hư hỏng so với định mức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hạn dùng &amp; FIFO/FEFO</t>
        </is>
      </c>
      <c r="D13" s="45" t="inlineStr">
        <is>
          <t>Không để hàng hết hạn trong kho; xuất đúng nguyên tắc nhập trước – xuất trước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kho &amp; PCCC</t>
        </is>
      </c>
      <c r="D14" s="45" t="inlineStr">
        <is>
          <t>Kho sạch, sắp xếp đúng sơ đồ; thiết bị PCCC sẵn sàng; không sự cố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Cập nhật thẻ kho, phần mềm kịp thời</t>
        </is>
      </c>
      <c r="D15" s="45" t="inlineStr">
        <is>
          <t>Số liệu nhập – xuất cập nhật trong ngày; thẻ kho khớp phần mềm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Kiểm kê định kỳ đúng lịch</t>
        </is>
      </c>
      <c r="D16" s="45" t="inlineStr">
        <is>
          <t>Kiểm kê tháng/quý/năm đúng lịch, biên bản đầy đủ chữ ký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Chuyển chứng từ cho Kế toán đúng hạn</t>
        </is>
      </c>
      <c r="D17" s="45" t="inlineStr">
        <is>
          <t>Phiếu nhập, xuất, biên bản giao nhận chuyển Kế toán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Mua hàng, Kinh doanh, Sản xuất</t>
        </is>
      </c>
      <c r="D18" s="45" t="inlineStr">
        <is>
          <t>Đáp ứng yêu cầu xuất hàng đúng thời gian; phản hồi của các bộ phận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cảnh báo tồn kho</t>
        </is>
      </c>
      <c r="D19" s="45" t="inlineStr">
        <is>
          <t>Cảnh báo hàng dưới mức tồn tối thiểu, hàng chậm luân chuyển kịp thời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 tài sản</t>
        </is>
      </c>
      <c r="D20" s="45" t="inlineStr">
        <is>
          <t>Không để mất mát hàng hóa; báo cáo trung thực các sai lệch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KHO (NHẬP – XUẤT – SOẠN HÀNG)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Năng suất soạn hàng</t>
        </is>
      </c>
      <c r="D10" s="45" t="inlineStr">
        <is>
          <t>Số dòng hàng/đơn hàng soạn bình quân mỗi ca so với định mức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Độ chính xác soạn hàng</t>
        </is>
      </c>
      <c r="D11" s="45" t="inlineStr">
        <is>
          <t>Số lỗi soạn sai mã, sai số lượng, sai lô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Kiểm đếm hàng nhập</t>
        </is>
      </c>
      <c r="D12" s="45" t="inlineStr">
        <is>
          <t>Hàng nhập được kiểm đếm, đối chiếu chứng từ; phát hiện sai lệch kịp thời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Sắp xếp hàng đúng vị trí</t>
        </is>
      </c>
      <c r="D13" s="45" t="inlineStr">
        <is>
          <t>Hàng xếp đúng vị trí, đúng sơ đồ kho, dễ tìm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lao động &amp; sử dụng thiết bị</t>
        </is>
      </c>
      <c r="D14" s="45" t="inlineStr">
        <is>
          <t>Sử dụng bảo hộ, xe nâng, thiết bị đúng quy trình; không sự cố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nhập – xuất</t>
        </is>
      </c>
      <c r="D15" s="45" t="inlineStr">
        <is>
          <t>Không giao, nhận hàng khi chưa có chứng từ hợp lệ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Bảo quản hàng hóa</t>
        </is>
      </c>
      <c r="D16" s="45" t="inlineStr">
        <is>
          <t>Hàng hư hỏng do bốc xếp, bảo quản sai cách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Chấp hành giờ giấc, nội quy kho</t>
        </is>
      </c>
      <c r="D17" s="45" t="inlineStr">
        <is>
          <t>Đi làm đúng giờ; không vi phạm nội quy ra vào kho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trong ca &amp; với lái xe, giao nhận</t>
        </is>
      </c>
      <c r="D18" s="45" t="inlineStr">
        <is>
          <t>Phối hợp xếp dỡ đúng thời gian, không để xe chờ quá định mức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Vệ sinh kho (5S)</t>
        </is>
      </c>
      <c r="D19" s="45" t="inlineStr">
        <is>
          <t>Khu vực phụ trách đạt chuẩn 5S khi kiểm tra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Hỗ trợ tăng ca khi cao điểm; báo cáo trung thực sự cố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ĐIỀU PHỐI VẬN TẢI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Giao hàng đúng hạn (OTD)</t>
        </is>
      </c>
      <c r="D10" s="45" t="inlineStr">
        <is>
          <t>Tỷ lệ chuyến giao đúng khung giờ cam kết với khách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Tối ưu tuyến &amp; tải trọng xe</t>
        </is>
      </c>
      <c r="D11" s="45" t="inlineStr">
        <is>
          <t>Hệ số sử dụng tải trọng xe; số km rỗng so với định mức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Chi phí vận chuyển</t>
        </is>
      </c>
      <c r="D12" s="45" t="inlineStr">
        <is>
          <t>Chi phí vận chuyển / đơn hàng hoặc / tấn so với định mức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đơn vị vận tải thuê ngoài</t>
        </is>
      </c>
      <c r="D13" s="45" t="inlineStr">
        <is>
          <t>Đánh giá NVT định kỳ; tỷ lệ sự cố của NVT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Đầy đủ chứng từ giao hàng</t>
        </is>
      </c>
      <c r="D14" s="45" t="inlineStr">
        <is>
          <t>Biên bản giao nhận, phiếu xuất có chữ ký khách thu hồi đủ trong 03 ngày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định vận tải</t>
        </is>
      </c>
      <c r="D15" s="45" t="inlineStr">
        <is>
          <t>Xe đủ giấy tờ, đăng kiểm, bảo hiểm; không chở quá tải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Cập nhật lịch trình &amp; trạng thái giao hàng</t>
        </is>
      </c>
      <c r="D16" s="45" t="inlineStr">
        <is>
          <t>Trạng thái đơn hàng cập nhật trên hệ thống kịp thời; thông báo khách khi chậm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vận tải định kỳ</t>
        </is>
      </c>
      <c r="D17" s="45" t="inlineStr">
        <is>
          <t>Báo cáo chuyến, chi phí, sự cố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Kho, Kinh doanh, CSKH</t>
        </is>
      </c>
      <c r="D18" s="45" t="inlineStr">
        <is>
          <t>Phản hồi của các bộ phận về điều phối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Xử lý sự cố giao hàng</t>
        </is>
      </c>
      <c r="D19" s="45" t="inlineStr">
        <is>
          <t>Thời gian xử lý sự cố (xe hỏng, khách vắng, hàng hỏng) và phương án thay thế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Theo dõi xe ngoài giờ khi có chuyến; chủ động báo cáo rủi ro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LÁI XE GIAO HÀNG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chuyến được giao</t>
        </is>
      </c>
      <c r="D10" s="45" t="inlineStr">
        <is>
          <t>Số chuyến hoàn thành / số chuyến được điều phối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Giao hàng đúng giờ</t>
        </is>
      </c>
      <c r="D11" s="45" t="inlineStr">
        <is>
          <t>Tỷ lệ giao đúng khung giờ cam kết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Giao đủ hàng, nguyên vẹn</t>
        </is>
      </c>
      <c r="D12" s="45" t="inlineStr">
        <is>
          <t>Số lần thiếu hàng, hư hỏng hàng trong quá trình vận chuyển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Tiết kiệm nhiên liệu</t>
        </is>
      </c>
      <c r="D13" s="45" t="inlineStr">
        <is>
          <t>Mức tiêu hao nhiên liệu thực tế so với định mức theo km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giao thông</t>
        </is>
      </c>
      <c r="D14" s="45" t="inlineStr">
        <is>
          <t>Số vi phạm giao thông, va chạm, tai nạn; bị phạt nguội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Thu hồi chứng từ &amp; tiền hàng (nếu có)</t>
        </is>
      </c>
      <c r="D15" s="45" t="inlineStr">
        <is>
          <t>Biên bản giao nhận có chữ ký khách; nộp tiền thu hộ đủ,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Bảo dưỡng &amp; giữ gìn xe</t>
        </is>
      </c>
      <c r="D16" s="45" t="inlineStr">
        <is>
          <t>Kiểm tra xe trước chuyến; bảo dưỡng đúng lịch; xe sạch sẽ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Chấp hành giờ giấc, điều động</t>
        </is>
      </c>
      <c r="D17" s="45" t="inlineStr">
        <is>
          <t>Có mặt đúng giờ; không tự ý thay đổi tuyến khi chưa báo điều phối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Thái độ phục vụ khách hàng</t>
        </is>
      </c>
      <c r="D18" s="45" t="inlineStr">
        <is>
          <t>Số phản hồi tốt / phàn nàn của khách về thái độ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Phối hợp xếp dỡ hàng</t>
        </is>
      </c>
      <c r="D19" s="45" t="inlineStr">
        <is>
          <t>Hỗ trợ kho, khách xếp dỡ đúng quy định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Báo cáo trung thực sự cố, chi phí phát sinh trên đường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GIAO NHẬN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đơn giao nhận</t>
        </is>
      </c>
      <c r="D10" s="45" t="inlineStr">
        <is>
          <t>Số đơn giao, nhận hoàn thành / số đơn được phân công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Giao đúng hạn</t>
        </is>
      </c>
      <c r="D11" s="45" t="inlineStr">
        <is>
          <t>Tỷ lệ đơn giao đúng thời gian cam kết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Chính xác hàng &amp; chứng từ</t>
        </is>
      </c>
      <c r="D12" s="45" t="inlineStr">
        <is>
          <t>Số lần giao nhầm hàng, nhầm địa chỉ, thiếu chứng từ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Thu hộ tiền hàng</t>
        </is>
      </c>
      <c r="D13" s="45" t="inlineStr">
        <is>
          <t>Nộp đủ tiền thu hộ trong ngày; chênh lệch = 0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Bảo quản hàng khi vận chuyển</t>
        </is>
      </c>
      <c r="D14" s="45" t="inlineStr">
        <is>
          <t>Số đơn hư hỏng, thất lạc do lỗi giao nhận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trình giao nhận</t>
        </is>
      </c>
      <c r="D15" s="45" t="inlineStr">
        <is>
          <t>Đối chiếu hàng, ký nhận đúng quy trình; chụp ảnh xác nhận khi cần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Thu hồi chứng từ đúng hạn</t>
        </is>
      </c>
      <c r="D16" s="45" t="inlineStr">
        <is>
          <t>Biên bản, phiếu giao có chữ ký nộp lại trong ngày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An toàn giao thông</t>
        </is>
      </c>
      <c r="D17" s="45" t="inlineStr">
        <is>
          <t>Không vi phạm giao thông, không sự cố khi giao hàng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Thái độ phục vụ khách hàng</t>
        </is>
      </c>
      <c r="D18" s="45" t="inlineStr">
        <is>
          <t>Phản hồi của khách về thái độ, giao tiếp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Phối hợp với Kho &amp; Điều phối</t>
        </is>
      </c>
      <c r="D19" s="45" t="inlineStr">
        <is>
          <t>Báo trạng thái đơn kịp thời; hỗ trợ đơn gấp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Không vi phạm về tiền thu hộ; báo cáo sự cố trung thực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KIỂM KÊ &amp; DỮ LIỆU KHO (WMS)</t>
        </is>
      </c>
    </row>
    <row r="2">
      <c r="A2" s="3" t="inlineStr">
        <is>
          <t xml:space="preserve">Phòng Kho vận – Logistics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Kho vận – Logistics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Chính xác dữ liệu tồn kho trên hệ thống</t>
        </is>
      </c>
      <c r="D10" s="45" t="inlineStr">
        <is>
          <t>Tỷ lệ mã hàng có số liệu hệ thống khớp thực tế khi kiểm tra đột xuất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kê xoay vòng (cycle count)</t>
        </is>
      </c>
      <c r="D11" s="45" t="inlineStr">
        <is>
          <t>Số mã hàng được kiểm kê xoay vòng / kế hoạch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Phân tích chênh lệch kiểm kê</t>
        </is>
      </c>
      <c r="D12" s="45" t="inlineStr">
        <is>
          <t>100% chênh lệch được truy nguyên nhân, đề xuất xử lý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mã hàng, vị trí, mã vạch</t>
        </is>
      </c>
      <c r="D13" s="45" t="inlineStr">
        <is>
          <t>Danh mục mã hàng, vị trí kho, mã vạch chuẩn hóa, không trùng lặp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Cập nhật dữ liệu đúng hạn</t>
        </is>
      </c>
      <c r="D14" s="45" t="inlineStr">
        <is>
          <t>Chứng từ nhập – xuất được cập nhật trong ngày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phân quyền &amp; bảo mật dữ liệu kho</t>
        </is>
      </c>
      <c r="D15" s="45" t="inlineStr">
        <is>
          <t>Không chỉnh sửa số liệu sai thẩm quyền; lưu vết điều chỉnh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tồn kho định kỳ</t>
        </is>
      </c>
      <c r="D16" s="45" t="inlineStr">
        <is>
          <t>Báo cáo tồn, nhập – xuất – tồn, hàng chậm luân chuyển nộp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Đối chiếu với Kế toán kho</t>
        </is>
      </c>
      <c r="D17" s="45" t="inlineStr">
        <is>
          <t>Số liệu tồn kho đối chiếu với Kế toán khớp cuối kỳ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Thủ kho, Mua hàng, Kinh doanh</t>
        </is>
      </c>
      <c r="D18" s="45" t="inlineStr">
        <is>
          <t>Cung cấp số liệu tồn kho kịp thời, chính xác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 hệ thống</t>
        </is>
      </c>
      <c r="D19" s="45" t="inlineStr">
        <is>
          <t>Số đề xuất cải tiến báo cáo, quy trình WMS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Chủ động phát hiện, cảnh báo sai lệch số liệu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2026-10-06T10:09:38Z</dcterms:created>
  <dcterms:modified xmlns:dcterms="http://purl.org/dc/terms/" xmlns:xsi="http://www.w3.org/2001/XMLSchema-instance" xsi:type="dcterms:W3CDTF">2026-10-25T09:13:38Z</dcterms:modified>
</cp:coreProperties>
</file>