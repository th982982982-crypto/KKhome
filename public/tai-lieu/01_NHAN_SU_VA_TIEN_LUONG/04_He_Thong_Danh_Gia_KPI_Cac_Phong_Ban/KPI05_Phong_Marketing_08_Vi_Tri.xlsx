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Tổng hợp" sheetId="2" state="visible" r:id="rId2"/>
    <sheet xmlns:r="http://schemas.openxmlformats.org/officeDocument/2006/relationships" name="So sánh" sheetId="3" state="visible" r:id="rId3"/>
    <sheet xmlns:r="http://schemas.openxmlformats.org/officeDocument/2006/relationships" name="Nguyên tắc chấm" sheetId="4" state="visible" r:id="rId4"/>
    <sheet xmlns:r="http://schemas.openxmlformats.org/officeDocument/2006/relationships" name="01. Trưởng phòng MKT" sheetId="5" state="visible" r:id="rId5"/>
    <sheet xmlns:r="http://schemas.openxmlformats.org/officeDocument/2006/relationships" name="02. CV Digital Ads" sheetId="6" state="visible" r:id="rId6"/>
    <sheet xmlns:r="http://schemas.openxmlformats.org/officeDocument/2006/relationships" name="03. CV Content" sheetId="7" state="visible" r:id="rId7"/>
    <sheet xmlns:r="http://schemas.openxmlformats.org/officeDocument/2006/relationships" name="04. CV SEO-Website" sheetId="8" state="visible" r:id="rId8"/>
    <sheet xmlns:r="http://schemas.openxmlformats.org/officeDocument/2006/relationships" name="05. NV Thiết kế" sheetId="9" state="visible" r:id="rId9"/>
    <sheet xmlns:r="http://schemas.openxmlformats.org/officeDocument/2006/relationships" name="06. CV Social Media" sheetId="10" state="visible" r:id="rId10"/>
    <sheet xmlns:r="http://schemas.openxmlformats.org/officeDocument/2006/relationships" name="07. CV Brand-Sự kiện" sheetId="11" state="visible" r:id="rId11"/>
    <sheet xmlns:r="http://schemas.openxmlformats.org/officeDocument/2006/relationships" name="08. CV Trade MKT" sheetId="12" state="visible" r:id="rId12"/>
  </sheets>
  <definedNames>
    <definedName name="_xlnm.Print_Titles" localSheetId="4">'01. Trưởng phòng MKT'!$9:$9</definedName>
    <definedName name="_xlnm.Print_Area" localSheetId="4">'01. Trưởng phòng MKT'!$A$1:$I$39</definedName>
    <definedName name="_xlnm.Print_Titles" localSheetId="5">'02. CV Digital Ads'!$9:$9</definedName>
    <definedName name="_xlnm.Print_Area" localSheetId="5">'02. CV Digital Ads'!$A$1:$I$40</definedName>
    <definedName name="_xlnm.Print_Titles" localSheetId="6">'03. CV Content'!$9:$9</definedName>
    <definedName name="_xlnm.Print_Area" localSheetId="6">'03. CV Content'!$A$1:$I$40</definedName>
    <definedName name="_xlnm.Print_Titles" localSheetId="7">'04. CV SEO-Website'!$9:$9</definedName>
    <definedName name="_xlnm.Print_Area" localSheetId="7">'04. CV SEO-Website'!$A$1:$I$40</definedName>
    <definedName name="_xlnm.Print_Titles" localSheetId="8">'05. NV Thiết kế'!$9:$9</definedName>
    <definedName name="_xlnm.Print_Area" localSheetId="8">'05. NV Thiết kế'!$A$1:$I$40</definedName>
    <definedName name="_xlnm.Print_Titles" localSheetId="9">'06. CV Social Media'!$9:$9</definedName>
    <definedName name="_xlnm.Print_Area" localSheetId="9">'06. CV Social Media'!$A$1:$I$40</definedName>
    <definedName name="_xlnm.Print_Titles" localSheetId="10">'07. CV Brand-Sự kiện'!$9:$9</definedName>
    <definedName name="_xlnm.Print_Area" localSheetId="10">'07. CV Brand-Sự kiện'!$A$1:$I$40</definedName>
    <definedName name="_xlnm.Print_Titles" localSheetId="11">'08. CV Trade MKT'!$9:$9</definedName>
    <definedName name="_xlnm.Print_Area" localSheetId="11">'08. CV Trade MKT'!$A$1:$I$40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+0.0;-0.0;0.0"/>
    <numFmt numFmtId="166" formatCode="dd/mm/yyyy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6B7280"/>
      <sz val="9"/>
    </font>
    <font>
      <name val="Arial"/>
      <b val="1"/>
      <color rgb="00374151"/>
      <sz val="10"/>
    </font>
    <font>
      <name val="Arial"/>
      <color rgb="001D4ED8"/>
      <sz val="10"/>
    </font>
    <font>
      <name val="Arial"/>
      <color rgb="009CA3AF"/>
      <sz val="8"/>
    </font>
    <font>
      <name val="Arial"/>
      <b val="1"/>
      <color rgb="00FFFFFF"/>
      <sz val="10"/>
    </font>
    <font>
      <name val="Arial"/>
      <color rgb="00111827"/>
      <sz val="10"/>
    </font>
    <font>
      <name val="Arial"/>
      <b val="1"/>
      <color rgb="00111827"/>
      <sz val="10"/>
    </font>
    <font>
      <name val="Arial"/>
      <color rgb="00374151"/>
      <sz val="9"/>
    </font>
    <font>
      <name val="Arial"/>
      <color rgb="00111827"/>
      <sz val="9"/>
    </font>
    <font>
      <name val="Arial"/>
      <b val="1"/>
      <color rgb="00111827"/>
      <sz val="11"/>
    </font>
    <font>
      <name val="Arial"/>
      <b val="1"/>
      <color rgb="00374151"/>
      <sz val="9"/>
    </font>
    <font>
      <name val="Arial"/>
      <i val="1"/>
      <color rgb="006B7280"/>
      <sz val="9"/>
    </font>
    <font>
      <name val="Arial"/>
      <b val="1"/>
      <color rgb="00FFFFFF"/>
      <sz val="11"/>
    </font>
    <font>
      <name val="Arial"/>
      <b val="1"/>
      <color rgb="001D4ED8"/>
      <sz val="10"/>
    </font>
    <font>
      <name val="Arial"/>
      <color rgb="001D4ED8"/>
      <sz val="10"/>
      <u val="single"/>
    </font>
    <font>
      <name val="Arial"/>
      <b val="1"/>
      <color rgb="006B7280"/>
      <sz val="9"/>
    </font>
    <font>
      <name val="Arial"/>
      <b val="1"/>
      <color rgb="00111827"/>
      <sz val="9"/>
    </font>
  </fonts>
  <fills count="11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7D6"/>
      </patternFill>
    </fill>
    <fill>
      <patternFill patternType="solid">
        <fgColor rgb="00EEF2FF"/>
      </patternFill>
    </fill>
    <fill>
      <patternFill patternType="solid">
        <fgColor rgb="00F3F4F6"/>
      </patternFill>
    </fill>
    <fill>
      <patternFill patternType="solid">
        <fgColor rgb="00ECFDF5"/>
      </patternFill>
    </fill>
    <fill>
      <patternFill patternType="solid">
        <fgColor rgb="00FFF7ED"/>
      </patternFill>
    </fill>
    <fill>
      <patternFill patternType="solid">
        <fgColor rgb="00E5E7EB"/>
      </patternFill>
    </fill>
    <fill>
      <patternFill patternType="solid">
        <fgColor rgb="00FAFAFA"/>
      </patternFill>
    </fill>
    <fill>
      <patternFill patternType="solid">
        <fgColor rgb="004B5563"/>
      </patternFill>
    </fill>
  </fills>
  <borders count="9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/>
      <top/>
      <bottom/>
      <diagonal/>
    </border>
    <border>
      <left style="thin">
        <color rgb="00D1D5DB"/>
      </left>
      <right style="thin">
        <color rgb="00D1D5DB"/>
      </right>
      <top/>
      <bottom/>
      <diagonal/>
    </border>
    <border>
      <left style="thin">
        <color rgb="00D1D5DB"/>
      </left>
      <right style="thin">
        <color rgb="00D1D5DB"/>
      </right>
      <top/>
      <bottom style="thin">
        <color rgb="00D1D5DB"/>
      </bottom>
      <diagonal/>
    </border>
    <border>
      <left/>
      <right/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9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164" fontId="7" fillId="9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165" fontId="7" fillId="9" borderId="1" applyAlignment="1" pivotButton="0" quotePrefix="0" xfId="0">
      <alignment horizontal="center" vertical="center" wrapText="1"/>
    </xf>
    <xf numFmtId="9" fontId="7" fillId="9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1" fontId="8" fillId="5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18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3" fillId="0" borderId="0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166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9" fontId="4" fillId="0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9" fontId="8" fillId="8" borderId="1" applyAlignment="1" pivotButton="0" quotePrefix="0" xfId="0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  <xf numFmtId="164" fontId="11" fillId="5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9" fontId="8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9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165" fontId="7" fillId="9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8" fillId="5" borderId="1" applyAlignment="1" pivotButton="0" quotePrefix="0" xfId="0">
      <alignment horizontal="center" vertical="center" wrapText="1"/>
    </xf>
    <xf numFmtId="0" fontId="0" fillId="0" borderId="8" pivotButton="0" quotePrefix="0" xfId="0"/>
    <xf numFmtId="166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  <xf numFmtId="164" fontId="1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7">
    <dxf>
      <fill>
        <patternFill patternType="solid">
          <fgColor rgb="00BBF7D0"/>
          <bgColor rgb="00BBF7D0"/>
        </patternFill>
      </fill>
    </dxf>
    <dxf>
      <fill>
        <patternFill patternType="solid">
          <fgColor rgb="00BFDBFE"/>
          <bgColor rgb="00BFDBFE"/>
        </patternFill>
      </fill>
    </dxf>
    <dxf>
      <fill>
        <patternFill patternType="solid">
          <fgColor rgb="00FECACA"/>
          <bgColor rgb="00FECACA"/>
        </patternFill>
      </fill>
    </dxf>
    <dxf>
      <fill>
        <patternFill patternType="solid">
          <fgColor rgb="00FDE68A"/>
          <bgColor rgb="00FDE68A"/>
        </patternFill>
      </fill>
    </dxf>
    <dxf>
      <font>
        <b val="1"/>
        <color rgb="00B91C1C"/>
      </font>
    </dxf>
    <dxf>
      <fill>
        <patternFill patternType="solid">
          <fgColor rgb="00FDBA74"/>
          <bgColor rgb="00FDBA74"/>
        </patternFill>
      </fill>
    </dxf>
    <dxf>
      <font>
        <b val="1"/>
        <color rgb="00B91C1C"/>
      </font>
      <fill>
        <patternFill patternType="solid">
          <fgColor rgb="00FECACA"/>
          <b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Điểm tự đánh giá vs Điểm chính thức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'So sánh'!C4</f>
            </strRef>
          </tx>
          <spPr>
            <a:solidFill xmlns:a="http://schemas.openxmlformats.org/drawingml/2006/main">
              <a:srgbClr val="9CA3AF"/>
            </a:solidFill>
            <a:ln xmlns:a="http://schemas.openxmlformats.org/drawingml/2006/main">
              <a:prstDash val="solid"/>
            </a:ln>
          </spPr>
          <cat>
            <numRef>
              <f>'So sánh'!$B$5:$B$12</f>
            </numRef>
          </cat>
          <val>
            <numRef>
              <f>'So sánh'!$C$5:$C$12</f>
            </numRef>
          </val>
        </ser>
        <ser>
          <idx val="1"/>
          <order val="1"/>
          <tx>
            <strRef>
              <f>'So sánh'!D4</f>
            </strRef>
          </tx>
          <spPr>
            <a:solidFill xmlns:a="http://schemas.openxmlformats.org/drawingml/2006/main">
              <a:srgbClr val="1F2937"/>
            </a:solidFill>
            <a:ln xmlns:a="http://schemas.openxmlformats.org/drawingml/2006/main">
              <a:prstDash val="solid"/>
            </a:ln>
          </spPr>
          <cat>
            <numRef>
              <f>'So sánh'!$B$5:$B$12</f>
            </numRef>
          </cat>
          <val>
            <numRef>
              <f>'So sánh'!$D$5:$D$12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Điểm (/100)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Tỷ lệ đạt theo nhóm tiêu chí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'So sánh'!E4</f>
            </strRef>
          </tx>
          <spPr>
            <a:solidFill xmlns:a="http://schemas.openxmlformats.org/drawingml/2006/main">
              <a:srgbClr val="6366F1"/>
            </a:solidFill>
            <a:ln xmlns:a="http://schemas.openxmlformats.org/drawingml/2006/main">
              <a:prstDash val="solid"/>
            </a:ln>
          </spPr>
          <cat>
            <numRef>
              <f>'So sánh'!$B$5:$B$12</f>
            </numRef>
          </cat>
          <val>
            <numRef>
              <f>'So sánh'!$E$5:$E$12</f>
            </numRef>
          </val>
        </ser>
        <ser>
          <idx val="1"/>
          <order val="1"/>
          <tx>
            <strRef>
              <f>'So sánh'!F4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'So sánh'!$B$5:$B$12</f>
            </numRef>
          </cat>
          <val>
            <numRef>
              <f>'So sánh'!$F$5:$F$12</f>
            </numRef>
          </val>
        </ser>
        <ser>
          <idx val="2"/>
          <order val="2"/>
          <tx>
            <strRef>
              <f>'So sánh'!G4</f>
            </strRef>
          </tx>
          <spPr>
            <a:solidFill xmlns:a="http://schemas.openxmlformats.org/drawingml/2006/main">
              <a:srgbClr val="F59E0B"/>
            </a:solidFill>
            <a:ln xmlns:a="http://schemas.openxmlformats.org/drawingml/2006/main">
              <a:prstDash val="solid"/>
            </a:ln>
          </spPr>
          <cat>
            <numRef>
              <f>'So sánh'!$B$5:$B$12</f>
            </numRef>
          </cat>
          <val>
            <numRef>
              <f>'So sánh'!$G$5:$G$12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Tỷ lệ đạt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7920000" cy="41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27</row>
      <rowOff>0</rowOff>
    </from>
    <ext cx="7920000" cy="41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. Tr&#432;&#7903;ng ph&#242;ng MKT'!A1" TargetMode="External" Id="rId1"/><Relationship Type="http://schemas.openxmlformats.org/officeDocument/2006/relationships/hyperlink" Target="#'02. CV Digital Ads'!A1" TargetMode="External" Id="rId2"/><Relationship Type="http://schemas.openxmlformats.org/officeDocument/2006/relationships/hyperlink" Target="#'03. CV Content'!A1" TargetMode="External" Id="rId3"/><Relationship Type="http://schemas.openxmlformats.org/officeDocument/2006/relationships/hyperlink" Target="#'04. CV SEO-Website'!A1" TargetMode="External" Id="rId4"/><Relationship Type="http://schemas.openxmlformats.org/officeDocument/2006/relationships/hyperlink" Target="#'05. NV Thi&#7871;t k&#7871;'!A1" TargetMode="External" Id="rId5"/><Relationship Type="http://schemas.openxmlformats.org/officeDocument/2006/relationships/hyperlink" Target="#'06. CV Social Media'!A1" TargetMode="External" Id="rId6"/><Relationship Type="http://schemas.openxmlformats.org/officeDocument/2006/relationships/hyperlink" Target="#'07. CV Brand-S&#7921; ki&#7879;n'!A1" TargetMode="External" Id="rId7"/><Relationship Type="http://schemas.openxmlformats.org/officeDocument/2006/relationships/hyperlink" Target="#'08. CV Trade MKT'!A1" TargetMode="External" Id="rId8"/></Relationships>
</file>

<file path=xl/worksheets/_rels/sheet2.xml.rels><Relationships xmlns="http://schemas.openxmlformats.org/package/2006/relationships"><Relationship Type="http://schemas.openxmlformats.org/officeDocument/2006/relationships/hyperlink" Target="#'01. Tr&#432;&#7903;ng ph&#242;ng MKT'!A1" TargetMode="External" Id="rId1"/><Relationship Type="http://schemas.openxmlformats.org/officeDocument/2006/relationships/hyperlink" Target="#'02. CV Digital Ads'!A1" TargetMode="External" Id="rId2"/><Relationship Type="http://schemas.openxmlformats.org/officeDocument/2006/relationships/hyperlink" Target="#'03. CV Content'!A1" TargetMode="External" Id="rId3"/><Relationship Type="http://schemas.openxmlformats.org/officeDocument/2006/relationships/hyperlink" Target="#'04. CV SEO-Website'!A1" TargetMode="External" Id="rId4"/><Relationship Type="http://schemas.openxmlformats.org/officeDocument/2006/relationships/hyperlink" Target="#'05. NV Thi&#7871;t k&#7871;'!A1" TargetMode="External" Id="rId5"/><Relationship Type="http://schemas.openxmlformats.org/officeDocument/2006/relationships/hyperlink" Target="#'06. CV Social Media'!A1" TargetMode="External" Id="rId6"/><Relationship Type="http://schemas.openxmlformats.org/officeDocument/2006/relationships/hyperlink" Target="#'07. CV Brand-S&#7921; ki&#7879;n'!A1" TargetMode="External" Id="rId7"/><Relationship Type="http://schemas.openxmlformats.org/officeDocument/2006/relationships/hyperlink" Target="#'08. CV Trade MKT'!A1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C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0" customWidth="1" min="3" max="3"/>
  </cols>
  <sheetData>
    <row r="1" ht="30" customHeight="1">
      <c r="A1" s="1" t="inlineStr">
        <is>
          <t>KPI MARKETING – 08 VỊ TRÍ</t>
        </is>
      </c>
    </row>
    <row r="2">
      <c r="A2" s="3" t="inlineStr">
        <is>
          <t xml:space="preserve">Phụ lục 01 kèm Quy chế đánh giá KPI · KK HOME · </t>
        </is>
      </c>
    </row>
    <row r="3"/>
    <row r="4">
      <c r="B4" s="4" t="inlineStr">
        <is>
          <t>CÁCH DÙNG – 6 BƯỚC</t>
        </is>
      </c>
    </row>
    <row r="5" ht="20" customHeight="1">
      <c r="B5" s="5" t="inlineStr">
        <is>
          <t>Bước 1</t>
        </is>
      </c>
      <c r="C5" s="6" t="inlineStr">
        <is>
          <t>Chọn sheet đúng vị trí của nhân sự (bấm tên vị trí ở danh mục bên dưới để nhảy tới sheet).</t>
        </is>
      </c>
    </row>
    <row r="6" ht="20" customHeight="1">
      <c r="B6" s="5" t="inlineStr">
        <is>
          <t>Bước 2</t>
        </is>
      </c>
      <c r="C6" s="6" t="inlineStr">
        <is>
          <t>Nhập thông tin đầu sheet: Họ tên, Mã NV, Người đánh giá, Loại kỳ (Tháng/Quý/Năm), Kỳ đánh giá, Ngày đánh giá.</t>
        </is>
      </c>
    </row>
    <row r="7" ht="20" customHeight="1">
      <c r="B7" s="5" t="inlineStr">
        <is>
          <t>Bước 3</t>
        </is>
      </c>
      <c r="C7" s="6" t="inlineStr">
        <is>
          <t>Nhân sự tự chấm điểm cột F "Tự đánh giá" (1–5, được chấm lẻ 3.5).</t>
        </is>
      </c>
    </row>
    <row r="8" ht="20" customHeight="1">
      <c r="B8" s="5" t="inlineStr">
        <is>
          <t>Bước 4</t>
        </is>
      </c>
      <c r="C8" s="6" t="inlineStr">
        <is>
          <t>Quản lý trực tiếp chấm điểm chính thức cột G "Quản lý chấm". Chỉ điểm cột G được dùng để tính điểm quy đổi và xếp loại.</t>
        </is>
      </c>
    </row>
    <row r="9" ht="20" customHeight="1">
      <c r="B9" s="5" t="inlineStr">
        <is>
          <t>Bước 5</t>
        </is>
      </c>
      <c r="C9" s="6" t="inlineStr">
        <is>
          <t>Ghi chú lý do ở cột I khi điểm ≤ 1,5 hoặc = 5. Ô ghi chú tự tô cam nếu thiếu lý do (Điều 12 – Ngoại lệ).</t>
        </is>
      </c>
    </row>
    <row r="10" ht="20" customHeight="1">
      <c r="B10" s="5" t="inlineStr">
        <is>
          <t>Bước 6</t>
        </is>
      </c>
      <c r="C10" s="6" t="inlineStr">
        <is>
          <t>Xem kết quả ở cuối sheet vị trí, sheet "Tổng hợp" (toàn phòng) và "So sánh" (biểu đồ). In, ký và trình phê duyệt.</t>
        </is>
      </c>
    </row>
    <row r="11" ht="20" customHeight="1"/>
    <row r="12" ht="20" customHeight="1">
      <c r="B12" s="4" t="inlineStr">
        <is>
          <t>QUY ƯỚC Ô</t>
        </is>
      </c>
    </row>
    <row r="13" ht="20" customHeight="1">
      <c r="B13" s="7" t="inlineStr">
        <is>
          <t>Ô nền vàng, chữ xanh</t>
        </is>
      </c>
      <c r="C13" s="6" t="inlineStr">
        <is>
          <t>Ô nhập liệu. Chỉ nhập vào các ô này.</t>
        </is>
      </c>
    </row>
    <row r="14" ht="30" customHeight="1">
      <c r="B14" s="8" t="inlineStr">
        <is>
          <t>Trọng số chữ xanh (cột E)</t>
        </is>
      </c>
      <c r="C14" s="6" t="inlineStr">
        <is>
          <t>Được sửa khi có quyết định điều chỉnh (Điều 17). Tổng trọng số mỗi vị trí phải = 100% – ô "Kiểm tra trọng số" báo đỏ nếu sai.</t>
        </is>
      </c>
    </row>
    <row r="15" ht="20" customHeight="1">
      <c r="B15" s="9" t="inlineStr">
        <is>
          <t>Ô nền xám</t>
        </is>
      </c>
      <c r="C15" s="6" t="inlineStr">
        <is>
          <t>Công thức tự tính. Không sửa.</t>
        </is>
      </c>
    </row>
    <row r="16" ht="20" customHeight="1"/>
    <row r="17" ht="20" customHeight="1">
      <c r="B17" s="4" t="inlineStr">
        <is>
          <t>CÔNG THỨC &amp; XẾP LOẠI (Điều 7, Điều 13 Quy chế)</t>
        </is>
      </c>
    </row>
    <row r="18" ht="20" customHeight="1">
      <c r="B18" s="5" t="inlineStr">
        <is>
          <t>Điểm quy đổi</t>
        </is>
      </c>
      <c r="C18" s="6" t="inlineStr">
        <is>
          <t>Điểm quản lý chấm ÷ 5 × Trọng số × 100</t>
        </is>
      </c>
    </row>
    <row r="19" ht="20" customHeight="1">
      <c r="B19" s="5" t="inlineStr">
        <is>
          <t>Tổng điểm</t>
        </is>
      </c>
      <c r="C19" s="6" t="inlineStr">
        <is>
          <t>Cộng điểm quy đổi các tiêu chí (tối đa 100 điểm)</t>
        </is>
      </c>
    </row>
    <row r="20" ht="30" customHeight="1">
      <c r="B20" s="5" t="inlineStr">
        <is>
          <t>Xếp loại</t>
        </is>
      </c>
      <c r="C20" s="6" t="inlineStr">
        <is>
          <t>≥ 80 điểm: Xuất sắc  ·  70 đến dưới 80: Đạt  ·  Dưới 70: Cần cải thiện. Chưa chấm đủ tiêu chí → hiển thị "Chưa chấm đủ".</t>
        </is>
      </c>
    </row>
    <row r="21" ht="30" customHeight="1">
      <c r="B21" s="5" t="inlineStr">
        <is>
          <t>Ví dụ</t>
        </is>
      </c>
      <c r="C21" s="6" t="inlineStr">
        <is>
          <t>Tiêu chí "Hoàn thành chỉ tiêu lead / đơn hàng từ quảng cáo" trọng số 12%, quản lý chấm 4 → 4 ÷ 5 × 12 = 9,6 điểm. Chấm 3.5 → 8,4 điểm.</t>
        </is>
      </c>
    </row>
    <row r="22" ht="20" customHeight="1">
      <c r="B22" s="5" t="inlineStr">
        <is>
          <t>Cơ cấu nhóm</t>
        </is>
      </c>
      <c r="C22" s="6" t="inlineStr">
        <is>
          <t>Chuyên môn - Nghiệp vụ 40% · Tuân thủ - Thời hạn 35% · Phối hợp - Thái độ 25% (áp dụng cho mọi vị trí trong file).</t>
        </is>
      </c>
    </row>
    <row r="23"/>
    <row r="24">
      <c r="B24" s="4" t="inlineStr">
        <is>
          <t>DANH MỤC 08 VỊ TRÍ</t>
        </is>
      </c>
    </row>
    <row r="25">
      <c r="B25" s="10" t="inlineStr">
        <is>
          <t>01</t>
        </is>
      </c>
      <c r="C25" s="11" t="inlineStr">
        <is>
          <t>Trưởng phòng Marketing  (10 tiêu chí)</t>
        </is>
      </c>
    </row>
    <row r="26">
      <c r="B26" s="10" t="inlineStr">
        <is>
          <t>02</t>
        </is>
      </c>
      <c r="C26" s="11" t="inlineStr">
        <is>
          <t>Chuyên viên Quảng cáo số (Performance / Digital Ads)  (11 tiêu chí)</t>
        </is>
      </c>
    </row>
    <row r="27">
      <c r="B27" s="10" t="inlineStr">
        <is>
          <t>03</t>
        </is>
      </c>
      <c r="C27" s="11" t="inlineStr">
        <is>
          <t>Chuyên viên Nội dung (Content Marketing)  (11 tiêu chí)</t>
        </is>
      </c>
    </row>
    <row r="28">
      <c r="B28" s="10" t="inlineStr">
        <is>
          <t>04</t>
        </is>
      </c>
      <c r="C28" s="11" t="inlineStr">
        <is>
          <t>Chuyên viên SEO &amp; Quản trị Website  (11 tiêu chí)</t>
        </is>
      </c>
    </row>
    <row r="29">
      <c r="B29" s="10" t="inlineStr">
        <is>
          <t>05</t>
        </is>
      </c>
      <c r="C29" s="11" t="inlineStr">
        <is>
          <t>Nhân viên Thiết kế đồ họa  (11 tiêu chí)</t>
        </is>
      </c>
    </row>
    <row r="30">
      <c r="B30" s="10" t="inlineStr">
        <is>
          <t>06</t>
        </is>
      </c>
      <c r="C30" s="11" t="inlineStr">
        <is>
          <t>Chuyên viên Mạng xã hội &amp; Cộng đồng  (11 tiêu chí)</t>
        </is>
      </c>
    </row>
    <row r="31">
      <c r="B31" s="10" t="inlineStr">
        <is>
          <t>07</t>
        </is>
      </c>
      <c r="C31" s="11" t="inlineStr">
        <is>
          <t>Chuyên viên Thương hiệu &amp; Sự kiện  (11 tiêu chí)</t>
        </is>
      </c>
    </row>
    <row r="32">
      <c r="B32" s="10" t="inlineStr">
        <is>
          <t>08</t>
        </is>
      </c>
      <c r="C32" s="11" t="inlineStr">
        <is>
          <t>Chuyên viên Trade Marketing  (11 tiêu chí)</t>
        </is>
      </c>
    </row>
    <row r="33"/>
    <row r="34" ht="40" customHeight="1">
      <c r="B34" s="12" t="inlineStr">
        <is>
          <t>Lưu ý</t>
        </is>
      </c>
      <c r="C34" s="13" t="inlineStr">
        <is>
          <t>Tiêu chí và cách đo là bộ mẫu. Đơn vị điều chỉnh chỉ tiêu định lượng (%, số ngày, số lỗi) theo mục tiêu đã duyệt của từng kỳ trước khi phổ biến cho nhân sự (Điều 4 – Công khai). Bộ file thuộc Hệ thống W1 – KPI Doanh nghiệp của KK HOME.</t>
        </is>
      </c>
    </row>
  </sheetData>
  <mergeCells count="6">
    <mergeCell ref="B24:C24"/>
    <mergeCell ref="A1:C1"/>
    <mergeCell ref="B17:C17"/>
    <mergeCell ref="B4:C4"/>
    <mergeCell ref="A2:C2"/>
    <mergeCell ref="B12:C12"/>
  </mergeCells>
  <hyperlinks>
    <hyperlink xmlns:r="http://schemas.openxmlformats.org/officeDocument/2006/relationships" ref="C25" r:id="rId1"/>
    <hyperlink xmlns:r="http://schemas.openxmlformats.org/officeDocument/2006/relationships" ref="C26" r:id="rId2"/>
    <hyperlink xmlns:r="http://schemas.openxmlformats.org/officeDocument/2006/relationships" ref="C27" r:id="rId3"/>
    <hyperlink xmlns:r="http://schemas.openxmlformats.org/officeDocument/2006/relationships" ref="C28" r:id="rId4"/>
    <hyperlink xmlns:r="http://schemas.openxmlformats.org/officeDocument/2006/relationships" ref="C29" r:id="rId5"/>
    <hyperlink xmlns:r="http://schemas.openxmlformats.org/officeDocument/2006/relationships" ref="C30" r:id="rId6"/>
    <hyperlink xmlns:r="http://schemas.openxmlformats.org/officeDocument/2006/relationships" ref="C31" r:id="rId7"/>
    <hyperlink xmlns:r="http://schemas.openxmlformats.org/officeDocument/2006/relationships" ref="C32" r:id="rId8"/>
  </hyperlinks>
  <printOptions horizontalCentered="1"/>
  <pageMargins left="0.4" right="0.4" top="1" bottom="1" header="0.5" footer="0.5"/>
  <pageSetup orientation="portrait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2937"/>
    <outlinePr summaryBelow="1" summaryRight="1"/>
    <pageSetUpPr fitToPage="1"/>
  </sheetPr>
  <dimension ref="A1:L2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24" customWidth="1" min="3" max="3"/>
    <col width="16" customWidth="1" min="4" max="4"/>
    <col width="11" customWidth="1" min="5" max="5"/>
    <col width="12" customWidth="1" min="6" max="6"/>
    <col width="13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1" t="inlineStr">
        <is>
          <t>TỔNG HỢP KẾT QUẢ KPI – PHÒNG MARKETING</t>
        </is>
      </c>
    </row>
    <row r="2">
      <c r="A2" s="3" t="inlineStr">
        <is>
          <t xml:space="preserve">Phụ lục 01 · Tự cập nhật từ các sheet vị trí (Bước 4 – Điều 10) · KK HOME · </t>
        </is>
      </c>
    </row>
    <row r="3"/>
    <row r="4" ht="36" customHeight="1">
      <c r="A4" s="14" t="inlineStr">
        <is>
          <t>STT</t>
        </is>
      </c>
      <c r="B4" s="14" t="inlineStr">
        <is>
          <t>Vị trí</t>
        </is>
      </c>
      <c r="C4" s="14" t="inlineStr">
        <is>
          <t>Họ và tên</t>
        </is>
      </c>
      <c r="D4" s="14" t="inlineStr">
        <is>
          <t>Kỳ đánh giá</t>
        </is>
      </c>
      <c r="E4" s="14" t="inlineStr">
        <is>
          <t>Điểm tự ĐG</t>
        </is>
      </c>
      <c r="F4" s="14" t="inlineStr">
        <is>
          <t>Điểm chính thức</t>
        </is>
      </c>
      <c r="G4" s="14" t="inlineStr">
        <is>
          <t>Chênh lệch
(CT − Tự ĐG)</t>
        </is>
      </c>
      <c r="H4" s="14" t="inlineStr">
        <is>
          <t>Xếp loại</t>
        </is>
      </c>
      <c r="I4" s="14" t="inlineStr">
        <is>
          <t>Chuyên môn
(% đạt)</t>
        </is>
      </c>
      <c r="J4" s="14" t="inlineStr">
        <is>
          <t>Tuân thủ
(% đạt)</t>
        </is>
      </c>
      <c r="K4" s="14" t="inlineStr">
        <is>
          <t>Phối hợp
(% đạt)</t>
        </is>
      </c>
      <c r="L4" s="14" t="inlineStr">
        <is>
          <t>Tiến độ chấm</t>
        </is>
      </c>
    </row>
    <row r="5" ht="20" customHeight="1">
      <c r="A5" s="15" t="n">
        <v>1</v>
      </c>
      <c r="B5" s="11" t="inlineStr">
        <is>
          <t>Trưởng phòng Marketing</t>
        </is>
      </c>
      <c r="C5" s="6">
        <f>IF('01. Trưởng phòng MKT'!C4="","",'01. Trưởng phòng MKT'!C4)</f>
        <v/>
      </c>
      <c r="D5" s="15">
        <f>IF('01. Trưởng phòng MKT'!G5="",'01. Trưởng phòng MKT'!G4,'01. Trưởng phòng MKT'!G5)</f>
        <v/>
      </c>
      <c r="E5" s="69">
        <f>'01. Trưởng phòng MKT'!C24</f>
        <v/>
      </c>
      <c r="F5" s="70">
        <f>'01. Trưởng phòng MKT'!C23</f>
        <v/>
      </c>
      <c r="G5" s="71">
        <f>IF(E5="","",F5-E5)</f>
        <v/>
      </c>
      <c r="H5" s="10">
        <f>'01. Trưởng phòng MKT'!C26</f>
        <v/>
      </c>
      <c r="I5" s="19">
        <f>'01. Trưởng phòng MKT'!H24</f>
        <v/>
      </c>
      <c r="J5" s="19">
        <f>'01. Trưởng phòng MKT'!H25</f>
        <v/>
      </c>
      <c r="K5" s="19">
        <f>'01. Trưởng phòng MKT'!H26</f>
        <v/>
      </c>
      <c r="L5" s="15">
        <f>'01. Trưởng phòng MKT'!C25</f>
        <v/>
      </c>
    </row>
    <row r="6" ht="20" customHeight="1">
      <c r="A6" s="20" t="n">
        <v>2</v>
      </c>
      <c r="B6" s="21" t="inlineStr">
        <is>
          <t>Chuyên viên Quảng cáo số (Performance / Digital Ads)</t>
        </is>
      </c>
      <c r="C6" s="22">
        <f>IF('02. CV Digital Ads'!C4="","",'02. CV Digital Ads'!C4)</f>
        <v/>
      </c>
      <c r="D6" s="20">
        <f>IF('02. CV Digital Ads'!G5="",'02. CV Digital Ads'!G4,'02. CV Digital Ads'!G5)</f>
        <v/>
      </c>
      <c r="E6" s="72">
        <f>'02. CV Digital Ads'!C25</f>
        <v/>
      </c>
      <c r="F6" s="73">
        <f>'02. CV Digital Ads'!C24</f>
        <v/>
      </c>
      <c r="G6" s="74">
        <f>IF(E6="","",F6-E6)</f>
        <v/>
      </c>
      <c r="H6" s="10">
        <f>'02. CV Digital Ads'!C27</f>
        <v/>
      </c>
      <c r="I6" s="26">
        <f>'02. CV Digital Ads'!H25</f>
        <v/>
      </c>
      <c r="J6" s="26">
        <f>'02. CV Digital Ads'!H26</f>
        <v/>
      </c>
      <c r="K6" s="26">
        <f>'02. CV Digital Ads'!H27</f>
        <v/>
      </c>
      <c r="L6" s="20">
        <f>'02. CV Digital Ads'!C26</f>
        <v/>
      </c>
    </row>
    <row r="7" ht="20" customHeight="1">
      <c r="A7" s="15" t="n">
        <v>3</v>
      </c>
      <c r="B7" s="11" t="inlineStr">
        <is>
          <t>Chuyên viên Nội dung (Content Marketing)</t>
        </is>
      </c>
      <c r="C7" s="6">
        <f>IF('03. CV Content'!C4="","",'03. CV Content'!C4)</f>
        <v/>
      </c>
      <c r="D7" s="15">
        <f>IF('03. CV Content'!G5="",'03. CV Content'!G4,'03. CV Content'!G5)</f>
        <v/>
      </c>
      <c r="E7" s="69">
        <f>'03. CV Content'!C25</f>
        <v/>
      </c>
      <c r="F7" s="70">
        <f>'03. CV Content'!C24</f>
        <v/>
      </c>
      <c r="G7" s="71">
        <f>IF(E7="","",F7-E7)</f>
        <v/>
      </c>
      <c r="H7" s="10">
        <f>'03. CV Content'!C27</f>
        <v/>
      </c>
      <c r="I7" s="19">
        <f>'03. CV Content'!H25</f>
        <v/>
      </c>
      <c r="J7" s="19">
        <f>'03. CV Content'!H26</f>
        <v/>
      </c>
      <c r="K7" s="19">
        <f>'03. CV Content'!H27</f>
        <v/>
      </c>
      <c r="L7" s="15">
        <f>'03. CV Content'!C26</f>
        <v/>
      </c>
    </row>
    <row r="8" ht="20" customHeight="1">
      <c r="A8" s="20" t="n">
        <v>4</v>
      </c>
      <c r="B8" s="21" t="inlineStr">
        <is>
          <t>Chuyên viên SEO &amp; Quản trị Website</t>
        </is>
      </c>
      <c r="C8" s="22">
        <f>IF('04. CV SEO-Website'!C4="","",'04. CV SEO-Website'!C4)</f>
        <v/>
      </c>
      <c r="D8" s="20">
        <f>IF('04. CV SEO-Website'!G5="",'04. CV SEO-Website'!G4,'04. CV SEO-Website'!G5)</f>
        <v/>
      </c>
      <c r="E8" s="72">
        <f>'04. CV SEO-Website'!C25</f>
        <v/>
      </c>
      <c r="F8" s="73">
        <f>'04. CV SEO-Website'!C24</f>
        <v/>
      </c>
      <c r="G8" s="74">
        <f>IF(E8="","",F8-E8)</f>
        <v/>
      </c>
      <c r="H8" s="10">
        <f>'04. CV SEO-Website'!C27</f>
        <v/>
      </c>
      <c r="I8" s="26">
        <f>'04. CV SEO-Website'!H25</f>
        <v/>
      </c>
      <c r="J8" s="26">
        <f>'04. CV SEO-Website'!H26</f>
        <v/>
      </c>
      <c r="K8" s="26">
        <f>'04. CV SEO-Website'!H27</f>
        <v/>
      </c>
      <c r="L8" s="20">
        <f>'04. CV SEO-Website'!C26</f>
        <v/>
      </c>
    </row>
    <row r="9" ht="20" customHeight="1">
      <c r="A9" s="15" t="n">
        <v>5</v>
      </c>
      <c r="B9" s="11" t="inlineStr">
        <is>
          <t>Nhân viên Thiết kế đồ họa</t>
        </is>
      </c>
      <c r="C9" s="6">
        <f>IF('05. NV Thiết kế'!C4="","",'05. NV Thiết kế'!C4)</f>
        <v/>
      </c>
      <c r="D9" s="15">
        <f>IF('05. NV Thiết kế'!G5="",'05. NV Thiết kế'!G4,'05. NV Thiết kế'!G5)</f>
        <v/>
      </c>
      <c r="E9" s="69">
        <f>'05. NV Thiết kế'!C25</f>
        <v/>
      </c>
      <c r="F9" s="70">
        <f>'05. NV Thiết kế'!C24</f>
        <v/>
      </c>
      <c r="G9" s="71">
        <f>IF(E9="","",F9-E9)</f>
        <v/>
      </c>
      <c r="H9" s="10">
        <f>'05. NV Thiết kế'!C27</f>
        <v/>
      </c>
      <c r="I9" s="19">
        <f>'05. NV Thiết kế'!H25</f>
        <v/>
      </c>
      <c r="J9" s="19">
        <f>'05. NV Thiết kế'!H26</f>
        <v/>
      </c>
      <c r="K9" s="19">
        <f>'05. NV Thiết kế'!H27</f>
        <v/>
      </c>
      <c r="L9" s="15">
        <f>'05. NV Thiết kế'!C26</f>
        <v/>
      </c>
    </row>
    <row r="10" ht="20" customHeight="1">
      <c r="A10" s="20" t="n">
        <v>6</v>
      </c>
      <c r="B10" s="21" t="inlineStr">
        <is>
          <t>Chuyên viên Mạng xã hội &amp; Cộng đồng</t>
        </is>
      </c>
      <c r="C10" s="22">
        <f>IF('06. CV Social Media'!C4="","",'06. CV Social Media'!C4)</f>
        <v/>
      </c>
      <c r="D10" s="20">
        <f>IF('06. CV Social Media'!G5="",'06. CV Social Media'!G4,'06. CV Social Media'!G5)</f>
        <v/>
      </c>
      <c r="E10" s="72">
        <f>'06. CV Social Media'!C25</f>
        <v/>
      </c>
      <c r="F10" s="73">
        <f>'06. CV Social Media'!C24</f>
        <v/>
      </c>
      <c r="G10" s="74">
        <f>IF(E10="","",F10-E10)</f>
        <v/>
      </c>
      <c r="H10" s="10">
        <f>'06. CV Social Media'!C27</f>
        <v/>
      </c>
      <c r="I10" s="26">
        <f>'06. CV Social Media'!H25</f>
        <v/>
      </c>
      <c r="J10" s="26">
        <f>'06. CV Social Media'!H26</f>
        <v/>
      </c>
      <c r="K10" s="26">
        <f>'06. CV Social Media'!H27</f>
        <v/>
      </c>
      <c r="L10" s="20">
        <f>'06. CV Social Media'!C26</f>
        <v/>
      </c>
    </row>
    <row r="11" ht="20" customHeight="1">
      <c r="A11" s="15" t="n">
        <v>7</v>
      </c>
      <c r="B11" s="11" t="inlineStr">
        <is>
          <t>Chuyên viên Thương hiệu &amp; Sự kiện</t>
        </is>
      </c>
      <c r="C11" s="6">
        <f>IF('07. CV Brand-Sự kiện'!C4="","",'07. CV Brand-Sự kiện'!C4)</f>
        <v/>
      </c>
      <c r="D11" s="15">
        <f>IF('07. CV Brand-Sự kiện'!G5="",'07. CV Brand-Sự kiện'!G4,'07. CV Brand-Sự kiện'!G5)</f>
        <v/>
      </c>
      <c r="E11" s="69">
        <f>'07. CV Brand-Sự kiện'!C25</f>
        <v/>
      </c>
      <c r="F11" s="70">
        <f>'07. CV Brand-Sự kiện'!C24</f>
        <v/>
      </c>
      <c r="G11" s="71">
        <f>IF(E11="","",F11-E11)</f>
        <v/>
      </c>
      <c r="H11" s="10">
        <f>'07. CV Brand-Sự kiện'!C27</f>
        <v/>
      </c>
      <c r="I11" s="19">
        <f>'07. CV Brand-Sự kiện'!H25</f>
        <v/>
      </c>
      <c r="J11" s="19">
        <f>'07. CV Brand-Sự kiện'!H26</f>
        <v/>
      </c>
      <c r="K11" s="19">
        <f>'07. CV Brand-Sự kiện'!H27</f>
        <v/>
      </c>
      <c r="L11" s="15">
        <f>'07. CV Brand-Sự kiện'!C26</f>
        <v/>
      </c>
    </row>
    <row r="12" ht="20" customHeight="1">
      <c r="A12" s="20" t="n">
        <v>8</v>
      </c>
      <c r="B12" s="21" t="inlineStr">
        <is>
          <t>Chuyên viên Trade Marketing</t>
        </is>
      </c>
      <c r="C12" s="22">
        <f>IF('08. CV Trade MKT'!C4="","",'08. CV Trade MKT'!C4)</f>
        <v/>
      </c>
      <c r="D12" s="20">
        <f>IF('08. CV Trade MKT'!G5="",'08. CV Trade MKT'!G4,'08. CV Trade MKT'!G5)</f>
        <v/>
      </c>
      <c r="E12" s="72">
        <f>'08. CV Trade MKT'!C25</f>
        <v/>
      </c>
      <c r="F12" s="73">
        <f>'08. CV Trade MKT'!C24</f>
        <v/>
      </c>
      <c r="G12" s="74">
        <f>IF(E12="","",F12-E12)</f>
        <v/>
      </c>
      <c r="H12" s="10">
        <f>'08. CV Trade MKT'!C27</f>
        <v/>
      </c>
      <c r="I12" s="26">
        <f>'08. CV Trade MKT'!H25</f>
        <v/>
      </c>
      <c r="J12" s="26">
        <f>'08. CV Trade MKT'!H26</f>
        <v/>
      </c>
      <c r="K12" s="26">
        <f>'08. CV Trade MKT'!H27</f>
        <v/>
      </c>
      <c r="L12" s="20">
        <f>'08. CV Trade MKT'!C26</f>
        <v/>
      </c>
    </row>
    <row r="13"/>
    <row r="14">
      <c r="B14" s="27" t="inlineStr">
        <is>
          <t>THỐNG KÊ TOÀN PHÒNG</t>
        </is>
      </c>
      <c r="C14" s="75" t="n"/>
    </row>
    <row r="15">
      <c r="B15" s="5" t="inlineStr">
        <is>
          <t>Số vị trí xếp loại Xuất sắc</t>
        </is>
      </c>
      <c r="C15" s="29">
        <f>COUNTIF(H5:H12,"Xuất sắc")</f>
        <v/>
      </c>
    </row>
    <row r="16">
      <c r="B16" s="5" t="inlineStr">
        <is>
          <t>Số vị trí xếp loại Đạt</t>
        </is>
      </c>
      <c r="C16" s="29">
        <f>COUNTIF(H5:H12,"Đạt")</f>
        <v/>
      </c>
    </row>
    <row r="17">
      <c r="B17" s="5" t="inlineStr">
        <is>
          <t>Số vị trí xếp loại Cần cải thiện</t>
        </is>
      </c>
      <c r="C17" s="29">
        <f>COUNTIF(H5:H12,"Cần cải thiện")</f>
        <v/>
      </c>
    </row>
    <row r="18">
      <c r="B18" s="5" t="inlineStr">
        <is>
          <t>Số vị trí chưa chấm / chưa chấm đủ</t>
        </is>
      </c>
      <c r="C18" s="29">
        <f>COUNTIF(H5:H12,"Chưa chấm")+COUNTIF(H5:H12,"Chưa chấm đủ")</f>
        <v/>
      </c>
    </row>
    <row r="19">
      <c r="B19" s="5" t="inlineStr">
        <is>
          <t>Điểm bình quân phòng (vị trí đã chấm đủ)</t>
        </is>
      </c>
      <c r="C19" s="76">
        <f>IFERROR(AVERAGEIFS(F5:F12,H5:H12,"&lt;&gt;Chưa chấm",H5:H12,"&lt;&gt;Chưa chấm đủ"),"")</f>
        <v/>
      </c>
    </row>
    <row r="20"/>
    <row r="21" ht="30" customHeight="1">
      <c r="B21" s="13" t="inlineStr">
        <is>
          <t>Chênh lệch tô đỏ khi điểm chính thức lệch điểm tự đánh giá từ 10 điểm trở lên – nên trao đổi kỹ ở Bước 5. Nhân sự "Cần cải thiện" từ 02 kỳ liên tiếp trở lên thuộc diện đào tạo, kèm cặp (Điều 14).</t>
        </is>
      </c>
    </row>
  </sheetData>
  <mergeCells count="4">
    <mergeCell ref="B21:L21"/>
    <mergeCell ref="A2:L2"/>
    <mergeCell ref="B14:C14"/>
    <mergeCell ref="A1:L1"/>
  </mergeCells>
  <conditionalFormatting sqref="H5:H12">
    <cfRule type="expression" priority="1" dxfId="0">
      <formula>H5="Xuất sắc"</formula>
    </cfRule>
    <cfRule type="expression" priority="2" dxfId="1">
      <formula>H5="Đạt"</formula>
    </cfRule>
    <cfRule type="expression" priority="3" dxfId="2">
      <formula>H5="Cần cải thiện"</formula>
    </cfRule>
    <cfRule type="expression" priority="4" dxfId="3">
      <formula>H5="Chưa chấm đủ"</formula>
    </cfRule>
  </conditionalFormatting>
  <conditionalFormatting sqref="G5:G12">
    <cfRule type="expression" priority="5" dxfId="4">
      <formula>AND(ISNUMBER(G5),ABS(G5)&gt;=10)</formula>
    </cfRule>
  </conditionalFormatting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</hyperlink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F2937"/>
    <outlinePr summaryBelow="1" summaryRight="1"/>
    <pageSetUpPr fitToPage="1"/>
  </sheetPr>
  <dimension ref="A1:G1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SO SÁNH KẾT QUẢ GIỮA CÁC VỊ TRÍ</t>
        </is>
      </c>
    </row>
    <row r="2">
      <c r="A2" s="3" t="inlineStr">
        <is>
          <t xml:space="preserve">Phụ lục 01 · Dữ liệu lấy từ sheet Tổng hợp · KK HOME · </t>
        </is>
      </c>
    </row>
    <row r="3"/>
    <row r="4">
      <c r="A4" s="14" t="inlineStr">
        <is>
          <t>STT</t>
        </is>
      </c>
      <c r="B4" s="14" t="inlineStr">
        <is>
          <t>Vị trí</t>
        </is>
      </c>
      <c r="C4" s="14" t="inlineStr">
        <is>
          <t>Điểm tự ĐG</t>
        </is>
      </c>
      <c r="D4" s="14" t="inlineStr">
        <is>
          <t>Điểm chính thức</t>
        </is>
      </c>
      <c r="E4" s="14" t="inlineStr">
        <is>
          <t>Chuyên môn</t>
        </is>
      </c>
      <c r="F4" s="14" t="inlineStr">
        <is>
          <t>Tuân thủ</t>
        </is>
      </c>
      <c r="G4" s="14" t="inlineStr">
        <is>
          <t>Phối hợp</t>
        </is>
      </c>
    </row>
    <row r="5">
      <c r="A5" s="15" t="n">
        <v>1</v>
      </c>
      <c r="B5" s="6">
        <f>'Tổng hợp'!B5</f>
        <v/>
      </c>
      <c r="C5" s="69">
        <f>IF('Tổng hợp'!E5="",0,'Tổng hợp'!E5)</f>
        <v/>
      </c>
      <c r="D5" s="69">
        <f>'Tổng hợp'!F5</f>
        <v/>
      </c>
      <c r="E5" s="19">
        <f>'Tổng hợp'!I5</f>
        <v/>
      </c>
      <c r="F5" s="19">
        <f>'Tổng hợp'!J5</f>
        <v/>
      </c>
      <c r="G5" s="19">
        <f>'Tổng hợp'!K5</f>
        <v/>
      </c>
    </row>
    <row r="6">
      <c r="A6" s="15" t="n">
        <v>2</v>
      </c>
      <c r="B6" s="6">
        <f>'Tổng hợp'!B6</f>
        <v/>
      </c>
      <c r="C6" s="69">
        <f>IF('Tổng hợp'!E6="",0,'Tổng hợp'!E6)</f>
        <v/>
      </c>
      <c r="D6" s="69">
        <f>'Tổng hợp'!F6</f>
        <v/>
      </c>
      <c r="E6" s="19">
        <f>'Tổng hợp'!I6</f>
        <v/>
      </c>
      <c r="F6" s="19">
        <f>'Tổng hợp'!J6</f>
        <v/>
      </c>
      <c r="G6" s="19">
        <f>'Tổng hợp'!K6</f>
        <v/>
      </c>
    </row>
    <row r="7">
      <c r="A7" s="15" t="n">
        <v>3</v>
      </c>
      <c r="B7" s="6">
        <f>'Tổng hợp'!B7</f>
        <v/>
      </c>
      <c r="C7" s="69">
        <f>IF('Tổng hợp'!E7="",0,'Tổng hợp'!E7)</f>
        <v/>
      </c>
      <c r="D7" s="69">
        <f>'Tổng hợp'!F7</f>
        <v/>
      </c>
      <c r="E7" s="19">
        <f>'Tổng hợp'!I7</f>
        <v/>
      </c>
      <c r="F7" s="19">
        <f>'Tổng hợp'!J7</f>
        <v/>
      </c>
      <c r="G7" s="19">
        <f>'Tổng hợp'!K7</f>
        <v/>
      </c>
    </row>
    <row r="8">
      <c r="A8" s="15" t="n">
        <v>4</v>
      </c>
      <c r="B8" s="6">
        <f>'Tổng hợp'!B8</f>
        <v/>
      </c>
      <c r="C8" s="69">
        <f>IF('Tổng hợp'!E8="",0,'Tổng hợp'!E8)</f>
        <v/>
      </c>
      <c r="D8" s="69">
        <f>'Tổng hợp'!F8</f>
        <v/>
      </c>
      <c r="E8" s="19">
        <f>'Tổng hợp'!I8</f>
        <v/>
      </c>
      <c r="F8" s="19">
        <f>'Tổng hợp'!J8</f>
        <v/>
      </c>
      <c r="G8" s="19">
        <f>'Tổng hợp'!K8</f>
        <v/>
      </c>
    </row>
    <row r="9">
      <c r="A9" s="15" t="n">
        <v>5</v>
      </c>
      <c r="B9" s="6">
        <f>'Tổng hợp'!B9</f>
        <v/>
      </c>
      <c r="C9" s="69">
        <f>IF('Tổng hợp'!E9="",0,'Tổng hợp'!E9)</f>
        <v/>
      </c>
      <c r="D9" s="69">
        <f>'Tổng hợp'!F9</f>
        <v/>
      </c>
      <c r="E9" s="19">
        <f>'Tổng hợp'!I9</f>
        <v/>
      </c>
      <c r="F9" s="19">
        <f>'Tổng hợp'!J9</f>
        <v/>
      </c>
      <c r="G9" s="19">
        <f>'Tổng hợp'!K9</f>
        <v/>
      </c>
    </row>
    <row r="10">
      <c r="A10" s="15" t="n">
        <v>6</v>
      </c>
      <c r="B10" s="6">
        <f>'Tổng hợp'!B10</f>
        <v/>
      </c>
      <c r="C10" s="69">
        <f>IF('Tổng hợp'!E10="",0,'Tổng hợp'!E10)</f>
        <v/>
      </c>
      <c r="D10" s="69">
        <f>'Tổng hợp'!F10</f>
        <v/>
      </c>
      <c r="E10" s="19">
        <f>'Tổng hợp'!I10</f>
        <v/>
      </c>
      <c r="F10" s="19">
        <f>'Tổng hợp'!J10</f>
        <v/>
      </c>
      <c r="G10" s="19">
        <f>'Tổng hợp'!K10</f>
        <v/>
      </c>
    </row>
    <row r="11">
      <c r="A11" s="15" t="n">
        <v>7</v>
      </c>
      <c r="B11" s="6">
        <f>'Tổng hợp'!B11</f>
        <v/>
      </c>
      <c r="C11" s="69">
        <f>IF('Tổng hợp'!E11="",0,'Tổng hợp'!E11)</f>
        <v/>
      </c>
      <c r="D11" s="69">
        <f>'Tổng hợp'!F11</f>
        <v/>
      </c>
      <c r="E11" s="19">
        <f>'Tổng hợp'!I11</f>
        <v/>
      </c>
      <c r="F11" s="19">
        <f>'Tổng hợp'!J11</f>
        <v/>
      </c>
      <c r="G11" s="19">
        <f>'Tổng hợp'!K11</f>
        <v/>
      </c>
    </row>
    <row r="12">
      <c r="A12" s="15" t="n">
        <v>8</v>
      </c>
      <c r="B12" s="6">
        <f>'Tổng hợp'!B12</f>
        <v/>
      </c>
      <c r="C12" s="69">
        <f>IF('Tổng hợp'!E12="",0,'Tổng hợp'!E12)</f>
        <v/>
      </c>
      <c r="D12" s="69">
        <f>'Tổng hợp'!F12</f>
        <v/>
      </c>
      <c r="E12" s="19">
        <f>'Tổng hợp'!I12</f>
        <v/>
      </c>
      <c r="F12" s="19">
        <f>'Tổng hợp'!J12</f>
        <v/>
      </c>
      <c r="G12" s="19">
        <f>'Tổng hợp'!K12</f>
        <v/>
      </c>
    </row>
    <row r="13"/>
    <row r="14">
      <c r="A14" s="13" t="inlineStr">
        <is>
          <t>Biểu đồ tự cập nhật khi chấm điểm ở các sheet vị trí. Vị trí chưa chấm hiển thị 0.</t>
        </is>
      </c>
    </row>
  </sheetData>
  <mergeCells count="3">
    <mergeCell ref="A14:G14"/>
    <mergeCell ref="A2:G2"/>
    <mergeCell ref="A1:G1"/>
  </mergeCell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6B7280"/>
    <outlinePr summaryBelow="1" summaryRight="1"/>
    <pageSetUpPr fitToPage="1"/>
  </sheetPr>
  <dimension ref="A1:G4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0" customHeight="1">
      <c r="A1" s="1" t="inlineStr">
        <is>
          <t>NGUYÊN TẮC CHẤM ĐIỂM KPI</t>
        </is>
      </c>
    </row>
    <row r="2">
      <c r="A2" s="3" t="inlineStr">
        <is>
          <t xml:space="preserve">Phụ lục 01 · Căn cứ Điều 4, 6, 7, 10, 12, 13 Quy chế · KK HOME · </t>
        </is>
      </c>
    </row>
    <row r="3"/>
    <row r="4">
      <c r="B4" s="4" t="inlineStr">
        <is>
          <t>1. THANG ĐIỂM 1–5 (Điều 6)</t>
        </is>
      </c>
    </row>
    <row r="5">
      <c r="B5" s="31" t="inlineStr">
        <is>
          <t>Điểm</t>
        </is>
      </c>
      <c r="C5" s="31" t="inlineStr">
        <is>
          <t>Xếp hạng</t>
        </is>
      </c>
      <c r="D5" s="31" t="inlineStr">
        <is>
          <t>Diễn giải</t>
        </is>
      </c>
      <c r="E5" s="77" t="n"/>
      <c r="F5" s="77" t="n"/>
      <c r="G5" s="75" t="n"/>
    </row>
    <row r="6">
      <c r="B6" s="33" t="n">
        <v>5</v>
      </c>
      <c r="C6" s="34" t="inlineStr">
        <is>
          <t>Tuyệt vời</t>
        </is>
      </c>
      <c r="D6" s="35" t="inlineStr">
        <is>
          <t>Hoàn thành xuất sắc, vượt mong đợi, tự giác và chủ động</t>
        </is>
      </c>
      <c r="E6" s="77" t="n"/>
      <c r="F6" s="77" t="n"/>
      <c r="G6" s="75" t="n"/>
    </row>
    <row r="7">
      <c r="B7" s="33" t="n">
        <v>4</v>
      </c>
      <c r="C7" s="34" t="inlineStr">
        <is>
          <t>Tốt</t>
        </is>
      </c>
      <c r="D7" s="35" t="inlineStr">
        <is>
          <t>Hoàn thành tốt, đạt hoặc vượt mục tiêu đề ra</t>
        </is>
      </c>
      <c r="E7" s="77" t="n"/>
      <c r="F7" s="77" t="n"/>
      <c r="G7" s="75" t="n"/>
    </row>
    <row r="8">
      <c r="B8" s="33" t="n">
        <v>3</v>
      </c>
      <c r="C8" s="34" t="inlineStr">
        <is>
          <t>Bình thường</t>
        </is>
      </c>
      <c r="D8" s="35" t="inlineStr">
        <is>
          <t>Đáp ứng đủ yêu cầu cơ bản</t>
        </is>
      </c>
      <c r="E8" s="77" t="n"/>
      <c r="F8" s="77" t="n"/>
      <c r="G8" s="75" t="n"/>
    </row>
    <row r="9">
      <c r="B9" s="33" t="n">
        <v>2</v>
      </c>
      <c r="C9" s="34" t="inlineStr">
        <is>
          <t>Chưa đạt</t>
        </is>
      </c>
      <c r="D9" s="35" t="inlineStr">
        <is>
          <t>Chưa hoàn thành tốt, có lỗi nhỏ, cần cải thiện</t>
        </is>
      </c>
      <c r="E9" s="77" t="n"/>
      <c r="F9" s="77" t="n"/>
      <c r="G9" s="75" t="n"/>
    </row>
    <row r="10">
      <c r="B10" s="33" t="n">
        <v>1</v>
      </c>
      <c r="C10" s="34" t="inlineStr">
        <is>
          <t>Kém</t>
        </is>
      </c>
      <c r="D10" s="35" t="inlineStr">
        <is>
          <t>Chưa hoàn thành, cần hỗ trợ nhiều, sai sót lớn</t>
        </is>
      </c>
      <c r="E10" s="77" t="n"/>
      <c r="F10" s="77" t="n"/>
      <c r="G10" s="75" t="n"/>
    </row>
    <row r="11">
      <c r="B11" s="37" t="inlineStr">
        <is>
          <t>Kết quả dao động giữa hai mức liền kề: được chấm điểm trung bình (VD: 3.5).</t>
        </is>
      </c>
    </row>
    <row r="12"/>
    <row r="13">
      <c r="B13" s="4" t="inlineStr">
        <is>
          <t>2. CÔNG THỨC &amp; XẾP LOẠI (Điều 7, Điều 13)</t>
        </is>
      </c>
    </row>
    <row r="14">
      <c r="B14" s="38" t="inlineStr">
        <is>
          <t>Điểm quy đổi tiêu chí</t>
        </is>
      </c>
      <c r="C14" s="35" t="inlineStr">
        <is>
          <t>Điểm chấm ÷ 5 × Trọng số × 100</t>
        </is>
      </c>
      <c r="D14" s="77" t="n"/>
      <c r="E14" s="77" t="n"/>
      <c r="F14" s="77" t="n"/>
      <c r="G14" s="75" t="n"/>
    </row>
    <row r="15">
      <c r="B15" s="38" t="inlineStr">
        <is>
          <t>Tổng điểm vị trí</t>
        </is>
      </c>
      <c r="C15" s="35" t="inlineStr">
        <is>
          <t>Cộng điểm quy đổi các tiêu chí (tối đa 100)</t>
        </is>
      </c>
      <c r="D15" s="77" t="n"/>
      <c r="E15" s="77" t="n"/>
      <c r="F15" s="77" t="n"/>
      <c r="G15" s="75" t="n"/>
    </row>
    <row r="16">
      <c r="B16" s="38" t="inlineStr">
        <is>
          <t>Xuất sắc</t>
        </is>
      </c>
      <c r="C16" s="35" t="inlineStr">
        <is>
          <t>Tổng điểm ≥ 80</t>
        </is>
      </c>
      <c r="D16" s="77" t="n"/>
      <c r="E16" s="77" t="n"/>
      <c r="F16" s="77" t="n"/>
      <c r="G16" s="75" t="n"/>
    </row>
    <row r="17">
      <c r="B17" s="38" t="inlineStr">
        <is>
          <t>Đạt</t>
        </is>
      </c>
      <c r="C17" s="35" t="inlineStr">
        <is>
          <t>Từ 70 đến dưới 80</t>
        </is>
      </c>
      <c r="D17" s="77" t="n"/>
      <c r="E17" s="77" t="n"/>
      <c r="F17" s="77" t="n"/>
      <c r="G17" s="75" t="n"/>
    </row>
    <row r="18">
      <c r="B18" s="38" t="inlineStr">
        <is>
          <t>Cần cải thiện</t>
        </is>
      </c>
      <c r="C18" s="35" t="inlineStr">
        <is>
          <t>Dưới 70</t>
        </is>
      </c>
      <c r="D18" s="77" t="n"/>
      <c r="E18" s="77" t="n"/>
      <c r="F18" s="77" t="n"/>
      <c r="G18" s="75" t="n"/>
    </row>
    <row r="19"/>
    <row r="20">
      <c r="B20" s="4" t="inlineStr">
        <is>
          <t>3. GỢI Ý QUY ĐỔI CHỨNG CỨ RA ĐIỂM (mẫu – điều chỉnh theo mục tiêu đã duyệt từng kỳ)</t>
        </is>
      </c>
    </row>
    <row r="21">
      <c r="B21" s="31" t="inlineStr">
        <is>
          <t>Loại chỉ số</t>
        </is>
      </c>
      <c r="C21" s="31" t="inlineStr">
        <is>
          <t>Điểm 5</t>
        </is>
      </c>
      <c r="D21" s="31" t="inlineStr">
        <is>
          <t>Điểm 4</t>
        </is>
      </c>
      <c r="E21" s="31" t="inlineStr">
        <is>
          <t>Điểm 3</t>
        </is>
      </c>
      <c r="F21" s="31" t="inlineStr">
        <is>
          <t>Điểm 2</t>
        </is>
      </c>
      <c r="G21" s="31" t="inlineStr">
        <is>
          <t>Điểm 1</t>
        </is>
      </c>
    </row>
    <row r="22" ht="38" customHeight="1">
      <c r="B22" s="38" t="inlineStr">
        <is>
          <t>Chỉ tiêu lead / doanh số từ marketing</t>
        </is>
      </c>
      <c r="C22" s="35" t="inlineStr">
        <is>
          <t>≥ 110% mục tiêu</t>
        </is>
      </c>
      <c r="D22" s="35" t="inlineStr">
        <is>
          <t>100% – dưới 110%</t>
        </is>
      </c>
      <c r="E22" s="35" t="inlineStr">
        <is>
          <t>90% – dưới 100%</t>
        </is>
      </c>
      <c r="F22" s="35" t="inlineStr">
        <is>
          <t>75% – dưới 90%</t>
        </is>
      </c>
      <c r="G22" s="35" t="inlineStr">
        <is>
          <t>Dưới 75%</t>
        </is>
      </c>
    </row>
    <row r="23" ht="38" customHeight="1">
      <c r="B23" s="38" t="inlineStr">
        <is>
          <t>Chi phí trên 1 lead / 1 đơn (CPL, CPA)</t>
        </is>
      </c>
      <c r="C23" s="35" t="inlineStr">
        <is>
          <t>Thấp hơn định mức ≥ 15%</t>
        </is>
      </c>
      <c r="D23" s="35" t="inlineStr">
        <is>
          <t>Bằng hoặc thấp hơn định mức</t>
        </is>
      </c>
      <c r="E23" s="35" t="inlineStr">
        <is>
          <t>Vượt định mức ≤ 10%</t>
        </is>
      </c>
      <c r="F23" s="35" t="inlineStr">
        <is>
          <t>Vượt 10% – 25%</t>
        </is>
      </c>
      <c r="G23" s="35" t="inlineStr">
        <is>
          <t>Vượt &gt; 25%</t>
        </is>
      </c>
    </row>
    <row r="24" ht="38" customHeight="1">
      <c r="B24" s="38" t="inlineStr">
        <is>
          <t>Tỷ suất hoàn vốn quảng cáo (ROAS)</t>
        </is>
      </c>
      <c r="C24" s="35" t="inlineStr">
        <is>
          <t>≥ 120% mục tiêu</t>
        </is>
      </c>
      <c r="D24" s="35" t="inlineStr">
        <is>
          <t>100% – dưới 120%</t>
        </is>
      </c>
      <c r="E24" s="35" t="inlineStr">
        <is>
          <t>85% – dưới 100%</t>
        </is>
      </c>
      <c r="F24" s="35" t="inlineStr">
        <is>
          <t>70% – dưới 85%</t>
        </is>
      </c>
      <c r="G24" s="35" t="inlineStr">
        <is>
          <t>Dưới 70%</t>
        </is>
      </c>
    </row>
    <row r="25" ht="38" customHeight="1">
      <c r="B25" s="38" t="inlineStr">
        <is>
          <t>Thời hạn (lịch nội dung, chiến dịch, báo cáo)</t>
        </is>
      </c>
      <c r="C25" s="35" t="inlineStr">
        <is>
          <t>100% đúng hạn, nhiều việc xong sớm</t>
        </is>
      </c>
      <c r="D25" s="35" t="inlineStr">
        <is>
          <t>100% đúng hạn</t>
        </is>
      </c>
      <c r="E25" s="35" t="inlineStr">
        <is>
          <t>≥ 90% đúng hạn, trễ không ảnh hưởng</t>
        </is>
      </c>
      <c r="F25" s="35" t="inlineStr">
        <is>
          <t>75% – dưới 90%, hoặc 1 lần trễ ảnh hưởng chiến dịch</t>
        </is>
      </c>
      <c r="G25" s="35" t="inlineStr">
        <is>
          <t>Dưới 75%, hoặc lỡ thời điểm ra mắt</t>
        </is>
      </c>
    </row>
    <row r="26" ht="38" customHeight="1">
      <c r="B26" s="38" t="inlineStr">
        <is>
          <t>Sai sót nội dung, ấn phẩm (chính tả, giá, thông tin)</t>
        </is>
      </c>
      <c r="C26" s="35" t="inlineStr">
        <is>
          <t>0 lỗi, chủ động bắt lỗi khâu khác</t>
        </is>
      </c>
      <c r="D26" s="35" t="inlineStr">
        <is>
          <t>0 lỗi phát hành</t>
        </is>
      </c>
      <c r="E26" s="35" t="inlineStr">
        <is>
          <t>1–2 lỗi nhỏ, sửa trước khi lan rộng</t>
        </is>
      </c>
      <c r="F26" s="35" t="inlineStr">
        <is>
          <t>≥ 3 lỗi nhỏ hoặc 1 lỗi phải đính chính</t>
        </is>
      </c>
      <c r="G26" s="35" t="inlineStr">
        <is>
          <t>Lỗi gây khiếu nại, khủng hoảng truyền thông</t>
        </is>
      </c>
    </row>
    <row r="27" ht="38" customHeight="1">
      <c r="B27" s="38" t="inlineStr">
        <is>
          <t>Tuân thủ quảng cáo, nhãn hiệu, bản quyền</t>
        </is>
      </c>
      <c r="C27" s="35" t="inlineStr">
        <is>
          <t>Không vi phạm, chủ động rà soát rủi ro</t>
        </is>
      </c>
      <c r="D27" s="35" t="inlineStr">
        <is>
          <t>Không vi phạm</t>
        </is>
      </c>
      <c r="E27" s="35" t="inlineStr">
        <is>
          <t>Bị nền tảng nhắc nhở, đã khắc phục</t>
        </is>
      </c>
      <c r="F27" s="35" t="inlineStr">
        <is>
          <t>Bị khóa/từ chối quảng cáo lặp lại</t>
        </is>
      </c>
      <c r="G27" s="35" t="inlineStr">
        <is>
          <t>Bị xử phạt hoặc khiếu nại bản quyền</t>
        </is>
      </c>
    </row>
    <row r="28"/>
    <row r="29">
      <c r="B29" s="4" t="inlineStr">
        <is>
          <t>4. NGUYÊN TẮC ĐÁNH GIÁ (Điều 4, Điều 12)</t>
        </is>
      </c>
    </row>
    <row r="30">
      <c r="B30" s="38" t="inlineStr">
        <is>
          <t>Khách quan</t>
        </is>
      </c>
      <c r="C30" s="35" t="inlineStr">
        <is>
          <t>Chấm theo kết quả thực tế, không theo thiện cảm cá nhân.</t>
        </is>
      </c>
      <c r="D30" s="77" t="n"/>
      <c r="E30" s="77" t="n"/>
      <c r="F30" s="77" t="n"/>
      <c r="G30" s="75" t="n"/>
    </row>
    <row r="31">
      <c r="B31" s="38" t="inlineStr">
        <is>
          <t>Công bằng</t>
        </is>
      </c>
      <c r="C31" s="35" t="inlineStr">
        <is>
          <t>Cùng vị trí dùng chung bộ tiêu chí, trọng số, thang điểm.</t>
        </is>
      </c>
      <c r="D31" s="77" t="n"/>
      <c r="E31" s="77" t="n"/>
      <c r="F31" s="77" t="n"/>
      <c r="G31" s="75" t="n"/>
    </row>
    <row r="32">
      <c r="B32" s="38" t="inlineStr">
        <is>
          <t>Công khai</t>
        </is>
      </c>
      <c r="C32" s="35" t="inlineStr">
        <is>
          <t>Tiêu chí, trọng số, chỉ tiêu định lượng phổ biến cho nhân sự trước kỳ đánh giá.</t>
        </is>
      </c>
      <c r="D32" s="77" t="n"/>
      <c r="E32" s="77" t="n"/>
      <c r="F32" s="77" t="n"/>
      <c r="G32" s="75" t="n"/>
    </row>
    <row r="33">
      <c r="B33" s="38" t="inlineStr">
        <is>
          <t>Định kỳ</t>
        </is>
      </c>
      <c r="C33" s="35" t="inlineStr">
        <is>
          <t>Loại kỳ (Tháng/Quý/Năm) áp dụng thống nhất cho toàn phòng trong cùng chu kỳ.</t>
        </is>
      </c>
      <c r="D33" s="77" t="n"/>
      <c r="E33" s="77" t="n"/>
      <c r="F33" s="77" t="n"/>
      <c r="G33" s="75" t="n"/>
    </row>
    <row r="34">
      <c r="B34" s="38" t="inlineStr">
        <is>
          <t>Có phản hồi</t>
        </is>
      </c>
      <c r="C34" s="35" t="inlineStr">
        <is>
          <t>Trao đổi kết quả trực tiếp, thống nhất kế hoạch cải thiện.</t>
        </is>
      </c>
      <c r="D34" s="77" t="n"/>
      <c r="E34" s="77" t="n"/>
      <c r="F34" s="77" t="n"/>
      <c r="G34" s="75" t="n"/>
    </row>
    <row r="35">
      <c r="B35" s="38" t="inlineStr">
        <is>
          <t>Có chứng cứ</t>
        </is>
      </c>
      <c r="C35" s="35" t="inlineStr">
        <is>
          <t>Số liệu, thời hạn, biên bản, báo cáo. Điểm ≤ 1,5 hoặc = 5 phải ghi lý do ở cột Ghi chú.</t>
        </is>
      </c>
      <c r="D35" s="77" t="n"/>
      <c r="E35" s="77" t="n"/>
      <c r="F35" s="77" t="n"/>
      <c r="G35" s="75" t="n"/>
    </row>
    <row r="36"/>
    <row r="37">
      <c r="B37" s="4" t="inlineStr">
        <is>
          <t>5. QUY TRÌNH 6 BƯỚC (Điều 10)</t>
        </is>
      </c>
    </row>
    <row r="38">
      <c r="B38" s="38" t="inlineStr">
        <is>
          <t>Bước 1 – Chuẩn bị</t>
        </is>
      </c>
      <c r="C38" s="35" t="inlineStr">
        <is>
          <t>Xác định kỳ, thông báo lịch, phổ biến tiêu chí.</t>
        </is>
      </c>
      <c r="D38" s="77" t="n"/>
      <c r="E38" s="77" t="n"/>
      <c r="F38" s="77" t="n"/>
      <c r="G38" s="75" t="n"/>
    </row>
    <row r="39">
      <c r="B39" s="38" t="inlineStr">
        <is>
          <t>Bước 2 – Tự đánh giá</t>
        </is>
      </c>
      <c r="C39" s="35" t="inlineStr">
        <is>
          <t>Nhân sự chấm cột F.</t>
        </is>
      </c>
      <c r="D39" s="77" t="n"/>
      <c r="E39" s="77" t="n"/>
      <c r="F39" s="77" t="n"/>
      <c r="G39" s="75" t="n"/>
    </row>
    <row r="40">
      <c r="B40" s="38" t="inlineStr">
        <is>
          <t>Bước 3 – Quản lý chấm</t>
        </is>
      </c>
      <c r="C40" s="35" t="inlineStr">
        <is>
          <t>Quản lý trực tiếp chấm chính thức cột G, dựa trên chứng cứ.</t>
        </is>
      </c>
      <c r="D40" s="77" t="n"/>
      <c r="E40" s="77" t="n"/>
      <c r="F40" s="77" t="n"/>
      <c r="G40" s="75" t="n"/>
    </row>
    <row r="41">
      <c r="B41" s="38" t="inlineStr">
        <is>
          <t>Bước 4 – Tổng hợp</t>
        </is>
      </c>
      <c r="C41" s="35" t="inlineStr">
        <is>
          <t>File tự tính điểm quy đổi, xếp loại; sheet Tổng hợp tự cập nhật.</t>
        </is>
      </c>
      <c r="D41" s="77" t="n"/>
      <c r="E41" s="77" t="n"/>
      <c r="F41" s="77" t="n"/>
      <c r="G41" s="75" t="n"/>
    </row>
    <row r="42">
      <c r="B42" s="38" t="inlineStr">
        <is>
          <t>Bước 5 – Phản hồi</t>
        </is>
      </c>
      <c r="C42" s="35" t="inlineStr">
        <is>
          <t>Trao đổi kết quả, ghi nhận xét và kế hoạch cải thiện cuối sheet vị trí.</t>
        </is>
      </c>
      <c r="D42" s="77" t="n"/>
      <c r="E42" s="77" t="n"/>
      <c r="F42" s="77" t="n"/>
      <c r="G42" s="75" t="n"/>
    </row>
    <row r="43">
      <c r="B43" s="38" t="inlineStr">
        <is>
          <t>Bước 6 – Phê duyệt, lưu trữ</t>
        </is>
      </c>
      <c r="C43" s="35" t="inlineStr">
        <is>
          <t>Trình người có thẩm quyền ký duyệt; lưu hồ sơ làm căn cứ lương, thưởng, quy hoạch.</t>
        </is>
      </c>
      <c r="D43" s="77" t="n"/>
      <c r="E43" s="77" t="n"/>
      <c r="F43" s="77" t="n"/>
      <c r="G43" s="75" t="n"/>
    </row>
  </sheetData>
  <mergeCells count="31">
    <mergeCell ref="C30:G30"/>
    <mergeCell ref="D9:G9"/>
    <mergeCell ref="C34:G34"/>
    <mergeCell ref="D8:G8"/>
    <mergeCell ref="C42:G42"/>
    <mergeCell ref="C15:G15"/>
    <mergeCell ref="C33:G33"/>
    <mergeCell ref="B13:G13"/>
    <mergeCell ref="C14:G14"/>
    <mergeCell ref="D5:G5"/>
    <mergeCell ref="B29:G29"/>
    <mergeCell ref="C35:G35"/>
    <mergeCell ref="B37:G37"/>
    <mergeCell ref="C16:G16"/>
    <mergeCell ref="C41:G41"/>
    <mergeCell ref="C31:G31"/>
    <mergeCell ref="D10:G10"/>
    <mergeCell ref="C40:G40"/>
    <mergeCell ref="B20:G20"/>
    <mergeCell ref="A1:G1"/>
    <mergeCell ref="C43:G43"/>
    <mergeCell ref="D6:G6"/>
    <mergeCell ref="B4:G4"/>
    <mergeCell ref="C39:G39"/>
    <mergeCell ref="C17:G17"/>
    <mergeCell ref="C32:G32"/>
    <mergeCell ref="C38:G38"/>
    <mergeCell ref="D7:G7"/>
    <mergeCell ref="A2:G2"/>
    <mergeCell ref="C18:G18"/>
    <mergeCell ref="B11:G11"/>
  </mergeCell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6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TRƯỞNG PHÒNG MARKETING</t>
        </is>
      </c>
    </row>
    <row r="2">
      <c r="A2" s="3" t="inlineStr">
        <is>
          <t xml:space="preserve">Phòng Marketing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Marketing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Hoàn thành chỉ tiêu lead / doanh số từ marketing</t>
        </is>
      </c>
      <c r="D10" s="45" t="inlineStr">
        <is>
          <t>Số lead đạt chuẩn (MQL) và doanh số quy cho marketing so với kế hoạch kỳ</t>
        </is>
      </c>
      <c r="E10" s="46" t="n">
        <v>0.1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Hiệu quả ngân sách marketing</t>
        </is>
      </c>
      <c r="D11" s="45" t="inlineStr">
        <is>
          <t>Chi phí marketing / doanh thu; ROAS tổng; mức tiêu ngân sách so với kế hoạch được duyệt (lệch ≤ 5%)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Chiến lược &amp; kế hoạch marketing</t>
        </is>
      </c>
      <c r="D12" s="45" t="inlineStr">
        <is>
          <t>Kế hoạch năm/quý trình duyệt đúng hạn; tỷ lệ chiến dịch triển khai đúng kế hoạch ≥ 90%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Sức khỏe thương hiệu</t>
        </is>
      </c>
      <c r="D13" s="45" t="inlineStr">
        <is>
          <t>Chỉ số nhận biết, lượng tìm kiếm thương hiệu, tỷ lệ thảo luận tích cực so với kỳ trước</t>
        </is>
      </c>
      <c r="E13" s="46" t="n">
        <v>0.1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Tuân thủ pháp luật quảng cáo &amp; bảo vệ thương hiệu</t>
        </is>
      </c>
      <c r="D14" s="45" t="inlineStr">
        <is>
          <t>Không bị xử phạt, khiếu nại về quảng cáo, nhãn hiệu, bản quyền, dữ liệu khách hàng</t>
        </is>
      </c>
      <c r="E14" s="46" t="n">
        <v>0.15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Tiến độ chiến dịch &amp; báo cáo quản trị</t>
        </is>
      </c>
      <c r="D15" s="45" t="inlineStr">
        <is>
          <t>Chiến dịch lớn ra mắt đúng mốc; báo cáo hiệu quả marketing gửi Ban lãnh đạo đúng hạn</t>
        </is>
      </c>
      <c r="E15" s="46" t="n">
        <v>0.1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50" t="n"/>
      <c r="C16" s="44" t="inlineStr">
        <is>
          <t>Kiểm soát chi phí &amp; hồ sơ thanh toán</t>
        </is>
      </c>
      <c r="D16" s="45" t="inlineStr">
        <is>
          <t>Hợp đồng, nghiệm thu, chứng từ chi marketing đầy đủ; không phát sinh chi ngoài ngân sách chưa duyệt</t>
        </is>
      </c>
      <c r="E16" s="46" t="n">
        <v>0.1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2" t="inlineStr">
        <is>
          <t>Phối hợp - Thái độ</t>
        </is>
      </c>
      <c r="C17" s="44" t="inlineStr">
        <is>
          <t>Lãnh đạo &amp; phát triển đội ngũ</t>
        </is>
      </c>
      <c r="D17" s="45" t="inlineStr">
        <is>
          <t>Điểm KPI bình quân của phòng; số nhân viên được kèm cặp, có kế hoạch phát triển</t>
        </is>
      </c>
      <c r="E17" s="46" t="n">
        <v>0.1</v>
      </c>
      <c r="F17" s="79" t="n"/>
      <c r="G17" s="79" t="n"/>
      <c r="H17" s="76">
        <f>IF(ISNUMBER(G17),G17/5*E17*100,0)</f>
        <v/>
      </c>
      <c r="I17" s="48" t="n"/>
      <c r="J17" t="inlineStr">
        <is>
          <t>PH</t>
        </is>
      </c>
    </row>
    <row r="18" ht="34" customHeight="1">
      <c r="A18" s="15" t="n">
        <v>9</v>
      </c>
      <c r="B18" s="49" t="n"/>
      <c r="C18" s="44" t="inlineStr">
        <is>
          <t>Phối hợp với Kinh doanh &amp; các phòng ban</t>
        </is>
      </c>
      <c r="D18" s="45" t="inlineStr">
        <is>
          <t>Tỷ lệ lead được Kinh doanh chấp nhận (SQL/MQL); phản hồi của trưởng phòng Kinh doanh</t>
        </is>
      </c>
      <c r="E18" s="46" t="n">
        <v>0.08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50" t="n"/>
      <c r="C19" s="44" t="inlineStr">
        <is>
          <t>Đổi mới &amp; cải tiến</t>
        </is>
      </c>
      <c r="D19" s="45" t="inlineStr">
        <is>
          <t>Số kênh, công cụ, quy trình mới thử nghiệm có đo lường kết quả và được nhân rộng</t>
        </is>
      </c>
      <c r="E19" s="46" t="n">
        <v>0.07000000000000001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22" customHeight="1">
      <c r="A20" s="53" t="inlineStr">
        <is>
          <t>TỔNG CỘNG</t>
        </is>
      </c>
      <c r="B20" s="77" t="n"/>
      <c r="C20" s="77" t="n"/>
      <c r="D20" s="75" t="n"/>
      <c r="E20" s="55">
        <f>SUM(E10:E19)</f>
        <v/>
      </c>
      <c r="F20" s="54" t="n"/>
      <c r="G20" s="54" t="n"/>
      <c r="H20" s="80">
        <f>SUM(H10:H19)</f>
        <v/>
      </c>
      <c r="I20" s="54" t="n"/>
    </row>
    <row r="21"/>
    <row r="22">
      <c r="A22" s="27" t="inlineStr">
        <is>
          <t>KẾT QUẢ ĐÁNH GIÁ</t>
        </is>
      </c>
      <c r="B22" s="77" t="n"/>
      <c r="C22" s="75" t="n"/>
      <c r="D22" s="27" t="inlineStr">
        <is>
          <t>ĐIỂM THEO NHÓM TIÊU CHÍ</t>
        </is>
      </c>
      <c r="E22" s="77" t="n"/>
      <c r="F22" s="77" t="n"/>
      <c r="G22" s="77" t="n"/>
      <c r="H22" s="75" t="n"/>
    </row>
    <row r="23" ht="20" customHeight="1">
      <c r="A23" s="5" t="inlineStr">
        <is>
          <t>Tổng điểm chính thức</t>
        </is>
      </c>
      <c r="B23" s="75" t="n"/>
      <c r="C23" s="81">
        <f>H20</f>
        <v/>
      </c>
      <c r="D23" s="58" t="inlineStr">
        <is>
          <t>Nhóm tiêu chí</t>
        </is>
      </c>
      <c r="E23" s="59" t="inlineStr">
        <is>
          <t>Trọng số</t>
        </is>
      </c>
      <c r="F23" s="59" t="inlineStr">
        <is>
          <t>Điểm tối đa</t>
        </is>
      </c>
      <c r="G23" s="59" t="inlineStr">
        <is>
          <t>Điểm đạt</t>
        </is>
      </c>
      <c r="H23" s="59" t="inlineStr">
        <is>
          <t>Tỷ lệ đạt</t>
        </is>
      </c>
    </row>
    <row r="24" ht="20" customHeight="1">
      <c r="A24" s="5" t="inlineStr">
        <is>
          <t>Điểm tự đánh giá</t>
        </is>
      </c>
      <c r="B24" s="75" t="n"/>
      <c r="C24" s="76">
        <f>IF(COUNT(F10:F19)=0,"",SUMPRODUCT(F10:F19,E10:E19)/5*100)</f>
        <v/>
      </c>
      <c r="D24" s="60" t="inlineStr">
        <is>
          <t>Chuyên môn - Nghiệp vụ</t>
        </is>
      </c>
      <c r="E24" s="19">
        <f>SUMIF($J$10:$J$19,"CM",$E$10:$E$19)</f>
        <v/>
      </c>
      <c r="F24" s="69">
        <f>E24*100</f>
        <v/>
      </c>
      <c r="G24" s="69">
        <f>SUMIF($J$10:$J$19,"CM",$H$10:$H$19)</f>
        <v/>
      </c>
      <c r="H24" s="61">
        <f>IF(F24=0,0,G24/F24)</f>
        <v/>
      </c>
    </row>
    <row r="25" ht="20" customHeight="1">
      <c r="A25" s="5" t="inlineStr">
        <is>
          <t>Tiêu chí đã chấm</t>
        </is>
      </c>
      <c r="B25" s="75" t="n"/>
      <c r="C25" s="62">
        <f>COUNT(G10:G19)&amp;" / 10"</f>
        <v/>
      </c>
      <c r="D25" s="63" t="inlineStr">
        <is>
          <t>Tuân thủ - Thời hạn</t>
        </is>
      </c>
      <c r="E25" s="19">
        <f>SUMIF($J$10:$J$19,"TT",$E$10:$E$19)</f>
        <v/>
      </c>
      <c r="F25" s="69">
        <f>E25*100</f>
        <v/>
      </c>
      <c r="G25" s="69">
        <f>SUMIF($J$10:$J$19,"TT",$H$10:$H$19)</f>
        <v/>
      </c>
      <c r="H25" s="61">
        <f>IF(F25=0,0,G25/F25)</f>
        <v/>
      </c>
    </row>
    <row r="26" ht="20" customHeight="1">
      <c r="A26" s="5" t="inlineStr">
        <is>
          <t>Xếp loại</t>
        </is>
      </c>
      <c r="B26" s="75" t="n"/>
      <c r="C26" s="64">
        <f>IF(COUNT(G10:G19)=0,"Chưa chấm",IF(COUNT(G10:G19)&lt;10,"Chưa chấm đủ",IF(H20&gt;=80,"Xuất sắc",IF(H20&gt;=70,"Đạt","Cần cải thiện"))))</f>
        <v/>
      </c>
      <c r="D26" s="65" t="inlineStr">
        <is>
          <t>Phối hợp - Thái độ</t>
        </is>
      </c>
      <c r="E26" s="19">
        <f>SUMIF($J$10:$J$19,"PH",$E$10:$E$19)</f>
        <v/>
      </c>
      <c r="F26" s="69">
        <f>E26*100</f>
        <v/>
      </c>
      <c r="G26" s="69">
        <f>SUMIF($J$10:$J$19,"PH",$H$10:$H$19)</f>
        <v/>
      </c>
      <c r="H26" s="61">
        <f>IF(F26=0,0,G26/F26)</f>
        <v/>
      </c>
    </row>
    <row r="27" ht="20" customHeight="1">
      <c r="A27" s="5" t="inlineStr">
        <is>
          <t>Kiểm tra trọng số</t>
        </is>
      </c>
      <c r="B27" s="75" t="n"/>
      <c r="C27" s="62">
        <f>IF(ROUND(E20,4)=1,"Hợp lệ – 100%","SAI – tổng trọng số phải = 100%")</f>
        <v/>
      </c>
    </row>
    <row r="28"/>
    <row r="29">
      <c r="A29" s="27" t="inlineStr">
        <is>
          <t>NHẬN XÉT &amp; KẾ HOẠCH CẢI THIỆN (Bước 5 – phản hồi kết quả)</t>
        </is>
      </c>
      <c r="B29" s="77" t="n"/>
      <c r="C29" s="77" t="n"/>
      <c r="D29" s="77" t="n"/>
      <c r="E29" s="77" t="n"/>
      <c r="F29" s="77" t="n"/>
      <c r="G29" s="77" t="n"/>
      <c r="H29" s="77" t="n"/>
      <c r="I29" s="75" t="n"/>
    </row>
    <row r="30" ht="36" customHeight="1">
      <c r="A30" s="5" t="inlineStr">
        <is>
          <t>Điểm mạnh</t>
        </is>
      </c>
      <c r="B30" s="75" t="n"/>
      <c r="C30" s="66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Cần cải thiện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Kế hoạch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Ý kiến nhân sự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/>
    <row r="35">
      <c r="B35" s="67" t="inlineStr">
        <is>
          <t>NHÂN SỰ ĐƯỢC ĐÁNH GIÁ</t>
        </is>
      </c>
      <c r="D35" s="67" t="inlineStr">
        <is>
          <t>QUẢN LÝ TRỰC TIẾP</t>
        </is>
      </c>
      <c r="G35" s="67" t="inlineStr">
        <is>
          <t>NGƯỜI PHÊ DUYỆT</t>
        </is>
      </c>
    </row>
    <row r="36">
      <c r="B36" s="68" t="inlineStr">
        <is>
          <t>(Ký, ghi rõ họ tên)</t>
        </is>
      </c>
      <c r="D36" s="68" t="inlineStr">
        <is>
          <t>(Ký, ghi rõ họ tên)</t>
        </is>
      </c>
      <c r="G36" s="68" t="inlineStr">
        <is>
          <t>(Ký, ghi rõ họ tên)</t>
        </is>
      </c>
    </row>
  </sheetData>
  <mergeCells count="36">
    <mergeCell ref="A24:B24"/>
    <mergeCell ref="A30:B30"/>
    <mergeCell ref="C6:D6"/>
    <mergeCell ref="A20:D20"/>
    <mergeCell ref="C5:D5"/>
    <mergeCell ref="E5:F5"/>
    <mergeCell ref="C32:I32"/>
    <mergeCell ref="D22:H22"/>
    <mergeCell ref="C4:D4"/>
    <mergeCell ref="E4:F4"/>
    <mergeCell ref="A2:I2"/>
    <mergeCell ref="A25:B25"/>
    <mergeCell ref="A22:C22"/>
    <mergeCell ref="G35:I35"/>
    <mergeCell ref="C30:I30"/>
    <mergeCell ref="G6:H6"/>
    <mergeCell ref="C33:I33"/>
    <mergeCell ref="A27:B27"/>
    <mergeCell ref="B10:B13"/>
    <mergeCell ref="A29:I29"/>
    <mergeCell ref="A26:B26"/>
    <mergeCell ref="E6:F6"/>
    <mergeCell ref="A33:B33"/>
    <mergeCell ref="G5:H5"/>
    <mergeCell ref="A32:B32"/>
    <mergeCell ref="A23:B23"/>
    <mergeCell ref="G4:H4"/>
    <mergeCell ref="C31:I31"/>
    <mergeCell ref="B17:B19"/>
    <mergeCell ref="G36:I36"/>
    <mergeCell ref="C7:D7"/>
    <mergeCell ref="A1:I1"/>
    <mergeCell ref="B14:B16"/>
    <mergeCell ref="B36:C36"/>
    <mergeCell ref="A31:B31"/>
    <mergeCell ref="B35:C35"/>
  </mergeCells>
  <conditionalFormatting sqref="I10:I19">
    <cfRule type="expression" priority="1" dxfId="5">
      <formula>AND(ISNUMBER($G10),OR($G10&lt;=1.5,$G10&gt;=5),LEN($I10)=0)</formula>
    </cfRule>
  </conditionalFormatting>
  <conditionalFormatting sqref="G10:G19">
    <cfRule type="cellIs" priority="2" operator="lessThanOrEqual" dxfId="4">
      <formula>2</formula>
    </cfRule>
  </conditionalFormatting>
  <conditionalFormatting sqref="C26">
    <cfRule type="expression" priority="3" dxfId="0">
      <formula>C26="Xuất sắc"</formula>
    </cfRule>
    <cfRule type="expression" priority="4" dxfId="1">
      <formula>C26="Đạt"</formula>
    </cfRule>
    <cfRule type="expression" priority="5" dxfId="2">
      <formula>C26="Cần cải thiện"</formula>
    </cfRule>
    <cfRule type="expression" priority="6" dxfId="3">
      <formula>C26="Chưa chấm đủ"</formula>
    </cfRule>
  </conditionalFormatting>
  <conditionalFormatting sqref="C27">
    <cfRule type="expression" priority="7" dxfId="6">
      <formula>LEFT(C27,3)="SAI"</formula>
    </cfRule>
  </conditionalFormatting>
  <dataValidations count="2">
    <dataValidation sqref="F10:G19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CHUYÊN VIÊN QUẢNG CÁO SỐ (PERFORMANCE / DIGITAL ADS)</t>
        </is>
      </c>
    </row>
    <row r="2">
      <c r="A2" s="3" t="inlineStr">
        <is>
          <t xml:space="preserve">Phòng Marketing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Marketing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Hoàn thành chỉ tiêu lead / đơn hàng từ quảng cáo</t>
        </is>
      </c>
      <c r="D10" s="45" t="inlineStr">
        <is>
          <t>Số lead/đơn từ quảng cáo trả phí so với chỉ tiêu được giao</t>
        </is>
      </c>
      <c r="E10" s="46" t="n">
        <v>0.12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Chi phí trên 1 lead / 1 đơn (CPL, CPA)</t>
        </is>
      </c>
      <c r="D11" s="45" t="inlineStr">
        <is>
          <t>CPL, CPA thực tế so với định mức đã duyệt cho từng kênh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Tỷ suất hoàn vốn quảng cáo (ROAS)</t>
        </is>
      </c>
      <c r="D12" s="45" t="inlineStr">
        <is>
          <t>Doanh thu ghi nhận / chi phí quảng cáo so với mục tiêu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Tối ưu chiến dịch &amp; thử nghiệm A/B</t>
        </is>
      </c>
      <c r="D13" s="45" t="inlineStr">
        <is>
          <t>Số thử nghiệm A/B có kết luận; tỷ lệ cải thiện CTR, tỷ lệ chuyển đổi sau tối ưu</t>
        </is>
      </c>
      <c r="E13" s="46" t="n">
        <v>0.08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Kiểm soát ngân sách quảng cáo</t>
        </is>
      </c>
      <c r="D14" s="45" t="inlineStr">
        <is>
          <t>Không tiêu vượt ngân sách ngày/tháng; đối chiếu chi phí với hóa đơn nền tảng khớp 100%</t>
        </is>
      </c>
      <c r="E14" s="46" t="n">
        <v>0.12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Tuân thủ chính sách nền tảng quảng cáo</t>
        </is>
      </c>
      <c r="D15" s="45" t="inlineStr">
        <is>
          <t>Số quảng cáo bị từ chối, tài khoản bị hạn chế do vi phạm chính sách</t>
        </is>
      </c>
      <c r="E15" s="46" t="n">
        <v>0.08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Đo lường &amp; gắn mã theo dõi đầy đủ</t>
        </is>
      </c>
      <c r="D16" s="45" t="inlineStr">
        <is>
          <t>100% chiến dịch có UTM, pixel/conversion API hoạt động; số liệu khớp với CRM</t>
        </is>
      </c>
      <c r="E16" s="46" t="n">
        <v>0.08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Báo cáo hiệu quả đúng hạn</t>
        </is>
      </c>
      <c r="D17" s="45" t="inlineStr">
        <is>
          <t>Báo cáo tuần/tháng nộp đúng hạn, số liệu chính xác, có đề xuất hành động</t>
        </is>
      </c>
      <c r="E17" s="46" t="n">
        <v>0.07000000000000001</v>
      </c>
      <c r="F17" s="79" t="n"/>
      <c r="G17" s="79" t="n"/>
      <c r="H17" s="76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Phối hợp với Content, Thiết kế &amp; Kinh doanh</t>
        </is>
      </c>
      <c r="D18" s="45" t="inlineStr">
        <is>
          <t>Brief rõ ràng, phản hồi đúng hạn; phản hồi của Kinh doanh về chất lượng lead</t>
        </is>
      </c>
      <c r="E18" s="46" t="n">
        <v>0.1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Chủ động cập nhật xu hướng &amp; công cụ</t>
        </is>
      </c>
      <c r="D19" s="45" t="inlineStr">
        <is>
          <t>Số đề xuất kênh, định dạng, đối tượng mới được thử nghiệm</t>
        </is>
      </c>
      <c r="E19" s="46" t="n">
        <v>0.08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Tinh thần trách nhiệm &amp; bảo mật tài khoản</t>
        </is>
      </c>
      <c r="D20" s="45" t="inlineStr">
        <is>
          <t>Quản lý quyền truy cập tài khoản quảng cáo, thẻ thanh toán an toàn; tự giác xử lý sự cố</t>
        </is>
      </c>
      <c r="E20" s="46" t="n">
        <v>0.07000000000000001</v>
      </c>
      <c r="F20" s="79" t="n"/>
      <c r="G20" s="79" t="n"/>
      <c r="H20" s="76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7" t="n"/>
      <c r="C21" s="77" t="n"/>
      <c r="D21" s="75" t="n"/>
      <c r="E21" s="55">
        <f>SUM(E10:E20)</f>
        <v/>
      </c>
      <c r="F21" s="54" t="n"/>
      <c r="G21" s="54" t="n"/>
      <c r="H21" s="80">
        <f>SUM(H10:H20)</f>
        <v/>
      </c>
      <c r="I21" s="54" t="n"/>
    </row>
    <row r="22"/>
    <row r="23">
      <c r="A23" s="27" t="inlineStr">
        <is>
          <t>KẾT QUẢ ĐÁNH GIÁ</t>
        </is>
      </c>
      <c r="B23" s="77" t="n"/>
      <c r="C23" s="75" t="n"/>
      <c r="D23" s="27" t="inlineStr">
        <is>
          <t>ĐIỂM THEO NHÓM TIÊU CHÍ</t>
        </is>
      </c>
      <c r="E23" s="77" t="n"/>
      <c r="F23" s="77" t="n"/>
      <c r="G23" s="77" t="n"/>
      <c r="H23" s="75" t="n"/>
    </row>
    <row r="24" ht="20" customHeight="1">
      <c r="A24" s="5" t="inlineStr">
        <is>
          <t>Tổng điểm chính thức</t>
        </is>
      </c>
      <c r="B24" s="75" t="n"/>
      <c r="C24" s="81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5" t="n"/>
      <c r="C25" s="76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5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5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5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7" t="n"/>
      <c r="C30" s="77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Điểm mạnh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Cần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Kế hoạch cải thiện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 ht="36" customHeight="1">
      <c r="A34" s="5" t="inlineStr">
        <is>
          <t>Ý kiến nhân sự</t>
        </is>
      </c>
      <c r="B34" s="75" t="n"/>
      <c r="C34" s="66" t="n"/>
      <c r="D34" s="77" t="n"/>
      <c r="E34" s="77" t="n"/>
      <c r="F34" s="77" t="n"/>
      <c r="G34" s="77" t="n"/>
      <c r="H34" s="77" t="n"/>
      <c r="I34" s="75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CHUYÊN VIÊN NỘI DUNG (CONTENT MARKETING)</t>
        </is>
      </c>
    </row>
    <row r="2">
      <c r="A2" s="3" t="inlineStr">
        <is>
          <t xml:space="preserve">Phòng Marketing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Marketing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Hoàn thành kế hoạch sản xuất nội dung</t>
        </is>
      </c>
      <c r="D10" s="45" t="inlineStr">
        <is>
          <t>Số bài viết, kịch bản video, ấn phẩm hoàn thành / kế hoạch được duyệt</t>
        </is>
      </c>
      <c r="E10" s="46" t="n">
        <v>0.12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Chất lượng &amp; hiệu quả nội dung</t>
        </is>
      </c>
      <c r="D11" s="45" t="inlineStr">
        <is>
          <t>Tỷ lệ tương tác, thời gian đọc, lượt chia sẻ bình quân so với mục tiêu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Nội dung đúng định vị thương hiệu</t>
        </is>
      </c>
      <c r="D12" s="45" t="inlineStr">
        <is>
          <t>Tỷ lệ nội dung được duyệt ngay lần 1; số lần phải sửa do lệch giọng thương hiệu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Nội dung tạo chuyển đổi</t>
        </is>
      </c>
      <c r="D13" s="45" t="inlineStr">
        <is>
          <t>Số lead, lượt đăng ký, đơn hàng phát sinh từ nội dung (đo bằng mã theo dõi)</t>
        </is>
      </c>
      <c r="E13" s="46" t="n">
        <v>0.08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Chính xác thông tin trong nội dung</t>
        </is>
      </c>
      <c r="D14" s="45" t="inlineStr">
        <is>
          <t>Số lỗi chính tả, sai giá, sai thông số, sai thông tin pháp lý trong nội dung đã đăng</t>
        </is>
      </c>
      <c r="E14" s="46" t="n">
        <v>0.12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Tuân thủ bản quyền &amp; quy định quảng cáo</t>
        </is>
      </c>
      <c r="D15" s="45" t="inlineStr">
        <is>
          <t>Không dùng hình ảnh, nhạc, trích dẫn vi phạm bản quyền; không quảng cáo sai sự thật</t>
        </is>
      </c>
      <c r="E15" s="46" t="n">
        <v>0.08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Đúng lịch đăng nội dung</t>
        </is>
      </c>
      <c r="D16" s="45" t="inlineStr">
        <is>
          <t>Tỷ lệ bài đăng đúng lịch nội dung (content calendar)</t>
        </is>
      </c>
      <c r="E16" s="46" t="n">
        <v>0.08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Lưu trữ &amp; quản lý kho nội dung</t>
        </is>
      </c>
      <c r="D17" s="45" t="inlineStr">
        <is>
          <t>Nội dung gốc, file nguồn lưu đúng thư mục, đặt tên chuẩn, dễ tái sử dụng</t>
        </is>
      </c>
      <c r="E17" s="46" t="n">
        <v>0.07000000000000001</v>
      </c>
      <c r="F17" s="79" t="n"/>
      <c r="G17" s="79" t="n"/>
      <c r="H17" s="76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Phối hợp với Thiết kế, Ads &amp; Kinh doanh</t>
        </is>
      </c>
      <c r="D18" s="45" t="inlineStr">
        <is>
          <t>Brief đầy đủ, phản hồi đúng hạn; nội dung đáp ứng yêu cầu của các bên</t>
        </is>
      </c>
      <c r="E18" s="46" t="n">
        <v>0.1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Sáng tạo &amp; chủ động đề xuất ý tưởng</t>
        </is>
      </c>
      <c r="D19" s="45" t="inlineStr">
        <is>
          <t>Số ý tưởng, chủ đề mới được duyệt triển khai</t>
        </is>
      </c>
      <c r="E19" s="46" t="n">
        <v>0.08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Tinh thần học hỏi &amp; nhận phản hồi</t>
        </is>
      </c>
      <c r="D20" s="45" t="inlineStr">
        <is>
          <t>Tiếp thu góp ý, cải thiện chất lượng qua các kỳ</t>
        </is>
      </c>
      <c r="E20" s="46" t="n">
        <v>0.07000000000000001</v>
      </c>
      <c r="F20" s="79" t="n"/>
      <c r="G20" s="79" t="n"/>
      <c r="H20" s="76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7" t="n"/>
      <c r="C21" s="77" t="n"/>
      <c r="D21" s="75" t="n"/>
      <c r="E21" s="55">
        <f>SUM(E10:E20)</f>
        <v/>
      </c>
      <c r="F21" s="54" t="n"/>
      <c r="G21" s="54" t="n"/>
      <c r="H21" s="80">
        <f>SUM(H10:H20)</f>
        <v/>
      </c>
      <c r="I21" s="54" t="n"/>
    </row>
    <row r="22"/>
    <row r="23">
      <c r="A23" s="27" t="inlineStr">
        <is>
          <t>KẾT QUẢ ĐÁNH GIÁ</t>
        </is>
      </c>
      <c r="B23" s="77" t="n"/>
      <c r="C23" s="75" t="n"/>
      <c r="D23" s="27" t="inlineStr">
        <is>
          <t>ĐIỂM THEO NHÓM TIÊU CHÍ</t>
        </is>
      </c>
      <c r="E23" s="77" t="n"/>
      <c r="F23" s="77" t="n"/>
      <c r="G23" s="77" t="n"/>
      <c r="H23" s="75" t="n"/>
    </row>
    <row r="24" ht="20" customHeight="1">
      <c r="A24" s="5" t="inlineStr">
        <is>
          <t>Tổng điểm chính thức</t>
        </is>
      </c>
      <c r="B24" s="75" t="n"/>
      <c r="C24" s="81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5" t="n"/>
      <c r="C25" s="76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5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5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5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7" t="n"/>
      <c r="C30" s="77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Điểm mạnh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Cần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Kế hoạch cải thiện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 ht="36" customHeight="1">
      <c r="A34" s="5" t="inlineStr">
        <is>
          <t>Ý kiến nhân sự</t>
        </is>
      </c>
      <c r="B34" s="75" t="n"/>
      <c r="C34" s="66" t="n"/>
      <c r="D34" s="77" t="n"/>
      <c r="E34" s="77" t="n"/>
      <c r="F34" s="77" t="n"/>
      <c r="G34" s="77" t="n"/>
      <c r="H34" s="77" t="n"/>
      <c r="I34" s="75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CHUYÊN VIÊN SEO &amp; QUẢN TRỊ WEBSITE</t>
        </is>
      </c>
    </row>
    <row r="2">
      <c r="A2" s="3" t="inlineStr">
        <is>
          <t xml:space="preserve">Phòng Marketing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Marketing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Tăng trưởng lượt truy cập tự nhiên (organic)</t>
        </is>
      </c>
      <c r="D10" s="45" t="inlineStr">
        <is>
          <t>Lượt truy cập từ công cụ tìm kiếm so với mục tiêu kỳ</t>
        </is>
      </c>
      <c r="E10" s="46" t="n">
        <v>0.12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Thứ hạng từ khóa mục tiêu</t>
        </is>
      </c>
      <c r="D11" s="45" t="inlineStr">
        <is>
          <t>Tỷ lệ từ khóa mục tiêu đạt top 10 so với kế hoạch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Chuyển đổi từ website</t>
        </is>
      </c>
      <c r="D12" s="45" t="inlineStr">
        <is>
          <t>Số lead, đăng ký, đơn hàng từ website; tỷ lệ chuyển đổi so với kỳ trước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Sức khỏe kỹ thuật website</t>
        </is>
      </c>
      <c r="D13" s="45" t="inlineStr">
        <is>
          <t>Tốc độ tải trang, lỗi 404, lỗi lập chỉ mục được xử lý; điểm Core Web Vitals đạt</t>
        </is>
      </c>
      <c r="E13" s="46" t="n">
        <v>0.08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Ổn định &amp; bảo mật website</t>
        </is>
      </c>
      <c r="D14" s="45" t="inlineStr">
        <is>
          <t>Thời gian website hoạt động ≥ 99,5%; sao lưu định kỳ; không bị tấn công, chèn mã độc</t>
        </is>
      </c>
      <c r="E14" s="46" t="n">
        <v>0.12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Tuân thủ nguyên tắc SEO an toàn</t>
        </is>
      </c>
      <c r="D15" s="45" t="inlineStr">
        <is>
          <t>Không dùng thủ thuật bị công cụ tìm kiếm phạt; không mua liên kết rác</t>
        </is>
      </c>
      <c r="E15" s="46" t="n">
        <v>0.08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Cập nhật nội dung website đúng hạn</t>
        </is>
      </c>
      <c r="D16" s="45" t="inlineStr">
        <is>
          <t>Thông tin sản phẩm, giá, khuyến mại, chính sách cập nhật đúng thời điểm</t>
        </is>
      </c>
      <c r="E16" s="46" t="n">
        <v>0.08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Báo cáo SEO &amp; website định kỳ</t>
        </is>
      </c>
      <c r="D17" s="45" t="inlineStr">
        <is>
          <t>Báo cáo tháng đúng hạn, số liệu từ công cụ đo lường chính xác</t>
        </is>
      </c>
      <c r="E17" s="46" t="n">
        <v>0.07000000000000001</v>
      </c>
      <c r="F17" s="79" t="n"/>
      <c r="G17" s="79" t="n"/>
      <c r="H17" s="76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Phối hợp với Content &amp; IT</t>
        </is>
      </c>
      <c r="D18" s="45" t="inlineStr">
        <is>
          <t>Hướng dẫn tối ưu nội dung cho Content; phối hợp IT xử lý sự cố đúng hạn</t>
        </is>
      </c>
      <c r="E18" s="46" t="n">
        <v>0.1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Chủ động cải tiến trải nghiệm người dùng</t>
        </is>
      </c>
      <c r="D19" s="45" t="inlineStr">
        <is>
          <t>Số cải tiến giao diện, luồng đăng ký được áp dụng và có đo lường</t>
        </is>
      </c>
      <c r="E19" s="46" t="n">
        <v>0.08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Tinh thần trách nhiệm</t>
        </is>
      </c>
      <c r="D20" s="45" t="inlineStr">
        <is>
          <t>Theo dõi, xử lý sự cố website ngoài giờ khi cần; chủ động báo cáo rủi ro</t>
        </is>
      </c>
      <c r="E20" s="46" t="n">
        <v>0.07000000000000001</v>
      </c>
      <c r="F20" s="79" t="n"/>
      <c r="G20" s="79" t="n"/>
      <c r="H20" s="76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7" t="n"/>
      <c r="C21" s="77" t="n"/>
      <c r="D21" s="75" t="n"/>
      <c r="E21" s="55">
        <f>SUM(E10:E20)</f>
        <v/>
      </c>
      <c r="F21" s="54" t="n"/>
      <c r="G21" s="54" t="n"/>
      <c r="H21" s="80">
        <f>SUM(H10:H20)</f>
        <v/>
      </c>
      <c r="I21" s="54" t="n"/>
    </row>
    <row r="22"/>
    <row r="23">
      <c r="A23" s="27" t="inlineStr">
        <is>
          <t>KẾT QUẢ ĐÁNH GIÁ</t>
        </is>
      </c>
      <c r="B23" s="77" t="n"/>
      <c r="C23" s="75" t="n"/>
      <c r="D23" s="27" t="inlineStr">
        <is>
          <t>ĐIỂM THEO NHÓM TIÊU CHÍ</t>
        </is>
      </c>
      <c r="E23" s="77" t="n"/>
      <c r="F23" s="77" t="n"/>
      <c r="G23" s="77" t="n"/>
      <c r="H23" s="75" t="n"/>
    </row>
    <row r="24" ht="20" customHeight="1">
      <c r="A24" s="5" t="inlineStr">
        <is>
          <t>Tổng điểm chính thức</t>
        </is>
      </c>
      <c r="B24" s="75" t="n"/>
      <c r="C24" s="81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5" t="n"/>
      <c r="C25" s="76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5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5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5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7" t="n"/>
      <c r="C30" s="77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Điểm mạnh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Cần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Kế hoạch cải thiện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 ht="36" customHeight="1">
      <c r="A34" s="5" t="inlineStr">
        <is>
          <t>Ý kiến nhân sự</t>
        </is>
      </c>
      <c r="B34" s="75" t="n"/>
      <c r="C34" s="66" t="n"/>
      <c r="D34" s="77" t="n"/>
      <c r="E34" s="77" t="n"/>
      <c r="F34" s="77" t="n"/>
      <c r="G34" s="77" t="n"/>
      <c r="H34" s="77" t="n"/>
      <c r="I34" s="75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NHÂN VIÊN THIẾT KẾ ĐỒ HỌA</t>
        </is>
      </c>
    </row>
    <row r="2">
      <c r="A2" s="3" t="inlineStr">
        <is>
          <t xml:space="preserve">Phòng Marketing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Marketing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Hoàn thành khối lượng thiết kế</t>
        </is>
      </c>
      <c r="D10" s="45" t="inlineStr">
        <is>
          <t>Số ấn phẩm hoàn thành / số yêu cầu được giao trong kỳ</t>
        </is>
      </c>
      <c r="E10" s="46" t="n">
        <v>0.12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Chất lượng thiết kế</t>
        </is>
      </c>
      <c r="D11" s="45" t="inlineStr">
        <is>
          <t>Tỷ lệ thiết kế được duyệt trong ≤ 2 lần sửa; đánh giá của người yêu cầu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Đúng nhận diện thương hiệu</t>
        </is>
      </c>
      <c r="D12" s="45" t="inlineStr">
        <is>
          <t>Màu sắc, phông chữ, logo, bố cục đúng bộ nhận diện; số lần sửa do sai nhận diện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Hiệu quả ấn phẩm</t>
        </is>
      </c>
      <c r="D13" s="45" t="inlineStr">
        <is>
          <t>Tỷ lệ nhấp, tương tác của ấn phẩm quảng cáo so với mức bình quân</t>
        </is>
      </c>
      <c r="E13" s="46" t="n">
        <v>0.08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Đúng hạn bàn giao</t>
        </is>
      </c>
      <c r="D14" s="45" t="inlineStr">
        <is>
          <t>Tỷ lệ ấn phẩm bàn giao đúng hạn theo phiếu yêu cầu</t>
        </is>
      </c>
      <c r="E14" s="46" t="n">
        <v>0.12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Chính xác nội dung trên ấn phẩm</t>
        </is>
      </c>
      <c r="D15" s="45" t="inlineStr">
        <is>
          <t>Số lỗi chữ, sai giá, sai thông tin trên ấn phẩm đã in/đăng</t>
        </is>
      </c>
      <c r="E15" s="46" t="n">
        <v>0.08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Tuân thủ bản quyền hình ảnh, phông chữ</t>
        </is>
      </c>
      <c r="D16" s="45" t="inlineStr">
        <is>
          <t>Chỉ dùng tài nguyên có bản quyền hoặc miễn phí thương mại; ghi nguồn đầy đủ</t>
        </is>
      </c>
      <c r="E16" s="46" t="n">
        <v>0.08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Quản lý file nguồn</t>
        </is>
      </c>
      <c r="D17" s="45" t="inlineStr">
        <is>
          <t>File gốc, file in lưu đúng thư mục, đặt tên chuẩn, đúng thông số in ấn</t>
        </is>
      </c>
      <c r="E17" s="46" t="n">
        <v>0.07000000000000001</v>
      </c>
      <c r="F17" s="79" t="n"/>
      <c r="G17" s="79" t="n"/>
      <c r="H17" s="76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Phối hợp với Content, Ads &amp; Kinh doanh</t>
        </is>
      </c>
      <c r="D18" s="45" t="inlineStr">
        <is>
          <t>Tiếp nhận brief, phản hồi đúng hạn, hỗ trợ khi có yêu cầu gấp</t>
        </is>
      </c>
      <c r="E18" s="46" t="n">
        <v>0.1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Sáng tạo &amp; đề xuất ý tưởng</t>
        </is>
      </c>
      <c r="D19" s="45" t="inlineStr">
        <is>
          <t>Số ý tưởng hình ảnh, mẫu thiết kế mới được áp dụng</t>
        </is>
      </c>
      <c r="E19" s="46" t="n">
        <v>0.08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Tinh thần học hỏi kỹ năng mới</t>
        </is>
      </c>
      <c r="D20" s="45" t="inlineStr">
        <is>
          <t>Ứng dụng công cụ mới (video ngắn, motion, AI) vào công việc</t>
        </is>
      </c>
      <c r="E20" s="46" t="n">
        <v>0.07000000000000001</v>
      </c>
      <c r="F20" s="79" t="n"/>
      <c r="G20" s="79" t="n"/>
      <c r="H20" s="76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7" t="n"/>
      <c r="C21" s="77" t="n"/>
      <c r="D21" s="75" t="n"/>
      <c r="E21" s="55">
        <f>SUM(E10:E20)</f>
        <v/>
      </c>
      <c r="F21" s="54" t="n"/>
      <c r="G21" s="54" t="n"/>
      <c r="H21" s="80">
        <f>SUM(H10:H20)</f>
        <v/>
      </c>
      <c r="I21" s="54" t="n"/>
    </row>
    <row r="22"/>
    <row r="23">
      <c r="A23" s="27" t="inlineStr">
        <is>
          <t>KẾT QUẢ ĐÁNH GIÁ</t>
        </is>
      </c>
      <c r="B23" s="77" t="n"/>
      <c r="C23" s="75" t="n"/>
      <c r="D23" s="27" t="inlineStr">
        <is>
          <t>ĐIỂM THEO NHÓM TIÊU CHÍ</t>
        </is>
      </c>
      <c r="E23" s="77" t="n"/>
      <c r="F23" s="77" t="n"/>
      <c r="G23" s="77" t="n"/>
      <c r="H23" s="75" t="n"/>
    </row>
    <row r="24" ht="20" customHeight="1">
      <c r="A24" s="5" t="inlineStr">
        <is>
          <t>Tổng điểm chính thức</t>
        </is>
      </c>
      <c r="B24" s="75" t="n"/>
      <c r="C24" s="81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5" t="n"/>
      <c r="C25" s="76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5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5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5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7" t="n"/>
      <c r="C30" s="77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Điểm mạnh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Cần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Kế hoạch cải thiện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 ht="36" customHeight="1">
      <c r="A34" s="5" t="inlineStr">
        <is>
          <t>Ý kiến nhân sự</t>
        </is>
      </c>
      <c r="B34" s="75" t="n"/>
      <c r="C34" s="66" t="n"/>
      <c r="D34" s="77" t="n"/>
      <c r="E34" s="77" t="n"/>
      <c r="F34" s="77" t="n"/>
      <c r="G34" s="77" t="n"/>
      <c r="H34" s="77" t="n"/>
      <c r="I34" s="75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CHUYÊN VIÊN MẠNG XÃ HỘI &amp; CỘNG ĐỒNG</t>
        </is>
      </c>
    </row>
    <row r="2">
      <c r="A2" s="3" t="inlineStr">
        <is>
          <t xml:space="preserve">Phòng Marketing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Marketing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Tăng trưởng cộng đồng</t>
        </is>
      </c>
      <c r="D10" s="45" t="inlineStr">
        <is>
          <t>Số người theo dõi, thành viên nhóm tăng thực so với mục tiêu</t>
        </is>
      </c>
      <c r="E10" s="46" t="n">
        <v>0.12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Tỷ lệ tương tác</t>
        </is>
      </c>
      <c r="D11" s="45" t="inlineStr">
        <is>
          <t>Tương tác bình quân / bài đăng so với mục tiêu và kỳ trước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Chuyển đổi từ mạng xã hội</t>
        </is>
      </c>
      <c r="D12" s="45" t="inlineStr">
        <is>
          <t>Số tin nhắn, lead, đơn hàng phát sinh từ kênh mạng xã hội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Quản lý phản hồi &amp; bình luận</t>
        </is>
      </c>
      <c r="D13" s="45" t="inlineStr">
        <is>
          <t>Tỷ lệ tin nhắn, bình luận được phản hồi trong thời gian quy định (≤ 2 giờ làm việc)</t>
        </is>
      </c>
      <c r="E13" s="46" t="n">
        <v>0.08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Xử lý khủng hoảng &amp; phản hồi tiêu cực</t>
        </is>
      </c>
      <c r="D14" s="45" t="inlineStr">
        <is>
          <t>Phát hiện, báo cáo, xử lý phản hồi tiêu cực đúng quy trình; không để lan rộng</t>
        </is>
      </c>
      <c r="E14" s="46" t="n">
        <v>0.12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Tuân thủ quy định nền tảng &amp; pháp luật</t>
        </is>
      </c>
      <c r="D15" s="45" t="inlineStr">
        <is>
          <t>Không bị gỡ bài, hạn chế trang do vi phạm; không đăng nội dung sai sự thật</t>
        </is>
      </c>
      <c r="E15" s="46" t="n">
        <v>0.08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Đúng lịch đăng bài</t>
        </is>
      </c>
      <c r="D16" s="45" t="inlineStr">
        <is>
          <t>Tỷ lệ bài đăng đúng lịch nội dung</t>
        </is>
      </c>
      <c r="E16" s="46" t="n">
        <v>0.08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Báo cáo hiệu quả kênh</t>
        </is>
      </c>
      <c r="D17" s="45" t="inlineStr">
        <is>
          <t>Báo cáo tuần/tháng đúng hạn, số liệu chính xác, có nhận định</t>
        </is>
      </c>
      <c r="E17" s="46" t="n">
        <v>0.07000000000000001</v>
      </c>
      <c r="F17" s="79" t="n"/>
      <c r="G17" s="79" t="n"/>
      <c r="H17" s="76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Phối hợp với Content, Thiết kế &amp; CSKH</t>
        </is>
      </c>
      <c r="D18" s="45" t="inlineStr">
        <is>
          <t>Chuyển thông tin khách hàng cho Kinh doanh/CSKH đầy đủ, đúng hạn</t>
        </is>
      </c>
      <c r="E18" s="46" t="n">
        <v>0.1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Chủ động nắm bắt xu hướng</t>
        </is>
      </c>
      <c r="D19" s="45" t="inlineStr">
        <is>
          <t>Số nội dung bắt xu hướng được triển khai kịp thời, có hiệu quả</t>
        </is>
      </c>
      <c r="E19" s="46" t="n">
        <v>0.08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Bảo mật tài khoản &amp; thông tin khách hàng</t>
        </is>
      </c>
      <c r="D20" s="45" t="inlineStr">
        <is>
          <t>Quản lý quyền quản trị trang, mật khẩu an toàn; không lộ dữ liệu khách hàng</t>
        </is>
      </c>
      <c r="E20" s="46" t="n">
        <v>0.07000000000000001</v>
      </c>
      <c r="F20" s="79" t="n"/>
      <c r="G20" s="79" t="n"/>
      <c r="H20" s="76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7" t="n"/>
      <c r="C21" s="77" t="n"/>
      <c r="D21" s="75" t="n"/>
      <c r="E21" s="55">
        <f>SUM(E10:E20)</f>
        <v/>
      </c>
      <c r="F21" s="54" t="n"/>
      <c r="G21" s="54" t="n"/>
      <c r="H21" s="80">
        <f>SUM(H10:H20)</f>
        <v/>
      </c>
      <c r="I21" s="54" t="n"/>
    </row>
    <row r="22"/>
    <row r="23">
      <c r="A23" s="27" t="inlineStr">
        <is>
          <t>KẾT QUẢ ĐÁNH GIÁ</t>
        </is>
      </c>
      <c r="B23" s="77" t="n"/>
      <c r="C23" s="75" t="n"/>
      <c r="D23" s="27" t="inlineStr">
        <is>
          <t>ĐIỂM THEO NHÓM TIÊU CHÍ</t>
        </is>
      </c>
      <c r="E23" s="77" t="n"/>
      <c r="F23" s="77" t="n"/>
      <c r="G23" s="77" t="n"/>
      <c r="H23" s="75" t="n"/>
    </row>
    <row r="24" ht="20" customHeight="1">
      <c r="A24" s="5" t="inlineStr">
        <is>
          <t>Tổng điểm chính thức</t>
        </is>
      </c>
      <c r="B24" s="75" t="n"/>
      <c r="C24" s="81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5" t="n"/>
      <c r="C25" s="76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5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5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5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7" t="n"/>
      <c r="C30" s="77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Điểm mạnh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Cần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Kế hoạch cải thiện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 ht="36" customHeight="1">
      <c r="A34" s="5" t="inlineStr">
        <is>
          <t>Ý kiến nhân sự</t>
        </is>
      </c>
      <c r="B34" s="75" t="n"/>
      <c r="C34" s="66" t="n"/>
      <c r="D34" s="77" t="n"/>
      <c r="E34" s="77" t="n"/>
      <c r="F34" s="77" t="n"/>
      <c r="G34" s="77" t="n"/>
      <c r="H34" s="77" t="n"/>
      <c r="I34" s="75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CHUYÊN VIÊN THƯƠNG HIỆU &amp; SỰ KIỆN</t>
        </is>
      </c>
    </row>
    <row r="2">
      <c r="A2" s="3" t="inlineStr">
        <is>
          <t xml:space="preserve">Phòng Marketing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Marketing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Hoàn thành kế hoạch sự kiện, truyền thông</t>
        </is>
      </c>
      <c r="D10" s="45" t="inlineStr">
        <is>
          <t>Số sự kiện, hoạt động truyền thông thực hiện / kế hoạch</t>
        </is>
      </c>
      <c r="E10" s="46" t="n">
        <v>0.12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Hiệu quả sự kiện</t>
        </is>
      </c>
      <c r="D11" s="45" t="inlineStr">
        <is>
          <t>Số người tham dự, lead thu được, mức hài lòng khách mời so với mục tiêu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Quản lý nhận diện thương hiệu</t>
        </is>
      </c>
      <c r="D12" s="45" t="inlineStr">
        <is>
          <t>Ấn phẩm, biển bảng, đồng phục, quà tặng đúng chuẩn nhận diện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Quan hệ báo chí &amp; đối tác truyền thông</t>
        </is>
      </c>
      <c r="D13" s="45" t="inlineStr">
        <is>
          <t>Số bài báo, đối tác truyền thông đạt được; tỷ lệ tin tích cực</t>
        </is>
      </c>
      <c r="E13" s="46" t="n">
        <v>0.08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Chi phí sự kiện so với ngân sách</t>
        </is>
      </c>
      <c r="D14" s="45" t="inlineStr">
        <is>
          <t>Chi phí thực tế so với dự toán được duyệt</t>
        </is>
      </c>
      <c r="E14" s="46" t="n">
        <v>0.12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Tuân thủ thủ tục, an toàn sự kiện</t>
        </is>
      </c>
      <c r="D15" s="45" t="inlineStr">
        <is>
          <t>Hợp đồng, giấy phép, phương án an toàn đầy đủ; không xảy ra sự cố</t>
        </is>
      </c>
      <c r="E15" s="46" t="n">
        <v>0.08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Tiến độ chuẩn bị sự kiện</t>
        </is>
      </c>
      <c r="D16" s="45" t="inlineStr">
        <is>
          <t>Các mốc chuẩn bị (địa điểm, khách mời, ấn phẩm) hoàn thành đúng kế hoạch</t>
        </is>
      </c>
      <c r="E16" s="46" t="n">
        <v>0.08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Quyết toán &amp; hồ sơ sau sự kiện</t>
        </is>
      </c>
      <c r="D17" s="45" t="inlineStr">
        <is>
          <t>Chứng từ, nghiệm thu, báo cáo tổng kết nộp trong 07 ngày làm việc</t>
        </is>
      </c>
      <c r="E17" s="46" t="n">
        <v>0.07000000000000001</v>
      </c>
      <c r="F17" s="79" t="n"/>
      <c r="G17" s="79" t="n"/>
      <c r="H17" s="76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Phối hợp nội bộ &amp; nhà cung cấp</t>
        </is>
      </c>
      <c r="D18" s="45" t="inlineStr">
        <is>
          <t>Phản hồi của các phòng ban, nhà cung cấp về phối hợp</t>
        </is>
      </c>
      <c r="E18" s="46" t="n">
        <v>0.1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Sáng tạo ý tưởng sự kiện</t>
        </is>
      </c>
      <c r="D19" s="45" t="inlineStr">
        <is>
          <t>Số ý tưởng mới được duyệt và thực hiện</t>
        </is>
      </c>
      <c r="E19" s="46" t="n">
        <v>0.08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Tinh thần trách nhiệm</t>
        </is>
      </c>
      <c r="D20" s="45" t="inlineStr">
        <is>
          <t>Chủ động xử lý phát sinh tại sự kiện, làm việc ngoài giờ khi cần</t>
        </is>
      </c>
      <c r="E20" s="46" t="n">
        <v>0.07000000000000001</v>
      </c>
      <c r="F20" s="79" t="n"/>
      <c r="G20" s="79" t="n"/>
      <c r="H20" s="76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7" t="n"/>
      <c r="C21" s="77" t="n"/>
      <c r="D21" s="75" t="n"/>
      <c r="E21" s="55">
        <f>SUM(E10:E20)</f>
        <v/>
      </c>
      <c r="F21" s="54" t="n"/>
      <c r="G21" s="54" t="n"/>
      <c r="H21" s="80">
        <f>SUM(H10:H20)</f>
        <v/>
      </c>
      <c r="I21" s="54" t="n"/>
    </row>
    <row r="22"/>
    <row r="23">
      <c r="A23" s="27" t="inlineStr">
        <is>
          <t>KẾT QUẢ ĐÁNH GIÁ</t>
        </is>
      </c>
      <c r="B23" s="77" t="n"/>
      <c r="C23" s="75" t="n"/>
      <c r="D23" s="27" t="inlineStr">
        <is>
          <t>ĐIỂM THEO NHÓM TIÊU CHÍ</t>
        </is>
      </c>
      <c r="E23" s="77" t="n"/>
      <c r="F23" s="77" t="n"/>
      <c r="G23" s="77" t="n"/>
      <c r="H23" s="75" t="n"/>
    </row>
    <row r="24" ht="20" customHeight="1">
      <c r="A24" s="5" t="inlineStr">
        <is>
          <t>Tổng điểm chính thức</t>
        </is>
      </c>
      <c r="B24" s="75" t="n"/>
      <c r="C24" s="81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5" t="n"/>
      <c r="C25" s="76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5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5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5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7" t="n"/>
      <c r="C30" s="77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Điểm mạnh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Cần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Kế hoạch cải thiện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 ht="36" customHeight="1">
      <c r="A34" s="5" t="inlineStr">
        <is>
          <t>Ý kiến nhân sự</t>
        </is>
      </c>
      <c r="B34" s="75" t="n"/>
      <c r="C34" s="66" t="n"/>
      <c r="D34" s="77" t="n"/>
      <c r="E34" s="77" t="n"/>
      <c r="F34" s="77" t="n"/>
      <c r="G34" s="77" t="n"/>
      <c r="H34" s="77" t="n"/>
      <c r="I34" s="75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CHUYÊN VIÊN TRADE MARKETING</t>
        </is>
      </c>
    </row>
    <row r="2">
      <c r="A2" s="3" t="inlineStr">
        <is>
          <t xml:space="preserve">Phòng Marketing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Marketing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Độ phủ &amp; trưng bày tại điểm bán</t>
        </is>
      </c>
      <c r="D10" s="45" t="inlineStr">
        <is>
          <t>Tỷ lệ điểm bán đạt chuẩn trưng bày, độ phủ sản phẩm so với mục tiêu</t>
        </is>
      </c>
      <c r="E10" s="46" t="n">
        <v>0.12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Hiệu quả chương trình khuyến mại</t>
        </is>
      </c>
      <c r="D11" s="45" t="inlineStr">
        <is>
          <t>Doanh số tăng thêm trong thời gian khuyến mại so với chi phí chương trình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Vật phẩm POSM</t>
        </is>
      </c>
      <c r="D12" s="45" t="inlineStr">
        <is>
          <t>Tỷ lệ POSM đến điểm bán đúng hạn, sử dụng đúng mục đích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Phân tích thị trường &amp; đối thủ tại điểm bán</t>
        </is>
      </c>
      <c r="D13" s="45" t="inlineStr">
        <is>
          <t>Báo cáo giá, khuyến mại, trưng bày của đối thủ định kỳ, có đề xuất</t>
        </is>
      </c>
      <c r="E13" s="46" t="n">
        <v>0.08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Kiểm soát chi phí trade</t>
        </is>
      </c>
      <c r="D14" s="45" t="inlineStr">
        <is>
          <t>Chi phí trưng bày, khuyến mại, hỗ trợ đại lý trong ngân sách; chứng từ đầy đủ</t>
        </is>
      </c>
      <c r="E14" s="46" t="n">
        <v>0.12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Tuân thủ quy định khuyến mại</t>
        </is>
      </c>
      <c r="D15" s="45" t="inlineStr">
        <is>
          <t>Chương trình khuyến mại có hồ sơ đầy đủ theo quy định; không bị xử phạt</t>
        </is>
      </c>
      <c r="E15" s="46" t="n">
        <v>0.08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Tiến độ triển khai chương trình</t>
        </is>
      </c>
      <c r="D16" s="45" t="inlineStr">
        <is>
          <t>Chương trình triển khai đến điểm bán đúng ngày bắt đầu</t>
        </is>
      </c>
      <c r="E16" s="46" t="n">
        <v>0.08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Báo cáo &amp; nghiệm thu chương trình</t>
        </is>
      </c>
      <c r="D17" s="45" t="inlineStr">
        <is>
          <t>Báo cáo kết thúc, hình ảnh nghiệm thu đầy đủ, đúng hạn</t>
        </is>
      </c>
      <c r="E17" s="46" t="n">
        <v>0.07000000000000001</v>
      </c>
      <c r="F17" s="79" t="n"/>
      <c r="G17" s="79" t="n"/>
      <c r="H17" s="76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Phối hợp với Kinh doanh &amp; nhà phân phối</t>
        </is>
      </c>
      <c r="D18" s="45" t="inlineStr">
        <is>
          <t>Phản hồi của Kinh doanh, nhà phân phối về hỗ trợ</t>
        </is>
      </c>
      <c r="E18" s="46" t="n">
        <v>0.1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Đề xuất chương trình mới</t>
        </is>
      </c>
      <c r="D19" s="45" t="inlineStr">
        <is>
          <t>Số đề xuất chương trình được duyệt và có hiệu quả</t>
        </is>
      </c>
      <c r="E19" s="46" t="n">
        <v>0.08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Tinh thần trách nhiệm</t>
        </is>
      </c>
      <c r="D20" s="45" t="inlineStr">
        <is>
          <t>Bám sát thị trường, xử lý phát sinh tại điểm bán kịp thời</t>
        </is>
      </c>
      <c r="E20" s="46" t="n">
        <v>0.07000000000000001</v>
      </c>
      <c r="F20" s="79" t="n"/>
      <c r="G20" s="79" t="n"/>
      <c r="H20" s="76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7" t="n"/>
      <c r="C21" s="77" t="n"/>
      <c r="D21" s="75" t="n"/>
      <c r="E21" s="55">
        <f>SUM(E10:E20)</f>
        <v/>
      </c>
      <c r="F21" s="54" t="n"/>
      <c r="G21" s="54" t="n"/>
      <c r="H21" s="80">
        <f>SUM(H10:H20)</f>
        <v/>
      </c>
      <c r="I21" s="54" t="n"/>
    </row>
    <row r="22"/>
    <row r="23">
      <c r="A23" s="27" t="inlineStr">
        <is>
          <t>KẾT QUẢ ĐÁNH GIÁ</t>
        </is>
      </c>
      <c r="B23" s="77" t="n"/>
      <c r="C23" s="75" t="n"/>
      <c r="D23" s="27" t="inlineStr">
        <is>
          <t>ĐIỂM THEO NHÓM TIÊU CHÍ</t>
        </is>
      </c>
      <c r="E23" s="77" t="n"/>
      <c r="F23" s="77" t="n"/>
      <c r="G23" s="77" t="n"/>
      <c r="H23" s="75" t="n"/>
    </row>
    <row r="24" ht="20" customHeight="1">
      <c r="A24" s="5" t="inlineStr">
        <is>
          <t>Tổng điểm chính thức</t>
        </is>
      </c>
      <c r="B24" s="75" t="n"/>
      <c r="C24" s="81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5" t="n"/>
      <c r="C25" s="76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5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5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5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7" t="n"/>
      <c r="C30" s="77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Điểm mạnh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Cần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Kế hoạch cải thiện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 ht="36" customHeight="1">
      <c r="A34" s="5" t="inlineStr">
        <is>
          <t>Ý kiến nhân sự</t>
        </is>
      </c>
      <c r="B34" s="75" t="n"/>
      <c r="C34" s="66" t="n"/>
      <c r="D34" s="77" t="n"/>
      <c r="E34" s="77" t="n"/>
      <c r="F34" s="77" t="n"/>
      <c r="G34" s="77" t="n"/>
      <c r="H34" s="77" t="n"/>
      <c r="I34" s="75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2026-10-06T10:09:37Z</dcterms:created>
  <dcterms:modified xmlns:dcterms="http://purl.org/dc/terms/" xmlns:xsi="http://www.w3.org/2001/XMLSchema-instance" xsi:type="dcterms:W3CDTF">2026-10-25T09:13:37Z</dcterms:modified>
</cp:coreProperties>
</file>