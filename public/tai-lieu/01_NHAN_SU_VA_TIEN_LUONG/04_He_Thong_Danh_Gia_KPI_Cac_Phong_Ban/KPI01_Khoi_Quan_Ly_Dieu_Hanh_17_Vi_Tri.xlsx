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QL01_TGD_GDDH" sheetId="2" state="visible" r:id="rId2"/>
    <sheet xmlns:r="http://schemas.openxmlformats.org/officeDocument/2006/relationships" name="QL02_Pho_GD" sheetId="3" state="visible" r:id="rId3"/>
    <sheet xmlns:r="http://schemas.openxmlformats.org/officeDocument/2006/relationships" name="QL03_Truong_Phong" sheetId="4" state="visible" r:id="rId4"/>
    <sheet xmlns:r="http://schemas.openxmlformats.org/officeDocument/2006/relationships" name="QL04_Pho_Phong" sheetId="5" state="visible" r:id="rId5"/>
    <sheet xmlns:r="http://schemas.openxmlformats.org/officeDocument/2006/relationships" name="QL05_Truong_Nhom" sheetId="6" state="visible" r:id="rId6"/>
    <sheet xmlns:r="http://schemas.openxmlformats.org/officeDocument/2006/relationships" name="SX01_GD_San_Xuat" sheetId="7" state="visible" r:id="rId7"/>
    <sheet xmlns:r="http://schemas.openxmlformats.org/officeDocument/2006/relationships" name="SX02_Quan_Doc" sheetId="8" state="visible" r:id="rId8"/>
    <sheet xmlns:r="http://schemas.openxmlformats.org/officeDocument/2006/relationships" name="SX03_Truong_Ca" sheetId="9" state="visible" r:id="rId9"/>
    <sheet xmlns:r="http://schemas.openxmlformats.org/officeDocument/2006/relationships" name="SX04_To_Truong" sheetId="10" state="visible" r:id="rId10"/>
    <sheet xmlns:r="http://schemas.openxmlformats.org/officeDocument/2006/relationships" name="SX05_Truong_QC_QA" sheetId="11" state="visible" r:id="rId11"/>
    <sheet xmlns:r="http://schemas.openxmlformats.org/officeDocument/2006/relationships" name="SX06_Truong_PPC" sheetId="12" state="visible" r:id="rId12"/>
    <sheet xmlns:r="http://schemas.openxmlformats.org/officeDocument/2006/relationships" name="CN01_Van_Hanh_May" sheetId="13" state="visible" r:id="rId13"/>
    <sheet xmlns:r="http://schemas.openxmlformats.org/officeDocument/2006/relationships" name="CN02_Lap_Rap_Gia_Cong" sheetId="14" state="visible" r:id="rId14"/>
    <sheet xmlns:r="http://schemas.openxmlformats.org/officeDocument/2006/relationships" name="CN03_Dong_Goi" sheetId="15" state="visible" r:id="rId15"/>
    <sheet xmlns:r="http://schemas.openxmlformats.org/officeDocument/2006/relationships" name="CN04_KCS" sheetId="16" state="visible" r:id="rId16"/>
    <sheet xmlns:r="http://schemas.openxmlformats.org/officeDocument/2006/relationships" name="CN05_Kho_Px" sheetId="17" state="visible" r:id="rId17"/>
    <sheet xmlns:r="http://schemas.openxmlformats.org/officeDocument/2006/relationships" name="CN06_Bao_Tri_Co_Dien" sheetId="18" state="visible" r:id="rId18"/>
    <sheet xmlns:r="http://schemas.openxmlformats.org/officeDocument/2006/relationships" name="Tổng hợp" sheetId="19" state="visible" r:id="rId19"/>
    <sheet xmlns:r="http://schemas.openxmlformats.org/officeDocument/2006/relationships" name="So sánh" sheetId="20" state="visible" r:id="rId20"/>
    <sheet xmlns:r="http://schemas.openxmlformats.org/officeDocument/2006/relationships" name="Nguyên tắc chấm" sheetId="21" state="visible" r:id="rId21"/>
  </sheets>
  <definedNames>
    <definedName name="_xlnm.Print_Area" localSheetId="0">'Hướng dẫn'!$A$1:$F$50</definedName>
    <definedName name="_xlnm.Print_Area" localSheetId="1">'QL01_TGD_GDDH'!$A$1:$F$17</definedName>
    <definedName name="_xlnm.Print_Area" localSheetId="2">'QL02_Pho_GD'!$A$1:$F$17</definedName>
    <definedName name="_xlnm.Print_Area" localSheetId="3">'QL03_Truong_Phong'!$A$1:$F$17</definedName>
    <definedName name="_xlnm.Print_Area" localSheetId="4">'QL04_Pho_Phong'!$A$1:$F$17</definedName>
    <definedName name="_xlnm.Print_Area" localSheetId="5">'QL05_Truong_Nhom'!$A$1:$F$17</definedName>
    <definedName name="_xlnm.Print_Area" localSheetId="6">'SX01_GD_San_Xuat'!$A$1:$F$17</definedName>
    <definedName name="_xlnm.Print_Area" localSheetId="7">'SX02_Quan_Doc'!$A$1:$F$17</definedName>
    <definedName name="_xlnm.Print_Area" localSheetId="8">'SX03_Truong_Ca'!$A$1:$F$17</definedName>
    <definedName name="_xlnm.Print_Area" localSheetId="9">'SX04_To_Truong'!$A$1:$F$17</definedName>
    <definedName name="_xlnm.Print_Area" localSheetId="10">'SX05_Truong_QC_QA'!$A$1:$F$17</definedName>
    <definedName name="_xlnm.Print_Area" localSheetId="11">'SX06_Truong_PPC'!$A$1:$F$17</definedName>
    <definedName name="_xlnm.Print_Area" localSheetId="12">'CN01_Van_Hanh_May'!$A$1:$F$17</definedName>
    <definedName name="_xlnm.Print_Area" localSheetId="13">'CN02_Lap_Rap_Gia_Cong'!$A$1:$F$17</definedName>
    <definedName name="_xlnm.Print_Area" localSheetId="14">'CN03_Dong_Goi'!$A$1:$F$17</definedName>
    <definedName name="_xlnm.Print_Area" localSheetId="15">'CN04_KCS'!$A$1:$F$17</definedName>
    <definedName name="_xlnm.Print_Area" localSheetId="16">'CN05_Kho_Px'!$A$1:$F$17</definedName>
    <definedName name="_xlnm.Print_Area" localSheetId="17">'CN06_Bao_Tri_Co_Dien'!$A$1:$F$17</definedName>
    <definedName name="_xlnm.Print_Area" localSheetId="18">'Tổng hợp'!$A$1:$D$27</definedName>
    <definedName name="_xlnm.Print_Area" localSheetId="20">'Nguyên tắc chấm'!$A$1:$B$27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FFFFFFFF"/>
      <sz val="13"/>
    </font>
    <font>
      <i val="1"/>
      <color rgb="FF1F4E78"/>
      <sz val="9"/>
    </font>
    <font>
      <b val="1"/>
      <color rgb="FF1F4E78"/>
      <sz val="11"/>
    </font>
    <font>
      <color rgb="FF000000"/>
      <sz val="11"/>
    </font>
    <font>
      <b val="1"/>
      <color rgb="FFFFFFFF"/>
      <sz val="11"/>
    </font>
    <font>
      <sz val="10"/>
    </font>
    <font>
      <i val="1"/>
      <color rgb="FF808080"/>
      <sz val="9"/>
    </font>
    <font>
      <b val="1"/>
      <color rgb="FFFFFFFF"/>
      <sz val="12"/>
    </font>
    <font>
      <b val="1"/>
      <color rgb="FFFFFFFF"/>
      <sz val="9"/>
    </font>
    <font>
      <b val="1"/>
      <sz val="10"/>
    </font>
    <font>
      <b val="1"/>
      <color rgb="FFFFFFFF"/>
      <sz val="10"/>
    </font>
    <font>
      <b val="1"/>
    </font>
    <font>
      <b val="1"/>
      <color rgb="FF1F4E78"/>
    </font>
    <font>
      <b val="1"/>
      <color rgb="FFFFFFFF"/>
    </font>
    <font>
      <i val="1"/>
      <color rgb="FF808080"/>
      <sz val="10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4B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E7E6E6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/>
    </xf>
    <xf numFmtId="0" fontId="10" fillId="0" borderId="0" pivotButton="0" quotePrefix="0" xfId="0"/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2" fontId="0" fillId="8" borderId="1" applyAlignment="1" pivotButton="0" quotePrefix="0" xfId="0">
      <alignment horizontal="center"/>
    </xf>
    <xf numFmtId="0" fontId="13" fillId="9" borderId="0" pivotButton="0" quotePrefix="0" xfId="0"/>
    <xf numFmtId="0" fontId="0" fillId="9" borderId="1" pivotButton="0" quotePrefix="0" xfId="0"/>
    <xf numFmtId="0" fontId="12" fillId="9" borderId="1" applyAlignment="1" pivotButton="0" quotePrefix="0" xfId="0">
      <alignment horizontal="center"/>
    </xf>
    <xf numFmtId="2" fontId="12" fillId="9" borderId="1" applyAlignment="1" pivotButton="0" quotePrefix="0" xfId="0">
      <alignment horizontal="center"/>
    </xf>
    <xf numFmtId="0" fontId="12" fillId="0" borderId="0" pivotButton="0" quotePrefix="0" xfId="0"/>
    <xf numFmtId="0" fontId="12" fillId="1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14" fillId="3" borderId="0" pivotButton="0" quotePrefix="0" xfId="0"/>
    <xf numFmtId="0" fontId="11" fillId="7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4" fillId="4" borderId="0" pivotButton="0" quotePrefix="0" xfId="0"/>
    <xf numFmtId="0" fontId="14" fillId="5" borderId="0" pivotButton="0" quotePrefix="0" xfId="0"/>
    <xf numFmtId="0" fontId="1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🎯 BẢNG KPI ĐÁNH GIÁ KHỐI QUẢN LÝ - QUẢN LÝ SẢN XUẤT - CÔNG NHÂN SẢN XUẤT</t>
        </is>
      </c>
    </row>
    <row r="2">
      <c r="A2" s="2" t="inlineStr">
        <is>
          <t xml:space="preserve">KK HOME | Website: </t>
        </is>
      </c>
    </row>
    <row r="3"/>
    <row r="4">
      <c r="A4" s="3" t="inlineStr">
        <is>
          <t>HƯỚNG DẪN SỬ DỤNG:</t>
        </is>
      </c>
    </row>
    <row r="5">
      <c r="A5" s="4" t="inlineStr">
        <is>
          <t>1. Chọn sheet theo vị trí nhân viên cần đánh giá — nhóm theo 3 khối: Quản lý (QL), Quản lý sản xuất (SX), Công nhân sản xuất (CN).</t>
        </is>
      </c>
    </row>
    <row r="6">
      <c r="A6" s="4" t="inlineStr">
        <is>
          <t>2. Nhập kỳ đánh giá (Tháng/Quý/Năm) ở ô trên cùng của mỗi sheet vị trí.</t>
        </is>
      </c>
    </row>
    <row r="7">
      <c r="A7" s="4" t="inlineStr">
        <is>
          <t>3. Gõ điểm chấm (1-5) cho mỗi tiêu chí vào cột xám 'Điểm chấm'.</t>
        </is>
      </c>
    </row>
    <row r="8">
      <c r="A8" s="4" t="inlineStr">
        <is>
          <t>4. Điểm quy đổi tự tính theo công thức: (Điểm chấm ÷ 5) × Trọng số%.</t>
        </is>
      </c>
    </row>
    <row r="9">
      <c r="A9" s="4" t="inlineStr">
        <is>
          <t>5. Tổng điểm và Xếp loại tự hiện: Xuất sắc (≥80%) | Đạt (≥70%) | Cần cải thiện (&lt;70%).</t>
        </is>
      </c>
    </row>
    <row r="10">
      <c r="A10" s="4" t="inlineStr">
        <is>
          <t>6. Sheet 'Tổng hợp' gom điểm toàn bộ 17 vị trí theo 3 khối; sheet 'So sánh' so sánh giữa các nhân viên.</t>
        </is>
      </c>
    </row>
    <row r="11">
      <c r="A11" s="4" t="inlineStr"/>
    </row>
    <row r="12">
      <c r="A12" s="3" t="inlineStr">
        <is>
          <t>THANG ĐIỂM (1-5):</t>
        </is>
      </c>
    </row>
    <row r="13">
      <c r="A13" s="4" t="inlineStr">
        <is>
          <t>5: Tuyệt vời - Hoàn thành xuất sắc, vượt mong đợi</t>
        </is>
      </c>
    </row>
    <row r="14">
      <c r="A14" s="4" t="inlineStr">
        <is>
          <t>4: Tốt - Hoàn thành đầy đủ, đạt/vượt mục tiêu</t>
        </is>
      </c>
    </row>
    <row r="15">
      <c r="A15" s="4" t="inlineStr">
        <is>
          <t>3: Bình thường - Đáp ứng đủ yêu cầu cơ bản</t>
        </is>
      </c>
    </row>
    <row r="16">
      <c r="A16" s="4" t="inlineStr">
        <is>
          <t>2: Chưa đạt - Cần cải thiện, chưa hoàn thành tốt</t>
        </is>
      </c>
    </row>
    <row r="17">
      <c r="A17" s="4" t="inlineStr">
        <is>
          <t>1: Kém - Chưa hoàn thành, cần hỗ trợ nhiều</t>
        </is>
      </c>
    </row>
    <row r="18">
      <c r="A18" s="4" t="inlineStr"/>
    </row>
    <row r="19">
      <c r="A19" s="3" t="inlineStr">
        <is>
          <t>CẤU TRÚC KPI:</t>
        </is>
      </c>
    </row>
    <row r="20">
      <c r="A20" s="4" t="inlineStr">
        <is>
          <t>• Mỗi vị trí có 8 tiêu chí KPI, chia 3 nhóm:</t>
        </is>
      </c>
    </row>
    <row r="21">
      <c r="A21" s="4" t="inlineStr">
        <is>
          <t xml:space="preserve">   - Chuyên môn - Nghiệp vụ (40%): Kỹ năng, sản lượng, chất lượng công việc</t>
        </is>
      </c>
    </row>
    <row r="22">
      <c r="A22" s="4" t="inlineStr">
        <is>
          <t xml:space="preserve">   - Tuân thủ - Thời hạn (35%): Quy định, an toàn lao động, tiến độ, kiểm soát chất lượng</t>
        </is>
      </c>
    </row>
    <row r="23">
      <c r="A23" s="4" t="inlineStr">
        <is>
          <t xml:space="preserve">   - Phối hợp - Thái độ (25%): Phối hợp, tinh thần trách nhiệm, chủ động trong công việc</t>
        </is>
      </c>
    </row>
    <row r="24">
      <c r="A24" s="4" t="inlineStr">
        <is>
          <t>• Tổng trọng số = 100% cho mỗi vị trí</t>
        </is>
      </c>
    </row>
    <row r="25">
      <c r="A25" s="4" t="inlineStr"/>
    </row>
    <row r="26">
      <c r="A26" s="3" t="inlineStr">
        <is>
          <t>DANH MỤC 17 VỊ TRÍ THEO 3 KHỐI:</t>
        </is>
      </c>
    </row>
    <row r="27">
      <c r="A27" s="5" t="inlineStr">
        <is>
          <t>KHỐI QUẢN LÝ</t>
        </is>
      </c>
    </row>
    <row r="28">
      <c r="A28" s="6" t="inlineStr">
        <is>
          <t xml:space="preserve">  • Tổng Giám đốc / Giám đốc điều hành</t>
        </is>
      </c>
      <c r="B28" s="7" t="inlineStr">
        <is>
          <t>QL01_TGD_GDDH</t>
        </is>
      </c>
    </row>
    <row r="29">
      <c r="A29" s="6" t="inlineStr">
        <is>
          <t xml:space="preserve">  • Phó Giám đốc</t>
        </is>
      </c>
      <c r="B29" s="7" t="inlineStr">
        <is>
          <t>QL02_Pho_GD</t>
        </is>
      </c>
    </row>
    <row r="30">
      <c r="A30" s="6" t="inlineStr">
        <is>
          <t xml:space="preserve">  • Trưởng phòng</t>
        </is>
      </c>
      <c r="B30" s="7" t="inlineStr">
        <is>
          <t>QL03_Truong_Phong</t>
        </is>
      </c>
    </row>
    <row r="31">
      <c r="A31" s="6" t="inlineStr">
        <is>
          <t xml:space="preserve">  • Phó phòng</t>
        </is>
      </c>
      <c r="B31" s="7" t="inlineStr">
        <is>
          <t>QL04_Pho_Phong</t>
        </is>
      </c>
    </row>
    <row r="32">
      <c r="A32" s="6" t="inlineStr">
        <is>
          <t xml:space="preserve">  • Trưởng nhóm / Trưởng bộ phận</t>
        </is>
      </c>
      <c r="B32" s="7" t="inlineStr">
        <is>
          <t>QL05_Truong_Nhom</t>
        </is>
      </c>
    </row>
    <row r="33"/>
    <row r="34">
      <c r="A34" s="8" t="inlineStr">
        <is>
          <t>KHỐI QUẢN LÝ SẢN XUẤT</t>
        </is>
      </c>
    </row>
    <row r="35">
      <c r="A35" s="6" t="inlineStr">
        <is>
          <t xml:space="preserve">  • Giám đốc sản xuất / Giám đốc nhà máy</t>
        </is>
      </c>
      <c r="B35" s="7" t="inlineStr">
        <is>
          <t>SX01_GD_San_Xuat</t>
        </is>
      </c>
    </row>
    <row r="36">
      <c r="A36" s="6" t="inlineStr">
        <is>
          <t xml:space="preserve">  • Quản đốc phân xưởng</t>
        </is>
      </c>
      <c r="B36" s="7" t="inlineStr">
        <is>
          <t>SX02_Quan_Doc</t>
        </is>
      </c>
    </row>
    <row r="37">
      <c r="A37" s="6" t="inlineStr">
        <is>
          <t xml:space="preserve">  • Trưởng ca sản xuất</t>
        </is>
      </c>
      <c r="B37" s="7" t="inlineStr">
        <is>
          <t>SX03_Truong_Ca</t>
        </is>
      </c>
    </row>
    <row r="38">
      <c r="A38" s="6" t="inlineStr">
        <is>
          <t xml:space="preserve">  • Tổ trưởng sản xuất</t>
        </is>
      </c>
      <c r="B38" s="7" t="inlineStr">
        <is>
          <t>SX04_To_Truong</t>
        </is>
      </c>
    </row>
    <row r="39">
      <c r="A39" s="6" t="inlineStr">
        <is>
          <t xml:space="preserve">  • Trưởng phòng QC/QA</t>
        </is>
      </c>
      <c r="B39" s="7" t="inlineStr">
        <is>
          <t>SX05_Truong_QC_QA</t>
        </is>
      </c>
    </row>
    <row r="40">
      <c r="A40" s="6" t="inlineStr">
        <is>
          <t xml:space="preserve">  • Trưởng phòng Kế hoạch sản xuất (PPC)</t>
        </is>
      </c>
      <c r="B40" s="7" t="inlineStr">
        <is>
          <t>SX06_Truong_PPC</t>
        </is>
      </c>
    </row>
    <row r="41"/>
    <row r="42">
      <c r="A42" s="9" t="inlineStr">
        <is>
          <t>KHỐI CÔNG NHÂN SẢN XUẤT</t>
        </is>
      </c>
    </row>
    <row r="43">
      <c r="A43" s="6" t="inlineStr">
        <is>
          <t xml:space="preserve">  • Công nhân vận hành máy</t>
        </is>
      </c>
      <c r="B43" s="7" t="inlineStr">
        <is>
          <t>CN01_Van_Hanh_May</t>
        </is>
      </c>
    </row>
    <row r="44">
      <c r="A44" s="6" t="inlineStr">
        <is>
          <t xml:space="preserve">  • Công nhân lắp ráp / gia công</t>
        </is>
      </c>
      <c r="B44" s="7" t="inlineStr">
        <is>
          <t>CN02_Lap_Rap_Gia_Cong</t>
        </is>
      </c>
    </row>
    <row r="45">
      <c r="A45" s="6" t="inlineStr">
        <is>
          <t xml:space="preserve">  • Công nhân đóng gói</t>
        </is>
      </c>
      <c r="B45" s="7" t="inlineStr">
        <is>
          <t>CN03_Dong_Goi</t>
        </is>
      </c>
    </row>
    <row r="46">
      <c r="A46" s="6" t="inlineStr">
        <is>
          <t xml:space="preserve">  • Nhân viên KCS (kiểm tra chất lượng)</t>
        </is>
      </c>
      <c r="B46" s="7" t="inlineStr">
        <is>
          <t>CN04_KCS</t>
        </is>
      </c>
    </row>
    <row r="47">
      <c r="A47" s="6" t="inlineStr">
        <is>
          <t xml:space="preserve">  • Công nhân kho / Thủ kho phân xưởng</t>
        </is>
      </c>
      <c r="B47" s="7" t="inlineStr">
        <is>
          <t>CN05_Kho_Px</t>
        </is>
      </c>
    </row>
    <row r="48">
      <c r="A48" s="6" t="inlineStr">
        <is>
          <t xml:space="preserve">  • Công nhân bảo trì - cơ điện</t>
        </is>
      </c>
      <c r="B48" s="7" t="inlineStr">
        <is>
          <t>CN06_Bao_Tri_Co_Dien</t>
        </is>
      </c>
    </row>
  </sheetData>
  <mergeCells count="5">
    <mergeCell ref="A2:F2"/>
    <mergeCell ref="A1:F1"/>
    <mergeCell ref="A42:B42"/>
    <mergeCell ref="A27:B27"/>
    <mergeCell ref="A34:B34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tabColor rgb="FF2E74B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TỔNG GIÁM ĐỐC / GIÁM ĐỐC ĐIỀU HÀNH</t>
        </is>
      </c>
    </row>
    <row r="2">
      <c r="A2" s="2" t="inlineStr">
        <is>
          <t xml:space="preserve">KK HOME | </t>
        </is>
      </c>
    </row>
    <row r="3">
      <c r="A3" s="11" t="inlineStr">
        <is>
          <t>KHỐI QUẢN LÝ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Hoàn thành mục tiêu doanh thu, lợi nhuận theo kế hoạch</t>
        </is>
      </c>
      <c r="B7" s="16" t="inlineStr">
        <is>
          <t>Chuyên môn-Nghiệp vụ</t>
        </is>
      </c>
      <c r="C7" s="17" t="n">
        <v>15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Hoạch định chiến lược, định hướng phát triển công ty</t>
        </is>
      </c>
      <c r="B8" s="16" t="inlineStr">
        <is>
          <t>Chuyên môn-Nghiệp vụ</t>
        </is>
      </c>
      <c r="C8" s="17" t="n">
        <v>15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Ra quyết định kịp thời, hiệu quả trong các tình huống kinh doanh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pháp luật, điều lệ công ty, quy chế nội bộ</t>
        </is>
      </c>
      <c r="B10" s="16" t="inlineStr">
        <is>
          <t>Tuân thủ-Thời hạn</t>
        </is>
      </c>
      <c r="C10" s="17" t="n">
        <v>12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báo cáo với HĐQT/chủ sở hữu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Quản trị rủi ro, kiểm soát nội bộ toàn công ty</t>
        </is>
      </c>
      <c r="B12" s="16" t="inlineStr">
        <is>
          <t>Tuân thủ-Thời hạn</t>
        </is>
      </c>
      <c r="C12" s="17" t="n">
        <v>12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Lãnh đạo, xây dựng và phát triển đội ngũ quản lý cấp cao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Xây dựng văn hóa doanh nghiệp, gắn kết nội bộ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FF2E74B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PHÓ GIÁM ĐỐC</t>
        </is>
      </c>
    </row>
    <row r="2">
      <c r="A2" s="2" t="inlineStr">
        <is>
          <t xml:space="preserve">KK HOME | </t>
        </is>
      </c>
    </row>
    <row r="3">
      <c r="A3" s="11" t="inlineStr">
        <is>
          <t>KHỐI QUẢN LÝ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Triển khai hiệu quả kế hoạch được phân công phụ trách</t>
        </is>
      </c>
      <c r="B7" s="16" t="inlineStr">
        <is>
          <t>Chuyên môn-Nghiệp vụ</t>
        </is>
      </c>
      <c r="C7" s="17" t="n">
        <v>16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Tham mưu, đề xuất giải pháp cho Ban Giám đốc</t>
        </is>
      </c>
      <c r="B8" s="16" t="inlineStr">
        <is>
          <t>Chuyên môn-Nghiệp vụ</t>
        </is>
      </c>
      <c r="C8" s="17" t="n">
        <v>14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Giám sát, đánh giá kết quả các phòng ban phụ trách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chỉ đạo, quy chế, quy trình công ty</t>
        </is>
      </c>
      <c r="B10" s="16" t="inlineStr">
        <is>
          <t>Tuân thủ-Thời hạn</t>
        </is>
      </c>
      <c r="C10" s="17" t="n">
        <v>12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các dự án, kế hoạch phụ trách</t>
        </is>
      </c>
      <c r="B11" s="16" t="inlineStr">
        <is>
          <t>Tuân thủ-Thời hạn</t>
        </is>
      </c>
      <c r="C11" s="17" t="n">
        <v>12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Kiểm soát rủi ro trong phạm vi phụ trách</t>
        </is>
      </c>
      <c r="B12" s="16" t="inlineStr">
        <is>
          <t>Tuân thủ-Thời hạn</t>
        </is>
      </c>
      <c r="C12" s="17" t="n">
        <v>11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Phối hợp liên phòng ban, xử lý xung đột hiệu quả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Đào tạo, hỗ trợ phát triển nhân sự cấp dưới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FF2E74B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TRƯỞNG PHÒNG</t>
        </is>
      </c>
    </row>
    <row r="2">
      <c r="A2" s="2" t="inlineStr">
        <is>
          <t xml:space="preserve">KK HOME | </t>
        </is>
      </c>
    </row>
    <row r="3">
      <c r="A3" s="11" t="inlineStr">
        <is>
          <t>KHỐI QUẢN LÝ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Hoàn thành chỉ tiêu công việc, KPI của phòng ban</t>
        </is>
      </c>
      <c r="B7" s="16" t="inlineStr">
        <is>
          <t>Chuyên môn-Nghiệp vụ</t>
        </is>
      </c>
      <c r="C7" s="17" t="n">
        <v>16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Xây dựng, cải tiến quy trình làm việc của phòng</t>
        </is>
      </c>
      <c r="B8" s="16" t="inlineStr">
        <is>
          <t>Chuyên môn-Nghiệp vụ</t>
        </is>
      </c>
      <c r="C8" s="17" t="n">
        <v>14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Xử lý kịp thời các vấn đề chuyên môn phát sinh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quy định, quy trình, nội quy công ty</t>
        </is>
      </c>
      <c r="B10" s="16" t="inlineStr">
        <is>
          <t>Tuân thủ-Thời hạn</t>
        </is>
      </c>
      <c r="C10" s="17" t="n">
        <v>12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công việc, báo cáo đúng hạn</t>
        </is>
      </c>
      <c r="B11" s="16" t="inlineStr">
        <is>
          <t>Tuân thủ-Thời hạn</t>
        </is>
      </c>
      <c r="C11" s="17" t="n">
        <v>12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Kiểm soát chất lượng công việc của phòng</t>
        </is>
      </c>
      <c r="B12" s="16" t="inlineStr">
        <is>
          <t>Tuân thủ-Thời hạn</t>
        </is>
      </c>
      <c r="C12" s="17" t="n">
        <v>11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Quản lý, phân công, đào tạo nhân sự trong phòng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hiệu quả với các phòng ban khác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FF2E74B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PHÓ PHÒNG</t>
        </is>
      </c>
    </row>
    <row r="2">
      <c r="A2" s="2" t="inlineStr">
        <is>
          <t xml:space="preserve">KK HOME | </t>
        </is>
      </c>
    </row>
    <row r="3">
      <c r="A3" s="11" t="inlineStr">
        <is>
          <t>KHỐI QUẢN LÝ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Hỗ trợ Trưởng phòng điều hành công việc chung</t>
        </is>
      </c>
      <c r="B7" s="16" t="inlineStr">
        <is>
          <t>Chuyên môn-Nghiệp vụ</t>
        </is>
      </c>
      <c r="C7" s="17" t="n">
        <v>15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Trực tiếp xử lý công việc chuyên môn được giao</t>
        </is>
      </c>
      <c r="B8" s="16" t="inlineStr">
        <is>
          <t>Chuyên môn-Nghiệp vụ</t>
        </is>
      </c>
      <c r="C8" s="17" t="n">
        <v>15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Đề xuất cải tiến trong phạm vi phụ trách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quy định, quy trình công ty</t>
        </is>
      </c>
      <c r="B10" s="16" t="inlineStr">
        <is>
          <t>Tuân thủ-Thời hạn</t>
        </is>
      </c>
      <c r="C10" s="17" t="n">
        <v>12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công việc được giao</t>
        </is>
      </c>
      <c r="B11" s="16" t="inlineStr">
        <is>
          <t>Tuân thủ-Thời hạn</t>
        </is>
      </c>
      <c r="C11" s="17" t="n">
        <v>12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Kiểm soát chất lượng công việc cá nhân và nhóm</t>
        </is>
      </c>
      <c r="B12" s="16" t="inlineStr">
        <is>
          <t>Tuân thủ-Thời hạn</t>
        </is>
      </c>
      <c r="C12" s="17" t="n">
        <v>11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Hỗ trợ, hướng dẫn nhân viên trong phòng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công việc liên phòng ban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FF2E74B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TRƯỞNG NHÓM / TRƯỞNG BỘ PHẬN</t>
        </is>
      </c>
    </row>
    <row r="2">
      <c r="A2" s="2" t="inlineStr">
        <is>
          <t xml:space="preserve">KK HOME | </t>
        </is>
      </c>
    </row>
    <row r="3">
      <c r="A3" s="11" t="inlineStr">
        <is>
          <t>KHỐI QUẢN LÝ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Hoàn thành khối lượng, chất lượng công việc nhóm phụ trách</t>
        </is>
      </c>
      <c r="B7" s="16" t="inlineStr">
        <is>
          <t>Chuyên môn-Nghiệp vụ</t>
        </is>
      </c>
      <c r="C7" s="17" t="n">
        <v>16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Phân công, điều phối công việc nhóm hợp lý</t>
        </is>
      </c>
      <c r="B8" s="16" t="inlineStr">
        <is>
          <t>Chuyên môn-Nghiệp vụ</t>
        </is>
      </c>
      <c r="C8" s="17" t="n">
        <v>14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Giải quyết vấn đề phát sinh trong nhóm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nội quy, quy trình làm việc</t>
        </is>
      </c>
      <c r="B10" s="16" t="inlineStr">
        <is>
          <t>Tuân thủ-Thời hạn</t>
        </is>
      </c>
      <c r="C10" s="17" t="n">
        <v>13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công việc nhóm</t>
        </is>
      </c>
      <c r="B11" s="16" t="inlineStr">
        <is>
          <t>Tuân thủ-Thời hạn</t>
        </is>
      </c>
      <c r="C11" s="17" t="n">
        <v>12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Báo cáo kịp thời, chính xác cho cấp trên</t>
        </is>
      </c>
      <c r="B12" s="16" t="inlineStr">
        <is>
          <t>Tuân thủ-Thời hạn</t>
        </is>
      </c>
      <c r="C12" s="17" t="n">
        <v>10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Xây dựng tinh thần làm việc nhóm, hỗ trợ đồng nghiệp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các nhóm, bộ phận khác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GIÁM ĐỐC SẢN XUẤT / GIÁM ĐỐC NHÀ MÁY</t>
        </is>
      </c>
    </row>
    <row r="2">
      <c r="A2" s="2" t="inlineStr">
        <is>
          <t xml:space="preserve">KK HOME | </t>
        </is>
      </c>
    </row>
    <row r="3">
      <c r="A3" s="26" t="inlineStr">
        <is>
          <t>KHỐI QUẢN LÝ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Đạt sản lượng, năng suất theo kế hoạch sản xuất</t>
        </is>
      </c>
      <c r="B7" s="16" t="inlineStr">
        <is>
          <t>Chuyên môn-Nghiệp vụ</t>
        </is>
      </c>
      <c r="C7" s="17" t="n">
        <v>16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Hoạch định, tối ưu quy trình sản xuất toàn nhà máy</t>
        </is>
      </c>
      <c r="B8" s="16" t="inlineStr">
        <is>
          <t>Chuyên môn-Nghiệp vụ</t>
        </is>
      </c>
      <c r="C8" s="17" t="n">
        <v>14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Kiểm soát chi phí sản xuất, định mức nguyên vật liệu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an toàn lao động, PCCC, môi trường</t>
        </is>
      </c>
      <c r="B10" s="16" t="inlineStr">
        <is>
          <t>Tuân thủ-Thời hạn</t>
        </is>
      </c>
      <c r="C10" s="17" t="n">
        <v>13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giao hàng theo kế hoạch</t>
        </is>
      </c>
      <c r="B11" s="16" t="inlineStr">
        <is>
          <t>Tuân thủ-Thời hạn</t>
        </is>
      </c>
      <c r="C11" s="17" t="n">
        <v>12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Kiểm soát chất lượng sản phẩm đầu ra</t>
        </is>
      </c>
      <c r="B12" s="16" t="inlineStr">
        <is>
          <t>Tuân thủ-Thời hạn</t>
        </is>
      </c>
      <c r="C12" s="17" t="n">
        <v>10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Lãnh đạo, phát triển đội ngũ quản lý sản xuất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khối kinh doanh, kỹ thuật, chất lượng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QUẢN ĐỐC PHÂN XƯỞNG</t>
        </is>
      </c>
    </row>
    <row r="2">
      <c r="A2" s="2" t="inlineStr">
        <is>
          <t xml:space="preserve">KK HOME | </t>
        </is>
      </c>
    </row>
    <row r="3">
      <c r="A3" s="26" t="inlineStr">
        <is>
          <t>KHỐI QUẢN LÝ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Hoàn thành sản lượng phân xưởng theo kế hoạch</t>
        </is>
      </c>
      <c r="B7" s="16" t="inlineStr">
        <is>
          <t>Chuyên môn-Nghiệp vụ</t>
        </is>
      </c>
      <c r="C7" s="17" t="n">
        <v>16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Quản lý, sử dụng hiệu quả máy móc, thiết bị</t>
        </is>
      </c>
      <c r="B8" s="16" t="inlineStr">
        <is>
          <t>Chuyên môn-Nghiệp vụ</t>
        </is>
      </c>
      <c r="C8" s="17" t="n">
        <v>14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Kiểm soát tiêu hao nguyên vật liệu, giảm phế phẩm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an toàn lao động, quy trình vận hành</t>
        </is>
      </c>
      <c r="B10" s="16" t="inlineStr">
        <is>
          <t>Tuân thủ-Thời hạn</t>
        </is>
      </c>
      <c r="C10" s="17" t="n">
        <v>13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sản xuất, giao ca đúng quy định</t>
        </is>
      </c>
      <c r="B11" s="16" t="inlineStr">
        <is>
          <t>Tuân thủ-Thời hạn</t>
        </is>
      </c>
      <c r="C11" s="17" t="n">
        <v>12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Kiểm soát chất lượng sản phẩm tại phân xưởng</t>
        </is>
      </c>
      <c r="B12" s="16" t="inlineStr">
        <is>
          <t>Tuân thủ-Thời hạn</t>
        </is>
      </c>
      <c r="C12" s="17" t="n">
        <v>10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Quản lý, điều phối nhân sự phân xưởng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phòng kế hoạch, QC, bảo trì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TRƯỞNG CA SẢN XUẤT</t>
        </is>
      </c>
    </row>
    <row r="2">
      <c r="A2" s="2" t="inlineStr">
        <is>
          <t xml:space="preserve">KK HOME | </t>
        </is>
      </c>
    </row>
    <row r="3">
      <c r="A3" s="26" t="inlineStr">
        <is>
          <t>KHỐI QUẢN LÝ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Hoàn thành sản lượng ca sản xuất được giao</t>
        </is>
      </c>
      <c r="B7" s="16" t="inlineStr">
        <is>
          <t>Chuyên môn-Nghiệp vụ</t>
        </is>
      </c>
      <c r="C7" s="17" t="n">
        <v>17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Giám sát vận hành máy móc, quy trình sản xuất trong ca</t>
        </is>
      </c>
      <c r="B8" s="16" t="inlineStr">
        <is>
          <t>Chuyên môn-Nghiệp vụ</t>
        </is>
      </c>
      <c r="C8" s="17" t="n">
        <v>13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Xử lý sự cố phát sinh trong ca sản xuất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an toàn lao động trong ca</t>
        </is>
      </c>
      <c r="B10" s="16" t="inlineStr">
        <is>
          <t>Tuân thủ-Thời hạn</t>
        </is>
      </c>
      <c r="C10" s="17" t="n">
        <v>13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Bàn giao ca đầy đủ, đúng quy định, đúng thời gian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Kiểm soát chất lượng sản phẩm trong ca</t>
        </is>
      </c>
      <c r="B12" s="16" t="inlineStr">
        <is>
          <t>Tuân thủ-Thời hạn</t>
        </is>
      </c>
      <c r="C12" s="17" t="n">
        <v>11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Điều phối, hỗ trợ công nhân trong ca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ca trước/ca sau, các bộ phận liên quan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TỔ TRƯỞNG SẢN XUẤT</t>
        </is>
      </c>
    </row>
    <row r="2">
      <c r="A2" s="2" t="inlineStr">
        <is>
          <t xml:space="preserve">KK HOME | </t>
        </is>
      </c>
    </row>
    <row r="3">
      <c r="A3" s="26" t="inlineStr">
        <is>
          <t>KHỐI QUẢN LÝ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Hoàn thành khối lượng công việc của tổ</t>
        </is>
      </c>
      <c r="B7" s="16" t="inlineStr">
        <is>
          <t>Chuyên môn-Nghiệp vụ</t>
        </is>
      </c>
      <c r="C7" s="17" t="n">
        <v>17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Phân công công việc hợp lý, đúng năng lực công nhân</t>
        </is>
      </c>
      <c r="B8" s="16" t="inlineStr">
        <is>
          <t>Chuyên môn-Nghiệp vụ</t>
        </is>
      </c>
      <c r="C8" s="17" t="n">
        <v>13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Kiểm soát năng suất, giảm thời gian chết máy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an toàn lao động, 5S tại tổ</t>
        </is>
      </c>
      <c r="B10" s="16" t="inlineStr">
        <is>
          <t>Tuân thủ-Thời hạn</t>
        </is>
      </c>
      <c r="C10" s="17" t="n">
        <v>13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công việc tổ được giao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Kiểm soát chất lượng sản phẩm của tổ</t>
        </is>
      </c>
      <c r="B12" s="16" t="inlineStr">
        <is>
          <t>Tuân thủ-Thời hạn</t>
        </is>
      </c>
      <c r="C12" s="17" t="n">
        <v>11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Hướng dẫn, kèm cặp công nhân trong tổ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các tổ khác, báo cáo quản đốc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TRƯỞNG PHÒNG QC/QA</t>
        </is>
      </c>
    </row>
    <row r="2">
      <c r="A2" s="2" t="inlineStr">
        <is>
          <t xml:space="preserve">KK HOME | </t>
        </is>
      </c>
    </row>
    <row r="3">
      <c r="A3" s="26" t="inlineStr">
        <is>
          <t>KHỐI QUẢN LÝ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Kiểm soát chất lượng sản phẩm đạt tiêu chuẩn</t>
        </is>
      </c>
      <c r="B7" s="16" t="inlineStr">
        <is>
          <t>Chuyên môn-Nghiệp vụ</t>
        </is>
      </c>
      <c r="C7" s="17" t="n">
        <v>17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Xây dựng, cải tiến hệ thống quản lý chất lượng</t>
        </is>
      </c>
      <c r="B8" s="16" t="inlineStr">
        <is>
          <t>Chuyên môn-Nghiệp vụ</t>
        </is>
      </c>
      <c r="C8" s="17" t="n">
        <v>13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Phân tích nguyên nhân lỗi, đề xuất khắc phục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tiêu chuẩn chất lượng, quy trình kiểm tra</t>
        </is>
      </c>
      <c r="B10" s="16" t="inlineStr">
        <is>
          <t>Tuân thủ-Thời hạn</t>
        </is>
      </c>
      <c r="C10" s="17" t="n">
        <v>13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kiểm tra, không làm chậm sản xuất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Lưu trữ hồ sơ chất lượng đầy đủ, đúng quy định</t>
        </is>
      </c>
      <c r="B12" s="16" t="inlineStr">
        <is>
          <t>Tuân thủ-Thời hạn</t>
        </is>
      </c>
      <c r="C12" s="17" t="n">
        <v>11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Quản lý, đào tạo đội ngũ QC/QA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sản xuất, khách hàng khi có khiếu nại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TRƯỞNG PHÒNG KẾ HOẠCH SẢN XUẤT (PPC)</t>
        </is>
      </c>
    </row>
    <row r="2">
      <c r="A2" s="2" t="inlineStr">
        <is>
          <t xml:space="preserve">KK HOME | </t>
        </is>
      </c>
    </row>
    <row r="3">
      <c r="A3" s="26" t="inlineStr">
        <is>
          <t>KHỐI QUẢN LÝ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Lập kế hoạch sản xuất sát với thực tế, đơn hàng</t>
        </is>
      </c>
      <c r="B7" s="16" t="inlineStr">
        <is>
          <t>Chuyên môn-Nghiệp vụ</t>
        </is>
      </c>
      <c r="C7" s="17" t="n">
        <v>17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Cân đối nguyên vật liệu, công suất máy móc</t>
        </is>
      </c>
      <c r="B8" s="16" t="inlineStr">
        <is>
          <t>Chuyên môn-Nghiệp vụ</t>
        </is>
      </c>
      <c r="C8" s="17" t="n">
        <v>13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Điều chỉnh kế hoạch linh hoạt khi có phát sinh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Đảm bảo kế hoạch tuân thủ tiến độ giao hàng</t>
        </is>
      </c>
      <c r="B10" s="16" t="inlineStr">
        <is>
          <t>Tuân thủ-Thời hạn</t>
        </is>
      </c>
      <c r="C10" s="17" t="n">
        <v>13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Cập nhật, báo cáo tình hình sản xuất đúng hạn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Kiểm soát tồn kho nguyên vật liệu, thành phẩm hợp lý</t>
        </is>
      </c>
      <c r="B12" s="16" t="inlineStr">
        <is>
          <t>Tuân thủ-Thời hạn</t>
        </is>
      </c>
      <c r="C12" s="17" t="n">
        <v>11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Phối hợp với kinh doanh, sản xuất, mua hàng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Hỗ trợ, hướng dẫn nhân viên trong phòng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3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CÔNG NHÂN VẬN HÀNH MÁY</t>
        </is>
      </c>
    </row>
    <row r="2">
      <c r="A2" s="2" t="inlineStr">
        <is>
          <t xml:space="preserve">KK HOME | </t>
        </is>
      </c>
    </row>
    <row r="3">
      <c r="A3" s="27" t="inlineStr">
        <is>
          <t>KHỐI CÔNG NHÂN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Vận hành máy đúng quy trình, đạt sản lượng định mức</t>
        </is>
      </c>
      <c r="B7" s="16" t="inlineStr">
        <is>
          <t>Chuyên môn-Nghiệp vụ</t>
        </is>
      </c>
      <c r="C7" s="17" t="n">
        <v>18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Phát hiện, xử lý hoặc báo cáo sự cố máy kịp thời</t>
        </is>
      </c>
      <c r="B8" s="16" t="inlineStr">
        <is>
          <t>Chuyên môn-Nghiệp vụ</t>
        </is>
      </c>
      <c r="C8" s="17" t="n">
        <v>12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Bảo dưỡng, vệ sinh máy hàng ngày theo quy định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an toàn lao động, sử dụng đầy đủ đồ bảo hộ</t>
        </is>
      </c>
      <c r="B10" s="16" t="inlineStr">
        <is>
          <t>Tuân thủ-Thời hạn</t>
        </is>
      </c>
      <c r="C10" s="17" t="n">
        <v>15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Tuân thủ giờ giấc làm việc, giao ca đúng quy định</t>
        </is>
      </c>
      <c r="B11" s="16" t="inlineStr">
        <is>
          <t>Tuân thủ-Thời hạn</t>
        </is>
      </c>
      <c r="C11" s="17" t="n">
        <v>10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Tuân thủ quy trình 5S tại vị trí làm việc</t>
        </is>
      </c>
      <c r="B12" s="16" t="inlineStr">
        <is>
          <t>Tuân thủ-Thời hạn</t>
        </is>
      </c>
      <c r="C12" s="17" t="n">
        <v>10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Sản phẩm đạt chất lượng, tỷ lệ lỗi trong giới hạn cho phép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tổ trưởng, đồng nghiệp trong ca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CÔNG NHÂN LẮP RÁP / GIA CÔNG</t>
        </is>
      </c>
    </row>
    <row r="2">
      <c r="A2" s="2" t="inlineStr">
        <is>
          <t xml:space="preserve">KK HOME | </t>
        </is>
      </c>
    </row>
    <row r="3">
      <c r="A3" s="27" t="inlineStr">
        <is>
          <t>KHỐI CÔNG NHÂN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Hoàn thành sản lượng lắp ráp, gia công theo định mức</t>
        </is>
      </c>
      <c r="B7" s="16" t="inlineStr">
        <is>
          <t>Chuyên môn-Nghiệp vụ</t>
        </is>
      </c>
      <c r="C7" s="17" t="n">
        <v>18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Thao tác đúng kỹ thuật, đúng bản vẽ, hướng dẫn công việc</t>
        </is>
      </c>
      <c r="B8" s="16" t="inlineStr">
        <is>
          <t>Chuyên môn-Nghiệp vụ</t>
        </is>
      </c>
      <c r="C8" s="17" t="n">
        <v>12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Phát hiện lỗi sản phẩm trong quá trình làm việc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an toàn lao động</t>
        </is>
      </c>
      <c r="B10" s="16" t="inlineStr">
        <is>
          <t>Tuân thủ-Thời hạn</t>
        </is>
      </c>
      <c r="C10" s="17" t="n">
        <v>14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Tuân thủ giờ giấc, kỷ luật lao động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Tuân thủ quy trình 5S, giữ gìn dụng cụ, vị trí làm việc</t>
        </is>
      </c>
      <c r="B12" s="16" t="inlineStr">
        <is>
          <t>Tuân thủ-Thời hạn</t>
        </is>
      </c>
      <c r="C12" s="17" t="n">
        <v>10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Tỷ lệ sản phẩm đạt chất lượng, ít lỗi, hàng trả lại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Hỗ trợ, phối hợp đồng nghiệp hoàn thành công việc chung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5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CÔNG NHÂN ĐÓNG GÓI</t>
        </is>
      </c>
    </row>
    <row r="2">
      <c r="A2" s="2" t="inlineStr">
        <is>
          <t xml:space="preserve">KK HOME | </t>
        </is>
      </c>
    </row>
    <row r="3">
      <c r="A3" s="27" t="inlineStr">
        <is>
          <t>KHỐI CÔNG NHÂN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Hoàn thành sản lượng đóng gói theo định mức</t>
        </is>
      </c>
      <c r="B7" s="16" t="inlineStr">
        <is>
          <t>Chuyên môn-Nghiệp vụ</t>
        </is>
      </c>
      <c r="C7" s="17" t="n">
        <v>18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Đóng gói đúng quy cách, đúng nhãn mác, đúng đơn hàng</t>
        </is>
      </c>
      <c r="B8" s="16" t="inlineStr">
        <is>
          <t>Chuyên môn-Nghiệp vụ</t>
        </is>
      </c>
      <c r="C8" s="17" t="n">
        <v>12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Kiểm tra sản phẩm trước khi đóng gói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an toàn lao động</t>
        </is>
      </c>
      <c r="B10" s="16" t="inlineStr">
        <is>
          <t>Tuân thủ-Thời hạn</t>
        </is>
      </c>
      <c r="C10" s="17" t="n">
        <v>14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Tuân thủ giờ giấc, tiến độ đóng gói theo kế hoạch xuất hàng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Tuân thủ quy trình 5S tại khu vực đóng gói</t>
        </is>
      </c>
      <c r="B12" s="16" t="inlineStr">
        <is>
          <t>Tuân thủ-Thời hạn</t>
        </is>
      </c>
      <c r="C12" s="17" t="n">
        <v>10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Tỷ lệ đóng gói đúng, không nhầm lẫn đơn hàng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bộ phận kho, vận chuyển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6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NHÂN VIÊN KCS (KIỂM TRA CHẤT LƯỢNG)</t>
        </is>
      </c>
    </row>
    <row r="2">
      <c r="A2" s="2" t="inlineStr">
        <is>
          <t xml:space="preserve">KK HOME | </t>
        </is>
      </c>
    </row>
    <row r="3">
      <c r="A3" s="27" t="inlineStr">
        <is>
          <t>KHỐI CÔNG NHÂN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Kiểm tra chất lượng đúng tiêu chuẩn, đúng quy trình</t>
        </is>
      </c>
      <c r="B7" s="16" t="inlineStr">
        <is>
          <t>Chuyên môn-Nghiệp vụ</t>
        </is>
      </c>
      <c r="C7" s="17" t="n">
        <v>18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Phát hiện, ghi nhận lỗi sản phẩm kịp thời, chính xác</t>
        </is>
      </c>
      <c r="B8" s="16" t="inlineStr">
        <is>
          <t>Chuyên môn-Nghiệp vụ</t>
        </is>
      </c>
      <c r="C8" s="17" t="n">
        <v>12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Lập biên bản, hồ sơ kiểm tra đầy đủ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quy trình kiểm tra, tiêu chuẩn chất lượng công ty</t>
        </is>
      </c>
      <c r="B10" s="16" t="inlineStr">
        <is>
          <t>Tuân thủ-Thời hạn</t>
        </is>
      </c>
      <c r="C10" s="17" t="n">
        <v>14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tiến độ kiểm tra, không làm chậm dây chuyền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Tuân thủ an toàn lao động</t>
        </is>
      </c>
      <c r="B12" s="16" t="inlineStr">
        <is>
          <t>Tuân thủ-Thời hạn</t>
        </is>
      </c>
      <c r="C12" s="17" t="n">
        <v>10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Phản hồi kết quả kiểm tra kịp thời cho sản xuất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tổ trưởng, quản đốc xử lý hàng lỗi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7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CÔNG NHÂN KHO / THỦ KHO PHÂN XƯỞNG</t>
        </is>
      </c>
    </row>
    <row r="2">
      <c r="A2" s="2" t="inlineStr">
        <is>
          <t xml:space="preserve">KK HOME | </t>
        </is>
      </c>
    </row>
    <row r="3">
      <c r="A3" s="27" t="inlineStr">
        <is>
          <t>KHỐI CÔNG NHÂN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Nhập, xuất nguyên vật liệu, thành phẩm chính xác</t>
        </is>
      </c>
      <c r="B7" s="16" t="inlineStr">
        <is>
          <t>Chuyên môn-Nghiệp vụ</t>
        </is>
      </c>
      <c r="C7" s="17" t="n">
        <v>18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Sắp xếp kho khoa học, dễ kiểm soát</t>
        </is>
      </c>
      <c r="B8" s="16" t="inlineStr">
        <is>
          <t>Chuyên môn-Nghiệp vụ</t>
        </is>
      </c>
      <c r="C8" s="17" t="n">
        <v>12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Kiểm kê định kỳ, đối chiếu số liệu chính xác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quy trình nhập xuất kho, chứng từ đầy đủ</t>
        </is>
      </c>
      <c r="B10" s="16" t="inlineStr">
        <is>
          <t>Tuân thủ-Thời hạn</t>
        </is>
      </c>
      <c r="C10" s="17" t="n">
        <v>14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Tuân thủ an toàn lao động, PCCC trong kho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Đảm bảo tiến độ cấp phát vật tư cho sản xuất</t>
        </is>
      </c>
      <c r="B12" s="16" t="inlineStr">
        <is>
          <t>Tuân thủ-Thời hạn</t>
        </is>
      </c>
      <c r="C12" s="17" t="n">
        <v>10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Kiểm soát thất thoát, hư hỏng hàng hóa trong kho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sản xuất, mua hàng, kế toán kho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8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2" customWidth="1" min="3" max="3"/>
    <col width="15" customWidth="1" min="4" max="4"/>
    <col width="12" customWidth="1" min="5" max="5"/>
    <col width="14" customWidth="1" min="6" max="6"/>
  </cols>
  <sheetData>
    <row r="1" ht="19.5" customHeight="1">
      <c r="A1" s="10" t="inlineStr">
        <is>
          <t>KPI ĐÁNH GIÁ: CÔNG NHÂN BẢO TRÌ - CƠ ĐIỆN</t>
        </is>
      </c>
    </row>
    <row r="2">
      <c r="A2" s="2" t="inlineStr">
        <is>
          <t xml:space="preserve">KK HOME | </t>
        </is>
      </c>
    </row>
    <row r="3">
      <c r="A3" s="27" t="inlineStr">
        <is>
          <t>KHỐI CÔNG NHÂN SẢN XUẤT</t>
        </is>
      </c>
    </row>
    <row r="4">
      <c r="A4" s="12" t="inlineStr">
        <is>
          <t>Kỳ đánh giá:</t>
        </is>
      </c>
      <c r="B4" s="13" t="inlineStr"/>
    </row>
    <row r="5"/>
    <row r="6" ht="23.85" customHeight="1">
      <c r="A6" s="14" t="inlineStr">
        <is>
          <t>Tiêu chí</t>
        </is>
      </c>
      <c r="B6" s="14" t="inlineStr">
        <is>
          <t>Nhóm</t>
        </is>
      </c>
      <c r="C6" s="14" t="inlineStr">
        <is>
          <t>Trọng số (%)</t>
        </is>
      </c>
      <c r="D6" s="14" t="inlineStr">
        <is>
          <t>Thang điểm (1-5)</t>
        </is>
      </c>
      <c r="E6" s="14" t="inlineStr">
        <is>
          <t>Điểm chấm</t>
        </is>
      </c>
      <c r="F6" s="14" t="inlineStr">
        <is>
          <t>Điểm quy đổi</t>
        </is>
      </c>
    </row>
    <row r="7">
      <c r="A7" s="15" t="inlineStr">
        <is>
          <t>Bảo trì, sửa chữa máy móc kịp thời, đúng kỹ thuật</t>
        </is>
      </c>
      <c r="B7" s="16" t="inlineStr">
        <is>
          <t>Chuyên môn-Nghiệp vụ</t>
        </is>
      </c>
      <c r="C7" s="17" t="n">
        <v>18</v>
      </c>
      <c r="D7" s="16" t="n">
        <v>5</v>
      </c>
      <c r="E7" s="18" t="n"/>
      <c r="F7" s="19">
        <f>IFERROR(E7/D7*C7/100, "")</f>
        <v/>
      </c>
    </row>
    <row r="8">
      <c r="A8" s="15" t="inlineStr">
        <is>
          <t>Thực hiện bảo trì định kỳ theo kế hoạch</t>
        </is>
      </c>
      <c r="B8" s="16" t="inlineStr">
        <is>
          <t>Chuyên môn-Nghiệp vụ</t>
        </is>
      </c>
      <c r="C8" s="17" t="n">
        <v>12</v>
      </c>
      <c r="D8" s="16" t="n">
        <v>5</v>
      </c>
      <c r="E8" s="18" t="n"/>
      <c r="F8" s="19">
        <f>IFERROR(E8/D8*C8/100, "")</f>
        <v/>
      </c>
    </row>
    <row r="9">
      <c r="A9" s="15" t="inlineStr">
        <is>
          <t>Đề xuất cải tiến giảm hỏng hóc, tăng tuổi thọ thiết bị</t>
        </is>
      </c>
      <c r="B9" s="16" t="inlineStr">
        <is>
          <t>Chuyên môn-Nghiệp vụ</t>
        </is>
      </c>
      <c r="C9" s="17" t="n">
        <v>10</v>
      </c>
      <c r="D9" s="16" t="n">
        <v>5</v>
      </c>
      <c r="E9" s="18" t="n"/>
      <c r="F9" s="19">
        <f>IFERROR(E9/D9*C9/100, "")</f>
        <v/>
      </c>
    </row>
    <row r="10">
      <c r="A10" s="15" t="inlineStr">
        <is>
          <t>Tuân thủ an toàn điện, an toàn lao động</t>
        </is>
      </c>
      <c r="B10" s="16" t="inlineStr">
        <is>
          <t>Tuân thủ-Thời hạn</t>
        </is>
      </c>
      <c r="C10" s="17" t="n">
        <v>14</v>
      </c>
      <c r="D10" s="16" t="n">
        <v>5</v>
      </c>
      <c r="E10" s="18" t="n"/>
      <c r="F10" s="19">
        <f>IFERROR(E10/D10*C10/100, "")</f>
        <v/>
      </c>
    </row>
    <row r="11">
      <c r="A11" s="15" t="inlineStr">
        <is>
          <t>Đảm bảo thời gian khắc phục sự cố theo cam kết</t>
        </is>
      </c>
      <c r="B11" s="16" t="inlineStr">
        <is>
          <t>Tuân thủ-Thời hạn</t>
        </is>
      </c>
      <c r="C11" s="17" t="n">
        <v>11</v>
      </c>
      <c r="D11" s="16" t="n">
        <v>5</v>
      </c>
      <c r="E11" s="18" t="n"/>
      <c r="F11" s="19">
        <f>IFERROR(E11/D11*C11/100, "")</f>
        <v/>
      </c>
    </row>
    <row r="12">
      <c r="A12" s="15" t="inlineStr">
        <is>
          <t>Ghi chép nhật ký bảo trì, sửa chữa đầy đủ</t>
        </is>
      </c>
      <c r="B12" s="16" t="inlineStr">
        <is>
          <t>Tuân thủ-Thời hạn</t>
        </is>
      </c>
      <c r="C12" s="17" t="n">
        <v>10</v>
      </c>
      <c r="D12" s="16" t="n">
        <v>5</v>
      </c>
      <c r="E12" s="18" t="n"/>
      <c r="F12" s="19">
        <f>IFERROR(E12/D12*C12/100, "")</f>
        <v/>
      </c>
    </row>
    <row r="13">
      <c r="A13" s="15" t="inlineStr">
        <is>
          <t>Giảm thời gian dừng máy do sự cố</t>
        </is>
      </c>
      <c r="B13" s="16" t="inlineStr">
        <is>
          <t>Phối hợp-Thái độ</t>
        </is>
      </c>
      <c r="C13" s="17" t="n">
        <v>13</v>
      </c>
      <c r="D13" s="16" t="n">
        <v>5</v>
      </c>
      <c r="E13" s="18" t="n"/>
      <c r="F13" s="19">
        <f>IFERROR(E13/D13*C13/100, "")</f>
        <v/>
      </c>
    </row>
    <row r="14">
      <c r="A14" s="15" t="inlineStr">
        <is>
          <t>Phối hợp với sản xuất để bố trí lịch bảo trì hợp lý</t>
        </is>
      </c>
      <c r="B14" s="16" t="inlineStr">
        <is>
          <t>Phối hợp-Thái độ</t>
        </is>
      </c>
      <c r="C14" s="17" t="n">
        <v>12</v>
      </c>
      <c r="D14" s="16" t="n">
        <v>5</v>
      </c>
      <c r="E14" s="18" t="n"/>
      <c r="F14" s="19">
        <f>IFERROR(E14/D14*C14/100, "")</f>
        <v/>
      </c>
    </row>
    <row r="15">
      <c r="A15" s="20" t="inlineStr">
        <is>
          <t>TỔNG ĐIỂM</t>
        </is>
      </c>
      <c r="B15" s="21" t="n"/>
      <c r="C15" s="22" t="n">
        <v>100</v>
      </c>
      <c r="D15" s="21" t="n"/>
      <c r="E15" s="21" t="n"/>
      <c r="F15" s="23">
        <f>SUM(F7:F14)</f>
        <v/>
      </c>
    </row>
    <row r="16"/>
    <row r="17">
      <c r="A17" s="24" t="inlineStr">
        <is>
          <t>XẾP LOẠI</t>
        </is>
      </c>
      <c r="F17" s="25">
        <f>IFERROR(_xlfn.IFS(F15&gt;=80,"Xuất sắc",F15&gt;=70,"Đạt",F15&lt;70,"Cần cải thiện"), "")</f>
        <v/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24" customWidth="1" min="4" max="4"/>
  </cols>
  <sheetData>
    <row r="1">
      <c r="A1" s="10" t="inlineStr">
        <is>
          <t>TỔNG HỢP ĐIỂM ĐÁNH GIÁ - 17 VỊ TRÍ (QUẢN LÝ - QLSX - CÔNG NHÂN SX)</t>
        </is>
      </c>
    </row>
    <row r="2">
      <c r="A2" s="2" t="inlineStr">
        <is>
          <t xml:space="preserve">KK HOME | </t>
        </is>
      </c>
    </row>
    <row r="3"/>
    <row r="4">
      <c r="A4" s="28" t="inlineStr">
        <is>
          <t>KHỐI QUẢN LÝ</t>
        </is>
      </c>
    </row>
    <row r="5">
      <c r="A5" s="29" t="inlineStr">
        <is>
          <t>Vị trí</t>
        </is>
      </c>
      <c r="B5" s="29" t="inlineStr">
        <is>
          <t>Điểm tổng</t>
        </is>
      </c>
      <c r="C5" s="29" t="inlineStr">
        <is>
          <t>Xếp loại</t>
        </is>
      </c>
      <c r="D5" s="29" t="inlineStr">
        <is>
          <t>Ghi chú</t>
        </is>
      </c>
    </row>
    <row r="6">
      <c r="A6" s="15" t="inlineStr">
        <is>
          <t>Tổng Giám đốc / Giám đốc điều hành</t>
        </is>
      </c>
      <c r="B6" s="30">
        <f>'QL01_TGD_GDDH'!F15</f>
        <v/>
      </c>
      <c r="C6" s="16">
        <f>IFERROR(_xlfn.IFS(B6&gt;=80,"Xuất sắc",B6&gt;=70,"Đạt",B6&lt;70,"Cần cải thiện"), "")</f>
        <v/>
      </c>
      <c r="D6" s="15" t="n"/>
    </row>
    <row r="7">
      <c r="A7" s="15" t="inlineStr">
        <is>
          <t>Phó Giám đốc</t>
        </is>
      </c>
      <c r="B7" s="30">
        <f>'QL02_Pho_GD'!F15</f>
        <v/>
      </c>
      <c r="C7" s="16">
        <f>IFERROR(_xlfn.IFS(B7&gt;=80,"Xuất sắc",B7&gt;=70,"Đạt",B7&lt;70,"Cần cải thiện"), "")</f>
        <v/>
      </c>
      <c r="D7" s="15" t="n"/>
    </row>
    <row r="8">
      <c r="A8" s="15" t="inlineStr">
        <is>
          <t>Trưởng phòng</t>
        </is>
      </c>
      <c r="B8" s="30">
        <f>'QL03_Truong_Phong'!F15</f>
        <v/>
      </c>
      <c r="C8" s="16">
        <f>IFERROR(_xlfn.IFS(B8&gt;=80,"Xuất sắc",B8&gt;=70,"Đạt",B8&lt;70,"Cần cải thiện"), "")</f>
        <v/>
      </c>
      <c r="D8" s="15" t="n"/>
    </row>
    <row r="9">
      <c r="A9" s="15" t="inlineStr">
        <is>
          <t>Phó phòng</t>
        </is>
      </c>
      <c r="B9" s="30">
        <f>'QL04_Pho_Phong'!F15</f>
        <v/>
      </c>
      <c r="C9" s="16">
        <f>IFERROR(_xlfn.IFS(B9&gt;=80,"Xuất sắc",B9&gt;=70,"Đạt",B9&lt;70,"Cần cải thiện"), "")</f>
        <v/>
      </c>
      <c r="D9" s="15" t="n"/>
    </row>
    <row r="10">
      <c r="A10" s="15" t="inlineStr">
        <is>
          <t>Trưởng nhóm / Trưởng bộ phận</t>
        </is>
      </c>
      <c r="B10" s="30">
        <f>'QL05_Truong_Nhom'!F15</f>
        <v/>
      </c>
      <c r="C10" s="16">
        <f>IFERROR(_xlfn.IFS(B10&gt;=80,"Xuất sắc",B10&gt;=70,"Đạt",B10&lt;70,"Cần cải thiện"), "")</f>
        <v/>
      </c>
      <c r="D10" s="15" t="n"/>
    </row>
    <row r="11">
      <c r="A11" s="31" t="inlineStr">
        <is>
          <t>KHỐI QUẢN LÝ SẢN XUẤT</t>
        </is>
      </c>
    </row>
    <row r="12">
      <c r="A12" s="29" t="inlineStr">
        <is>
          <t>Vị trí</t>
        </is>
      </c>
      <c r="B12" s="29" t="inlineStr">
        <is>
          <t>Điểm tổng</t>
        </is>
      </c>
      <c r="C12" s="29" t="inlineStr">
        <is>
          <t>Xếp loại</t>
        </is>
      </c>
      <c r="D12" s="29" t="inlineStr">
        <is>
          <t>Ghi chú</t>
        </is>
      </c>
    </row>
    <row r="13">
      <c r="A13" s="15" t="inlineStr">
        <is>
          <t>Giám đốc sản xuất / Giám đốc nhà máy</t>
        </is>
      </c>
      <c r="B13" s="30">
        <f>'SX01_GD_San_Xuat'!F15</f>
        <v/>
      </c>
      <c r="C13" s="16">
        <f>IFERROR(_xlfn.IFS(B13&gt;=80,"Xuất sắc",B13&gt;=70,"Đạt",B13&lt;70,"Cần cải thiện"), "")</f>
        <v/>
      </c>
      <c r="D13" s="15" t="n"/>
    </row>
    <row r="14">
      <c r="A14" s="15" t="inlineStr">
        <is>
          <t>Quản đốc phân xưởng</t>
        </is>
      </c>
      <c r="B14" s="30">
        <f>'SX02_Quan_Doc'!F15</f>
        <v/>
      </c>
      <c r="C14" s="16">
        <f>IFERROR(_xlfn.IFS(B14&gt;=80,"Xuất sắc",B14&gt;=70,"Đạt",B14&lt;70,"Cần cải thiện"), "")</f>
        <v/>
      </c>
      <c r="D14" s="15" t="n"/>
    </row>
    <row r="15">
      <c r="A15" s="15" t="inlineStr">
        <is>
          <t>Trưởng ca sản xuất</t>
        </is>
      </c>
      <c r="B15" s="30">
        <f>'SX03_Truong_Ca'!F15</f>
        <v/>
      </c>
      <c r="C15" s="16">
        <f>IFERROR(_xlfn.IFS(B15&gt;=80,"Xuất sắc",B15&gt;=70,"Đạt",B15&lt;70,"Cần cải thiện"), "")</f>
        <v/>
      </c>
      <c r="D15" s="15" t="n"/>
    </row>
    <row r="16">
      <c r="A16" s="15" t="inlineStr">
        <is>
          <t>Tổ trưởng sản xuất</t>
        </is>
      </c>
      <c r="B16" s="30">
        <f>'SX04_To_Truong'!F15</f>
        <v/>
      </c>
      <c r="C16" s="16">
        <f>IFERROR(_xlfn.IFS(B16&gt;=80,"Xuất sắc",B16&gt;=70,"Đạt",B16&lt;70,"Cần cải thiện"), "")</f>
        <v/>
      </c>
      <c r="D16" s="15" t="n"/>
    </row>
    <row r="17">
      <c r="A17" s="15" t="inlineStr">
        <is>
          <t>Trưởng phòng QC/QA</t>
        </is>
      </c>
      <c r="B17" s="30">
        <f>'SX05_Truong_QC_QA'!F15</f>
        <v/>
      </c>
      <c r="C17" s="16">
        <f>IFERROR(_xlfn.IFS(B17&gt;=80,"Xuất sắc",B17&gt;=70,"Đạt",B17&lt;70,"Cần cải thiện"), "")</f>
        <v/>
      </c>
      <c r="D17" s="15" t="n"/>
    </row>
    <row r="18">
      <c r="A18" s="15" t="inlineStr">
        <is>
          <t>Trưởng phòng Kế hoạch sản xuất (PPC)</t>
        </is>
      </c>
      <c r="B18" s="30">
        <f>'SX06_Truong_PPC'!F15</f>
        <v/>
      </c>
      <c r="C18" s="16">
        <f>IFERROR(_xlfn.IFS(B18&gt;=80,"Xuất sắc",B18&gt;=70,"Đạt",B18&lt;70,"Cần cải thiện"), "")</f>
        <v/>
      </c>
      <c r="D18" s="15" t="n"/>
    </row>
    <row r="19">
      <c r="A19" s="32" t="inlineStr">
        <is>
          <t>KHỐI CÔNG NHÂN SẢN XUẤT</t>
        </is>
      </c>
    </row>
    <row r="20">
      <c r="A20" s="29" t="inlineStr">
        <is>
          <t>Vị trí</t>
        </is>
      </c>
      <c r="B20" s="29" t="inlineStr">
        <is>
          <t>Điểm tổng</t>
        </is>
      </c>
      <c r="C20" s="29" t="inlineStr">
        <is>
          <t>Xếp loại</t>
        </is>
      </c>
      <c r="D20" s="29" t="inlineStr">
        <is>
          <t>Ghi chú</t>
        </is>
      </c>
    </row>
    <row r="21">
      <c r="A21" s="15" t="inlineStr">
        <is>
          <t>Công nhân vận hành máy</t>
        </is>
      </c>
      <c r="B21" s="30">
        <f>'CN01_Van_Hanh_May'!F15</f>
        <v/>
      </c>
      <c r="C21" s="16">
        <f>IFERROR(_xlfn.IFS(B21&gt;=80,"Xuất sắc",B21&gt;=70,"Đạt",B21&lt;70,"Cần cải thiện"), "")</f>
        <v/>
      </c>
      <c r="D21" s="15" t="n"/>
    </row>
    <row r="22">
      <c r="A22" s="15" t="inlineStr">
        <is>
          <t>Công nhân lắp ráp / gia công</t>
        </is>
      </c>
      <c r="B22" s="30">
        <f>'CN02_Lap_Rap_Gia_Cong'!F15</f>
        <v/>
      </c>
      <c r="C22" s="16">
        <f>IFERROR(_xlfn.IFS(B22&gt;=80,"Xuất sắc",B22&gt;=70,"Đạt",B22&lt;70,"Cần cải thiện"), "")</f>
        <v/>
      </c>
      <c r="D22" s="15" t="n"/>
    </row>
    <row r="23">
      <c r="A23" s="15" t="inlineStr">
        <is>
          <t>Công nhân đóng gói</t>
        </is>
      </c>
      <c r="B23" s="30">
        <f>'CN03_Dong_Goi'!F15</f>
        <v/>
      </c>
      <c r="C23" s="16">
        <f>IFERROR(_xlfn.IFS(B23&gt;=80,"Xuất sắc",B23&gt;=70,"Đạt",B23&lt;70,"Cần cải thiện"), "")</f>
        <v/>
      </c>
      <c r="D23" s="15" t="n"/>
    </row>
    <row r="24">
      <c r="A24" s="15" t="inlineStr">
        <is>
          <t>Nhân viên KCS (kiểm tra chất lượng)</t>
        </is>
      </c>
      <c r="B24" s="30">
        <f>'CN04_KCS'!F15</f>
        <v/>
      </c>
      <c r="C24" s="16">
        <f>IFERROR(_xlfn.IFS(B24&gt;=80,"Xuất sắc",B24&gt;=70,"Đạt",B24&lt;70,"Cần cải thiện"), "")</f>
        <v/>
      </c>
      <c r="D24" s="15" t="n"/>
    </row>
    <row r="25">
      <c r="A25" s="15" t="inlineStr">
        <is>
          <t>Công nhân kho / Thủ kho phân xưởng</t>
        </is>
      </c>
      <c r="B25" s="30">
        <f>'CN05_Kho_Px'!F15</f>
        <v/>
      </c>
      <c r="C25" s="16">
        <f>IFERROR(_xlfn.IFS(B25&gt;=80,"Xuất sắc",B25&gt;=70,"Đạt",B25&lt;70,"Cần cải thiện"), "")</f>
        <v/>
      </c>
      <c r="D25" s="15" t="n"/>
    </row>
    <row r="26">
      <c r="A26" s="15" t="inlineStr">
        <is>
          <t>Công nhân bảo trì - cơ điện</t>
        </is>
      </c>
      <c r="B26" s="30">
        <f>'CN06_Bao_Tri_Co_Dien'!F15</f>
        <v/>
      </c>
      <c r="C26" s="16">
        <f>IFERROR(_xlfn.IFS(B26&gt;=80,"Xuất sắc",B26&gt;=70,"Đạt",B26&lt;70,"Cần cải thiện"), "")</f>
        <v/>
      </c>
      <c r="D26" s="15" t="n"/>
    </row>
  </sheetData>
  <mergeCells count="5">
    <mergeCell ref="A1:D1"/>
    <mergeCell ref="A11:D11"/>
    <mergeCell ref="A4:D4"/>
    <mergeCell ref="A19:D19"/>
    <mergeCell ref="A2:D2"/>
  </mergeCells>
  <pageMargins left="0.75" right="0.75" top="1" bottom="1" header="0.5" footer="0.5"/>
  <pageSetup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2" customWidth="1" min="4" max="4"/>
    <col width="16" customWidth="1" min="5" max="5"/>
    <col width="24" customWidth="1" min="6" max="6"/>
  </cols>
  <sheetData>
    <row r="1">
      <c r="A1" s="10" t="inlineStr">
        <is>
          <t>SO SÁNH ĐIỂM ĐÁNH GIÁ - NHÂN VIÊN / BỘ PHẬN</t>
        </is>
      </c>
    </row>
    <row r="2">
      <c r="A2" s="2" t="inlineStr">
        <is>
          <t xml:space="preserve">KK HOME | </t>
        </is>
      </c>
    </row>
    <row r="3"/>
    <row r="4">
      <c r="A4" s="33" t="inlineStr">
        <is>
          <t>Hướng dẫn: Nhập tên nhân viên, vị trí, kỳ đánh giá. Điểm tổng lấy thủ công/dẫn chiếu từ sheet vị trí tương ứng.</t>
        </is>
      </c>
    </row>
    <row r="5"/>
    <row r="6">
      <c r="A6" s="29" t="inlineStr">
        <is>
          <t>Tên nhân viên</t>
        </is>
      </c>
      <c r="B6" s="29" t="inlineStr">
        <is>
          <t>Vị trí</t>
        </is>
      </c>
      <c r="C6" s="29" t="inlineStr">
        <is>
          <t>Kỳ đánh giá</t>
        </is>
      </c>
      <c r="D6" s="29" t="inlineStr">
        <is>
          <t>Điểm tổng</t>
        </is>
      </c>
      <c r="E6" s="29" t="inlineStr">
        <is>
          <t>Xếp loại</t>
        </is>
      </c>
      <c r="F6" s="29" t="inlineStr">
        <is>
          <t>Ghi chú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10" t="inlineStr">
        <is>
          <t>NGUYÊN TẮC &amp; QUY TẮC CHẤM ĐIỂM</t>
        </is>
      </c>
    </row>
    <row r="2">
      <c r="A2" s="2" t="inlineStr">
        <is>
          <t xml:space="preserve">KK HOME | </t>
        </is>
      </c>
    </row>
    <row r="3"/>
    <row r="4">
      <c r="A4" s="3" t="inlineStr">
        <is>
          <t>THANG ĐIỂM 1-5</t>
        </is>
      </c>
    </row>
    <row r="5">
      <c r="A5" s="24" t="inlineStr">
        <is>
          <t>5 điểm</t>
        </is>
      </c>
      <c r="B5" s="34" t="inlineStr">
        <is>
          <t>Tuyệt vời - Hoàn thành công việc xuất sắc, vượt mong đợi, tự giác và chủ động</t>
        </is>
      </c>
    </row>
    <row r="6">
      <c r="A6" s="24" t="inlineStr">
        <is>
          <t>4 điểm</t>
        </is>
      </c>
      <c r="B6" s="34" t="inlineStr">
        <is>
          <t>Tốt - Hoàn thành công việc tốt, đạt hoặc vượt mục tiêu đề ra</t>
        </is>
      </c>
    </row>
    <row r="7">
      <c r="A7" s="24" t="inlineStr">
        <is>
          <t>3 điểm</t>
        </is>
      </c>
      <c r="B7" s="34" t="inlineStr">
        <is>
          <t>Bình thường - Đáp ứng đủ yêu cầu cơ bản, hoàn thành công việc bình thường</t>
        </is>
      </c>
    </row>
    <row r="8">
      <c r="A8" s="24" t="inlineStr">
        <is>
          <t>2 điểm</t>
        </is>
      </c>
      <c r="B8" s="34" t="inlineStr">
        <is>
          <t>Chưa đạt - Công việc chưa hoàn thành tốt, cần cải thiện, có lỗi nhỏ</t>
        </is>
      </c>
    </row>
    <row r="9">
      <c r="A9" s="24" t="inlineStr">
        <is>
          <t>1 điểm</t>
        </is>
      </c>
      <c r="B9" s="34" t="inlineStr">
        <is>
          <t>Kém - Chưa hoàn thành công việc, cần hỗ trợ nhiều, sai sót lớn</t>
        </is>
      </c>
    </row>
    <row r="10"/>
    <row r="11">
      <c r="A11" s="3" t="inlineStr">
        <is>
          <t>NGUYÊN TẮC CHẤM ĐIỂM</t>
        </is>
      </c>
    </row>
    <row r="12">
      <c r="A12" s="24" t="inlineStr">
        <is>
          <t>Khách quan</t>
        </is>
      </c>
      <c r="B12" s="34" t="inlineStr">
        <is>
          <t>Chấm điểm dựa trên kết quả công việc thực tế, không chịu ảnh hưởng cảm xúc cá nhân</t>
        </is>
      </c>
    </row>
    <row r="13">
      <c r="A13" s="24" t="inlineStr">
        <is>
          <t>Công bằng</t>
        </is>
      </c>
      <c r="B13" s="34" t="inlineStr">
        <is>
          <t>Áp dụng tiêu chí chung cho tất cả nhân viên cùng vị trí, không phân biệt</t>
        </is>
      </c>
    </row>
    <row r="14">
      <c r="A14" s="24" t="inlineStr">
        <is>
          <t>Công khai</t>
        </is>
      </c>
      <c r="B14" s="34" t="inlineStr">
        <is>
          <t>Tiêu chí, trọng số, thang điểm công khai, rõ ràng trước khi chấm</t>
        </is>
      </c>
    </row>
    <row r="15">
      <c r="A15" s="24" t="inlineStr">
        <is>
          <t>Định kỳ</t>
        </is>
      </c>
      <c r="B15" s="34" t="inlineStr">
        <is>
          <t>Đánh giá đều đặn (tháng/quý/năm) để theo dõi tiến bộ nhân viên</t>
        </is>
      </c>
    </row>
    <row r="16">
      <c r="A16" s="24" t="inlineStr">
        <is>
          <t>Phản hồi</t>
        </is>
      </c>
      <c r="B16" s="34" t="inlineStr">
        <is>
          <t>Thảo luận kết quả với nhân viên, giải thích lý do, đề ra kế hoạch cải thiện</t>
        </is>
      </c>
    </row>
    <row r="17"/>
    <row r="18">
      <c r="A18" s="3" t="inlineStr">
        <is>
          <t>CÁCH CHẤM ĐIỂM</t>
        </is>
      </c>
    </row>
    <row r="19">
      <c r="A19" s="24" t="inlineStr">
        <is>
          <t>So sánh</t>
        </is>
      </c>
      <c r="B19" s="34" t="inlineStr">
        <is>
          <t>So sánh công việc thực tế với tiêu chuẩn yêu cầu của vị trí</t>
        </is>
      </c>
    </row>
    <row r="20">
      <c r="A20" s="24" t="inlineStr">
        <is>
          <t>Chứng cứ</t>
        </is>
      </c>
      <c r="B20" s="34" t="inlineStr">
        <is>
          <t>Dựa trên chứng cứ cụ thể: sản lượng, số sai sót, an toàn lao động, deadline, phản hồi</t>
        </is>
      </c>
    </row>
    <row r="21">
      <c r="A21" s="24" t="inlineStr">
        <is>
          <t>Trung bình</t>
        </is>
      </c>
      <c r="B21" s="34" t="inlineStr">
        <is>
          <t>Nếu công việc dao động giữa 2 mức, chấm điểm trung bình (VD: 3.5)</t>
        </is>
      </c>
    </row>
    <row r="22">
      <c r="A22" s="24" t="inlineStr">
        <is>
          <t>Ngoại lệ</t>
        </is>
      </c>
      <c r="B22" s="34" t="inlineStr">
        <is>
          <t>Ghi chú lý do nếu chấm điểm cao/thấp bất thường so với bình thường</t>
        </is>
      </c>
    </row>
    <row r="23"/>
    <row r="24">
      <c r="A24" s="3" t="inlineStr">
        <is>
          <t>LƯU Ý RIÊNG CHO KHỐI SẢN XUẤT</t>
        </is>
      </c>
    </row>
    <row r="25">
      <c r="A25" s="24" t="inlineStr">
        <is>
          <t>An toàn lao động</t>
        </is>
      </c>
      <c r="B25" s="34" t="inlineStr">
        <is>
          <t>Vi phạm an toàn lao động nghiêm trọng có thể bị chấm 1 điểm cho toàn bộ nhóm Tuân thủ-Thời hạn, không phụ thuộc kết quả sản lượng</t>
        </is>
      </c>
    </row>
    <row r="26">
      <c r="A26" s="24" t="inlineStr">
        <is>
          <t>Sản lượng, định mức</t>
        </is>
      </c>
      <c r="B26" s="34" t="inlineStr">
        <is>
          <t>Căn cứ vào số liệu sản lượng thực tế, báo cáo ca/ngày, đối chiếu với định mức đã công bố</t>
        </is>
      </c>
    </row>
  </sheetData>
  <mergeCells count="2">
    <mergeCell ref="A2:B2"/>
    <mergeCell ref="A1:B1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2026-09-22T08:44:06Z</dcterms:created>
  <dcterms:modified xmlns:dcterms="http://purl.org/dc/terms/" xmlns:xsi="http://www.w3.org/2001/XMLSchema-instance" xsi:type="dcterms:W3CDTF">2026-10-25T09:13:34Z</dcterms:modified>
</cp:coreProperties>
</file>