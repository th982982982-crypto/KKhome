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ướng dẫn" sheetId="1" state="visible" r:id="rId1"/>
    <sheet xmlns:r="http://schemas.openxmlformats.org/officeDocument/2006/relationships" name="Tổng hợp" sheetId="2" state="visible" r:id="rId2"/>
    <sheet xmlns:r="http://schemas.openxmlformats.org/officeDocument/2006/relationships" name="So sánh" sheetId="3" state="visible" r:id="rId3"/>
    <sheet xmlns:r="http://schemas.openxmlformats.org/officeDocument/2006/relationships" name="Nguyên tắc chấm" sheetId="4" state="visible" r:id="rId4"/>
    <sheet xmlns:r="http://schemas.openxmlformats.org/officeDocument/2006/relationships" name="01. Trưởng phòng KT-R&amp;D" sheetId="5" state="visible" r:id="rId5"/>
    <sheet xmlns:r="http://schemas.openxmlformats.org/officeDocument/2006/relationships" name="02. Kỹ sư R&amp;D" sheetId="6" state="visible" r:id="rId6"/>
    <sheet xmlns:r="http://schemas.openxmlformats.org/officeDocument/2006/relationships" name="03. Kỹ sư công nghệ" sheetId="7" state="visible" r:id="rId7"/>
    <sheet xmlns:r="http://schemas.openxmlformats.org/officeDocument/2006/relationships" name="04. Kỹ sư thiết kế" sheetId="8" state="visible" r:id="rId8"/>
    <sheet xmlns:r="http://schemas.openxmlformats.org/officeDocument/2006/relationships" name="05. KTV Thí nghiệm" sheetId="9" state="visible" r:id="rId9"/>
    <sheet xmlns:r="http://schemas.openxmlformats.org/officeDocument/2006/relationships" name="06. CV Tiêu chuẩn-Hồ sơ KT" sheetId="10" state="visible" r:id="rId10"/>
  </sheets>
  <definedNames>
    <definedName name="_xlnm.Print_Titles" localSheetId="4">'01. Trưởng phòng KT-R&amp;D'!$9:$9</definedName>
    <definedName name="_xlnm.Print_Area" localSheetId="4">'01. Trưởng phòng KT-R&amp;D'!$A$1:$I$39</definedName>
    <definedName name="_xlnm.Print_Titles" localSheetId="5">'02. Kỹ sư R&amp;D'!$9:$9</definedName>
    <definedName name="_xlnm.Print_Area" localSheetId="5">'02. Kỹ sư R&amp;D'!$A$1:$I$40</definedName>
    <definedName name="_xlnm.Print_Titles" localSheetId="6">'03. Kỹ sư công nghệ'!$9:$9</definedName>
    <definedName name="_xlnm.Print_Area" localSheetId="6">'03. Kỹ sư công nghệ'!$A$1:$I$40</definedName>
    <definedName name="_xlnm.Print_Titles" localSheetId="7">'04. Kỹ sư thiết kế'!$9:$9</definedName>
    <definedName name="_xlnm.Print_Area" localSheetId="7">'04. Kỹ sư thiết kế'!$A$1:$I$40</definedName>
    <definedName name="_xlnm.Print_Titles" localSheetId="8">'05. KTV Thí nghiệm'!$9:$9</definedName>
    <definedName name="_xlnm.Print_Area" localSheetId="8">'05. KTV Thí nghiệm'!$A$1:$I$40</definedName>
    <definedName name="_xlnm.Print_Titles" localSheetId="9">'06. CV Tiêu chuẩn-Hồ sơ KT'!$9:$9</definedName>
    <definedName name="_xlnm.Print_Area" localSheetId="9">'06. CV Tiêu chuẩn-Hồ sơ KT'!$A$1:$I$40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+0.0;-0.0;0.0"/>
    <numFmt numFmtId="166" formatCode="dd/mm/yyyy"/>
  </numFmts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6B7280"/>
      <sz val="9"/>
    </font>
    <font>
      <name val="Arial"/>
      <b val="1"/>
      <color rgb="00374151"/>
      <sz val="10"/>
    </font>
    <font>
      <name val="Arial"/>
      <color rgb="001D4ED8"/>
      <sz val="10"/>
    </font>
    <font>
      <name val="Arial"/>
      <color rgb="009CA3AF"/>
      <sz val="8"/>
    </font>
    <font>
      <name val="Arial"/>
      <b val="1"/>
      <color rgb="00FFFFFF"/>
      <sz val="10"/>
    </font>
    <font>
      <name val="Arial"/>
      <color rgb="00111827"/>
      <sz val="10"/>
    </font>
    <font>
      <name val="Arial"/>
      <b val="1"/>
      <color rgb="00111827"/>
      <sz val="10"/>
    </font>
    <font>
      <name val="Arial"/>
      <color rgb="00374151"/>
      <sz val="9"/>
    </font>
    <font>
      <name val="Arial"/>
      <color rgb="00111827"/>
      <sz val="9"/>
    </font>
    <font>
      <name val="Arial"/>
      <b val="1"/>
      <color rgb="00111827"/>
      <sz val="11"/>
    </font>
    <font>
      <name val="Arial"/>
      <b val="1"/>
      <color rgb="00374151"/>
      <sz val="9"/>
    </font>
    <font>
      <name val="Arial"/>
      <i val="1"/>
      <color rgb="006B7280"/>
      <sz val="9"/>
    </font>
    <font>
      <name val="Arial"/>
      <b val="1"/>
      <color rgb="00FFFFFF"/>
      <sz val="11"/>
    </font>
    <font>
      <name val="Arial"/>
      <b val="1"/>
      <color rgb="001D4ED8"/>
      <sz val="10"/>
    </font>
    <font>
      <name val="Arial"/>
      <color rgb="001D4ED8"/>
      <sz val="10"/>
      <u val="single"/>
    </font>
    <font>
      <name val="Arial"/>
      <b val="1"/>
      <color rgb="006B7280"/>
      <sz val="9"/>
    </font>
    <font>
      <name val="Arial"/>
      <b val="1"/>
      <color rgb="00111827"/>
      <sz val="9"/>
    </font>
  </fonts>
  <fills count="11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F7D6"/>
      </patternFill>
    </fill>
    <fill>
      <patternFill patternType="solid">
        <fgColor rgb="00EEF2FF"/>
      </patternFill>
    </fill>
    <fill>
      <patternFill patternType="solid">
        <fgColor rgb="00F3F4F6"/>
      </patternFill>
    </fill>
    <fill>
      <patternFill patternType="solid">
        <fgColor rgb="00ECFDF5"/>
      </patternFill>
    </fill>
    <fill>
      <patternFill patternType="solid">
        <fgColor rgb="00FFF7ED"/>
      </patternFill>
    </fill>
    <fill>
      <patternFill patternType="solid">
        <fgColor rgb="00E5E7EB"/>
      </patternFill>
    </fill>
    <fill>
      <patternFill patternType="solid">
        <fgColor rgb="00FAFAFA"/>
      </patternFill>
    </fill>
    <fill>
      <patternFill patternType="solid">
        <fgColor rgb="004B5563"/>
      </patternFill>
    </fill>
  </fills>
  <borders count="9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  <border>
      <left style="thin">
        <color rgb="00D1D5DB"/>
      </left>
      <right/>
      <top/>
      <bottom/>
      <diagonal/>
    </border>
    <border>
      <left style="thin">
        <color rgb="00D1D5DB"/>
      </left>
      <right style="thin">
        <color rgb="00D1D5DB"/>
      </right>
      <top/>
      <bottom/>
      <diagonal/>
    </border>
    <border>
      <left style="thin">
        <color rgb="00D1D5DB"/>
      </left>
      <right style="thin">
        <color rgb="00D1D5DB"/>
      </right>
      <top/>
      <bottom style="thin">
        <color rgb="00D1D5DB"/>
      </bottom>
      <diagonal/>
    </border>
    <border>
      <left/>
      <right/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8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0" borderId="0" applyAlignment="1" pivotButton="0" quotePrefix="0" xfId="0">
      <alignment horizontal="left" vertical="center"/>
    </xf>
    <xf numFmtId="0" fontId="14" fillId="2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15" fillId="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9" fontId="7" fillId="0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164" fontId="7" fillId="9" borderId="1" applyAlignment="1" pivotButton="0" quotePrefix="0" xfId="0">
      <alignment horizontal="center" vertical="center" wrapText="1"/>
    </xf>
    <xf numFmtId="164" fontId="8" fillId="9" borderId="1" applyAlignment="1" pivotButton="0" quotePrefix="0" xfId="0">
      <alignment horizontal="center" vertical="center" wrapText="1"/>
    </xf>
    <xf numFmtId="165" fontId="7" fillId="9" borderId="1" applyAlignment="1" pivotButton="0" quotePrefix="0" xfId="0">
      <alignment horizontal="center" vertical="center" wrapText="1"/>
    </xf>
    <xf numFmtId="9" fontId="7" fillId="9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1" fontId="8" fillId="5" borderId="1" applyAlignment="1" pivotButton="0" quotePrefix="0" xfId="0">
      <alignment horizontal="center" vertical="center" wrapText="1"/>
    </xf>
    <xf numFmtId="164" fontId="8" fillId="5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18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13" fillId="0" borderId="0" applyAlignment="1" pivotButton="0" quotePrefix="0" xfId="0">
      <alignment horizontal="left" vertical="center" wrapText="1"/>
    </xf>
    <xf numFmtId="0" fontId="18" fillId="0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166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9" fontId="4" fillId="0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0" fillId="8" borderId="1" pivotButton="0" quotePrefix="0" xfId="0"/>
    <xf numFmtId="9" fontId="8" fillId="8" borderId="1" applyAlignment="1" pivotButton="0" quotePrefix="0" xfId="0">
      <alignment horizontal="center" vertical="center" wrapText="1"/>
    </xf>
    <xf numFmtId="164" fontId="8" fillId="8" borderId="1" applyAlignment="1" pivotButton="0" quotePrefix="0" xfId="0">
      <alignment horizontal="center" vertical="center" wrapText="1"/>
    </xf>
    <xf numFmtId="164" fontId="11" fillId="5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9" fontId="8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9" borderId="1" applyAlignment="1" pivotButton="0" quotePrefix="0" xfId="0">
      <alignment horizontal="center" vertical="center" wrapText="1"/>
    </xf>
    <xf numFmtId="164" fontId="8" fillId="9" borderId="1" applyAlignment="1" pivotButton="0" quotePrefix="0" xfId="0">
      <alignment horizontal="center" vertical="center" wrapText="1"/>
    </xf>
    <xf numFmtId="165" fontId="7" fillId="9" borderId="1" applyAlignment="1" pivotButton="0" quotePrefix="0" xfId="0">
      <alignment horizontal="center" vertical="center" wrapText="1"/>
    </xf>
    <xf numFmtId="0" fontId="0" fillId="0" borderId="4" pivotButton="0" quotePrefix="0" xfId="0"/>
    <xf numFmtId="164" fontId="8" fillId="5" borderId="1" applyAlignment="1" pivotButton="0" quotePrefix="0" xfId="0">
      <alignment horizontal="center" vertical="center" wrapText="1"/>
    </xf>
    <xf numFmtId="0" fontId="0" fillId="0" borderId="8" pivotButton="0" quotePrefix="0" xfId="0"/>
    <xf numFmtId="166" fontId="4" fillId="3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center" vertical="center" wrapText="1"/>
    </xf>
    <xf numFmtId="164" fontId="8" fillId="8" borderId="1" applyAlignment="1" pivotButton="0" quotePrefix="0" xfId="0">
      <alignment horizontal="center" vertical="center" wrapText="1"/>
    </xf>
    <xf numFmtId="164" fontId="11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7">
    <dxf>
      <fill>
        <patternFill patternType="solid">
          <fgColor rgb="00BBF7D0"/>
          <bgColor rgb="00BBF7D0"/>
        </patternFill>
      </fill>
    </dxf>
    <dxf>
      <fill>
        <patternFill patternType="solid">
          <fgColor rgb="00BFDBFE"/>
          <bgColor rgb="00BFDBFE"/>
        </patternFill>
      </fill>
    </dxf>
    <dxf>
      <fill>
        <patternFill patternType="solid">
          <fgColor rgb="00FECACA"/>
          <bgColor rgb="00FECACA"/>
        </patternFill>
      </fill>
    </dxf>
    <dxf>
      <fill>
        <patternFill patternType="solid">
          <fgColor rgb="00FDE68A"/>
          <bgColor rgb="00FDE68A"/>
        </patternFill>
      </fill>
    </dxf>
    <dxf>
      <font>
        <b val="1"/>
        <color rgb="00B91C1C"/>
      </font>
    </dxf>
    <dxf>
      <fill>
        <patternFill patternType="solid">
          <fgColor rgb="00FDBA74"/>
          <bgColor rgb="00FDBA74"/>
        </patternFill>
      </fill>
    </dxf>
    <dxf>
      <font>
        <b val="1"/>
        <color rgb="00B91C1C"/>
      </font>
      <fill>
        <patternFill patternType="solid">
          <fgColor rgb="00FECACA"/>
          <bgColor rgb="00FECAC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Điểm tự đánh giá vs Điểm chính thức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'So sánh'!C4</f>
            </strRef>
          </tx>
          <spPr>
            <a:solidFill xmlns:a="http://schemas.openxmlformats.org/drawingml/2006/main">
              <a:srgbClr val="9CA3AF"/>
            </a:solidFill>
            <a:ln xmlns:a="http://schemas.openxmlformats.org/drawingml/2006/main">
              <a:prstDash val="solid"/>
            </a:ln>
          </spPr>
          <cat>
            <numRef>
              <f>'So sánh'!$B$5:$B$10</f>
            </numRef>
          </cat>
          <val>
            <numRef>
              <f>'So sánh'!$C$5:$C$10</f>
            </numRef>
          </val>
        </ser>
        <ser>
          <idx val="1"/>
          <order val="1"/>
          <tx>
            <strRef>
              <f>'So sánh'!D4</f>
            </strRef>
          </tx>
          <spPr>
            <a:solidFill xmlns:a="http://schemas.openxmlformats.org/drawingml/2006/main">
              <a:srgbClr val="1F2937"/>
            </a:solidFill>
            <a:ln xmlns:a="http://schemas.openxmlformats.org/drawingml/2006/main">
              <a:prstDash val="solid"/>
            </a:ln>
          </spPr>
          <cat>
            <numRef>
              <f>'So sánh'!$B$5:$B$10</f>
            </numRef>
          </cat>
          <val>
            <numRef>
              <f>'So sánh'!$D$5:$D$10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Điểm (/100)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Tỷ lệ đạt theo nhóm tiêu chí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'So sánh'!E4</f>
            </strRef>
          </tx>
          <spPr>
            <a:solidFill xmlns:a="http://schemas.openxmlformats.org/drawingml/2006/main">
              <a:srgbClr val="6366F1"/>
            </a:solidFill>
            <a:ln xmlns:a="http://schemas.openxmlformats.org/drawingml/2006/main">
              <a:prstDash val="solid"/>
            </a:ln>
          </spPr>
          <cat>
            <numRef>
              <f>'So sánh'!$B$5:$B$10</f>
            </numRef>
          </cat>
          <val>
            <numRef>
              <f>'So sánh'!$E$5:$E$10</f>
            </numRef>
          </val>
        </ser>
        <ser>
          <idx val="1"/>
          <order val="1"/>
          <tx>
            <strRef>
              <f>'So sánh'!F4</f>
            </strRef>
          </tx>
          <spPr>
            <a:solidFill xmlns:a="http://schemas.openxmlformats.org/drawingml/2006/main">
              <a:srgbClr val="10B981"/>
            </a:solidFill>
            <a:ln xmlns:a="http://schemas.openxmlformats.org/drawingml/2006/main">
              <a:prstDash val="solid"/>
            </a:ln>
          </spPr>
          <cat>
            <numRef>
              <f>'So sánh'!$B$5:$B$10</f>
            </numRef>
          </cat>
          <val>
            <numRef>
              <f>'So sánh'!$F$5:$F$10</f>
            </numRef>
          </val>
        </ser>
        <ser>
          <idx val="2"/>
          <order val="2"/>
          <tx>
            <strRef>
              <f>'So sánh'!G4</f>
            </strRef>
          </tx>
          <spPr>
            <a:solidFill xmlns:a="http://schemas.openxmlformats.org/drawingml/2006/main">
              <a:srgbClr val="F59E0B"/>
            </a:solidFill>
            <a:ln xmlns:a="http://schemas.openxmlformats.org/drawingml/2006/main">
              <a:prstDash val="solid"/>
            </a:ln>
          </spPr>
          <cat>
            <numRef>
              <f>'So sánh'!$B$5:$B$10</f>
            </numRef>
          </cat>
          <val>
            <numRef>
              <f>'So sánh'!$G$5:$G$10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Tỷ lệ đạt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8</col>
      <colOff>0</colOff>
      <row>3</row>
      <rowOff>0</rowOff>
    </from>
    <ext cx="7920000" cy="33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23</row>
      <rowOff>0</rowOff>
    </from>
    <ext cx="7920000" cy="33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01. Tr&#432;&#7903;ng ph&#242;ng KT-R&amp;D'!A1" TargetMode="External" Id="rId1"/><Relationship Type="http://schemas.openxmlformats.org/officeDocument/2006/relationships/hyperlink" Target="#'02. K&#7929; s&#432; R&amp;D'!A1" TargetMode="External" Id="rId2"/><Relationship Type="http://schemas.openxmlformats.org/officeDocument/2006/relationships/hyperlink" Target="#'03. K&#7929; s&#432; c&#244;ng ngh&#7879;'!A1" TargetMode="External" Id="rId3"/><Relationship Type="http://schemas.openxmlformats.org/officeDocument/2006/relationships/hyperlink" Target="#'04. K&#7929; s&#432; thi&#7871;t k&#7871;'!A1" TargetMode="External" Id="rId4"/><Relationship Type="http://schemas.openxmlformats.org/officeDocument/2006/relationships/hyperlink" Target="#'05. KTV Th&#237; nghi&#7879;m'!A1" TargetMode="External" Id="rId5"/><Relationship Type="http://schemas.openxmlformats.org/officeDocument/2006/relationships/hyperlink" Target="#'06. CV Ti&#234;u chu&#7849;n-H&#7891; s&#417; KT'!A1" TargetMode="External" Id="rId6"/></Relationships>
</file>

<file path=xl/worksheets/_rels/sheet2.xml.rels><Relationships xmlns="http://schemas.openxmlformats.org/package/2006/relationships"><Relationship Type="http://schemas.openxmlformats.org/officeDocument/2006/relationships/hyperlink" Target="#'01. Tr&#432;&#7903;ng ph&#242;ng KT-R&amp;D'!A1" TargetMode="External" Id="rId1"/><Relationship Type="http://schemas.openxmlformats.org/officeDocument/2006/relationships/hyperlink" Target="#'02. K&#7929; s&#432; R&amp;D'!A1" TargetMode="External" Id="rId2"/><Relationship Type="http://schemas.openxmlformats.org/officeDocument/2006/relationships/hyperlink" Target="#'03. K&#7929; s&#432; c&#244;ng ngh&#7879;'!A1" TargetMode="External" Id="rId3"/><Relationship Type="http://schemas.openxmlformats.org/officeDocument/2006/relationships/hyperlink" Target="#'04. K&#7929; s&#432; thi&#7871;t k&#7871;'!A1" TargetMode="External" Id="rId4"/><Relationship Type="http://schemas.openxmlformats.org/officeDocument/2006/relationships/hyperlink" Target="#'05. KTV Th&#237; nghi&#7879;m'!A1" TargetMode="External" Id="rId5"/><Relationship Type="http://schemas.openxmlformats.org/officeDocument/2006/relationships/hyperlink" Target="#'06. CV Ti&#234;u chu&#7849;n-H&#7891; s&#417; KT'!A1" TargetMode="External" Id="rId6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C3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90" customWidth="1" min="3" max="3"/>
  </cols>
  <sheetData>
    <row r="1" ht="30" customHeight="1">
      <c r="A1" s="1" t="inlineStr">
        <is>
          <t>KPI KỸ THUẬT – R&amp;D – 06 VỊ TRÍ</t>
        </is>
      </c>
    </row>
    <row r="2">
      <c r="A2" s="3" t="inlineStr">
        <is>
          <t xml:space="preserve">Phụ lục 01 kèm Quy chế đánh giá KPI · KK HOME · </t>
        </is>
      </c>
    </row>
    <row r="3"/>
    <row r="4">
      <c r="B4" s="4" t="inlineStr">
        <is>
          <t>CÁCH DÙNG – 6 BƯỚC</t>
        </is>
      </c>
    </row>
    <row r="5" ht="20" customHeight="1">
      <c r="B5" s="5" t="inlineStr">
        <is>
          <t>Bước 1</t>
        </is>
      </c>
      <c r="C5" s="6" t="inlineStr">
        <is>
          <t>Chọn sheet đúng vị trí của nhân sự (bấm tên vị trí ở danh mục bên dưới để nhảy tới sheet).</t>
        </is>
      </c>
    </row>
    <row r="6" ht="20" customHeight="1">
      <c r="B6" s="5" t="inlineStr">
        <is>
          <t>Bước 2</t>
        </is>
      </c>
      <c r="C6" s="6" t="inlineStr">
        <is>
          <t>Nhập thông tin đầu sheet: Họ tên, Mã NV, Người đánh giá, Loại kỳ (Tháng/Quý/Năm), Kỳ đánh giá, Ngày đánh giá.</t>
        </is>
      </c>
    </row>
    <row r="7" ht="20" customHeight="1">
      <c r="B7" s="5" t="inlineStr">
        <is>
          <t>Bước 3</t>
        </is>
      </c>
      <c r="C7" s="6" t="inlineStr">
        <is>
          <t>Nhân sự tự chấm điểm cột F "Tự đánh giá" (1–5, được chấm lẻ 3.5).</t>
        </is>
      </c>
    </row>
    <row r="8" ht="20" customHeight="1">
      <c r="B8" s="5" t="inlineStr">
        <is>
          <t>Bước 4</t>
        </is>
      </c>
      <c r="C8" s="6" t="inlineStr">
        <is>
          <t>Quản lý trực tiếp chấm điểm chính thức cột G "Quản lý chấm". Chỉ điểm cột G được dùng để tính điểm quy đổi và xếp loại.</t>
        </is>
      </c>
    </row>
    <row r="9" ht="20" customHeight="1">
      <c r="B9" s="5" t="inlineStr">
        <is>
          <t>Bước 5</t>
        </is>
      </c>
      <c r="C9" s="6" t="inlineStr">
        <is>
          <t>Ghi chú lý do ở cột I khi điểm ≤ 1,5 hoặc = 5. Ô ghi chú tự tô cam nếu thiếu lý do (Điều 12 – Ngoại lệ).</t>
        </is>
      </c>
    </row>
    <row r="10" ht="20" customHeight="1">
      <c r="B10" s="5" t="inlineStr">
        <is>
          <t>Bước 6</t>
        </is>
      </c>
      <c r="C10" s="6" t="inlineStr">
        <is>
          <t>Xem kết quả ở cuối sheet vị trí, sheet "Tổng hợp" (toàn phòng) và "So sánh" (biểu đồ). In, ký và trình phê duyệt.</t>
        </is>
      </c>
    </row>
    <row r="11" ht="20" customHeight="1"/>
    <row r="12" ht="20" customHeight="1">
      <c r="B12" s="4" t="inlineStr">
        <is>
          <t>QUY ƯỚC Ô</t>
        </is>
      </c>
    </row>
    <row r="13" ht="20" customHeight="1">
      <c r="B13" s="7" t="inlineStr">
        <is>
          <t>Ô nền vàng, chữ xanh</t>
        </is>
      </c>
      <c r="C13" s="6" t="inlineStr">
        <is>
          <t>Ô nhập liệu. Chỉ nhập vào các ô này.</t>
        </is>
      </c>
    </row>
    <row r="14" ht="30" customHeight="1">
      <c r="B14" s="8" t="inlineStr">
        <is>
          <t>Trọng số chữ xanh (cột E)</t>
        </is>
      </c>
      <c r="C14" s="6" t="inlineStr">
        <is>
          <t>Được sửa khi có quyết định điều chỉnh (Điều 17). Tổng trọng số mỗi vị trí phải = 100% – ô "Kiểm tra trọng số" báo đỏ nếu sai.</t>
        </is>
      </c>
    </row>
    <row r="15" ht="20" customHeight="1">
      <c r="B15" s="9" t="inlineStr">
        <is>
          <t>Ô nền xám</t>
        </is>
      </c>
      <c r="C15" s="6" t="inlineStr">
        <is>
          <t>Công thức tự tính. Không sửa.</t>
        </is>
      </c>
    </row>
    <row r="16" ht="20" customHeight="1"/>
    <row r="17" ht="20" customHeight="1">
      <c r="B17" s="4" t="inlineStr">
        <is>
          <t>CÔNG THỨC &amp; XẾP LOẠI (Điều 7, Điều 13 Quy chế)</t>
        </is>
      </c>
    </row>
    <row r="18" ht="20" customHeight="1">
      <c r="B18" s="5" t="inlineStr">
        <is>
          <t>Điểm quy đổi</t>
        </is>
      </c>
      <c r="C18" s="6" t="inlineStr">
        <is>
          <t>Điểm quản lý chấm ÷ 5 × Trọng số × 100</t>
        </is>
      </c>
    </row>
    <row r="19" ht="20" customHeight="1">
      <c r="B19" s="5" t="inlineStr">
        <is>
          <t>Tổng điểm</t>
        </is>
      </c>
      <c r="C19" s="6" t="inlineStr">
        <is>
          <t>Cộng điểm quy đổi các tiêu chí (tối đa 100 điểm)</t>
        </is>
      </c>
    </row>
    <row r="20" ht="30" customHeight="1">
      <c r="B20" s="5" t="inlineStr">
        <is>
          <t>Xếp loại</t>
        </is>
      </c>
      <c r="C20" s="6" t="inlineStr">
        <is>
          <t>≥ 80 điểm: Xuất sắc  ·  70 đến dưới 80: Đạt  ·  Dưới 70: Cần cải thiện. Chưa chấm đủ tiêu chí → hiển thị "Chưa chấm đủ".</t>
        </is>
      </c>
    </row>
    <row r="21" ht="30" customHeight="1">
      <c r="B21" s="5" t="inlineStr">
        <is>
          <t>Ví dụ</t>
        </is>
      </c>
      <c r="C21" s="6" t="inlineStr">
        <is>
          <t>Tiêu chí "Tiến độ dự án được giao" trọng số 12%, quản lý chấm 4 → 4 ÷ 5 × 12 = 9,6 điểm. Chấm 3.5 → 8,4 điểm.</t>
        </is>
      </c>
    </row>
    <row r="22" ht="20" customHeight="1">
      <c r="B22" s="5" t="inlineStr">
        <is>
          <t>Cơ cấu nhóm</t>
        </is>
      </c>
      <c r="C22" s="6" t="inlineStr">
        <is>
          <t>Chuyên môn - Nghiệp vụ 40% · Tuân thủ - Thời hạn 35% · Phối hợp - Thái độ 25% (áp dụng cho mọi vị trí trong file).</t>
        </is>
      </c>
    </row>
    <row r="23"/>
    <row r="24">
      <c r="B24" s="4" t="inlineStr">
        <is>
          <t>DANH MỤC 06 VỊ TRÍ</t>
        </is>
      </c>
    </row>
    <row r="25">
      <c r="B25" s="10" t="inlineStr">
        <is>
          <t>01</t>
        </is>
      </c>
      <c r="C25" s="11" t="inlineStr">
        <is>
          <t>Trưởng phòng Kỹ thuật – R&amp;D  (10 tiêu chí)</t>
        </is>
      </c>
    </row>
    <row r="26">
      <c r="B26" s="10" t="inlineStr">
        <is>
          <t>02</t>
        </is>
      </c>
      <c r="C26" s="11" t="inlineStr">
        <is>
          <t>Kỹ sư Nghiên cứu &amp; Phát triển sản phẩm  (11 tiêu chí)</t>
        </is>
      </c>
    </row>
    <row r="27">
      <c r="B27" s="10" t="inlineStr">
        <is>
          <t>03</t>
        </is>
      </c>
      <c r="C27" s="11" t="inlineStr">
        <is>
          <t>Kỹ sư Công nghệ – Quy trình sản xuất  (11 tiêu chí)</t>
        </is>
      </c>
    </row>
    <row r="28">
      <c r="B28" s="10" t="inlineStr">
        <is>
          <t>04</t>
        </is>
      </c>
      <c r="C28" s="11" t="inlineStr">
        <is>
          <t>Kỹ sư Thiết kế (CAD / Bản vẽ kỹ thuật)  (11 tiêu chí)</t>
        </is>
      </c>
    </row>
    <row r="29">
      <c r="B29" s="10" t="inlineStr">
        <is>
          <t>05</t>
        </is>
      </c>
      <c r="C29" s="11" t="inlineStr">
        <is>
          <t>Kỹ thuật viên Phòng thí nghiệm – Thử nghiệm  (11 tiêu chí)</t>
        </is>
      </c>
    </row>
    <row r="30">
      <c r="B30" s="10" t="inlineStr">
        <is>
          <t>06</t>
        </is>
      </c>
      <c r="C30" s="11" t="inlineStr">
        <is>
          <t>Chuyên viên Tiêu chuẩn &amp; Hồ sơ kỹ thuật  (11 tiêu chí)</t>
        </is>
      </c>
    </row>
    <row r="31"/>
    <row r="32" ht="40" customHeight="1">
      <c r="B32" s="12" t="inlineStr">
        <is>
          <t>Lưu ý</t>
        </is>
      </c>
      <c r="C32" s="13" t="inlineStr">
        <is>
          <t>Tiêu chí và cách đo là bộ mẫu. Đơn vị điều chỉnh chỉ tiêu định lượng (%, số ngày, số lỗi) theo mục tiêu đã duyệt của từng kỳ trước khi phổ biến cho nhân sự (Điều 4 – Công khai). Bộ file thuộc Hệ thống W1 – KPI Doanh nghiệp của KK HOME.</t>
        </is>
      </c>
    </row>
  </sheetData>
  <mergeCells count="6">
    <mergeCell ref="B24:C24"/>
    <mergeCell ref="A1:C1"/>
    <mergeCell ref="B17:C17"/>
    <mergeCell ref="B4:C4"/>
    <mergeCell ref="A2:C2"/>
    <mergeCell ref="B12:C12"/>
  </mergeCells>
  <hyperlinks>
    <hyperlink xmlns:r="http://schemas.openxmlformats.org/officeDocument/2006/relationships" ref="C25" r:id="rId1"/>
    <hyperlink xmlns:r="http://schemas.openxmlformats.org/officeDocument/2006/relationships" ref="C26" r:id="rId2"/>
    <hyperlink xmlns:r="http://schemas.openxmlformats.org/officeDocument/2006/relationships" ref="C27" r:id="rId3"/>
    <hyperlink xmlns:r="http://schemas.openxmlformats.org/officeDocument/2006/relationships" ref="C28" r:id="rId4"/>
    <hyperlink xmlns:r="http://schemas.openxmlformats.org/officeDocument/2006/relationships" ref="C29" r:id="rId5"/>
    <hyperlink xmlns:r="http://schemas.openxmlformats.org/officeDocument/2006/relationships" ref="C30" r:id="rId6"/>
  </hyperlinks>
  <printOptions horizontalCentered="1"/>
  <pageMargins left="0.4" right="0.4" top="1" bottom="1" header="0.5" footer="0.5"/>
  <pageSetup orientation="portrait" paperSize="9" fitToHeight="0" fitToWidth="1"/>
  <headerFooter>
    <oddHeader>&amp;C&amp;G</oddHeader>
    <oddFooter>&amp;L&amp;8 Mr Wick Kiểm toán · taichinhketoanedu.com&amp;R&amp;8 Trang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1F2937"/>
    <outlinePr summaryBelow="1" summaryRight="1"/>
    <pageSetUpPr fitToPage="1"/>
  </sheetPr>
  <dimension ref="A1:L19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52" customWidth="1" min="2" max="2"/>
    <col width="24" customWidth="1" min="3" max="3"/>
    <col width="16" customWidth="1" min="4" max="4"/>
    <col width="11" customWidth="1" min="5" max="5"/>
    <col width="12" customWidth="1" min="6" max="6"/>
    <col width="13" customWidth="1" min="7" max="7"/>
    <col width="15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30" customHeight="1">
      <c r="A1" s="1" t="inlineStr">
        <is>
          <t>TỔNG HỢP KẾT QUẢ KPI – PHÒNG KỸ THUẬT – R&amp;D</t>
        </is>
      </c>
    </row>
    <row r="2">
      <c r="A2" s="3" t="inlineStr">
        <is>
          <t xml:space="preserve">Phụ lục 01 · Tự cập nhật từ các sheet vị trí (Bước 4 – Điều 10) · KK HOME · </t>
        </is>
      </c>
    </row>
    <row r="3"/>
    <row r="4" ht="36" customHeight="1">
      <c r="A4" s="14" t="inlineStr">
        <is>
          <t>STT</t>
        </is>
      </c>
      <c r="B4" s="14" t="inlineStr">
        <is>
          <t>Vị trí</t>
        </is>
      </c>
      <c r="C4" s="14" t="inlineStr">
        <is>
          <t>Họ và tên</t>
        </is>
      </c>
      <c r="D4" s="14" t="inlineStr">
        <is>
          <t>Kỳ đánh giá</t>
        </is>
      </c>
      <c r="E4" s="14" t="inlineStr">
        <is>
          <t>Điểm tự ĐG</t>
        </is>
      </c>
      <c r="F4" s="14" t="inlineStr">
        <is>
          <t>Điểm chính thức</t>
        </is>
      </c>
      <c r="G4" s="14" t="inlineStr">
        <is>
          <t>Chênh lệch
(CT − Tự ĐG)</t>
        </is>
      </c>
      <c r="H4" s="14" t="inlineStr">
        <is>
          <t>Xếp loại</t>
        </is>
      </c>
      <c r="I4" s="14" t="inlineStr">
        <is>
          <t>Chuyên môn
(% đạt)</t>
        </is>
      </c>
      <c r="J4" s="14" t="inlineStr">
        <is>
          <t>Tuân thủ
(% đạt)</t>
        </is>
      </c>
      <c r="K4" s="14" t="inlineStr">
        <is>
          <t>Phối hợp
(% đạt)</t>
        </is>
      </c>
      <c r="L4" s="14" t="inlineStr">
        <is>
          <t>Tiến độ chấm</t>
        </is>
      </c>
    </row>
    <row r="5" ht="20" customHeight="1">
      <c r="A5" s="15" t="n">
        <v>1</v>
      </c>
      <c r="B5" s="11" t="inlineStr">
        <is>
          <t>Trưởng phòng Kỹ thuật – R&amp;D</t>
        </is>
      </c>
      <c r="C5" s="6">
        <f>IF('01. Trưởng phòng KT-R&amp;D'!C4="","",'01. Trưởng phòng KT-R&amp;D'!C4)</f>
        <v/>
      </c>
      <c r="D5" s="15">
        <f>IF('01. Trưởng phòng KT-R&amp;D'!G5="",'01. Trưởng phòng KT-R&amp;D'!G4,'01. Trưởng phòng KT-R&amp;D'!G5)</f>
        <v/>
      </c>
      <c r="E5" s="69">
        <f>'01. Trưởng phòng KT-R&amp;D'!C24</f>
        <v/>
      </c>
      <c r="F5" s="70">
        <f>'01. Trưởng phòng KT-R&amp;D'!C23</f>
        <v/>
      </c>
      <c r="G5" s="71">
        <f>IF(E5="","",F5-E5)</f>
        <v/>
      </c>
      <c r="H5" s="10">
        <f>'01. Trưởng phòng KT-R&amp;D'!C26</f>
        <v/>
      </c>
      <c r="I5" s="19">
        <f>'01. Trưởng phòng KT-R&amp;D'!H24</f>
        <v/>
      </c>
      <c r="J5" s="19">
        <f>'01. Trưởng phòng KT-R&amp;D'!H25</f>
        <v/>
      </c>
      <c r="K5" s="19">
        <f>'01. Trưởng phòng KT-R&amp;D'!H26</f>
        <v/>
      </c>
      <c r="L5" s="15">
        <f>'01. Trưởng phòng KT-R&amp;D'!C25</f>
        <v/>
      </c>
    </row>
    <row r="6" ht="20" customHeight="1">
      <c r="A6" s="20" t="n">
        <v>2</v>
      </c>
      <c r="B6" s="21" t="inlineStr">
        <is>
          <t>Kỹ sư Nghiên cứu &amp; Phát triển sản phẩm</t>
        </is>
      </c>
      <c r="C6" s="22">
        <f>IF('02. Kỹ sư R&amp;D'!C4="","",'02. Kỹ sư R&amp;D'!C4)</f>
        <v/>
      </c>
      <c r="D6" s="20">
        <f>IF('02. Kỹ sư R&amp;D'!G5="",'02. Kỹ sư R&amp;D'!G4,'02. Kỹ sư R&amp;D'!G5)</f>
        <v/>
      </c>
      <c r="E6" s="72">
        <f>'02. Kỹ sư R&amp;D'!C25</f>
        <v/>
      </c>
      <c r="F6" s="73">
        <f>'02. Kỹ sư R&amp;D'!C24</f>
        <v/>
      </c>
      <c r="G6" s="74">
        <f>IF(E6="","",F6-E6)</f>
        <v/>
      </c>
      <c r="H6" s="10">
        <f>'02. Kỹ sư R&amp;D'!C27</f>
        <v/>
      </c>
      <c r="I6" s="26">
        <f>'02. Kỹ sư R&amp;D'!H25</f>
        <v/>
      </c>
      <c r="J6" s="26">
        <f>'02. Kỹ sư R&amp;D'!H26</f>
        <v/>
      </c>
      <c r="K6" s="26">
        <f>'02. Kỹ sư R&amp;D'!H27</f>
        <v/>
      </c>
      <c r="L6" s="20">
        <f>'02. Kỹ sư R&amp;D'!C26</f>
        <v/>
      </c>
    </row>
    <row r="7" ht="20" customHeight="1">
      <c r="A7" s="15" t="n">
        <v>3</v>
      </c>
      <c r="B7" s="11" t="inlineStr">
        <is>
          <t>Kỹ sư Công nghệ – Quy trình sản xuất</t>
        </is>
      </c>
      <c r="C7" s="6">
        <f>IF('03. Kỹ sư công nghệ'!C4="","",'03. Kỹ sư công nghệ'!C4)</f>
        <v/>
      </c>
      <c r="D7" s="15">
        <f>IF('03. Kỹ sư công nghệ'!G5="",'03. Kỹ sư công nghệ'!G4,'03. Kỹ sư công nghệ'!G5)</f>
        <v/>
      </c>
      <c r="E7" s="69">
        <f>'03. Kỹ sư công nghệ'!C25</f>
        <v/>
      </c>
      <c r="F7" s="70">
        <f>'03. Kỹ sư công nghệ'!C24</f>
        <v/>
      </c>
      <c r="G7" s="71">
        <f>IF(E7="","",F7-E7)</f>
        <v/>
      </c>
      <c r="H7" s="10">
        <f>'03. Kỹ sư công nghệ'!C27</f>
        <v/>
      </c>
      <c r="I7" s="19">
        <f>'03. Kỹ sư công nghệ'!H25</f>
        <v/>
      </c>
      <c r="J7" s="19">
        <f>'03. Kỹ sư công nghệ'!H26</f>
        <v/>
      </c>
      <c r="K7" s="19">
        <f>'03. Kỹ sư công nghệ'!H27</f>
        <v/>
      </c>
      <c r="L7" s="15">
        <f>'03. Kỹ sư công nghệ'!C26</f>
        <v/>
      </c>
    </row>
    <row r="8" ht="20" customHeight="1">
      <c r="A8" s="20" t="n">
        <v>4</v>
      </c>
      <c r="B8" s="21" t="inlineStr">
        <is>
          <t>Kỹ sư Thiết kế (CAD / Bản vẽ kỹ thuật)</t>
        </is>
      </c>
      <c r="C8" s="22">
        <f>IF('04. Kỹ sư thiết kế'!C4="","",'04. Kỹ sư thiết kế'!C4)</f>
        <v/>
      </c>
      <c r="D8" s="20">
        <f>IF('04. Kỹ sư thiết kế'!G5="",'04. Kỹ sư thiết kế'!G4,'04. Kỹ sư thiết kế'!G5)</f>
        <v/>
      </c>
      <c r="E8" s="72">
        <f>'04. Kỹ sư thiết kế'!C25</f>
        <v/>
      </c>
      <c r="F8" s="73">
        <f>'04. Kỹ sư thiết kế'!C24</f>
        <v/>
      </c>
      <c r="G8" s="74">
        <f>IF(E8="","",F8-E8)</f>
        <v/>
      </c>
      <c r="H8" s="10">
        <f>'04. Kỹ sư thiết kế'!C27</f>
        <v/>
      </c>
      <c r="I8" s="26">
        <f>'04. Kỹ sư thiết kế'!H25</f>
        <v/>
      </c>
      <c r="J8" s="26">
        <f>'04. Kỹ sư thiết kế'!H26</f>
        <v/>
      </c>
      <c r="K8" s="26">
        <f>'04. Kỹ sư thiết kế'!H27</f>
        <v/>
      </c>
      <c r="L8" s="20">
        <f>'04. Kỹ sư thiết kế'!C26</f>
        <v/>
      </c>
    </row>
    <row r="9" ht="20" customHeight="1">
      <c r="A9" s="15" t="n">
        <v>5</v>
      </c>
      <c r="B9" s="11" t="inlineStr">
        <is>
          <t>Kỹ thuật viên Phòng thí nghiệm – Thử nghiệm</t>
        </is>
      </c>
      <c r="C9" s="6">
        <f>IF('05. KTV Thí nghiệm'!C4="","",'05. KTV Thí nghiệm'!C4)</f>
        <v/>
      </c>
      <c r="D9" s="15">
        <f>IF('05. KTV Thí nghiệm'!G5="",'05. KTV Thí nghiệm'!G4,'05. KTV Thí nghiệm'!G5)</f>
        <v/>
      </c>
      <c r="E9" s="69">
        <f>'05. KTV Thí nghiệm'!C25</f>
        <v/>
      </c>
      <c r="F9" s="70">
        <f>'05. KTV Thí nghiệm'!C24</f>
        <v/>
      </c>
      <c r="G9" s="71">
        <f>IF(E9="","",F9-E9)</f>
        <v/>
      </c>
      <c r="H9" s="10">
        <f>'05. KTV Thí nghiệm'!C27</f>
        <v/>
      </c>
      <c r="I9" s="19">
        <f>'05. KTV Thí nghiệm'!H25</f>
        <v/>
      </c>
      <c r="J9" s="19">
        <f>'05. KTV Thí nghiệm'!H26</f>
        <v/>
      </c>
      <c r="K9" s="19">
        <f>'05. KTV Thí nghiệm'!H27</f>
        <v/>
      </c>
      <c r="L9" s="15">
        <f>'05. KTV Thí nghiệm'!C26</f>
        <v/>
      </c>
    </row>
    <row r="10" ht="20" customHeight="1">
      <c r="A10" s="20" t="n">
        <v>6</v>
      </c>
      <c r="B10" s="21" t="inlineStr">
        <is>
          <t>Chuyên viên Tiêu chuẩn &amp; Hồ sơ kỹ thuật</t>
        </is>
      </c>
      <c r="C10" s="22">
        <f>IF('06. CV Tiêu chuẩn-Hồ sơ KT'!C4="","",'06. CV Tiêu chuẩn-Hồ sơ KT'!C4)</f>
        <v/>
      </c>
      <c r="D10" s="20">
        <f>IF('06. CV Tiêu chuẩn-Hồ sơ KT'!G5="",'06. CV Tiêu chuẩn-Hồ sơ KT'!G4,'06. CV Tiêu chuẩn-Hồ sơ KT'!G5)</f>
        <v/>
      </c>
      <c r="E10" s="72">
        <f>'06. CV Tiêu chuẩn-Hồ sơ KT'!C25</f>
        <v/>
      </c>
      <c r="F10" s="73">
        <f>'06. CV Tiêu chuẩn-Hồ sơ KT'!C24</f>
        <v/>
      </c>
      <c r="G10" s="74">
        <f>IF(E10="","",F10-E10)</f>
        <v/>
      </c>
      <c r="H10" s="10">
        <f>'06. CV Tiêu chuẩn-Hồ sơ KT'!C27</f>
        <v/>
      </c>
      <c r="I10" s="26">
        <f>'06. CV Tiêu chuẩn-Hồ sơ KT'!H25</f>
        <v/>
      </c>
      <c r="J10" s="26">
        <f>'06. CV Tiêu chuẩn-Hồ sơ KT'!H26</f>
        <v/>
      </c>
      <c r="K10" s="26">
        <f>'06. CV Tiêu chuẩn-Hồ sơ KT'!H27</f>
        <v/>
      </c>
      <c r="L10" s="20">
        <f>'06. CV Tiêu chuẩn-Hồ sơ KT'!C26</f>
        <v/>
      </c>
    </row>
    <row r="11"/>
    <row r="12">
      <c r="B12" s="27" t="inlineStr">
        <is>
          <t>THỐNG KÊ TOÀN PHÒNG</t>
        </is>
      </c>
      <c r="C12" s="75" t="n"/>
    </row>
    <row r="13">
      <c r="B13" s="5" t="inlineStr">
        <is>
          <t>Số vị trí xếp loại Xuất sắc</t>
        </is>
      </c>
      <c r="C13" s="29">
        <f>COUNTIF(H5:H10,"Xuất sắc")</f>
        <v/>
      </c>
    </row>
    <row r="14">
      <c r="B14" s="5" t="inlineStr">
        <is>
          <t>Số vị trí xếp loại Đạt</t>
        </is>
      </c>
      <c r="C14" s="29">
        <f>COUNTIF(H5:H10,"Đạt")</f>
        <v/>
      </c>
    </row>
    <row r="15">
      <c r="B15" s="5" t="inlineStr">
        <is>
          <t>Số vị trí xếp loại Cần cải thiện</t>
        </is>
      </c>
      <c r="C15" s="29">
        <f>COUNTIF(H5:H10,"Cần cải thiện")</f>
        <v/>
      </c>
    </row>
    <row r="16">
      <c r="B16" s="5" t="inlineStr">
        <is>
          <t>Số vị trí chưa chấm / chưa chấm đủ</t>
        </is>
      </c>
      <c r="C16" s="29">
        <f>COUNTIF(H5:H10,"Chưa chấm")+COUNTIF(H5:H10,"Chưa chấm đủ")</f>
        <v/>
      </c>
    </row>
    <row r="17">
      <c r="B17" s="5" t="inlineStr">
        <is>
          <t>Điểm bình quân phòng (vị trí đã chấm đủ)</t>
        </is>
      </c>
      <c r="C17" s="76">
        <f>IFERROR(AVERAGEIFS(F5:F10,H5:H10,"&lt;&gt;Chưa chấm",H5:H10,"&lt;&gt;Chưa chấm đủ"),"")</f>
        <v/>
      </c>
    </row>
    <row r="18"/>
    <row r="19" ht="30" customHeight="1">
      <c r="B19" s="13" t="inlineStr">
        <is>
          <t>Chênh lệch tô đỏ khi điểm chính thức lệch điểm tự đánh giá từ 10 điểm trở lên – nên trao đổi kỹ ở Bước 5. Nhân sự "Cần cải thiện" từ 02 kỳ liên tiếp trở lên thuộc diện đào tạo, kèm cặp (Điều 14).</t>
        </is>
      </c>
    </row>
  </sheetData>
  <mergeCells count="4">
    <mergeCell ref="B19:L19"/>
    <mergeCell ref="A2:L2"/>
    <mergeCell ref="A1:L1"/>
    <mergeCell ref="B12:C12"/>
  </mergeCells>
  <conditionalFormatting sqref="H5:H10">
    <cfRule type="expression" priority="1" dxfId="0">
      <formula>H5="Xuất sắc"</formula>
    </cfRule>
    <cfRule type="expression" priority="2" dxfId="1">
      <formula>H5="Đạt"</formula>
    </cfRule>
    <cfRule type="expression" priority="3" dxfId="2">
      <formula>H5="Cần cải thiện"</formula>
    </cfRule>
    <cfRule type="expression" priority="4" dxfId="3">
      <formula>H5="Chưa chấm đủ"</formula>
    </cfRule>
  </conditionalFormatting>
  <conditionalFormatting sqref="G5:G10">
    <cfRule type="expression" priority="5" dxfId="4">
      <formula>AND(ISNUMBER(G5),ABS(G5)&gt;=10)</formula>
    </cfRule>
  </conditionalFormatting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</hyperlinks>
  <printOptions horizontalCentered="1"/>
  <pageMargins left="0.4" right="0.4" top="1" bottom="1" header="0.5" footer="0.5"/>
  <pageSetup orientation="landscape" paperSize="9" fitToHeight="0" fitToWidth="1"/>
  <headerFooter>
    <oddHeader>&amp;C&amp;G</oddHeader>
    <oddFooter>&amp;L&amp;8 Mr Wick Kiểm toán · taichinhketoanedu.com&amp;R&amp;8 Trang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1F2937"/>
    <outlinePr summaryBelow="1" summaryRight="1"/>
    <pageSetUpPr fitToPage="1"/>
  </sheetPr>
  <dimension ref="A1:G1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</cols>
  <sheetData>
    <row r="1" ht="30" customHeight="1">
      <c r="A1" s="1" t="inlineStr">
        <is>
          <t>SO SÁNH KẾT QUẢ GIỮA CÁC VỊ TRÍ</t>
        </is>
      </c>
    </row>
    <row r="2">
      <c r="A2" s="3" t="inlineStr">
        <is>
          <t xml:space="preserve">Phụ lục 01 · Dữ liệu lấy từ sheet Tổng hợp · KK HOME · </t>
        </is>
      </c>
    </row>
    <row r="3"/>
    <row r="4">
      <c r="A4" s="14" t="inlineStr">
        <is>
          <t>STT</t>
        </is>
      </c>
      <c r="B4" s="14" t="inlineStr">
        <is>
          <t>Vị trí</t>
        </is>
      </c>
      <c r="C4" s="14" t="inlineStr">
        <is>
          <t>Điểm tự ĐG</t>
        </is>
      </c>
      <c r="D4" s="14" t="inlineStr">
        <is>
          <t>Điểm chính thức</t>
        </is>
      </c>
      <c r="E4" s="14" t="inlineStr">
        <is>
          <t>Chuyên môn</t>
        </is>
      </c>
      <c r="F4" s="14" t="inlineStr">
        <is>
          <t>Tuân thủ</t>
        </is>
      </c>
      <c r="G4" s="14" t="inlineStr">
        <is>
          <t>Phối hợp</t>
        </is>
      </c>
    </row>
    <row r="5">
      <c r="A5" s="15" t="n">
        <v>1</v>
      </c>
      <c r="B5" s="6">
        <f>'Tổng hợp'!B5</f>
        <v/>
      </c>
      <c r="C5" s="69">
        <f>IF('Tổng hợp'!E5="",0,'Tổng hợp'!E5)</f>
        <v/>
      </c>
      <c r="D5" s="69">
        <f>'Tổng hợp'!F5</f>
        <v/>
      </c>
      <c r="E5" s="19">
        <f>'Tổng hợp'!I5</f>
        <v/>
      </c>
      <c r="F5" s="19">
        <f>'Tổng hợp'!J5</f>
        <v/>
      </c>
      <c r="G5" s="19">
        <f>'Tổng hợp'!K5</f>
        <v/>
      </c>
    </row>
    <row r="6">
      <c r="A6" s="15" t="n">
        <v>2</v>
      </c>
      <c r="B6" s="6">
        <f>'Tổng hợp'!B6</f>
        <v/>
      </c>
      <c r="C6" s="69">
        <f>IF('Tổng hợp'!E6="",0,'Tổng hợp'!E6)</f>
        <v/>
      </c>
      <c r="D6" s="69">
        <f>'Tổng hợp'!F6</f>
        <v/>
      </c>
      <c r="E6" s="19">
        <f>'Tổng hợp'!I6</f>
        <v/>
      </c>
      <c r="F6" s="19">
        <f>'Tổng hợp'!J6</f>
        <v/>
      </c>
      <c r="G6" s="19">
        <f>'Tổng hợp'!K6</f>
        <v/>
      </c>
    </row>
    <row r="7">
      <c r="A7" s="15" t="n">
        <v>3</v>
      </c>
      <c r="B7" s="6">
        <f>'Tổng hợp'!B7</f>
        <v/>
      </c>
      <c r="C7" s="69">
        <f>IF('Tổng hợp'!E7="",0,'Tổng hợp'!E7)</f>
        <v/>
      </c>
      <c r="D7" s="69">
        <f>'Tổng hợp'!F7</f>
        <v/>
      </c>
      <c r="E7" s="19">
        <f>'Tổng hợp'!I7</f>
        <v/>
      </c>
      <c r="F7" s="19">
        <f>'Tổng hợp'!J7</f>
        <v/>
      </c>
      <c r="G7" s="19">
        <f>'Tổng hợp'!K7</f>
        <v/>
      </c>
    </row>
    <row r="8">
      <c r="A8" s="15" t="n">
        <v>4</v>
      </c>
      <c r="B8" s="6">
        <f>'Tổng hợp'!B8</f>
        <v/>
      </c>
      <c r="C8" s="69">
        <f>IF('Tổng hợp'!E8="",0,'Tổng hợp'!E8)</f>
        <v/>
      </c>
      <c r="D8" s="69">
        <f>'Tổng hợp'!F8</f>
        <v/>
      </c>
      <c r="E8" s="19">
        <f>'Tổng hợp'!I8</f>
        <v/>
      </c>
      <c r="F8" s="19">
        <f>'Tổng hợp'!J8</f>
        <v/>
      </c>
      <c r="G8" s="19">
        <f>'Tổng hợp'!K8</f>
        <v/>
      </c>
    </row>
    <row r="9">
      <c r="A9" s="15" t="n">
        <v>5</v>
      </c>
      <c r="B9" s="6">
        <f>'Tổng hợp'!B9</f>
        <v/>
      </c>
      <c r="C9" s="69">
        <f>IF('Tổng hợp'!E9="",0,'Tổng hợp'!E9)</f>
        <v/>
      </c>
      <c r="D9" s="69">
        <f>'Tổng hợp'!F9</f>
        <v/>
      </c>
      <c r="E9" s="19">
        <f>'Tổng hợp'!I9</f>
        <v/>
      </c>
      <c r="F9" s="19">
        <f>'Tổng hợp'!J9</f>
        <v/>
      </c>
      <c r="G9" s="19">
        <f>'Tổng hợp'!K9</f>
        <v/>
      </c>
    </row>
    <row r="10">
      <c r="A10" s="15" t="n">
        <v>6</v>
      </c>
      <c r="B10" s="6">
        <f>'Tổng hợp'!B10</f>
        <v/>
      </c>
      <c r="C10" s="69">
        <f>IF('Tổng hợp'!E10="",0,'Tổng hợp'!E10)</f>
        <v/>
      </c>
      <c r="D10" s="69">
        <f>'Tổng hợp'!F10</f>
        <v/>
      </c>
      <c r="E10" s="19">
        <f>'Tổng hợp'!I10</f>
        <v/>
      </c>
      <c r="F10" s="19">
        <f>'Tổng hợp'!J10</f>
        <v/>
      </c>
      <c r="G10" s="19">
        <f>'Tổng hợp'!K10</f>
        <v/>
      </c>
    </row>
    <row r="11"/>
    <row r="12">
      <c r="A12" s="13" t="inlineStr">
        <is>
          <t>Biểu đồ tự cập nhật khi chấm điểm ở các sheet vị trí. Vị trí chưa chấm hiển thị 0.</t>
        </is>
      </c>
    </row>
  </sheetData>
  <mergeCells count="3">
    <mergeCell ref="A2:G2"/>
    <mergeCell ref="A1:G1"/>
    <mergeCell ref="A12:G12"/>
  </mergeCells>
  <printOptions horizontalCentered="1"/>
  <pageMargins left="0.4" right="0.4" top="1" bottom="1" header="0.5" footer="0.5"/>
  <pageSetup orientation="landscape" paperSize="9" fitToHeight="0" fitToWidth="1"/>
  <headerFooter>
    <oddHeader>&amp;C&amp;G</oddHeader>
    <oddFooter>&amp;L&amp;8 Mr Wick Kiểm toán · taichinhketoanedu.com&amp;R&amp;8 Trang &amp;P /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6B7280"/>
    <outlinePr summaryBelow="1" summaryRight="1"/>
    <pageSetUpPr fitToPage="1"/>
  </sheetPr>
  <dimension ref="A1:G4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30" customHeight="1">
      <c r="A1" s="1" t="inlineStr">
        <is>
          <t>NGUYÊN TẮC CHẤM ĐIỂM KPI</t>
        </is>
      </c>
    </row>
    <row r="2">
      <c r="A2" s="3" t="inlineStr">
        <is>
          <t xml:space="preserve">Phụ lục 01 · Căn cứ Điều 4, 6, 7, 10, 12, 13 Quy chế · KK HOME · </t>
        </is>
      </c>
    </row>
    <row r="3"/>
    <row r="4">
      <c r="B4" s="4" t="inlineStr">
        <is>
          <t>1. THANG ĐIỂM 1–5 (Điều 6)</t>
        </is>
      </c>
    </row>
    <row r="5">
      <c r="B5" s="31" t="inlineStr">
        <is>
          <t>Điểm</t>
        </is>
      </c>
      <c r="C5" s="31" t="inlineStr">
        <is>
          <t>Xếp hạng</t>
        </is>
      </c>
      <c r="D5" s="31" t="inlineStr">
        <is>
          <t>Diễn giải</t>
        </is>
      </c>
      <c r="E5" s="77" t="n"/>
      <c r="F5" s="77" t="n"/>
      <c r="G5" s="75" t="n"/>
    </row>
    <row r="6">
      <c r="B6" s="33" t="n">
        <v>5</v>
      </c>
      <c r="C6" s="34" t="inlineStr">
        <is>
          <t>Tuyệt vời</t>
        </is>
      </c>
      <c r="D6" s="35" t="inlineStr">
        <is>
          <t>Hoàn thành xuất sắc, vượt mong đợi, tự giác và chủ động</t>
        </is>
      </c>
      <c r="E6" s="77" t="n"/>
      <c r="F6" s="77" t="n"/>
      <c r="G6" s="75" t="n"/>
    </row>
    <row r="7">
      <c r="B7" s="33" t="n">
        <v>4</v>
      </c>
      <c r="C7" s="34" t="inlineStr">
        <is>
          <t>Tốt</t>
        </is>
      </c>
      <c r="D7" s="35" t="inlineStr">
        <is>
          <t>Hoàn thành tốt, đạt hoặc vượt mục tiêu đề ra</t>
        </is>
      </c>
      <c r="E7" s="77" t="n"/>
      <c r="F7" s="77" t="n"/>
      <c r="G7" s="75" t="n"/>
    </row>
    <row r="8">
      <c r="B8" s="33" t="n">
        <v>3</v>
      </c>
      <c r="C8" s="34" t="inlineStr">
        <is>
          <t>Bình thường</t>
        </is>
      </c>
      <c r="D8" s="35" t="inlineStr">
        <is>
          <t>Đáp ứng đủ yêu cầu cơ bản</t>
        </is>
      </c>
      <c r="E8" s="77" t="n"/>
      <c r="F8" s="77" t="n"/>
      <c r="G8" s="75" t="n"/>
    </row>
    <row r="9">
      <c r="B9" s="33" t="n">
        <v>2</v>
      </c>
      <c r="C9" s="34" t="inlineStr">
        <is>
          <t>Chưa đạt</t>
        </is>
      </c>
      <c r="D9" s="35" t="inlineStr">
        <is>
          <t>Chưa hoàn thành tốt, có lỗi nhỏ, cần cải thiện</t>
        </is>
      </c>
      <c r="E9" s="77" t="n"/>
      <c r="F9" s="77" t="n"/>
      <c r="G9" s="75" t="n"/>
    </row>
    <row r="10">
      <c r="B10" s="33" t="n">
        <v>1</v>
      </c>
      <c r="C10" s="34" t="inlineStr">
        <is>
          <t>Kém</t>
        </is>
      </c>
      <c r="D10" s="35" t="inlineStr">
        <is>
          <t>Chưa hoàn thành, cần hỗ trợ nhiều, sai sót lớn</t>
        </is>
      </c>
      <c r="E10" s="77" t="n"/>
      <c r="F10" s="77" t="n"/>
      <c r="G10" s="75" t="n"/>
    </row>
    <row r="11">
      <c r="B11" s="37" t="inlineStr">
        <is>
          <t>Kết quả dao động giữa hai mức liền kề: được chấm điểm trung bình (VD: 3.5).</t>
        </is>
      </c>
    </row>
    <row r="12"/>
    <row r="13">
      <c r="B13" s="4" t="inlineStr">
        <is>
          <t>2. CÔNG THỨC &amp; XẾP LOẠI (Điều 7, Điều 13)</t>
        </is>
      </c>
    </row>
    <row r="14">
      <c r="B14" s="38" t="inlineStr">
        <is>
          <t>Điểm quy đổi tiêu chí</t>
        </is>
      </c>
      <c r="C14" s="35" t="inlineStr">
        <is>
          <t>Điểm chấm ÷ 5 × Trọng số × 100</t>
        </is>
      </c>
      <c r="D14" s="77" t="n"/>
      <c r="E14" s="77" t="n"/>
      <c r="F14" s="77" t="n"/>
      <c r="G14" s="75" t="n"/>
    </row>
    <row r="15">
      <c r="B15" s="38" t="inlineStr">
        <is>
          <t>Tổng điểm vị trí</t>
        </is>
      </c>
      <c r="C15" s="35" t="inlineStr">
        <is>
          <t>Cộng điểm quy đổi các tiêu chí (tối đa 100)</t>
        </is>
      </c>
      <c r="D15" s="77" t="n"/>
      <c r="E15" s="77" t="n"/>
      <c r="F15" s="77" t="n"/>
      <c r="G15" s="75" t="n"/>
    </row>
    <row r="16">
      <c r="B16" s="38" t="inlineStr">
        <is>
          <t>Xuất sắc</t>
        </is>
      </c>
      <c r="C16" s="35" t="inlineStr">
        <is>
          <t>Tổng điểm ≥ 80</t>
        </is>
      </c>
      <c r="D16" s="77" t="n"/>
      <c r="E16" s="77" t="n"/>
      <c r="F16" s="77" t="n"/>
      <c r="G16" s="75" t="n"/>
    </row>
    <row r="17">
      <c r="B17" s="38" t="inlineStr">
        <is>
          <t>Đạt</t>
        </is>
      </c>
      <c r="C17" s="35" t="inlineStr">
        <is>
          <t>Từ 70 đến dưới 80</t>
        </is>
      </c>
      <c r="D17" s="77" t="n"/>
      <c r="E17" s="77" t="n"/>
      <c r="F17" s="77" t="n"/>
      <c r="G17" s="75" t="n"/>
    </row>
    <row r="18">
      <c r="B18" s="38" t="inlineStr">
        <is>
          <t>Cần cải thiện</t>
        </is>
      </c>
      <c r="C18" s="35" t="inlineStr">
        <is>
          <t>Dưới 70</t>
        </is>
      </c>
      <c r="D18" s="77" t="n"/>
      <c r="E18" s="77" t="n"/>
      <c r="F18" s="77" t="n"/>
      <c r="G18" s="75" t="n"/>
    </row>
    <row r="19"/>
    <row r="20">
      <c r="B20" s="4" t="inlineStr">
        <is>
          <t>3. GỢI Ý QUY ĐỔI CHỨNG CỨ RA ĐIỂM (mẫu – điều chỉnh theo mục tiêu đã duyệt từng kỳ)</t>
        </is>
      </c>
    </row>
    <row r="21">
      <c r="B21" s="31" t="inlineStr">
        <is>
          <t>Loại chỉ số</t>
        </is>
      </c>
      <c r="C21" s="31" t="inlineStr">
        <is>
          <t>Điểm 5</t>
        </is>
      </c>
      <c r="D21" s="31" t="inlineStr">
        <is>
          <t>Điểm 4</t>
        </is>
      </c>
      <c r="E21" s="31" t="inlineStr">
        <is>
          <t>Điểm 3</t>
        </is>
      </c>
      <c r="F21" s="31" t="inlineStr">
        <is>
          <t>Điểm 2</t>
        </is>
      </c>
      <c r="G21" s="31" t="inlineStr">
        <is>
          <t>Điểm 1</t>
        </is>
      </c>
    </row>
    <row r="22" ht="38" customHeight="1">
      <c r="B22" s="38" t="inlineStr">
        <is>
          <t>Tiến độ dự án phát triển sản phẩm</t>
        </is>
      </c>
      <c r="C22" s="35" t="inlineStr">
        <is>
          <t>Xong sớm, đủ phạm vi</t>
        </is>
      </c>
      <c r="D22" s="35" t="inlineStr">
        <is>
          <t>Đúng mốc, đủ phạm vi</t>
        </is>
      </c>
      <c r="E22" s="35" t="inlineStr">
        <is>
          <t>Trễ ≤ 10% thời gian</t>
        </is>
      </c>
      <c r="F22" s="35" t="inlineStr">
        <is>
          <t>Trễ 10% – 30%</t>
        </is>
      </c>
      <c r="G22" s="35" t="inlineStr">
        <is>
          <t>Trễ &gt; 30% hoặc phải dừng dự án</t>
        </is>
      </c>
    </row>
    <row r="23" ht="38" customHeight="1">
      <c r="B23" s="38" t="inlineStr">
        <is>
          <t>Đạt thông số / chất lượng thử nghiệm</t>
        </is>
      </c>
      <c r="C23" s="35" t="inlineStr">
        <is>
          <t>Vượt thông số mục tiêu</t>
        </is>
      </c>
      <c r="D23" s="35" t="inlineStr">
        <is>
          <t>Đạt 100% thông số</t>
        </is>
      </c>
      <c r="E23" s="35" t="inlineStr">
        <is>
          <t>Đạt thông số chính, phụ cần chỉnh nhỏ</t>
        </is>
      </c>
      <c r="F23" s="35" t="inlineStr">
        <is>
          <t>Không đạt 1 thông số chính</t>
        </is>
      </c>
      <c r="G23" s="35" t="inlineStr">
        <is>
          <t>Không đạt nhiều thông số chính</t>
        </is>
      </c>
    </row>
    <row r="24" ht="38" customHeight="1">
      <c r="B24" s="38" t="inlineStr">
        <is>
          <t>Giá thành sản phẩm mới so với mục tiêu</t>
        </is>
      </c>
      <c r="C24" s="35" t="inlineStr">
        <is>
          <t>Thấp hơn ≥ 5%</t>
        </is>
      </c>
      <c r="D24" s="35" t="inlineStr">
        <is>
          <t>Bằng hoặc thấp hơn mục tiêu</t>
        </is>
      </c>
      <c r="E24" s="35" t="inlineStr">
        <is>
          <t>Cao hơn ≤ 3%</t>
        </is>
      </c>
      <c r="F24" s="35" t="inlineStr">
        <is>
          <t>Cao hơn 3% – 8%</t>
        </is>
      </c>
      <c r="G24" s="35" t="inlineStr">
        <is>
          <t>Cao hơn &gt; 8%</t>
        </is>
      </c>
    </row>
    <row r="25" ht="38" customHeight="1">
      <c r="B25" s="38" t="inlineStr">
        <is>
          <t>Lỗi kỹ thuật phát sinh sau chuyển giao sản xuất</t>
        </is>
      </c>
      <c r="C25" s="35" t="inlineStr">
        <is>
          <t>0 lỗi, chủ động phòng ngừa</t>
        </is>
      </c>
      <c r="D25" s="35" t="inlineStr">
        <is>
          <t>0 lỗi do thiết kế</t>
        </is>
      </c>
      <c r="E25" s="35" t="inlineStr">
        <is>
          <t>Lỗi nhỏ, xử lý trong tuần</t>
        </is>
      </c>
      <c r="F25" s="35" t="inlineStr">
        <is>
          <t>Lỗi phải thay đổi thiết kế</t>
        </is>
      </c>
      <c r="G25" s="35" t="inlineStr">
        <is>
          <t>Lỗi gây thu hồi sản phẩm, khiếu nại</t>
        </is>
      </c>
    </row>
    <row r="26" ht="38" customHeight="1">
      <c r="B26" s="38" t="inlineStr">
        <is>
          <t>Hồ sơ kỹ thuật, bản vẽ, quy trình</t>
        </is>
      </c>
      <c r="C26" s="35" t="inlineStr">
        <is>
          <t>Đầy đủ, cập nhật trước hạn</t>
        </is>
      </c>
      <c r="D26" s="35" t="inlineStr">
        <is>
          <t>Đầy đủ, đúng hạn</t>
        </is>
      </c>
      <c r="E26" s="35" t="inlineStr">
        <is>
          <t>Thiếu nhỏ, bổ sung trong kỳ</t>
        </is>
      </c>
      <c r="F26" s="35" t="inlineStr">
        <is>
          <t>Thiếu lặp lại, sai phiên bản</t>
        </is>
      </c>
      <c r="G26" s="35" t="inlineStr">
        <is>
          <t>Thất lạc, phát hành sai phiên bản gây lỗi</t>
        </is>
      </c>
    </row>
    <row r="27" ht="38" customHeight="1">
      <c r="B27" s="38" t="inlineStr">
        <is>
          <t>Tuân thủ tiêu chuẩn, an toàn phòng thí nghiệm</t>
        </is>
      </c>
      <c r="C27" s="35" t="inlineStr">
        <is>
          <t>Không vi phạm, chủ động cải tiến</t>
        </is>
      </c>
      <c r="D27" s="35" t="inlineStr">
        <is>
          <t>Không vi phạm</t>
        </is>
      </c>
      <c r="E27" s="35" t="inlineStr">
        <is>
          <t>Có nhắc nhở, đã khắc phục</t>
        </is>
      </c>
      <c r="F27" s="35" t="inlineStr">
        <is>
          <t>Vi phạm lặp lại</t>
        </is>
      </c>
      <c r="G27" s="35" t="inlineStr">
        <is>
          <t>Sự cố an toàn hoặc bị đánh giá không phù hợp lớn</t>
        </is>
      </c>
    </row>
    <row r="28"/>
    <row r="29">
      <c r="B29" s="4" t="inlineStr">
        <is>
          <t>4. NGUYÊN TẮC ĐÁNH GIÁ (Điều 4, Điều 12)</t>
        </is>
      </c>
    </row>
    <row r="30">
      <c r="B30" s="38" t="inlineStr">
        <is>
          <t>Khách quan</t>
        </is>
      </c>
      <c r="C30" s="35" t="inlineStr">
        <is>
          <t>Chấm theo kết quả thực tế, không theo thiện cảm cá nhân.</t>
        </is>
      </c>
      <c r="D30" s="77" t="n"/>
      <c r="E30" s="77" t="n"/>
      <c r="F30" s="77" t="n"/>
      <c r="G30" s="75" t="n"/>
    </row>
    <row r="31">
      <c r="B31" s="38" t="inlineStr">
        <is>
          <t>Công bằng</t>
        </is>
      </c>
      <c r="C31" s="35" t="inlineStr">
        <is>
          <t>Cùng vị trí dùng chung bộ tiêu chí, trọng số, thang điểm.</t>
        </is>
      </c>
      <c r="D31" s="77" t="n"/>
      <c r="E31" s="77" t="n"/>
      <c r="F31" s="77" t="n"/>
      <c r="G31" s="75" t="n"/>
    </row>
    <row r="32">
      <c r="B32" s="38" t="inlineStr">
        <is>
          <t>Công khai</t>
        </is>
      </c>
      <c r="C32" s="35" t="inlineStr">
        <is>
          <t>Tiêu chí, trọng số, chỉ tiêu định lượng phổ biến cho nhân sự trước kỳ đánh giá.</t>
        </is>
      </c>
      <c r="D32" s="77" t="n"/>
      <c r="E32" s="77" t="n"/>
      <c r="F32" s="77" t="n"/>
      <c r="G32" s="75" t="n"/>
    </row>
    <row r="33">
      <c r="B33" s="38" t="inlineStr">
        <is>
          <t>Định kỳ</t>
        </is>
      </c>
      <c r="C33" s="35" t="inlineStr">
        <is>
          <t>Loại kỳ (Tháng/Quý/Năm) áp dụng thống nhất cho toàn phòng trong cùng chu kỳ.</t>
        </is>
      </c>
      <c r="D33" s="77" t="n"/>
      <c r="E33" s="77" t="n"/>
      <c r="F33" s="77" t="n"/>
      <c r="G33" s="75" t="n"/>
    </row>
    <row r="34">
      <c r="B34" s="38" t="inlineStr">
        <is>
          <t>Có phản hồi</t>
        </is>
      </c>
      <c r="C34" s="35" t="inlineStr">
        <is>
          <t>Trao đổi kết quả trực tiếp, thống nhất kế hoạch cải thiện.</t>
        </is>
      </c>
      <c r="D34" s="77" t="n"/>
      <c r="E34" s="77" t="n"/>
      <c r="F34" s="77" t="n"/>
      <c r="G34" s="75" t="n"/>
    </row>
    <row r="35">
      <c r="B35" s="38" t="inlineStr">
        <is>
          <t>Có chứng cứ</t>
        </is>
      </c>
      <c r="C35" s="35" t="inlineStr">
        <is>
          <t>Số liệu, thời hạn, biên bản, báo cáo. Điểm ≤ 1,5 hoặc = 5 phải ghi lý do ở cột Ghi chú.</t>
        </is>
      </c>
      <c r="D35" s="77" t="n"/>
      <c r="E35" s="77" t="n"/>
      <c r="F35" s="77" t="n"/>
      <c r="G35" s="75" t="n"/>
    </row>
    <row r="36"/>
    <row r="37">
      <c r="B37" s="4" t="inlineStr">
        <is>
          <t>5. QUY TRÌNH 6 BƯỚC (Điều 10)</t>
        </is>
      </c>
    </row>
    <row r="38">
      <c r="B38" s="38" t="inlineStr">
        <is>
          <t>Bước 1 – Chuẩn bị</t>
        </is>
      </c>
      <c r="C38" s="35" t="inlineStr">
        <is>
          <t>Xác định kỳ, thông báo lịch, phổ biến tiêu chí.</t>
        </is>
      </c>
      <c r="D38" s="77" t="n"/>
      <c r="E38" s="77" t="n"/>
      <c r="F38" s="77" t="n"/>
      <c r="G38" s="75" t="n"/>
    </row>
    <row r="39">
      <c r="B39" s="38" t="inlineStr">
        <is>
          <t>Bước 2 – Tự đánh giá</t>
        </is>
      </c>
      <c r="C39" s="35" t="inlineStr">
        <is>
          <t>Nhân sự chấm cột F.</t>
        </is>
      </c>
      <c r="D39" s="77" t="n"/>
      <c r="E39" s="77" t="n"/>
      <c r="F39" s="77" t="n"/>
      <c r="G39" s="75" t="n"/>
    </row>
    <row r="40">
      <c r="B40" s="38" t="inlineStr">
        <is>
          <t>Bước 3 – Quản lý chấm</t>
        </is>
      </c>
      <c r="C40" s="35" t="inlineStr">
        <is>
          <t>Quản lý trực tiếp chấm chính thức cột G, dựa trên chứng cứ.</t>
        </is>
      </c>
      <c r="D40" s="77" t="n"/>
      <c r="E40" s="77" t="n"/>
      <c r="F40" s="77" t="n"/>
      <c r="G40" s="75" t="n"/>
    </row>
    <row r="41">
      <c r="B41" s="38" t="inlineStr">
        <is>
          <t>Bước 4 – Tổng hợp</t>
        </is>
      </c>
      <c r="C41" s="35" t="inlineStr">
        <is>
          <t>File tự tính điểm quy đổi, xếp loại; sheet Tổng hợp tự cập nhật.</t>
        </is>
      </c>
      <c r="D41" s="77" t="n"/>
      <c r="E41" s="77" t="n"/>
      <c r="F41" s="77" t="n"/>
      <c r="G41" s="75" t="n"/>
    </row>
    <row r="42">
      <c r="B42" s="38" t="inlineStr">
        <is>
          <t>Bước 5 – Phản hồi</t>
        </is>
      </c>
      <c r="C42" s="35" t="inlineStr">
        <is>
          <t>Trao đổi kết quả, ghi nhận xét và kế hoạch cải thiện cuối sheet vị trí.</t>
        </is>
      </c>
      <c r="D42" s="77" t="n"/>
      <c r="E42" s="77" t="n"/>
      <c r="F42" s="77" t="n"/>
      <c r="G42" s="75" t="n"/>
    </row>
    <row r="43">
      <c r="B43" s="38" t="inlineStr">
        <is>
          <t>Bước 6 – Phê duyệt, lưu trữ</t>
        </is>
      </c>
      <c r="C43" s="35" t="inlineStr">
        <is>
          <t>Trình người có thẩm quyền ký duyệt; lưu hồ sơ làm căn cứ lương, thưởng, quy hoạch.</t>
        </is>
      </c>
      <c r="D43" s="77" t="n"/>
      <c r="E43" s="77" t="n"/>
      <c r="F43" s="77" t="n"/>
      <c r="G43" s="75" t="n"/>
    </row>
  </sheetData>
  <mergeCells count="31">
    <mergeCell ref="C30:G30"/>
    <mergeCell ref="D9:G9"/>
    <mergeCell ref="C34:G34"/>
    <mergeCell ref="D8:G8"/>
    <mergeCell ref="C42:G42"/>
    <mergeCell ref="C15:G15"/>
    <mergeCell ref="C33:G33"/>
    <mergeCell ref="B13:G13"/>
    <mergeCell ref="C14:G14"/>
    <mergeCell ref="D5:G5"/>
    <mergeCell ref="B29:G29"/>
    <mergeCell ref="C35:G35"/>
    <mergeCell ref="B37:G37"/>
    <mergeCell ref="C16:G16"/>
    <mergeCell ref="C41:G41"/>
    <mergeCell ref="C31:G31"/>
    <mergeCell ref="D10:G10"/>
    <mergeCell ref="C40:G40"/>
    <mergeCell ref="B20:G20"/>
    <mergeCell ref="A1:G1"/>
    <mergeCell ref="C43:G43"/>
    <mergeCell ref="D6:G6"/>
    <mergeCell ref="B4:G4"/>
    <mergeCell ref="C39:G39"/>
    <mergeCell ref="C17:G17"/>
    <mergeCell ref="C32:G32"/>
    <mergeCell ref="C38:G38"/>
    <mergeCell ref="D7:G7"/>
    <mergeCell ref="A2:G2"/>
    <mergeCell ref="C18:G18"/>
    <mergeCell ref="B11:G11"/>
  </mergeCells>
  <printOptions horizontalCentered="1"/>
  <pageMargins left="0.4" right="0.4" top="1" bottom="1" header="0.5" footer="0.5"/>
  <pageSetup orientation="landscape" paperSize="9" fitToHeight="0" fitToWidth="1"/>
  <headerFooter>
    <oddHeader>&amp;C&amp;G</oddHeader>
    <oddFooter>&amp;L&amp;8 Mr Wick Kiểm toán · taichinhketoanedu.com&amp;R&amp;8 Trang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1D4ED8"/>
    <outlinePr summaryBelow="1" summaryRight="1"/>
    <pageSetUpPr fitToPage="1"/>
  </sheetPr>
  <dimension ref="A1:J36"/>
  <sheetViews>
    <sheetView showGridLines="0" zoomScale="9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4" customWidth="1" min="3" max="3"/>
    <col width="50" customWidth="1" min="4" max="4"/>
    <col width="10" customWidth="1" min="5" max="5"/>
    <col width="10" customWidth="1" min="6" max="6"/>
    <col width="10" customWidth="1" min="7" max="7"/>
    <col width="11" customWidth="1" min="8" max="8"/>
    <col width="30" customWidth="1" min="9" max="9"/>
    <col hidden="1" width="6" customWidth="1" min="10" max="10"/>
  </cols>
  <sheetData>
    <row r="1" ht="30" customHeight="1">
      <c r="A1" s="1" t="inlineStr">
        <is>
          <t>BẢNG ĐÁNH GIÁ KPI – TRƯỞNG PHÒNG KỸ THUẬT – R&amp;D</t>
        </is>
      </c>
    </row>
    <row r="2">
      <c r="A2" s="3" t="inlineStr">
        <is>
          <t xml:space="preserve">Phòng Kỹ thuật – R&amp;D · Phụ lục 01 kèm Quy chế đánh giá KPI · KK HOME · </t>
        </is>
      </c>
    </row>
    <row r="3"/>
    <row r="4">
      <c r="B4" s="5" t="inlineStr">
        <is>
          <t>Họ và tên</t>
        </is>
      </c>
      <c r="C4" s="7" t="n"/>
      <c r="D4" s="75" t="n"/>
      <c r="E4" s="5" t="inlineStr">
        <is>
          <t>Loại kỳ đánh giá</t>
        </is>
      </c>
      <c r="F4" s="75" t="n"/>
      <c r="G4" s="40" t="inlineStr">
        <is>
          <t>Quý</t>
        </is>
      </c>
      <c r="H4" s="75" t="n"/>
      <c r="I4" s="41" t="inlineStr">
        <is>
          <t>← chọn Tháng / Quý / Năm</t>
        </is>
      </c>
    </row>
    <row r="5">
      <c r="B5" s="5" t="inlineStr">
        <is>
          <t>Mã nhân viên</t>
        </is>
      </c>
      <c r="C5" s="7" t="n"/>
      <c r="D5" s="75" t="n"/>
      <c r="E5" s="5" t="inlineStr">
        <is>
          <t>Kỳ đánh giá</t>
        </is>
      </c>
      <c r="F5" s="75" t="n"/>
      <c r="G5" s="40" t="n"/>
      <c r="H5" s="75" t="n"/>
      <c r="I5" s="41" t="inlineStr">
        <is>
          <t>VD: Tháng 9/2026, Quý 3/2026, Năm 2026</t>
        </is>
      </c>
    </row>
    <row r="6">
      <c r="B6" s="5" t="inlineStr">
        <is>
          <t>Người đánh giá</t>
        </is>
      </c>
      <c r="C6" s="7" t="n"/>
      <c r="D6" s="75" t="n"/>
      <c r="E6" s="5" t="inlineStr">
        <is>
          <t>Ngày đánh giá</t>
        </is>
      </c>
      <c r="F6" s="75" t="n"/>
      <c r="G6" s="78" t="n"/>
      <c r="H6" s="75" t="n"/>
    </row>
    <row r="7">
      <c r="B7" s="5" t="inlineStr">
        <is>
          <t>Bộ phận</t>
        </is>
      </c>
      <c r="C7" s="7" t="inlineStr">
        <is>
          <t>Phòng Kỹ thuật – R&amp;D</t>
        </is>
      </c>
      <c r="D7" s="75" t="n"/>
    </row>
    <row r="8"/>
    <row r="9" ht="42" customHeight="1">
      <c r="A9" s="14" t="inlineStr">
        <is>
          <t>STT</t>
        </is>
      </c>
      <c r="B9" s="14" t="inlineStr">
        <is>
          <t>Nhóm tiêu chí</t>
        </is>
      </c>
      <c r="C9" s="14" t="inlineStr">
        <is>
          <t>Tiêu chí đánh giá</t>
        </is>
      </c>
      <c r="D9" s="14" t="inlineStr">
        <is>
          <t>Cách đo / Chứng cứ chấm điểm</t>
        </is>
      </c>
      <c r="E9" s="14" t="inlineStr">
        <is>
          <t>Trọng số</t>
        </is>
      </c>
      <c r="F9" s="14" t="inlineStr">
        <is>
          <t>Tự đánh giá
(1–5)</t>
        </is>
      </c>
      <c r="G9" s="14" t="inlineStr">
        <is>
          <t>Quản lý chấm
(1–5)</t>
        </is>
      </c>
      <c r="H9" s="14" t="inlineStr">
        <is>
          <t>Điểm quy đổi</t>
        </is>
      </c>
      <c r="I9" s="14" t="inlineStr">
        <is>
          <t>Ghi chú / Lý do (bắt buộc khi điểm ≤1,5 hoặc 5)</t>
        </is>
      </c>
    </row>
    <row r="10" ht="34" customHeight="1">
      <c r="A10" s="15" t="n">
        <v>1</v>
      </c>
      <c r="B10" s="43" t="inlineStr">
        <is>
          <t>Chuyên môn - Nghiệp vụ</t>
        </is>
      </c>
      <c r="C10" s="44" t="inlineStr">
        <is>
          <t>Hoàn thành kế hoạch sản phẩm mới</t>
        </is>
      </c>
      <c r="D10" s="45" t="inlineStr">
        <is>
          <t>Số sản phẩm/cải tiến ra mắt đúng kế hoạch; doanh thu từ sản phẩm mới</t>
        </is>
      </c>
      <c r="E10" s="46" t="n">
        <v>0.1</v>
      </c>
      <c r="F10" s="79" t="n"/>
      <c r="G10" s="79" t="n"/>
      <c r="H10" s="76">
        <f>IF(ISNUMBER(G10),G10/5*E10*100,0)</f>
        <v/>
      </c>
      <c r="I10" s="48" t="n"/>
      <c r="J10" t="inlineStr">
        <is>
          <t>CM</t>
        </is>
      </c>
    </row>
    <row r="11" ht="34" customHeight="1">
      <c r="A11" s="15" t="n">
        <v>2</v>
      </c>
      <c r="B11" s="49" t="n"/>
      <c r="C11" s="44" t="inlineStr">
        <is>
          <t>Chất lượng &amp; độ tin cậy sản phẩm</t>
        </is>
      </c>
      <c r="D11" s="45" t="inlineStr">
        <is>
          <t>Tỷ lệ lỗi do thiết kế sau chuyển giao; số khiếu nại kỹ thuật</t>
        </is>
      </c>
      <c r="E11" s="46" t="n">
        <v>0.1</v>
      </c>
      <c r="F11" s="79" t="n"/>
      <c r="G11" s="79" t="n"/>
      <c r="H11" s="76">
        <f>IF(ISNUMBER(G11),G11/5*E11*100,0)</f>
        <v/>
      </c>
      <c r="I11" s="48" t="n"/>
      <c r="J11" t="inlineStr">
        <is>
          <t>CM</t>
        </is>
      </c>
    </row>
    <row r="12" ht="34" customHeight="1">
      <c r="A12" s="15" t="n">
        <v>3</v>
      </c>
      <c r="B12" s="49" t="n"/>
      <c r="C12" s="44" t="inlineStr">
        <is>
          <t>Giá thành sản phẩm mới</t>
        </is>
      </c>
      <c r="D12" s="45" t="inlineStr">
        <is>
          <t>Giá thành đạt mục tiêu được duyệt khi chuyển giao sản xuất</t>
        </is>
      </c>
      <c r="E12" s="46" t="n">
        <v>0.1</v>
      </c>
      <c r="F12" s="79" t="n"/>
      <c r="G12" s="79" t="n"/>
      <c r="H12" s="76">
        <f>IF(ISNUMBER(G12),G12/5*E12*100,0)</f>
        <v/>
      </c>
      <c r="I12" s="48" t="n"/>
      <c r="J12" t="inlineStr">
        <is>
          <t>CM</t>
        </is>
      </c>
    </row>
    <row r="13" ht="34" customHeight="1">
      <c r="A13" s="15" t="n">
        <v>4</v>
      </c>
      <c r="B13" s="50" t="n"/>
      <c r="C13" s="44" t="inlineStr">
        <is>
          <t>Quản lý danh mục dự án R&amp;D</t>
        </is>
      </c>
      <c r="D13" s="45" t="inlineStr">
        <is>
          <t>Ngân sách R&amp;D sử dụng đúng kế hoạch; dự án được đánh giá theo mốc (stage-gate)</t>
        </is>
      </c>
      <c r="E13" s="46" t="n">
        <v>0.1</v>
      </c>
      <c r="F13" s="79" t="n"/>
      <c r="G13" s="79" t="n"/>
      <c r="H13" s="76">
        <f>IF(ISNUMBER(G13),G13/5*E13*100,0)</f>
        <v/>
      </c>
      <c r="I13" s="48" t="n"/>
      <c r="J13" t="inlineStr">
        <is>
          <t>CM</t>
        </is>
      </c>
    </row>
    <row r="14" ht="34" customHeight="1">
      <c r="A14" s="15" t="n">
        <v>5</v>
      </c>
      <c r="B14" s="51" t="inlineStr">
        <is>
          <t>Tuân thủ - Thời hạn</t>
        </is>
      </c>
      <c r="C14" s="44" t="inlineStr">
        <is>
          <t>Tuân thủ tiêu chuẩn, quy chuẩn sản phẩm</t>
        </is>
      </c>
      <c r="D14" s="45" t="inlineStr">
        <is>
          <t>Sản phẩm đáp ứng tiêu chuẩn, quy chuẩn áp dụng; hồ sơ công bố đầy đủ</t>
        </is>
      </c>
      <c r="E14" s="46" t="n">
        <v>0.15</v>
      </c>
      <c r="F14" s="79" t="n"/>
      <c r="G14" s="79" t="n"/>
      <c r="H14" s="76">
        <f>IF(ISNUMBER(G14),G14/5*E14*100,0)</f>
        <v/>
      </c>
      <c r="I14" s="48" t="n"/>
      <c r="J14" t="inlineStr">
        <is>
          <t>TT</t>
        </is>
      </c>
    </row>
    <row r="15" ht="34" customHeight="1">
      <c r="A15" s="15" t="n">
        <v>6</v>
      </c>
      <c r="B15" s="49" t="n"/>
      <c r="C15" s="44" t="inlineStr">
        <is>
          <t>Quản lý hồ sơ kỹ thuật &amp; sở hữu trí tuệ</t>
        </is>
      </c>
      <c r="D15" s="45" t="inlineStr">
        <is>
          <t>Bản vẽ, công thức, quy trình quản lý phiên bản; bảo mật bí quyết; đăng ký bảo hộ khi cần</t>
        </is>
      </c>
      <c r="E15" s="46" t="n">
        <v>0.1</v>
      </c>
      <c r="F15" s="79" t="n"/>
      <c r="G15" s="79" t="n"/>
      <c r="H15" s="76">
        <f>IF(ISNUMBER(G15),G15/5*E15*100,0)</f>
        <v/>
      </c>
      <c r="I15" s="48" t="n"/>
      <c r="J15" t="inlineStr">
        <is>
          <t>TT</t>
        </is>
      </c>
    </row>
    <row r="16" ht="34" customHeight="1">
      <c r="A16" s="15" t="n">
        <v>7</v>
      </c>
      <c r="B16" s="50" t="n"/>
      <c r="C16" s="44" t="inlineStr">
        <is>
          <t>Báo cáo kỹ thuật định kỳ</t>
        </is>
      </c>
      <c r="D16" s="45" t="inlineStr">
        <is>
          <t>Báo cáo tiến độ dự án, sự cố kỹ thuật gửi Ban lãnh đạo đúng hạn</t>
        </is>
      </c>
      <c r="E16" s="46" t="n">
        <v>0.1</v>
      </c>
      <c r="F16" s="79" t="n"/>
      <c r="G16" s="79" t="n"/>
      <c r="H16" s="76">
        <f>IF(ISNUMBER(G16),G16/5*E16*100,0)</f>
        <v/>
      </c>
      <c r="I16" s="48" t="n"/>
      <c r="J16" t="inlineStr">
        <is>
          <t>TT</t>
        </is>
      </c>
    </row>
    <row r="17" ht="34" customHeight="1">
      <c r="A17" s="15" t="n">
        <v>8</v>
      </c>
      <c r="B17" s="52" t="inlineStr">
        <is>
          <t>Phối hợp - Thái độ</t>
        </is>
      </c>
      <c r="C17" s="44" t="inlineStr">
        <is>
          <t>Lãnh đạo &amp; phát triển đội ngũ</t>
        </is>
      </c>
      <c r="D17" s="45" t="inlineStr">
        <is>
          <t>Điểm KPI bình quân của phòng; số kỹ sư được đào tạo chuyên sâu</t>
        </is>
      </c>
      <c r="E17" s="46" t="n">
        <v>0.1</v>
      </c>
      <c r="F17" s="79" t="n"/>
      <c r="G17" s="79" t="n"/>
      <c r="H17" s="76">
        <f>IF(ISNUMBER(G17),G17/5*E17*100,0)</f>
        <v/>
      </c>
      <c r="I17" s="48" t="n"/>
      <c r="J17" t="inlineStr">
        <is>
          <t>PH</t>
        </is>
      </c>
    </row>
    <row r="18" ht="34" customHeight="1">
      <c r="A18" s="15" t="n">
        <v>9</v>
      </c>
      <c r="B18" s="49" t="n"/>
      <c r="C18" s="44" t="inlineStr">
        <is>
          <t>Phối hợp với Sản xuất, QC, Kinh doanh, Mua hàng</t>
        </is>
      </c>
      <c r="D18" s="45" t="inlineStr">
        <is>
          <t>Phản hồi các phòng ban về hỗ trợ kỹ thuật, chuyển giao</t>
        </is>
      </c>
      <c r="E18" s="46" t="n">
        <v>0.08</v>
      </c>
      <c r="F18" s="79" t="n"/>
      <c r="G18" s="79" t="n"/>
      <c r="H18" s="76">
        <f>IF(ISNUMBER(G18),G18/5*E18*100,0)</f>
        <v/>
      </c>
      <c r="I18" s="48" t="n"/>
      <c r="J18" t="inlineStr">
        <is>
          <t>PH</t>
        </is>
      </c>
    </row>
    <row r="19" ht="34" customHeight="1">
      <c r="A19" s="15" t="n">
        <v>10</v>
      </c>
      <c r="B19" s="50" t="n"/>
      <c r="C19" s="44" t="inlineStr">
        <is>
          <t>Đổi mới &amp; sáng kiến</t>
        </is>
      </c>
      <c r="D19" s="45" t="inlineStr">
        <is>
          <t>Số sáng kiến, giải pháp kỹ thuật được công nhận, áp dụng</t>
        </is>
      </c>
      <c r="E19" s="46" t="n">
        <v>0.07000000000000001</v>
      </c>
      <c r="F19" s="79" t="n"/>
      <c r="G19" s="79" t="n"/>
      <c r="H19" s="76">
        <f>IF(ISNUMBER(G19),G19/5*E19*100,0)</f>
        <v/>
      </c>
      <c r="I19" s="48" t="n"/>
      <c r="J19" t="inlineStr">
        <is>
          <t>PH</t>
        </is>
      </c>
    </row>
    <row r="20" ht="22" customHeight="1">
      <c r="A20" s="53" t="inlineStr">
        <is>
          <t>TỔNG CỘNG</t>
        </is>
      </c>
      <c r="B20" s="77" t="n"/>
      <c r="C20" s="77" t="n"/>
      <c r="D20" s="75" t="n"/>
      <c r="E20" s="55">
        <f>SUM(E10:E19)</f>
        <v/>
      </c>
      <c r="F20" s="54" t="n"/>
      <c r="G20" s="54" t="n"/>
      <c r="H20" s="80">
        <f>SUM(H10:H19)</f>
        <v/>
      </c>
      <c r="I20" s="54" t="n"/>
    </row>
    <row r="21"/>
    <row r="22">
      <c r="A22" s="27" t="inlineStr">
        <is>
          <t>KẾT QUẢ ĐÁNH GIÁ</t>
        </is>
      </c>
      <c r="B22" s="77" t="n"/>
      <c r="C22" s="75" t="n"/>
      <c r="D22" s="27" t="inlineStr">
        <is>
          <t>ĐIỂM THEO NHÓM TIÊU CHÍ</t>
        </is>
      </c>
      <c r="E22" s="77" t="n"/>
      <c r="F22" s="77" t="n"/>
      <c r="G22" s="77" t="n"/>
      <c r="H22" s="75" t="n"/>
    </row>
    <row r="23" ht="20" customHeight="1">
      <c r="A23" s="5" t="inlineStr">
        <is>
          <t>Tổng điểm chính thức</t>
        </is>
      </c>
      <c r="B23" s="75" t="n"/>
      <c r="C23" s="81">
        <f>H20</f>
        <v/>
      </c>
      <c r="D23" s="58" t="inlineStr">
        <is>
          <t>Nhóm tiêu chí</t>
        </is>
      </c>
      <c r="E23" s="59" t="inlineStr">
        <is>
          <t>Trọng số</t>
        </is>
      </c>
      <c r="F23" s="59" t="inlineStr">
        <is>
          <t>Điểm tối đa</t>
        </is>
      </c>
      <c r="G23" s="59" t="inlineStr">
        <is>
          <t>Điểm đạt</t>
        </is>
      </c>
      <c r="H23" s="59" t="inlineStr">
        <is>
          <t>Tỷ lệ đạt</t>
        </is>
      </c>
    </row>
    <row r="24" ht="20" customHeight="1">
      <c r="A24" s="5" t="inlineStr">
        <is>
          <t>Điểm tự đánh giá</t>
        </is>
      </c>
      <c r="B24" s="75" t="n"/>
      <c r="C24" s="76">
        <f>IF(COUNT(F10:F19)=0,"",SUMPRODUCT(F10:F19,E10:E19)/5*100)</f>
        <v/>
      </c>
      <c r="D24" s="60" t="inlineStr">
        <is>
          <t>Chuyên môn - Nghiệp vụ</t>
        </is>
      </c>
      <c r="E24" s="19">
        <f>SUMIF($J$10:$J$19,"CM",$E$10:$E$19)</f>
        <v/>
      </c>
      <c r="F24" s="69">
        <f>E24*100</f>
        <v/>
      </c>
      <c r="G24" s="69">
        <f>SUMIF($J$10:$J$19,"CM",$H$10:$H$19)</f>
        <v/>
      </c>
      <c r="H24" s="61">
        <f>IF(F24=0,0,G24/F24)</f>
        <v/>
      </c>
    </row>
    <row r="25" ht="20" customHeight="1">
      <c r="A25" s="5" t="inlineStr">
        <is>
          <t>Tiêu chí đã chấm</t>
        </is>
      </c>
      <c r="B25" s="75" t="n"/>
      <c r="C25" s="62">
        <f>COUNT(G10:G19)&amp;" / 10"</f>
        <v/>
      </c>
      <c r="D25" s="63" t="inlineStr">
        <is>
          <t>Tuân thủ - Thời hạn</t>
        </is>
      </c>
      <c r="E25" s="19">
        <f>SUMIF($J$10:$J$19,"TT",$E$10:$E$19)</f>
        <v/>
      </c>
      <c r="F25" s="69">
        <f>E25*100</f>
        <v/>
      </c>
      <c r="G25" s="69">
        <f>SUMIF($J$10:$J$19,"TT",$H$10:$H$19)</f>
        <v/>
      </c>
      <c r="H25" s="61">
        <f>IF(F25=0,0,G25/F25)</f>
        <v/>
      </c>
    </row>
    <row r="26" ht="20" customHeight="1">
      <c r="A26" s="5" t="inlineStr">
        <is>
          <t>Xếp loại</t>
        </is>
      </c>
      <c r="B26" s="75" t="n"/>
      <c r="C26" s="64">
        <f>IF(COUNT(G10:G19)=0,"Chưa chấm",IF(COUNT(G10:G19)&lt;10,"Chưa chấm đủ",IF(H20&gt;=80,"Xuất sắc",IF(H20&gt;=70,"Đạt","Cần cải thiện"))))</f>
        <v/>
      </c>
      <c r="D26" s="65" t="inlineStr">
        <is>
          <t>Phối hợp - Thái độ</t>
        </is>
      </c>
      <c r="E26" s="19">
        <f>SUMIF($J$10:$J$19,"PH",$E$10:$E$19)</f>
        <v/>
      </c>
      <c r="F26" s="69">
        <f>E26*100</f>
        <v/>
      </c>
      <c r="G26" s="69">
        <f>SUMIF($J$10:$J$19,"PH",$H$10:$H$19)</f>
        <v/>
      </c>
      <c r="H26" s="61">
        <f>IF(F26=0,0,G26/F26)</f>
        <v/>
      </c>
    </row>
    <row r="27" ht="20" customHeight="1">
      <c r="A27" s="5" t="inlineStr">
        <is>
          <t>Kiểm tra trọng số</t>
        </is>
      </c>
      <c r="B27" s="75" t="n"/>
      <c r="C27" s="62">
        <f>IF(ROUND(E20,4)=1,"Hợp lệ – 100%","SAI – tổng trọng số phải = 100%")</f>
        <v/>
      </c>
    </row>
    <row r="28"/>
    <row r="29">
      <c r="A29" s="27" t="inlineStr">
        <is>
          <t>NHẬN XÉT &amp; KẾ HOẠCH CẢI THIỆN (Bước 5 – phản hồi kết quả)</t>
        </is>
      </c>
      <c r="B29" s="77" t="n"/>
      <c r="C29" s="77" t="n"/>
      <c r="D29" s="77" t="n"/>
      <c r="E29" s="77" t="n"/>
      <c r="F29" s="77" t="n"/>
      <c r="G29" s="77" t="n"/>
      <c r="H29" s="77" t="n"/>
      <c r="I29" s="75" t="n"/>
    </row>
    <row r="30" ht="36" customHeight="1">
      <c r="A30" s="5" t="inlineStr">
        <is>
          <t>Điểm mạnh</t>
        </is>
      </c>
      <c r="B30" s="75" t="n"/>
      <c r="C30" s="66" t="n"/>
      <c r="D30" s="77" t="n"/>
      <c r="E30" s="77" t="n"/>
      <c r="F30" s="77" t="n"/>
      <c r="G30" s="77" t="n"/>
      <c r="H30" s="77" t="n"/>
      <c r="I30" s="75" t="n"/>
    </row>
    <row r="31" ht="36" customHeight="1">
      <c r="A31" s="5" t="inlineStr">
        <is>
          <t>Cần cải thiện</t>
        </is>
      </c>
      <c r="B31" s="75" t="n"/>
      <c r="C31" s="66" t="n"/>
      <c r="D31" s="77" t="n"/>
      <c r="E31" s="77" t="n"/>
      <c r="F31" s="77" t="n"/>
      <c r="G31" s="77" t="n"/>
      <c r="H31" s="77" t="n"/>
      <c r="I31" s="75" t="n"/>
    </row>
    <row r="32" ht="36" customHeight="1">
      <c r="A32" s="5" t="inlineStr">
        <is>
          <t>Kế hoạch cải thiện</t>
        </is>
      </c>
      <c r="B32" s="75" t="n"/>
      <c r="C32" s="66" t="n"/>
      <c r="D32" s="77" t="n"/>
      <c r="E32" s="77" t="n"/>
      <c r="F32" s="77" t="n"/>
      <c r="G32" s="77" t="n"/>
      <c r="H32" s="77" t="n"/>
      <c r="I32" s="75" t="n"/>
    </row>
    <row r="33" ht="36" customHeight="1">
      <c r="A33" s="5" t="inlineStr">
        <is>
          <t>Ý kiến nhân sự</t>
        </is>
      </c>
      <c r="B33" s="75" t="n"/>
      <c r="C33" s="66" t="n"/>
      <c r="D33" s="77" t="n"/>
      <c r="E33" s="77" t="n"/>
      <c r="F33" s="77" t="n"/>
      <c r="G33" s="77" t="n"/>
      <c r="H33" s="77" t="n"/>
      <c r="I33" s="75" t="n"/>
    </row>
    <row r="34"/>
    <row r="35">
      <c r="B35" s="67" t="inlineStr">
        <is>
          <t>NHÂN SỰ ĐƯỢC ĐÁNH GIÁ</t>
        </is>
      </c>
      <c r="D35" s="67" t="inlineStr">
        <is>
          <t>QUẢN LÝ TRỰC TIẾP</t>
        </is>
      </c>
      <c r="G35" s="67" t="inlineStr">
        <is>
          <t>NGƯỜI PHÊ DUYỆT</t>
        </is>
      </c>
    </row>
    <row r="36">
      <c r="B36" s="68" t="inlineStr">
        <is>
          <t>(Ký, ghi rõ họ tên)</t>
        </is>
      </c>
      <c r="D36" s="68" t="inlineStr">
        <is>
          <t>(Ký, ghi rõ họ tên)</t>
        </is>
      </c>
      <c r="G36" s="68" t="inlineStr">
        <is>
          <t>(Ký, ghi rõ họ tên)</t>
        </is>
      </c>
    </row>
  </sheetData>
  <mergeCells count="36">
    <mergeCell ref="A24:B24"/>
    <mergeCell ref="A30:B30"/>
    <mergeCell ref="C6:D6"/>
    <mergeCell ref="A20:D20"/>
    <mergeCell ref="C5:D5"/>
    <mergeCell ref="E5:F5"/>
    <mergeCell ref="C32:I32"/>
    <mergeCell ref="D22:H22"/>
    <mergeCell ref="C4:D4"/>
    <mergeCell ref="E4:F4"/>
    <mergeCell ref="A2:I2"/>
    <mergeCell ref="A25:B25"/>
    <mergeCell ref="A22:C22"/>
    <mergeCell ref="G35:I35"/>
    <mergeCell ref="C30:I30"/>
    <mergeCell ref="G6:H6"/>
    <mergeCell ref="C33:I33"/>
    <mergeCell ref="A27:B27"/>
    <mergeCell ref="B10:B13"/>
    <mergeCell ref="A29:I29"/>
    <mergeCell ref="A26:B26"/>
    <mergeCell ref="E6:F6"/>
    <mergeCell ref="A33:B33"/>
    <mergeCell ref="G5:H5"/>
    <mergeCell ref="A32:B32"/>
    <mergeCell ref="A23:B23"/>
    <mergeCell ref="G4:H4"/>
    <mergeCell ref="C31:I31"/>
    <mergeCell ref="B17:B19"/>
    <mergeCell ref="G36:I36"/>
    <mergeCell ref="C7:D7"/>
    <mergeCell ref="A1:I1"/>
    <mergeCell ref="B14:B16"/>
    <mergeCell ref="B36:C36"/>
    <mergeCell ref="A31:B31"/>
    <mergeCell ref="B35:C35"/>
  </mergeCells>
  <conditionalFormatting sqref="I10:I19">
    <cfRule type="expression" priority="1" dxfId="5">
      <formula>AND(ISNUMBER($G10),OR($G10&lt;=1.5,$G10&gt;=5),LEN($I10)=0)</formula>
    </cfRule>
  </conditionalFormatting>
  <conditionalFormatting sqref="G10:G19">
    <cfRule type="cellIs" priority="2" operator="lessThanOrEqual" dxfId="4">
      <formula>2</formula>
    </cfRule>
  </conditionalFormatting>
  <conditionalFormatting sqref="C26">
    <cfRule type="expression" priority="3" dxfId="0">
      <formula>C26="Xuất sắc"</formula>
    </cfRule>
    <cfRule type="expression" priority="4" dxfId="1">
      <formula>C26="Đạt"</formula>
    </cfRule>
    <cfRule type="expression" priority="5" dxfId="2">
      <formula>C26="Cần cải thiện"</formula>
    </cfRule>
    <cfRule type="expression" priority="6" dxfId="3">
      <formula>C26="Chưa chấm đủ"</formula>
    </cfRule>
  </conditionalFormatting>
  <conditionalFormatting sqref="C27">
    <cfRule type="expression" priority="7" dxfId="6">
      <formula>LEFT(C27,3)="SAI"</formula>
    </cfRule>
  </conditionalFormatting>
  <dataValidations count="2">
    <dataValidation sqref="F10:G19" showDropDown="0" showInputMessage="1" showErrorMessage="1" allowBlank="1" errorTitle="Điểm không hợp lệ" error="Nhập điểm từ 1 đến 5 (cho phép số lẻ như 3.5)." promptTitle="Thang điểm 1–5" prompt="5 Tuyệt vời · 4 Tốt · 3 Bình thường · 2 Chưa đạt · 1 Kém" type="decimal" operator="between">
      <formula1>1</formula1>
      <formula2>5</formula2>
    </dataValidation>
    <dataValidation sqref="G4" showDropDown="0" showInputMessage="0" showErrorMessage="1" allowBlank="0" type="list">
      <formula1>"Tháng,Quý,Năm"</formula1>
    </dataValidation>
  </dataValidations>
  <printOptions horizontalCentered="1"/>
  <pageMargins left="0.4" right="0.4" top="1" bottom="1" header="0.5" footer="0.5"/>
  <pageSetup orientation="landscape" paperSize="9" fitToHeight="0" fitToWidth="1"/>
  <headerFooter>
    <oddHeader>&amp;C&amp;G</oddHeader>
    <oddFooter>&amp;L&amp;8 Mr Wick Kiểm toán · taichinhketoanedu.com&amp;R&amp;8 Trang &amp;P /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1D4ED8"/>
    <outlinePr summaryBelow="1" summaryRight="1"/>
    <pageSetUpPr fitToPage="1"/>
  </sheetPr>
  <dimension ref="A1:J37"/>
  <sheetViews>
    <sheetView showGridLines="0" zoomScale="9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4" customWidth="1" min="3" max="3"/>
    <col width="50" customWidth="1" min="4" max="4"/>
    <col width="10" customWidth="1" min="5" max="5"/>
    <col width="10" customWidth="1" min="6" max="6"/>
    <col width="10" customWidth="1" min="7" max="7"/>
    <col width="11" customWidth="1" min="8" max="8"/>
    <col width="30" customWidth="1" min="9" max="9"/>
    <col hidden="1" width="6" customWidth="1" min="10" max="10"/>
  </cols>
  <sheetData>
    <row r="1" ht="30" customHeight="1">
      <c r="A1" s="1" t="inlineStr">
        <is>
          <t>BẢNG ĐÁNH GIÁ KPI – KỸ SƯ NGHIÊN CỨU &amp; PHÁT TRIỂN SẢN PHẨM</t>
        </is>
      </c>
    </row>
    <row r="2">
      <c r="A2" s="3" t="inlineStr">
        <is>
          <t xml:space="preserve">Phòng Kỹ thuật – R&amp;D · Phụ lục 01 kèm Quy chế đánh giá KPI · KK HOME · </t>
        </is>
      </c>
    </row>
    <row r="3"/>
    <row r="4">
      <c r="B4" s="5" t="inlineStr">
        <is>
          <t>Họ và tên</t>
        </is>
      </c>
      <c r="C4" s="7" t="n"/>
      <c r="D4" s="75" t="n"/>
      <c r="E4" s="5" t="inlineStr">
        <is>
          <t>Loại kỳ đánh giá</t>
        </is>
      </c>
      <c r="F4" s="75" t="n"/>
      <c r="G4" s="40" t="inlineStr">
        <is>
          <t>Quý</t>
        </is>
      </c>
      <c r="H4" s="75" t="n"/>
      <c r="I4" s="41" t="inlineStr">
        <is>
          <t>← chọn Tháng / Quý / Năm</t>
        </is>
      </c>
    </row>
    <row r="5">
      <c r="B5" s="5" t="inlineStr">
        <is>
          <t>Mã nhân viên</t>
        </is>
      </c>
      <c r="C5" s="7" t="n"/>
      <c r="D5" s="75" t="n"/>
      <c r="E5" s="5" t="inlineStr">
        <is>
          <t>Kỳ đánh giá</t>
        </is>
      </c>
      <c r="F5" s="75" t="n"/>
      <c r="G5" s="40" t="n"/>
      <c r="H5" s="75" t="n"/>
      <c r="I5" s="41" t="inlineStr">
        <is>
          <t>VD: Tháng 9/2026, Quý 3/2026, Năm 2026</t>
        </is>
      </c>
    </row>
    <row r="6">
      <c r="B6" s="5" t="inlineStr">
        <is>
          <t>Người đánh giá</t>
        </is>
      </c>
      <c r="C6" s="7" t="n"/>
      <c r="D6" s="75" t="n"/>
      <c r="E6" s="5" t="inlineStr">
        <is>
          <t>Ngày đánh giá</t>
        </is>
      </c>
      <c r="F6" s="75" t="n"/>
      <c r="G6" s="78" t="n"/>
      <c r="H6" s="75" t="n"/>
    </row>
    <row r="7">
      <c r="B7" s="5" t="inlineStr">
        <is>
          <t>Bộ phận</t>
        </is>
      </c>
      <c r="C7" s="7" t="inlineStr">
        <is>
          <t>Phòng Kỹ thuật – R&amp;D</t>
        </is>
      </c>
      <c r="D7" s="75" t="n"/>
    </row>
    <row r="8"/>
    <row r="9" ht="42" customHeight="1">
      <c r="A9" s="14" t="inlineStr">
        <is>
          <t>STT</t>
        </is>
      </c>
      <c r="B9" s="14" t="inlineStr">
        <is>
          <t>Nhóm tiêu chí</t>
        </is>
      </c>
      <c r="C9" s="14" t="inlineStr">
        <is>
          <t>Tiêu chí đánh giá</t>
        </is>
      </c>
      <c r="D9" s="14" t="inlineStr">
        <is>
          <t>Cách đo / Chứng cứ chấm điểm</t>
        </is>
      </c>
      <c r="E9" s="14" t="inlineStr">
        <is>
          <t>Trọng số</t>
        </is>
      </c>
      <c r="F9" s="14" t="inlineStr">
        <is>
          <t>Tự đánh giá
(1–5)</t>
        </is>
      </c>
      <c r="G9" s="14" t="inlineStr">
        <is>
          <t>Quản lý chấm
(1–5)</t>
        </is>
      </c>
      <c r="H9" s="14" t="inlineStr">
        <is>
          <t>Điểm quy đổi</t>
        </is>
      </c>
      <c r="I9" s="14" t="inlineStr">
        <is>
          <t>Ghi chú / Lý do (bắt buộc khi điểm ≤1,5 hoặc 5)</t>
        </is>
      </c>
    </row>
    <row r="10" ht="34" customHeight="1">
      <c r="A10" s="15" t="n">
        <v>1</v>
      </c>
      <c r="B10" s="43" t="inlineStr">
        <is>
          <t>Chuyên môn - Nghiệp vụ</t>
        </is>
      </c>
      <c r="C10" s="44" t="inlineStr">
        <is>
          <t>Tiến độ dự án được giao</t>
        </is>
      </c>
      <c r="D10" s="45" t="inlineStr">
        <is>
          <t>Các mốc dự án hoàn thành đúng kế hoạch</t>
        </is>
      </c>
      <c r="E10" s="46" t="n">
        <v>0.12</v>
      </c>
      <c r="F10" s="79" t="n"/>
      <c r="G10" s="79" t="n"/>
      <c r="H10" s="76">
        <f>IF(ISNUMBER(G10),G10/5*E10*100,0)</f>
        <v/>
      </c>
      <c r="I10" s="48" t="n"/>
      <c r="J10" t="inlineStr">
        <is>
          <t>CM</t>
        </is>
      </c>
    </row>
    <row r="11" ht="34" customHeight="1">
      <c r="A11" s="15" t="n">
        <v>2</v>
      </c>
      <c r="B11" s="49" t="n"/>
      <c r="C11" s="44" t="inlineStr">
        <is>
          <t>Đạt thông số kỹ thuật mục tiêu</t>
        </is>
      </c>
      <c r="D11" s="45" t="inlineStr">
        <is>
          <t>Kết quả thử nghiệm mẫu so với thông số mục tiêu</t>
        </is>
      </c>
      <c r="E11" s="46" t="n">
        <v>0.1</v>
      </c>
      <c r="F11" s="79" t="n"/>
      <c r="G11" s="79" t="n"/>
      <c r="H11" s="76">
        <f>IF(ISNUMBER(G11),G11/5*E11*100,0)</f>
        <v/>
      </c>
      <c r="I11" s="48" t="n"/>
      <c r="J11" t="inlineStr">
        <is>
          <t>CM</t>
        </is>
      </c>
    </row>
    <row r="12" ht="34" customHeight="1">
      <c r="A12" s="15" t="n">
        <v>3</v>
      </c>
      <c r="B12" s="49" t="n"/>
      <c r="C12" s="44" t="inlineStr">
        <is>
          <t>Giá thành thiết kế</t>
        </is>
      </c>
      <c r="D12" s="45" t="inlineStr">
        <is>
          <t>Giá thành dự kiến của thiết kế so với mục tiêu</t>
        </is>
      </c>
      <c r="E12" s="46" t="n">
        <v>0.1</v>
      </c>
      <c r="F12" s="79" t="n"/>
      <c r="G12" s="79" t="n"/>
      <c r="H12" s="76">
        <f>IF(ISNUMBER(G12),G12/5*E12*100,0)</f>
        <v/>
      </c>
      <c r="I12" s="48" t="n"/>
      <c r="J12" t="inlineStr">
        <is>
          <t>CM</t>
        </is>
      </c>
    </row>
    <row r="13" ht="34" customHeight="1">
      <c r="A13" s="15" t="n">
        <v>4</v>
      </c>
      <c r="B13" s="50" t="n"/>
      <c r="C13" s="44" t="inlineStr">
        <is>
          <t>Số lần làm lại mẫu</t>
        </is>
      </c>
      <c r="D13" s="45" t="inlineStr">
        <is>
          <t>Số vòng chế thử so với kế hoạch</t>
        </is>
      </c>
      <c r="E13" s="46" t="n">
        <v>0.08</v>
      </c>
      <c r="F13" s="79" t="n"/>
      <c r="G13" s="79" t="n"/>
      <c r="H13" s="76">
        <f>IF(ISNUMBER(G13),G13/5*E13*100,0)</f>
        <v/>
      </c>
      <c r="I13" s="48" t="n"/>
      <c r="J13" t="inlineStr">
        <is>
          <t>CM</t>
        </is>
      </c>
    </row>
    <row r="14" ht="34" customHeight="1">
      <c r="A14" s="15" t="n">
        <v>5</v>
      </c>
      <c r="B14" s="51" t="inlineStr">
        <is>
          <t>Tuân thủ - Thời hạn</t>
        </is>
      </c>
      <c r="C14" s="44" t="inlineStr">
        <is>
          <t>Tuân thủ quy trình phát triển sản phẩm</t>
        </is>
      </c>
      <c r="D14" s="45" t="inlineStr">
        <is>
          <t>Hồ sơ từng giai đoạn (yêu cầu, thiết kế, thử nghiệm, phê duyệt) đầy đủ</t>
        </is>
      </c>
      <c r="E14" s="46" t="n">
        <v>0.12</v>
      </c>
      <c r="F14" s="79" t="n"/>
      <c r="G14" s="79" t="n"/>
      <c r="H14" s="76">
        <f>IF(ISNUMBER(G14),G14/5*E14*100,0)</f>
        <v/>
      </c>
      <c r="I14" s="48" t="n"/>
      <c r="J14" t="inlineStr">
        <is>
          <t>TT</t>
        </is>
      </c>
    </row>
    <row r="15" ht="34" customHeight="1">
      <c r="A15" s="15" t="n">
        <v>6</v>
      </c>
      <c r="B15" s="49" t="n"/>
      <c r="C15" s="44" t="inlineStr">
        <is>
          <t>Hồ sơ thử nghiệm &amp; nhật ký nghiên cứu</t>
        </is>
      </c>
      <c r="D15" s="45" t="inlineStr">
        <is>
          <t>Nhật ký, dữ liệu thử nghiệm ghi chép đầy đủ, truy xuất được</t>
        </is>
      </c>
      <c r="E15" s="46" t="n">
        <v>0.08</v>
      </c>
      <c r="F15" s="79" t="n"/>
      <c r="G15" s="79" t="n"/>
      <c r="H15" s="76">
        <f>IF(ISNUMBER(G15),G15/5*E15*100,0)</f>
        <v/>
      </c>
      <c r="I15" s="48" t="n"/>
      <c r="J15" t="inlineStr">
        <is>
          <t>TT</t>
        </is>
      </c>
    </row>
    <row r="16" ht="34" customHeight="1">
      <c r="A16" s="15" t="n">
        <v>7</v>
      </c>
      <c r="B16" s="49" t="n"/>
      <c r="C16" s="44" t="inlineStr">
        <is>
          <t>An toàn phòng thí nghiệm &amp; bảo mật</t>
        </is>
      </c>
      <c r="D16" s="45" t="inlineStr">
        <is>
          <t>Không vi phạm an toàn; bảo mật công thức, bản vẽ</t>
        </is>
      </c>
      <c r="E16" s="46" t="n">
        <v>0.08</v>
      </c>
      <c r="F16" s="79" t="n"/>
      <c r="G16" s="79" t="n"/>
      <c r="H16" s="76">
        <f>IF(ISNUMBER(G16),G16/5*E16*100,0)</f>
        <v/>
      </c>
      <c r="I16" s="48" t="n"/>
      <c r="J16" t="inlineStr">
        <is>
          <t>TT</t>
        </is>
      </c>
    </row>
    <row r="17" ht="34" customHeight="1">
      <c r="A17" s="15" t="n">
        <v>8</v>
      </c>
      <c r="B17" s="50" t="n"/>
      <c r="C17" s="44" t="inlineStr">
        <is>
          <t>Chuyển giao sản xuất</t>
        </is>
      </c>
      <c r="D17" s="45" t="inlineStr">
        <is>
          <t>Tài liệu chuyển giao đầy đủ; lỗi phát sinh khi sản xuất thử</t>
        </is>
      </c>
      <c r="E17" s="46" t="n">
        <v>0.07000000000000001</v>
      </c>
      <c r="F17" s="79" t="n"/>
      <c r="G17" s="79" t="n"/>
      <c r="H17" s="76">
        <f>IF(ISNUMBER(G17),G17/5*E17*100,0)</f>
        <v/>
      </c>
      <c r="I17" s="48" t="n"/>
      <c r="J17" t="inlineStr">
        <is>
          <t>TT</t>
        </is>
      </c>
    </row>
    <row r="18" ht="34" customHeight="1">
      <c r="A18" s="15" t="n">
        <v>9</v>
      </c>
      <c r="B18" s="52" t="inlineStr">
        <is>
          <t>Phối hợp - Thái độ</t>
        </is>
      </c>
      <c r="C18" s="44" t="inlineStr">
        <is>
          <t>Phối hợp với Sản xuất, QC, Mua hàng</t>
        </is>
      </c>
      <c r="D18" s="45" t="inlineStr">
        <is>
          <t>Phản hồi về hỗ trợ kỹ thuật, tìm vật liệu</t>
        </is>
      </c>
      <c r="E18" s="46" t="n">
        <v>0.1</v>
      </c>
      <c r="F18" s="79" t="n"/>
      <c r="G18" s="79" t="n"/>
      <c r="H18" s="76">
        <f>IF(ISNUMBER(G18),G18/5*E18*100,0)</f>
        <v/>
      </c>
      <c r="I18" s="48" t="n"/>
      <c r="J18" t="inlineStr">
        <is>
          <t>PH</t>
        </is>
      </c>
    </row>
    <row r="19" ht="34" customHeight="1">
      <c r="A19" s="15" t="n">
        <v>10</v>
      </c>
      <c r="B19" s="49" t="n"/>
      <c r="C19" s="44" t="inlineStr">
        <is>
          <t>Sáng tạo &amp; đề xuất giải pháp</t>
        </is>
      </c>
      <c r="D19" s="45" t="inlineStr">
        <is>
          <t>Số ý tưởng, giải pháp mới được chấp thuận</t>
        </is>
      </c>
      <c r="E19" s="46" t="n">
        <v>0.08</v>
      </c>
      <c r="F19" s="79" t="n"/>
      <c r="G19" s="79" t="n"/>
      <c r="H19" s="76">
        <f>IF(ISNUMBER(G19),G19/5*E19*100,0)</f>
        <v/>
      </c>
      <c r="I19" s="48" t="n"/>
      <c r="J19" t="inlineStr">
        <is>
          <t>PH</t>
        </is>
      </c>
    </row>
    <row r="20" ht="34" customHeight="1">
      <c r="A20" s="15" t="n">
        <v>11</v>
      </c>
      <c r="B20" s="50" t="n"/>
      <c r="C20" s="44" t="inlineStr">
        <is>
          <t>Học hỏi &amp; chia sẻ kiến thức</t>
        </is>
      </c>
      <c r="D20" s="45" t="inlineStr">
        <is>
          <t>Số buổi chia sẻ chuyên môn nội bộ; cập nhật công nghệ mới</t>
        </is>
      </c>
      <c r="E20" s="46" t="n">
        <v>0.07000000000000001</v>
      </c>
      <c r="F20" s="79" t="n"/>
      <c r="G20" s="79" t="n"/>
      <c r="H20" s="76">
        <f>IF(ISNUMBER(G20),G20/5*E20*100,0)</f>
        <v/>
      </c>
      <c r="I20" s="48" t="n"/>
      <c r="J20" t="inlineStr">
        <is>
          <t>PH</t>
        </is>
      </c>
    </row>
    <row r="21" ht="22" customHeight="1">
      <c r="A21" s="53" t="inlineStr">
        <is>
          <t>TỔNG CỘNG</t>
        </is>
      </c>
      <c r="B21" s="77" t="n"/>
      <c r="C21" s="77" t="n"/>
      <c r="D21" s="75" t="n"/>
      <c r="E21" s="55">
        <f>SUM(E10:E20)</f>
        <v/>
      </c>
      <c r="F21" s="54" t="n"/>
      <c r="G21" s="54" t="n"/>
      <c r="H21" s="80">
        <f>SUM(H10:H20)</f>
        <v/>
      </c>
      <c r="I21" s="54" t="n"/>
    </row>
    <row r="22"/>
    <row r="23">
      <c r="A23" s="27" t="inlineStr">
        <is>
          <t>KẾT QUẢ ĐÁNH GIÁ</t>
        </is>
      </c>
      <c r="B23" s="77" t="n"/>
      <c r="C23" s="75" t="n"/>
      <c r="D23" s="27" t="inlineStr">
        <is>
          <t>ĐIỂM THEO NHÓM TIÊU CHÍ</t>
        </is>
      </c>
      <c r="E23" s="77" t="n"/>
      <c r="F23" s="77" t="n"/>
      <c r="G23" s="77" t="n"/>
      <c r="H23" s="75" t="n"/>
    </row>
    <row r="24" ht="20" customHeight="1">
      <c r="A24" s="5" t="inlineStr">
        <is>
          <t>Tổng điểm chính thức</t>
        </is>
      </c>
      <c r="B24" s="75" t="n"/>
      <c r="C24" s="81">
        <f>H21</f>
        <v/>
      </c>
      <c r="D24" s="58" t="inlineStr">
        <is>
          <t>Nhóm tiêu chí</t>
        </is>
      </c>
      <c r="E24" s="59" t="inlineStr">
        <is>
          <t>Trọng số</t>
        </is>
      </c>
      <c r="F24" s="59" t="inlineStr">
        <is>
          <t>Điểm tối đa</t>
        </is>
      </c>
      <c r="G24" s="59" t="inlineStr">
        <is>
          <t>Điểm đạt</t>
        </is>
      </c>
      <c r="H24" s="59" t="inlineStr">
        <is>
          <t>Tỷ lệ đạt</t>
        </is>
      </c>
    </row>
    <row r="25" ht="20" customHeight="1">
      <c r="A25" s="5" t="inlineStr">
        <is>
          <t>Điểm tự đánh giá</t>
        </is>
      </c>
      <c r="B25" s="75" t="n"/>
      <c r="C25" s="76">
        <f>IF(COUNT(F10:F20)=0,"",SUMPRODUCT(F10:F20,E10:E20)/5*100)</f>
        <v/>
      </c>
      <c r="D25" s="60" t="inlineStr">
        <is>
          <t>Chuyên môn - Nghiệp vụ</t>
        </is>
      </c>
      <c r="E25" s="19">
        <f>SUMIF($J$10:$J$20,"CM",$E$10:$E$20)</f>
        <v/>
      </c>
      <c r="F25" s="69">
        <f>E25*100</f>
        <v/>
      </c>
      <c r="G25" s="69">
        <f>SUMIF($J$10:$J$20,"CM",$H$10:$H$20)</f>
        <v/>
      </c>
      <c r="H25" s="61">
        <f>IF(F25=0,0,G25/F25)</f>
        <v/>
      </c>
    </row>
    <row r="26" ht="20" customHeight="1">
      <c r="A26" s="5" t="inlineStr">
        <is>
          <t>Tiêu chí đã chấm</t>
        </is>
      </c>
      <c r="B26" s="75" t="n"/>
      <c r="C26" s="62">
        <f>COUNT(G10:G20)&amp;" / 11"</f>
        <v/>
      </c>
      <c r="D26" s="63" t="inlineStr">
        <is>
          <t>Tuân thủ - Thời hạn</t>
        </is>
      </c>
      <c r="E26" s="19">
        <f>SUMIF($J$10:$J$20,"TT",$E$10:$E$20)</f>
        <v/>
      </c>
      <c r="F26" s="69">
        <f>E26*100</f>
        <v/>
      </c>
      <c r="G26" s="69">
        <f>SUMIF($J$10:$J$20,"TT",$H$10:$H$20)</f>
        <v/>
      </c>
      <c r="H26" s="61">
        <f>IF(F26=0,0,G26/F26)</f>
        <v/>
      </c>
    </row>
    <row r="27" ht="20" customHeight="1">
      <c r="A27" s="5" t="inlineStr">
        <is>
          <t>Xếp loại</t>
        </is>
      </c>
      <c r="B27" s="75" t="n"/>
      <c r="C27" s="64">
        <f>IF(COUNT(G10:G20)=0,"Chưa chấm",IF(COUNT(G10:G20)&lt;11,"Chưa chấm đủ",IF(H21&gt;=80,"Xuất sắc",IF(H21&gt;=70,"Đạt","Cần cải thiện"))))</f>
        <v/>
      </c>
      <c r="D27" s="65" t="inlineStr">
        <is>
          <t>Phối hợp - Thái độ</t>
        </is>
      </c>
      <c r="E27" s="19">
        <f>SUMIF($J$10:$J$20,"PH",$E$10:$E$20)</f>
        <v/>
      </c>
      <c r="F27" s="69">
        <f>E27*100</f>
        <v/>
      </c>
      <c r="G27" s="69">
        <f>SUMIF($J$10:$J$20,"PH",$H$10:$H$20)</f>
        <v/>
      </c>
      <c r="H27" s="61">
        <f>IF(F27=0,0,G27/F27)</f>
        <v/>
      </c>
    </row>
    <row r="28" ht="20" customHeight="1">
      <c r="A28" s="5" t="inlineStr">
        <is>
          <t>Kiểm tra trọng số</t>
        </is>
      </c>
      <c r="B28" s="75" t="n"/>
      <c r="C28" s="62">
        <f>IF(ROUND(E21,4)=1,"Hợp lệ – 100%","SAI – tổng trọng số phải = 100%")</f>
        <v/>
      </c>
    </row>
    <row r="29"/>
    <row r="30">
      <c r="A30" s="27" t="inlineStr">
        <is>
          <t>NHẬN XÉT &amp; KẾ HOẠCH CẢI THIỆN (Bước 5 – phản hồi kết quả)</t>
        </is>
      </c>
      <c r="B30" s="77" t="n"/>
      <c r="C30" s="77" t="n"/>
      <c r="D30" s="77" t="n"/>
      <c r="E30" s="77" t="n"/>
      <c r="F30" s="77" t="n"/>
      <c r="G30" s="77" t="n"/>
      <c r="H30" s="77" t="n"/>
      <c r="I30" s="75" t="n"/>
    </row>
    <row r="31" ht="36" customHeight="1">
      <c r="A31" s="5" t="inlineStr">
        <is>
          <t>Điểm mạnh</t>
        </is>
      </c>
      <c r="B31" s="75" t="n"/>
      <c r="C31" s="66" t="n"/>
      <c r="D31" s="77" t="n"/>
      <c r="E31" s="77" t="n"/>
      <c r="F31" s="77" t="n"/>
      <c r="G31" s="77" t="n"/>
      <c r="H31" s="77" t="n"/>
      <c r="I31" s="75" t="n"/>
    </row>
    <row r="32" ht="36" customHeight="1">
      <c r="A32" s="5" t="inlineStr">
        <is>
          <t>Cần cải thiện</t>
        </is>
      </c>
      <c r="B32" s="75" t="n"/>
      <c r="C32" s="66" t="n"/>
      <c r="D32" s="77" t="n"/>
      <c r="E32" s="77" t="n"/>
      <c r="F32" s="77" t="n"/>
      <c r="G32" s="77" t="n"/>
      <c r="H32" s="77" t="n"/>
      <c r="I32" s="75" t="n"/>
    </row>
    <row r="33" ht="36" customHeight="1">
      <c r="A33" s="5" t="inlineStr">
        <is>
          <t>Kế hoạch cải thiện</t>
        </is>
      </c>
      <c r="B33" s="75" t="n"/>
      <c r="C33" s="66" t="n"/>
      <c r="D33" s="77" t="n"/>
      <c r="E33" s="77" t="n"/>
      <c r="F33" s="77" t="n"/>
      <c r="G33" s="77" t="n"/>
      <c r="H33" s="77" t="n"/>
      <c r="I33" s="75" t="n"/>
    </row>
    <row r="34" ht="36" customHeight="1">
      <c r="A34" s="5" t="inlineStr">
        <is>
          <t>Ý kiến nhân sự</t>
        </is>
      </c>
      <c r="B34" s="75" t="n"/>
      <c r="C34" s="66" t="n"/>
      <c r="D34" s="77" t="n"/>
      <c r="E34" s="77" t="n"/>
      <c r="F34" s="77" t="n"/>
      <c r="G34" s="77" t="n"/>
      <c r="H34" s="77" t="n"/>
      <c r="I34" s="75" t="n"/>
    </row>
    <row r="35"/>
    <row r="36">
      <c r="B36" s="67" t="inlineStr">
        <is>
          <t>NHÂN SỰ ĐƯỢC ĐÁNH GIÁ</t>
        </is>
      </c>
      <c r="D36" s="67" t="inlineStr">
        <is>
          <t>QUẢN LÝ TRỰC TIẾP</t>
        </is>
      </c>
      <c r="G36" s="67" t="inlineStr">
        <is>
          <t>NGƯỜI PHÊ DUYỆT</t>
        </is>
      </c>
    </row>
    <row r="37">
      <c r="B37" s="68" t="inlineStr">
        <is>
          <t>(Ký, ghi rõ họ tên)</t>
        </is>
      </c>
      <c r="D37" s="68" t="inlineStr">
        <is>
          <t>(Ký, ghi rõ họ tên)</t>
        </is>
      </c>
      <c r="G37" s="68" t="inlineStr">
        <is>
          <t>(Ký, ghi rõ họ tên)</t>
        </is>
      </c>
    </row>
  </sheetData>
  <mergeCells count="36">
    <mergeCell ref="A24:B24"/>
    <mergeCell ref="C6:D6"/>
    <mergeCell ref="G37:I37"/>
    <mergeCell ref="C5:D5"/>
    <mergeCell ref="E5:F5"/>
    <mergeCell ref="C32:I32"/>
    <mergeCell ref="C4:D4"/>
    <mergeCell ref="E4:F4"/>
    <mergeCell ref="B14:B17"/>
    <mergeCell ref="A2:I2"/>
    <mergeCell ref="A25:B25"/>
    <mergeCell ref="A23:C23"/>
    <mergeCell ref="C34:I34"/>
    <mergeCell ref="G6:H6"/>
    <mergeCell ref="A27:B27"/>
    <mergeCell ref="C33:I33"/>
    <mergeCell ref="B10:B13"/>
    <mergeCell ref="A26:B26"/>
    <mergeCell ref="E6:F6"/>
    <mergeCell ref="A33:B33"/>
    <mergeCell ref="B37:C37"/>
    <mergeCell ref="G5:H5"/>
    <mergeCell ref="A32:B32"/>
    <mergeCell ref="B18:B20"/>
    <mergeCell ref="A30:I30"/>
    <mergeCell ref="G4:H4"/>
    <mergeCell ref="C31:I31"/>
    <mergeCell ref="G36:I36"/>
    <mergeCell ref="C7:D7"/>
    <mergeCell ref="A21:D21"/>
    <mergeCell ref="A28:B28"/>
    <mergeCell ref="A1:I1"/>
    <mergeCell ref="B36:C36"/>
    <mergeCell ref="D23:H23"/>
    <mergeCell ref="A31:B31"/>
    <mergeCell ref="A34:B34"/>
  </mergeCells>
  <conditionalFormatting sqref="I10:I20">
    <cfRule type="expression" priority="1" dxfId="5">
      <formula>AND(ISNUMBER($G10),OR($G10&lt;=1.5,$G10&gt;=5),LEN($I10)=0)</formula>
    </cfRule>
  </conditionalFormatting>
  <conditionalFormatting sqref="G10:G20">
    <cfRule type="cellIs" priority="2" operator="lessThanOrEqual" dxfId="4">
      <formula>2</formula>
    </cfRule>
  </conditionalFormatting>
  <conditionalFormatting sqref="C27">
    <cfRule type="expression" priority="3" dxfId="0">
      <formula>C27="Xuất sắc"</formula>
    </cfRule>
    <cfRule type="expression" priority="4" dxfId="1">
      <formula>C27="Đạt"</formula>
    </cfRule>
    <cfRule type="expression" priority="5" dxfId="2">
      <formula>C27="Cần cải thiện"</formula>
    </cfRule>
    <cfRule type="expression" priority="6" dxfId="3">
      <formula>C27="Chưa chấm đủ"</formula>
    </cfRule>
  </conditionalFormatting>
  <conditionalFormatting sqref="C28">
    <cfRule type="expression" priority="7" dxfId="6">
      <formula>LEFT(C28,3)="SAI"</formula>
    </cfRule>
  </conditionalFormatting>
  <dataValidations count="2">
    <dataValidation sqref="F10:G20" showDropDown="0" showInputMessage="1" showErrorMessage="1" allowBlank="1" errorTitle="Điểm không hợp lệ" error="Nhập điểm từ 1 đến 5 (cho phép số lẻ như 3.5)." promptTitle="Thang điểm 1–5" prompt="5 Tuyệt vời · 4 Tốt · 3 Bình thường · 2 Chưa đạt · 1 Kém" type="decimal" operator="between">
      <formula1>1</formula1>
      <formula2>5</formula2>
    </dataValidation>
    <dataValidation sqref="G4" showDropDown="0" showInputMessage="0" showErrorMessage="1" allowBlank="0" type="list">
      <formula1>"Tháng,Quý,Năm"</formula1>
    </dataValidation>
  </dataValidations>
  <printOptions horizontalCentered="1"/>
  <pageMargins left="0.4" right="0.4" top="1" bottom="1" header="0.5" footer="0.5"/>
  <pageSetup orientation="landscape" paperSize="9" fitToHeight="0" fitToWidth="1"/>
  <headerFooter>
    <oddHeader>&amp;C&amp;G</oddHeader>
    <oddFooter>&amp;L&amp;8 Mr Wick Kiểm toán · taichinhketoanedu.com&amp;R&amp;8 Trang &amp;P /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1D4ED8"/>
    <outlinePr summaryBelow="1" summaryRight="1"/>
    <pageSetUpPr fitToPage="1"/>
  </sheetPr>
  <dimension ref="A1:J37"/>
  <sheetViews>
    <sheetView showGridLines="0" zoomScale="9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4" customWidth="1" min="3" max="3"/>
    <col width="50" customWidth="1" min="4" max="4"/>
    <col width="10" customWidth="1" min="5" max="5"/>
    <col width="10" customWidth="1" min="6" max="6"/>
    <col width="10" customWidth="1" min="7" max="7"/>
    <col width="11" customWidth="1" min="8" max="8"/>
    <col width="30" customWidth="1" min="9" max="9"/>
    <col hidden="1" width="6" customWidth="1" min="10" max="10"/>
  </cols>
  <sheetData>
    <row r="1" ht="30" customHeight="1">
      <c r="A1" s="1" t="inlineStr">
        <is>
          <t>BẢNG ĐÁNH GIÁ KPI – KỸ SƯ CÔNG NGHỆ – QUY TRÌNH SẢN XUẤT</t>
        </is>
      </c>
    </row>
    <row r="2">
      <c r="A2" s="3" t="inlineStr">
        <is>
          <t xml:space="preserve">Phòng Kỹ thuật – R&amp;D · Phụ lục 01 kèm Quy chế đánh giá KPI · KK HOME · </t>
        </is>
      </c>
    </row>
    <row r="3"/>
    <row r="4">
      <c r="B4" s="5" t="inlineStr">
        <is>
          <t>Họ và tên</t>
        </is>
      </c>
      <c r="C4" s="7" t="n"/>
      <c r="D4" s="75" t="n"/>
      <c r="E4" s="5" t="inlineStr">
        <is>
          <t>Loại kỳ đánh giá</t>
        </is>
      </c>
      <c r="F4" s="75" t="n"/>
      <c r="G4" s="40" t="inlineStr">
        <is>
          <t>Quý</t>
        </is>
      </c>
      <c r="H4" s="75" t="n"/>
      <c r="I4" s="41" t="inlineStr">
        <is>
          <t>← chọn Tháng / Quý / Năm</t>
        </is>
      </c>
    </row>
    <row r="5">
      <c r="B5" s="5" t="inlineStr">
        <is>
          <t>Mã nhân viên</t>
        </is>
      </c>
      <c r="C5" s="7" t="n"/>
      <c r="D5" s="75" t="n"/>
      <c r="E5" s="5" t="inlineStr">
        <is>
          <t>Kỳ đánh giá</t>
        </is>
      </c>
      <c r="F5" s="75" t="n"/>
      <c r="G5" s="40" t="n"/>
      <c r="H5" s="75" t="n"/>
      <c r="I5" s="41" t="inlineStr">
        <is>
          <t>VD: Tháng 9/2026, Quý 3/2026, Năm 2026</t>
        </is>
      </c>
    </row>
    <row r="6">
      <c r="B6" s="5" t="inlineStr">
        <is>
          <t>Người đánh giá</t>
        </is>
      </c>
      <c r="C6" s="7" t="n"/>
      <c r="D6" s="75" t="n"/>
      <c r="E6" s="5" t="inlineStr">
        <is>
          <t>Ngày đánh giá</t>
        </is>
      </c>
      <c r="F6" s="75" t="n"/>
      <c r="G6" s="78" t="n"/>
      <c r="H6" s="75" t="n"/>
    </row>
    <row r="7">
      <c r="B7" s="5" t="inlineStr">
        <is>
          <t>Bộ phận</t>
        </is>
      </c>
      <c r="C7" s="7" t="inlineStr">
        <is>
          <t>Phòng Kỹ thuật – R&amp;D</t>
        </is>
      </c>
      <c r="D7" s="75" t="n"/>
    </row>
    <row r="8"/>
    <row r="9" ht="42" customHeight="1">
      <c r="A9" s="14" t="inlineStr">
        <is>
          <t>STT</t>
        </is>
      </c>
      <c r="B9" s="14" t="inlineStr">
        <is>
          <t>Nhóm tiêu chí</t>
        </is>
      </c>
      <c r="C9" s="14" t="inlineStr">
        <is>
          <t>Tiêu chí đánh giá</t>
        </is>
      </c>
      <c r="D9" s="14" t="inlineStr">
        <is>
          <t>Cách đo / Chứng cứ chấm điểm</t>
        </is>
      </c>
      <c r="E9" s="14" t="inlineStr">
        <is>
          <t>Trọng số</t>
        </is>
      </c>
      <c r="F9" s="14" t="inlineStr">
        <is>
          <t>Tự đánh giá
(1–5)</t>
        </is>
      </c>
      <c r="G9" s="14" t="inlineStr">
        <is>
          <t>Quản lý chấm
(1–5)</t>
        </is>
      </c>
      <c r="H9" s="14" t="inlineStr">
        <is>
          <t>Điểm quy đổi</t>
        </is>
      </c>
      <c r="I9" s="14" t="inlineStr">
        <is>
          <t>Ghi chú / Lý do (bắt buộc khi điểm ≤1,5 hoặc 5)</t>
        </is>
      </c>
    </row>
    <row r="10" ht="34" customHeight="1">
      <c r="A10" s="15" t="n">
        <v>1</v>
      </c>
      <c r="B10" s="43" t="inlineStr">
        <is>
          <t>Chuyên môn - Nghiệp vụ</t>
        </is>
      </c>
      <c r="C10" s="44" t="inlineStr">
        <is>
          <t>Hiệu suất quy trình sản xuất</t>
        </is>
      </c>
      <c r="D10" s="45" t="inlineStr">
        <is>
          <t>Năng suất, hiệu suất thiết bị (OEE) tại công đoạn phụ trách so với mục tiêu</t>
        </is>
      </c>
      <c r="E10" s="46" t="n">
        <v>0.12</v>
      </c>
      <c r="F10" s="79" t="n"/>
      <c r="G10" s="79" t="n"/>
      <c r="H10" s="76">
        <f>IF(ISNUMBER(G10),G10/5*E10*100,0)</f>
        <v/>
      </c>
      <c r="I10" s="48" t="n"/>
      <c r="J10" t="inlineStr">
        <is>
          <t>CM</t>
        </is>
      </c>
    </row>
    <row r="11" ht="34" customHeight="1">
      <c r="A11" s="15" t="n">
        <v>2</v>
      </c>
      <c r="B11" s="49" t="n"/>
      <c r="C11" s="44" t="inlineStr">
        <is>
          <t>Tỷ lệ phế phẩm</t>
        </is>
      </c>
      <c r="D11" s="45" t="inlineStr">
        <is>
          <t>Tỷ lệ phế phẩm, hàng lỗi do quy trình so với định mức</t>
        </is>
      </c>
      <c r="E11" s="46" t="n">
        <v>0.1</v>
      </c>
      <c r="F11" s="79" t="n"/>
      <c r="G11" s="79" t="n"/>
      <c r="H11" s="76">
        <f>IF(ISNUMBER(G11),G11/5*E11*100,0)</f>
        <v/>
      </c>
      <c r="I11" s="48" t="n"/>
      <c r="J11" t="inlineStr">
        <is>
          <t>CM</t>
        </is>
      </c>
    </row>
    <row r="12" ht="34" customHeight="1">
      <c r="A12" s="15" t="n">
        <v>3</v>
      </c>
      <c r="B12" s="49" t="n"/>
      <c r="C12" s="44" t="inlineStr">
        <is>
          <t>Định mức vật tư, thời gian</t>
        </is>
      </c>
      <c r="D12" s="45" t="inlineStr">
        <is>
          <t>Định mức được xây dựng, cập nhật; chênh lệch thực tế/định mức được giải trình</t>
        </is>
      </c>
      <c r="E12" s="46" t="n">
        <v>0.1</v>
      </c>
      <c r="F12" s="79" t="n"/>
      <c r="G12" s="79" t="n"/>
      <c r="H12" s="76">
        <f>IF(ISNUMBER(G12),G12/5*E12*100,0)</f>
        <v/>
      </c>
      <c r="I12" s="48" t="n"/>
      <c r="J12" t="inlineStr">
        <is>
          <t>CM</t>
        </is>
      </c>
    </row>
    <row r="13" ht="34" customHeight="1">
      <c r="A13" s="15" t="n">
        <v>4</v>
      </c>
      <c r="B13" s="50" t="n"/>
      <c r="C13" s="44" t="inlineStr">
        <is>
          <t>Cải tiến quy trình</t>
        </is>
      </c>
      <c r="D13" s="45" t="inlineStr">
        <is>
          <t>Số cải tiến được áp dụng; giá trị tiết kiệm đạt được</t>
        </is>
      </c>
      <c r="E13" s="46" t="n">
        <v>0.08</v>
      </c>
      <c r="F13" s="79" t="n"/>
      <c r="G13" s="79" t="n"/>
      <c r="H13" s="76">
        <f>IF(ISNUMBER(G13),G13/5*E13*100,0)</f>
        <v/>
      </c>
      <c r="I13" s="48" t="n"/>
      <c r="J13" t="inlineStr">
        <is>
          <t>CM</t>
        </is>
      </c>
    </row>
    <row r="14" ht="34" customHeight="1">
      <c r="A14" s="15" t="n">
        <v>5</v>
      </c>
      <c r="B14" s="51" t="inlineStr">
        <is>
          <t>Tuân thủ - Thời hạn</t>
        </is>
      </c>
      <c r="C14" s="44" t="inlineStr">
        <is>
          <t>Hướng dẫn công việc (WI) chuẩn</t>
        </is>
      </c>
      <c r="D14" s="45" t="inlineStr">
        <is>
          <t>100% công đoạn có hướng dẫn công việc cập nhật, đúng phiên bản</t>
        </is>
      </c>
      <c r="E14" s="46" t="n">
        <v>0.12</v>
      </c>
      <c r="F14" s="79" t="n"/>
      <c r="G14" s="79" t="n"/>
      <c r="H14" s="76">
        <f>IF(ISNUMBER(G14),G14/5*E14*100,0)</f>
        <v/>
      </c>
      <c r="I14" s="48" t="n"/>
      <c r="J14" t="inlineStr">
        <is>
          <t>TT</t>
        </is>
      </c>
    </row>
    <row r="15" ht="34" customHeight="1">
      <c r="A15" s="15" t="n">
        <v>6</v>
      </c>
      <c r="B15" s="49" t="n"/>
      <c r="C15" s="44" t="inlineStr">
        <is>
          <t>Xử lý sự cố kỹ thuật sản xuất</t>
        </is>
      </c>
      <c r="D15" s="45" t="inlineStr">
        <is>
          <t>Thời gian khắc phục sự cố quy trình; phân tích nguyên nhân gốc</t>
        </is>
      </c>
      <c r="E15" s="46" t="n">
        <v>0.08</v>
      </c>
      <c r="F15" s="79" t="n"/>
      <c r="G15" s="79" t="n"/>
      <c r="H15" s="76">
        <f>IF(ISNUMBER(G15),G15/5*E15*100,0)</f>
        <v/>
      </c>
      <c r="I15" s="48" t="n"/>
      <c r="J15" t="inlineStr">
        <is>
          <t>TT</t>
        </is>
      </c>
    </row>
    <row r="16" ht="34" customHeight="1">
      <c r="A16" s="15" t="n">
        <v>7</v>
      </c>
      <c r="B16" s="49" t="n"/>
      <c r="C16" s="44" t="inlineStr">
        <is>
          <t>Tuân thủ an toàn &amp; tiêu chuẩn chất lượng</t>
        </is>
      </c>
      <c r="D16" s="45" t="inlineStr">
        <is>
          <t>Quy trình đáp ứng an toàn lao động, tiêu chuẩn chất lượng áp dụng</t>
        </is>
      </c>
      <c r="E16" s="46" t="n">
        <v>0.08</v>
      </c>
      <c r="F16" s="79" t="n"/>
      <c r="G16" s="79" t="n"/>
      <c r="H16" s="76">
        <f>IF(ISNUMBER(G16),G16/5*E16*100,0)</f>
        <v/>
      </c>
      <c r="I16" s="48" t="n"/>
      <c r="J16" t="inlineStr">
        <is>
          <t>TT</t>
        </is>
      </c>
    </row>
    <row r="17" ht="34" customHeight="1">
      <c r="A17" s="15" t="n">
        <v>8</v>
      </c>
      <c r="B17" s="50" t="n"/>
      <c r="C17" s="44" t="inlineStr">
        <is>
          <t>Báo cáo kỹ thuật định kỳ</t>
        </is>
      </c>
      <c r="D17" s="45" t="inlineStr">
        <is>
          <t>Báo cáo hiệu suất, phế phẩm, cải tiến đúng hạn</t>
        </is>
      </c>
      <c r="E17" s="46" t="n">
        <v>0.07000000000000001</v>
      </c>
      <c r="F17" s="79" t="n"/>
      <c r="G17" s="79" t="n"/>
      <c r="H17" s="76">
        <f>IF(ISNUMBER(G17),G17/5*E17*100,0)</f>
        <v/>
      </c>
      <c r="I17" s="48" t="n"/>
      <c r="J17" t="inlineStr">
        <is>
          <t>TT</t>
        </is>
      </c>
    </row>
    <row r="18" ht="34" customHeight="1">
      <c r="A18" s="15" t="n">
        <v>9</v>
      </c>
      <c r="B18" s="52" t="inlineStr">
        <is>
          <t>Phối hợp - Thái độ</t>
        </is>
      </c>
      <c r="C18" s="44" t="inlineStr">
        <is>
          <t>Phối hợp với Sản xuất, QC, Bảo trì</t>
        </is>
      </c>
      <c r="D18" s="45" t="inlineStr">
        <is>
          <t>Phản hồi của quản đốc, QC về hỗ trợ</t>
        </is>
      </c>
      <c r="E18" s="46" t="n">
        <v>0.1</v>
      </c>
      <c r="F18" s="79" t="n"/>
      <c r="G18" s="79" t="n"/>
      <c r="H18" s="76">
        <f>IF(ISNUMBER(G18),G18/5*E18*100,0)</f>
        <v/>
      </c>
      <c r="I18" s="48" t="n"/>
      <c r="J18" t="inlineStr">
        <is>
          <t>PH</t>
        </is>
      </c>
    </row>
    <row r="19" ht="34" customHeight="1">
      <c r="A19" s="15" t="n">
        <v>10</v>
      </c>
      <c r="B19" s="49" t="n"/>
      <c r="C19" s="44" t="inlineStr">
        <is>
          <t>Đào tạo công nhân về quy trình</t>
        </is>
      </c>
      <c r="D19" s="45" t="inlineStr">
        <is>
          <t>Số buổi đào tạo; tỷ lệ công nhân đạt sau đào tạo</t>
        </is>
      </c>
      <c r="E19" s="46" t="n">
        <v>0.08</v>
      </c>
      <c r="F19" s="79" t="n"/>
      <c r="G19" s="79" t="n"/>
      <c r="H19" s="76">
        <f>IF(ISNUMBER(G19),G19/5*E19*100,0)</f>
        <v/>
      </c>
      <c r="I19" s="48" t="n"/>
      <c r="J19" t="inlineStr">
        <is>
          <t>PH</t>
        </is>
      </c>
    </row>
    <row r="20" ht="34" customHeight="1">
      <c r="A20" s="15" t="n">
        <v>11</v>
      </c>
      <c r="B20" s="50" t="n"/>
      <c r="C20" s="44" t="inlineStr">
        <is>
          <t>Tinh thần trách nhiệm</t>
        </is>
      </c>
      <c r="D20" s="45" t="inlineStr">
        <is>
          <t>Có mặt xử lý sự cố khi cần; chủ động phòng ngừa</t>
        </is>
      </c>
      <c r="E20" s="46" t="n">
        <v>0.07000000000000001</v>
      </c>
      <c r="F20" s="79" t="n"/>
      <c r="G20" s="79" t="n"/>
      <c r="H20" s="76">
        <f>IF(ISNUMBER(G20),G20/5*E20*100,0)</f>
        <v/>
      </c>
      <c r="I20" s="48" t="n"/>
      <c r="J20" t="inlineStr">
        <is>
          <t>PH</t>
        </is>
      </c>
    </row>
    <row r="21" ht="22" customHeight="1">
      <c r="A21" s="53" t="inlineStr">
        <is>
          <t>TỔNG CỘNG</t>
        </is>
      </c>
      <c r="B21" s="77" t="n"/>
      <c r="C21" s="77" t="n"/>
      <c r="D21" s="75" t="n"/>
      <c r="E21" s="55">
        <f>SUM(E10:E20)</f>
        <v/>
      </c>
      <c r="F21" s="54" t="n"/>
      <c r="G21" s="54" t="n"/>
      <c r="H21" s="80">
        <f>SUM(H10:H20)</f>
        <v/>
      </c>
      <c r="I21" s="54" t="n"/>
    </row>
    <row r="22"/>
    <row r="23">
      <c r="A23" s="27" t="inlineStr">
        <is>
          <t>KẾT QUẢ ĐÁNH GIÁ</t>
        </is>
      </c>
      <c r="B23" s="77" t="n"/>
      <c r="C23" s="75" t="n"/>
      <c r="D23" s="27" t="inlineStr">
        <is>
          <t>ĐIỂM THEO NHÓM TIÊU CHÍ</t>
        </is>
      </c>
      <c r="E23" s="77" t="n"/>
      <c r="F23" s="77" t="n"/>
      <c r="G23" s="77" t="n"/>
      <c r="H23" s="75" t="n"/>
    </row>
    <row r="24" ht="20" customHeight="1">
      <c r="A24" s="5" t="inlineStr">
        <is>
          <t>Tổng điểm chính thức</t>
        </is>
      </c>
      <c r="B24" s="75" t="n"/>
      <c r="C24" s="81">
        <f>H21</f>
        <v/>
      </c>
      <c r="D24" s="58" t="inlineStr">
        <is>
          <t>Nhóm tiêu chí</t>
        </is>
      </c>
      <c r="E24" s="59" t="inlineStr">
        <is>
          <t>Trọng số</t>
        </is>
      </c>
      <c r="F24" s="59" t="inlineStr">
        <is>
          <t>Điểm tối đa</t>
        </is>
      </c>
      <c r="G24" s="59" t="inlineStr">
        <is>
          <t>Điểm đạt</t>
        </is>
      </c>
      <c r="H24" s="59" t="inlineStr">
        <is>
          <t>Tỷ lệ đạt</t>
        </is>
      </c>
    </row>
    <row r="25" ht="20" customHeight="1">
      <c r="A25" s="5" t="inlineStr">
        <is>
          <t>Điểm tự đánh giá</t>
        </is>
      </c>
      <c r="B25" s="75" t="n"/>
      <c r="C25" s="76">
        <f>IF(COUNT(F10:F20)=0,"",SUMPRODUCT(F10:F20,E10:E20)/5*100)</f>
        <v/>
      </c>
      <c r="D25" s="60" t="inlineStr">
        <is>
          <t>Chuyên môn - Nghiệp vụ</t>
        </is>
      </c>
      <c r="E25" s="19">
        <f>SUMIF($J$10:$J$20,"CM",$E$10:$E$20)</f>
        <v/>
      </c>
      <c r="F25" s="69">
        <f>E25*100</f>
        <v/>
      </c>
      <c r="G25" s="69">
        <f>SUMIF($J$10:$J$20,"CM",$H$10:$H$20)</f>
        <v/>
      </c>
      <c r="H25" s="61">
        <f>IF(F25=0,0,G25/F25)</f>
        <v/>
      </c>
    </row>
    <row r="26" ht="20" customHeight="1">
      <c r="A26" s="5" t="inlineStr">
        <is>
          <t>Tiêu chí đã chấm</t>
        </is>
      </c>
      <c r="B26" s="75" t="n"/>
      <c r="C26" s="62">
        <f>COUNT(G10:G20)&amp;" / 11"</f>
        <v/>
      </c>
      <c r="D26" s="63" t="inlineStr">
        <is>
          <t>Tuân thủ - Thời hạn</t>
        </is>
      </c>
      <c r="E26" s="19">
        <f>SUMIF($J$10:$J$20,"TT",$E$10:$E$20)</f>
        <v/>
      </c>
      <c r="F26" s="69">
        <f>E26*100</f>
        <v/>
      </c>
      <c r="G26" s="69">
        <f>SUMIF($J$10:$J$20,"TT",$H$10:$H$20)</f>
        <v/>
      </c>
      <c r="H26" s="61">
        <f>IF(F26=0,0,G26/F26)</f>
        <v/>
      </c>
    </row>
    <row r="27" ht="20" customHeight="1">
      <c r="A27" s="5" t="inlineStr">
        <is>
          <t>Xếp loại</t>
        </is>
      </c>
      <c r="B27" s="75" t="n"/>
      <c r="C27" s="64">
        <f>IF(COUNT(G10:G20)=0,"Chưa chấm",IF(COUNT(G10:G20)&lt;11,"Chưa chấm đủ",IF(H21&gt;=80,"Xuất sắc",IF(H21&gt;=70,"Đạt","Cần cải thiện"))))</f>
        <v/>
      </c>
      <c r="D27" s="65" t="inlineStr">
        <is>
          <t>Phối hợp - Thái độ</t>
        </is>
      </c>
      <c r="E27" s="19">
        <f>SUMIF($J$10:$J$20,"PH",$E$10:$E$20)</f>
        <v/>
      </c>
      <c r="F27" s="69">
        <f>E27*100</f>
        <v/>
      </c>
      <c r="G27" s="69">
        <f>SUMIF($J$10:$J$20,"PH",$H$10:$H$20)</f>
        <v/>
      </c>
      <c r="H27" s="61">
        <f>IF(F27=0,0,G27/F27)</f>
        <v/>
      </c>
    </row>
    <row r="28" ht="20" customHeight="1">
      <c r="A28" s="5" t="inlineStr">
        <is>
          <t>Kiểm tra trọng số</t>
        </is>
      </c>
      <c r="B28" s="75" t="n"/>
      <c r="C28" s="62">
        <f>IF(ROUND(E21,4)=1,"Hợp lệ – 100%","SAI – tổng trọng số phải = 100%")</f>
        <v/>
      </c>
    </row>
    <row r="29"/>
    <row r="30">
      <c r="A30" s="27" t="inlineStr">
        <is>
          <t>NHẬN XÉT &amp; KẾ HOẠCH CẢI THIỆN (Bước 5 – phản hồi kết quả)</t>
        </is>
      </c>
      <c r="B30" s="77" t="n"/>
      <c r="C30" s="77" t="n"/>
      <c r="D30" s="77" t="n"/>
      <c r="E30" s="77" t="n"/>
      <c r="F30" s="77" t="n"/>
      <c r="G30" s="77" t="n"/>
      <c r="H30" s="77" t="n"/>
      <c r="I30" s="75" t="n"/>
    </row>
    <row r="31" ht="36" customHeight="1">
      <c r="A31" s="5" t="inlineStr">
        <is>
          <t>Điểm mạnh</t>
        </is>
      </c>
      <c r="B31" s="75" t="n"/>
      <c r="C31" s="66" t="n"/>
      <c r="D31" s="77" t="n"/>
      <c r="E31" s="77" t="n"/>
      <c r="F31" s="77" t="n"/>
      <c r="G31" s="77" t="n"/>
      <c r="H31" s="77" t="n"/>
      <c r="I31" s="75" t="n"/>
    </row>
    <row r="32" ht="36" customHeight="1">
      <c r="A32" s="5" t="inlineStr">
        <is>
          <t>Cần cải thiện</t>
        </is>
      </c>
      <c r="B32" s="75" t="n"/>
      <c r="C32" s="66" t="n"/>
      <c r="D32" s="77" t="n"/>
      <c r="E32" s="77" t="n"/>
      <c r="F32" s="77" t="n"/>
      <c r="G32" s="77" t="n"/>
      <c r="H32" s="77" t="n"/>
      <c r="I32" s="75" t="n"/>
    </row>
    <row r="33" ht="36" customHeight="1">
      <c r="A33" s="5" t="inlineStr">
        <is>
          <t>Kế hoạch cải thiện</t>
        </is>
      </c>
      <c r="B33" s="75" t="n"/>
      <c r="C33" s="66" t="n"/>
      <c r="D33" s="77" t="n"/>
      <c r="E33" s="77" t="n"/>
      <c r="F33" s="77" t="n"/>
      <c r="G33" s="77" t="n"/>
      <c r="H33" s="77" t="n"/>
      <c r="I33" s="75" t="n"/>
    </row>
    <row r="34" ht="36" customHeight="1">
      <c r="A34" s="5" t="inlineStr">
        <is>
          <t>Ý kiến nhân sự</t>
        </is>
      </c>
      <c r="B34" s="75" t="n"/>
      <c r="C34" s="66" t="n"/>
      <c r="D34" s="77" t="n"/>
      <c r="E34" s="77" t="n"/>
      <c r="F34" s="77" t="n"/>
      <c r="G34" s="77" t="n"/>
      <c r="H34" s="77" t="n"/>
      <c r="I34" s="75" t="n"/>
    </row>
    <row r="35"/>
    <row r="36">
      <c r="B36" s="67" t="inlineStr">
        <is>
          <t>NHÂN SỰ ĐƯỢC ĐÁNH GIÁ</t>
        </is>
      </c>
      <c r="D36" s="67" t="inlineStr">
        <is>
          <t>QUẢN LÝ TRỰC TIẾP</t>
        </is>
      </c>
      <c r="G36" s="67" t="inlineStr">
        <is>
          <t>NGƯỜI PHÊ DUYỆT</t>
        </is>
      </c>
    </row>
    <row r="37">
      <c r="B37" s="68" t="inlineStr">
        <is>
          <t>(Ký, ghi rõ họ tên)</t>
        </is>
      </c>
      <c r="D37" s="68" t="inlineStr">
        <is>
          <t>(Ký, ghi rõ họ tên)</t>
        </is>
      </c>
      <c r="G37" s="68" t="inlineStr">
        <is>
          <t>(Ký, ghi rõ họ tên)</t>
        </is>
      </c>
    </row>
  </sheetData>
  <mergeCells count="36">
    <mergeCell ref="A24:B24"/>
    <mergeCell ref="C6:D6"/>
    <mergeCell ref="G37:I37"/>
    <mergeCell ref="C5:D5"/>
    <mergeCell ref="E5:F5"/>
    <mergeCell ref="C32:I32"/>
    <mergeCell ref="C4:D4"/>
    <mergeCell ref="E4:F4"/>
    <mergeCell ref="B14:B17"/>
    <mergeCell ref="A2:I2"/>
    <mergeCell ref="A25:B25"/>
    <mergeCell ref="A23:C23"/>
    <mergeCell ref="C34:I34"/>
    <mergeCell ref="G6:H6"/>
    <mergeCell ref="A27:B27"/>
    <mergeCell ref="C33:I33"/>
    <mergeCell ref="B10:B13"/>
    <mergeCell ref="A26:B26"/>
    <mergeCell ref="E6:F6"/>
    <mergeCell ref="A33:B33"/>
    <mergeCell ref="B37:C37"/>
    <mergeCell ref="G5:H5"/>
    <mergeCell ref="A32:B32"/>
    <mergeCell ref="B18:B20"/>
    <mergeCell ref="A30:I30"/>
    <mergeCell ref="G4:H4"/>
    <mergeCell ref="C31:I31"/>
    <mergeCell ref="G36:I36"/>
    <mergeCell ref="C7:D7"/>
    <mergeCell ref="A21:D21"/>
    <mergeCell ref="A28:B28"/>
    <mergeCell ref="A1:I1"/>
    <mergeCell ref="B36:C36"/>
    <mergeCell ref="D23:H23"/>
    <mergeCell ref="A31:B31"/>
    <mergeCell ref="A34:B34"/>
  </mergeCells>
  <conditionalFormatting sqref="I10:I20">
    <cfRule type="expression" priority="1" dxfId="5">
      <formula>AND(ISNUMBER($G10),OR($G10&lt;=1.5,$G10&gt;=5),LEN($I10)=0)</formula>
    </cfRule>
  </conditionalFormatting>
  <conditionalFormatting sqref="G10:G20">
    <cfRule type="cellIs" priority="2" operator="lessThanOrEqual" dxfId="4">
      <formula>2</formula>
    </cfRule>
  </conditionalFormatting>
  <conditionalFormatting sqref="C27">
    <cfRule type="expression" priority="3" dxfId="0">
      <formula>C27="Xuất sắc"</formula>
    </cfRule>
    <cfRule type="expression" priority="4" dxfId="1">
      <formula>C27="Đạt"</formula>
    </cfRule>
    <cfRule type="expression" priority="5" dxfId="2">
      <formula>C27="Cần cải thiện"</formula>
    </cfRule>
    <cfRule type="expression" priority="6" dxfId="3">
      <formula>C27="Chưa chấm đủ"</formula>
    </cfRule>
  </conditionalFormatting>
  <conditionalFormatting sqref="C28">
    <cfRule type="expression" priority="7" dxfId="6">
      <formula>LEFT(C28,3)="SAI"</formula>
    </cfRule>
  </conditionalFormatting>
  <dataValidations count="2">
    <dataValidation sqref="F10:G20" showDropDown="0" showInputMessage="1" showErrorMessage="1" allowBlank="1" errorTitle="Điểm không hợp lệ" error="Nhập điểm từ 1 đến 5 (cho phép số lẻ như 3.5)." promptTitle="Thang điểm 1–5" prompt="5 Tuyệt vời · 4 Tốt · 3 Bình thường · 2 Chưa đạt · 1 Kém" type="decimal" operator="between">
      <formula1>1</formula1>
      <formula2>5</formula2>
    </dataValidation>
    <dataValidation sqref="G4" showDropDown="0" showInputMessage="0" showErrorMessage="1" allowBlank="0" type="list">
      <formula1>"Tháng,Quý,Năm"</formula1>
    </dataValidation>
  </dataValidations>
  <printOptions horizontalCentered="1"/>
  <pageMargins left="0.4" right="0.4" top="1" bottom="1" header="0.5" footer="0.5"/>
  <pageSetup orientation="landscape" paperSize="9" fitToHeight="0" fitToWidth="1"/>
  <headerFooter>
    <oddHeader>&amp;C&amp;G</oddHeader>
    <oddFooter>&amp;L&amp;8 Mr Wick Kiểm toán · taichinhketoanedu.com&amp;R&amp;8 Trang &amp;P /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1D4ED8"/>
    <outlinePr summaryBelow="1" summaryRight="1"/>
    <pageSetUpPr fitToPage="1"/>
  </sheetPr>
  <dimension ref="A1:J37"/>
  <sheetViews>
    <sheetView showGridLines="0" zoomScale="9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4" customWidth="1" min="3" max="3"/>
    <col width="50" customWidth="1" min="4" max="4"/>
    <col width="10" customWidth="1" min="5" max="5"/>
    <col width="10" customWidth="1" min="6" max="6"/>
    <col width="10" customWidth="1" min="7" max="7"/>
    <col width="11" customWidth="1" min="8" max="8"/>
    <col width="30" customWidth="1" min="9" max="9"/>
    <col hidden="1" width="6" customWidth="1" min="10" max="10"/>
  </cols>
  <sheetData>
    <row r="1" ht="30" customHeight="1">
      <c r="A1" s="1" t="inlineStr">
        <is>
          <t>BẢNG ĐÁNH GIÁ KPI – KỸ SƯ THIẾT KẾ (CAD / BẢN VẼ KỸ THUẬT)</t>
        </is>
      </c>
    </row>
    <row r="2">
      <c r="A2" s="3" t="inlineStr">
        <is>
          <t xml:space="preserve">Phòng Kỹ thuật – R&amp;D · Phụ lục 01 kèm Quy chế đánh giá KPI · KK HOME · </t>
        </is>
      </c>
    </row>
    <row r="3"/>
    <row r="4">
      <c r="B4" s="5" t="inlineStr">
        <is>
          <t>Họ và tên</t>
        </is>
      </c>
      <c r="C4" s="7" t="n"/>
      <c r="D4" s="75" t="n"/>
      <c r="E4" s="5" t="inlineStr">
        <is>
          <t>Loại kỳ đánh giá</t>
        </is>
      </c>
      <c r="F4" s="75" t="n"/>
      <c r="G4" s="40" t="inlineStr">
        <is>
          <t>Quý</t>
        </is>
      </c>
      <c r="H4" s="75" t="n"/>
      <c r="I4" s="41" t="inlineStr">
        <is>
          <t>← chọn Tháng / Quý / Năm</t>
        </is>
      </c>
    </row>
    <row r="5">
      <c r="B5" s="5" t="inlineStr">
        <is>
          <t>Mã nhân viên</t>
        </is>
      </c>
      <c r="C5" s="7" t="n"/>
      <c r="D5" s="75" t="n"/>
      <c r="E5" s="5" t="inlineStr">
        <is>
          <t>Kỳ đánh giá</t>
        </is>
      </c>
      <c r="F5" s="75" t="n"/>
      <c r="G5" s="40" t="n"/>
      <c r="H5" s="75" t="n"/>
      <c r="I5" s="41" t="inlineStr">
        <is>
          <t>VD: Tháng 9/2026, Quý 3/2026, Năm 2026</t>
        </is>
      </c>
    </row>
    <row r="6">
      <c r="B6" s="5" t="inlineStr">
        <is>
          <t>Người đánh giá</t>
        </is>
      </c>
      <c r="C6" s="7" t="n"/>
      <c r="D6" s="75" t="n"/>
      <c r="E6" s="5" t="inlineStr">
        <is>
          <t>Ngày đánh giá</t>
        </is>
      </c>
      <c r="F6" s="75" t="n"/>
      <c r="G6" s="78" t="n"/>
      <c r="H6" s="75" t="n"/>
    </row>
    <row r="7">
      <c r="B7" s="5" t="inlineStr">
        <is>
          <t>Bộ phận</t>
        </is>
      </c>
      <c r="C7" s="7" t="inlineStr">
        <is>
          <t>Phòng Kỹ thuật – R&amp;D</t>
        </is>
      </c>
      <c r="D7" s="75" t="n"/>
    </row>
    <row r="8"/>
    <row r="9" ht="42" customHeight="1">
      <c r="A9" s="14" t="inlineStr">
        <is>
          <t>STT</t>
        </is>
      </c>
      <c r="B9" s="14" t="inlineStr">
        <is>
          <t>Nhóm tiêu chí</t>
        </is>
      </c>
      <c r="C9" s="14" t="inlineStr">
        <is>
          <t>Tiêu chí đánh giá</t>
        </is>
      </c>
      <c r="D9" s="14" t="inlineStr">
        <is>
          <t>Cách đo / Chứng cứ chấm điểm</t>
        </is>
      </c>
      <c r="E9" s="14" t="inlineStr">
        <is>
          <t>Trọng số</t>
        </is>
      </c>
      <c r="F9" s="14" t="inlineStr">
        <is>
          <t>Tự đánh giá
(1–5)</t>
        </is>
      </c>
      <c r="G9" s="14" t="inlineStr">
        <is>
          <t>Quản lý chấm
(1–5)</t>
        </is>
      </c>
      <c r="H9" s="14" t="inlineStr">
        <is>
          <t>Điểm quy đổi</t>
        </is>
      </c>
      <c r="I9" s="14" t="inlineStr">
        <is>
          <t>Ghi chú / Lý do (bắt buộc khi điểm ≤1,5 hoặc 5)</t>
        </is>
      </c>
    </row>
    <row r="10" ht="34" customHeight="1">
      <c r="A10" s="15" t="n">
        <v>1</v>
      </c>
      <c r="B10" s="43" t="inlineStr">
        <is>
          <t>Chuyên môn - Nghiệp vụ</t>
        </is>
      </c>
      <c r="C10" s="44" t="inlineStr">
        <is>
          <t>Hoàn thành bản vẽ đúng hạn</t>
        </is>
      </c>
      <c r="D10" s="45" t="inlineStr">
        <is>
          <t>Số bản vẽ hoàn thành / kế hoạch được giao</t>
        </is>
      </c>
      <c r="E10" s="46" t="n">
        <v>0.12</v>
      </c>
      <c r="F10" s="79" t="n"/>
      <c r="G10" s="79" t="n"/>
      <c r="H10" s="76">
        <f>IF(ISNUMBER(G10),G10/5*E10*100,0)</f>
        <v/>
      </c>
      <c r="I10" s="48" t="n"/>
      <c r="J10" t="inlineStr">
        <is>
          <t>CM</t>
        </is>
      </c>
    </row>
    <row r="11" ht="34" customHeight="1">
      <c r="A11" s="15" t="n">
        <v>2</v>
      </c>
      <c r="B11" s="49" t="n"/>
      <c r="C11" s="44" t="inlineStr">
        <is>
          <t>Chính xác bản vẽ</t>
        </is>
      </c>
      <c r="D11" s="45" t="inlineStr">
        <is>
          <t>Số lỗi kích thước, dung sai, vật liệu phát hiện sau phát hành</t>
        </is>
      </c>
      <c r="E11" s="46" t="n">
        <v>0.1</v>
      </c>
      <c r="F11" s="79" t="n"/>
      <c r="G11" s="79" t="n"/>
      <c r="H11" s="76">
        <f>IF(ISNUMBER(G11),G11/5*E11*100,0)</f>
        <v/>
      </c>
      <c r="I11" s="48" t="n"/>
      <c r="J11" t="inlineStr">
        <is>
          <t>CM</t>
        </is>
      </c>
    </row>
    <row r="12" ht="34" customHeight="1">
      <c r="A12" s="15" t="n">
        <v>3</v>
      </c>
      <c r="B12" s="49" t="n"/>
      <c r="C12" s="44" t="inlineStr">
        <is>
          <t>Tối ưu thiết kế cho sản xuất (DFM)</t>
        </is>
      </c>
      <c r="D12" s="45" t="inlineStr">
        <is>
          <t>Số chi tiết được đơn giản hóa, giảm công đoạn, giảm vật tư</t>
        </is>
      </c>
      <c r="E12" s="46" t="n">
        <v>0.1</v>
      </c>
      <c r="F12" s="79" t="n"/>
      <c r="G12" s="79" t="n"/>
      <c r="H12" s="76">
        <f>IF(ISNUMBER(G12),G12/5*E12*100,0)</f>
        <v/>
      </c>
      <c r="I12" s="48" t="n"/>
      <c r="J12" t="inlineStr">
        <is>
          <t>CM</t>
        </is>
      </c>
    </row>
    <row r="13" ht="34" customHeight="1">
      <c r="A13" s="15" t="n">
        <v>4</v>
      </c>
      <c r="B13" s="50" t="n"/>
      <c r="C13" s="44" t="inlineStr">
        <is>
          <t>Chuẩn hóa thư viện thiết kế</t>
        </is>
      </c>
      <c r="D13" s="45" t="inlineStr">
        <is>
          <t>Thư viện chi tiết chuẩn, mẫu bản vẽ được xây dựng, dùng chung</t>
        </is>
      </c>
      <c r="E13" s="46" t="n">
        <v>0.08</v>
      </c>
      <c r="F13" s="79" t="n"/>
      <c r="G13" s="79" t="n"/>
      <c r="H13" s="76">
        <f>IF(ISNUMBER(G13),G13/5*E13*100,0)</f>
        <v/>
      </c>
      <c r="I13" s="48" t="n"/>
      <c r="J13" t="inlineStr">
        <is>
          <t>CM</t>
        </is>
      </c>
    </row>
    <row r="14" ht="34" customHeight="1">
      <c r="A14" s="15" t="n">
        <v>5</v>
      </c>
      <c r="B14" s="51" t="inlineStr">
        <is>
          <t>Tuân thủ - Thời hạn</t>
        </is>
      </c>
      <c r="C14" s="44" t="inlineStr">
        <is>
          <t>Quản lý phiên bản bản vẽ</t>
        </is>
      </c>
      <c r="D14" s="45" t="inlineStr">
        <is>
          <t>Không phát hành nhầm phiên bản; thay đổi có phiếu yêu cầu được duyệt</t>
        </is>
      </c>
      <c r="E14" s="46" t="n">
        <v>0.12</v>
      </c>
      <c r="F14" s="79" t="n"/>
      <c r="G14" s="79" t="n"/>
      <c r="H14" s="76">
        <f>IF(ISNUMBER(G14),G14/5*E14*100,0)</f>
        <v/>
      </c>
      <c r="I14" s="48" t="n"/>
      <c r="J14" t="inlineStr">
        <is>
          <t>TT</t>
        </is>
      </c>
    </row>
    <row r="15" ht="34" customHeight="1">
      <c r="A15" s="15" t="n">
        <v>6</v>
      </c>
      <c r="B15" s="49" t="n"/>
      <c r="C15" s="44" t="inlineStr">
        <is>
          <t>Tuân thủ tiêu chuẩn bản vẽ</t>
        </is>
      </c>
      <c r="D15" s="45" t="inlineStr">
        <is>
          <t>Bản vẽ đúng tiêu chuẩn trình bày, ký hiệu áp dụng</t>
        </is>
      </c>
      <c r="E15" s="46" t="n">
        <v>0.08</v>
      </c>
      <c r="F15" s="79" t="n"/>
      <c r="G15" s="79" t="n"/>
      <c r="H15" s="76">
        <f>IF(ISNUMBER(G15),G15/5*E15*100,0)</f>
        <v/>
      </c>
      <c r="I15" s="48" t="n"/>
      <c r="J15" t="inlineStr">
        <is>
          <t>TT</t>
        </is>
      </c>
    </row>
    <row r="16" ht="34" customHeight="1">
      <c r="A16" s="15" t="n">
        <v>7</v>
      </c>
      <c r="B16" s="49" t="n"/>
      <c r="C16" s="44" t="inlineStr">
        <is>
          <t>Kiểm tra, phê duyệt trước phát hành</t>
        </is>
      </c>
      <c r="D16" s="45" t="inlineStr">
        <is>
          <t>100% bản vẽ được kiểm tra chéo, phê duyệt trước phát hành</t>
        </is>
      </c>
      <c r="E16" s="46" t="n">
        <v>0.08</v>
      </c>
      <c r="F16" s="79" t="n"/>
      <c r="G16" s="79" t="n"/>
      <c r="H16" s="76">
        <f>IF(ISNUMBER(G16),G16/5*E16*100,0)</f>
        <v/>
      </c>
      <c r="I16" s="48" t="n"/>
      <c r="J16" t="inlineStr">
        <is>
          <t>TT</t>
        </is>
      </c>
    </row>
    <row r="17" ht="34" customHeight="1">
      <c r="A17" s="15" t="n">
        <v>8</v>
      </c>
      <c r="B17" s="50" t="n"/>
      <c r="C17" s="44" t="inlineStr">
        <is>
          <t>Lưu trữ &amp; bảo mật hồ sơ thiết kế</t>
        </is>
      </c>
      <c r="D17" s="45" t="inlineStr">
        <is>
          <t>File gốc lưu đúng hệ thống, phân quyền truy cập</t>
        </is>
      </c>
      <c r="E17" s="46" t="n">
        <v>0.07000000000000001</v>
      </c>
      <c r="F17" s="79" t="n"/>
      <c r="G17" s="79" t="n"/>
      <c r="H17" s="76">
        <f>IF(ISNUMBER(G17),G17/5*E17*100,0)</f>
        <v/>
      </c>
      <c r="I17" s="48" t="n"/>
      <c r="J17" t="inlineStr">
        <is>
          <t>TT</t>
        </is>
      </c>
    </row>
    <row r="18" ht="34" customHeight="1">
      <c r="A18" s="15" t="n">
        <v>9</v>
      </c>
      <c r="B18" s="52" t="inlineStr">
        <is>
          <t>Phối hợp - Thái độ</t>
        </is>
      </c>
      <c r="C18" s="44" t="inlineStr">
        <is>
          <t>Phối hợp với R&amp;D, Sản xuất, Mua hàng</t>
        </is>
      </c>
      <c r="D18" s="45" t="inlineStr">
        <is>
          <t>Giải đáp kỹ thuật bản vẽ kịp thời</t>
        </is>
      </c>
      <c r="E18" s="46" t="n">
        <v>0.1</v>
      </c>
      <c r="F18" s="79" t="n"/>
      <c r="G18" s="79" t="n"/>
      <c r="H18" s="76">
        <f>IF(ISNUMBER(G18),G18/5*E18*100,0)</f>
        <v/>
      </c>
      <c r="I18" s="48" t="n"/>
      <c r="J18" t="inlineStr">
        <is>
          <t>PH</t>
        </is>
      </c>
    </row>
    <row r="19" ht="34" customHeight="1">
      <c r="A19" s="15" t="n">
        <v>10</v>
      </c>
      <c r="B19" s="49" t="n"/>
      <c r="C19" s="44" t="inlineStr">
        <is>
          <t>Ứng dụng công cụ thiết kế mới</t>
        </is>
      </c>
      <c r="D19" s="45" t="inlineStr">
        <is>
          <t>Áp dụng mô phỏng, in 3D, công cụ mới vào công việc</t>
        </is>
      </c>
      <c r="E19" s="46" t="n">
        <v>0.08</v>
      </c>
      <c r="F19" s="79" t="n"/>
      <c r="G19" s="79" t="n"/>
      <c r="H19" s="76">
        <f>IF(ISNUMBER(G19),G19/5*E19*100,0)</f>
        <v/>
      </c>
      <c r="I19" s="48" t="n"/>
      <c r="J19" t="inlineStr">
        <is>
          <t>PH</t>
        </is>
      </c>
    </row>
    <row r="20" ht="34" customHeight="1">
      <c r="A20" s="15" t="n">
        <v>11</v>
      </c>
      <c r="B20" s="50" t="n"/>
      <c r="C20" s="44" t="inlineStr">
        <is>
          <t>Cẩn thận &amp; trách nhiệm</t>
        </is>
      </c>
      <c r="D20" s="45" t="inlineStr">
        <is>
          <t>Tự kiểm tra kỹ trước khi bàn giao</t>
        </is>
      </c>
      <c r="E20" s="46" t="n">
        <v>0.07000000000000001</v>
      </c>
      <c r="F20" s="79" t="n"/>
      <c r="G20" s="79" t="n"/>
      <c r="H20" s="76">
        <f>IF(ISNUMBER(G20),G20/5*E20*100,0)</f>
        <v/>
      </c>
      <c r="I20" s="48" t="n"/>
      <c r="J20" t="inlineStr">
        <is>
          <t>PH</t>
        </is>
      </c>
    </row>
    <row r="21" ht="22" customHeight="1">
      <c r="A21" s="53" t="inlineStr">
        <is>
          <t>TỔNG CỘNG</t>
        </is>
      </c>
      <c r="B21" s="77" t="n"/>
      <c r="C21" s="77" t="n"/>
      <c r="D21" s="75" t="n"/>
      <c r="E21" s="55">
        <f>SUM(E10:E20)</f>
        <v/>
      </c>
      <c r="F21" s="54" t="n"/>
      <c r="G21" s="54" t="n"/>
      <c r="H21" s="80">
        <f>SUM(H10:H20)</f>
        <v/>
      </c>
      <c r="I21" s="54" t="n"/>
    </row>
    <row r="22"/>
    <row r="23">
      <c r="A23" s="27" t="inlineStr">
        <is>
          <t>KẾT QUẢ ĐÁNH GIÁ</t>
        </is>
      </c>
      <c r="B23" s="77" t="n"/>
      <c r="C23" s="75" t="n"/>
      <c r="D23" s="27" t="inlineStr">
        <is>
          <t>ĐIỂM THEO NHÓM TIÊU CHÍ</t>
        </is>
      </c>
      <c r="E23" s="77" t="n"/>
      <c r="F23" s="77" t="n"/>
      <c r="G23" s="77" t="n"/>
      <c r="H23" s="75" t="n"/>
    </row>
    <row r="24" ht="20" customHeight="1">
      <c r="A24" s="5" t="inlineStr">
        <is>
          <t>Tổng điểm chính thức</t>
        </is>
      </c>
      <c r="B24" s="75" t="n"/>
      <c r="C24" s="81">
        <f>H21</f>
        <v/>
      </c>
      <c r="D24" s="58" t="inlineStr">
        <is>
          <t>Nhóm tiêu chí</t>
        </is>
      </c>
      <c r="E24" s="59" t="inlineStr">
        <is>
          <t>Trọng số</t>
        </is>
      </c>
      <c r="F24" s="59" t="inlineStr">
        <is>
          <t>Điểm tối đa</t>
        </is>
      </c>
      <c r="G24" s="59" t="inlineStr">
        <is>
          <t>Điểm đạt</t>
        </is>
      </c>
      <c r="H24" s="59" t="inlineStr">
        <is>
          <t>Tỷ lệ đạt</t>
        </is>
      </c>
    </row>
    <row r="25" ht="20" customHeight="1">
      <c r="A25" s="5" t="inlineStr">
        <is>
          <t>Điểm tự đánh giá</t>
        </is>
      </c>
      <c r="B25" s="75" t="n"/>
      <c r="C25" s="76">
        <f>IF(COUNT(F10:F20)=0,"",SUMPRODUCT(F10:F20,E10:E20)/5*100)</f>
        <v/>
      </c>
      <c r="D25" s="60" t="inlineStr">
        <is>
          <t>Chuyên môn - Nghiệp vụ</t>
        </is>
      </c>
      <c r="E25" s="19">
        <f>SUMIF($J$10:$J$20,"CM",$E$10:$E$20)</f>
        <v/>
      </c>
      <c r="F25" s="69">
        <f>E25*100</f>
        <v/>
      </c>
      <c r="G25" s="69">
        <f>SUMIF($J$10:$J$20,"CM",$H$10:$H$20)</f>
        <v/>
      </c>
      <c r="H25" s="61">
        <f>IF(F25=0,0,G25/F25)</f>
        <v/>
      </c>
    </row>
    <row r="26" ht="20" customHeight="1">
      <c r="A26" s="5" t="inlineStr">
        <is>
          <t>Tiêu chí đã chấm</t>
        </is>
      </c>
      <c r="B26" s="75" t="n"/>
      <c r="C26" s="62">
        <f>COUNT(G10:G20)&amp;" / 11"</f>
        <v/>
      </c>
      <c r="D26" s="63" t="inlineStr">
        <is>
          <t>Tuân thủ - Thời hạn</t>
        </is>
      </c>
      <c r="E26" s="19">
        <f>SUMIF($J$10:$J$20,"TT",$E$10:$E$20)</f>
        <v/>
      </c>
      <c r="F26" s="69">
        <f>E26*100</f>
        <v/>
      </c>
      <c r="G26" s="69">
        <f>SUMIF($J$10:$J$20,"TT",$H$10:$H$20)</f>
        <v/>
      </c>
      <c r="H26" s="61">
        <f>IF(F26=0,0,G26/F26)</f>
        <v/>
      </c>
    </row>
    <row r="27" ht="20" customHeight="1">
      <c r="A27" s="5" t="inlineStr">
        <is>
          <t>Xếp loại</t>
        </is>
      </c>
      <c r="B27" s="75" t="n"/>
      <c r="C27" s="64">
        <f>IF(COUNT(G10:G20)=0,"Chưa chấm",IF(COUNT(G10:G20)&lt;11,"Chưa chấm đủ",IF(H21&gt;=80,"Xuất sắc",IF(H21&gt;=70,"Đạt","Cần cải thiện"))))</f>
        <v/>
      </c>
      <c r="D27" s="65" t="inlineStr">
        <is>
          <t>Phối hợp - Thái độ</t>
        </is>
      </c>
      <c r="E27" s="19">
        <f>SUMIF($J$10:$J$20,"PH",$E$10:$E$20)</f>
        <v/>
      </c>
      <c r="F27" s="69">
        <f>E27*100</f>
        <v/>
      </c>
      <c r="G27" s="69">
        <f>SUMIF($J$10:$J$20,"PH",$H$10:$H$20)</f>
        <v/>
      </c>
      <c r="H27" s="61">
        <f>IF(F27=0,0,G27/F27)</f>
        <v/>
      </c>
    </row>
    <row r="28" ht="20" customHeight="1">
      <c r="A28" s="5" t="inlineStr">
        <is>
          <t>Kiểm tra trọng số</t>
        </is>
      </c>
      <c r="B28" s="75" t="n"/>
      <c r="C28" s="62">
        <f>IF(ROUND(E21,4)=1,"Hợp lệ – 100%","SAI – tổng trọng số phải = 100%")</f>
        <v/>
      </c>
    </row>
    <row r="29"/>
    <row r="30">
      <c r="A30" s="27" t="inlineStr">
        <is>
          <t>NHẬN XÉT &amp; KẾ HOẠCH CẢI THIỆN (Bước 5 – phản hồi kết quả)</t>
        </is>
      </c>
      <c r="B30" s="77" t="n"/>
      <c r="C30" s="77" t="n"/>
      <c r="D30" s="77" t="n"/>
      <c r="E30" s="77" t="n"/>
      <c r="F30" s="77" t="n"/>
      <c r="G30" s="77" t="n"/>
      <c r="H30" s="77" t="n"/>
      <c r="I30" s="75" t="n"/>
    </row>
    <row r="31" ht="36" customHeight="1">
      <c r="A31" s="5" t="inlineStr">
        <is>
          <t>Điểm mạnh</t>
        </is>
      </c>
      <c r="B31" s="75" t="n"/>
      <c r="C31" s="66" t="n"/>
      <c r="D31" s="77" t="n"/>
      <c r="E31" s="77" t="n"/>
      <c r="F31" s="77" t="n"/>
      <c r="G31" s="77" t="n"/>
      <c r="H31" s="77" t="n"/>
      <c r="I31" s="75" t="n"/>
    </row>
    <row r="32" ht="36" customHeight="1">
      <c r="A32" s="5" t="inlineStr">
        <is>
          <t>Cần cải thiện</t>
        </is>
      </c>
      <c r="B32" s="75" t="n"/>
      <c r="C32" s="66" t="n"/>
      <c r="D32" s="77" t="n"/>
      <c r="E32" s="77" t="n"/>
      <c r="F32" s="77" t="n"/>
      <c r="G32" s="77" t="n"/>
      <c r="H32" s="77" t="n"/>
      <c r="I32" s="75" t="n"/>
    </row>
    <row r="33" ht="36" customHeight="1">
      <c r="A33" s="5" t="inlineStr">
        <is>
          <t>Kế hoạch cải thiện</t>
        </is>
      </c>
      <c r="B33" s="75" t="n"/>
      <c r="C33" s="66" t="n"/>
      <c r="D33" s="77" t="n"/>
      <c r="E33" s="77" t="n"/>
      <c r="F33" s="77" t="n"/>
      <c r="G33" s="77" t="n"/>
      <c r="H33" s="77" t="n"/>
      <c r="I33" s="75" t="n"/>
    </row>
    <row r="34" ht="36" customHeight="1">
      <c r="A34" s="5" t="inlineStr">
        <is>
          <t>Ý kiến nhân sự</t>
        </is>
      </c>
      <c r="B34" s="75" t="n"/>
      <c r="C34" s="66" t="n"/>
      <c r="D34" s="77" t="n"/>
      <c r="E34" s="77" t="n"/>
      <c r="F34" s="77" t="n"/>
      <c r="G34" s="77" t="n"/>
      <c r="H34" s="77" t="n"/>
      <c r="I34" s="75" t="n"/>
    </row>
    <row r="35"/>
    <row r="36">
      <c r="B36" s="67" t="inlineStr">
        <is>
          <t>NHÂN SỰ ĐƯỢC ĐÁNH GIÁ</t>
        </is>
      </c>
      <c r="D36" s="67" t="inlineStr">
        <is>
          <t>QUẢN LÝ TRỰC TIẾP</t>
        </is>
      </c>
      <c r="G36" s="67" t="inlineStr">
        <is>
          <t>NGƯỜI PHÊ DUYỆT</t>
        </is>
      </c>
    </row>
    <row r="37">
      <c r="B37" s="68" t="inlineStr">
        <is>
          <t>(Ký, ghi rõ họ tên)</t>
        </is>
      </c>
      <c r="D37" s="68" t="inlineStr">
        <is>
          <t>(Ký, ghi rõ họ tên)</t>
        </is>
      </c>
      <c r="G37" s="68" t="inlineStr">
        <is>
          <t>(Ký, ghi rõ họ tên)</t>
        </is>
      </c>
    </row>
  </sheetData>
  <mergeCells count="36">
    <mergeCell ref="A24:B24"/>
    <mergeCell ref="C6:D6"/>
    <mergeCell ref="G37:I37"/>
    <mergeCell ref="C5:D5"/>
    <mergeCell ref="E5:F5"/>
    <mergeCell ref="C32:I32"/>
    <mergeCell ref="C4:D4"/>
    <mergeCell ref="E4:F4"/>
    <mergeCell ref="B14:B17"/>
    <mergeCell ref="A2:I2"/>
    <mergeCell ref="A25:B25"/>
    <mergeCell ref="A23:C23"/>
    <mergeCell ref="C34:I34"/>
    <mergeCell ref="G6:H6"/>
    <mergeCell ref="A27:B27"/>
    <mergeCell ref="C33:I33"/>
    <mergeCell ref="B10:B13"/>
    <mergeCell ref="A26:B26"/>
    <mergeCell ref="E6:F6"/>
    <mergeCell ref="A33:B33"/>
    <mergeCell ref="B37:C37"/>
    <mergeCell ref="G5:H5"/>
    <mergeCell ref="A32:B32"/>
    <mergeCell ref="B18:B20"/>
    <mergeCell ref="A30:I30"/>
    <mergeCell ref="G4:H4"/>
    <mergeCell ref="C31:I31"/>
    <mergeCell ref="G36:I36"/>
    <mergeCell ref="C7:D7"/>
    <mergeCell ref="A21:D21"/>
    <mergeCell ref="A28:B28"/>
    <mergeCell ref="A1:I1"/>
    <mergeCell ref="B36:C36"/>
    <mergeCell ref="D23:H23"/>
    <mergeCell ref="A31:B31"/>
    <mergeCell ref="A34:B34"/>
  </mergeCells>
  <conditionalFormatting sqref="I10:I20">
    <cfRule type="expression" priority="1" dxfId="5">
      <formula>AND(ISNUMBER($G10),OR($G10&lt;=1.5,$G10&gt;=5),LEN($I10)=0)</formula>
    </cfRule>
  </conditionalFormatting>
  <conditionalFormatting sqref="G10:G20">
    <cfRule type="cellIs" priority="2" operator="lessThanOrEqual" dxfId="4">
      <formula>2</formula>
    </cfRule>
  </conditionalFormatting>
  <conditionalFormatting sqref="C27">
    <cfRule type="expression" priority="3" dxfId="0">
      <formula>C27="Xuất sắc"</formula>
    </cfRule>
    <cfRule type="expression" priority="4" dxfId="1">
      <formula>C27="Đạt"</formula>
    </cfRule>
    <cfRule type="expression" priority="5" dxfId="2">
      <formula>C27="Cần cải thiện"</formula>
    </cfRule>
    <cfRule type="expression" priority="6" dxfId="3">
      <formula>C27="Chưa chấm đủ"</formula>
    </cfRule>
  </conditionalFormatting>
  <conditionalFormatting sqref="C28">
    <cfRule type="expression" priority="7" dxfId="6">
      <formula>LEFT(C28,3)="SAI"</formula>
    </cfRule>
  </conditionalFormatting>
  <dataValidations count="2">
    <dataValidation sqref="F10:G20" showDropDown="0" showInputMessage="1" showErrorMessage="1" allowBlank="1" errorTitle="Điểm không hợp lệ" error="Nhập điểm từ 1 đến 5 (cho phép số lẻ như 3.5)." promptTitle="Thang điểm 1–5" prompt="5 Tuyệt vời · 4 Tốt · 3 Bình thường · 2 Chưa đạt · 1 Kém" type="decimal" operator="between">
      <formula1>1</formula1>
      <formula2>5</formula2>
    </dataValidation>
    <dataValidation sqref="G4" showDropDown="0" showInputMessage="0" showErrorMessage="1" allowBlank="0" type="list">
      <formula1>"Tháng,Quý,Năm"</formula1>
    </dataValidation>
  </dataValidations>
  <printOptions horizontalCentered="1"/>
  <pageMargins left="0.4" right="0.4" top="1" bottom="1" header="0.5" footer="0.5"/>
  <pageSetup orientation="landscape" paperSize="9" fitToHeight="0" fitToWidth="1"/>
  <headerFooter>
    <oddHeader>&amp;C&amp;G</oddHeader>
    <oddFooter>&amp;L&amp;8 Mr Wick Kiểm toán · taichinhketoanedu.com&amp;R&amp;8 Trang &amp;P /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001D4ED8"/>
    <outlinePr summaryBelow="1" summaryRight="1"/>
    <pageSetUpPr fitToPage="1"/>
  </sheetPr>
  <dimension ref="A1:J37"/>
  <sheetViews>
    <sheetView showGridLines="0" zoomScale="9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4" customWidth="1" min="3" max="3"/>
    <col width="50" customWidth="1" min="4" max="4"/>
    <col width="10" customWidth="1" min="5" max="5"/>
    <col width="10" customWidth="1" min="6" max="6"/>
    <col width="10" customWidth="1" min="7" max="7"/>
    <col width="11" customWidth="1" min="8" max="8"/>
    <col width="30" customWidth="1" min="9" max="9"/>
    <col hidden="1" width="6" customWidth="1" min="10" max="10"/>
  </cols>
  <sheetData>
    <row r="1" ht="30" customHeight="1">
      <c r="A1" s="1" t="inlineStr">
        <is>
          <t>BẢNG ĐÁNH GIÁ KPI – KỸ THUẬT VIÊN PHÒNG THÍ NGHIỆM – THỬ NGHIỆM</t>
        </is>
      </c>
    </row>
    <row r="2">
      <c r="A2" s="3" t="inlineStr">
        <is>
          <t xml:space="preserve">Phòng Kỹ thuật – R&amp;D · Phụ lục 01 kèm Quy chế đánh giá KPI · KK HOME · </t>
        </is>
      </c>
    </row>
    <row r="3"/>
    <row r="4">
      <c r="B4" s="5" t="inlineStr">
        <is>
          <t>Họ và tên</t>
        </is>
      </c>
      <c r="C4" s="7" t="n"/>
      <c r="D4" s="75" t="n"/>
      <c r="E4" s="5" t="inlineStr">
        <is>
          <t>Loại kỳ đánh giá</t>
        </is>
      </c>
      <c r="F4" s="75" t="n"/>
      <c r="G4" s="40" t="inlineStr">
        <is>
          <t>Quý</t>
        </is>
      </c>
      <c r="H4" s="75" t="n"/>
      <c r="I4" s="41" t="inlineStr">
        <is>
          <t>← chọn Tháng / Quý / Năm</t>
        </is>
      </c>
    </row>
    <row r="5">
      <c r="B5" s="5" t="inlineStr">
        <is>
          <t>Mã nhân viên</t>
        </is>
      </c>
      <c r="C5" s="7" t="n"/>
      <c r="D5" s="75" t="n"/>
      <c r="E5" s="5" t="inlineStr">
        <is>
          <t>Kỳ đánh giá</t>
        </is>
      </c>
      <c r="F5" s="75" t="n"/>
      <c r="G5" s="40" t="n"/>
      <c r="H5" s="75" t="n"/>
      <c r="I5" s="41" t="inlineStr">
        <is>
          <t>VD: Tháng 9/2026, Quý 3/2026, Năm 2026</t>
        </is>
      </c>
    </row>
    <row r="6">
      <c r="B6" s="5" t="inlineStr">
        <is>
          <t>Người đánh giá</t>
        </is>
      </c>
      <c r="C6" s="7" t="n"/>
      <c r="D6" s="75" t="n"/>
      <c r="E6" s="5" t="inlineStr">
        <is>
          <t>Ngày đánh giá</t>
        </is>
      </c>
      <c r="F6" s="75" t="n"/>
      <c r="G6" s="78" t="n"/>
      <c r="H6" s="75" t="n"/>
    </row>
    <row r="7">
      <c r="B7" s="5" t="inlineStr">
        <is>
          <t>Bộ phận</t>
        </is>
      </c>
      <c r="C7" s="7" t="inlineStr">
        <is>
          <t>Phòng Kỹ thuật – R&amp;D</t>
        </is>
      </c>
      <c r="D7" s="75" t="n"/>
    </row>
    <row r="8"/>
    <row r="9" ht="42" customHeight="1">
      <c r="A9" s="14" t="inlineStr">
        <is>
          <t>STT</t>
        </is>
      </c>
      <c r="B9" s="14" t="inlineStr">
        <is>
          <t>Nhóm tiêu chí</t>
        </is>
      </c>
      <c r="C9" s="14" t="inlineStr">
        <is>
          <t>Tiêu chí đánh giá</t>
        </is>
      </c>
      <c r="D9" s="14" t="inlineStr">
        <is>
          <t>Cách đo / Chứng cứ chấm điểm</t>
        </is>
      </c>
      <c r="E9" s="14" t="inlineStr">
        <is>
          <t>Trọng số</t>
        </is>
      </c>
      <c r="F9" s="14" t="inlineStr">
        <is>
          <t>Tự đánh giá
(1–5)</t>
        </is>
      </c>
      <c r="G9" s="14" t="inlineStr">
        <is>
          <t>Quản lý chấm
(1–5)</t>
        </is>
      </c>
      <c r="H9" s="14" t="inlineStr">
        <is>
          <t>Điểm quy đổi</t>
        </is>
      </c>
      <c r="I9" s="14" t="inlineStr">
        <is>
          <t>Ghi chú / Lý do (bắt buộc khi điểm ≤1,5 hoặc 5)</t>
        </is>
      </c>
    </row>
    <row r="10" ht="34" customHeight="1">
      <c r="A10" s="15" t="n">
        <v>1</v>
      </c>
      <c r="B10" s="43" t="inlineStr">
        <is>
          <t>Chuyên môn - Nghiệp vụ</t>
        </is>
      </c>
      <c r="C10" s="44" t="inlineStr">
        <is>
          <t>Hoàn thành kế hoạch thử nghiệm</t>
        </is>
      </c>
      <c r="D10" s="45" t="inlineStr">
        <is>
          <t>Số mẫu thử nghiệm hoàn thành / số yêu cầu</t>
        </is>
      </c>
      <c r="E10" s="46" t="n">
        <v>0.12</v>
      </c>
      <c r="F10" s="79" t="n"/>
      <c r="G10" s="79" t="n"/>
      <c r="H10" s="76">
        <f>IF(ISNUMBER(G10),G10/5*E10*100,0)</f>
        <v/>
      </c>
      <c r="I10" s="48" t="n"/>
      <c r="J10" t="inlineStr">
        <is>
          <t>CM</t>
        </is>
      </c>
    </row>
    <row r="11" ht="34" customHeight="1">
      <c r="A11" s="15" t="n">
        <v>2</v>
      </c>
      <c r="B11" s="49" t="n"/>
      <c r="C11" s="44" t="inlineStr">
        <is>
          <t>Thời gian trả kết quả</t>
        </is>
      </c>
      <c r="D11" s="45" t="inlineStr">
        <is>
          <t>Tỷ lệ kết quả trả đúng thời hạn cam kết</t>
        </is>
      </c>
      <c r="E11" s="46" t="n">
        <v>0.1</v>
      </c>
      <c r="F11" s="79" t="n"/>
      <c r="G11" s="79" t="n"/>
      <c r="H11" s="76">
        <f>IF(ISNUMBER(G11),G11/5*E11*100,0)</f>
        <v/>
      </c>
      <c r="I11" s="48" t="n"/>
      <c r="J11" t="inlineStr">
        <is>
          <t>CM</t>
        </is>
      </c>
    </row>
    <row r="12" ht="34" customHeight="1">
      <c r="A12" s="15" t="n">
        <v>3</v>
      </c>
      <c r="B12" s="49" t="n"/>
      <c r="C12" s="44" t="inlineStr">
        <is>
          <t>Độ chính xác kết quả</t>
        </is>
      </c>
      <c r="D12" s="45" t="inlineStr">
        <is>
          <t>Số kết quả phải thử lại do lỗi thao tác; kết quả so sánh liên phòng đạt</t>
        </is>
      </c>
      <c r="E12" s="46" t="n">
        <v>0.1</v>
      </c>
      <c r="F12" s="79" t="n"/>
      <c r="G12" s="79" t="n"/>
      <c r="H12" s="76">
        <f>IF(ISNUMBER(G12),G12/5*E12*100,0)</f>
        <v/>
      </c>
      <c r="I12" s="48" t="n"/>
      <c r="J12" t="inlineStr">
        <is>
          <t>CM</t>
        </is>
      </c>
    </row>
    <row r="13" ht="34" customHeight="1">
      <c r="A13" s="15" t="n">
        <v>4</v>
      </c>
      <c r="B13" s="50" t="n"/>
      <c r="C13" s="44" t="inlineStr">
        <is>
          <t>Quản lý mẫu lưu</t>
        </is>
      </c>
      <c r="D13" s="45" t="inlineStr">
        <is>
          <t>Mẫu lưu đúng điều kiện, đúng thời gian, có nhãn truy xuất</t>
        </is>
      </c>
      <c r="E13" s="46" t="n">
        <v>0.08</v>
      </c>
      <c r="F13" s="79" t="n"/>
      <c r="G13" s="79" t="n"/>
      <c r="H13" s="76">
        <f>IF(ISNUMBER(G13),G13/5*E13*100,0)</f>
        <v/>
      </c>
      <c r="I13" s="48" t="n"/>
      <c r="J13" t="inlineStr">
        <is>
          <t>CM</t>
        </is>
      </c>
    </row>
    <row r="14" ht="34" customHeight="1">
      <c r="A14" s="15" t="n">
        <v>5</v>
      </c>
      <c r="B14" s="51" t="inlineStr">
        <is>
          <t>Tuân thủ - Thời hạn</t>
        </is>
      </c>
      <c r="C14" s="44" t="inlineStr">
        <is>
          <t>Tuân thủ phương pháp thử</t>
        </is>
      </c>
      <c r="D14" s="45" t="inlineStr">
        <is>
          <t>Thực hiện đúng phương pháp, tiêu chuẩn thử được phê duyệt</t>
        </is>
      </c>
      <c r="E14" s="46" t="n">
        <v>0.12</v>
      </c>
      <c r="F14" s="79" t="n"/>
      <c r="G14" s="79" t="n"/>
      <c r="H14" s="76">
        <f>IF(ISNUMBER(G14),G14/5*E14*100,0)</f>
        <v/>
      </c>
      <c r="I14" s="48" t="n"/>
      <c r="J14" t="inlineStr">
        <is>
          <t>TT</t>
        </is>
      </c>
    </row>
    <row r="15" ht="34" customHeight="1">
      <c r="A15" s="15" t="n">
        <v>6</v>
      </c>
      <c r="B15" s="49" t="n"/>
      <c r="C15" s="44" t="inlineStr">
        <is>
          <t>Hiệu chuẩn &amp; bảo trì thiết bị</t>
        </is>
      </c>
      <c r="D15" s="45" t="inlineStr">
        <is>
          <t>Thiết bị đo được hiệu chuẩn, bảo trì đúng hạn</t>
        </is>
      </c>
      <c r="E15" s="46" t="n">
        <v>0.08</v>
      </c>
      <c r="F15" s="79" t="n"/>
      <c r="G15" s="79" t="n"/>
      <c r="H15" s="76">
        <f>IF(ISNUMBER(G15),G15/5*E15*100,0)</f>
        <v/>
      </c>
      <c r="I15" s="48" t="n"/>
      <c r="J15" t="inlineStr">
        <is>
          <t>TT</t>
        </is>
      </c>
    </row>
    <row r="16" ht="34" customHeight="1">
      <c r="A16" s="15" t="n">
        <v>7</v>
      </c>
      <c r="B16" s="49" t="n"/>
      <c r="C16" s="44" t="inlineStr">
        <is>
          <t>An toàn hóa chất &amp; phòng thí nghiệm</t>
        </is>
      </c>
      <c r="D16" s="45" t="inlineStr">
        <is>
          <t>Sử dụng, lưu giữ hóa chất đúng quy định; không sự cố</t>
        </is>
      </c>
      <c r="E16" s="46" t="n">
        <v>0.08</v>
      </c>
      <c r="F16" s="79" t="n"/>
      <c r="G16" s="79" t="n"/>
      <c r="H16" s="76">
        <f>IF(ISNUMBER(G16),G16/5*E16*100,0)</f>
        <v/>
      </c>
      <c r="I16" s="48" t="n"/>
      <c r="J16" t="inlineStr">
        <is>
          <t>TT</t>
        </is>
      </c>
    </row>
    <row r="17" ht="34" customHeight="1">
      <c r="A17" s="15" t="n">
        <v>8</v>
      </c>
      <c r="B17" s="50" t="n"/>
      <c r="C17" s="44" t="inlineStr">
        <is>
          <t>Ghi chép &amp; lưu hồ sơ thử nghiệm</t>
        </is>
      </c>
      <c r="D17" s="45" t="inlineStr">
        <is>
          <t>Biên bản, phiếu kết quả đầy đủ, truy xuất được</t>
        </is>
      </c>
      <c r="E17" s="46" t="n">
        <v>0.07000000000000001</v>
      </c>
      <c r="F17" s="79" t="n"/>
      <c r="G17" s="79" t="n"/>
      <c r="H17" s="76">
        <f>IF(ISNUMBER(G17),G17/5*E17*100,0)</f>
        <v/>
      </c>
      <c r="I17" s="48" t="n"/>
      <c r="J17" t="inlineStr">
        <is>
          <t>TT</t>
        </is>
      </c>
    </row>
    <row r="18" ht="34" customHeight="1">
      <c r="A18" s="15" t="n">
        <v>9</v>
      </c>
      <c r="B18" s="52" t="inlineStr">
        <is>
          <t>Phối hợp - Thái độ</t>
        </is>
      </c>
      <c r="C18" s="44" t="inlineStr">
        <is>
          <t>Phối hợp với R&amp;D, QC, Sản xuất</t>
        </is>
      </c>
      <c r="D18" s="45" t="inlineStr">
        <is>
          <t>Phản hồi về hỗ trợ thử nghiệm</t>
        </is>
      </c>
      <c r="E18" s="46" t="n">
        <v>0.1</v>
      </c>
      <c r="F18" s="79" t="n"/>
      <c r="G18" s="79" t="n"/>
      <c r="H18" s="76">
        <f>IF(ISNUMBER(G18),G18/5*E18*100,0)</f>
        <v/>
      </c>
      <c r="I18" s="48" t="n"/>
      <c r="J18" t="inlineStr">
        <is>
          <t>PH</t>
        </is>
      </c>
    </row>
    <row r="19" ht="34" customHeight="1">
      <c r="A19" s="15" t="n">
        <v>10</v>
      </c>
      <c r="B19" s="49" t="n"/>
      <c r="C19" s="44" t="inlineStr">
        <is>
          <t>Đề xuất cải tiến phương pháp</t>
        </is>
      </c>
      <c r="D19" s="45" t="inlineStr">
        <is>
          <t>Số cải tiến phương pháp, rút ngắn thời gian thử</t>
        </is>
      </c>
      <c r="E19" s="46" t="n">
        <v>0.08</v>
      </c>
      <c r="F19" s="79" t="n"/>
      <c r="G19" s="79" t="n"/>
      <c r="H19" s="76">
        <f>IF(ISNUMBER(G19),G19/5*E19*100,0)</f>
        <v/>
      </c>
      <c r="I19" s="48" t="n"/>
      <c r="J19" t="inlineStr">
        <is>
          <t>PH</t>
        </is>
      </c>
    </row>
    <row r="20" ht="34" customHeight="1">
      <c r="A20" s="15" t="n">
        <v>11</v>
      </c>
      <c r="B20" s="50" t="n"/>
      <c r="C20" s="44" t="inlineStr">
        <is>
          <t>Trung thực &amp; trách nhiệm</t>
        </is>
      </c>
      <c r="D20" s="45" t="inlineStr">
        <is>
          <t>Báo cáo kết quả trung thực, không chỉnh sửa số liệu</t>
        </is>
      </c>
      <c r="E20" s="46" t="n">
        <v>0.07000000000000001</v>
      </c>
      <c r="F20" s="79" t="n"/>
      <c r="G20" s="79" t="n"/>
      <c r="H20" s="76">
        <f>IF(ISNUMBER(G20),G20/5*E20*100,0)</f>
        <v/>
      </c>
      <c r="I20" s="48" t="n"/>
      <c r="J20" t="inlineStr">
        <is>
          <t>PH</t>
        </is>
      </c>
    </row>
    <row r="21" ht="22" customHeight="1">
      <c r="A21" s="53" t="inlineStr">
        <is>
          <t>TỔNG CỘNG</t>
        </is>
      </c>
      <c r="B21" s="77" t="n"/>
      <c r="C21" s="77" t="n"/>
      <c r="D21" s="75" t="n"/>
      <c r="E21" s="55">
        <f>SUM(E10:E20)</f>
        <v/>
      </c>
      <c r="F21" s="54" t="n"/>
      <c r="G21" s="54" t="n"/>
      <c r="H21" s="80">
        <f>SUM(H10:H20)</f>
        <v/>
      </c>
      <c r="I21" s="54" t="n"/>
    </row>
    <row r="22"/>
    <row r="23">
      <c r="A23" s="27" t="inlineStr">
        <is>
          <t>KẾT QUẢ ĐÁNH GIÁ</t>
        </is>
      </c>
      <c r="B23" s="77" t="n"/>
      <c r="C23" s="75" t="n"/>
      <c r="D23" s="27" t="inlineStr">
        <is>
          <t>ĐIỂM THEO NHÓM TIÊU CHÍ</t>
        </is>
      </c>
      <c r="E23" s="77" t="n"/>
      <c r="F23" s="77" t="n"/>
      <c r="G23" s="77" t="n"/>
      <c r="H23" s="75" t="n"/>
    </row>
    <row r="24" ht="20" customHeight="1">
      <c r="A24" s="5" t="inlineStr">
        <is>
          <t>Tổng điểm chính thức</t>
        </is>
      </c>
      <c r="B24" s="75" t="n"/>
      <c r="C24" s="81">
        <f>H21</f>
        <v/>
      </c>
      <c r="D24" s="58" t="inlineStr">
        <is>
          <t>Nhóm tiêu chí</t>
        </is>
      </c>
      <c r="E24" s="59" t="inlineStr">
        <is>
          <t>Trọng số</t>
        </is>
      </c>
      <c r="F24" s="59" t="inlineStr">
        <is>
          <t>Điểm tối đa</t>
        </is>
      </c>
      <c r="G24" s="59" t="inlineStr">
        <is>
          <t>Điểm đạt</t>
        </is>
      </c>
      <c r="H24" s="59" t="inlineStr">
        <is>
          <t>Tỷ lệ đạt</t>
        </is>
      </c>
    </row>
    <row r="25" ht="20" customHeight="1">
      <c r="A25" s="5" t="inlineStr">
        <is>
          <t>Điểm tự đánh giá</t>
        </is>
      </c>
      <c r="B25" s="75" t="n"/>
      <c r="C25" s="76">
        <f>IF(COUNT(F10:F20)=0,"",SUMPRODUCT(F10:F20,E10:E20)/5*100)</f>
        <v/>
      </c>
      <c r="D25" s="60" t="inlineStr">
        <is>
          <t>Chuyên môn - Nghiệp vụ</t>
        </is>
      </c>
      <c r="E25" s="19">
        <f>SUMIF($J$10:$J$20,"CM",$E$10:$E$20)</f>
        <v/>
      </c>
      <c r="F25" s="69">
        <f>E25*100</f>
        <v/>
      </c>
      <c r="G25" s="69">
        <f>SUMIF($J$10:$J$20,"CM",$H$10:$H$20)</f>
        <v/>
      </c>
      <c r="H25" s="61">
        <f>IF(F25=0,0,G25/F25)</f>
        <v/>
      </c>
    </row>
    <row r="26" ht="20" customHeight="1">
      <c r="A26" s="5" t="inlineStr">
        <is>
          <t>Tiêu chí đã chấm</t>
        </is>
      </c>
      <c r="B26" s="75" t="n"/>
      <c r="C26" s="62">
        <f>COUNT(G10:G20)&amp;" / 11"</f>
        <v/>
      </c>
      <c r="D26" s="63" t="inlineStr">
        <is>
          <t>Tuân thủ - Thời hạn</t>
        </is>
      </c>
      <c r="E26" s="19">
        <f>SUMIF($J$10:$J$20,"TT",$E$10:$E$20)</f>
        <v/>
      </c>
      <c r="F26" s="69">
        <f>E26*100</f>
        <v/>
      </c>
      <c r="G26" s="69">
        <f>SUMIF($J$10:$J$20,"TT",$H$10:$H$20)</f>
        <v/>
      </c>
      <c r="H26" s="61">
        <f>IF(F26=0,0,G26/F26)</f>
        <v/>
      </c>
    </row>
    <row r="27" ht="20" customHeight="1">
      <c r="A27" s="5" t="inlineStr">
        <is>
          <t>Xếp loại</t>
        </is>
      </c>
      <c r="B27" s="75" t="n"/>
      <c r="C27" s="64">
        <f>IF(COUNT(G10:G20)=0,"Chưa chấm",IF(COUNT(G10:G20)&lt;11,"Chưa chấm đủ",IF(H21&gt;=80,"Xuất sắc",IF(H21&gt;=70,"Đạt","Cần cải thiện"))))</f>
        <v/>
      </c>
      <c r="D27" s="65" t="inlineStr">
        <is>
          <t>Phối hợp - Thái độ</t>
        </is>
      </c>
      <c r="E27" s="19">
        <f>SUMIF($J$10:$J$20,"PH",$E$10:$E$20)</f>
        <v/>
      </c>
      <c r="F27" s="69">
        <f>E27*100</f>
        <v/>
      </c>
      <c r="G27" s="69">
        <f>SUMIF($J$10:$J$20,"PH",$H$10:$H$20)</f>
        <v/>
      </c>
      <c r="H27" s="61">
        <f>IF(F27=0,0,G27/F27)</f>
        <v/>
      </c>
    </row>
    <row r="28" ht="20" customHeight="1">
      <c r="A28" s="5" t="inlineStr">
        <is>
          <t>Kiểm tra trọng số</t>
        </is>
      </c>
      <c r="B28" s="75" t="n"/>
      <c r="C28" s="62">
        <f>IF(ROUND(E21,4)=1,"Hợp lệ – 100%","SAI – tổng trọng số phải = 100%")</f>
        <v/>
      </c>
    </row>
    <row r="29"/>
    <row r="30">
      <c r="A30" s="27" t="inlineStr">
        <is>
          <t>NHẬN XÉT &amp; KẾ HOẠCH CẢI THIỆN (Bước 5 – phản hồi kết quả)</t>
        </is>
      </c>
      <c r="B30" s="77" t="n"/>
      <c r="C30" s="77" t="n"/>
      <c r="D30" s="77" t="n"/>
      <c r="E30" s="77" t="n"/>
      <c r="F30" s="77" t="n"/>
      <c r="G30" s="77" t="n"/>
      <c r="H30" s="77" t="n"/>
      <c r="I30" s="75" t="n"/>
    </row>
    <row r="31" ht="36" customHeight="1">
      <c r="A31" s="5" t="inlineStr">
        <is>
          <t>Điểm mạnh</t>
        </is>
      </c>
      <c r="B31" s="75" t="n"/>
      <c r="C31" s="66" t="n"/>
      <c r="D31" s="77" t="n"/>
      <c r="E31" s="77" t="n"/>
      <c r="F31" s="77" t="n"/>
      <c r="G31" s="77" t="n"/>
      <c r="H31" s="77" t="n"/>
      <c r="I31" s="75" t="n"/>
    </row>
    <row r="32" ht="36" customHeight="1">
      <c r="A32" s="5" t="inlineStr">
        <is>
          <t>Cần cải thiện</t>
        </is>
      </c>
      <c r="B32" s="75" t="n"/>
      <c r="C32" s="66" t="n"/>
      <c r="D32" s="77" t="n"/>
      <c r="E32" s="77" t="n"/>
      <c r="F32" s="77" t="n"/>
      <c r="G32" s="77" t="n"/>
      <c r="H32" s="77" t="n"/>
      <c r="I32" s="75" t="n"/>
    </row>
    <row r="33" ht="36" customHeight="1">
      <c r="A33" s="5" t="inlineStr">
        <is>
          <t>Kế hoạch cải thiện</t>
        </is>
      </c>
      <c r="B33" s="75" t="n"/>
      <c r="C33" s="66" t="n"/>
      <c r="D33" s="77" t="n"/>
      <c r="E33" s="77" t="n"/>
      <c r="F33" s="77" t="n"/>
      <c r="G33" s="77" t="n"/>
      <c r="H33" s="77" t="n"/>
      <c r="I33" s="75" t="n"/>
    </row>
    <row r="34" ht="36" customHeight="1">
      <c r="A34" s="5" t="inlineStr">
        <is>
          <t>Ý kiến nhân sự</t>
        </is>
      </c>
      <c r="B34" s="75" t="n"/>
      <c r="C34" s="66" t="n"/>
      <c r="D34" s="77" t="n"/>
      <c r="E34" s="77" t="n"/>
      <c r="F34" s="77" t="n"/>
      <c r="G34" s="77" t="n"/>
      <c r="H34" s="77" t="n"/>
      <c r="I34" s="75" t="n"/>
    </row>
    <row r="35"/>
    <row r="36">
      <c r="B36" s="67" t="inlineStr">
        <is>
          <t>NHÂN SỰ ĐƯỢC ĐÁNH GIÁ</t>
        </is>
      </c>
      <c r="D36" s="67" t="inlineStr">
        <is>
          <t>QUẢN LÝ TRỰC TIẾP</t>
        </is>
      </c>
      <c r="G36" s="67" t="inlineStr">
        <is>
          <t>NGƯỜI PHÊ DUYỆT</t>
        </is>
      </c>
    </row>
    <row r="37">
      <c r="B37" s="68" t="inlineStr">
        <is>
          <t>(Ký, ghi rõ họ tên)</t>
        </is>
      </c>
      <c r="D37" s="68" t="inlineStr">
        <is>
          <t>(Ký, ghi rõ họ tên)</t>
        </is>
      </c>
      <c r="G37" s="68" t="inlineStr">
        <is>
          <t>(Ký, ghi rõ họ tên)</t>
        </is>
      </c>
    </row>
  </sheetData>
  <mergeCells count="36">
    <mergeCell ref="A24:B24"/>
    <mergeCell ref="C6:D6"/>
    <mergeCell ref="G37:I37"/>
    <mergeCell ref="C5:D5"/>
    <mergeCell ref="E5:F5"/>
    <mergeCell ref="C32:I32"/>
    <mergeCell ref="C4:D4"/>
    <mergeCell ref="E4:F4"/>
    <mergeCell ref="B14:B17"/>
    <mergeCell ref="A2:I2"/>
    <mergeCell ref="A25:B25"/>
    <mergeCell ref="A23:C23"/>
    <mergeCell ref="C34:I34"/>
    <mergeCell ref="G6:H6"/>
    <mergeCell ref="A27:B27"/>
    <mergeCell ref="C33:I33"/>
    <mergeCell ref="B10:B13"/>
    <mergeCell ref="A26:B26"/>
    <mergeCell ref="E6:F6"/>
    <mergeCell ref="A33:B33"/>
    <mergeCell ref="B37:C37"/>
    <mergeCell ref="G5:H5"/>
    <mergeCell ref="A32:B32"/>
    <mergeCell ref="B18:B20"/>
    <mergeCell ref="A30:I30"/>
    <mergeCell ref="G4:H4"/>
    <mergeCell ref="C31:I31"/>
    <mergeCell ref="G36:I36"/>
    <mergeCell ref="C7:D7"/>
    <mergeCell ref="A21:D21"/>
    <mergeCell ref="A28:B28"/>
    <mergeCell ref="A1:I1"/>
    <mergeCell ref="B36:C36"/>
    <mergeCell ref="D23:H23"/>
    <mergeCell ref="A31:B31"/>
    <mergeCell ref="A34:B34"/>
  </mergeCells>
  <conditionalFormatting sqref="I10:I20">
    <cfRule type="expression" priority="1" dxfId="5">
      <formula>AND(ISNUMBER($G10),OR($G10&lt;=1.5,$G10&gt;=5),LEN($I10)=0)</formula>
    </cfRule>
  </conditionalFormatting>
  <conditionalFormatting sqref="G10:G20">
    <cfRule type="cellIs" priority="2" operator="lessThanOrEqual" dxfId="4">
      <formula>2</formula>
    </cfRule>
  </conditionalFormatting>
  <conditionalFormatting sqref="C27">
    <cfRule type="expression" priority="3" dxfId="0">
      <formula>C27="Xuất sắc"</formula>
    </cfRule>
    <cfRule type="expression" priority="4" dxfId="1">
      <formula>C27="Đạt"</formula>
    </cfRule>
    <cfRule type="expression" priority="5" dxfId="2">
      <formula>C27="Cần cải thiện"</formula>
    </cfRule>
    <cfRule type="expression" priority="6" dxfId="3">
      <formula>C27="Chưa chấm đủ"</formula>
    </cfRule>
  </conditionalFormatting>
  <conditionalFormatting sqref="C28">
    <cfRule type="expression" priority="7" dxfId="6">
      <formula>LEFT(C28,3)="SAI"</formula>
    </cfRule>
  </conditionalFormatting>
  <dataValidations count="2">
    <dataValidation sqref="F10:G20" showDropDown="0" showInputMessage="1" showErrorMessage="1" allowBlank="1" errorTitle="Điểm không hợp lệ" error="Nhập điểm từ 1 đến 5 (cho phép số lẻ như 3.5)." promptTitle="Thang điểm 1–5" prompt="5 Tuyệt vời · 4 Tốt · 3 Bình thường · 2 Chưa đạt · 1 Kém" type="decimal" operator="between">
      <formula1>1</formula1>
      <formula2>5</formula2>
    </dataValidation>
    <dataValidation sqref="G4" showDropDown="0" showInputMessage="0" showErrorMessage="1" allowBlank="0" type="list">
      <formula1>"Tháng,Quý,Năm"</formula1>
    </dataValidation>
  </dataValidations>
  <printOptions horizontalCentered="1"/>
  <pageMargins left="0.4" right="0.4" top="1" bottom="1" header="0.5" footer="0.5"/>
  <pageSetup orientation="landscape" paperSize="9" fitToHeight="0" fitToWidth="1"/>
  <headerFooter>
    <oddHeader>&amp;C&amp;G</oddHeader>
    <oddFooter>&amp;L&amp;8 Mr Wick Kiểm toán · taichinhketoanedu.com&amp;R&amp;8 Trang &amp;P /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001D4ED8"/>
    <outlinePr summaryBelow="1" summaryRight="1"/>
    <pageSetUpPr fitToPage="1"/>
  </sheetPr>
  <dimension ref="A1:J37"/>
  <sheetViews>
    <sheetView showGridLines="0" zoomScale="9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4" customWidth="1" min="3" max="3"/>
    <col width="50" customWidth="1" min="4" max="4"/>
    <col width="10" customWidth="1" min="5" max="5"/>
    <col width="10" customWidth="1" min="6" max="6"/>
    <col width="10" customWidth="1" min="7" max="7"/>
    <col width="11" customWidth="1" min="8" max="8"/>
    <col width="30" customWidth="1" min="9" max="9"/>
    <col hidden="1" width="6" customWidth="1" min="10" max="10"/>
  </cols>
  <sheetData>
    <row r="1" ht="30" customHeight="1">
      <c r="A1" s="1" t="inlineStr">
        <is>
          <t>BẢNG ĐÁNH GIÁ KPI – CHUYÊN VIÊN TIÊU CHUẨN &amp; HỒ SƠ KỸ THUẬT</t>
        </is>
      </c>
    </row>
    <row r="2">
      <c r="A2" s="3" t="inlineStr">
        <is>
          <t xml:space="preserve">Phòng Kỹ thuật – R&amp;D · Phụ lục 01 kèm Quy chế đánh giá KPI · KK HOME · </t>
        </is>
      </c>
    </row>
    <row r="3"/>
    <row r="4">
      <c r="B4" s="5" t="inlineStr">
        <is>
          <t>Họ và tên</t>
        </is>
      </c>
      <c r="C4" s="7" t="n"/>
      <c r="D4" s="75" t="n"/>
      <c r="E4" s="5" t="inlineStr">
        <is>
          <t>Loại kỳ đánh giá</t>
        </is>
      </c>
      <c r="F4" s="75" t="n"/>
      <c r="G4" s="40" t="inlineStr">
        <is>
          <t>Quý</t>
        </is>
      </c>
      <c r="H4" s="75" t="n"/>
      <c r="I4" s="41" t="inlineStr">
        <is>
          <t>← chọn Tháng / Quý / Năm</t>
        </is>
      </c>
    </row>
    <row r="5">
      <c r="B5" s="5" t="inlineStr">
        <is>
          <t>Mã nhân viên</t>
        </is>
      </c>
      <c r="C5" s="7" t="n"/>
      <c r="D5" s="75" t="n"/>
      <c r="E5" s="5" t="inlineStr">
        <is>
          <t>Kỳ đánh giá</t>
        </is>
      </c>
      <c r="F5" s="75" t="n"/>
      <c r="G5" s="40" t="n"/>
      <c r="H5" s="75" t="n"/>
      <c r="I5" s="41" t="inlineStr">
        <is>
          <t>VD: Tháng 9/2026, Quý 3/2026, Năm 2026</t>
        </is>
      </c>
    </row>
    <row r="6">
      <c r="B6" s="5" t="inlineStr">
        <is>
          <t>Người đánh giá</t>
        </is>
      </c>
      <c r="C6" s="7" t="n"/>
      <c r="D6" s="75" t="n"/>
      <c r="E6" s="5" t="inlineStr">
        <is>
          <t>Ngày đánh giá</t>
        </is>
      </c>
      <c r="F6" s="75" t="n"/>
      <c r="G6" s="78" t="n"/>
      <c r="H6" s="75" t="n"/>
    </row>
    <row r="7">
      <c r="B7" s="5" t="inlineStr">
        <is>
          <t>Bộ phận</t>
        </is>
      </c>
      <c r="C7" s="7" t="inlineStr">
        <is>
          <t>Phòng Kỹ thuật – R&amp;D</t>
        </is>
      </c>
      <c r="D7" s="75" t="n"/>
    </row>
    <row r="8"/>
    <row r="9" ht="42" customHeight="1">
      <c r="A9" s="14" t="inlineStr">
        <is>
          <t>STT</t>
        </is>
      </c>
      <c r="B9" s="14" t="inlineStr">
        <is>
          <t>Nhóm tiêu chí</t>
        </is>
      </c>
      <c r="C9" s="14" t="inlineStr">
        <is>
          <t>Tiêu chí đánh giá</t>
        </is>
      </c>
      <c r="D9" s="14" t="inlineStr">
        <is>
          <t>Cách đo / Chứng cứ chấm điểm</t>
        </is>
      </c>
      <c r="E9" s="14" t="inlineStr">
        <is>
          <t>Trọng số</t>
        </is>
      </c>
      <c r="F9" s="14" t="inlineStr">
        <is>
          <t>Tự đánh giá
(1–5)</t>
        </is>
      </c>
      <c r="G9" s="14" t="inlineStr">
        <is>
          <t>Quản lý chấm
(1–5)</t>
        </is>
      </c>
      <c r="H9" s="14" t="inlineStr">
        <is>
          <t>Điểm quy đổi</t>
        </is>
      </c>
      <c r="I9" s="14" t="inlineStr">
        <is>
          <t>Ghi chú / Lý do (bắt buộc khi điểm ≤1,5 hoặc 5)</t>
        </is>
      </c>
    </row>
    <row r="10" ht="34" customHeight="1">
      <c r="A10" s="15" t="n">
        <v>1</v>
      </c>
      <c r="B10" s="43" t="inlineStr">
        <is>
          <t>Chuyên môn - Nghiệp vụ</t>
        </is>
      </c>
      <c r="C10" s="44" t="inlineStr">
        <is>
          <t>Hồ sơ công bố, chứng nhận sản phẩm</t>
        </is>
      </c>
      <c r="D10" s="45" t="inlineStr">
        <is>
          <t>Hồ sơ công bố, chứng nhận hợp chuẩn/hợp quy hoàn thành đúng hạn</t>
        </is>
      </c>
      <c r="E10" s="46" t="n">
        <v>0.12</v>
      </c>
      <c r="F10" s="79" t="n"/>
      <c r="G10" s="79" t="n"/>
      <c r="H10" s="76">
        <f>IF(ISNUMBER(G10),G10/5*E10*100,0)</f>
        <v/>
      </c>
      <c r="I10" s="48" t="n"/>
      <c r="J10" t="inlineStr">
        <is>
          <t>CM</t>
        </is>
      </c>
    </row>
    <row r="11" ht="34" customHeight="1">
      <c r="A11" s="15" t="n">
        <v>2</v>
      </c>
      <c r="B11" s="49" t="n"/>
      <c r="C11" s="44" t="inlineStr">
        <is>
          <t>Duy trì hệ thống quản lý (ISO…)</t>
        </is>
      </c>
      <c r="D11" s="45" t="inlineStr">
        <is>
          <t>Đánh giá nội bộ đúng kế hoạch; đánh giá chứng nhận không có lỗi lớn</t>
        </is>
      </c>
      <c r="E11" s="46" t="n">
        <v>0.1</v>
      </c>
      <c r="F11" s="79" t="n"/>
      <c r="G11" s="79" t="n"/>
      <c r="H11" s="76">
        <f>IF(ISNUMBER(G11),G11/5*E11*100,0)</f>
        <v/>
      </c>
      <c r="I11" s="48" t="n"/>
      <c r="J11" t="inlineStr">
        <is>
          <t>CM</t>
        </is>
      </c>
    </row>
    <row r="12" ht="34" customHeight="1">
      <c r="A12" s="15" t="n">
        <v>3</v>
      </c>
      <c r="B12" s="49" t="n"/>
      <c r="C12" s="44" t="inlineStr">
        <is>
          <t>Kiểm soát tài liệu kỹ thuật</t>
        </is>
      </c>
      <c r="D12" s="45" t="inlineStr">
        <is>
          <t>Tài liệu ban hành đúng phiên bản; danh mục tài liệu cập nhật</t>
        </is>
      </c>
      <c r="E12" s="46" t="n">
        <v>0.1</v>
      </c>
      <c r="F12" s="79" t="n"/>
      <c r="G12" s="79" t="n"/>
      <c r="H12" s="76">
        <f>IF(ISNUMBER(G12),G12/5*E12*100,0)</f>
        <v/>
      </c>
      <c r="I12" s="48" t="n"/>
      <c r="J12" t="inlineStr">
        <is>
          <t>CM</t>
        </is>
      </c>
    </row>
    <row r="13" ht="34" customHeight="1">
      <c r="A13" s="15" t="n">
        <v>4</v>
      </c>
      <c r="B13" s="50" t="n"/>
      <c r="C13" s="44" t="inlineStr">
        <is>
          <t>Theo dõi tiêu chuẩn, quy chuẩn mới</t>
        </is>
      </c>
      <c r="D13" s="45" t="inlineStr">
        <is>
          <t>Cập nhật thay đổi tiêu chuẩn, đánh giá tác động gửi các phòng</t>
        </is>
      </c>
      <c r="E13" s="46" t="n">
        <v>0.08</v>
      </c>
      <c r="F13" s="79" t="n"/>
      <c r="G13" s="79" t="n"/>
      <c r="H13" s="76">
        <f>IF(ISNUMBER(G13),G13/5*E13*100,0)</f>
        <v/>
      </c>
      <c r="I13" s="48" t="n"/>
      <c r="J13" t="inlineStr">
        <is>
          <t>CM</t>
        </is>
      </c>
    </row>
    <row r="14" ht="34" customHeight="1">
      <c r="A14" s="15" t="n">
        <v>5</v>
      </c>
      <c r="B14" s="51" t="inlineStr">
        <is>
          <t>Tuân thủ - Thời hạn</t>
        </is>
      </c>
      <c r="C14" s="44" t="inlineStr">
        <is>
          <t>Tuân thủ quy định ghi nhãn, công bố</t>
        </is>
      </c>
      <c r="D14" s="45" t="inlineStr">
        <is>
          <t>Nhãn, hồ sơ công bố đúng quy định; không bị nhắc nhở, xử phạt</t>
        </is>
      </c>
      <c r="E14" s="46" t="n">
        <v>0.12</v>
      </c>
      <c r="F14" s="79" t="n"/>
      <c r="G14" s="79" t="n"/>
      <c r="H14" s="76">
        <f>IF(ISNUMBER(G14),G14/5*E14*100,0)</f>
        <v/>
      </c>
      <c r="I14" s="48" t="n"/>
      <c r="J14" t="inlineStr">
        <is>
          <t>TT</t>
        </is>
      </c>
    </row>
    <row r="15" ht="34" customHeight="1">
      <c r="A15" s="15" t="n">
        <v>6</v>
      </c>
      <c r="B15" s="49" t="n"/>
      <c r="C15" s="44" t="inlineStr">
        <is>
          <t>Theo dõi hiệu lực chứng nhận</t>
        </is>
      </c>
      <c r="D15" s="45" t="inlineStr">
        <is>
          <t>Không để chứng nhận hết hạn; cảnh báo trước ≥ 60 ngày</t>
        </is>
      </c>
      <c r="E15" s="46" t="n">
        <v>0.08</v>
      </c>
      <c r="F15" s="79" t="n"/>
      <c r="G15" s="79" t="n"/>
      <c r="H15" s="76">
        <f>IF(ISNUMBER(G15),G15/5*E15*100,0)</f>
        <v/>
      </c>
      <c r="I15" s="48" t="n"/>
      <c r="J15" t="inlineStr">
        <is>
          <t>TT</t>
        </is>
      </c>
    </row>
    <row r="16" ht="34" customHeight="1">
      <c r="A16" s="15" t="n">
        <v>7</v>
      </c>
      <c r="B16" s="49" t="n"/>
      <c r="C16" s="44" t="inlineStr">
        <is>
          <t>Theo dõi hành động khắc phục</t>
        </is>
      </c>
      <c r="D16" s="45" t="inlineStr">
        <is>
          <t>Tỷ lệ điểm không phù hợp được khắc phục đúng hạn</t>
        </is>
      </c>
      <c r="E16" s="46" t="n">
        <v>0.08</v>
      </c>
      <c r="F16" s="79" t="n"/>
      <c r="G16" s="79" t="n"/>
      <c r="H16" s="76">
        <f>IF(ISNUMBER(G16),G16/5*E16*100,0)</f>
        <v/>
      </c>
      <c r="I16" s="48" t="n"/>
      <c r="J16" t="inlineStr">
        <is>
          <t>TT</t>
        </is>
      </c>
    </row>
    <row r="17" ht="34" customHeight="1">
      <c r="A17" s="15" t="n">
        <v>8</v>
      </c>
      <c r="B17" s="50" t="n"/>
      <c r="C17" s="44" t="inlineStr">
        <is>
          <t>Báo cáo định kỳ</t>
        </is>
      </c>
      <c r="D17" s="45" t="inlineStr">
        <is>
          <t>Báo cáo tình trạng hồ sơ, chứng nhận đúng hạn</t>
        </is>
      </c>
      <c r="E17" s="46" t="n">
        <v>0.07000000000000001</v>
      </c>
      <c r="F17" s="79" t="n"/>
      <c r="G17" s="79" t="n"/>
      <c r="H17" s="76">
        <f>IF(ISNUMBER(G17),G17/5*E17*100,0)</f>
        <v/>
      </c>
      <c r="I17" s="48" t="n"/>
      <c r="J17" t="inlineStr">
        <is>
          <t>TT</t>
        </is>
      </c>
    </row>
    <row r="18" ht="34" customHeight="1">
      <c r="A18" s="15" t="n">
        <v>9</v>
      </c>
      <c r="B18" s="52" t="inlineStr">
        <is>
          <t>Phối hợp - Thái độ</t>
        </is>
      </c>
      <c r="C18" s="44" t="inlineStr">
        <is>
          <t>Phối hợp với R&amp;D, QC, Sản xuất, Pháp chế</t>
        </is>
      </c>
      <c r="D18" s="45" t="inlineStr">
        <is>
          <t>Thu thập hồ sơ kịp thời; hướng dẫn các phòng</t>
        </is>
      </c>
      <c r="E18" s="46" t="n">
        <v>0.1</v>
      </c>
      <c r="F18" s="79" t="n"/>
      <c r="G18" s="79" t="n"/>
      <c r="H18" s="76">
        <f>IF(ISNUMBER(G18),G18/5*E18*100,0)</f>
        <v/>
      </c>
      <c r="I18" s="48" t="n"/>
      <c r="J18" t="inlineStr">
        <is>
          <t>PH</t>
        </is>
      </c>
    </row>
    <row r="19" ht="34" customHeight="1">
      <c r="A19" s="15" t="n">
        <v>10</v>
      </c>
      <c r="B19" s="49" t="n"/>
      <c r="C19" s="44" t="inlineStr">
        <is>
          <t>Đào tạo nhận thức tiêu chuẩn</t>
        </is>
      </c>
      <c r="D19" s="45" t="inlineStr">
        <is>
          <t>Số buổi đào tạo hệ thống quản lý cho nhân viên</t>
        </is>
      </c>
      <c r="E19" s="46" t="n">
        <v>0.08</v>
      </c>
      <c r="F19" s="79" t="n"/>
      <c r="G19" s="79" t="n"/>
      <c r="H19" s="76">
        <f>IF(ISNUMBER(G19),G19/5*E19*100,0)</f>
        <v/>
      </c>
      <c r="I19" s="48" t="n"/>
      <c r="J19" t="inlineStr">
        <is>
          <t>PH</t>
        </is>
      </c>
    </row>
    <row r="20" ht="34" customHeight="1">
      <c r="A20" s="15" t="n">
        <v>11</v>
      </c>
      <c r="B20" s="50" t="n"/>
      <c r="C20" s="44" t="inlineStr">
        <is>
          <t>Cẩn thận &amp; bảo mật</t>
        </is>
      </c>
      <c r="D20" s="45" t="inlineStr">
        <is>
          <t>Bảo mật hồ sơ kỹ thuật; kiểm tra kỹ trước khi nộp</t>
        </is>
      </c>
      <c r="E20" s="46" t="n">
        <v>0.07000000000000001</v>
      </c>
      <c r="F20" s="79" t="n"/>
      <c r="G20" s="79" t="n"/>
      <c r="H20" s="76">
        <f>IF(ISNUMBER(G20),G20/5*E20*100,0)</f>
        <v/>
      </c>
      <c r="I20" s="48" t="n"/>
      <c r="J20" t="inlineStr">
        <is>
          <t>PH</t>
        </is>
      </c>
    </row>
    <row r="21" ht="22" customHeight="1">
      <c r="A21" s="53" t="inlineStr">
        <is>
          <t>TỔNG CỘNG</t>
        </is>
      </c>
      <c r="B21" s="77" t="n"/>
      <c r="C21" s="77" t="n"/>
      <c r="D21" s="75" t="n"/>
      <c r="E21" s="55">
        <f>SUM(E10:E20)</f>
        <v/>
      </c>
      <c r="F21" s="54" t="n"/>
      <c r="G21" s="54" t="n"/>
      <c r="H21" s="80">
        <f>SUM(H10:H20)</f>
        <v/>
      </c>
      <c r="I21" s="54" t="n"/>
    </row>
    <row r="22"/>
    <row r="23">
      <c r="A23" s="27" t="inlineStr">
        <is>
          <t>KẾT QUẢ ĐÁNH GIÁ</t>
        </is>
      </c>
      <c r="B23" s="77" t="n"/>
      <c r="C23" s="75" t="n"/>
      <c r="D23" s="27" t="inlineStr">
        <is>
          <t>ĐIỂM THEO NHÓM TIÊU CHÍ</t>
        </is>
      </c>
      <c r="E23" s="77" t="n"/>
      <c r="F23" s="77" t="n"/>
      <c r="G23" s="77" t="n"/>
      <c r="H23" s="75" t="n"/>
    </row>
    <row r="24" ht="20" customHeight="1">
      <c r="A24" s="5" t="inlineStr">
        <is>
          <t>Tổng điểm chính thức</t>
        </is>
      </c>
      <c r="B24" s="75" t="n"/>
      <c r="C24" s="81">
        <f>H21</f>
        <v/>
      </c>
      <c r="D24" s="58" t="inlineStr">
        <is>
          <t>Nhóm tiêu chí</t>
        </is>
      </c>
      <c r="E24" s="59" t="inlineStr">
        <is>
          <t>Trọng số</t>
        </is>
      </c>
      <c r="F24" s="59" t="inlineStr">
        <is>
          <t>Điểm tối đa</t>
        </is>
      </c>
      <c r="G24" s="59" t="inlineStr">
        <is>
          <t>Điểm đạt</t>
        </is>
      </c>
      <c r="H24" s="59" t="inlineStr">
        <is>
          <t>Tỷ lệ đạt</t>
        </is>
      </c>
    </row>
    <row r="25" ht="20" customHeight="1">
      <c r="A25" s="5" t="inlineStr">
        <is>
          <t>Điểm tự đánh giá</t>
        </is>
      </c>
      <c r="B25" s="75" t="n"/>
      <c r="C25" s="76">
        <f>IF(COUNT(F10:F20)=0,"",SUMPRODUCT(F10:F20,E10:E20)/5*100)</f>
        <v/>
      </c>
      <c r="D25" s="60" t="inlineStr">
        <is>
          <t>Chuyên môn - Nghiệp vụ</t>
        </is>
      </c>
      <c r="E25" s="19">
        <f>SUMIF($J$10:$J$20,"CM",$E$10:$E$20)</f>
        <v/>
      </c>
      <c r="F25" s="69">
        <f>E25*100</f>
        <v/>
      </c>
      <c r="G25" s="69">
        <f>SUMIF($J$10:$J$20,"CM",$H$10:$H$20)</f>
        <v/>
      </c>
      <c r="H25" s="61">
        <f>IF(F25=0,0,G25/F25)</f>
        <v/>
      </c>
    </row>
    <row r="26" ht="20" customHeight="1">
      <c r="A26" s="5" t="inlineStr">
        <is>
          <t>Tiêu chí đã chấm</t>
        </is>
      </c>
      <c r="B26" s="75" t="n"/>
      <c r="C26" s="62">
        <f>COUNT(G10:G20)&amp;" / 11"</f>
        <v/>
      </c>
      <c r="D26" s="63" t="inlineStr">
        <is>
          <t>Tuân thủ - Thời hạn</t>
        </is>
      </c>
      <c r="E26" s="19">
        <f>SUMIF($J$10:$J$20,"TT",$E$10:$E$20)</f>
        <v/>
      </c>
      <c r="F26" s="69">
        <f>E26*100</f>
        <v/>
      </c>
      <c r="G26" s="69">
        <f>SUMIF($J$10:$J$20,"TT",$H$10:$H$20)</f>
        <v/>
      </c>
      <c r="H26" s="61">
        <f>IF(F26=0,0,G26/F26)</f>
        <v/>
      </c>
    </row>
    <row r="27" ht="20" customHeight="1">
      <c r="A27" s="5" t="inlineStr">
        <is>
          <t>Xếp loại</t>
        </is>
      </c>
      <c r="B27" s="75" t="n"/>
      <c r="C27" s="64">
        <f>IF(COUNT(G10:G20)=0,"Chưa chấm",IF(COUNT(G10:G20)&lt;11,"Chưa chấm đủ",IF(H21&gt;=80,"Xuất sắc",IF(H21&gt;=70,"Đạt","Cần cải thiện"))))</f>
        <v/>
      </c>
      <c r="D27" s="65" t="inlineStr">
        <is>
          <t>Phối hợp - Thái độ</t>
        </is>
      </c>
      <c r="E27" s="19">
        <f>SUMIF($J$10:$J$20,"PH",$E$10:$E$20)</f>
        <v/>
      </c>
      <c r="F27" s="69">
        <f>E27*100</f>
        <v/>
      </c>
      <c r="G27" s="69">
        <f>SUMIF($J$10:$J$20,"PH",$H$10:$H$20)</f>
        <v/>
      </c>
      <c r="H27" s="61">
        <f>IF(F27=0,0,G27/F27)</f>
        <v/>
      </c>
    </row>
    <row r="28" ht="20" customHeight="1">
      <c r="A28" s="5" t="inlineStr">
        <is>
          <t>Kiểm tra trọng số</t>
        </is>
      </c>
      <c r="B28" s="75" t="n"/>
      <c r="C28" s="62">
        <f>IF(ROUND(E21,4)=1,"Hợp lệ – 100%","SAI – tổng trọng số phải = 100%")</f>
        <v/>
      </c>
    </row>
    <row r="29"/>
    <row r="30">
      <c r="A30" s="27" t="inlineStr">
        <is>
          <t>NHẬN XÉT &amp; KẾ HOẠCH CẢI THIỆN (Bước 5 – phản hồi kết quả)</t>
        </is>
      </c>
      <c r="B30" s="77" t="n"/>
      <c r="C30" s="77" t="n"/>
      <c r="D30" s="77" t="n"/>
      <c r="E30" s="77" t="n"/>
      <c r="F30" s="77" t="n"/>
      <c r="G30" s="77" t="n"/>
      <c r="H30" s="77" t="n"/>
      <c r="I30" s="75" t="n"/>
    </row>
    <row r="31" ht="36" customHeight="1">
      <c r="A31" s="5" t="inlineStr">
        <is>
          <t>Điểm mạnh</t>
        </is>
      </c>
      <c r="B31" s="75" t="n"/>
      <c r="C31" s="66" t="n"/>
      <c r="D31" s="77" t="n"/>
      <c r="E31" s="77" t="n"/>
      <c r="F31" s="77" t="n"/>
      <c r="G31" s="77" t="n"/>
      <c r="H31" s="77" t="n"/>
      <c r="I31" s="75" t="n"/>
    </row>
    <row r="32" ht="36" customHeight="1">
      <c r="A32" s="5" t="inlineStr">
        <is>
          <t>Cần cải thiện</t>
        </is>
      </c>
      <c r="B32" s="75" t="n"/>
      <c r="C32" s="66" t="n"/>
      <c r="D32" s="77" t="n"/>
      <c r="E32" s="77" t="n"/>
      <c r="F32" s="77" t="n"/>
      <c r="G32" s="77" t="n"/>
      <c r="H32" s="77" t="n"/>
      <c r="I32" s="75" t="n"/>
    </row>
    <row r="33" ht="36" customHeight="1">
      <c r="A33" s="5" t="inlineStr">
        <is>
          <t>Kế hoạch cải thiện</t>
        </is>
      </c>
      <c r="B33" s="75" t="n"/>
      <c r="C33" s="66" t="n"/>
      <c r="D33" s="77" t="n"/>
      <c r="E33" s="77" t="n"/>
      <c r="F33" s="77" t="n"/>
      <c r="G33" s="77" t="n"/>
      <c r="H33" s="77" t="n"/>
      <c r="I33" s="75" t="n"/>
    </row>
    <row r="34" ht="36" customHeight="1">
      <c r="A34" s="5" t="inlineStr">
        <is>
          <t>Ý kiến nhân sự</t>
        </is>
      </c>
      <c r="B34" s="75" t="n"/>
      <c r="C34" s="66" t="n"/>
      <c r="D34" s="77" t="n"/>
      <c r="E34" s="77" t="n"/>
      <c r="F34" s="77" t="n"/>
      <c r="G34" s="77" t="n"/>
      <c r="H34" s="77" t="n"/>
      <c r="I34" s="75" t="n"/>
    </row>
    <row r="35"/>
    <row r="36">
      <c r="B36" s="67" t="inlineStr">
        <is>
          <t>NHÂN SỰ ĐƯỢC ĐÁNH GIÁ</t>
        </is>
      </c>
      <c r="D36" s="67" t="inlineStr">
        <is>
          <t>QUẢN LÝ TRỰC TIẾP</t>
        </is>
      </c>
      <c r="G36" s="67" t="inlineStr">
        <is>
          <t>NGƯỜI PHÊ DUYỆT</t>
        </is>
      </c>
    </row>
    <row r="37">
      <c r="B37" s="68" t="inlineStr">
        <is>
          <t>(Ký, ghi rõ họ tên)</t>
        </is>
      </c>
      <c r="D37" s="68" t="inlineStr">
        <is>
          <t>(Ký, ghi rõ họ tên)</t>
        </is>
      </c>
      <c r="G37" s="68" t="inlineStr">
        <is>
          <t>(Ký, ghi rõ họ tên)</t>
        </is>
      </c>
    </row>
  </sheetData>
  <mergeCells count="36">
    <mergeCell ref="A24:B24"/>
    <mergeCell ref="C6:D6"/>
    <mergeCell ref="G37:I37"/>
    <mergeCell ref="C5:D5"/>
    <mergeCell ref="E5:F5"/>
    <mergeCell ref="C32:I32"/>
    <mergeCell ref="C4:D4"/>
    <mergeCell ref="E4:F4"/>
    <mergeCell ref="B14:B17"/>
    <mergeCell ref="A2:I2"/>
    <mergeCell ref="A25:B25"/>
    <mergeCell ref="A23:C23"/>
    <mergeCell ref="C34:I34"/>
    <mergeCell ref="G6:H6"/>
    <mergeCell ref="A27:B27"/>
    <mergeCell ref="C33:I33"/>
    <mergeCell ref="B10:B13"/>
    <mergeCell ref="A26:B26"/>
    <mergeCell ref="E6:F6"/>
    <mergeCell ref="A33:B33"/>
    <mergeCell ref="B37:C37"/>
    <mergeCell ref="G5:H5"/>
    <mergeCell ref="A32:B32"/>
    <mergeCell ref="B18:B20"/>
    <mergeCell ref="A30:I30"/>
    <mergeCell ref="G4:H4"/>
    <mergeCell ref="C31:I31"/>
    <mergeCell ref="G36:I36"/>
    <mergeCell ref="C7:D7"/>
    <mergeCell ref="A21:D21"/>
    <mergeCell ref="A28:B28"/>
    <mergeCell ref="A1:I1"/>
    <mergeCell ref="B36:C36"/>
    <mergeCell ref="D23:H23"/>
    <mergeCell ref="A31:B31"/>
    <mergeCell ref="A34:B34"/>
  </mergeCells>
  <conditionalFormatting sqref="I10:I20">
    <cfRule type="expression" priority="1" dxfId="5">
      <formula>AND(ISNUMBER($G10),OR($G10&lt;=1.5,$G10&gt;=5),LEN($I10)=0)</formula>
    </cfRule>
  </conditionalFormatting>
  <conditionalFormatting sqref="G10:G20">
    <cfRule type="cellIs" priority="2" operator="lessThanOrEqual" dxfId="4">
      <formula>2</formula>
    </cfRule>
  </conditionalFormatting>
  <conditionalFormatting sqref="C27">
    <cfRule type="expression" priority="3" dxfId="0">
      <formula>C27="Xuất sắc"</formula>
    </cfRule>
    <cfRule type="expression" priority="4" dxfId="1">
      <formula>C27="Đạt"</formula>
    </cfRule>
    <cfRule type="expression" priority="5" dxfId="2">
      <formula>C27="Cần cải thiện"</formula>
    </cfRule>
    <cfRule type="expression" priority="6" dxfId="3">
      <formula>C27="Chưa chấm đủ"</formula>
    </cfRule>
  </conditionalFormatting>
  <conditionalFormatting sqref="C28">
    <cfRule type="expression" priority="7" dxfId="6">
      <formula>LEFT(C28,3)="SAI"</formula>
    </cfRule>
  </conditionalFormatting>
  <dataValidations count="2">
    <dataValidation sqref="F10:G20" showDropDown="0" showInputMessage="1" showErrorMessage="1" allowBlank="1" errorTitle="Điểm không hợp lệ" error="Nhập điểm từ 1 đến 5 (cho phép số lẻ như 3.5)." promptTitle="Thang điểm 1–5" prompt="5 Tuyệt vời · 4 Tốt · 3 Bình thường · 2 Chưa đạt · 1 Kém" type="decimal" operator="between">
      <formula1>1</formula1>
      <formula2>5</formula2>
    </dataValidation>
    <dataValidation sqref="G4" showDropDown="0" showInputMessage="0" showErrorMessage="1" allowBlank="0" type="list">
      <formula1>"Tháng,Quý,Năm"</formula1>
    </dataValidation>
  </dataValidations>
  <printOptions horizontalCentered="1"/>
  <pageMargins left="0.4" right="0.4" top="1" bottom="1" header="0.5" footer="0.5"/>
  <pageSetup orientation="landscape" paperSize="9" fitToHeight="0" fitToWidth="1"/>
  <headerFooter>
    <oddHeader>&amp;C&amp;G</oddHeader>
    <oddFooter>&amp;L&amp;8 Mr Wick Kiểm toán · taichinhketoanedu.com&amp;R&amp;8 Trang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2026-10-06T10:09:40Z</dcterms:created>
  <dcterms:modified xmlns:dcterms="http://purl.org/dc/terms/" xmlns:xsi="http://www.w3.org/2001/XMLSchema-instance" xsi:type="dcterms:W3CDTF">2026-10-25T09:13:39Z</dcterms:modified>
</cp:coreProperties>
</file>