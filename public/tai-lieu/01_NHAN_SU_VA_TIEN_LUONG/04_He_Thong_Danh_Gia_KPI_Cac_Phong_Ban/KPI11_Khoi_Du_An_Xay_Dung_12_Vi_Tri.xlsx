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Giám đốc dự án" sheetId="5" state="visible" r:id="rId5"/>
    <sheet xmlns:r="http://schemas.openxmlformats.org/officeDocument/2006/relationships" name="02. Chỉ huy trưởng" sheetId="6" state="visible" r:id="rId6"/>
    <sheet xmlns:r="http://schemas.openxmlformats.org/officeDocument/2006/relationships" name="03. KS giám sát hiện trường" sheetId="7" state="visible" r:id="rId7"/>
    <sheet xmlns:r="http://schemas.openxmlformats.org/officeDocument/2006/relationships" name="04. KS QA-QC" sheetId="8" state="visible" r:id="rId8"/>
    <sheet xmlns:r="http://schemas.openxmlformats.org/officeDocument/2006/relationships" name="05. CB an toàn HSE" sheetId="9" state="visible" r:id="rId9"/>
    <sheet xmlns:r="http://schemas.openxmlformats.org/officeDocument/2006/relationships" name="06. KS dự toán - đấu thầu" sheetId="10" state="visible" r:id="rId10"/>
    <sheet xmlns:r="http://schemas.openxmlformats.org/officeDocument/2006/relationships" name="07. KS thanh quyết toán" sheetId="11" state="visible" r:id="rId11"/>
    <sheet xmlns:r="http://schemas.openxmlformats.org/officeDocument/2006/relationships" name="08. KS kỹ thuật - bản vẽ" sheetId="12" state="visible" r:id="rId12"/>
    <sheet xmlns:r="http://schemas.openxmlformats.org/officeDocument/2006/relationships" name="09. KS cơ điện MEP" sheetId="13" state="visible" r:id="rId13"/>
    <sheet xmlns:r="http://schemas.openxmlformats.org/officeDocument/2006/relationships" name="10. Trắc đạc viên" sheetId="14" state="visible" r:id="rId14"/>
    <sheet xmlns:r="http://schemas.openxmlformats.org/officeDocument/2006/relationships" name="11. CB vật tư - thủ kho CT" sheetId="15" state="visible" r:id="rId15"/>
    <sheet xmlns:r="http://schemas.openxmlformats.org/officeDocument/2006/relationships" name="12. Kế toán công trình" sheetId="16" state="visible" r:id="rId16"/>
  </sheets>
  <definedNames>
    <definedName name="_xlnm.Print_Titles" localSheetId="4">'01. Giám đốc dự án'!$9:$9</definedName>
    <definedName name="_xlnm.Print_Area" localSheetId="4">'01. Giám đốc dự án'!$A$1:$I$40</definedName>
    <definedName name="_xlnm.Print_Titles" localSheetId="5">'02. Chỉ huy trưởng'!$9:$9</definedName>
    <definedName name="_xlnm.Print_Area" localSheetId="5">'02. Chỉ huy trưởng'!$A$1:$I$40</definedName>
    <definedName name="_xlnm.Print_Titles" localSheetId="6">'03. KS giám sát hiện trường'!$9:$9</definedName>
    <definedName name="_xlnm.Print_Area" localSheetId="6">'03. KS giám sát hiện trường'!$A$1:$I$40</definedName>
    <definedName name="_xlnm.Print_Titles" localSheetId="7">'04. KS QA-QC'!$9:$9</definedName>
    <definedName name="_xlnm.Print_Area" localSheetId="7">'04. KS QA-QC'!$A$1:$I$40</definedName>
    <definedName name="_xlnm.Print_Titles" localSheetId="8">'05. CB an toàn HSE'!$9:$9</definedName>
    <definedName name="_xlnm.Print_Area" localSheetId="8">'05. CB an toàn HSE'!$A$1:$I$40</definedName>
    <definedName name="_xlnm.Print_Titles" localSheetId="9">'06. KS dự toán - đấu thầu'!$9:$9</definedName>
    <definedName name="_xlnm.Print_Area" localSheetId="9">'06. KS dự toán - đấu thầu'!$A$1:$I$40</definedName>
    <definedName name="_xlnm.Print_Titles" localSheetId="10">'07. KS thanh quyết toán'!$9:$9</definedName>
    <definedName name="_xlnm.Print_Area" localSheetId="10">'07. KS thanh quyết toán'!$A$1:$I$40</definedName>
    <definedName name="_xlnm.Print_Titles" localSheetId="11">'08. KS kỹ thuật - bản vẽ'!$9:$9</definedName>
    <definedName name="_xlnm.Print_Area" localSheetId="11">'08. KS kỹ thuật - bản vẽ'!$A$1:$I$40</definedName>
    <definedName name="_xlnm.Print_Titles" localSheetId="12">'09. KS cơ điện MEP'!$9:$9</definedName>
    <definedName name="_xlnm.Print_Area" localSheetId="12">'09. KS cơ điện MEP'!$A$1:$I$40</definedName>
    <definedName name="_xlnm.Print_Titles" localSheetId="13">'10. Trắc đạc viên'!$9:$9</definedName>
    <definedName name="_xlnm.Print_Area" localSheetId="13">'10. Trắc đạc viên'!$A$1:$I$40</definedName>
    <definedName name="_xlnm.Print_Titles" localSheetId="14">'11. CB vật tư - thủ kho CT'!$9:$9</definedName>
    <definedName name="_xlnm.Print_Area" localSheetId="14">'11. CB vật tư - thủ kho CT'!$A$1:$I$40</definedName>
    <definedName name="_xlnm.Print_Titles" localSheetId="15">'12. Kế toán công trình'!$9:$9</definedName>
    <definedName name="_xlnm.Print_Area" localSheetId="15">'12. Kế toán công trình'!$A$1:$I$40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sánh'!$C$5:$C$10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sánh'!$D$5:$D$10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sánh'!$E$5:$E$10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sánh'!$F$5:$F$10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sánh'!$G$5:$G$10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sánh'!$B$5:$B$16</f>
            </numRef>
          </cat>
          <val>
            <numRef>
              <f>'So sánh'!$C$5:$C$16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sánh'!$B$5:$B$16</f>
            </numRef>
          </cat>
          <val>
            <numRef>
              <f>'So sánh'!$D$5:$D$16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sánh'!$B$5:$B$16</f>
            </numRef>
          </cat>
          <val>
            <numRef>
              <f>'So sánh'!$E$5:$E$16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sánh'!$B$5:$B$16</f>
            </numRef>
          </cat>
          <val>
            <numRef>
              <f>'So sánh'!$F$5:$F$16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sánh'!$B$5:$B$16</f>
            </numRef>
          </cat>
          <val>
            <numRef>
              <f>'So sánh'!$G$5:$G$16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3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920000" cy="33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3</row>
      <rowOff>0</rowOff>
    </from>
    <ext cx="7920000" cy="45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29</row>
      <rowOff>0</rowOff>
    </from>
    <ext cx="7920000" cy="45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CÔNG TY XÂY DỰNG – 12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"Tiến độ thi công tuần, tháng" trọng số 12%, quản lý chấm 4 → 4 ÷ 5 × 12 = 9,6 điểm. Chấm 3.5 → 8,4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12 VỊ TRÍ</t>
        </is>
      </c>
    </row>
    <row r="25">
      <c r="B25" s="10" t="inlineStr">
        <is>
          <t>01</t>
        </is>
      </c>
      <c r="C25" s="11" t="inlineStr">
        <is>
          <t>Giám đốc dự án (Project Manager)  (11 tiêu chí)</t>
        </is>
      </c>
    </row>
    <row r="26">
      <c r="B26" s="10" t="inlineStr">
        <is>
          <t>02</t>
        </is>
      </c>
      <c r="C26" s="11" t="inlineStr">
        <is>
          <t>Chỉ huy trưởng công trường  (11 tiêu chí)</t>
        </is>
      </c>
    </row>
    <row r="27">
      <c r="B27" s="10" t="inlineStr">
        <is>
          <t>03</t>
        </is>
      </c>
      <c r="C27" s="11" t="inlineStr">
        <is>
          <t>Kỹ sư giám sát hiện trường (Site Engineer)  (11 tiêu chí)</t>
        </is>
      </c>
    </row>
    <row r="28">
      <c r="B28" s="10" t="inlineStr">
        <is>
          <t>04</t>
        </is>
      </c>
      <c r="C28" s="11" t="inlineStr">
        <is>
          <t>Kỹ sư quản lý chất lượng (QA/QC)  (11 tiêu chí)</t>
        </is>
      </c>
    </row>
    <row r="29">
      <c r="B29" s="10" t="inlineStr">
        <is>
          <t>05</t>
        </is>
      </c>
      <c r="C29" s="11" t="inlineStr">
        <is>
          <t>Cán bộ an toàn, vệ sinh lao động (HSE)  (11 tiêu chí)</t>
        </is>
      </c>
    </row>
    <row r="30">
      <c r="B30" s="10" t="inlineStr">
        <is>
          <t>06</t>
        </is>
      </c>
      <c r="C30" s="11" t="inlineStr">
        <is>
          <t>Kỹ sư dự toán – đấu thầu  (11 tiêu chí)</t>
        </is>
      </c>
    </row>
    <row r="31">
      <c r="B31" s="10" t="inlineStr">
        <is>
          <t>07</t>
        </is>
      </c>
      <c r="C31" s="11" t="inlineStr">
        <is>
          <t>Kỹ sư thanh toán – quyết toán, hồ sơ hoàn công  (11 tiêu chí)</t>
        </is>
      </c>
    </row>
    <row r="32">
      <c r="B32" s="10" t="inlineStr">
        <is>
          <t>08</t>
        </is>
      </c>
      <c r="C32" s="11" t="inlineStr">
        <is>
          <t>Kỹ sư kỹ thuật – bản vẽ thi công (Shop drawing)  (11 tiêu chí)</t>
        </is>
      </c>
    </row>
    <row r="33">
      <c r="B33" s="10" t="inlineStr">
        <is>
          <t>09</t>
        </is>
      </c>
      <c r="C33" s="11" t="inlineStr">
        <is>
          <t>Kỹ sư cơ điện (MEP)  (11 tiêu chí)</t>
        </is>
      </c>
    </row>
    <row r="34">
      <c r="B34" s="10" t="inlineStr">
        <is>
          <t>10</t>
        </is>
      </c>
      <c r="C34" s="11" t="inlineStr">
        <is>
          <t>Cán bộ trắc đạc  (11 tiêu chí)</t>
        </is>
      </c>
    </row>
    <row r="35">
      <c r="B35" s="10" t="inlineStr">
        <is>
          <t>11</t>
        </is>
      </c>
      <c r="C35" s="11" t="inlineStr">
        <is>
          <t>Cán bộ vật tư – thủ kho công trường  (11 tiêu chí)</t>
        </is>
      </c>
    </row>
    <row r="36">
      <c r="B36" s="10" t="inlineStr">
        <is>
          <t>12</t>
        </is>
      </c>
      <c r="C36" s="11" t="inlineStr">
        <is>
          <t>Kế toán công trình  (11 tiêu chí)</t>
        </is>
      </c>
    </row>
    <row r="37"/>
    <row r="38" ht="75" customHeight="1">
      <c r="B38" s="12" t="inlineStr">
        <is>
          <t>Lưu ý</t>
        </is>
      </c>
      <c r="C38" s="13" t="inlineStr">
        <is>
          <t>Tiêu chí và cách đo là bộ mẫu cho doanh nghiệp xây dựng dân dụng, công nghiệp. Đơn vị điều chỉnh chỉ tiêu định lượng (%, số ngày, định mức) theo mục tiêu đã duyệt của từng dự án, từng kỳ trước khi phổ biến cho nhân sự (Điều 4 – Công khai). Nhân sự luân chuyển giữa các công trình trong kỳ: mỗi Ban chỉ huy chấm phần thời gian phụ trách, Giám đốc dự án tổng hợp.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ref="C25" location="'01. Giám đốc dự án'!A1" display="Giám đốc dự án (Project Manager)"/>
    <hyperlink ref="C26" location="'02. Chỉ huy trưởng'!A1" display="Chỉ huy trưởng công trường"/>
    <hyperlink ref="C27" location="'03. KS giám sát hiện trường'!A1" display="Kỹ sư giám sát hiện trường (Site Engineer)"/>
    <hyperlink ref="C28" location="'04. KS QA-QC'!A1" display="Kỹ sư quản lý chất lượng (QA/QC)"/>
    <hyperlink ref="C29" location="'05. CB an toàn HSE'!A1" display="Cán bộ an toàn, vệ sinh lao động (HSE)"/>
    <hyperlink ref="C30" location="'06. KS dự toán - đấu thầu'!A1" display="Kỹ sư dự toán – đấu thầu"/>
    <hyperlink ref="C31" location="'07. KS thanh quyết toán'!A1" display="Kỹ sư thanh toán – quyết toán, hồ sơ hoàn công"/>
    <hyperlink ref="C32" location="'08. KS kỹ thuật - bản vẽ'!A1" display="Kỹ sư kỹ thuật – bản vẽ thi công (Shop drawing)"/>
    <hyperlink ref="C33" location="'09. KS cơ điện MEP'!A1" display="Kỹ sư cơ điện (MEP)"/>
    <hyperlink ref="C34" location="'10. Trắc đạc viên'!A1" display="Cán bộ trắc đạc"/>
    <hyperlink ref="C35" location="'11. CB vật tư - thủ kho CT'!A1" display="Cán bộ vật tư – thủ kho công trường"/>
    <hyperlink ref="C36" location="'12. Kế toán công trình'!A1" display="Kế toán công trình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2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CÔNG TY XÂY DỰNG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Giám đốc dự án (Project Manager)</t>
        </is>
      </c>
      <c r="C5" s="6">
        <f>IF('01. Giám đốc dự án'!C4="","",'01. Giám đốc dự án'!C4)</f>
        <v/>
      </c>
      <c r="D5" s="15">
        <f>IF('01. Giám đốc dự án'!G5="",'01. Giám đốc dự án'!G4,'01. Giám đốc dự án'!G5)</f>
        <v/>
      </c>
      <c r="E5" s="69">
        <f>'01. Giám đốc dự án'!C25</f>
        <v/>
      </c>
      <c r="F5" s="70">
        <f>'01. Giám đốc dự án'!C24</f>
        <v/>
      </c>
      <c r="G5" s="71">
        <f>IF(E5="","",F5-E5)</f>
        <v/>
      </c>
      <c r="H5" s="10">
        <f>'01. Giám đốc dự án'!C27</f>
        <v/>
      </c>
      <c r="I5" s="19">
        <f>'01. Giám đốc dự án'!H25</f>
        <v/>
      </c>
      <c r="J5" s="19">
        <f>'01. Giám đốc dự án'!H26</f>
        <v/>
      </c>
      <c r="K5" s="19">
        <f>'01. Giám đốc dự án'!H27</f>
        <v/>
      </c>
      <c r="L5" s="15">
        <f>'01. Giám đốc dự án'!C26</f>
        <v/>
      </c>
    </row>
    <row r="6" ht="20" customHeight="1">
      <c r="A6" s="15" t="n">
        <v>2</v>
      </c>
      <c r="B6" s="11" t="inlineStr">
        <is>
          <t>Chỉ huy trưởng công trường</t>
        </is>
      </c>
      <c r="C6" s="6">
        <f>IF('02. Chỉ huy trưởng'!C4="","",'02. Chỉ huy trưởng'!C4)</f>
        <v/>
      </c>
      <c r="D6" s="15">
        <f>IF('02. Chỉ huy trưởng'!G5="",'02. Chỉ huy trưởng'!G4,'02. Chỉ huy trưởng'!G5)</f>
        <v/>
      </c>
      <c r="E6" s="69">
        <f>'02. Chỉ huy trưởng'!C25</f>
        <v/>
      </c>
      <c r="F6" s="70">
        <f>'02. Chỉ huy trưởng'!C24</f>
        <v/>
      </c>
      <c r="G6" s="71">
        <f>IF(E6="","",F6-E6)</f>
        <v/>
      </c>
      <c r="H6" s="10">
        <f>'02. Chỉ huy trưởng'!C27</f>
        <v/>
      </c>
      <c r="I6" s="19">
        <f>'02. Chỉ huy trưởng'!H25</f>
        <v/>
      </c>
      <c r="J6" s="19">
        <f>'02. Chỉ huy trưởng'!H26</f>
        <v/>
      </c>
      <c r="K6" s="19">
        <f>'02. Chỉ huy trưởng'!H27</f>
        <v/>
      </c>
      <c r="L6" s="15">
        <f>'02. Chỉ huy trưởng'!C26</f>
        <v/>
      </c>
    </row>
    <row r="7" ht="20" customHeight="1">
      <c r="A7" s="15" t="n">
        <v>3</v>
      </c>
      <c r="B7" s="11" t="inlineStr">
        <is>
          <t>Kỹ sư giám sát hiện trường (Site Engineer)</t>
        </is>
      </c>
      <c r="C7" s="6">
        <f>IF('03. KS giám sát hiện trường'!C4="","",'03. KS giám sát hiện trường'!C4)</f>
        <v/>
      </c>
      <c r="D7" s="15">
        <f>IF('03. KS giám sát hiện trường'!G5="",'03. KS giám sát hiện trường'!G4,'03. KS giám sát hiện trường'!G5)</f>
        <v/>
      </c>
      <c r="E7" s="69">
        <f>'03. KS giám sát hiện trường'!C25</f>
        <v/>
      </c>
      <c r="F7" s="70">
        <f>'03. KS giám sát hiện trường'!C24</f>
        <v/>
      </c>
      <c r="G7" s="71">
        <f>IF(E7="","",F7-E7)</f>
        <v/>
      </c>
      <c r="H7" s="10">
        <f>'03. KS giám sát hiện trường'!C27</f>
        <v/>
      </c>
      <c r="I7" s="19">
        <f>'03. KS giám sát hiện trường'!H25</f>
        <v/>
      </c>
      <c r="J7" s="19">
        <f>'03. KS giám sát hiện trường'!H26</f>
        <v/>
      </c>
      <c r="K7" s="19">
        <f>'03. KS giám sát hiện trường'!H27</f>
        <v/>
      </c>
      <c r="L7" s="15">
        <f>'03. KS giám sát hiện trường'!C26</f>
        <v/>
      </c>
    </row>
    <row r="8" ht="20" customHeight="1">
      <c r="A8" s="15" t="n">
        <v>4</v>
      </c>
      <c r="B8" s="11" t="inlineStr">
        <is>
          <t>Kỹ sư quản lý chất lượng (QA/QC)</t>
        </is>
      </c>
      <c r="C8" s="6">
        <f>IF('04. KS QA-QC'!C4="","",'04. KS QA-QC'!C4)</f>
        <v/>
      </c>
      <c r="D8" s="15">
        <f>IF('04. KS QA-QC'!G5="",'04. KS QA-QC'!G4,'04. KS QA-QC'!G5)</f>
        <v/>
      </c>
      <c r="E8" s="69">
        <f>'04. KS QA-QC'!C25</f>
        <v/>
      </c>
      <c r="F8" s="70">
        <f>'04. KS QA-QC'!C24</f>
        <v/>
      </c>
      <c r="G8" s="71">
        <f>IF(E8="","",F8-E8)</f>
        <v/>
      </c>
      <c r="H8" s="10">
        <f>'04. KS QA-QC'!C27</f>
        <v/>
      </c>
      <c r="I8" s="19">
        <f>'04. KS QA-QC'!H25</f>
        <v/>
      </c>
      <c r="J8" s="19">
        <f>'04. KS QA-QC'!H26</f>
        <v/>
      </c>
      <c r="K8" s="19">
        <f>'04. KS QA-QC'!H27</f>
        <v/>
      </c>
      <c r="L8" s="15">
        <f>'04. KS QA-QC'!C26</f>
        <v/>
      </c>
    </row>
    <row r="9" ht="20" customHeight="1">
      <c r="A9" s="15" t="n">
        <v>5</v>
      </c>
      <c r="B9" s="11" t="inlineStr">
        <is>
          <t>Cán bộ an toàn, vệ sinh lao động (HSE)</t>
        </is>
      </c>
      <c r="C9" s="6">
        <f>IF('05. CB an toàn HSE'!C4="","",'05. CB an toàn HSE'!C4)</f>
        <v/>
      </c>
      <c r="D9" s="15">
        <f>IF('05. CB an toàn HSE'!G5="",'05. CB an toàn HSE'!G4,'05. CB an toàn HSE'!G5)</f>
        <v/>
      </c>
      <c r="E9" s="69">
        <f>'05. CB an toàn HSE'!C25</f>
        <v/>
      </c>
      <c r="F9" s="70">
        <f>'05. CB an toàn HSE'!C24</f>
        <v/>
      </c>
      <c r="G9" s="71">
        <f>IF(E9="","",F9-E9)</f>
        <v/>
      </c>
      <c r="H9" s="10">
        <f>'05. CB an toàn HSE'!C27</f>
        <v/>
      </c>
      <c r="I9" s="19">
        <f>'05. CB an toàn HSE'!H25</f>
        <v/>
      </c>
      <c r="J9" s="19">
        <f>'05. CB an toàn HSE'!H26</f>
        <v/>
      </c>
      <c r="K9" s="19">
        <f>'05. CB an toàn HSE'!H27</f>
        <v/>
      </c>
      <c r="L9" s="15">
        <f>'05. CB an toàn HSE'!C26</f>
        <v/>
      </c>
    </row>
    <row r="10" ht="20" customHeight="1">
      <c r="A10" s="15" t="n">
        <v>6</v>
      </c>
      <c r="B10" s="11" t="inlineStr">
        <is>
          <t>Kỹ sư dự toán – đấu thầu</t>
        </is>
      </c>
      <c r="C10" s="6">
        <f>IF('06. KS dự toán - đấu thầu'!C4="","",'06. KS dự toán - đấu thầu'!C4)</f>
        <v/>
      </c>
      <c r="D10" s="15">
        <f>IF('06. KS dự toán - đấu thầu'!G5="",'06. KS dự toán - đấu thầu'!G4,'06. KS dự toán - đấu thầu'!G5)</f>
        <v/>
      </c>
      <c r="E10" s="69">
        <f>'06. KS dự toán - đấu thầu'!C25</f>
        <v/>
      </c>
      <c r="F10" s="70">
        <f>'06. KS dự toán - đấu thầu'!C24</f>
        <v/>
      </c>
      <c r="G10" s="71">
        <f>IF(E10="","",F10-E10)</f>
        <v/>
      </c>
      <c r="H10" s="10">
        <f>'06. KS dự toán - đấu thầu'!C27</f>
        <v/>
      </c>
      <c r="I10" s="19">
        <f>'06. KS dự toán - đấu thầu'!H25</f>
        <v/>
      </c>
      <c r="J10" s="19">
        <f>'06. KS dự toán - đấu thầu'!H26</f>
        <v/>
      </c>
      <c r="K10" s="19">
        <f>'06. KS dự toán - đấu thầu'!H27</f>
        <v/>
      </c>
      <c r="L10" s="15">
        <f>'06. KS dự toán - đấu thầu'!C26</f>
        <v/>
      </c>
    </row>
    <row r="11" ht="20" customHeight="1">
      <c r="A11" s="15" t="n">
        <v>7</v>
      </c>
      <c r="B11" s="11" t="inlineStr">
        <is>
          <t>Kỹ sư thanh toán – quyết toán, hồ sơ hoàn công</t>
        </is>
      </c>
      <c r="C11" s="6">
        <f>IF('07. KS thanh quyết toán'!C4="","",'07. KS thanh quyết toán'!C4)</f>
        <v/>
      </c>
      <c r="D11" s="15">
        <f>IF('07. KS thanh quyết toán'!G5="",'07. KS thanh quyết toán'!G4,'07. KS thanh quyết toán'!G5)</f>
        <v/>
      </c>
      <c r="E11" s="69">
        <f>'07. KS thanh quyết toán'!C25</f>
        <v/>
      </c>
      <c r="F11" s="70">
        <f>'07. KS thanh quyết toán'!C24</f>
        <v/>
      </c>
      <c r="G11" s="71">
        <f>IF(E11="","",F11-E11)</f>
        <v/>
      </c>
      <c r="H11" s="10">
        <f>'07. KS thanh quyết toán'!C27</f>
        <v/>
      </c>
      <c r="I11" s="19">
        <f>'07. KS thanh quyết toán'!H25</f>
        <v/>
      </c>
      <c r="J11" s="19">
        <f>'07. KS thanh quyết toán'!H26</f>
        <v/>
      </c>
      <c r="K11" s="19">
        <f>'07. KS thanh quyết toán'!H27</f>
        <v/>
      </c>
      <c r="L11" s="15">
        <f>'07. KS thanh quyết toán'!C26</f>
        <v/>
      </c>
    </row>
    <row r="12" ht="20" customHeight="1">
      <c r="A12" s="15" t="n">
        <v>8</v>
      </c>
      <c r="B12" s="11" t="inlineStr">
        <is>
          <t>Kỹ sư kỹ thuật – bản vẽ thi công (Shop drawing)</t>
        </is>
      </c>
      <c r="C12" s="6">
        <f>IF('08. KS kỹ thuật - bản vẽ'!C4="","",'08. KS kỹ thuật - bản vẽ'!C4)</f>
        <v/>
      </c>
      <c r="D12" s="15">
        <f>IF('08. KS kỹ thuật - bản vẽ'!G5="",'08. KS kỹ thuật - bản vẽ'!G4,'08. KS kỹ thuật - bản vẽ'!G5)</f>
        <v/>
      </c>
      <c r="E12" s="69">
        <f>'08. KS kỹ thuật - bản vẽ'!C25</f>
        <v/>
      </c>
      <c r="F12" s="70">
        <f>'08. KS kỹ thuật - bản vẽ'!C24</f>
        <v/>
      </c>
      <c r="G12" s="71">
        <f>IF(E12="","",F12-E12)</f>
        <v/>
      </c>
      <c r="H12" s="10">
        <f>'08. KS kỹ thuật - bản vẽ'!C27</f>
        <v/>
      </c>
      <c r="I12" s="19">
        <f>'08. KS kỹ thuật - bản vẽ'!H25</f>
        <v/>
      </c>
      <c r="J12" s="19">
        <f>'08. KS kỹ thuật - bản vẽ'!H26</f>
        <v/>
      </c>
      <c r="K12" s="19">
        <f>'08. KS kỹ thuật - bản vẽ'!H27</f>
        <v/>
      </c>
      <c r="L12" s="15">
        <f>'08. KS kỹ thuật - bản vẽ'!C26</f>
        <v/>
      </c>
    </row>
    <row r="13" ht="20" customHeight="1">
      <c r="A13" s="15" t="n">
        <v>9</v>
      </c>
      <c r="B13" s="11" t="inlineStr">
        <is>
          <t>Kỹ sư cơ điện (MEP)</t>
        </is>
      </c>
      <c r="C13" s="6">
        <f>IF('09. KS cơ điện MEP'!C4="","",'09. KS cơ điện MEP'!C4)</f>
        <v/>
      </c>
      <c r="D13" s="15">
        <f>IF('09. KS cơ điện MEP'!G5="",'09. KS cơ điện MEP'!G4,'09. KS cơ điện MEP'!G5)</f>
        <v/>
      </c>
      <c r="E13" s="69">
        <f>'09. KS cơ điện MEP'!C25</f>
        <v/>
      </c>
      <c r="F13" s="70">
        <f>'09. KS cơ điện MEP'!C24</f>
        <v/>
      </c>
      <c r="G13" s="71">
        <f>IF(E13="","",F13-E13)</f>
        <v/>
      </c>
      <c r="H13" s="10">
        <f>'09. KS cơ điện MEP'!C27</f>
        <v/>
      </c>
      <c r="I13" s="19">
        <f>'09. KS cơ điện MEP'!H25</f>
        <v/>
      </c>
      <c r="J13" s="19">
        <f>'09. KS cơ điện MEP'!H26</f>
        <v/>
      </c>
      <c r="K13" s="19">
        <f>'09. KS cơ điện MEP'!H27</f>
        <v/>
      </c>
      <c r="L13" s="15">
        <f>'09. KS cơ điện MEP'!C26</f>
        <v/>
      </c>
    </row>
    <row r="14" ht="20" customHeight="1">
      <c r="A14" s="15" t="n">
        <v>10</v>
      </c>
      <c r="B14" s="11" t="inlineStr">
        <is>
          <t>Cán bộ trắc đạc</t>
        </is>
      </c>
      <c r="C14" s="6">
        <f>IF('10. Trắc đạc viên'!C4="","",'10. Trắc đạc viên'!C4)</f>
        <v/>
      </c>
      <c r="D14" s="15">
        <f>IF('10. Trắc đạc viên'!G5="",'10. Trắc đạc viên'!G4,'10. Trắc đạc viên'!G5)</f>
        <v/>
      </c>
      <c r="E14" s="69">
        <f>'10. Trắc đạc viên'!C25</f>
        <v/>
      </c>
      <c r="F14" s="70">
        <f>'10. Trắc đạc viên'!C24</f>
        <v/>
      </c>
      <c r="G14" s="71">
        <f>IF(E14="","",F14-E14)</f>
        <v/>
      </c>
      <c r="H14" s="10">
        <f>'10. Trắc đạc viên'!C27</f>
        <v/>
      </c>
      <c r="I14" s="19">
        <f>'10. Trắc đạc viên'!H25</f>
        <v/>
      </c>
      <c r="J14" s="19">
        <f>'10. Trắc đạc viên'!H26</f>
        <v/>
      </c>
      <c r="K14" s="19">
        <f>'10. Trắc đạc viên'!H27</f>
        <v/>
      </c>
      <c r="L14" s="15">
        <f>'10. Trắc đạc viên'!C26</f>
        <v/>
      </c>
    </row>
    <row r="15" ht="20" customHeight="1">
      <c r="A15" s="15" t="n">
        <v>11</v>
      </c>
      <c r="B15" s="11" t="inlineStr">
        <is>
          <t>Cán bộ vật tư – thủ kho công trường</t>
        </is>
      </c>
      <c r="C15" s="6">
        <f>IF('11. CB vật tư - thủ kho CT'!C4="","",'11. CB vật tư - thủ kho CT'!C4)</f>
        <v/>
      </c>
      <c r="D15" s="15">
        <f>IF('11. CB vật tư - thủ kho CT'!G5="",'11. CB vật tư - thủ kho CT'!G4,'11. CB vật tư - thủ kho CT'!G5)</f>
        <v/>
      </c>
      <c r="E15" s="69">
        <f>'11. CB vật tư - thủ kho CT'!C25</f>
        <v/>
      </c>
      <c r="F15" s="70">
        <f>'11. CB vật tư - thủ kho CT'!C24</f>
        <v/>
      </c>
      <c r="G15" s="71">
        <f>IF(E15="","",F15-E15)</f>
        <v/>
      </c>
      <c r="H15" s="10">
        <f>'11. CB vật tư - thủ kho CT'!C27</f>
        <v/>
      </c>
      <c r="I15" s="19">
        <f>'11. CB vật tư - thủ kho CT'!H25</f>
        <v/>
      </c>
      <c r="J15" s="19">
        <f>'11. CB vật tư - thủ kho CT'!H26</f>
        <v/>
      </c>
      <c r="K15" s="19">
        <f>'11. CB vật tư - thủ kho CT'!H27</f>
        <v/>
      </c>
      <c r="L15" s="15">
        <f>'11. CB vật tư - thủ kho CT'!C26</f>
        <v/>
      </c>
    </row>
    <row r="16" ht="20" customHeight="1">
      <c r="A16" s="15" t="n">
        <v>12</v>
      </c>
      <c r="B16" s="11" t="inlineStr">
        <is>
          <t>Kế toán công trình</t>
        </is>
      </c>
      <c r="C16" s="6">
        <f>IF('12. Kế toán công trình'!C4="","",'12. Kế toán công trình'!C4)</f>
        <v/>
      </c>
      <c r="D16" s="15">
        <f>IF('12. Kế toán công trình'!G5="",'12. Kế toán công trình'!G4,'12. Kế toán công trình'!G5)</f>
        <v/>
      </c>
      <c r="E16" s="69">
        <f>'12. Kế toán công trình'!C25</f>
        <v/>
      </c>
      <c r="F16" s="70">
        <f>'12. Kế toán công trình'!C24</f>
        <v/>
      </c>
      <c r="G16" s="71">
        <f>IF(E16="","",F16-E16)</f>
        <v/>
      </c>
      <c r="H16" s="10">
        <f>'12. Kế toán công trình'!C27</f>
        <v/>
      </c>
      <c r="I16" s="19">
        <f>'12. Kế toán công trình'!H25</f>
        <v/>
      </c>
      <c r="J16" s="19">
        <f>'12. Kế toán công trình'!H26</f>
        <v/>
      </c>
      <c r="K16" s="19">
        <f>'12. Kế toán công trình'!H27</f>
        <v/>
      </c>
      <c r="L16" s="15">
        <f>'12. Kế toán công trình'!C26</f>
        <v/>
      </c>
    </row>
    <row r="17">
      <c r="B17" s="5" t="n"/>
      <c r="C17" s="72" t="n"/>
    </row>
    <row r="18">
      <c r="B18" s="27" t="inlineStr">
        <is>
          <t>THỐNG KÊ TOÀN CÔNG TY</t>
        </is>
      </c>
      <c r="C18" s="73" t="n"/>
    </row>
    <row r="19" ht="30" customHeight="1">
      <c r="B19" s="5" t="inlineStr">
        <is>
          <t>Số vị trí xếp loại Xuất sắc</t>
        </is>
      </c>
      <c r="C19" s="29">
        <f>COUNTIF(H5:H16,"Xuất sắc")</f>
        <v/>
      </c>
    </row>
    <row r="20">
      <c r="B20" s="5" t="inlineStr">
        <is>
          <t>Số vị trí xếp loại Đạt</t>
        </is>
      </c>
      <c r="C20" s="29">
        <f>COUNTIF(H5:H16,"Đạt")</f>
        <v/>
      </c>
    </row>
    <row r="21">
      <c r="B21" s="5" t="inlineStr">
        <is>
          <t>Số vị trí xếp loại Cần cải thiện</t>
        </is>
      </c>
      <c r="C21" s="29">
        <f>COUNTIF(H5:H16,"Cần cải thiện")</f>
        <v/>
      </c>
    </row>
    <row r="22">
      <c r="B22" s="5" t="inlineStr">
        <is>
          <t>Số vị trí chưa chấm / chưa chấm đủ</t>
        </is>
      </c>
      <c r="C22" s="29">
        <f>COUNTIF(H5:H16,"Chưa chấm")+COUNTIF(H5:H16,"Chưa chấm đủ")</f>
        <v/>
      </c>
    </row>
    <row r="23">
      <c r="B23" s="5" t="inlineStr">
        <is>
          <t>Điểm bình quân (vị trí đã chấm đủ)</t>
        </is>
      </c>
      <c r="C23" s="72">
        <f>IFERROR(AVERAGEIFS(F5:F16,H5:H16,"&lt;&gt;Chưa chấm",H5:H16,"&lt;&gt;Chưa chấm đủ"),"")</f>
        <v/>
      </c>
    </row>
    <row r="24"/>
    <row r="25" ht="30" customHeight="1">
      <c r="B25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18:C18"/>
    <mergeCell ref="A2:L2"/>
    <mergeCell ref="A1:L1"/>
    <mergeCell ref="B25:L25"/>
  </mergeCells>
  <conditionalFormatting sqref="H5:H16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6">
    <cfRule type="expression" priority="5" dxfId="4">
      <formula>AND(ISNUMBER(G5),ABS(G5)&gt;=10)</formula>
    </cfRule>
  </conditionalFormatting>
  <hyperlinks>
    <hyperlink ref="B5" location="'01. Giám đốc dự án'!A1" display="Giám đốc dự án (Project Manager)"/>
    <hyperlink ref="B6" location="'02. Chỉ huy trưởng'!A1" display="Chỉ huy trưởng công trường"/>
    <hyperlink ref="B7" location="'03. KS giám sát hiện trường'!A1" display="Kỹ sư giám sát hiện trường (Site Engineer)"/>
    <hyperlink ref="B8" location="'04. KS QA-QC'!A1" display="Kỹ sư quản lý chất lượng (QA/QC)"/>
    <hyperlink ref="B9" location="'05. CB an toàn HSE'!A1" display="Cán bộ an toàn, vệ sinh lao động (HSE)"/>
    <hyperlink ref="B10" location="'06. KS dự toán - đấu thầu'!A1" display="Kỹ sư dự toán – đấu thầu"/>
    <hyperlink ref="B11" location="'07. KS thanh quyết toán'!A1" display="Kỹ sư thanh toán – quyết toán, hồ sơ hoàn công"/>
    <hyperlink ref="B12" location="'08. KS kỹ thuật - bản vẽ'!A1" display="Kỹ sư kỹ thuật – bản vẽ thi công (Shop drawing)"/>
    <hyperlink ref="B13" location="'09. KS cơ điện MEP'!A1" display="Kỹ sư cơ điện (MEP)"/>
    <hyperlink ref="B14" location="'10. Trắc đạc viên'!A1" display="Cán bộ trắc đạc"/>
    <hyperlink ref="B15" location="'11. CB vật tư - thủ kho CT'!A1" display="Cán bộ vật tư – thủ kho công trường"/>
    <hyperlink ref="B16" location="'12. Kế toán công trình'!A1" display="Kế toán công trình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>
      <c r="A11" s="15" t="n">
        <v>7</v>
      </c>
      <c r="B11" s="6">
        <f>'Tổng hợp'!B11</f>
        <v/>
      </c>
      <c r="C11" s="69">
        <f>IF('Tổng hợp'!E11="",0,'Tổng hợp'!E11)</f>
        <v/>
      </c>
      <c r="D11" s="69">
        <f>'Tổng hợp'!F11</f>
        <v/>
      </c>
      <c r="E11" s="19">
        <f>'Tổng hợp'!I11</f>
        <v/>
      </c>
      <c r="F11" s="19">
        <f>'Tổng hợp'!J11</f>
        <v/>
      </c>
      <c r="G11" s="19">
        <f>'Tổng hợp'!K11</f>
        <v/>
      </c>
    </row>
    <row r="12">
      <c r="A12" s="15" t="n">
        <v>8</v>
      </c>
      <c r="B12" s="6">
        <f>'Tổng hợp'!B12</f>
        <v/>
      </c>
      <c r="C12" s="69">
        <f>IF('Tổng hợp'!E12="",0,'Tổng hợp'!E12)</f>
        <v/>
      </c>
      <c r="D12" s="69">
        <f>'Tổng hợp'!F12</f>
        <v/>
      </c>
      <c r="E12" s="19">
        <f>'Tổng hợp'!I12</f>
        <v/>
      </c>
      <c r="F12" s="19">
        <f>'Tổng hợp'!J12</f>
        <v/>
      </c>
      <c r="G12" s="19">
        <f>'Tổng hợp'!K12</f>
        <v/>
      </c>
    </row>
    <row r="13">
      <c r="A13" s="15" t="n">
        <v>9</v>
      </c>
      <c r="B13" s="6">
        <f>'Tổng hợp'!B13</f>
        <v/>
      </c>
      <c r="C13" s="69">
        <f>IF('Tổng hợp'!E13="",0,'Tổng hợp'!E13)</f>
        <v/>
      </c>
      <c r="D13" s="69">
        <f>'Tổng hợp'!F13</f>
        <v/>
      </c>
      <c r="E13" s="19">
        <f>'Tổng hợp'!I13</f>
        <v/>
      </c>
      <c r="F13" s="19">
        <f>'Tổng hợp'!J13</f>
        <v/>
      </c>
      <c r="G13" s="19">
        <f>'Tổng hợp'!K13</f>
        <v/>
      </c>
    </row>
    <row r="14">
      <c r="A14" s="15" t="n">
        <v>10</v>
      </c>
      <c r="B14" s="6">
        <f>'Tổng hợp'!B14</f>
        <v/>
      </c>
      <c r="C14" s="69">
        <f>IF('Tổng hợp'!E14="",0,'Tổng hợp'!E14)</f>
        <v/>
      </c>
      <c r="D14" s="69">
        <f>'Tổng hợp'!F14</f>
        <v/>
      </c>
      <c r="E14" s="19">
        <f>'Tổng hợp'!I14</f>
        <v/>
      </c>
      <c r="F14" s="19">
        <f>'Tổng hợp'!J14</f>
        <v/>
      </c>
      <c r="G14" s="19">
        <f>'Tổng hợp'!K14</f>
        <v/>
      </c>
    </row>
    <row r="15">
      <c r="A15" s="15" t="n">
        <v>11</v>
      </c>
      <c r="B15" s="6">
        <f>'Tổng hợp'!B15</f>
        <v/>
      </c>
      <c r="C15" s="69">
        <f>IF('Tổng hợp'!E15="",0,'Tổng hợp'!E15)</f>
        <v/>
      </c>
      <c r="D15" s="69">
        <f>'Tổng hợp'!F15</f>
        <v/>
      </c>
      <c r="E15" s="19">
        <f>'Tổng hợp'!I15</f>
        <v/>
      </c>
      <c r="F15" s="19">
        <f>'Tổng hợp'!J15</f>
        <v/>
      </c>
      <c r="G15" s="19">
        <f>'Tổng hợp'!K15</f>
        <v/>
      </c>
    </row>
    <row r="16">
      <c r="A16" s="15" t="n">
        <v>12</v>
      </c>
      <c r="B16" s="6">
        <f>'Tổng hợp'!B16</f>
        <v/>
      </c>
      <c r="C16" s="69">
        <f>IF('Tổng hợp'!E16="",0,'Tổng hợp'!E16)</f>
        <v/>
      </c>
      <c r="D16" s="69">
        <f>'Tổng hợp'!F16</f>
        <v/>
      </c>
      <c r="E16" s="19">
        <f>'Tổng hợp'!I16</f>
        <v/>
      </c>
      <c r="F16" s="19">
        <f>'Tổng hợp'!J16</f>
        <v/>
      </c>
      <c r="G16" s="19">
        <f>'Tổng hợp'!K16</f>
        <v/>
      </c>
    </row>
    <row r="17"/>
    <row r="18">
      <c r="A18" s="13" t="inlineStr">
        <is>
          <t>Biểu đồ tự cập nhật khi chấm điểm ở các sheet vị trí. Vị trí chưa chấm hiển thị 0.</t>
        </is>
      </c>
    </row>
  </sheetData>
  <mergeCells count="3">
    <mergeCell ref="A2:G2"/>
    <mergeCell ref="A1:G1"/>
    <mergeCell ref="A18:G18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4" t="n"/>
      <c r="F5" s="74" t="n"/>
      <c r="G5" s="73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4" t="n"/>
      <c r="F6" s="74" t="n"/>
      <c r="G6" s="73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4" t="n"/>
      <c r="F7" s="74" t="n"/>
      <c r="G7" s="73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4" t="n"/>
      <c r="F8" s="74" t="n"/>
      <c r="G8" s="73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4" t="n"/>
      <c r="F9" s="74" t="n"/>
      <c r="G9" s="73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4" t="n"/>
      <c r="F10" s="74" t="n"/>
      <c r="G10" s="73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4" t="n"/>
      <c r="E14" s="74" t="n"/>
      <c r="F14" s="74" t="n"/>
      <c r="G14" s="73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4" t="n"/>
      <c r="E15" s="74" t="n"/>
      <c r="F15" s="74" t="n"/>
      <c r="G15" s="73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4" t="n"/>
      <c r="E16" s="74" t="n"/>
      <c r="F16" s="74" t="n"/>
      <c r="G16" s="73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4" t="n"/>
      <c r="E17" s="74" t="n"/>
      <c r="F17" s="74" t="n"/>
      <c r="G17" s="73" t="n"/>
    </row>
    <row r="18">
      <c r="B18" s="38" t="inlineStr">
        <is>
          <t>Cần cải thiện</t>
        </is>
      </c>
      <c r="C18" s="35" t="inlineStr">
        <is>
          <t>Dưới 70</t>
        </is>
      </c>
      <c r="D18" s="74" t="n"/>
      <c r="E18" s="74" t="n"/>
      <c r="F18" s="74" t="n"/>
      <c r="G18" s="73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Tiến độ thi công so với kế hoạch</t>
        </is>
      </c>
      <c r="C22" s="35" t="inlineStr">
        <is>
          <t>Vượt tiến độ, không tăng chi phí</t>
        </is>
      </c>
      <c r="D22" s="35" t="inlineStr">
        <is>
          <t>Đạt 100% kế hoạch</t>
        </is>
      </c>
      <c r="E22" s="35" t="inlineStr">
        <is>
          <t>95% – dưới 100%</t>
        </is>
      </c>
      <c r="F22" s="35" t="inlineStr">
        <is>
          <t>85% – dưới 95%</t>
        </is>
      </c>
      <c r="G22" s="35" t="inlineStr">
        <is>
          <t>Dưới 85% hoặc trễ mốc hợp đồng</t>
        </is>
      </c>
    </row>
    <row r="23" ht="38" customHeight="1">
      <c r="B23" s="38" t="inlineStr">
        <is>
          <t>An toàn lao động</t>
        </is>
      </c>
      <c r="C23" s="35" t="inlineStr">
        <is>
          <t>0 tai nạn, 0 lỗi tồn đọng</t>
        </is>
      </c>
      <c r="D23" s="35" t="inlineStr">
        <is>
          <t>0 tai nạn, lỗi khắc phục đúng hạn</t>
        </is>
      </c>
      <c r="E23" s="35" t="inlineStr">
        <is>
          <t>0 tai nạn, có lỗi khắc phục trễ</t>
        </is>
      </c>
      <c r="F23" s="35" t="inlineStr">
        <is>
          <t>Tai nạn nhẹ hoặc bị lập biên bản vi phạm</t>
        </is>
      </c>
      <c r="G23" s="35" t="inlineStr">
        <is>
          <t>Tai nạn nặng, chết người</t>
        </is>
      </c>
    </row>
    <row r="24" ht="38" customHeight="1">
      <c r="B24" s="38" t="inlineStr">
        <is>
          <t>Nghiệm thu đạt ngay lần đầu</t>
        </is>
      </c>
      <c r="C24" s="35" t="inlineStr">
        <is>
          <t>≥ 98%</t>
        </is>
      </c>
      <c r="D24" s="35" t="inlineStr">
        <is>
          <t>95% – dưới 98%</t>
        </is>
      </c>
      <c r="E24" s="35" t="inlineStr">
        <is>
          <t>90% – dưới 95%</t>
        </is>
      </c>
      <c r="F24" s="35" t="inlineStr">
        <is>
          <t>80% – dưới 90%</t>
        </is>
      </c>
      <c r="G24" s="35" t="inlineStr">
        <is>
          <t>Dưới 80% hoặc phải phá dỡ</t>
        </is>
      </c>
    </row>
    <row r="25" ht="38" customHeight="1">
      <c r="B25" s="38" t="inlineStr">
        <is>
          <t>Chi phí thực tế so với dự toán</t>
        </is>
      </c>
      <c r="C25" s="35" t="inlineStr">
        <is>
          <t>Tiết kiệm ≥ 5%, vẫn đạt chất lượng</t>
        </is>
      </c>
      <c r="D25" s="35" t="inlineStr">
        <is>
          <t>Trong dự toán</t>
        </is>
      </c>
      <c r="E25" s="35" t="inlineStr">
        <is>
          <t>Vượt ≤ 3%, có giải trình được duyệt</t>
        </is>
      </c>
      <c r="F25" s="35" t="inlineStr">
        <is>
          <t>Vượt 3% – 10%</t>
        </is>
      </c>
      <c r="G25" s="35" t="inlineStr">
        <is>
          <t>Vượt &gt; 10%</t>
        </is>
      </c>
    </row>
    <row r="26" ht="38" customHeight="1">
      <c r="B26" s="38" t="inlineStr">
        <is>
          <t>Hao hụt vật tư so với định mức</t>
        </is>
      </c>
      <c r="C26" s="35" t="inlineStr">
        <is>
          <t>Thấp hơn định mức ≥ 20%</t>
        </is>
      </c>
      <c r="D26" s="35" t="inlineStr">
        <is>
          <t>Trong định mức</t>
        </is>
      </c>
      <c r="E26" s="35" t="inlineStr">
        <is>
          <t>Vượt ≤ 5% định mức</t>
        </is>
      </c>
      <c r="F26" s="35" t="inlineStr">
        <is>
          <t>Vượt 5% – 15%</t>
        </is>
      </c>
      <c r="G26" s="35" t="inlineStr">
        <is>
          <t>Vượt &gt; 15% hoặc mất mát</t>
        </is>
      </c>
    </row>
    <row r="27" ht="38" customHeight="1">
      <c r="B27" s="38" t="inlineStr">
        <is>
          <t>Hồ sơ thanh toán, hoàn công</t>
        </is>
      </c>
      <c r="C27" s="35" t="inlineStr">
        <is>
          <t>Trước hạn, được duyệt ngay</t>
        </is>
      </c>
      <c r="D27" s="35" t="inlineStr">
        <is>
          <t>Đúng hạn</t>
        </is>
      </c>
      <c r="E27" s="35" t="inlineStr">
        <is>
          <t>Trễ ≤ 3 ngày</t>
        </is>
      </c>
      <c r="F27" s="35" t="inlineStr">
        <is>
          <t>Trễ 3 – 10 ngày</t>
        </is>
      </c>
      <c r="G27" s="35" t="inlineStr">
        <is>
          <t>Trễ &gt; 10 ngày, ảnh hưởng dòng tiền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4" t="n"/>
      <c r="E30" s="74" t="n"/>
      <c r="F30" s="74" t="n"/>
      <c r="G30" s="73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4" t="n"/>
      <c r="E31" s="74" t="n"/>
      <c r="F31" s="74" t="n"/>
      <c r="G31" s="73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4" t="n"/>
      <c r="E32" s="74" t="n"/>
      <c r="F32" s="74" t="n"/>
      <c r="G32" s="73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4" t="n"/>
      <c r="E33" s="74" t="n"/>
      <c r="F33" s="74" t="n"/>
      <c r="G33" s="73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4" t="n"/>
      <c r="E34" s="74" t="n"/>
      <c r="F34" s="74" t="n"/>
      <c r="G34" s="73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4" t="n"/>
      <c r="E35" s="74" t="n"/>
      <c r="F35" s="74" t="n"/>
      <c r="G35" s="73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4" t="n"/>
      <c r="E38" s="74" t="n"/>
      <c r="F38" s="74" t="n"/>
      <c r="G38" s="73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4" t="n"/>
      <c r="E39" s="74" t="n"/>
      <c r="F39" s="74" t="n"/>
      <c r="G39" s="73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4" t="n"/>
      <c r="E40" s="74" t="n"/>
      <c r="F40" s="74" t="n"/>
      <c r="G40" s="73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4" t="n"/>
      <c r="E41" s="74" t="n"/>
      <c r="F41" s="74" t="n"/>
      <c r="G41" s="73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4" t="n"/>
      <c r="E42" s="74" t="n"/>
      <c r="F42" s="74" t="n"/>
      <c r="G42" s="73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4" t="n"/>
      <c r="E43" s="74" t="n"/>
      <c r="F43" s="74" t="n"/>
      <c r="G43" s="73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GIÁM ĐỐC DỰ ÁN (PROJECT MANAGER)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Tiến độ dự án</t>
        </is>
      </c>
      <c r="D10" s="45" t="inlineStr">
        <is>
          <t>Các mốc tiến độ tổng đạt đúng kế hoạch đã duyệt; chỉ số tiến độ (SPI) ≥ 0,95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Kiểm soát chi phí dự án</t>
        </is>
      </c>
      <c r="D11" s="45" t="inlineStr">
        <is>
          <t>Chi phí thực tế so với ngân sách, dự toán được duyệt; lợi nhuận gộp dự án đạt kế hoạch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Chất lượng công trình</t>
        </is>
      </c>
      <c r="D12" s="45" t="inlineStr">
        <is>
          <t>Tỷ lệ hạng mục nghiệm thu đạt ngay lần đầu; không có hạng mục phải phá dỡ làm lại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Giá trị nghiệm thu, thanh toán</t>
        </is>
      </c>
      <c r="D13" s="45" t="inlineStr">
        <is>
          <t>Giá trị khối lượng được chủ đầu tư nghiệm thu, xuất hóa đơn so với kế hoạch dòng tiền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 lao động công trường</t>
        </is>
      </c>
      <c r="D14" s="45" t="inlineStr">
        <is>
          <t>0 tai nạn lao động nghiêm trọng; lỗi an toàn được khắc phục đúng hạn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Quản lý hợp đồng &amp; phát sinh</t>
        </is>
      </c>
      <c r="D15" s="45" t="inlineStr">
        <is>
          <t>Phát sinh, thay đổi thiết kế có văn bản xác nhận của chủ đầu tư trước khi thi công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Báo cáo dự án đúng hạn</t>
        </is>
      </c>
      <c r="D16" s="45" t="inlineStr">
        <is>
          <t>Báo cáo tuần, tháng gửi Ban Giám đốc và chủ đầu tư đúng hạn, số liệu khớp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Hồ sơ pháp lý, chất lượng, hoàn công</t>
        </is>
      </c>
      <c r="D17" s="45" t="inlineStr">
        <is>
          <t>Hồ sơ quản lý chất lượng, nhật ký, hoàn công cập nhật theo tiến độ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Quan hệ chủ đầu tư, tư vấn giám sát</t>
        </is>
      </c>
      <c r="D18" s="45" t="inlineStr">
        <is>
          <t>Phản hồi, đánh giá của chủ đầu tư; số khiếu nại chính thức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Điều phối nhà thầu phụ, các bộ phận</t>
        </is>
      </c>
      <c r="D19" s="45" t="inlineStr">
        <is>
          <t>Vướng mắc, chồng chéo được xử lý trong 48 giờ; giao ban đầy đủ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Phát triển đội ngũ dự án</t>
        </is>
      </c>
      <c r="D20" s="45" t="inlineStr">
        <is>
          <t>Điểm KPI bình quân ban dự án; số nhân sự được đào tạo, kèm cặp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CHỈ HUY TRƯỞNG CÔNG TRƯỜNG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Tiến độ thi công tuần, tháng</t>
        </is>
      </c>
      <c r="D10" s="45" t="inlineStr">
        <is>
          <t>Khối lượng hoàn thành so với kế hoạch tuần, tháng ≥ 95%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Tổ chức nhân lực, máy, mặt bằng</t>
        </is>
      </c>
      <c r="D11" s="45" t="inlineStr">
        <is>
          <t>Năng suất tổ đội; thời gian máy chờ việc; bố trí mặt bằng hợp lý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Chất lượng thi công</t>
        </is>
      </c>
      <c r="D12" s="45" t="inlineStr">
        <is>
          <t>Hạng mục đạt nghiệm thu nội bộ và nghiệm thu với tư vấn giám sát ngay lần đầu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Kiểm soát vật tư công trường</t>
        </is>
      </c>
      <c r="D13" s="45" t="inlineStr">
        <is>
          <t>Hao hụt vật tư chính (thép, bê tông, xi măng) trong định mức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toàn, vệ sinh lao động</t>
        </is>
      </c>
      <c r="D14" s="45" t="inlineStr">
        <is>
          <t>0 tai nạn; 100% công nhân được huấn luyện, có bảo hộ; biên bản an toàn khắc phục đúng hạn</t>
        </is>
      </c>
      <c r="E14" s="46" t="n">
        <v>0.12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Nhật ký thi công &amp; biên bản</t>
        </is>
      </c>
      <c r="D15" s="45" t="inlineStr">
        <is>
          <t>Nhật ký ghi hằng ngày; biên bản nghiệm thu công việc ký đúng thời điểm</t>
        </is>
      </c>
      <c r="E15" s="46" t="n">
        <v>0.08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Tuân thủ biện pháp, bản vẽ</t>
        </is>
      </c>
      <c r="D16" s="45" t="inlineStr">
        <is>
          <t>Thi công đúng biện pháp, bản vẽ được duyệt; không thi công khi chưa có bản vẽ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Môi trường, an ninh công trường</t>
        </is>
      </c>
      <c r="D17" s="45" t="inlineStr">
        <is>
          <t>Không bị nhắc nhở, xử phạt về bụi, tiếng ồn, chất thải, trật tự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tư vấn giám sát, chủ đầu tư</t>
        </is>
      </c>
      <c r="D18" s="45" t="inlineStr">
        <is>
          <t>Yêu cầu nghiệm thu gửi đúng hạn; phản hồi của tư vấn giám sát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Quản lý nhà thầu phụ, tổ đội</t>
        </is>
      </c>
      <c r="D19" s="45" t="inlineStr">
        <is>
          <t>Nhà thầu phụ tuân thủ tiến độ, an toàn; vướng mắc được xử lý kịp thời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Có mặt công trường theo yêu cầu; xử lý sự cố ngoài giờ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GIÁM SÁT HIỆN TRƯỜNG (SITE ENGINEER)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Khối lượng hạng mục phụ trách</t>
        </is>
      </c>
      <c r="D10" s="45" t="inlineStr">
        <is>
          <t>Khối lượng hạng mục được giao đạt kế hoạch tuần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Kiểm tra kỹ thuật trước nghiệm thu</t>
        </is>
      </c>
      <c r="D11" s="45" t="inlineStr">
        <is>
          <t>Kiểm tra nội bộ đủ trước khi mời tư vấn giám sát; tỷ lệ đạt lần đầu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Bóc tách khối lượng hằng ngày</t>
        </is>
      </c>
      <c r="D12" s="45" t="inlineStr">
        <is>
          <t>Khối lượng thực hiện, nhân công, vật tư báo cáo hằng ngày chính xác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Xử lý kỹ thuật hiện trường</t>
        </is>
      </c>
      <c r="D13" s="45" t="inlineStr">
        <is>
          <t>Vướng mắc kỹ thuật được báo cáo, đề xuất hướng xử lý trong 24 giờ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 khu vực phụ trách</t>
        </is>
      </c>
      <c r="D14" s="45" t="inlineStr">
        <is>
          <t>Không có vi phạm an toàn nghiêm trọng tại khu vực phụ trách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Biên bản nghiệm thu công việc</t>
        </is>
      </c>
      <c r="D15" s="45" t="inlineStr">
        <is>
          <t>Biên bản lập đúng thời điểm, đủ chữ ký các bên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Thi công đúng bản vẽ</t>
        </is>
      </c>
      <c r="D16" s="45" t="inlineStr">
        <is>
          <t>Không có sai lệch so với bản vẽ được duyệt phải sửa chữa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ngày, tuần đúng hạn</t>
        </is>
      </c>
      <c r="D17" s="45" t="inlineStr">
        <is>
          <t>Báo cáo gửi Chỉ huy trưởng đúng giờ quy định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tổ đội, nhà thầu phụ</t>
        </is>
      </c>
      <c r="D18" s="45" t="inlineStr">
        <is>
          <t>Hướng dẫn kỹ thuật rõ ràng; không phát sinh xung đột kéo dài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cải tiến</t>
        </is>
      </c>
      <c r="D19" s="45" t="inlineStr">
        <is>
          <t>Số đề xuất cải tiến biện pháp, tiết kiệm vật tư được áp dụng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Kỷ luật, thái độ</t>
        </is>
      </c>
      <c r="D20" s="45" t="inlineStr">
        <is>
          <t>Chấp hành giờ giấc, nội quy công trường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QUẢN LÝ CHẤT LƯỢNG (QA/QC)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Kế hoạch kiểm soát chất lượng</t>
        </is>
      </c>
      <c r="D10" s="45" t="inlineStr">
        <is>
          <t>Kế hoạch kiểm tra, thí nghiệm (ITP) lập đủ cho các hạng mục trước khi thi công</t>
        </is>
      </c>
      <c r="E10" s="46" t="n">
        <v>0.1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Kiểm tra vật liệu đầu vào</t>
        </is>
      </c>
      <c r="D11" s="45" t="inlineStr">
        <is>
          <t>100% vật liệu chính có chứng chỉ xuất xưởng, kết quả thí nghiệm đạt trước khi sử dụng</t>
        </is>
      </c>
      <c r="E11" s="46" t="n">
        <v>0.12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Tỷ lệ nghiệm thu đạt lần đầu</t>
        </is>
      </c>
      <c r="D12" s="45" t="inlineStr">
        <is>
          <t>Tỷ lệ hạng mục nghiệm thu đạt ngay lần đầu ≥ 95%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Xử lý sản phẩm không phù hợp</t>
        </is>
      </c>
      <c r="D13" s="45" t="inlineStr">
        <is>
          <t>Phiếu không phù hợp (NCR) được đóng đúng hạn; lỗi không lặp lại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Hồ sơ quản lý chất lượng</t>
        </is>
      </c>
      <c r="D14" s="45" t="inlineStr">
        <is>
          <t>Hồ sơ chất lượng, kết quả thí nghiệm lưu đủ, đúng trình tự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tiêu chuẩn, chỉ dẫn kỹ thuật</t>
        </is>
      </c>
      <c r="D15" s="45" t="inlineStr">
        <is>
          <t>Áp dụng đúng TCVN, QCVN và chỉ dẫn kỹ thuật của dự án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Lấy mẫu thí nghiệm đúng tần suất</t>
        </is>
      </c>
      <c r="D16" s="45" t="inlineStr">
        <is>
          <t>Mẫu bê tông, thép, vật liệu lấy đủ theo tiêu chuẩn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chất lượng định kỳ</t>
        </is>
      </c>
      <c r="D17" s="45" t="inlineStr">
        <is>
          <t>Báo cáo chất lượng tuần, tháng đúng hạn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tư vấn giám sát, phòng thí nghiệm</t>
        </is>
      </c>
      <c r="D18" s="45" t="inlineStr">
        <is>
          <t>Lịch nghiệm thu, thí nghiệm thống nhất, không làm chậm tiến độ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Phổ biến chất lượng cho đội thi công</t>
        </is>
      </c>
      <c r="D19" s="45" t="inlineStr">
        <is>
          <t>Số buổi phổ biến tiêu chuẩn, lỗi thường gặp cho tổ đội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Khách quan, trung thực</t>
        </is>
      </c>
      <c r="D20" s="45" t="inlineStr">
        <is>
          <t>Không bỏ qua lỗi; báo cáo đúng hiện trạng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CÁN BỘ AN TOÀN, VỆ SINH LAO ĐỘNG (HSE)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Tai nạn, sự cố</t>
        </is>
      </c>
      <c r="D10" s="45" t="inlineStr">
        <is>
          <t>0 tai nạn lao động; 0 sự cố gây thiệt hại tài sản lớn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Kiểm tra an toàn hằng ngày</t>
        </is>
      </c>
      <c r="D11" s="45" t="inlineStr">
        <is>
          <t>Checklist an toàn hằng ngày đầy đủ; lỗi phát hiện được khắc phục trong hạn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Huấn luyện an toàn</t>
        </is>
      </c>
      <c r="D12" s="45" t="inlineStr">
        <is>
          <t>100% người lao động được huấn luyện, có thẻ an toàn trước khi vào công trường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Kiểm định thiết bị yêu cầu nghiêm ngặt</t>
        </is>
      </c>
      <c r="D13" s="45" t="inlineStr">
        <is>
          <t>Cần trục, vận thăng, giàn giáo… có kiểm định còn hạn trước khi sử dụng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Hồ sơ an toàn</t>
        </is>
      </c>
      <c r="D14" s="45" t="inlineStr">
        <is>
          <t>Kế hoạch ATVSLĐ, biện pháp an toàn, sổ theo dõi, biên bản đầy đủ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Phương tiện bảo vệ cá nhân</t>
        </is>
      </c>
      <c r="D15" s="45" t="inlineStr">
        <is>
          <t>Tỷ lệ công nhân dùng đủ bảo hộ khi kiểm tra đột xuất ≥ 98%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PCCC, sơ cứu, môi trường</t>
        </is>
      </c>
      <c r="D16" s="45" t="inlineStr">
        <is>
          <t>Phương án PCCC, tủ thuốc, diễn tập theo kế hoạch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an toàn</t>
        </is>
      </c>
      <c r="D17" s="45" t="inlineStr">
        <is>
          <t>Báo cáo tuần, tháng đúng hạn; báo cáo sự cố ngay khi xảy ra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chỉ huy trưởng, nhà thầu phụ</t>
        </is>
      </c>
      <c r="D18" s="45" t="inlineStr">
        <is>
          <t>Yêu cầu dừng, khắc phục được thực hiện đầy đủ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Văn hóa an toàn</t>
        </is>
      </c>
      <c r="D19" s="45" t="inlineStr">
        <is>
          <t>Họp an toàn đầu ca; khen thưởng, nhắc nhở kịp thời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Chủ động phòng ngừa</t>
        </is>
      </c>
      <c r="D20" s="45" t="inlineStr">
        <is>
          <t>Nhận diện rủi ro trước khi thi công hạng mục mới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DỰ TOÁN – ĐẤU THẦU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Hồ sơ dự thầu đúng hạn</t>
        </is>
      </c>
      <c r="D10" s="45" t="inlineStr">
        <is>
          <t>100% hồ sơ dự thầu nộp đúng hạn, đủ thành phần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Độ chính xác dự toán</t>
        </is>
      </c>
      <c r="D11" s="45" t="inlineStr">
        <is>
          <t>Chênh lệch dự toán dự thầu với chi phí thực tế hạng mục ≤ [5]%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Tỷ lệ trúng thầu</t>
        </is>
      </c>
      <c r="D12" s="45" t="inlineStr">
        <is>
          <t>Số gói trúng thầu / số gói tham dự; giá trị trúng thầu so với kế hoạch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Bóc tách khối lượng</t>
        </is>
      </c>
      <c r="D13" s="45" t="inlineStr">
        <is>
          <t>Sai số khối lượng bóc tách khi đối chiếu ≤ [3]%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hồ sơ mời thầu</t>
        </is>
      </c>
      <c r="D14" s="45" t="inlineStr">
        <is>
          <t>Không bị loại vì sai sót hành chính, pháp lý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Bảo mật thông tin dự thầu</t>
        </is>
      </c>
      <c r="D15" s="45" t="inlineStr">
        <is>
          <t>Không để lộ giá dự thầu; tuân thủ quy định đấu thầu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Cập nhật đơn giá, định mức</t>
        </is>
      </c>
      <c r="D16" s="45" t="inlineStr">
        <is>
          <t>Thư viện đơn giá vật tư, nhân công, máy cập nhật hằng quý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Lưu hồ sơ dự thầu</t>
        </is>
      </c>
      <c r="D17" s="45" t="inlineStr">
        <is>
          <t>Hồ sơ lưu đầy đủ, tra cứu được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kỹ thuật, mua hàng</t>
        </is>
      </c>
      <c r="D18" s="45" t="inlineStr">
        <is>
          <t>Báo giá vật tư, biện pháp thi công được phối hợp kịp thời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Phân tích sau đấu thầu</t>
        </is>
      </c>
      <c r="D19" s="45" t="inlineStr">
        <is>
          <t>Báo cáo nguyên nhân trượt, trúng thầu và bài học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Chủ động, trách nhiệm</t>
        </is>
      </c>
      <c r="D20" s="45" t="inlineStr">
        <is>
          <t>Đáp ứng thời hạn nộp thầu gấp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THANH TOÁN – QUYẾT TOÁN, HỒ SƠ HOÀN CÔNG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Hồ sơ thanh toán giai đoạn</t>
        </is>
      </c>
      <c r="D10" s="45" t="inlineStr">
        <is>
          <t>Hồ sơ thanh toán với chủ đầu tư lập trong [05] ngày sau nghiệm thu giai đoạn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Giá trị được phê duyệt</t>
        </is>
      </c>
      <c r="D11" s="45" t="inlineStr">
        <is>
          <t>Giá trị chủ đầu tư phê duyệt / giá trị đề nghị ≥ [95]%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Hồ sơ quyết toán công trình</t>
        </is>
      </c>
      <c r="D12" s="45" t="inlineStr">
        <is>
          <t>Hồ sơ quyết toán hoàn thành đúng hạn hợp đồng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Thanh toán thầu phụ đúng khối lượng</t>
        </is>
      </c>
      <c r="D13" s="45" t="inlineStr">
        <is>
          <t>Khối lượng thanh toán thầu phụ khớp nghiệm thu thực tế; không thanh toán vượt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Hồ sơ hoàn công</t>
        </is>
      </c>
      <c r="D14" s="45" t="inlineStr">
        <is>
          <t>Bản vẽ hoàn công, hồ sơ nghiệm thu đầy đủ theo quy định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Phát sinh có căn cứ</t>
        </is>
      </c>
      <c r="D15" s="45" t="inlineStr">
        <is>
          <t>Khối lượng phát sinh có văn bản xác nhận, phụ lục hợp đồng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Đối chiếu công nợ dự án</t>
        </is>
      </c>
      <c r="D16" s="45" t="inlineStr">
        <is>
          <t>Đối chiếu công nợ với chủ đầu tư, thầu phụ hằng quý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Bảo lãnh, tiền giữ lại</t>
        </is>
      </c>
      <c r="D17" s="45" t="inlineStr">
        <is>
          <t>Theo dõi bảo lãnh thực hiện, bảo hành, tiền giữ lại; không để quá hạn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kế toán</t>
        </is>
      </c>
      <c r="D18" s="45" t="inlineStr">
        <is>
          <t>Doanh thu, giá vốn công trình khớp số liệu kế toán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Phối hợp ban chỉ huy công trường</t>
        </is>
      </c>
      <c r="D19" s="45" t="inlineStr">
        <is>
          <t>Thu thập biên bản, nhật ký kịp thời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Đôn đốc thu hồi công nợ</t>
        </is>
      </c>
      <c r="D20" s="45" t="inlineStr">
        <is>
          <t>Chủ đầu tư thanh toán đúng hạn hợp đồng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KỸ THUẬT – BẢN VẼ THI CÔNG (SHOP DRAWING)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Bản vẽ thi công đúng hạn</t>
        </is>
      </c>
      <c r="D10" s="45" t="inlineStr">
        <is>
          <t>Bản vẽ thi công nộp trước thời điểm thi công theo kế hoạch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Bản vẽ được duyệt lần đầu</t>
        </is>
      </c>
      <c r="D11" s="45" t="inlineStr">
        <is>
          <t>Tỷ lệ bản vẽ được tư vấn giám sát, chủ đầu tư duyệt ngay lần đầu ≥ [80]%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Phối hợp kết cấu – kiến trúc – MEP</t>
        </is>
      </c>
      <c r="D12" s="45" t="inlineStr">
        <is>
          <t>Xung đột phát hiện trước thi công; không phá dỡ do va chạm thiết kế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Biện pháp thi công</t>
        </is>
      </c>
      <c r="D13" s="45" t="inlineStr">
        <is>
          <t>Biện pháp thi công hạng mục chính lập, duyệt trước khi triển khai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Quản lý phiên bản bản vẽ</t>
        </is>
      </c>
      <c r="D14" s="45" t="inlineStr">
        <is>
          <t>Công trường dùng đúng phiên bản mới nhất; danh mục bản vẽ cập nhật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Tuân thủ tiêu chuẩn thiết kế</t>
        </is>
      </c>
      <c r="D15" s="45" t="inlineStr">
        <is>
          <t>Không có lỗi kỹ thuật bị tư vấn giám sát bác bỏ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Trả lời yêu cầu làm rõ (RFI)</t>
        </is>
      </c>
      <c r="D16" s="45" t="inlineStr">
        <is>
          <t>Yêu cầu làm rõ được trả lời trong [03] ngày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Lưu trữ hồ sơ kỹ thuật</t>
        </is>
      </c>
      <c r="D17" s="45" t="inlineStr">
        <is>
          <t>Hồ sơ thiết kế, thay đổi thiết kế lưu đủ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Hỗ trợ công trường</t>
        </is>
      </c>
      <c r="D18" s="45" t="inlineStr">
        <is>
          <t>Giải đáp kỹ thuật cho kỹ sư hiện trường kịp thời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Ứng dụng công nghệ (BIM, phần mềm)</t>
        </is>
      </c>
      <c r="D19" s="45" t="inlineStr">
        <is>
          <t>Mức độ ứng dụng; mô hình, dữ liệu cập nhật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học hỏi</t>
        </is>
      </c>
      <c r="D20" s="45" t="inlineStr">
        <is>
          <t>Cập nhật tiêu chuẩn, phần mềm mới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KỸ SƯ CƠ ĐIỆN (MEP)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Tiến độ thi công MEP</t>
        </is>
      </c>
      <c r="D10" s="45" t="inlineStr">
        <is>
          <t>Khối lượng điện, nước, điều hòa, PCCC đạt kế hoạch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lắp đặt</t>
        </is>
      </c>
      <c r="D11" s="45" t="inlineStr">
        <is>
          <t>Hệ thống đạt thử áp, đo cách điện, chạy thử ngay lần đầu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Phối hợp không gian</t>
        </is>
      </c>
      <c r="D12" s="45" t="inlineStr">
        <is>
          <t>Không đục phá do lắp đặt sai vị trí so với kết cấu, hoàn thiện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Kiểm soát vật tư MEP</t>
        </is>
      </c>
      <c r="D13" s="45" t="inlineStr">
        <is>
          <t>Vật tư đúng chủng loại được duyệt; hao hụt trong định mức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An toàn điện, làm việc trên cao</t>
        </is>
      </c>
      <c r="D14" s="45" t="inlineStr">
        <is>
          <t>Không vi phạm an toàn điện, an toàn làm việc trên cao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Hồ sơ thử nghiệm, nghiệm thu</t>
        </is>
      </c>
      <c r="D15" s="45" t="inlineStr">
        <is>
          <t>Biên bản thử nghiệm, chạy thử, nghiệm thu đầy đủ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Hồ sơ nghiệm thu PCCC</t>
        </is>
      </c>
      <c r="D16" s="45" t="inlineStr">
        <is>
          <t>Hồ sơ phục vụ nghiệm thu PCCC chuẩn bị đúng hạn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đúng hạn</t>
        </is>
      </c>
      <c r="D17" s="45" t="inlineStr">
        <is>
          <t>Báo cáo tiến độ MEP hằng tuần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thầu phụ MEP, nhà cung cấp</t>
        </is>
      </c>
      <c r="D18" s="45" t="inlineStr">
        <is>
          <t>Thầu phụ đáp ứng tiến độ; vướng mắc xử lý kịp thời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Bàn giao vận hành</t>
        </is>
      </c>
      <c r="D19" s="45" t="inlineStr">
        <is>
          <t>Đào tạo, bàn giao tài liệu vận hành cho chủ đầu tư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Trách nhiệm bảo hành</t>
        </is>
      </c>
      <c r="D20" s="45" t="inlineStr">
        <is>
          <t>Xử lý sự cố trong thời gian bảo hành đúng cam kết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CÁN BỘ TRẮC ĐẠC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Độ chính xác định vị</t>
        </is>
      </c>
      <c r="D10" s="45" t="inlineStr">
        <is>
          <t>Sai số định vị trục, cao độ trong dung sai; không phải sửa do sai trắc đạc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Đáp ứng yêu cầu đo đạc</t>
        </is>
      </c>
      <c r="D11" s="45" t="inlineStr">
        <is>
          <t>Yêu cầu đo của công trường được đáp ứng trong [04] giờ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Quan trắc lún, nghiêng</t>
        </is>
      </c>
      <c r="D12" s="45" t="inlineStr">
        <is>
          <t>Đủ chu kỳ theo đề cương; bất thường được báo ngay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Đo khối lượng, hoàn công</t>
        </is>
      </c>
      <c r="D13" s="45" t="inlineStr">
        <is>
          <t>Số liệu đào đắp, hoàn công chính xác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Hồ sơ trắc đạc</t>
        </is>
      </c>
      <c r="D14" s="45" t="inlineStr">
        <is>
          <t>Sổ đo, biên bản bàn giao mốc, kết quả quan trắc lưu đủ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Kiểm định máy đo</t>
        </is>
      </c>
      <c r="D15" s="45" t="inlineStr">
        <is>
          <t>Máy toàn đạc, thủy bình kiểm định, hiệu chuẩn còn hạn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Bảo vệ hệ mốc</t>
        </is>
      </c>
      <c r="D16" s="45" t="inlineStr">
        <is>
          <t>Hệ mốc chuẩn được bảo vệ, kiểm tra định kỳ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đúng hạn</t>
        </is>
      </c>
      <c r="D17" s="45" t="inlineStr">
        <is>
          <t>Kết quả đo gửi bộ phận kỹ thuật trong ngày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kỹ sư hiện trường</t>
        </is>
      </c>
      <c r="D18" s="45" t="inlineStr">
        <is>
          <t>Lịch đo bám kế hoạch thi công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Bảo quản thiết bị</t>
        </is>
      </c>
      <c r="D19" s="45" t="inlineStr">
        <is>
          <t>Không hư hỏng thiết bị do lỗi sử dụng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Tinh thần trách nhiệm</t>
        </is>
      </c>
      <c r="D20" s="45" t="inlineStr">
        <is>
          <t>Sẵn sàng làm ngoài giờ khi đổ bê tông, lắp dựng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CÁN BỘ VẬT TƯ – THỦ KHO CÔNG TRƯỜNG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Cung ứng vật tư đúng tiến độ</t>
        </is>
      </c>
      <c r="D10" s="45" t="inlineStr">
        <is>
          <t>Vật tư có mặt trước thời điểm thi công; công trường không chờ vật tư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Nhập – xuất – tồn chính xác</t>
        </is>
      </c>
      <c r="D11" s="45" t="inlineStr">
        <is>
          <t>Chênh lệch kiểm kê kho công trường ≤ [0,5]% giá trị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Kiểm tra vật tư nhập</t>
        </is>
      </c>
      <c r="D12" s="45" t="inlineStr">
        <is>
          <t>Đúng chủng loại, có chứng chỉ, có biên bản giao nhận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Hao hụt vật tư</t>
        </is>
      </c>
      <c r="D13" s="45" t="inlineStr">
        <is>
          <t>Hao hụt vật tư chính trong định mức; đối chiếu xuất – định mức – thực tế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Chứng từ nhập, xuất</t>
        </is>
      </c>
      <c r="D14" s="45" t="inlineStr">
        <is>
          <t>Phiếu nhập, xuất, biên bản giao nhận đủ chữ ký, gửi kế toán đúng hạn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Bảo quản vật tư</t>
        </is>
      </c>
      <c r="D15" s="45" t="inlineStr">
        <is>
          <t>Không hư hỏng, mất mát do bảo quản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Kiểm kê định kỳ</t>
        </is>
      </c>
      <c r="D16" s="45" t="inlineStr">
        <is>
          <t>Kiểm kê tháng, đối chiếu với kế toán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Theo dõi máy, CCDC công trường</t>
        </is>
      </c>
      <c r="D17" s="45" t="inlineStr">
        <is>
          <t>Sổ theo dõi máy, CCDC; bàn giao, thu hồi khi kết thúc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mua hàng, kỹ thuật</t>
        </is>
      </c>
      <c r="D18" s="45" t="inlineStr">
        <is>
          <t>Kế hoạch vật tư tuần được thống nhất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Quản lý giao hàng của nhà cung cấp</t>
        </is>
      </c>
      <c r="D19" s="45" t="inlineStr">
        <is>
          <t>Giao hàng đúng hẹn; phản hồi sai lệch kịp thời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Trung thực, trách nhiệm</t>
        </is>
      </c>
      <c r="D20" s="45" t="inlineStr">
        <is>
          <t>Không nhận quà, hoa hồng trái Quy tắc ứng xử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KẾ TOÁN CÔNG TRÌNH</t>
        </is>
      </c>
    </row>
    <row r="2">
      <c r="A2" s="3" t="inlineStr">
        <is>
          <t xml:space="preserve">Công ty xây dựng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3" t="n"/>
      <c r="E4" s="5" t="inlineStr">
        <is>
          <t>Loại kỳ đánh giá</t>
        </is>
      </c>
      <c r="F4" s="73" t="n"/>
      <c r="G4" s="40" t="inlineStr">
        <is>
          <t>Quý</t>
        </is>
      </c>
      <c r="H4" s="73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3" t="n"/>
      <c r="E5" s="5" t="inlineStr">
        <is>
          <t>Kỳ đánh giá</t>
        </is>
      </c>
      <c r="F5" s="73" t="n"/>
      <c r="G5" s="40" t="n"/>
      <c r="H5" s="73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3" t="n"/>
      <c r="E6" s="5" t="inlineStr">
        <is>
          <t>Ngày đánh giá</t>
        </is>
      </c>
      <c r="F6" s="73" t="n"/>
      <c r="G6" s="75" t="n"/>
      <c r="H6" s="73" t="n"/>
    </row>
    <row r="7">
      <c r="B7" s="5" t="inlineStr">
        <is>
          <t>Bộ phận</t>
        </is>
      </c>
      <c r="C7" s="7" t="inlineStr">
        <is>
          <t>[Ban dự án / Công trường / Phòng ...]</t>
        </is>
      </c>
      <c r="D7" s="73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Tập hợp chi phí theo công trình</t>
        </is>
      </c>
      <c r="D10" s="45" t="inlineStr">
        <is>
          <t>Chi phí vật liệu, nhân công, máy, chi phí chung tập hợp đúng mã công trình</t>
        </is>
      </c>
      <c r="E10" s="46" t="n">
        <v>0.12</v>
      </c>
      <c r="F10" s="76" t="n"/>
      <c r="G10" s="76" t="n"/>
      <c r="H10" s="72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So sánh chi phí – dự toán</t>
        </is>
      </c>
      <c r="D11" s="45" t="inlineStr">
        <is>
          <t>Báo cáo chi phí thực tế so với dự toán hằng tháng</t>
        </is>
      </c>
      <c r="E11" s="46" t="n">
        <v>0.1</v>
      </c>
      <c r="F11" s="76" t="n"/>
      <c r="G11" s="76" t="n"/>
      <c r="H11" s="72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Chứng từ hợp lệ</t>
        </is>
      </c>
      <c r="D12" s="45" t="inlineStr">
        <is>
          <t>Tỷ lệ chứng từ bị trả lại do thiếu, sai ≤ [3]%</t>
        </is>
      </c>
      <c r="E12" s="46" t="n">
        <v>0.1</v>
      </c>
      <c r="F12" s="76" t="n"/>
      <c r="G12" s="76" t="n"/>
      <c r="H12" s="72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Quản lý tạm ứng công trường</t>
        </is>
      </c>
      <c r="D13" s="45" t="inlineStr">
        <is>
          <t>Tạm ứng hoàn ứng đúng hạn; không tồn tạm ứng quá hạn</t>
        </is>
      </c>
      <c r="E13" s="46" t="n">
        <v>0.08</v>
      </c>
      <c r="F13" s="76" t="n"/>
      <c r="G13" s="76" t="n"/>
      <c r="H13" s="72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Chi phí nhân công thuê ngoài, tổ đội</t>
        </is>
      </c>
      <c r="D14" s="45" t="inlineStr">
        <is>
          <t>Hợp đồng giao khoán, bảng chấm công, khấu trừ thuế TNCN đầy đủ</t>
        </is>
      </c>
      <c r="E14" s="46" t="n">
        <v>0.1</v>
      </c>
      <c r="F14" s="76" t="n"/>
      <c r="G14" s="76" t="n"/>
      <c r="H14" s="72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Thanh toán không dùng tiền mặt</t>
        </is>
      </c>
      <c r="D15" s="45" t="inlineStr">
        <is>
          <t>Khoản chi từ 5 triệu đồng thanh toán qua ngân hàng</t>
        </is>
      </c>
      <c r="E15" s="46" t="n">
        <v>0.1</v>
      </c>
      <c r="F15" s="76" t="n"/>
      <c r="G15" s="76" t="n"/>
      <c r="H15" s="72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Báo cáo đúng hạn</t>
        </is>
      </c>
      <c r="D16" s="45" t="inlineStr">
        <is>
          <t>Báo cáo chi phí công trình tháng đúng hạn</t>
        </is>
      </c>
      <c r="E16" s="46" t="n">
        <v>0.08</v>
      </c>
      <c r="F16" s="76" t="n"/>
      <c r="G16" s="76" t="n"/>
      <c r="H16" s="72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Lưu hồ sơ công trình</t>
        </is>
      </c>
      <c r="D17" s="45" t="inlineStr">
        <is>
          <t>Hồ sơ chi phí lưu theo công trình, tra cứu được</t>
        </is>
      </c>
      <c r="E17" s="46" t="n">
        <v>0.07000000000000001</v>
      </c>
      <c r="F17" s="76" t="n"/>
      <c r="G17" s="76" t="n"/>
      <c r="H17" s="72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ban chỉ huy công trường</t>
        </is>
      </c>
      <c r="D18" s="45" t="inlineStr">
        <is>
          <t>Thu thập chứng từ công trường kịp thời</t>
        </is>
      </c>
      <c r="E18" s="46" t="n">
        <v>0.1</v>
      </c>
      <c r="F18" s="76" t="n"/>
      <c r="G18" s="76" t="n"/>
      <c r="H18" s="72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Phối hợp kỹ sư thanh quyết toán</t>
        </is>
      </c>
      <c r="D19" s="45" t="inlineStr">
        <is>
          <t>Doanh thu, giá vốn khớp hồ sơ nghiệm thu</t>
        </is>
      </c>
      <c r="E19" s="46" t="n">
        <v>0.08</v>
      </c>
      <c r="F19" s="76" t="n"/>
      <c r="G19" s="76" t="n"/>
      <c r="H19" s="72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Cảnh báo sớm</t>
        </is>
      </c>
      <c r="D20" s="45" t="inlineStr">
        <is>
          <t>Cảnh báo kịp thời hạng mục vượt dự toán</t>
        </is>
      </c>
      <c r="E20" s="46" t="n">
        <v>0.07000000000000001</v>
      </c>
      <c r="F20" s="76" t="n"/>
      <c r="G20" s="76" t="n"/>
      <c r="H20" s="72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4" t="n"/>
      <c r="C21" s="74" t="n"/>
      <c r="D21" s="73" t="n"/>
      <c r="E21" s="55">
        <f>SUM(E10:E20)</f>
        <v/>
      </c>
      <c r="F21" s="54" t="n"/>
      <c r="G21" s="54" t="n"/>
      <c r="H21" s="77">
        <f>SUM(H10:H20)</f>
        <v/>
      </c>
      <c r="I21" s="54" t="n"/>
    </row>
    <row r="22"/>
    <row r="23">
      <c r="A23" s="27" t="inlineStr">
        <is>
          <t>KẾT QUẢ ĐÁNH GIÁ</t>
        </is>
      </c>
      <c r="B23" s="74" t="n"/>
      <c r="C23" s="73" t="n"/>
      <c r="D23" s="27" t="inlineStr">
        <is>
          <t>ĐIỂM THEO NHÓM TIÊU CHÍ</t>
        </is>
      </c>
      <c r="E23" s="74" t="n"/>
      <c r="F23" s="74" t="n"/>
      <c r="G23" s="74" t="n"/>
      <c r="H23" s="73" t="n"/>
    </row>
    <row r="24" ht="20" customHeight="1">
      <c r="A24" s="5" t="inlineStr">
        <is>
          <t>Tổng điểm chính thức</t>
        </is>
      </c>
      <c r="B24" s="73" t="n"/>
      <c r="C24" s="78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3" t="n"/>
      <c r="C25" s="72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3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3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3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4" t="n"/>
      <c r="C30" s="74" t="n"/>
      <c r="D30" s="74" t="n"/>
      <c r="E30" s="74" t="n"/>
      <c r="F30" s="74" t="n"/>
      <c r="G30" s="74" t="n"/>
      <c r="H30" s="74" t="n"/>
      <c r="I30" s="73" t="n"/>
    </row>
    <row r="31" ht="36" customHeight="1">
      <c r="A31" s="5" t="inlineStr">
        <is>
          <t>Điểm mạnh</t>
        </is>
      </c>
      <c r="B31" s="73" t="n"/>
      <c r="C31" s="66" t="n"/>
      <c r="D31" s="74" t="n"/>
      <c r="E31" s="74" t="n"/>
      <c r="F31" s="74" t="n"/>
      <c r="G31" s="74" t="n"/>
      <c r="H31" s="74" t="n"/>
      <c r="I31" s="73" t="n"/>
    </row>
    <row r="32" ht="36" customHeight="1">
      <c r="A32" s="5" t="inlineStr">
        <is>
          <t>Cần cải thiện</t>
        </is>
      </c>
      <c r="B32" s="73" t="n"/>
      <c r="C32" s="66" t="n"/>
      <c r="D32" s="74" t="n"/>
      <c r="E32" s="74" t="n"/>
      <c r="F32" s="74" t="n"/>
      <c r="G32" s="74" t="n"/>
      <c r="H32" s="74" t="n"/>
      <c r="I32" s="73" t="n"/>
    </row>
    <row r="33" ht="36" customHeight="1">
      <c r="A33" s="5" t="inlineStr">
        <is>
          <t>Kế hoạch cải thiện</t>
        </is>
      </c>
      <c r="B33" s="73" t="n"/>
      <c r="C33" s="66" t="n"/>
      <c r="D33" s="74" t="n"/>
      <c r="E33" s="74" t="n"/>
      <c r="F33" s="74" t="n"/>
      <c r="G33" s="74" t="n"/>
      <c r="H33" s="74" t="n"/>
      <c r="I33" s="73" t="n"/>
    </row>
    <row r="34" ht="36" customHeight="1">
      <c r="A34" s="5" t="inlineStr">
        <is>
          <t>Ý kiến nhân sự</t>
        </is>
      </c>
      <c r="B34" s="73" t="n"/>
      <c r="C34" s="66" t="n"/>
      <c r="D34" s="74" t="n"/>
      <c r="E34" s="74" t="n"/>
      <c r="F34" s="74" t="n"/>
      <c r="G34" s="74" t="n"/>
      <c r="H34" s="74" t="n"/>
      <c r="I34" s="73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2026-10-06T10:09:39Z</dcterms:created>
  <dcterms:modified xmlns:dcterms="http://purl.org/dc/terms/" xmlns:xsi="http://www.w3.org/2001/XMLSchema-instance" xsi:type="dcterms:W3CDTF">2026-10-25T09:13:40Z</dcterms:modified>
</cp:coreProperties>
</file>