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TIKTOK\KK HOME - LEGAL\public\tai-lieu\01_NHAN_SU_VA_TIEN_LUONG\01_Ho_So_Lao_Dong_Va_Hop_Dong\"/>
    </mc:Choice>
  </mc:AlternateContent>
  <xr:revisionPtr revIDLastSave="0" documentId="13_ncr:1_{E82D2A1C-0AD9-4186-9AE3-5D7216C6E656}" xr6:coauthVersionLast="47" xr6:coauthVersionMax="47" xr10:uidLastSave="{00000000-0000-0000-0000-000000000000}"/>
  <bookViews>
    <workbookView xWindow="-110" yWindow="-110" windowWidth="29020" windowHeight="17500" tabRatio="825" activeTab="6" xr2:uid="{00000000-000D-0000-FFFF-FFFF00000000}"/>
  </bookViews>
  <sheets>
    <sheet name="GIOI_THIEU" sheetId="1" r:id="rId1"/>
    <sheet name="NHAP_LIEU" sheetId="2" r:id="rId2"/>
    <sheet name="DANH_MUC" sheetId="3" r:id="rId3"/>
    <sheet name="CONG_TY" sheetId="4" r:id="rId4"/>
    <sheet name="NHAN_SU" sheetId="5" r:id="rId5"/>
    <sheet name="PHU_LUC_DATA" sheetId="6" r:id="rId6"/>
    <sheet name="DIEU_KHIEN" sheetId="7" r:id="rId7"/>
    <sheet name="HUONG_DAN" sheetId="8" r:id="rId8"/>
    <sheet name="HOP_DONG" sheetId="9" r:id="rId9"/>
    <sheet name="PHU_LUC" sheetId="10" r:id="rId10"/>
    <sheet name="BAO_MAT_DT" sheetId="11" r:id="rId11"/>
    <sheet name="THAM_KHAO" sheetId="12" r:id="rId12"/>
  </sheets>
  <definedNames>
    <definedName name="_xlnm.Print_Area" localSheetId="10">BAO_MAT_DT!$B$1:$G$23</definedName>
    <definedName name="_xlnm.Print_Area" localSheetId="8">HOP_DONG!$B$1:$G$127</definedName>
    <definedName name="_xlnm.Print_Area" localSheetId="9">PHU_LUC!$B$1:$G$22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11" l="1"/>
  <c r="B20" i="11"/>
  <c r="B18" i="11"/>
  <c r="B17" i="11"/>
  <c r="B15" i="11"/>
  <c r="B14" i="11"/>
  <c r="B7" i="11"/>
  <c r="B5" i="11"/>
  <c r="I3" i="11"/>
  <c r="E19" i="10"/>
  <c r="B19" i="10"/>
  <c r="B18" i="10"/>
  <c r="F13" i="10"/>
  <c r="E13" i="10"/>
  <c r="B13" i="10"/>
  <c r="F12" i="10"/>
  <c r="E12" i="10"/>
  <c r="B12" i="10"/>
  <c r="F11" i="10"/>
  <c r="E11" i="10"/>
  <c r="B11" i="10"/>
  <c r="F10" i="10"/>
  <c r="B7" i="10"/>
  <c r="B6" i="10"/>
  <c r="B5" i="10"/>
  <c r="B4" i="10"/>
  <c r="I3" i="10"/>
  <c r="E124" i="9"/>
  <c r="B124" i="9"/>
  <c r="B123" i="9"/>
  <c r="B76" i="9"/>
  <c r="B70" i="9"/>
  <c r="B69" i="9"/>
  <c r="B66" i="9"/>
  <c r="B64" i="9"/>
  <c r="B63" i="9"/>
  <c r="F61" i="9"/>
  <c r="E61" i="9"/>
  <c r="B61" i="9"/>
  <c r="F60" i="9"/>
  <c r="E60" i="9"/>
  <c r="F59" i="9"/>
  <c r="E59" i="9"/>
  <c r="F58" i="9"/>
  <c r="E58" i="9"/>
  <c r="F57" i="9"/>
  <c r="E57" i="9"/>
  <c r="F56" i="9"/>
  <c r="E56" i="9"/>
  <c r="B52" i="9"/>
  <c r="B49" i="9"/>
  <c r="B47" i="9"/>
  <c r="B46" i="9"/>
  <c r="B43" i="9"/>
  <c r="B42" i="9"/>
  <c r="B41" i="9"/>
  <c r="B39" i="9"/>
  <c r="B38" i="9"/>
  <c r="B37" i="9"/>
  <c r="B34" i="9"/>
  <c r="B33" i="9"/>
  <c r="B32" i="9"/>
  <c r="B31" i="9"/>
  <c r="B30" i="9"/>
  <c r="B29" i="9"/>
  <c r="B28" i="9"/>
  <c r="B27" i="9"/>
  <c r="B24" i="9"/>
  <c r="B23" i="9"/>
  <c r="B22" i="9"/>
  <c r="B21" i="9"/>
  <c r="B20" i="9"/>
  <c r="B19" i="9"/>
  <c r="B18" i="9"/>
  <c r="B16" i="9"/>
  <c r="B5" i="9"/>
  <c r="I3" i="9"/>
  <c r="B5" i="7"/>
  <c r="B4" i="7"/>
  <c r="B3" i="7"/>
  <c r="X513" i="2"/>
  <c r="B513" i="2"/>
  <c r="X512" i="2"/>
  <c r="B512" i="2"/>
  <c r="X511" i="2"/>
  <c r="B511" i="2"/>
  <c r="X510" i="2"/>
  <c r="B510" i="2"/>
  <c r="X509" i="2"/>
  <c r="B509" i="2"/>
  <c r="X508" i="2"/>
  <c r="B508" i="2"/>
  <c r="X507" i="2"/>
  <c r="B507" i="2"/>
  <c r="X506" i="2"/>
  <c r="B506" i="2"/>
  <c r="X505" i="2"/>
  <c r="B505" i="2"/>
  <c r="X504" i="2"/>
  <c r="B504" i="2"/>
  <c r="X503" i="2"/>
  <c r="B503" i="2"/>
  <c r="X502" i="2"/>
  <c r="B502" i="2"/>
  <c r="X501" i="2"/>
  <c r="B501" i="2"/>
  <c r="X500" i="2"/>
  <c r="B500" i="2"/>
  <c r="X499" i="2"/>
  <c r="B499" i="2"/>
  <c r="X498" i="2"/>
  <c r="B498" i="2"/>
  <c r="X497" i="2"/>
  <c r="B497" i="2"/>
  <c r="X496" i="2"/>
  <c r="B496" i="2"/>
  <c r="X495" i="2"/>
  <c r="B495" i="2"/>
  <c r="X494" i="2"/>
  <c r="B494" i="2"/>
  <c r="X493" i="2"/>
  <c r="B493" i="2"/>
  <c r="X492" i="2"/>
  <c r="B492" i="2"/>
  <c r="X491" i="2"/>
  <c r="B491" i="2"/>
  <c r="X490" i="2"/>
  <c r="B490" i="2"/>
  <c r="X489" i="2"/>
  <c r="B489" i="2"/>
  <c r="X488" i="2"/>
  <c r="B488" i="2"/>
  <c r="X487" i="2"/>
  <c r="B487" i="2"/>
  <c r="X486" i="2"/>
  <c r="B486" i="2"/>
  <c r="X485" i="2"/>
  <c r="B485" i="2"/>
  <c r="X484" i="2"/>
  <c r="B484" i="2"/>
  <c r="X483" i="2"/>
  <c r="B483" i="2"/>
  <c r="X482" i="2"/>
  <c r="B482" i="2"/>
  <c r="X481" i="2"/>
  <c r="B481" i="2"/>
  <c r="X480" i="2"/>
  <c r="B480" i="2"/>
  <c r="X479" i="2"/>
  <c r="B479" i="2"/>
  <c r="X478" i="2"/>
  <c r="B478" i="2"/>
  <c r="X477" i="2"/>
  <c r="B477" i="2"/>
  <c r="X476" i="2"/>
  <c r="B476" i="2"/>
  <c r="X475" i="2"/>
  <c r="B475" i="2"/>
  <c r="X474" i="2"/>
  <c r="B474" i="2"/>
  <c r="X473" i="2"/>
  <c r="B473" i="2"/>
  <c r="X472" i="2"/>
  <c r="B472" i="2"/>
  <c r="X471" i="2"/>
  <c r="B471" i="2"/>
  <c r="X470" i="2"/>
  <c r="B470" i="2"/>
  <c r="X469" i="2"/>
  <c r="B469" i="2"/>
  <c r="X468" i="2"/>
  <c r="B468" i="2"/>
  <c r="X467" i="2"/>
  <c r="B467" i="2"/>
  <c r="X466" i="2"/>
  <c r="B466" i="2"/>
  <c r="X465" i="2"/>
  <c r="B465" i="2"/>
  <c r="X464" i="2"/>
  <c r="B464" i="2"/>
  <c r="X463" i="2"/>
  <c r="B463" i="2"/>
  <c r="X462" i="2"/>
  <c r="B462" i="2"/>
  <c r="X461" i="2"/>
  <c r="B461" i="2"/>
  <c r="X460" i="2"/>
  <c r="B460" i="2"/>
  <c r="X459" i="2"/>
  <c r="B459" i="2"/>
  <c r="X458" i="2"/>
  <c r="B458" i="2"/>
  <c r="X457" i="2"/>
  <c r="B457" i="2"/>
  <c r="X456" i="2"/>
  <c r="B456" i="2"/>
  <c r="X455" i="2"/>
  <c r="B455" i="2"/>
  <c r="X454" i="2"/>
  <c r="B454" i="2"/>
  <c r="X453" i="2"/>
  <c r="B453" i="2"/>
  <c r="X452" i="2"/>
  <c r="B452" i="2"/>
  <c r="X451" i="2"/>
  <c r="B451" i="2"/>
  <c r="X450" i="2"/>
  <c r="B450" i="2"/>
  <c r="X449" i="2"/>
  <c r="B449" i="2"/>
  <c r="X448" i="2"/>
  <c r="B448" i="2"/>
  <c r="X447" i="2"/>
  <c r="B447" i="2"/>
  <c r="X446" i="2"/>
  <c r="B446" i="2"/>
  <c r="X445" i="2"/>
  <c r="B445" i="2"/>
  <c r="X444" i="2"/>
  <c r="B444" i="2"/>
  <c r="X443" i="2"/>
  <c r="B443" i="2"/>
  <c r="X442" i="2"/>
  <c r="B442" i="2"/>
  <c r="X441" i="2"/>
  <c r="B441" i="2"/>
  <c r="X440" i="2"/>
  <c r="B440" i="2"/>
  <c r="X439" i="2"/>
  <c r="B439" i="2"/>
  <c r="X438" i="2"/>
  <c r="B438" i="2"/>
  <c r="X437" i="2"/>
  <c r="B437" i="2"/>
  <c r="X436" i="2"/>
  <c r="B436" i="2"/>
  <c r="X435" i="2"/>
  <c r="B435" i="2"/>
  <c r="X434" i="2"/>
  <c r="B434" i="2"/>
  <c r="X433" i="2"/>
  <c r="B433" i="2"/>
  <c r="X432" i="2"/>
  <c r="B432" i="2"/>
  <c r="X431" i="2"/>
  <c r="B431" i="2"/>
  <c r="X430" i="2"/>
  <c r="B430" i="2"/>
  <c r="X429" i="2"/>
  <c r="B429" i="2"/>
  <c r="X428" i="2"/>
  <c r="B428" i="2"/>
  <c r="X427" i="2"/>
  <c r="B427" i="2"/>
  <c r="X426" i="2"/>
  <c r="B426" i="2"/>
  <c r="X425" i="2"/>
  <c r="B425" i="2"/>
  <c r="X424" i="2"/>
  <c r="B424" i="2"/>
  <c r="X423" i="2"/>
  <c r="B423" i="2"/>
  <c r="X422" i="2"/>
  <c r="B422" i="2"/>
  <c r="X421" i="2"/>
  <c r="B421" i="2"/>
  <c r="X420" i="2"/>
  <c r="B420" i="2"/>
  <c r="X419" i="2"/>
  <c r="B419" i="2"/>
  <c r="X418" i="2"/>
  <c r="B418" i="2"/>
  <c r="X417" i="2"/>
  <c r="B417" i="2"/>
  <c r="X416" i="2"/>
  <c r="B416" i="2"/>
  <c r="X415" i="2"/>
  <c r="B415" i="2"/>
  <c r="X414" i="2"/>
  <c r="B414" i="2"/>
  <c r="X413" i="2"/>
  <c r="B413" i="2"/>
  <c r="X412" i="2"/>
  <c r="B412" i="2"/>
  <c r="X411" i="2"/>
  <c r="B411" i="2"/>
  <c r="X410" i="2"/>
  <c r="B410" i="2"/>
  <c r="X409" i="2"/>
  <c r="B409" i="2"/>
  <c r="X408" i="2"/>
  <c r="B408" i="2"/>
  <c r="X407" i="2"/>
  <c r="B407" i="2"/>
  <c r="X406" i="2"/>
  <c r="B406" i="2"/>
  <c r="X405" i="2"/>
  <c r="B405" i="2"/>
  <c r="X404" i="2"/>
  <c r="B404" i="2"/>
  <c r="X403" i="2"/>
  <c r="B403" i="2"/>
  <c r="X402" i="2"/>
  <c r="B402" i="2"/>
  <c r="X401" i="2"/>
  <c r="B401" i="2"/>
  <c r="X400" i="2"/>
  <c r="B400" i="2"/>
  <c r="X399" i="2"/>
  <c r="B399" i="2"/>
  <c r="X398" i="2"/>
  <c r="B398" i="2"/>
  <c r="X397" i="2"/>
  <c r="B397" i="2"/>
  <c r="X396" i="2"/>
  <c r="B396" i="2"/>
  <c r="X395" i="2"/>
  <c r="B395" i="2"/>
  <c r="X394" i="2"/>
  <c r="B394" i="2"/>
  <c r="X393" i="2"/>
  <c r="B393" i="2"/>
  <c r="X392" i="2"/>
  <c r="B392" i="2"/>
  <c r="X391" i="2"/>
  <c r="B391" i="2"/>
  <c r="X390" i="2"/>
  <c r="B390" i="2"/>
  <c r="X389" i="2"/>
  <c r="B389" i="2"/>
  <c r="X388" i="2"/>
  <c r="B388" i="2"/>
  <c r="X387" i="2"/>
  <c r="B387" i="2"/>
  <c r="X386" i="2"/>
  <c r="B386" i="2"/>
  <c r="X385" i="2"/>
  <c r="B385" i="2"/>
  <c r="X384" i="2"/>
  <c r="B384" i="2"/>
  <c r="X383" i="2"/>
  <c r="B383" i="2"/>
  <c r="X382" i="2"/>
  <c r="B382" i="2"/>
  <c r="X381" i="2"/>
  <c r="B381" i="2"/>
  <c r="X380" i="2"/>
  <c r="B380" i="2"/>
  <c r="X379" i="2"/>
  <c r="B379" i="2"/>
  <c r="X378" i="2"/>
  <c r="B378" i="2"/>
  <c r="X377" i="2"/>
  <c r="B377" i="2"/>
  <c r="X376" i="2"/>
  <c r="B376" i="2"/>
  <c r="X375" i="2"/>
  <c r="B375" i="2"/>
  <c r="X374" i="2"/>
  <c r="B374" i="2"/>
  <c r="X373" i="2"/>
  <c r="B373" i="2"/>
  <c r="X372" i="2"/>
  <c r="B372" i="2"/>
  <c r="X371" i="2"/>
  <c r="B371" i="2"/>
  <c r="X370" i="2"/>
  <c r="B370" i="2"/>
  <c r="X369" i="2"/>
  <c r="B369" i="2"/>
  <c r="X368" i="2"/>
  <c r="B368" i="2"/>
  <c r="X367" i="2"/>
  <c r="B367" i="2"/>
  <c r="X366" i="2"/>
  <c r="B366" i="2"/>
  <c r="X365" i="2"/>
  <c r="B365" i="2"/>
  <c r="X364" i="2"/>
  <c r="B364" i="2"/>
  <c r="X363" i="2"/>
  <c r="B363" i="2"/>
  <c r="X362" i="2"/>
  <c r="B362" i="2"/>
  <c r="X361" i="2"/>
  <c r="B361" i="2"/>
  <c r="X360" i="2"/>
  <c r="B360" i="2"/>
  <c r="X359" i="2"/>
  <c r="B359" i="2"/>
  <c r="X358" i="2"/>
  <c r="B358" i="2"/>
  <c r="X357" i="2"/>
  <c r="B357" i="2"/>
  <c r="X356" i="2"/>
  <c r="B356" i="2"/>
  <c r="X355" i="2"/>
  <c r="B355" i="2"/>
  <c r="X354" i="2"/>
  <c r="B354" i="2"/>
  <c r="X353" i="2"/>
  <c r="B353" i="2"/>
  <c r="X352" i="2"/>
  <c r="B352" i="2"/>
  <c r="X351" i="2"/>
  <c r="B351" i="2"/>
  <c r="X350" i="2"/>
  <c r="B350" i="2"/>
  <c r="X349" i="2"/>
  <c r="B349" i="2"/>
  <c r="X348" i="2"/>
  <c r="B348" i="2"/>
  <c r="X347" i="2"/>
  <c r="B347" i="2"/>
  <c r="X346" i="2"/>
  <c r="B346" i="2"/>
  <c r="X345" i="2"/>
  <c r="B345" i="2"/>
  <c r="X344" i="2"/>
  <c r="B344" i="2"/>
  <c r="X343" i="2"/>
  <c r="B343" i="2"/>
  <c r="X342" i="2"/>
  <c r="B342" i="2"/>
  <c r="X341" i="2"/>
  <c r="B341" i="2"/>
  <c r="X340" i="2"/>
  <c r="B340" i="2"/>
  <c r="X339" i="2"/>
  <c r="B339" i="2"/>
  <c r="X338" i="2"/>
  <c r="B338" i="2"/>
  <c r="X337" i="2"/>
  <c r="B337" i="2"/>
  <c r="X336" i="2"/>
  <c r="B336" i="2"/>
  <c r="X335" i="2"/>
  <c r="B335" i="2"/>
  <c r="X334" i="2"/>
  <c r="B334" i="2"/>
  <c r="X333" i="2"/>
  <c r="B333" i="2"/>
  <c r="X332" i="2"/>
  <c r="B332" i="2"/>
  <c r="X331" i="2"/>
  <c r="B331" i="2"/>
  <c r="X330" i="2"/>
  <c r="B330" i="2"/>
  <c r="X329" i="2"/>
  <c r="B329" i="2"/>
  <c r="X328" i="2"/>
  <c r="B328" i="2"/>
  <c r="X327" i="2"/>
  <c r="B327" i="2"/>
  <c r="X326" i="2"/>
  <c r="B326" i="2"/>
  <c r="X325" i="2"/>
  <c r="B325" i="2"/>
  <c r="X324" i="2"/>
  <c r="B324" i="2"/>
  <c r="X323" i="2"/>
  <c r="B323" i="2"/>
  <c r="X322" i="2"/>
  <c r="B322" i="2"/>
  <c r="X321" i="2"/>
  <c r="B321" i="2"/>
  <c r="X320" i="2"/>
  <c r="B320" i="2"/>
  <c r="X319" i="2"/>
  <c r="B319" i="2"/>
  <c r="X318" i="2"/>
  <c r="B318" i="2"/>
  <c r="X317" i="2"/>
  <c r="B317" i="2"/>
  <c r="X316" i="2"/>
  <c r="B316" i="2"/>
  <c r="X315" i="2"/>
  <c r="B315" i="2"/>
  <c r="X314" i="2"/>
  <c r="B314" i="2"/>
  <c r="X313" i="2"/>
  <c r="B313" i="2"/>
  <c r="X312" i="2"/>
  <c r="B312" i="2"/>
  <c r="X311" i="2"/>
  <c r="B311" i="2"/>
  <c r="X310" i="2"/>
  <c r="B310" i="2"/>
  <c r="X309" i="2"/>
  <c r="B309" i="2"/>
  <c r="X308" i="2"/>
  <c r="B308" i="2"/>
  <c r="X307" i="2"/>
  <c r="B307" i="2"/>
  <c r="X306" i="2"/>
  <c r="B306" i="2"/>
  <c r="X305" i="2"/>
  <c r="B305" i="2"/>
  <c r="X304" i="2"/>
  <c r="B304" i="2"/>
  <c r="X303" i="2"/>
  <c r="B303" i="2"/>
  <c r="X302" i="2"/>
  <c r="B302" i="2"/>
  <c r="X301" i="2"/>
  <c r="B301" i="2"/>
  <c r="X300" i="2"/>
  <c r="B300" i="2"/>
  <c r="X299" i="2"/>
  <c r="B299" i="2"/>
  <c r="X298" i="2"/>
  <c r="B298" i="2"/>
  <c r="X297" i="2"/>
  <c r="B297" i="2"/>
  <c r="X296" i="2"/>
  <c r="B296" i="2"/>
  <c r="X295" i="2"/>
  <c r="B295" i="2"/>
  <c r="X294" i="2"/>
  <c r="B294" i="2"/>
  <c r="X293" i="2"/>
  <c r="B293" i="2"/>
  <c r="X292" i="2"/>
  <c r="B292" i="2"/>
  <c r="X291" i="2"/>
  <c r="B291" i="2"/>
  <c r="X290" i="2"/>
  <c r="B290" i="2"/>
  <c r="X289" i="2"/>
  <c r="B289" i="2"/>
  <c r="X288" i="2"/>
  <c r="B288" i="2"/>
  <c r="X287" i="2"/>
  <c r="B287" i="2"/>
  <c r="X286" i="2"/>
  <c r="B286" i="2"/>
  <c r="X285" i="2"/>
  <c r="B285" i="2"/>
  <c r="X284" i="2"/>
  <c r="B284" i="2"/>
  <c r="X283" i="2"/>
  <c r="B283" i="2"/>
  <c r="X282" i="2"/>
  <c r="B282" i="2"/>
  <c r="X281" i="2"/>
  <c r="B281" i="2"/>
  <c r="X280" i="2"/>
  <c r="B280" i="2"/>
  <c r="X279" i="2"/>
  <c r="B279" i="2"/>
  <c r="X278" i="2"/>
  <c r="B278" i="2"/>
  <c r="X277" i="2"/>
  <c r="B277" i="2"/>
  <c r="X276" i="2"/>
  <c r="B276" i="2"/>
  <c r="X275" i="2"/>
  <c r="B275" i="2"/>
  <c r="X274" i="2"/>
  <c r="B274" i="2"/>
  <c r="X273" i="2"/>
  <c r="B273" i="2"/>
  <c r="X272" i="2"/>
  <c r="B272" i="2"/>
  <c r="X271" i="2"/>
  <c r="B271" i="2"/>
  <c r="X270" i="2"/>
  <c r="B270" i="2"/>
  <c r="X269" i="2"/>
  <c r="B269" i="2"/>
  <c r="X268" i="2"/>
  <c r="B268" i="2"/>
  <c r="X267" i="2"/>
  <c r="B267" i="2"/>
  <c r="X266" i="2"/>
  <c r="B266" i="2"/>
  <c r="X265" i="2"/>
  <c r="B265" i="2"/>
  <c r="X264" i="2"/>
  <c r="B264" i="2"/>
  <c r="X263" i="2"/>
  <c r="B263" i="2"/>
  <c r="X262" i="2"/>
  <c r="B262" i="2"/>
  <c r="X261" i="2"/>
  <c r="B261" i="2"/>
  <c r="X260" i="2"/>
  <c r="B260" i="2"/>
  <c r="X259" i="2"/>
  <c r="B259" i="2"/>
  <c r="X258" i="2"/>
  <c r="B258" i="2"/>
  <c r="X257" i="2"/>
  <c r="B257" i="2"/>
  <c r="X256" i="2"/>
  <c r="B256" i="2"/>
  <c r="X255" i="2"/>
  <c r="B255" i="2"/>
  <c r="X254" i="2"/>
  <c r="B254" i="2"/>
  <c r="X253" i="2"/>
  <c r="B253" i="2"/>
  <c r="X252" i="2"/>
  <c r="B252" i="2"/>
  <c r="X251" i="2"/>
  <c r="B251" i="2"/>
  <c r="X250" i="2"/>
  <c r="B250" i="2"/>
  <c r="X249" i="2"/>
  <c r="B249" i="2"/>
  <c r="X248" i="2"/>
  <c r="B248" i="2"/>
  <c r="X247" i="2"/>
  <c r="B247" i="2"/>
  <c r="X246" i="2"/>
  <c r="B246" i="2"/>
  <c r="X245" i="2"/>
  <c r="B245" i="2"/>
  <c r="X244" i="2"/>
  <c r="B244" i="2"/>
  <c r="X243" i="2"/>
  <c r="B243" i="2"/>
  <c r="X242" i="2"/>
  <c r="B242" i="2"/>
  <c r="X241" i="2"/>
  <c r="B241" i="2"/>
  <c r="X240" i="2"/>
  <c r="B240" i="2"/>
  <c r="X239" i="2"/>
  <c r="B239" i="2"/>
  <c r="X238" i="2"/>
  <c r="B238" i="2"/>
  <c r="X237" i="2"/>
  <c r="B237" i="2"/>
  <c r="X236" i="2"/>
  <c r="B236" i="2"/>
  <c r="X235" i="2"/>
  <c r="B235" i="2"/>
  <c r="X234" i="2"/>
  <c r="B234" i="2"/>
  <c r="X233" i="2"/>
  <c r="B233" i="2"/>
  <c r="X232" i="2"/>
  <c r="B232" i="2"/>
  <c r="X231" i="2"/>
  <c r="B231" i="2"/>
  <c r="X230" i="2"/>
  <c r="B230" i="2"/>
  <c r="X229" i="2"/>
  <c r="B229" i="2"/>
  <c r="X228" i="2"/>
  <c r="B228" i="2"/>
  <c r="X227" i="2"/>
  <c r="B227" i="2"/>
  <c r="X226" i="2"/>
  <c r="B226" i="2"/>
  <c r="X225" i="2"/>
  <c r="B225" i="2"/>
  <c r="X224" i="2"/>
  <c r="B224" i="2"/>
  <c r="X223" i="2"/>
  <c r="B223" i="2"/>
  <c r="X222" i="2"/>
  <c r="B222" i="2"/>
  <c r="X221" i="2"/>
  <c r="B221" i="2"/>
  <c r="X220" i="2"/>
  <c r="B220" i="2"/>
  <c r="X219" i="2"/>
  <c r="B219" i="2"/>
  <c r="X218" i="2"/>
  <c r="B218" i="2"/>
  <c r="X217" i="2"/>
  <c r="B217" i="2"/>
  <c r="X216" i="2"/>
  <c r="B216" i="2"/>
  <c r="X215" i="2"/>
  <c r="B215" i="2"/>
  <c r="X214" i="2"/>
  <c r="B214" i="2"/>
  <c r="X213" i="2"/>
  <c r="B213" i="2"/>
  <c r="X212" i="2"/>
  <c r="B212" i="2"/>
  <c r="X211" i="2"/>
  <c r="B211" i="2"/>
  <c r="X210" i="2"/>
  <c r="B210" i="2"/>
  <c r="X209" i="2"/>
  <c r="B209" i="2"/>
  <c r="X208" i="2"/>
  <c r="B208" i="2"/>
  <c r="X207" i="2"/>
  <c r="B207" i="2"/>
  <c r="X206" i="2"/>
  <c r="B206" i="2"/>
  <c r="X205" i="2"/>
  <c r="B205" i="2"/>
  <c r="X204" i="2"/>
  <c r="B204" i="2"/>
  <c r="X203" i="2"/>
  <c r="B203" i="2"/>
  <c r="X202" i="2"/>
  <c r="B202" i="2"/>
  <c r="X201" i="2"/>
  <c r="B201" i="2"/>
  <c r="X200" i="2"/>
  <c r="B200" i="2"/>
  <c r="X199" i="2"/>
  <c r="B199" i="2"/>
  <c r="X198" i="2"/>
  <c r="B198" i="2"/>
  <c r="X197" i="2"/>
  <c r="B197" i="2"/>
  <c r="X196" i="2"/>
  <c r="B196" i="2"/>
  <c r="X195" i="2"/>
  <c r="B195" i="2"/>
  <c r="X194" i="2"/>
  <c r="B194" i="2"/>
  <c r="X193" i="2"/>
  <c r="B193" i="2"/>
  <c r="X192" i="2"/>
  <c r="B192" i="2"/>
  <c r="X191" i="2"/>
  <c r="B191" i="2"/>
  <c r="X190" i="2"/>
  <c r="B190" i="2"/>
  <c r="X189" i="2"/>
  <c r="B189" i="2"/>
  <c r="X188" i="2"/>
  <c r="B188" i="2"/>
  <c r="X187" i="2"/>
  <c r="B187" i="2"/>
  <c r="X186" i="2"/>
  <c r="B186" i="2"/>
  <c r="X185" i="2"/>
  <c r="B185" i="2"/>
  <c r="X184" i="2"/>
  <c r="B184" i="2"/>
  <c r="X183" i="2"/>
  <c r="B183" i="2"/>
  <c r="X182" i="2"/>
  <c r="B182" i="2"/>
  <c r="X181" i="2"/>
  <c r="B181" i="2"/>
  <c r="X180" i="2"/>
  <c r="B180" i="2"/>
  <c r="X179" i="2"/>
  <c r="B179" i="2"/>
  <c r="X178" i="2"/>
  <c r="B178" i="2"/>
  <c r="X177" i="2"/>
  <c r="B177" i="2"/>
  <c r="X176" i="2"/>
  <c r="B176" i="2"/>
  <c r="X175" i="2"/>
  <c r="B175" i="2"/>
  <c r="X174" i="2"/>
  <c r="B174" i="2"/>
  <c r="X173" i="2"/>
  <c r="B173" i="2"/>
  <c r="X172" i="2"/>
  <c r="B172" i="2"/>
  <c r="X171" i="2"/>
  <c r="B171" i="2"/>
  <c r="X170" i="2"/>
  <c r="B170" i="2"/>
  <c r="X169" i="2"/>
  <c r="B169" i="2"/>
  <c r="X168" i="2"/>
  <c r="B168" i="2"/>
  <c r="X167" i="2"/>
  <c r="B167" i="2"/>
  <c r="X166" i="2"/>
  <c r="B166" i="2"/>
  <c r="X165" i="2"/>
  <c r="B165" i="2"/>
  <c r="X164" i="2"/>
  <c r="B164" i="2"/>
  <c r="X163" i="2"/>
  <c r="B163" i="2"/>
  <c r="X162" i="2"/>
  <c r="B162" i="2"/>
  <c r="X161" i="2"/>
  <c r="B161" i="2"/>
  <c r="X160" i="2"/>
  <c r="B160" i="2"/>
  <c r="X159" i="2"/>
  <c r="B159" i="2"/>
  <c r="X158" i="2"/>
  <c r="B158" i="2"/>
  <c r="X157" i="2"/>
  <c r="B157" i="2"/>
  <c r="X156" i="2"/>
  <c r="B156" i="2"/>
  <c r="X155" i="2"/>
  <c r="B155" i="2"/>
  <c r="X154" i="2"/>
  <c r="B154" i="2"/>
  <c r="X153" i="2"/>
  <c r="B153" i="2"/>
  <c r="X152" i="2"/>
  <c r="B152" i="2"/>
  <c r="X151" i="2"/>
  <c r="B151" i="2"/>
  <c r="X150" i="2"/>
  <c r="B150" i="2"/>
  <c r="X149" i="2"/>
  <c r="B149" i="2"/>
  <c r="X148" i="2"/>
  <c r="B148" i="2"/>
  <c r="X147" i="2"/>
  <c r="B147" i="2"/>
  <c r="X146" i="2"/>
  <c r="B146" i="2"/>
  <c r="X145" i="2"/>
  <c r="B145" i="2"/>
  <c r="X144" i="2"/>
  <c r="B144" i="2"/>
  <c r="X143" i="2"/>
  <c r="B143" i="2"/>
  <c r="X142" i="2"/>
  <c r="B142" i="2"/>
  <c r="X141" i="2"/>
  <c r="B141" i="2"/>
  <c r="X140" i="2"/>
  <c r="B140" i="2"/>
  <c r="X139" i="2"/>
  <c r="B139" i="2"/>
  <c r="X138" i="2"/>
  <c r="B138" i="2"/>
  <c r="X137" i="2"/>
  <c r="B137" i="2"/>
  <c r="X136" i="2"/>
  <c r="B136" i="2"/>
  <c r="X135" i="2"/>
  <c r="B135" i="2"/>
  <c r="X134" i="2"/>
  <c r="B134" i="2"/>
  <c r="X133" i="2"/>
  <c r="B133" i="2"/>
  <c r="X132" i="2"/>
  <c r="B132" i="2"/>
  <c r="X131" i="2"/>
  <c r="B131" i="2"/>
  <c r="X130" i="2"/>
  <c r="B130" i="2"/>
  <c r="X129" i="2"/>
  <c r="B129" i="2"/>
  <c r="X128" i="2"/>
  <c r="B128" i="2"/>
  <c r="X127" i="2"/>
  <c r="B127" i="2"/>
  <c r="X126" i="2"/>
  <c r="B126" i="2"/>
  <c r="X125" i="2"/>
  <c r="B125" i="2"/>
  <c r="X124" i="2"/>
  <c r="B124" i="2"/>
  <c r="X123" i="2"/>
  <c r="B123" i="2"/>
  <c r="X122" i="2"/>
  <c r="B122" i="2"/>
  <c r="X121" i="2"/>
  <c r="B121" i="2"/>
  <c r="X120" i="2"/>
  <c r="B120" i="2"/>
  <c r="X119" i="2"/>
  <c r="B119" i="2"/>
  <c r="X118" i="2"/>
  <c r="B118" i="2"/>
  <c r="X117" i="2"/>
  <c r="B117" i="2"/>
  <c r="X116" i="2"/>
  <c r="B116" i="2"/>
  <c r="X115" i="2"/>
  <c r="B115" i="2"/>
  <c r="X114" i="2"/>
  <c r="B114" i="2"/>
  <c r="X113" i="2"/>
  <c r="B113" i="2"/>
  <c r="X112" i="2"/>
  <c r="B112" i="2"/>
  <c r="X111" i="2"/>
  <c r="B111" i="2"/>
  <c r="X110" i="2"/>
  <c r="B110" i="2"/>
  <c r="X109" i="2"/>
  <c r="B109" i="2"/>
  <c r="X108" i="2"/>
  <c r="B108" i="2"/>
  <c r="X107" i="2"/>
  <c r="B107" i="2"/>
  <c r="X106" i="2"/>
  <c r="B106" i="2"/>
  <c r="X105" i="2"/>
  <c r="B105" i="2"/>
  <c r="X104" i="2"/>
  <c r="B104" i="2"/>
  <c r="X103" i="2"/>
  <c r="B103" i="2"/>
  <c r="X102" i="2"/>
  <c r="B102" i="2"/>
  <c r="X101" i="2"/>
  <c r="B101" i="2"/>
  <c r="X100" i="2"/>
  <c r="B100" i="2"/>
  <c r="X99" i="2"/>
  <c r="B99" i="2"/>
  <c r="X98" i="2"/>
  <c r="B98" i="2"/>
  <c r="X97" i="2"/>
  <c r="B97" i="2"/>
  <c r="X96" i="2"/>
  <c r="B96" i="2"/>
  <c r="X95" i="2"/>
  <c r="B95" i="2"/>
  <c r="X94" i="2"/>
  <c r="B94" i="2"/>
  <c r="X93" i="2"/>
  <c r="B93" i="2"/>
  <c r="X92" i="2"/>
  <c r="B92" i="2"/>
  <c r="X91" i="2"/>
  <c r="B91" i="2"/>
  <c r="X90" i="2"/>
  <c r="B90" i="2"/>
  <c r="X89" i="2"/>
  <c r="B89" i="2"/>
  <c r="X88" i="2"/>
  <c r="B88" i="2"/>
  <c r="X87" i="2"/>
  <c r="B87" i="2"/>
  <c r="X86" i="2"/>
  <c r="B86" i="2"/>
  <c r="X85" i="2"/>
  <c r="B85" i="2"/>
  <c r="X84" i="2"/>
  <c r="B84" i="2"/>
  <c r="X83" i="2"/>
  <c r="B83" i="2"/>
  <c r="X82" i="2"/>
  <c r="B82" i="2"/>
  <c r="X81" i="2"/>
  <c r="B81" i="2"/>
  <c r="X80" i="2"/>
  <c r="B80" i="2"/>
  <c r="X79" i="2"/>
  <c r="B79" i="2"/>
  <c r="X78" i="2"/>
  <c r="B78" i="2"/>
  <c r="X77" i="2"/>
  <c r="B77" i="2"/>
  <c r="X76" i="2"/>
  <c r="B76" i="2"/>
  <c r="X75" i="2"/>
  <c r="B75" i="2"/>
  <c r="X74" i="2"/>
  <c r="B74" i="2"/>
  <c r="X73" i="2"/>
  <c r="B73" i="2"/>
  <c r="X72" i="2"/>
  <c r="B72" i="2"/>
  <c r="X71" i="2"/>
  <c r="B71" i="2"/>
  <c r="X70" i="2"/>
  <c r="B70" i="2"/>
  <c r="X69" i="2"/>
  <c r="B69" i="2"/>
  <c r="X68" i="2"/>
  <c r="B68" i="2"/>
  <c r="X67" i="2"/>
  <c r="B67" i="2"/>
  <c r="X66" i="2"/>
  <c r="B66" i="2"/>
  <c r="X65" i="2"/>
  <c r="B65" i="2"/>
  <c r="X64" i="2"/>
  <c r="B64" i="2"/>
  <c r="X63" i="2"/>
  <c r="B63" i="2"/>
  <c r="X62" i="2"/>
  <c r="B62" i="2"/>
  <c r="X61" i="2"/>
  <c r="B61" i="2"/>
  <c r="X60" i="2"/>
  <c r="B60" i="2"/>
  <c r="X59" i="2"/>
  <c r="B59" i="2"/>
  <c r="X58" i="2"/>
  <c r="B58" i="2"/>
  <c r="X57" i="2"/>
  <c r="B57" i="2"/>
  <c r="X56" i="2"/>
  <c r="B56" i="2"/>
  <c r="X55" i="2"/>
  <c r="B55" i="2"/>
  <c r="X54" i="2"/>
  <c r="B54" i="2"/>
  <c r="X53" i="2"/>
  <c r="B53" i="2"/>
  <c r="X52" i="2"/>
  <c r="B52" i="2"/>
  <c r="X51" i="2"/>
  <c r="B51" i="2"/>
  <c r="X50" i="2"/>
  <c r="B50" i="2"/>
  <c r="X49" i="2"/>
  <c r="B49" i="2"/>
  <c r="X48" i="2"/>
  <c r="B48" i="2"/>
  <c r="X47" i="2"/>
  <c r="B47" i="2"/>
  <c r="X46" i="2"/>
  <c r="B46" i="2"/>
  <c r="X45" i="2"/>
  <c r="B45" i="2"/>
  <c r="X44" i="2"/>
  <c r="B44" i="2"/>
  <c r="X43" i="2"/>
  <c r="B43" i="2"/>
  <c r="X42" i="2"/>
  <c r="B42" i="2"/>
  <c r="X41" i="2"/>
  <c r="B41" i="2"/>
  <c r="X40" i="2"/>
  <c r="B40" i="2"/>
  <c r="X39" i="2"/>
  <c r="B39" i="2"/>
  <c r="X38" i="2"/>
  <c r="B38" i="2"/>
  <c r="X37" i="2"/>
  <c r="B37" i="2"/>
  <c r="X36" i="2"/>
  <c r="B36" i="2"/>
  <c r="X35" i="2"/>
  <c r="B35" i="2"/>
  <c r="X34" i="2"/>
  <c r="B34" i="2"/>
  <c r="X33" i="2"/>
  <c r="B33" i="2"/>
  <c r="X32" i="2"/>
  <c r="B32" i="2"/>
  <c r="X31" i="2"/>
  <c r="B31" i="2"/>
  <c r="X30" i="2"/>
  <c r="B30" i="2"/>
  <c r="X29" i="2"/>
  <c r="B29" i="2"/>
  <c r="X28" i="2"/>
  <c r="B28" i="2"/>
  <c r="X27" i="2"/>
  <c r="B27" i="2"/>
  <c r="X26" i="2"/>
  <c r="B26" i="2"/>
  <c r="X25" i="2"/>
  <c r="B25" i="2"/>
  <c r="X24" i="2"/>
  <c r="B24" i="2"/>
  <c r="X23" i="2"/>
  <c r="B23" i="2"/>
  <c r="X22" i="2"/>
  <c r="B22" i="2"/>
  <c r="X21" i="2"/>
  <c r="B21" i="2"/>
  <c r="X20" i="2"/>
  <c r="B20" i="2"/>
  <c r="X19" i="2"/>
  <c r="B19" i="2"/>
  <c r="X18" i="2"/>
  <c r="B18" i="2"/>
  <c r="X17" i="2"/>
  <c r="B17" i="2"/>
  <c r="X16" i="2"/>
  <c r="B16" i="2"/>
  <c r="X15" i="2"/>
  <c r="B15" i="2"/>
  <c r="X14" i="2"/>
  <c r="B14" i="2"/>
  <c r="B2"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5" authorId="0" shapeId="0" xr:uid="{00000000-0006-0000-0300-000001000000}">
      <text>
        <r>
          <rPr>
            <sz val="10"/>
            <rFont val="Arial"/>
            <family val="2"/>
            <charset val="1"/>
          </rPr>
          <t>[Threaded comment]
Your version of Excel allows you to read this threaded comment; however, any edits to it will get removed if the file is opened in a newer version of Excel. Learn more: https://go.microsoft.com/fwlink/?linkid=870924
Comment:
    Thay dữ liệu mẫu bằng tên pháp lý đầy đủ của doanh nghiệp trước khi in hợp đồng.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5" authorId="0" shapeId="0" xr:uid="{00000000-0006-0000-0600-000001000000}">
      <text>
        <r>
          <rPr>
            <sz val="10"/>
            <rFont val="Arial"/>
            <family val="2"/>
            <charset val="1"/>
          </rPr>
          <t>[Threaded comment]
Your version of Excel allows you to read this threaded comment; however, any edits to it will get removed if the file is opened in a newer version of Excel. Learn more: https://go.microsoft.com/fwlink/?linkid=870924
Comment:
    Chọn mã nhân viên trong danh sách. Hợp đồng và thỏa thuận bảo mật/đào tạo sẽ cập nhật theo mã này.</t>
        </r>
      </text>
    </comment>
  </commentList>
</comments>
</file>

<file path=xl/sharedStrings.xml><?xml version="1.0" encoding="utf-8"?>
<sst xmlns="http://schemas.openxmlformats.org/spreadsheetml/2006/main" count="1273" uniqueCount="865">
  <si>
    <t>KK HOME</t>
  </si>
  <si>
    <t>BỘ MẪU HỢP ĐỒNG LAO ĐỘNG TỰ ĐỘNG 2026</t>
  </si>
  <si>
    <t>1. Nhập thông tin công ty (chỉ một lần) tại phần 1 của sheet NHAP_LIEU.</t>
  </si>
  <si>
    <t>2. Thêm mỗi người lao động một dòng tại phần 2 — chỉ điền các ô màu vàng.</t>
  </si>
  <si>
    <t>3. (Tùy chọn) Nhập thỏa thuận đào tạo (phần 3) và phụ lục hợp đồng (phần 4).</t>
  </si>
  <si>
    <t>4. Chọn mã nhân viên / mã phụ lục tại hàng 4; xử lý cảnh báo màu nếu có.</t>
  </si>
  <si>
    <t>LIÊN HỆ</t>
  </si>
  <si>
    <t>Công ty</t>
  </si>
  <si>
    <t>Địa chỉ</t>
  </si>
  <si>
    <t>Hotline</t>
  </si>
  <si>
    <t>Website</t>
  </si>
  <si>
    <t>Miễn trừ: Biểu mẫu mang tính tham khảo, được xây dựng theo quy định pháp luật tại thời điểm biên soạn. Doanh nghiệp cần rà soát, điều chỉnh cho phù hợp thực tế và cập nhật khi pháp luật thay đổi. © 2026 KK HOME.</t>
  </si>
  <si>
    <t>NHẬP LIỆU HỢP ĐỒNG LAO ĐỘNG — 1 NƠI DUY NHẤT</t>
  </si>
  <si>
    <t>1. THÔNG TIN CÔNG TY — CHỈ NHẬP MỘT LẦN</t>
  </si>
  <si>
    <t>Tên doanh nghiệp</t>
  </si>
  <si>
    <t>CÔNG TY TNHH MẪU (THAY THẾ)</t>
  </si>
  <si>
    <t>Người đại diện</t>
  </si>
  <si>
    <t>Nguyễn Văn C</t>
  </si>
  <si>
    <t>Ngày trả lương</t>
  </si>
  <si>
    <t>Giờ/ngày</t>
  </si>
  <si>
    <t>Mã số thuế</t>
  </si>
  <si>
    <t>MST-MAU-0001</t>
  </si>
  <si>
    <t>Tư cách đại diện</t>
  </si>
  <si>
    <t>Người đại diện theo pháp luật</t>
  </si>
  <si>
    <t>Vùng lương</t>
  </si>
  <si>
    <t>Vùng I</t>
  </si>
  <si>
    <t>Giờ/tuần</t>
  </si>
  <si>
    <t>Địa chỉ trụ sở</t>
  </si>
  <si>
    <t>[NHẬP ĐỊA CHỈ TRỤ SỞ]</t>
  </si>
  <si>
    <t>Chức danh đại diện</t>
  </si>
  <si>
    <t>Giám đốc</t>
  </si>
  <si>
    <t>Hình thức trả lương</t>
  </si>
  <si>
    <t>Chuyển khoản</t>
  </si>
  <si>
    <t>Giờ bắt đầu</t>
  </si>
  <si>
    <t>08:00</t>
  </si>
  <si>
    <t>Điện thoại</t>
  </si>
  <si>
    <t>0900 000 000</t>
  </si>
  <si>
    <t>Địa điểm ký</t>
  </si>
  <si>
    <t>Thành phố Hồ Chí Minh</t>
  </si>
  <si>
    <t>Hình thức làm việc</t>
  </si>
  <si>
    <t>Tại văn phòng/nhà máy</t>
  </si>
  <si>
    <t>Giờ kết thúc</t>
  </si>
  <si>
    <t>17:00</t>
  </si>
  <si>
    <t>Email</t>
  </si>
  <si>
    <t>hr@congtymau.vn</t>
  </si>
  <si>
    <t>Tên viết tắt</t>
  </si>
  <si>
    <t>MAU</t>
  </si>
  <si>
    <t>Ngày nghỉ hằng tuần</t>
  </si>
  <si>
    <t>Thứ Bảy và Chủ nhật</t>
  </si>
  <si>
    <t>Nghỉ giữa giờ (phút)</t>
  </si>
  <si>
    <t>2. DANH SÁCH NGƯỜI LAO ĐỘNG — MỖI NGƯỜI MỘT DÒNG</t>
  </si>
  <si>
    <t>THÔNG TIN CÁ NHÂN</t>
  </si>
  <si>
    <t>CÔNG VIỆC</t>
  </si>
  <si>
    <t>HỢP ĐỒNG &amp; THỬ VIỆC</t>
  </si>
  <si>
    <t>LƯƠNG &amp; PHỤ CẤP</t>
  </si>
  <si>
    <t>BẢO MẬT &amp; GHI CHÚ</t>
  </si>
  <si>
    <t>Mã nhân viên</t>
  </si>
  <si>
    <t>Số hợp đồng (tự động)</t>
  </si>
  <si>
    <t>Họ và tên</t>
  </si>
  <si>
    <t>Giới tính</t>
  </si>
  <si>
    <t>Ngày sinh</t>
  </si>
  <si>
    <t>Quốc tịch</t>
  </si>
  <si>
    <t>Số CCCD/Hộ chiếu</t>
  </si>
  <si>
    <t>Ngày cấp</t>
  </si>
  <si>
    <t>Nơi cấp</t>
  </si>
  <si>
    <t>Nơi cư trú</t>
  </si>
  <si>
    <t>Trình độ chuyên môn</t>
  </si>
  <si>
    <t>Mã số thuế TNCN</t>
  </si>
  <si>
    <t>Mã số BHXH</t>
  </si>
  <si>
    <t>Số GPLĐ/xác nhận</t>
  </si>
  <si>
    <t>Liên hệ khẩn cấp</t>
  </si>
  <si>
    <t>Chức danh/vị trí</t>
  </si>
  <si>
    <t>Bộ phận/phòng ban</t>
  </si>
  <si>
    <t>Mô tả công việc</t>
  </si>
  <si>
    <t>Địa điểm làm việc</t>
  </si>
  <si>
    <t>Loại hợp đồng</t>
  </si>
  <si>
    <t>Thời hạn (tháng)</t>
  </si>
  <si>
    <t>Ngày ký hợp đồng</t>
  </si>
  <si>
    <t>Ngày bắt đầu</t>
  </si>
  <si>
    <t>Ngày kết thúc (tự động)</t>
  </si>
  <si>
    <t>Số ngày thử việc</t>
  </si>
  <si>
    <t>Thử việc từ ngày</t>
  </si>
  <si>
    <t>Lương chính</t>
  </si>
  <si>
    <t>Phụ cấp trách nhiệm</t>
  </si>
  <si>
    <t>Tiền ăn giữa ca</t>
  </si>
  <si>
    <t>Hỗ trợ điện thoại</t>
  </si>
  <si>
    <t>Hỗ trợ xăng xe</t>
  </si>
  <si>
    <t>Hỗ trợ nhà ở</t>
  </si>
  <si>
    <t>Khoản bổ sung khác</t>
  </si>
  <si>
    <t>Mức khoản bổ sung khác</t>
  </si>
  <si>
    <t>Thông tin mật bổ sung</t>
  </si>
  <si>
    <t>Ghi chú</t>
  </si>
  <si>
    <t>NV001</t>
  </si>
  <si>
    <t>Nguyễn Văn An</t>
  </si>
  <si>
    <t>Nam</t>
  </si>
  <si>
    <t>Việt Nam</t>
  </si>
  <si>
    <t>Cục Cảnh sát QLHC về TTXH</t>
  </si>
  <si>
    <t>12 Lê Lợi, Q.1, TP.HCM</t>
  </si>
  <si>
    <t>Đại học</t>
  </si>
  <si>
    <t>MST000101</t>
  </si>
  <si>
    <t>BH85000101</t>
  </si>
  <si>
    <t>Người thân – 0903000101</t>
  </si>
  <si>
    <t>Kế toán trưởng</t>
  </si>
  <si>
    <t>Phòng Tài chính – Kế toán</t>
  </si>
  <si>
    <t>Tổ chức, điều hành công tác kế toán; lập và kiểm soát báo cáo tài chính.</t>
  </si>
  <si>
    <t>Trụ sở Công ty</t>
  </si>
  <si>
    <t>Không xác định thời hạn</t>
  </si>
  <si>
    <t>Dữ liệu mẫu – thay bằng dữ liệu thật</t>
  </si>
  <si>
    <t>NV002</t>
  </si>
  <si>
    <t>Trần Thị Bích Ngọc</t>
  </si>
  <si>
    <t>Nữ</t>
  </si>
  <si>
    <t>45 Nguyễn Trãi, Q.5, TP.HCM</t>
  </si>
  <si>
    <t>MST000202</t>
  </si>
  <si>
    <t>BH96000202</t>
  </si>
  <si>
    <t>Người thân – 0903000202</t>
  </si>
  <si>
    <t>Kế toán viên</t>
  </si>
  <si>
    <t>Thực hiện nghiệp vụ kế toán, kê khai thuế theo phân công.</t>
  </si>
  <si>
    <t>Xác định thời hạn</t>
  </si>
  <si>
    <t>Lê Hoàng Cường</t>
  </si>
  <si>
    <t>78 Cách Mạng Tháng 8, Q.3, TP.HCM</t>
  </si>
  <si>
    <t>MST000303</t>
  </si>
  <si>
    <t>BH88000303</t>
  </si>
  <si>
    <t>Người thân – 0903000303</t>
  </si>
  <si>
    <t>Trưởng phòng Nhân sự</t>
  </si>
  <si>
    <t>Phòng Hành chính – Nhân sự</t>
  </si>
  <si>
    <t>Quản lý tuyển dụng, C&amp;B, quan hệ lao động và hành chính.</t>
  </si>
  <si>
    <t>Phạm Thị Dung</t>
  </si>
  <si>
    <t>Chung cư Sunrise, Q.7, TP.HCM</t>
  </si>
  <si>
    <t>Cao đẳng</t>
  </si>
  <si>
    <t>MST000404</t>
  </si>
  <si>
    <t>BH97000404</t>
  </si>
  <si>
    <t>Người thân – 0903000404</t>
  </si>
  <si>
    <t>Chuyên viên tuyển dụng</t>
  </si>
  <si>
    <t>Tuyển dụng, onboarding và quản trị hồ sơ nhân sự.</t>
  </si>
  <si>
    <t>Vũ Minh Đức</t>
  </si>
  <si>
    <t>220 Điện Biên Phủ, Q.Bình Thạnh, TP.HCM</t>
  </si>
  <si>
    <t>MST000505</t>
  </si>
  <si>
    <t>BH86000505</t>
  </si>
  <si>
    <t>Người thân – 0903000505</t>
  </si>
  <si>
    <t>Trưởng phòng Kinh doanh</t>
  </si>
  <si>
    <t>Phòng Kinh doanh</t>
  </si>
  <si>
    <t>Xây dựng và triển khai kế hoạch kinh doanh, quản lý đội bán hàng.</t>
  </si>
  <si>
    <t>Hoàng Thị Em</t>
  </si>
  <si>
    <t>33 Phan Xích Long, Q.Phú Nhuận, TP.HCM</t>
  </si>
  <si>
    <t>MST000606</t>
  </si>
  <si>
    <t>BH98000606</t>
  </si>
  <si>
    <t>Người thân – 0903000606</t>
  </si>
  <si>
    <t>Nhân viên kinh doanh</t>
  </si>
  <si>
    <t>Phát triển khách hàng, chăm sóc và đạt chỉ tiêu doanh số.</t>
  </si>
  <si>
    <t>Đặng Quốc Phong</t>
  </si>
  <si>
    <t>5 Trường Chinh, Q.Tân Bình, TP.HCM</t>
  </si>
  <si>
    <t>MST000707</t>
  </si>
  <si>
    <t>BH90000707</t>
  </si>
  <si>
    <t>Người thân – 0903000707</t>
  </si>
  <si>
    <t>Kỹ sư xây dựng</t>
  </si>
  <si>
    <t>Phòng Kỹ thuật</t>
  </si>
  <si>
    <t>Giám sát thi công, quản lý chất lượng và tiến độ công trình.</t>
  </si>
  <si>
    <t>Chi nhánh Công ty</t>
  </si>
  <si>
    <t>Bùi Thị Giang</t>
  </si>
  <si>
    <t>90 Quang Trung, Q.Gò Vấp, TP.HCM</t>
  </si>
  <si>
    <t>Trung cấp</t>
  </si>
  <si>
    <t>MST000808</t>
  </si>
  <si>
    <t>BH95000808</t>
  </si>
  <si>
    <t>Người thân – 0903000808</t>
  </si>
  <si>
    <t>Nhân viên QA</t>
  </si>
  <si>
    <t>Phòng Sản xuất</t>
  </si>
  <si>
    <t>Kiểm tra chất lượng sản phẩm theo quy trình.</t>
  </si>
  <si>
    <t>Ngô Văn Hải</t>
  </si>
  <si>
    <t>17 Hoàng Diệu, Q.4, TP.HCM</t>
  </si>
  <si>
    <t>MST000909</t>
  </si>
  <si>
    <t>BH93000909</t>
  </si>
  <si>
    <t>Người thân – 0903000909</t>
  </si>
  <si>
    <t>Lập trình viên</t>
  </si>
  <si>
    <t>Phòng Công nghệ thông tin</t>
  </si>
  <si>
    <t>Phát triển và bảo trì phần mềm nội bộ.</t>
  </si>
  <si>
    <t>Dương Thị Hoa</t>
  </si>
  <si>
    <t>62 Lý Thường Kiệt, Q.10, TP.HCM</t>
  </si>
  <si>
    <t>MST001010</t>
  </si>
  <si>
    <t>BH94001010</t>
  </si>
  <si>
    <t>Người thân – 0903001010</t>
  </si>
  <si>
    <t>Nhân viên Marketing</t>
  </si>
  <si>
    <t>Phòng Marketing</t>
  </si>
  <si>
    <t>Lập kế hoạch và triển khai hoạt động marketing, truyền thông.</t>
  </si>
  <si>
    <t>Đỗ Thành Long</t>
  </si>
  <si>
    <t>KCN Sóng Thần, Dĩ An, Bình Dương</t>
  </si>
  <si>
    <t>Trung học phổ thông</t>
  </si>
  <si>
    <t>MST001111</t>
  </si>
  <si>
    <t>BH92001111</t>
  </si>
  <si>
    <t>Người thân – 0903001111</t>
  </si>
  <si>
    <t>Nhân viên kho</t>
  </si>
  <si>
    <t>Phòng Kho vận</t>
  </si>
  <si>
    <t>Quản lý xuất nhập tồn kho, sắp xếp hàng hóa.</t>
  </si>
  <si>
    <t>Vùng II</t>
  </si>
  <si>
    <t>Lý Thị Kim</t>
  </si>
  <si>
    <t>28 Nguyễn Thị Minh Khai, Q.1, TP.HCM</t>
  </si>
  <si>
    <t>MST001212</t>
  </si>
  <si>
    <t>BH99001212</t>
  </si>
  <si>
    <t>Người thân – 0903001212</t>
  </si>
  <si>
    <t>Nhân viên CSKH</t>
  </si>
  <si>
    <t>Phòng Chăm sóc khách hàng</t>
  </si>
  <si>
    <t>Tiếp nhận, xử lý yêu cầu và chăm sóc khách hàng.</t>
  </si>
  <si>
    <t>Phan Văn Minh</t>
  </si>
  <si>
    <t>150 Âu Cơ, Q.Tân Phú, TP.HCM</t>
  </si>
  <si>
    <t>MST001313</t>
  </si>
  <si>
    <t>BH87001313</t>
  </si>
  <si>
    <t>Người thân – 0903001313</t>
  </si>
  <si>
    <t>Quản đốc phân xưởng</t>
  </si>
  <si>
    <t>Điều hành sản xuất tại phân xưởng, quản lý nhân sự ca.</t>
  </si>
  <si>
    <t>Trịnh Thị Nga</t>
  </si>
  <si>
    <t>9 Nam Kỳ Khởi Nghĩa, Q.1, TP.HCM</t>
  </si>
  <si>
    <t>MST001414</t>
  </si>
  <si>
    <t>BH91001414</t>
  </si>
  <si>
    <t>Người thân – 0903001414</t>
  </si>
  <si>
    <t>Chuyên viên pháp chế</t>
  </si>
  <si>
    <t>Phòng Pháp chế</t>
  </si>
  <si>
    <t>Rà soát hợp đồng, tư vấn tuân thủ pháp luật doanh nghiệp.</t>
  </si>
  <si>
    <t>Võ Hoàng Nam</t>
  </si>
  <si>
    <t>41 Ba Tháng Hai, Q.11, TP.HCM</t>
  </si>
  <si>
    <t>MST001515</t>
  </si>
  <si>
    <t>BH95001515</t>
  </si>
  <si>
    <t>Người thân – 0903001515</t>
  </si>
  <si>
    <t>Nhân viên IT support</t>
  </si>
  <si>
    <t>Hỗ trợ kỹ thuật, quản trị hệ thống và thiết bị.</t>
  </si>
  <si>
    <t>Đinh Thị Oanh</t>
  </si>
  <si>
    <t>73 Trần Hưng Đạo, Q.5, TP.HCM</t>
  </si>
  <si>
    <t>MST001616</t>
  </si>
  <si>
    <t>BH89001616</t>
  </si>
  <si>
    <t>Người thân – 0903001616</t>
  </si>
  <si>
    <t>Thủ quỹ</t>
  </si>
  <si>
    <t>Quản lý thu chi tiền mặt, đối chiếu quỹ.</t>
  </si>
  <si>
    <t>Tạ Văn Phú</t>
  </si>
  <si>
    <t>KDC Vĩnh Phú, Thuận An, Bình Dương</t>
  </si>
  <si>
    <t>MST001717</t>
  </si>
  <si>
    <t>BH90001717</t>
  </si>
  <si>
    <t>Người thân – 0903001717</t>
  </si>
  <si>
    <t>Tài xế</t>
  </si>
  <si>
    <t>Lái xe đưa đón, vận chuyển theo điều động.</t>
  </si>
  <si>
    <t>Chu Thị Quỳnh</t>
  </si>
  <si>
    <t>19 Sư Vạn Hạnh, Q.10, TP.HCM</t>
  </si>
  <si>
    <t>MST001818</t>
  </si>
  <si>
    <t>BH00001818</t>
  </si>
  <si>
    <t>Người thân – 0903001818</t>
  </si>
  <si>
    <t>Lễ tân</t>
  </si>
  <si>
    <t>Tiếp đón khách, trực tổng đài và hỗ trợ hành chính.</t>
  </si>
  <si>
    <t>Mai Văn Sơn</t>
  </si>
  <si>
    <t>6 Kha Vạn Cân, TP.Thủ Đức, TP.HCM</t>
  </si>
  <si>
    <t>MST001919</t>
  </si>
  <si>
    <t>BH88001919</t>
  </si>
  <si>
    <t>Người thân – 0903001919</t>
  </si>
  <si>
    <t>Kỹ thuật viên bảo trì</t>
  </si>
  <si>
    <t>Bảo trì, sửa chữa máy móc thiết bị.</t>
  </si>
  <si>
    <t>Hồ Thị Tâm</t>
  </si>
  <si>
    <t>88 Xô Viết Nghệ Tĩnh, Q.Bình Thạnh, TP.HCM</t>
  </si>
  <si>
    <t>MST002020</t>
  </si>
  <si>
    <t>BH93002020</t>
  </si>
  <si>
    <t>Người thân – 0903002020</t>
  </si>
  <si>
    <t>Nhân viên mua hàng</t>
  </si>
  <si>
    <t>Phòng Mua hàng</t>
  </si>
  <si>
    <t>Tìm nguồn, đàm phán và quản lý đơn mua hàng.</t>
  </si>
  <si>
    <t>3. ĐÀO TẠO — CHỈ NHẬP KHI CÓ PHÁT SINH</t>
  </si>
  <si>
    <t>Nếu không có thỏa thuận đào tạo, có thể bỏ qua toàn bộ bảng này.</t>
  </si>
  <si>
    <t>Áp dụng đào tạo</t>
  </si>
  <si>
    <t>Khóa đào tạo/nghề đào tạo</t>
  </si>
  <si>
    <t>Địa điểm/thời gian đào tạo</t>
  </si>
  <si>
    <t>Chi phí đào tạo</t>
  </si>
  <si>
    <t>Cam kết làm việc (tháng)</t>
  </si>
  <si>
    <t>Có</t>
  </si>
  <si>
    <t>Khóa nghiệp vụ kế toán nâng cao</t>
  </si>
  <si>
    <t>TP.HCM, từ 10/08/2026 đến 15/08/2026</t>
  </si>
  <si>
    <t>Không</t>
  </si>
  <si>
    <t>4. PHỤ LỤC HỢP ĐỒNG — CHỈ NHẬP KHI CÓ PHÁT SINH</t>
  </si>
  <si>
    <t>Mỗi phụ lục là một dòng; một nhân viên có thể có nhiều phụ lục.</t>
  </si>
  <si>
    <t>Mã phụ lục</t>
  </si>
  <si>
    <t>Số phụ lục</t>
  </si>
  <si>
    <t>Ngày ký phụ lục</t>
  </si>
  <si>
    <t>Ngày hiệu lực</t>
  </si>
  <si>
    <t>Điều khoản 1</t>
  </si>
  <si>
    <t>Nội dung cũ 1</t>
  </si>
  <si>
    <t>Nội dung mới 1</t>
  </si>
  <si>
    <t>Điều khoản 2</t>
  </si>
  <si>
    <t>Nội dung cũ 2</t>
  </si>
  <si>
    <t>Nội dung mới 2</t>
  </si>
  <si>
    <t>Điều khoản 3</t>
  </si>
  <si>
    <t>Nội dung cũ 3</t>
  </si>
  <si>
    <t>Nội dung mới 3</t>
  </si>
  <si>
    <t>PL001</t>
  </si>
  <si>
    <t>001/2026/PLHĐLĐ-MAU</t>
  </si>
  <si>
    <t>Điều 3.1</t>
  </si>
  <si>
    <t>Mức lương 12.000.000 đồng/tháng</t>
  </si>
  <si>
    <t>Mức lương 13.000.000 đồng/tháng</t>
  </si>
  <si>
    <t>Điều 3.2</t>
  </si>
  <si>
    <t>Phụ cấp trách nhiệm 1.000.000 đồng/tháng</t>
  </si>
  <si>
    <t>Phụ cấp trách nhiệm 1.500.000 đồng/tháng</t>
  </si>
  <si>
    <t>Dữ liệu mẫu – thay thế trước khi dùng</t>
  </si>
  <si>
    <t>PL002</t>
  </si>
  <si>
    <t>002/2026/PLHĐLĐ-MAU</t>
  </si>
  <si>
    <t>Điều 1.4</t>
  </si>
  <si>
    <t>Địa điểm làm việc tại Chi nhánh Công ty</t>
  </si>
  <si>
    <t>Địa điểm làm việc tại Trụ sở Công ty</t>
  </si>
  <si>
    <t>DANH MỤC LỰA CHỌN VÀ THAM SỐ</t>
  </si>
  <si>
    <t>Có/Không</t>
  </si>
  <si>
    <t>Xưng hô</t>
  </si>
  <si>
    <t>Nơi cấp CCCD</t>
  </si>
  <si>
    <t>Ông</t>
  </si>
  <si>
    <t>Trên đại học</t>
  </si>
  <si>
    <t>Từ xa/kết hợp</t>
  </si>
  <si>
    <t>Tiền mặt</t>
  </si>
  <si>
    <t>Chủ nhật</t>
  </si>
  <si>
    <t>Bà</t>
  </si>
  <si>
    <t>Cục Cảnh sát ĐKQL cư trú và DLQG về dân cư</t>
  </si>
  <si>
    <t>Theo lịch phân ca</t>
  </si>
  <si>
    <t>Khác</t>
  </si>
  <si>
    <t>Văn phòng đại diện</t>
  </si>
  <si>
    <t>Cục Quản lý xuất nhập cảnh</t>
  </si>
  <si>
    <t>Làm việc từ xa</t>
  </si>
  <si>
    <t>Nhiều địa điểm theo phân công</t>
  </si>
  <si>
    <t>LƯƠNG TỐI THIỂU VÙNG TỪ 01/01/2026</t>
  </si>
  <si>
    <t>Sơ cấp/Chứng chỉ nghề</t>
  </si>
  <si>
    <t>Vùng</t>
  </si>
  <si>
    <t>Lương tối thiểu tháng</t>
  </si>
  <si>
    <t>Lương tối thiểu giờ</t>
  </si>
  <si>
    <t>Tăng so với 2025</t>
  </si>
  <si>
    <t>Lao động phổ thông</t>
  </si>
  <si>
    <t>Vùng III</t>
  </si>
  <si>
    <t>Vùng IV</t>
  </si>
  <si>
    <t>DỮ LIỆU KỸ THUẬT — KHÔNG CẦN NHẬP TẠI ĐÂY</t>
  </si>
  <si>
    <t>Toàn bộ dữ liệu sử dụng đã được gộp tại sheet NHAP_LIEU. Sheet này chỉ giữ cấu trúc cũ để tham chiếu.</t>
  </si>
  <si>
    <t>Trường thông tin</t>
  </si>
  <si>
    <t>Giá trị</t>
  </si>
  <si>
    <t>Hướng dẫn</t>
  </si>
  <si>
    <t>Phạm vi</t>
  </si>
  <si>
    <t>Dùng tại Bên A và phần ký</t>
  </si>
  <si>
    <t>Thông tin cố định</t>
  </si>
  <si>
    <t>Mã số doanh nghiệp/Mã số thuế</t>
  </si>
  <si>
    <t>Dữ liệu mẫu; thay bằng mã thật và giữ dạng văn bản</t>
  </si>
  <si>
    <t>Địa chỉ trụ sở chính</t>
  </si>
  <si>
    <t>Người ký phía doanh nghiệp</t>
  </si>
  <si>
    <t>Hoặc Người được ủy quyền</t>
  </si>
  <si>
    <t>Chức danh người đại diện</t>
  </si>
  <si>
    <t>Quốc tịch người đại diện</t>
  </si>
  <si>
    <t>Số văn bản ủy quyền</t>
  </si>
  <si>
    <t>Để trống nếu không áp dụng</t>
  </si>
  <si>
    <t>Ngày văn bản ủy quyền</t>
  </si>
  <si>
    <t>Địa điểm ký mặc định</t>
  </si>
  <si>
    <t>Có thể ghi đè theo từng lao động</t>
  </si>
  <si>
    <t>Giá trị mặc định</t>
  </si>
  <si>
    <t>Tên viết tắt công ty</t>
  </si>
  <si>
    <t>Dùng đặt số hợp đồng</t>
  </si>
  <si>
    <t>Ngày trả lương mặc định</t>
  </si>
  <si>
    <t>Ngày trong tháng</t>
  </si>
  <si>
    <t>Số lần xét nâng lương/năm</t>
  </si>
  <si>
    <t>Số giờ làm việc/ngày</t>
  </si>
  <si>
    <t>Số giờ làm việc/tuần</t>
  </si>
  <si>
    <t>Nhập dạng 08:00</t>
  </si>
  <si>
    <t>Nhập dạng 17:00</t>
  </si>
  <si>
    <t>Làm việc nhiều địa điểm</t>
  </si>
  <si>
    <t>Trang bị bảo hộ mặc định</t>
  </si>
  <si>
    <t>Theo tính chất công việc và quy định của Công ty</t>
  </si>
  <si>
    <t>Thời hạn bảo mật (năm)</t>
  </si>
  <si>
    <t>Khuyến nghị trong mẫu: 1–3 năm tùy vị trí</t>
  </si>
  <si>
    <t>Thời hạn hoàn trả chi phí đào tạo (ngày)</t>
  </si>
  <si>
    <t>Nhập và quản lý người lao động tại sheet NHAP_LIEU. Sheet này chỉ giữ cấu trúc cũ để tham chiếu.</t>
  </si>
  <si>
    <t>TIỀN LƯƠNG &amp; PHỤ CẤP</t>
  </si>
  <si>
    <t>TRẢ LƯƠNG &amp; THỜI GIAN</t>
  </si>
  <si>
    <t>THÔNG TIN KÝ HỢP ĐỒNG</t>
  </si>
  <si>
    <t>BẢO MẬT &amp; ĐÀO TẠO</t>
  </si>
  <si>
    <t>GHI CHÚ</t>
  </si>
  <si>
    <t>Làm nhiều địa điểm</t>
  </si>
  <si>
    <t>Ngày kết thúc</t>
  </si>
  <si>
    <t>Thử việc đến ngày</t>
  </si>
  <si>
    <t>Tỷ lệ lương thử việc (%)</t>
  </si>
  <si>
    <t>Điều kiện PC trách nhiệm</t>
  </si>
  <si>
    <t>Điều kiện ăn giữa ca</t>
  </si>
  <si>
    <t>Điều kiện điện thoại</t>
  </si>
  <si>
    <t>Điều kiện xăng xe</t>
  </si>
  <si>
    <t>Điều kiện nhà ở</t>
  </si>
  <si>
    <t>Điều kiện khoản khác</t>
  </si>
  <si>
    <t>Trang bị bảo hộ</t>
  </si>
  <si>
    <t>Số hợp đồng</t>
  </si>
  <si>
    <t>Thời hạn hoàn trả (ngày)</t>
  </si>
  <si>
    <t>Nguyễn Văn A (dữ liệu mẫu)</t>
  </si>
  <si>
    <t>CCCD-MAU-001</t>
  </si>
  <si>
    <t>Cục CSQLHC về TTXH</t>
  </si>
  <si>
    <t>[NHẬP NƠI CƯ TRÚ]</t>
  </si>
  <si>
    <t>Cử nhân Kế toán</t>
  </si>
  <si>
    <t>MST-CN-MAU-001</t>
  </si>
  <si>
    <t>BHXH-MAU-001</t>
  </si>
  <si>
    <t>Nguyễn Văn D – Anh – 0900 000 001</t>
  </si>
  <si>
    <t>Thực hiện nghiệp vụ kế toán theo phân công và bản mô tả công việc đính kèm.</t>
  </si>
  <si>
    <t>Theo chức danh và thời gian làm việc thực tế</t>
  </si>
  <si>
    <t>Theo ngày làm việc thực tế</t>
  </si>
  <si>
    <t>Theo quy chế Công ty</t>
  </si>
  <si>
    <t>001/2026/HĐLĐ-MAU</t>
  </si>
  <si>
    <t>Danh sách khách hàng và dữ liệu tài chính nội bộ</t>
  </si>
  <si>
    <t>Trần Thị B (dữ liệu mẫu)</t>
  </si>
  <si>
    <t>CCCD-MAU-002</t>
  </si>
  <si>
    <t>MST-CN-MAU-002</t>
  </si>
  <si>
    <t>BHXH-MAU-002</t>
  </si>
  <si>
    <t>Trần Văn E – Cha – 0900 000 002</t>
  </si>
  <si>
    <t>Nhân viên hành chính</t>
  </si>
  <si>
    <t>Thực hiện công việc hành chính, hồ sơ nhân sự và nhiệm vụ được phân công.</t>
  </si>
  <si>
    <t>Theo yêu cầu công việc</t>
  </si>
  <si>
    <t>002/2026/HĐLĐ-MAU</t>
  </si>
  <si>
    <t>Dữ liệu nhân sự và chính sách tiền lương</t>
  </si>
  <si>
    <t>Nhập phụ lục tại phần 4 của sheet NHAP_LIEU. Sheet này chỉ giữ cấu trúc cũ để tham chiếu.</t>
  </si>
  <si>
    <t>BẢNG ĐIỀU KHIỂN</t>
  </si>
  <si>
    <t>Số nhân viên đã nhập:</t>
  </si>
  <si>
    <t>Số phụ lục đã nhập:</t>
  </si>
  <si>
    <t>Số thỏa thuận đào tạo:</t>
  </si>
  <si>
    <t>CÁCH IN NHANH</t>
  </si>
  <si>
    <t>1. Nhập/soát dữ liệu nhân viên tại sheet NHAP_LIEU.</t>
  </si>
  <si>
    <t>2. Mở biểu mẫu cần in: HOP_DONG, PHU_LUC hoặc BAO_MAT_DT.</t>
  </si>
  <si>
    <t>3. Chọn mã ở Ô VÀNG (góc trên, có nhãn “CHỌN … ĐỂ IN”).</t>
  </si>
  <si>
    <t>4. Kiểm tra tên hiện ra bên dưới ô chọn cho đúng người.</t>
  </si>
  <si>
    <t>5. Ctrl + P → khổ A4, dọc → In. (Ô chọn không in ra giấy.)</t>
  </si>
  <si>
    <t>KK HOME · Kiểm toán · Kế toán · Tư vấn Thuế</t>
  </si>
  <si>
    <t>HƯỚNG DẪN SỬ DỤNG FILE HỢP ĐỒNG LAO ĐỘNG</t>
  </si>
  <si>
    <t>Toàn bộ dữ liệu sử dụng được nhập tại một sheet NHAP_LIEU; các biểu mẫu tự điền theo mã được chọn. File không dùng macro và tương thích Excel 2016 trở lên.</t>
  </si>
  <si>
    <t>BƯỚC 1 — NHẬP THÔNG TIN CÔNG TY</t>
  </si>
  <si>
    <t>Mở NHAP_LIEU và thay dữ liệu mẫu tại phần 1. Chỉ nhập một lần cho toàn bộ lao động.</t>
  </si>
  <si>
    <t>BƯỚC 2 — THÊM NGƯỜI LAO ĐỘNG</t>
  </si>
  <si>
    <t>Tại phần 2 của NHAP_LIEU, mỗi người một dòng. Các điều kiện lặp lại tự lấy từ phần thông tin công ty.</t>
  </si>
  <si>
    <t>BƯỚC 3 — DỮ LIỆU TÙY CHỌN</t>
  </si>
  <si>
    <t>Chỉ nhập phần 3 nếu có thỏa thuận đào tạo và phần 4 nếu có phụ lục hợp đồng.</t>
  </si>
  <si>
    <t>BƯỚC 4 — CHỌN VÀ KIỂM TRA</t>
  </si>
  <si>
    <t>Không cần chọn mã tại NHAP_LIEU nữa. Mở biểu mẫu cần in (Hợp đồng, Phụ lục, Bảo mật – Đào tạo) rồi chọn nhân viên/phụ lục ngay ở Ô VÀNG góc trên của biểu mẫu.</t>
  </si>
  <si>
    <t>BƯỚC 5 — IN BIỂU MẪU</t>
  </si>
  <si>
    <t>Mở sheet cần in. Chọn giấy A4, hướng dọc và Fit All Columns on One Page. Không chọn chế độ Fit Sheet on One Page vì chữ sẽ bị thu quá nhỏ.</t>
  </si>
  <si>
    <t>Ô MÀU VÀNG
Nhập hoặc lựa chọn dữ liệu</t>
  </si>
  <si>
    <t>Ô MÀU XANH
Kết quả tự động — không nhập đè</t>
  </si>
  <si>
    <t>LƯU Ý RÀ SOÁT
• Nội dung pháp lý được giữ theo file Word nguồn, cập nhật đến tháng 7/2026; file Excel không tự cập nhật khi pháp luật thay đổi.
• Tại mục 2.3 của Word nguồn có dẫn chiếu “mức lương ... theo Điều 4”, trong khi nội dung tiền lương nằm tại Điều 3. File giữ nguyên văn bản nguồn; doanh nghiệp nên rà soát dẫn chiếu này trước khi ký.
• Đây là biểu mẫu tham khảo, không thay thế tư vấn cho từng trường hợp cụ thể.</t>
  </si>
  <si>
    <t>CỘNG HÒA XÃ HỘI CHỦ NGHĨA VIỆT NAM</t>
  </si>
  <si>
    <t>CHỌN NHÂN VIÊN ĐỂ IN  ▼</t>
  </si>
  <si>
    <t>Độc lập – Tự do – Hạnh phúc</t>
  </si>
  <si>
    <t>—————————————</t>
  </si>
  <si>
    <t>PHẦN I — HỢP ĐỒNG LAO ĐỘNG</t>
  </si>
  <si>
    <t>Đổi mã ở ô vàng để in người khác.
Khối này KHÔNG in ra giấy — chỉ để chọn.</t>
  </si>
  <si>
    <t>Căn cứ:</t>
  </si>
  <si>
    <t>– Bộ luật Lao động số 45/2019/QH14 ngày 20/11/2019 (hiệu lực từ 01/01/2021);</t>
  </si>
  <si>
    <t>– Nghị định số 145/2020/NĐ-CP ngày 14/12/2020 của Chính phủ quy định chi tiết và hướng dẫn thi hành một số điều của Bộ luật Lao động về điều kiện lao động và quan hệ lao động (đã được sửa đổi, bổ sung bởi Nghị định số 70/2023/NĐ-CP);</t>
  </si>
  <si>
    <t>– Thông tư số 10/2020/TT-BLĐTBXH ngày 12/11/2020 hướng dẫn nội dung của hợp đồng lao động;</t>
  </si>
  <si>
    <t>– Luật Bảo hiểm xã hội số 41/2024/QH15 ngày 29/6/2024 (hiệu lực từ 01/7/2025) và các văn bản hướng dẫn;</t>
  </si>
  <si>
    <t>– Luật Việc làm số 74/2025/QH15 ngày 16/6/2025 (hiệu lực từ 01/01/2026) về bảo hiểm thất nghiệp;</t>
  </si>
  <si>
    <t>– Luật Bảo hiểm y tế và các văn bản hướng dẫn thi hành;</t>
  </si>
  <si>
    <t>– Nghị định số 293/2025/NĐ-CP quy định mức lương tối thiểu vùng (hiệu lực từ 01/01/2026);</t>
  </si>
  <si>
    <t>– Luật Thuế thu nhập cá nhân số 109/2025/QH15 và Nghị quyết số 110/2025/UBTVQH15 về mức giảm trừ gia cảnh (áp dụng từ kỳ tính thuế 2026);</t>
  </si>
  <si>
    <t>– Nội quy lao động, Thỏa ước lao động tập thể của Công ty (nếu có); nhu cầu và sự thỏa thuận tự nguyện của hai bên.</t>
  </si>
  <si>
    <t>BÊN A — NGƯỜI SỬ DỤNG LAO ĐỘNG:</t>
  </si>
  <si>
    <t>(*) Người giao kết HĐLĐ bên phía NSDLĐ phải đúng thẩm quyền theo khoản 3 Điều 18 BLLĐ 2019.</t>
  </si>
  <si>
    <t>BÊN B — NGƯỜI LAO ĐỘNG:</t>
  </si>
  <si>
    <t>Hai bên thỏa thuận ký kết Hợp đồng lao động (sau đây gọi là "Hợp đồng") với các điều khoản sau đây:</t>
  </si>
  <si>
    <t>Điều 1. Công việc và địa điểm làm việc</t>
  </si>
  <si>
    <t>(Chi tiết theo Bản mô tả công việc đính kèm — là bộ phận không tách rời của Hợp đồng, nếu có.)</t>
  </si>
  <si>
    <t>Điều 2. Loại hợp đồng và thời hạn hợp đồng</t>
  </si>
  <si>
    <t>2.1. Loại hợp đồng (đánh dấu 01 ô):</t>
  </si>
  <si>
    <t>2.2. Khi hợp đồng xác định thời hạn hết hạn mà NLĐ vẫn tiếp tục làm việc thì trong 30 ngày hai bên phải ký hợp đồng mới; nếu không ký, hợp đồng đã giao kết trở thành hợp đồng không xác định thời hạn. Chỉ được ký thêm tối đa 01 lần hợp đồng xác định thời hạn (khoản 2 Điều 20 BLLĐ 2019, trừ các trường hợp ngoại lệ luật định).</t>
  </si>
  <si>
    <t>Không áp dụng thử việc đối với HĐLĐ dưới 01 tháng. Nếu doanh nghiệp ký hợp đồng thử việc riêng thì bỏ mục 2.3.</t>
  </si>
  <si>
    <t>Điều 3. Tiền lương, phụ cấp lương và các khoản bổ sung khác</t>
  </si>
  <si>
    <t>Mức lương không được thấp hơn lương tối thiểu vùng nơi NLĐ làm việc. Từ 01/01/2026 (NĐ 293/2025/NĐ-CP): Vùng I: 5.310.000 đ; Vùng II: 4.730.000 đ; Vùng III: 4.140.000 đ; Vùng IV: 3.700.000 đ/tháng (xem Phần IV).</t>
  </si>
  <si>
    <t>3.2. Phụ cấp lương và các khoản bổ sung (nếu có):</t>
  </si>
  <si>
    <t>Khoản</t>
  </si>
  <si>
    <t>Mức (đồng/tháng)</t>
  </si>
  <si>
    <t>Điều kiện hưởng</t>
  </si>
  <si>
    <t>Phụ cấp ăn giữa ca</t>
  </si>
  <si>
    <t>Hỗ trợ xăng xe/đi lại</t>
  </si>
  <si>
    <t>Ghi rõ khoản nào xác định được mức tiền cụ thể và trả thường xuyên trong mỗi kỳ trả lương (thuộc tiền lương làm căn cứ đóng BHXH bắt buộc) và khoản nào không (xem Phần IV, mục 3).</t>
  </si>
  <si>
    <t>3.5. Tiền lương làm thêm giờ, làm việc ban đêm (Điều 98 BLLĐ 2019): ngày thường tối thiểu 150%; ngày nghỉ hằng tuần tối thiểu 200%; ngày lễ, tết, ngày nghỉ có hưởng lương tối thiểu 300% (chưa kể tiền lương ngày lễ, tết đối với NLĐ hưởng lương ngày); làm việc ban đêm cộng thêm tối thiểu 30%; làm thêm giờ ban đêm cộng thêm 20% tính theo đơn giá ban ngày tương ứng.</t>
  </si>
  <si>
    <t>3.7. Thưởng: theo Quy chế thưởng do NSDLĐ ban hành sau khi tham khảo ý kiến tổ chức đại diện NLĐ tại cơ sở (Điều 104 BLLĐ 2019), gồm (nếu có): thưởng tháng lương thứ 13, thưởng hiệu quả công việc (KPI), thưởng sáng kiến, thưởng lễ tết…</t>
  </si>
  <si>
    <t>Điều 4. Thời giờ làm việc, thời giờ nghỉ ngơi</t>
  </si>
  <si>
    <t>4.3. Làm thêm giờ: chỉ khi NLĐ đồng ý; không quá 50% số giờ làm việc bình thường/ngày, không quá 40 giờ/tháng, không quá 200 giờ/năm (hoặc đến 300 giờ/năm với ngành nghề, trường hợp quy định tại khoản 3 Điều 107 BLLĐ 2019 và Điều 61 NĐ 145/2020, có thông báo Sở Nội vụ/cơ quan quản lý lao động theo quy định).</t>
  </si>
  <si>
    <t>4.4. Nghỉ hằng năm: 12 ngày làm việc/năm làm đủ 12 tháng trong điều kiện bình thường (14 ngày với NLĐ chưa thành niên, khuyết tật, công việc nặng nhọc, độc hại, nguy hiểm; 16 ngày với công việc đặc biệt nặng nhọc, độc hại, nguy hiểm); cứ đủ 05 năm làm việc cho một NSDLĐ được cộng thêm 01 ngày. Làm chưa đủ năm thì tính tỷ lệ theo số tháng làm việc.</t>
  </si>
  <si>
    <t>4.5. Nghỉ lễ, tết: 11 ngày hưởng nguyên lương theo Điều 112 BLLĐ 2019 (Tết Dương lịch 01 ngày; Tết Âm lịch 05 ngày; 30/4: 01 ngày; 01/5: 01 ngày; Quốc khánh 02 ngày; Giỗ Tổ Hùng Vương 01 ngày). NLĐ nước ngoài được nghỉ thêm 01 ngày Tết cổ truyền và 01 ngày Quốc khánh của nước họ.</t>
  </si>
  <si>
    <t>4.6. Nghỉ việc riêng có hưởng lương, không hưởng lương: theo Điều 115 BLLĐ 2019 (kết hôn nghỉ 03 ngày; con đẻ/con nuôi kết hôn 01 ngày; cha mẹ đẻ, cha mẹ vợ/chồng, vợ/chồng, con chết: 03 ngày…). Lao động nữ hưởng chế độ theo Điều 137, 138 BLLĐ 2019.</t>
  </si>
  <si>
    <t>Điều 5. Trang bị bảo hộ lao động, an toàn – vệ sinh lao động</t>
  </si>
  <si>
    <t>5.2. NSDLĐ bảo đảm điều kiện làm việc an toàn, vệ sinh lao động; huấn luyện ATVSLĐ; tổ chức khám sức khỏe định kỳ ít nhất 01 lần/năm (ít nhất 06 tháng/lần với người làm nghề, công việc nặng nhọc, độc hại, nguy hiểm, NLĐ khuyết tật, NLĐ chưa thành niên, NLĐ cao tuổi) theo Luật An toàn, vệ sinh lao động 2015.</t>
  </si>
  <si>
    <t>5.3. NLĐ có trách nhiệm chấp hành nội quy, quy trình ATVSLĐ; sử dụng, bảo quản phương tiện bảo vệ cá nhân đã được cấp phát.</t>
  </si>
  <si>
    <t>Điều 6. Bảo hiểm xã hội, bảo hiểm y tế, bảo hiểm thất nghiệp</t>
  </si>
  <si>
    <t>6.1. Hai bên tham gia BHXH bắt buộc, BHYT, BHTN theo Luật BHXH 2024, Luật BHYT và Luật Việc làm 2025. Tỷ lệ trích đóng hiện hành (trên tiền lương làm căn cứ đóng, xem chi tiết tại Phần IV):</t>
  </si>
  <si>
    <t>Quỹ bảo hiểm</t>
  </si>
  <si>
    <t>NSDLĐ đóng</t>
  </si>
  <si>
    <t>NLĐ đóng</t>
  </si>
  <si>
    <t>Cộng</t>
  </si>
  <si>
    <t>BHXH — hưu trí, tử tuất</t>
  </si>
  <si>
    <t>14%</t>
  </si>
  <si>
    <t>8%</t>
  </si>
  <si>
    <t>22%</t>
  </si>
  <si>
    <t>BHXH — ốm đau, thai sản</t>
  </si>
  <si>
    <t>3%</t>
  </si>
  <si>
    <t>—</t>
  </si>
  <si>
    <t>Bảo hiểm TNLĐ – BNN</t>
  </si>
  <si>
    <t>0,5% (*)</t>
  </si>
  <si>
    <t>0,5%</t>
  </si>
  <si>
    <t>Bảo hiểm y tế</t>
  </si>
  <si>
    <t>1,5%</t>
  </si>
  <si>
    <t>4,5%</t>
  </si>
  <si>
    <t>Bảo hiểm thất nghiệp</t>
  </si>
  <si>
    <t>1%</t>
  </si>
  <si>
    <t>2%</t>
  </si>
  <si>
    <t>TỔNG CỘNG</t>
  </si>
  <si>
    <t>21,5%</t>
  </si>
  <si>
    <t>10,5%</t>
  </si>
  <si>
    <t>32%</t>
  </si>
  <si>
    <t>(*) Doanh nghiệp đủ điều kiện theo Nghị định 58/2020/NĐ-CP có thể được áp dụng mức 0,3%. Từ 01/01/2026, mức đóng BHTN theo Luật Việc làm 2025 là "tối đa 1%" đối với mỗi bên — hiện áp dụng 1%; theo dõi văn bản hướng dẫn của Chính phủ.</t>
  </si>
  <si>
    <t>6.2. Tiền lương làm căn cứ đóng BHXH bắt buộc gồm: mức lương theo công việc/chức danh, phụ cấp lương và các khoản bổ sung khác được trả thường xuyên, ổn định trong mỗi kỳ trả lương (Điều 31 Luật BHXH 2024). Mức đóng thấp nhất bằng mức tham chiếu; cao nhất bằng 20 lần mức tham chiếu tại thời điểm đóng.</t>
  </si>
  <si>
    <t>6.3. NSDLĐ khấu trừ phần NLĐ phải đóng để nộp cùng phần của NSDLĐ cho cơ quan BHXH đúng hạn; lập hồ sơ tham gia và cấp/chốt sổ BHXH, thẻ BHYT cho NLĐ theo quy định. Hành vi trốn đóng, chậm đóng bị xử lý theo Điều 38–41 Luật BHXH 2024.</t>
  </si>
  <si>
    <t>6.4. Trường hợp NLĐ không thuộc đối tượng tham gia BHXH bắt buộc, BHYT, BHTN thì NSDLĐ trả thêm cùng lúc với kỳ trả lương một khoản tiền tương đương mức NSDLĐ phải đóng các loại bảo hiểm nêu trên (khoản 3 Điều 168 BLLĐ 2019).</t>
  </si>
  <si>
    <t>Điều 7. Thuế thu nhập cá nhân</t>
  </si>
  <si>
    <t>7.1. NLĐ có nghĩa vụ nộp thuế TNCN theo quy định. NSDLĐ thực hiện khấu trừ thuế theo Biểu thuế lũy tiến từng phần trước khi chi trả thu nhập và cấp chứng từ khấu trừ thuế khi NLĐ yêu cầu.</t>
  </si>
  <si>
    <t>7.2. Từ kỳ tính thuế năm 2026: mức giảm trừ gia cảnh cho bản thân người nộp thuế là 15,5 triệu đồng/tháng (186 triệu đồng/năm); mỗi người phụ thuộc 6,2 triệu đồng/tháng (Nghị quyết 110/2025/UBTVQH15); Biểu thuế lũy tiến từng phần rút gọn còn 05 bậc, thuế suất từ 5% đến 35% (Luật Thuế TNCN số 109/2025/QH15) — chi tiết tại Phần IV.</t>
  </si>
  <si>
    <t>7.3. NSDLĐ hỗ trợ NLĐ đăng ký mã số thuế cá nhân và mã số thuế cho người phụ thuộc; NLĐ kê khai trung thực hồ sơ giảm trừ gia cảnh và chịu trách nhiệm về tính chính xác của thông tin đã kê khai.</t>
  </si>
  <si>
    <t>7.4. Cuối năm, nếu đủ điều kiện, NLĐ có thể ủy quyền cho NSDLĐ quyết toán thuế TNCN thay theo quy định của pháp luật quản lý thuế.</t>
  </si>
  <si>
    <t>Điều 8. Đào tạo, bồi dưỡng, nâng cao trình độ, kỹ năng nghề</t>
  </si>
  <si>
    <t>8.1. NLĐ được tham gia các chương trình đào tạo, bồi dưỡng do NSDLĐ tổ chức hoặc cử đi phù hợp yêu cầu công việc; NSDLĐ xây dựng kế hoạch và dành kinh phí đào tạo hằng năm (Điều 60 BLLĐ 2019).</t>
  </si>
  <si>
    <t>8.2. Trường hợp NLĐ được đào tạo từ kinh phí của NSDLĐ (kể cả kinh phí do đối tác tài trợ), hai bên ký hợp đồng đào tạo nghề theo Điều 62 BLLĐ 2019, trong đó thỏa thuận thời gian cam kết làm việc sau đào tạo và trách nhiệm hoàn trả chi phí đào tạo (theo mẫu tại Phần III).</t>
  </si>
  <si>
    <t>Điều 9. Bảo vệ bí mật kinh doanh, bí mật công nghệ, dữ liệu và tài sản</t>
  </si>
  <si>
    <t>9.1. NLĐ có nghĩa vụ bảo mật bí mật kinh doanh, bí mật công nghệ, dữ liệu cá nhân và thông tin nội bộ của NSDLĐ mà NLĐ biết được trong quá trình làm việc, theo khoản 2 Điều 21 BLLĐ 2019, Điều 4 Thông tư 10/2020/TT-BLĐTBXH và Thỏa thuận bảo mật ký kèm Hợp đồng này (Phần III).</t>
  </si>
  <si>
    <t>9.2. Quyền sở hữu trí tuệ đối với sản phẩm, kết quả công việc do NLĐ tạo ra trong phạm vi nhiệm vụ được giao hoặc sử dụng nguồn lực của NSDLĐ thuộc về NSDLĐ, trừ trường hợp pháp luật hoặc hai bên có thỏa thuận khác.</t>
  </si>
  <si>
    <t>9.3. NLĐ vi phạm nghĩa vụ bảo mật phải bồi thường theo thỏa thuận và quy định pháp luật; việc xử lý bồi thường thực hiện theo trình tự luật định.</t>
  </si>
  <si>
    <t>Điều 10. Quyền và nghĩa vụ của Người lao động</t>
  </si>
  <si>
    <t>10.1. Quyền: được trả lương đầy đủ, đúng hạn theo Hợp đồng; hưởng các chế độ BHXH, BHYT, BHTN, phúc lợi, khen thưởng; được bảo đảm điều kiện làm việc an toàn; nghỉ ngơi theo quy định; thành lập, gia nhập tổ chức đại diện NLĐ; khiếu nại, tố cáo, yêu cầu giải quyết tranh chấp lao động; đơn phương chấm dứt HĐLĐ theo Điều 35 BLLĐ 2019 và các quyền khác theo pháp luật.</t>
  </si>
  <si>
    <t>10.2. Nghĩa vụ: hoàn thành công việc theo Hợp đồng và bản mô tả công việc; chấp hành nội quy lao động, quy chế, quy trình của Công ty và sự điều hành hợp pháp của người quản lý; bảo quản tài sản, trang thiết bị được giao; bồi thường thiệt hại theo Điều 129 BLLĐ 2019 và nội quy lao động nếu làm hư hỏng, mất mát tài sản; thực hiện nghĩa vụ bảo mật tại Điều 9; kê khai trung thực thông tin cá nhân theo Điều 16 BLLĐ 2019 và thông báo kịp thời khi thay đổi.</t>
  </si>
  <si>
    <t>Điều 11. Quyền và nghĩa vụ của Người sử dụng lao động</t>
  </si>
  <si>
    <t>11.1. Quyền: quản lý, điều hành NLĐ thực hiện công việc theo Hợp đồng; ban hành và yêu cầu tuân thủ nội quy lao động; khen thưởng, xử lý kỷ luật lao động đúng trình tự pháp luật; tạm thời chuyển NLĐ làm công việc khác so với HĐLĐ theo Điều 29 BLLĐ 2019 (không quá 60 ngày làm việc cộng dồn/năm, trừ khi NLĐ đồng ý bằng văn bản); đơn phương chấm dứt HĐLĐ theo Điều 36 BLLĐ 2019.</t>
  </si>
  <si>
    <t>11.2. Nghĩa vụ: thực hiện đầy đủ cam kết tại Hợp đồng; trả lương, đóng bảo hiểm, khấu trừ nộp thuế đúng quy định; bảo đảm điều kiện làm việc, ATVSLĐ; tôn trọng danh dự, nhân phẩm của NLĐ; bảo vệ dữ liệu cá nhân của NLĐ theo quy định về bảo vệ dữ liệu cá nhân; cung cấp bản sao các tài liệu liên quan đến quá trình làm việc khi NLĐ yêu cầu lúc chấm dứt hợp đồng (chi phí sao gửi do NSDLĐ trả).</t>
  </si>
  <si>
    <t>Điều 12. Sửa đổi, tạm hoãn và chấm dứt hợp đồng lao động</t>
  </si>
  <si>
    <t>12.1. Sửa đổi, bổ sung Hợp đồng: bên đề nghị báo trước ít nhất 03 ngày làm việc; nếu thống nhất thì ký phụ lục hợp đồng hoặc HĐLĐ mới (Điều 33 BLLĐ 2019). Phụ lục không được sửa đổi thời hạn của Hợp đồng (Điều 22 BLLĐ 2019).</t>
  </si>
  <si>
    <t>12.2. Tạm hoãn thực hiện Hợp đồng: theo Điều 30 BLLĐ 2019; hết thời hạn tạm hoãn, NSDLĐ nhận NLĐ trở lại làm việc theo Điều 31 BLLĐ 2019.</t>
  </si>
  <si>
    <t>12.3. Hợp đồng chấm dứt theo các trường hợp tại Điều 34 BLLĐ 2019. Khi đơn phương chấm dứt hợp pháp, thời hạn báo trước tối thiểu: 45 ngày với HĐLĐ không xác định thời hạn; 30 ngày với HĐLĐ xác định thời hạn từ 12–36 tháng; 03 ngày làm việc với HĐLĐ dưới 12 tháng (trừ các trường hợp không phải báo trước theo khoản 2 Điều 35, và ngành nghề đặc thù theo NĐ 145/2020).</t>
  </si>
  <si>
    <t>12.4. Trợ cấp thôi việc: NSDLĐ trả trợ cấp thôi việc theo Điều 46 BLLĐ 2019 (mỗi năm làm việc nửa tháng tiền lương) cho thời gian làm việc thực tế trừ thời gian đã tham gia BHTN và thời gian đã được chi trả trợ cấp; trợ cấp mất việc làm theo Điều 47 BLLĐ 2019.</t>
  </si>
  <si>
    <t>12.5. Trong 14 ngày làm việc kể từ ngày chấm dứt Hợp đồng (được kéo dài nhưng không quá 30 ngày trong một số trường hợp), hai bên thanh toán đầy đủ các khoản liên quan; NSDLĐ hoàn tất thủ tục xác nhận thời gian đóng BHXH, BHTN và trả lại giấy tờ đã giữ của NLĐ (Điều 48 BLLĐ 2019).</t>
  </si>
  <si>
    <t>Điều 13. Kỷ luật lao động và trách nhiệm vật chất</t>
  </si>
  <si>
    <t>Việc xử lý kỷ luật lao động (khiển trách; kéo dài thời hạn nâng lương không quá 06 tháng; cách chức; sa thải) và trách nhiệm vật chất thực hiện theo Nội quy lao động của Công ty và Chương VIII BLLĐ 2019, bảo đảm đúng nguyên tắc, trình tự, thủ tục và thời hiệu luật định; nghiêm cấm xử lý kỷ luật đối với hành vi không được quy định trong nội quy lao động.</t>
  </si>
  <si>
    <t>Điều 14. Giải quyết tranh chấp</t>
  </si>
  <si>
    <t>Tranh chấp phát sinh từ Hợp đồng này trước hết được giải quyết thông qua thương lượng, hòa giải giữa hai bên. Trường hợp không đạt được thỏa thuận, tranh chấp được giải quyết theo trình tự giải quyết tranh chấp lao động cá nhân quy định tại Chương XIV BLLĐ 2019 (hòa giải viên lao động, Hội đồng trọng tài lao động hoặc Tòa án nhân dân có thẩm quyền).</t>
  </si>
  <si>
    <t>Điều 15. Điều khoản thi hành</t>
  </si>
  <si>
    <t>15.1. Những nội dung không được quy định trong Hợp đồng này thực hiện theo Nội quy lao động, Thỏa ước lao động tập thể (nếu có) và quy định của pháp luật lao động.</t>
  </si>
  <si>
    <t>15.2. Các phụ lục, bản mô tả công việc, thỏa thuận bảo mật – đào tạo ký kèm là bộ phận không tách rời của Hợp đồng.</t>
  </si>
  <si>
    <t>KK HOME — Biểu mẫu tham khảo, nội dung nguồn cập nhật đến tháng 7/2026</t>
  </si>
  <si>
    <t>CHỌN PHỤ LỤC ĐỂ IN  ▼</t>
  </si>
  <si>
    <t>PHẦN II — PHỤ LỤC HỢP ĐỒNG LAO ĐỘNG</t>
  </si>
  <si>
    <t>Hai bên thống nhất sửa đổi, bổ sung một số nội dung của Hợp đồng lao động như sau:</t>
  </si>
  <si>
    <t>Điều 1. Nội dung sửa đổi, bổ sung</t>
  </si>
  <si>
    <t>Điều, khoản</t>
  </si>
  <si>
    <t>Nội dung cũ</t>
  </si>
  <si>
    <t>Ví dụ thường gặp: điều chỉnh mức lương, phụ cấp; thay đổi chức danh, bộ phận; thay đổi địa điểm làm việc.</t>
  </si>
  <si>
    <t>Điều 2. Cam kết chung</t>
  </si>
  <si>
    <t>2.1. Phụ lục này không sửa đổi thời hạn của Hợp đồng lao động (khoản 2 Điều 22 BLLĐ 2019).</t>
  </si>
  <si>
    <t>2.2. Các nội dung khác của Hợp đồng lao động giữ nguyên hiệu lực. Trường hợp phụ lục có nội dung dẫn đến cách hiểu khác với hợp đồng thì thực hiện theo nội dung có lợi hơn cho NLĐ.</t>
  </si>
  <si>
    <t>PHẦN III — THỎA THUẬN BẢO MẬT THÔNG TIN VÀ CAM KẾT ĐÀO TẠO</t>
  </si>
  <si>
    <t>A. THỎA THUẬN BẢO MẬT THÔNG TIN</t>
  </si>
  <si>
    <t>Điều 1. Thông tin mật</t>
  </si>
  <si>
    <t>Điều 2. Nghĩa vụ của NLĐ</t>
  </si>
  <si>
    <t>2.2. Bàn giao đầy đủ tài liệu, dữ liệu, thiết bị chứa Thông tin mật khi chấm dứt HĐLĐ hoặc theo yêu cầu của NSDLĐ; không lưu giữ bản sao dưới mọi hình thức.</t>
  </si>
  <si>
    <t>2.3. Tuân thủ quy định của pháp luật và quy chế của Công ty về bảo vệ dữ liệu cá nhân khi xử lý dữ liệu cá nhân của khách hàng, đồng nghiệp.</t>
  </si>
  <si>
    <t>Điều 3. Xử lý vi phạm</t>
  </si>
  <si>
    <t>NLĐ vi phạm nghĩa vụ bảo mật phải bồi thường thiệt hại thực tế và trực tiếp cho NSDLĐ theo thỏa thuận tại văn bản này, nội quy lao động và quy định pháp luật (khoản 2 Điều 21 BLLĐ 2019; Điều 4 Thông tư 10/2020/TT-BLĐTBXH); tùy mức độ có thể bị xử lý kỷ luật lao động, kể cả sa thải theo Điều 125 BLLĐ 2019, và chịu trách nhiệm dân sự, hình sự theo quy định.</t>
  </si>
  <si>
    <t>B. CAM KẾT ĐÀO TẠO (áp dụng khi NLĐ được đào tạo bằng kinh phí của NSDLĐ)</t>
  </si>
  <si>
    <t>Điều 4. Nội dung đào tạo</t>
  </si>
  <si>
    <t>Điều 5. Cam kết làm việc sau đào tạo</t>
  </si>
  <si>
    <t>5.3. Thỏa thuận này được lập thành 02 bản, mỗi bên giữ 01 bản, có hiệu lực kể từ ngày ký.</t>
  </si>
  <si>
    <t>PHẦN IV — THUYẾT MINH PHÁP LÝ VÀ HƯỚNG DẪN SỬ DỤNG</t>
  </si>
  <si>
    <t>(Cập nhật theo quy định có hiệu lực đến tháng 7/2026 — phần này để doanh nghiệp tham khảo, KHÔNG in kèm khi ký hợp đồng)</t>
  </si>
  <si>
    <t>1. DANH MỤC CĂN CỨ PHÁP LÝ CHÍNH (còn hiệu lực)</t>
  </si>
  <si>
    <t>Văn bản</t>
  </si>
  <si>
    <t>Hiệu lực</t>
  </si>
  <si>
    <t>Nội dung liên quan</t>
  </si>
  <si>
    <t>Bộ luật Lao động 45/2019/QH14</t>
  </si>
  <si>
    <t>01/01/2021</t>
  </si>
  <si>
    <t>Khung pháp lý HĐLĐ: giao kết, nội dung (Đ.21), thử việc, lương, thời giờ làm việc, chấm dứt…</t>
  </si>
  <si>
    <t>NĐ 145/2020/NĐ-CP (sửa bởi NĐ 70/2023/NĐ-CP)</t>
  </si>
  <si>
    <t>01/02/2021</t>
  </si>
  <si>
    <t>Hướng dẫn chi tiết BLLĐ về điều kiện lao động, quan hệ lao động</t>
  </si>
  <si>
    <t>TT 10/2020/TT-BLĐTBXH</t>
  </si>
  <si>
    <t>Hướng dẫn nội dung bắt buộc của HĐLĐ; bảo vệ bí mật kinh doanh, công nghệ</t>
  </si>
  <si>
    <t>Luật BHXH 41/2024/QH15</t>
  </si>
  <si>
    <t>01/7/2025</t>
  </si>
  <si>
    <t>BHXH bắt buộc: đối tượng (HĐLĐ từ đủ 01 tháng), tiền lương làm căn cứ đóng, mức tham chiếu, xử lý trốn/chậm đóng</t>
  </si>
  <si>
    <t>NĐ 158/2025/NĐ-CP</t>
  </si>
  <si>
    <t>Quy định chi tiết Luật BHXH 2024</t>
  </si>
  <si>
    <t>NĐ 161/2026/NĐ-CP</t>
  </si>
  <si>
    <t>01/7/2026</t>
  </si>
  <si>
    <t>Mức tham chiếu 2.530.000 đ/tháng từ 01/7/2026</t>
  </si>
  <si>
    <t>Luật Việc làm 74/2025/QH15</t>
  </si>
  <si>
    <t>01/01/2026</t>
  </si>
  <si>
    <t>BHTN: mở rộng đối tượng (gồm HĐLĐ từ đủ 01 tháng), mức đóng tối đa 1% mỗi bên, trần hưởng 5 lần lương tối thiểu vùng</t>
  </si>
  <si>
    <t>Luật BHYT (sửa đổi 51/2024/QH15)</t>
  </si>
  <si>
    <t>BHYT bắt buộc nhóm NLĐ; mức đóng 4,5% (NSDLĐ 3%, NLĐ 1,5%)</t>
  </si>
  <si>
    <t>NĐ 293/2025/NĐ-CP</t>
  </si>
  <si>
    <t>Lương tối thiểu vùng 2026 (tăng bình quân 7,2%)</t>
  </si>
  <si>
    <t>Luật Thuế TNCN 109/2025/QH15</t>
  </si>
  <si>
    <t>01/7/2026 (áp dụng kỳ tính thuế 2026)</t>
  </si>
  <si>
    <t>Biểu thuế lũy tiến 5 bậc (5%–35%) với tiền lương, tiền công</t>
  </si>
  <si>
    <t>NQ 110/2025/UBTVQH15</t>
  </si>
  <si>
    <t>Kỳ tính thuế 2026</t>
  </si>
  <si>
    <t>Giảm trừ gia cảnh: bản thân 15,5 triệu đ/tháng; người phụ thuộc 6,2 triệu đ/tháng</t>
  </si>
  <si>
    <t>NĐ 135/2020/NĐ-CP</t>
  </si>
  <si>
    <t>Lộ trình tuổi nghỉ hưu: năm 2026 — nam 61 tuổi 6 tháng, nữ 56 tuổi 8 tháng</t>
  </si>
  <si>
    <t>Luật An toàn, vệ sinh lao động 84/2015/QH13; NĐ 58/2020/NĐ-CP</t>
  </si>
  <si>
    <t>01/7/2016</t>
  </si>
  <si>
    <t>ATVSLĐ; mức đóng quỹ TNLĐ-BNN 0,5% (hoặc 0,3% nếu đủ điều kiện)</t>
  </si>
  <si>
    <t>2. LƯƠNG TỐI THIỂU VÙNG TỪ 01/01/2026 (Nghị định 293/2025/NĐ-CP)</t>
  </si>
  <si>
    <t>5.310.000 đ</t>
  </si>
  <si>
    <t>25.500 đ</t>
  </si>
  <si>
    <t>+350.000 đ</t>
  </si>
  <si>
    <t>4.730.000 đ</t>
  </si>
  <si>
    <t>22.700 đ</t>
  </si>
  <si>
    <t>+320.000 đ</t>
  </si>
  <si>
    <t>4.140.000 đ</t>
  </si>
  <si>
    <t>20.000 đ</t>
  </si>
  <si>
    <t>+280.000 đ</t>
  </si>
  <si>
    <t>3.700.000 đ</t>
  </si>
  <si>
    <t>17.800 đ</t>
  </si>
  <si>
    <t>+250.000 đ</t>
  </si>
  <si>
    <t>– Mức lương tại Điều 3 HĐLĐ không được thấp hơn lương tối thiểu vùng nơi NLĐ làm việc; lương thử việc tối thiểu bằng 85% mức lương của công việc.</t>
  </si>
  <si>
    <t>– Doanh nghiệp có đơn vị, chi nhánh hoạt động trên các địa bàn có mức lương tối thiểu khác nhau thì áp dụng theo địa bàn nơi NLĐ làm việc.</t>
  </si>
  <si>
    <t>– Khi lương tối thiểu tăng, rà soát lại mức lương HĐLĐ và mức đóng BHTN (trần đóng BHTN gắn với lương tối thiểu vùng).</t>
  </si>
  <si>
    <t>3. BHXH – BHYT – BHTN NĂM 2026</t>
  </si>
  <si>
    <t>a) Đối tượng: NLĐ làm việc theo HĐLĐ từ đủ 01 tháng trở lên thuộc diện tham gia BHXH bắt buộc (Luật BHXH 2024, mở rộng cả người quản lý doanh nghiệp không hưởng lương ở một số trường hợp, NLĐ làm việc không trọn thời gian có tiền lương tháng bằng hoặc cao hơn tiền lương làm căn cứ đóng thấp nhất…). Từ 01/01/2026, đối tượng tham gia BHTN cũng mở rộng tương ứng gồm NLĐ có HĐLĐ từ đủ 01 tháng (Luật Việc làm 2025).</t>
  </si>
  <si>
    <t>b) Tỷ lệ đóng: như bảng tại Điều 6 Phần I — tổng cộng NSDLĐ 21,5% (trong đó TNLĐ-BNN có thể 0,3% nếu đủ điều kiện NĐ 58/2020); NLĐ 10,5%. Lao động nước ngoài: tham gia BHXH bắt buộc (8% – 17,5%) và BHYT (1,5% – 3%), không thuộc diện BHTN.</t>
  </si>
  <si>
    <t>c) Tiền lương làm căn cứ đóng BHXH (Điều 31 Luật BHXH 2024): mức lương theo công việc/chức danh + phụ cấp lương + các khoản bổ sung khác được xác định mức tiền cụ thể, trả thường xuyên, ổn định trong mỗi kỳ trả lương. Các khoản phúc lợi không mang tính ổn định (thưởng theo Điều 104 BLLĐ, tiền ăn giữa ca, hỗ trợ xăng xe, điện thoại, nhà ở, trông trẻ… khi không cố định hằng kỳ) không thuộc căn cứ đóng — cần ghi tách bạch trong HĐLĐ/quy chế lương.</t>
  </si>
  <si>
    <t>d) Sàn và trần đóng BHXH, BHYT:</t>
  </si>
  <si>
    <t>– Sàn: không thấp hơn mức tham chiếu (từ 01/7/2025 đến 30/6/2026: 2.340.000 đ/tháng; từ 01/7/2026: 2.530.000 đ/tháng theo NĐ 161/2026/NĐ-CP).</t>
  </si>
  <si>
    <t>– Trần: 20 lần mức tham chiếu — đến 30/6/2026: 46.800.000 đ/tháng; từ 01/7/2026: 50.600.000 đ/tháng.</t>
  </si>
  <si>
    <t>– Trần tiền lương đóng BHTN: 20 lần mức lương tối thiểu tháng theo vùng tại thời điểm đóng (Vùng I năm 2026: 106.200.000 đ/tháng).</t>
  </si>
  <si>
    <t>e) Thời hạn nộp và chế tài: đóng chậm nhất theo thời hạn luật định; hành vi chậm đóng, trốn đóng bị tính lãi 0,03%/ngày trên số tiền và số ngày chậm/trốn đóng, xử phạt hành chính, thậm chí xử lý hình sự (Điều 38–41 Luật BHXH 2024).</t>
  </si>
  <si>
    <t>4. THUẾ TNCN TỪ KỲ TÍNH THUẾ 2026</t>
  </si>
  <si>
    <t>a) Giảm trừ gia cảnh (NQ 110/2025/UBTVQH15, áp dụng từ kỳ tính thuế 2026): bản thân 15,5 triệu đồng/tháng (186 triệu đồng/năm); mỗi người phụ thuộc 6,2 triệu đồng/tháng (74,4 triệu đồng/năm).</t>
  </si>
  <si>
    <t>b) Biểu thuế lũy tiến từng phần 5 bậc (Luật Thuế TNCN 109/2025/QH15, áp dụng với thu nhập tiền lương, tiền công từ kỳ tính thuế 2026):</t>
  </si>
  <si>
    <t>Bậc</t>
  </si>
  <si>
    <t>Thu nhập tính thuế/tháng</t>
  </si>
  <si>
    <t>Thuế suất</t>
  </si>
  <si>
    <t>1</t>
  </si>
  <si>
    <t>Đến 10 triệu đồng</t>
  </si>
  <si>
    <t>5%</t>
  </si>
  <si>
    <t>2</t>
  </si>
  <si>
    <t>Trên 10 đến 30 triệu đồng</t>
  </si>
  <si>
    <t>10%</t>
  </si>
  <si>
    <t>3</t>
  </si>
  <si>
    <t>Trên 30 đến 60 triệu đồng</t>
  </si>
  <si>
    <t>20%</t>
  </si>
  <si>
    <t>4</t>
  </si>
  <si>
    <t>Trên 60 đến 100 triệu đồng</t>
  </si>
  <si>
    <t>30%</t>
  </si>
  <si>
    <t>5</t>
  </si>
  <si>
    <t>Trên 100 triệu đồng</t>
  </si>
  <si>
    <t>35%</t>
  </si>
  <si>
    <t>c) Thu nhập tính thuế = Tổng thu nhập chịu thuế từ tiền lương, tiền công − các khoản bảo hiểm bắt buộc NLĐ đóng (10,5%) − giảm trừ gia cảnh − đóng góp từ thiện, nhân đạo, quỹ hưu trí tự nguyện (theo mức khống chế).</t>
  </si>
  <si>
    <t>d) Một số khoản không tính vào thu nhập chịu thuế thường gặp khi soạn HĐLĐ (theo quy định hiện hành, cần theo dõi văn bản hướng dẫn Luật 109/2025 có thể điều chỉnh định mức):</t>
  </si>
  <si>
    <t>– Phần tiền lương làm thêm giờ, làm đêm được trả cao hơn so với đơn giá làm việc ban ngày, trong giờ;</t>
  </si>
  <si>
    <t>– Tiền ăn giữa ca chi bằng tiền không vượt định mức (hiện hành 730.000 đ/tháng); nếu tự tổ chức nấu ăn/mua suất ăn thì không tính vào thu nhập;</t>
  </si>
  <si>
    <t>– Khoán chi điện thoại, công tác phí, trang phục (trang phục bằng tiền hiện hành tối đa 5.000.000 đ/người/năm) theo quy chế của doanh nghiệp;</t>
  </si>
  <si>
    <t>– Phần đóng bảo hiểm bắt buộc, đóng góp quỹ hưu trí tự nguyện trong định mức; một số phúc lợi có tính chất chung cho tập thể.</t>
  </si>
  <si>
    <t>e) Ví dụ minh họa (năm 2026): NLĐ lương 30 triệu đ/tháng, 01 người phụ thuộc. Bảo hiểm bắt buộc: 30tr × 10,5% = 3,15 triệu. Thu nhập tính thuế = 30 − 3,15 − 15,5 − 6,2 = 5,15 triệu (thuộc bậc 1). Thuế TNCN = 5,15tr × 5% = 257.500 đ/tháng.</t>
  </si>
  <si>
    <t>5. NHỮNG LỖI DOANH NGHIỆP THƯỜNG GẶP — CHECKLIST RÀ SOÁT</t>
  </si>
  <si>
    <t>– Ký HĐLĐ xác định thời hạn quá 02 lần liên tiếp; ký "hợp đồng dịch vụ/cộng tác viên" cho quan hệ thực chất là lao động (rủi ro bị xác định lại là HĐLĐ theo khoản 1 Điều 13 BLLĐ 2019 kèm truy đóng bảo hiểm, thuế).</t>
  </si>
  <si>
    <t>– Người ký hợp đồng phía doanh nghiệp không đúng thẩm quyền, không có ủy quyền hợp lệ.</t>
  </si>
  <si>
    <t>– Ghi lương "gộp" (gross/net) không rõ cơ cấu, không tách mức lương – phụ cấp – khoản bổ sung, gây tranh chấp về mức đóng BHXH và lương làm thêm giờ.</t>
  </si>
  <si>
    <t>– Thỏa thuận đóng BHXH theo mức thấp hơn tiền lương thực trả cho các khoản thuộc diện phải đóng (rủi ro truy thu + lãi 0,03%/ngày + phạt).</t>
  </si>
  <si>
    <t>– Quên rà soát lương tối thiểu vùng khi có Nghị định mới (01/01/2026 đã tăng bình quân 7,2%).</t>
  </si>
  <si>
    <t>– Thử việc quá thời hạn luật định, trả lương thử việc dưới 85%, hoặc thử việc với HĐLĐ dưới 01 tháng.</t>
  </si>
  <si>
    <t>– Giữ bản chính giấy tờ tùy thân, văn bằng, chứng chỉ của NLĐ; yêu cầu biện pháp bảo đảm bằng tiền (bị cấm — Điều 17 BLLĐ 2019).</t>
  </si>
  <si>
    <t>– Điều khoản phạt vi phạm/"bồi thường 2-3 tháng lương nếu nghỉ ngang" không đúng quy định — nghĩa vụ của NLĐ khi đơn phương trái luật chỉ theo Điều 40 BLLĐ 2019.</t>
  </si>
  <si>
    <t>– Không ban hành nội quy lao động (bắt buộc đăng ký khi sử dụng từ 10 NLĐ trở lên) khiến không có căn cứ xử lý kỷ luật.</t>
  </si>
  <si>
    <t>– Áp dụng giảm trừ gia cảnh, biểu thuế cũ (7 bậc, 11 triệu/4,4 triệu) cho kỳ tính thuế 2026 — đã thay đổi từ 01/01/2026.</t>
  </si>
  <si>
    <t>6. HƯỚNG DẪN ĐIỀN NHANH</t>
  </si>
  <si>
    <t>– Các chỗ "……": điền thông tin thực tế của doanh nghiệp và NLĐ; ô ☐: đánh dấu (x hoặc v) vào phương án lựa chọn.</t>
  </si>
  <si>
    <t>– Số hợp đồng nên đặt theo cấu trúc: [số thứ tự]/[năm]/HĐLĐ-[tên viết tắt công ty], ví dụ: 015/2026/HĐLĐ-ABC.</t>
  </si>
  <si>
    <t>– Điều 3: nếu doanh nghiệp trả "lương gross", ghi rõ mức lương gộp và cơ cấu; nếu thỏa thuận "lương net", vẫn phải quy đổi và ghi mức lương làm căn cứ đóng bảo hiểm, khấu trừ thuế trong hợp đồng/quy chế.</t>
  </si>
  <si>
    <t>– Doanh nghiệp dưới 10 lao động không bắt buộc đăng ký nội quy lao động nhưng vẫn nên ban hành nội quy bằng văn bản.</t>
  </si>
  <si>
    <t>– Với NLĐ nước ngoài: bổ sung thông tin giấy phép lao động; thời hạn HĐLĐ không vượt quá thời hạn giấy phép lao động (Điều 151 BLLĐ 2019); không đóng BHTN.</t>
  </si>
  <si>
    <t>– Nên rà soát bộ mẫu này định kỳ 6 tháng/lần hoặc khi có văn bản mới (đặc biệt: nghị định, thông tư hướng dẫn Luật Thuế TNCN 109/2025 và Luật Việc làm 2025 đang tiếp tục được ban hành).</t>
  </si>
  <si>
    <t>7. ĐIỀU KHOẢN MIỄN TRỪ TRÁCH NHIỆM SỬ DỤNG</t>
  </si>
  <si>
    <t>7.1. Mục đích tài liệu: Bộ mẫu này do KK HOME biên soạn, tổng hợp từ các văn bản quy phạm pháp luật về lao động, bảo hiểm xã hội và thuế thu nhập cá nhân có hiệu lực đến tháng 7/2026, chỉ nhằm mục đích THAM KHẢO chung cho doanh nghiệp. Tài liệu KHÔNG phải là ý kiến tư vấn pháp lý, tư vấn thuế hay tư vấn nhân sự cho bất kỳ trường hợp cụ thể nào.</t>
  </si>
  <si>
    <t>7.2. Trách nhiệm của người sử dụng: Người sử dụng tự chịu trách nhiệm rà soát, điều chỉnh nội dung biểu mẫu cho phù hợp với ngành nghề, quy mô, nội quy lao động, thỏa ước lao động tập thể và tình huống thực tế của mình trước khi ký kết, ban hành. Việc sử dụng toàn bộ hoặc một phần tài liệu đồng nghĩa với việc người sử dụng chấp nhận điều khoản miễn trừ này.</t>
  </si>
  <si>
    <t>7.3. Giới hạn trách nhiệm: Trong phạm vi tối đa pháp luật cho phép, KK HOME không chịu trách nhiệm đối với bất kỳ tổn thất, thiệt hại trực tiếp hoặc gián tiếp nào (bao gồm nhưng không giới hạn: bị xử phạt vi phạm hành chính, truy thu bảo hiểm, truy thu thuế, tiền chậm nộp, tranh chấp lao động, thiệt hại kinh doanh) phát sinh từ hoặc liên quan đến việc sử dụng tài liệu này.</t>
  </si>
  <si>
    <t>7.4. Thay đổi pháp luật: Văn bản quy phạm pháp luật có thể được sửa đổi, bổ sung, thay thế hoặc có văn bản hướng dẫn mới sau thời điểm biên soạn (đặc biệt các văn bản hướng dẫn Luật Thuế TNCN 109/2025, Luật Việc làm 2025 và Luật Quản lý thuế 108/2025 đang tiếp tục được ban hành). Người sử dụng có trách nhiệm tự cập nhật quy định tại thời điểm áp dụng; tài liệu không được tự động cập nhật.</t>
  </si>
  <si>
    <t>7.5. Khuyến nghị: Trước khi áp dụng chính thức, doanh nghiệp cần đối chiếu văn bản gốc trên Cổng thông tin điện tử Chính phủ (vanban.chinhphu.vn) và tham vấn luật sư, chuyên gia lao động – tiền lương hoặc đại lý thuế đối với các giao dịch có giá trị lớn, tình huống phức tạp hoặc có yếu tố nước ngoài.</t>
  </si>
  <si>
    <t>7.6. Bản quyền: Tài liệu được cung cấp để doanh nghiệp sử dụng nội bộ. Không sao chép, phân phối lại vì mục đích thương mại dưới danh nghĩa khác khi chưa có sự đồng ý của KK HOME.</t>
  </si>
  <si>
    <t>Đồng Tháp</t>
  </si>
  <si>
    <t>090 744 6543</t>
  </si>
  <si>
    <t>https://www.hkdkkhome.com/</t>
  </si>
  <si>
    <t>CĂN CỨ PHÁP LÝ</t>
  </si>
  <si>
    <t>Bộ Luật Lao động 2019</t>
  </si>
  <si>
    <t>Luật BHXH 2024</t>
  </si>
  <si>
    <t>Luật Việc làm 2025</t>
  </si>
  <si>
    <t>Luật Thuế TNCN 2025</t>
  </si>
  <si>
    <t>Mức lương tối thiểu vùng theo Nghị định 293/2025/NĐ-CP</t>
  </si>
  <si>
    <t>Bộ mẫu Hợp đồng lao động 2026 do KK HOME biên soạn, cập nhật căn cứ pháp lý đến tháng 7/2026:</t>
  </si>
  <si>
    <t>HƯỚNG DẪN CHUNG</t>
  </si>
  <si>
    <t>CÔNG TY TNHH KK HOME</t>
  </si>
  <si>
    <t>admin@hkdkkhome.com</t>
  </si>
  <si>
    <t>526 Lê Đại Hành, Phường Mỹ Trà, Tỉnh Đồng Tháp</t>
  </si>
  <si>
    <t>HUỲNH NGỌC NGÂN</t>
  </si>
  <si>
    <t>CCCDxxxxxxxx</t>
  </si>
  <si>
    <t>NV0001</t>
  </si>
  <si>
    <t>NV0002</t>
  </si>
  <si>
    <t>NV0003</t>
  </si>
  <si>
    <t>NV0004</t>
  </si>
  <si>
    <t>NV0005</t>
  </si>
  <si>
    <t>NV0006</t>
  </si>
  <si>
    <t>NV0007</t>
  </si>
  <si>
    <t>NV0008</t>
  </si>
  <si>
    <t>NV0009</t>
  </si>
  <si>
    <t>NV0010</t>
  </si>
  <si>
    <t>NV0011</t>
  </si>
  <si>
    <t>NV0012</t>
  </si>
  <si>
    <t>NV0013</t>
  </si>
  <si>
    <t>NV0014</t>
  </si>
  <si>
    <t>NV0015</t>
  </si>
  <si>
    <t>NV0016</t>
  </si>
  <si>
    <t>NV0017</t>
  </si>
  <si>
    <t>NV0018</t>
  </si>
  <si>
    <t>NV0019</t>
  </si>
  <si>
    <t>NV0020</t>
  </si>
  <si>
    <t>NV0021</t>
  </si>
  <si>
    <t>NV0022</t>
  </si>
  <si>
    <t>NV0023</t>
  </si>
  <si>
    <t>NV0024</t>
  </si>
  <si>
    <t>NV0025</t>
  </si>
  <si>
    <t>NV0026</t>
  </si>
  <si>
    <t>NV0027</t>
  </si>
  <si>
    <t>NV0028</t>
  </si>
  <si>
    <t>NV0029</t>
  </si>
  <si>
    <t>NV0030</t>
  </si>
  <si>
    <t>NV0031</t>
  </si>
  <si>
    <t>NV0032</t>
  </si>
  <si>
    <t>NV0033</t>
  </si>
  <si>
    <t>NV0034</t>
  </si>
  <si>
    <t>NV0035</t>
  </si>
  <si>
    <t>NV0036</t>
  </si>
  <si>
    <t>NV0037</t>
  </si>
  <si>
    <t>NV0038</t>
  </si>
  <si>
    <t>NV0039</t>
  </si>
  <si>
    <t>NV0040</t>
  </si>
  <si>
    <t>NV0041</t>
  </si>
  <si>
    <t>NV0042</t>
  </si>
  <si>
    <t>NV0043</t>
  </si>
  <si>
    <t>NV0044</t>
  </si>
  <si>
    <t>NV0045</t>
  </si>
  <si>
    <t>NV0046</t>
  </si>
  <si>
    <t>NV0047</t>
  </si>
  <si>
    <t>NV0048</t>
  </si>
  <si>
    <t>NV0049</t>
  </si>
  <si>
    <t>NV0050</t>
  </si>
  <si>
    <t>NV0051</t>
  </si>
  <si>
    <t>NV0052</t>
  </si>
  <si>
    <t>NV0053</t>
  </si>
  <si>
    <t>NV0054</t>
  </si>
  <si>
    <t>NV0055</t>
  </si>
  <si>
    <t>NV0056</t>
  </si>
  <si>
    <t>NV0057</t>
  </si>
  <si>
    <t>NV0058</t>
  </si>
  <si>
    <t>NV0059</t>
  </si>
  <si>
    <t>NV0060</t>
  </si>
  <si>
    <t>NV0061</t>
  </si>
  <si>
    <t>NV0062</t>
  </si>
  <si>
    <t>NV0063</t>
  </si>
  <si>
    <t>NV0064</t>
  </si>
  <si>
    <t>NV0065</t>
  </si>
  <si>
    <t>NV0066</t>
  </si>
  <si>
    <t>NV0067</t>
  </si>
  <si>
    <t>NV0068</t>
  </si>
  <si>
    <t>NV0069</t>
  </si>
  <si>
    <t>NV0070</t>
  </si>
  <si>
    <t>NV0071</t>
  </si>
  <si>
    <t>NV0072</t>
  </si>
  <si>
    <t>NV0073</t>
  </si>
  <si>
    <t>NV0074</t>
  </si>
  <si>
    <t>NV0075</t>
  </si>
  <si>
    <t>NV0076</t>
  </si>
  <si>
    <t>NV0077</t>
  </si>
  <si>
    <t>NV0078</t>
  </si>
  <si>
    <t>NV0079</t>
  </si>
  <si>
    <t>NV0080</t>
  </si>
  <si>
    <t>NV0081</t>
  </si>
  <si>
    <t>NV0082</t>
  </si>
  <si>
    <t>NV0083</t>
  </si>
  <si>
    <t>NV0084</t>
  </si>
  <si>
    <t>NV0085</t>
  </si>
  <si>
    <t>NV0086</t>
  </si>
  <si>
    <t>NV0087</t>
  </si>
  <si>
    <t>NV0088</t>
  </si>
  <si>
    <t>NV0089</t>
  </si>
  <si>
    <t>NV0090</t>
  </si>
  <si>
    <t>NV0091</t>
  </si>
  <si>
    <t>NV0092</t>
  </si>
  <si>
    <t>NV0093</t>
  </si>
  <si>
    <t>NV0094</t>
  </si>
  <si>
    <t>NV0095</t>
  </si>
  <si>
    <t>NV0096</t>
  </si>
  <si>
    <t>NV0097</t>
  </si>
  <si>
    <t>NV0098</t>
  </si>
  <si>
    <t>NV0099</t>
  </si>
  <si>
    <t>NV0100</t>
  </si>
  <si>
    <t>NV0101</t>
  </si>
  <si>
    <t>NV0102</t>
  </si>
  <si>
    <t>NV0103</t>
  </si>
  <si>
    <t>NV0104</t>
  </si>
  <si>
    <t>NV0105</t>
  </si>
  <si>
    <t>NV0106</t>
  </si>
  <si>
    <t>NV0107</t>
  </si>
  <si>
    <t>NV0108</t>
  </si>
  <si>
    <t>NV0109</t>
  </si>
  <si>
    <t>NV0110</t>
  </si>
  <si>
    <t>NV0111</t>
  </si>
  <si>
    <t>NV0112</t>
  </si>
  <si>
    <t>NV0113</t>
  </si>
  <si>
    <t>NV0114</t>
  </si>
  <si>
    <t>NV0115</t>
  </si>
  <si>
    <t>NV0116</t>
  </si>
  <si>
    <t>NV0117</t>
  </si>
  <si>
    <t>NV0118</t>
  </si>
  <si>
    <t>NV0119</t>
  </si>
  <si>
    <t>NV0120</t>
  </si>
  <si>
    <t>NV0121</t>
  </si>
  <si>
    <t>NV0122</t>
  </si>
  <si>
    <t>NV0123</t>
  </si>
  <si>
    <t>NV0124</t>
  </si>
  <si>
    <t>NV0125</t>
  </si>
  <si>
    <t>NV0126</t>
  </si>
  <si>
    <t>NV0127</t>
  </si>
  <si>
    <t>NV0128</t>
  </si>
  <si>
    <t>NV0129</t>
  </si>
  <si>
    <t>NV0130</t>
  </si>
  <si>
    <t>NV0131</t>
  </si>
  <si>
    <t>NV0132</t>
  </si>
  <si>
    <t>NV0133</t>
  </si>
  <si>
    <t>NV0134</t>
  </si>
  <si>
    <t>NV0135</t>
  </si>
  <si>
    <t>NV0136</t>
  </si>
  <si>
    <t>NV0137</t>
  </si>
  <si>
    <t>NV0138</t>
  </si>
  <si>
    <t>NV0139</t>
  </si>
  <si>
    <t>NV0140</t>
  </si>
  <si>
    <t>NV0141</t>
  </si>
  <si>
    <t>NV0142</t>
  </si>
  <si>
    <t>NV0143</t>
  </si>
  <si>
    <t>NV0144</t>
  </si>
  <si>
    <t>NV0145</t>
  </si>
  <si>
    <t>NV0146</t>
  </si>
  <si>
    <t>NV0147</t>
  </si>
  <si>
    <t>NV0148</t>
  </si>
  <si>
    <t>NV0149</t>
  </si>
  <si>
    <t>NV0150</t>
  </si>
  <si>
    <t>NV0151</t>
  </si>
  <si>
    <t>NV0152</t>
  </si>
  <si>
    <t>NV0153</t>
  </si>
  <si>
    <t>NV0154</t>
  </si>
  <si>
    <t>NV0155</t>
  </si>
  <si>
    <t>NV0156</t>
  </si>
  <si>
    <t>NV0157</t>
  </si>
  <si>
    <t>NV0158</t>
  </si>
  <si>
    <t>NV0159</t>
  </si>
  <si>
    <t>NV0160</t>
  </si>
  <si>
    <t>NV0161</t>
  </si>
  <si>
    <t>NV0162</t>
  </si>
  <si>
    <t>NV0163</t>
  </si>
  <si>
    <t>NV0164</t>
  </si>
  <si>
    <t>NV0165</t>
  </si>
  <si>
    <t>NV0166</t>
  </si>
  <si>
    <t>NV0167</t>
  </si>
  <si>
    <t>NV0168</t>
  </si>
  <si>
    <t>NV0169</t>
  </si>
  <si>
    <t>NV0170</t>
  </si>
  <si>
    <t>NV0171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</si>
</sst>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52" x14ac:knownFonts="1">
    <font>
      <sz val="10"/>
      <name val="Arial"/>
      <family val="2"/>
      <charset val="1"/>
    </font>
    <font>
      <sz val="11"/>
      <name val="Calibri"/>
      <family val="2"/>
    </font>
    <font>
      <b/>
      <sz val="11"/>
      <color rgb="FF1F2937"/>
      <name val="Times New Roman"/>
      <family val="1"/>
    </font>
    <font>
      <b/>
      <sz val="17"/>
      <color rgb="FFFFFFFF"/>
      <name val="Aptos"/>
    </font>
    <font>
      <i/>
      <sz val="10"/>
      <color rgb="FF1F2937"/>
      <name val="Aptos"/>
    </font>
    <font>
      <b/>
      <sz val="11"/>
      <color rgb="FF1F4E78"/>
      <name val="Aptos"/>
    </font>
    <font>
      <sz val="10"/>
      <color rgb="FF1F2937"/>
      <name val="Aptos"/>
    </font>
    <font>
      <b/>
      <sz val="9"/>
      <color rgb="FFFFFFFF"/>
      <name val="Aptos"/>
    </font>
    <font>
      <sz val="9"/>
      <color rgb="FF1F2937"/>
      <name val="Aptos"/>
    </font>
    <font>
      <b/>
      <sz val="15"/>
      <color rgb="FFFFFFFF"/>
      <name val="Aptos"/>
    </font>
    <font>
      <b/>
      <sz val="10"/>
      <color rgb="FF1F4E78"/>
      <name val="Aptos"/>
    </font>
    <font>
      <b/>
      <sz val="11"/>
      <color rgb="FFFFFFFF"/>
      <name val="Aptos"/>
    </font>
    <font>
      <b/>
      <sz val="10"/>
      <color rgb="FF1F2937"/>
      <name val="Aptos"/>
    </font>
    <font>
      <sz val="9"/>
      <color rgb="FF5B6573"/>
      <name val="Aptos"/>
    </font>
    <font>
      <b/>
      <sz val="16"/>
      <color rgb="FFFFFFFF"/>
      <name val="Aptos"/>
    </font>
    <font>
      <b/>
      <sz val="11"/>
      <color rgb="FF1F2937"/>
      <name val="Aptos"/>
    </font>
    <font>
      <b/>
      <sz val="12"/>
      <color rgb="FF1F4E78"/>
      <name val="Aptos"/>
    </font>
    <font>
      <sz val="10.5"/>
      <color rgb="FF374151"/>
      <name val="Aptos"/>
    </font>
    <font>
      <i/>
      <sz val="9"/>
      <color rgb="FFBF9000"/>
      <name val="Aptos"/>
    </font>
    <font>
      <b/>
      <sz val="13"/>
      <color rgb="FF215E21"/>
      <name val="Aptos"/>
    </font>
    <font>
      <sz val="11"/>
      <color rgb="FF1F2937"/>
      <name val="Aptos"/>
    </font>
    <font>
      <b/>
      <sz val="10"/>
      <color rgb="FFFFFFFF"/>
      <name val="Aptos"/>
    </font>
    <font>
      <sz val="10"/>
      <color rgb="FF9C0006"/>
      <name val="Aptos"/>
    </font>
    <font>
      <b/>
      <sz val="11"/>
      <color rgb="FFFFFFFF"/>
      <name val="Times New Roman"/>
      <family val="1"/>
    </font>
    <font>
      <b/>
      <sz val="10"/>
      <color rgb="FF1F2937"/>
      <name val="Times New Roman"/>
      <family val="1"/>
    </font>
    <font>
      <b/>
      <sz val="13"/>
      <color rgb="FFC00000"/>
      <name val="Times New Roman"/>
      <family val="1"/>
    </font>
    <font>
      <sz val="10"/>
      <color rgb="FF1F2937"/>
      <name val="Times New Roman"/>
      <family val="1"/>
    </font>
    <font>
      <i/>
      <sz val="10"/>
      <color rgb="FF1F4E78"/>
      <name val="Times New Roman"/>
      <family val="1"/>
    </font>
    <font>
      <b/>
      <sz val="15"/>
      <color rgb="FF1F4E78"/>
      <name val="Times New Roman"/>
      <family val="1"/>
    </font>
    <font>
      <i/>
      <sz val="8.5"/>
      <color rgb="FF6B7280"/>
      <name val="Times New Roman"/>
      <family val="1"/>
    </font>
    <font>
      <i/>
      <sz val="10"/>
      <color rgb="FF1F2937"/>
      <name val="Times New Roman"/>
      <family val="1"/>
    </font>
    <font>
      <b/>
      <sz val="11"/>
      <color rgb="FF1F4E78"/>
      <name val="Times New Roman"/>
      <family val="1"/>
    </font>
    <font>
      <i/>
      <sz val="9"/>
      <color rgb="FF595959"/>
      <name val="Times New Roman"/>
      <family val="1"/>
    </font>
    <font>
      <b/>
      <sz val="10"/>
      <color rgb="FF1F4E78"/>
      <name val="Times New Roman"/>
      <family val="1"/>
    </font>
    <font>
      <i/>
      <sz val="8"/>
      <color rgb="FF7F7F7F"/>
      <name val="Times New Roman"/>
      <family val="1"/>
    </font>
    <font>
      <u/>
      <sz val="10"/>
      <color theme="10"/>
      <name val="Arial"/>
      <family val="2"/>
      <charset val="1"/>
    </font>
    <font>
      <sz val="10"/>
      <name val="Tahoma"/>
      <family val="2"/>
    </font>
    <font>
      <u/>
      <sz val="10"/>
      <color theme="10"/>
      <name val="Tahoma"/>
      <family val="2"/>
    </font>
    <font>
      <b/>
      <sz val="10"/>
      <color rgb="FFFFFFFF"/>
      <name val="Tahoma"/>
      <family val="2"/>
    </font>
    <font>
      <b/>
      <sz val="10"/>
      <color rgb="FF1F4E78"/>
      <name val="Tahoma"/>
      <family val="2"/>
    </font>
    <font>
      <sz val="10"/>
      <color rgb="FF374151"/>
      <name val="Tahoma"/>
      <family val="2"/>
    </font>
    <font>
      <sz val="10"/>
      <color rgb="FF1F2937"/>
      <name val="Tahoma"/>
      <family val="2"/>
    </font>
    <font>
      <i/>
      <sz val="10"/>
      <color rgb="FF6B7280"/>
      <name val="Tahoma"/>
      <family val="2"/>
    </font>
    <font>
      <b/>
      <sz val="14"/>
      <color rgb="FFFFFFFF"/>
      <name val="Tahoma"/>
      <family val="2"/>
    </font>
    <font>
      <b/>
      <sz val="22"/>
      <color rgb="FFFFFFFF"/>
      <name val="Tahoma"/>
      <family val="2"/>
    </font>
    <font>
      <i/>
      <sz val="10"/>
      <name val="Tahoma"/>
      <family val="2"/>
    </font>
    <font>
      <sz val="10"/>
      <color theme="6" tint="-0.499984740745262"/>
      <name val="Tahoma"/>
      <family val="2"/>
    </font>
    <font>
      <b/>
      <sz val="10"/>
      <color theme="6" tint="-0.499984740745262"/>
      <name val="Tahoma"/>
      <family val="2"/>
    </font>
    <font>
      <b/>
      <i/>
      <sz val="10"/>
      <color theme="6" tint="-0.499984740745262"/>
      <name val="Tahoma"/>
      <family val="2"/>
    </font>
    <font>
      <b/>
      <sz val="10"/>
      <color rgb="FF1F2937"/>
      <name val="Tahoma"/>
      <family val="2"/>
    </font>
    <font>
      <i/>
      <sz val="10"/>
      <color rgb="FF1F2937"/>
      <name val="Tahoma"/>
      <family val="2"/>
    </font>
    <font>
      <sz val="8"/>
      <name val="Arial"/>
      <family val="2"/>
      <charset val="1"/>
    </font>
  </fonts>
  <fills count="16">
    <fill>
      <patternFill patternType="none"/>
    </fill>
    <fill>
      <patternFill patternType="gray125"/>
    </fill>
    <fill>
      <patternFill patternType="solid">
        <fgColor rgb="FF1F4E78"/>
        <bgColor rgb="FF374151"/>
      </patternFill>
    </fill>
    <fill>
      <patternFill patternType="solid">
        <fgColor rgb="FFEAF3F8"/>
        <bgColor rgb="FFF3F4F6"/>
      </patternFill>
    </fill>
    <fill>
      <patternFill patternType="solid">
        <fgColor rgb="FFFFF2CC"/>
        <bgColor rgb="FFFFF9E6"/>
      </patternFill>
    </fill>
    <fill>
      <patternFill patternType="solid">
        <fgColor rgb="FFE2F0D9"/>
        <bgColor rgb="FFE5E7EB"/>
      </patternFill>
    </fill>
    <fill>
      <patternFill patternType="solid">
        <fgColor rgb="FFF3F4F6"/>
        <bgColor rgb="FFEAF3F8"/>
      </patternFill>
    </fill>
    <fill>
      <patternFill patternType="solid">
        <fgColor rgb="FFFFF9E6"/>
        <bgColor rgb="FFF3F4F6"/>
      </patternFill>
    </fill>
    <fill>
      <patternFill patternType="solid">
        <fgColor rgb="FFD9EAF7"/>
        <bgColor rgb="FFD6E4F0"/>
      </patternFill>
    </fill>
    <fill>
      <patternFill patternType="solid">
        <fgColor rgb="FFD9E1F2"/>
        <bgColor rgb="FFD6E4F0"/>
      </patternFill>
    </fill>
    <fill>
      <patternFill patternType="solid">
        <fgColor rgb="FFFFFFFF"/>
        <bgColor rgb="FFFFF9E6"/>
      </patternFill>
    </fill>
    <fill>
      <patternFill patternType="solid">
        <fgColor rgb="FFF4CCCC"/>
        <bgColor rgb="FFD9D9D9"/>
      </patternFill>
    </fill>
    <fill>
      <patternFill patternType="solid">
        <fgColor theme="9" tint="0.79998168889431442"/>
        <bgColor rgb="FFF3F4F6"/>
      </patternFill>
    </fill>
    <fill>
      <patternFill patternType="solid">
        <fgColor theme="9" tint="0.79998168889431442"/>
        <bgColor indexed="64"/>
      </patternFill>
    </fill>
    <fill>
      <patternFill patternType="solid">
        <fgColor theme="6" tint="-0.499984740745262"/>
        <bgColor rgb="FF374151"/>
      </patternFill>
    </fill>
    <fill>
      <patternFill patternType="solid">
        <fgColor theme="6" tint="-0.499984740745262"/>
        <bgColor indexed="64"/>
      </patternFill>
    </fill>
  </fills>
  <borders count="29">
    <border>
      <left/>
      <right/>
      <top/>
      <bottom/>
      <diagonal/>
    </border>
    <border>
      <left style="thin">
        <color rgb="FFBFC7D1"/>
      </left>
      <right style="thin">
        <color rgb="FFBFC7D1"/>
      </right>
      <top style="thin">
        <color rgb="FFBFC7D1"/>
      </top>
      <bottom style="thin">
        <color rgb="FFBFC7D1"/>
      </bottom>
      <diagonal/>
    </border>
    <border>
      <left style="thin">
        <color rgb="FF1F4E78"/>
      </left>
      <right style="thin">
        <color rgb="FF1F4E78"/>
      </right>
      <top style="thin">
        <color rgb="FF1F4E78"/>
      </top>
      <bottom style="thin">
        <color rgb="FF1F4E78"/>
      </bottom>
      <diagonal/>
    </border>
    <border>
      <left style="thin">
        <color rgb="FFA6A6A6"/>
      </left>
      <right style="thin">
        <color rgb="FFA6A6A6"/>
      </right>
      <top style="thin">
        <color rgb="FFA6A6A6"/>
      </top>
      <bottom style="thin">
        <color rgb="FFA6A6A6"/>
      </bottom>
      <diagonal/>
    </border>
    <border>
      <left style="thin">
        <color rgb="FFE5E7EB"/>
      </left>
      <right style="thin">
        <color rgb="FFE5E7EB"/>
      </right>
      <top style="thin">
        <color rgb="FFE5E7EB"/>
      </top>
      <bottom style="thin">
        <color rgb="FFE5E7EB"/>
      </bottom>
      <diagonal/>
    </border>
    <border>
      <left style="thin">
        <color rgb="FFD9D9D9"/>
      </left>
      <right style="thin">
        <color rgb="FFD9D9D9"/>
      </right>
      <top style="thin">
        <color rgb="FFD9D9D9"/>
      </top>
      <bottom style="thin">
        <color rgb="FFD9D9D9"/>
      </bottom>
      <diagonal/>
    </border>
    <border>
      <left style="thin">
        <color rgb="FF9C0006"/>
      </left>
      <right style="thin">
        <color rgb="FF9C0006"/>
      </right>
      <top style="thin">
        <color rgb="FF9C0006"/>
      </top>
      <bottom style="thin">
        <color rgb="FF9C0006"/>
      </bottom>
      <diagonal/>
    </border>
    <border>
      <left/>
      <right/>
      <top/>
      <bottom style="thin">
        <color rgb="FF1F4E78"/>
      </bottom>
      <diagonal/>
    </border>
    <border>
      <left/>
      <right/>
      <top style="thin">
        <color rgb="FFBFBFBF"/>
      </top>
      <bottom/>
      <diagonal/>
    </border>
    <border>
      <left/>
      <right style="thin">
        <color rgb="FFBFC7D1"/>
      </right>
      <top style="thin">
        <color rgb="FFBFC7D1"/>
      </top>
      <bottom style="thin">
        <color rgb="FFBFC7D1"/>
      </bottom>
      <diagonal/>
    </border>
    <border>
      <left/>
      <right/>
      <top style="thin">
        <color rgb="FF1F4E78"/>
      </top>
      <bottom style="thin">
        <color rgb="FF1F4E78"/>
      </bottom>
      <diagonal/>
    </border>
    <border>
      <left/>
      <right style="thin">
        <color rgb="FF1F4E78"/>
      </right>
      <top style="thin">
        <color rgb="FF1F4E78"/>
      </top>
      <bottom style="thin">
        <color rgb="FF1F4E78"/>
      </bottom>
      <diagonal/>
    </border>
    <border>
      <left/>
      <right/>
      <top style="thin">
        <color rgb="FFA6A6A6"/>
      </top>
      <bottom/>
      <diagonal/>
    </border>
    <border>
      <left/>
      <right style="thin">
        <color rgb="FFA6A6A6"/>
      </right>
      <top style="thin">
        <color rgb="FFA6A6A6"/>
      </top>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
      <left/>
      <right/>
      <top style="thin">
        <color rgb="FF9C0006"/>
      </top>
      <bottom/>
      <diagonal/>
    </border>
    <border>
      <left style="thin">
        <color rgb="FF9C0006"/>
      </left>
      <right/>
      <top/>
      <bottom/>
      <diagonal/>
    </border>
    <border>
      <left/>
      <right style="thin">
        <color rgb="FF9C0006"/>
      </right>
      <top style="thin">
        <color rgb="FF9C0006"/>
      </top>
      <bottom/>
      <diagonal/>
    </border>
    <border>
      <left/>
      <right style="thin">
        <color rgb="FF9C0006"/>
      </right>
      <top/>
      <bottom/>
      <diagonal/>
    </border>
    <border>
      <left style="thin">
        <color rgb="FF9C0006"/>
      </left>
      <right/>
      <top/>
      <bottom style="thin">
        <color rgb="FF9C0006"/>
      </bottom>
      <diagonal/>
    </border>
    <border>
      <left/>
      <right/>
      <top/>
      <bottom style="thin">
        <color rgb="FF9C0006"/>
      </bottom>
      <diagonal/>
    </border>
    <border>
      <left/>
      <right style="thin">
        <color rgb="FF9C0006"/>
      </right>
      <top/>
      <bottom style="thin">
        <color rgb="FF9C0006"/>
      </bottom>
      <diagonal/>
    </border>
    <border>
      <left style="thin">
        <color theme="9" tint="0.59999389629810485"/>
      </left>
      <right style="thin">
        <color theme="9" tint="0.59999389629810485"/>
      </right>
      <top style="thin">
        <color theme="9" tint="0.59999389629810485"/>
      </top>
      <bottom style="thin">
        <color theme="9" tint="0.59999389629810485"/>
      </bottom>
      <diagonal/>
    </border>
  </borders>
  <cellStyleXfs count="2">
    <xf numFmtId="0" fontId="0" fillId="0" borderId="0"/>
    <xf numFmtId="0" fontId="35" fillId="0" borderId="0"/>
  </cellStyleXfs>
  <cellXfs count="147">
    <xf numFmtId="0" fontId="0" fillId="0" borderId="0" xfId="0"/>
    <xf numFmtId="0" fontId="6" fillId="4" borderId="3" xfId="0" applyFont="1" applyFill="1" applyBorder="1" applyAlignment="1">
      <alignment vertical="center" wrapText="1"/>
    </xf>
    <xf numFmtId="0" fontId="7" fillId="2" borderId="3" xfId="0" applyFont="1" applyFill="1" applyBorder="1" applyAlignment="1">
      <alignment horizontal="center" vertical="center" wrapText="1"/>
    </xf>
    <xf numFmtId="0" fontId="10" fillId="8" borderId="3" xfId="0" applyFont="1" applyFill="1" applyBorder="1" applyAlignment="1">
      <alignment wrapText="1"/>
    </xf>
    <xf numFmtId="0" fontId="10" fillId="3" borderId="0" xfId="0" applyFont="1" applyFill="1" applyAlignment="1">
      <alignment horizontal="center" vertical="center"/>
    </xf>
    <xf numFmtId="0" fontId="6" fillId="6" borderId="3" xfId="0" applyFont="1" applyFill="1" applyBorder="1" applyAlignment="1">
      <alignment wrapText="1"/>
    </xf>
    <xf numFmtId="0" fontId="10" fillId="8" borderId="3" xfId="0" applyFont="1" applyFill="1" applyBorder="1" applyAlignment="1">
      <alignment horizontal="center"/>
    </xf>
    <xf numFmtId="0" fontId="6" fillId="0" borderId="3" xfId="0" applyFont="1" applyBorder="1"/>
    <xf numFmtId="3" fontId="6" fillId="0" borderId="3" xfId="0" applyNumberFormat="1" applyFont="1" applyBorder="1"/>
    <xf numFmtId="0" fontId="12" fillId="6" borderId="3" xfId="0" applyFont="1" applyFill="1" applyBorder="1" applyAlignment="1">
      <alignment wrapText="1"/>
    </xf>
    <xf numFmtId="0" fontId="13" fillId="10" borderId="3" xfId="0" applyFont="1" applyFill="1" applyBorder="1" applyAlignment="1">
      <alignment wrapText="1"/>
    </xf>
    <xf numFmtId="49" fontId="6" fillId="4" borderId="3" xfId="0" applyNumberFormat="1" applyFont="1" applyFill="1" applyBorder="1" applyAlignment="1">
      <alignment vertical="center" wrapText="1"/>
    </xf>
    <xf numFmtId="14" fontId="6" fillId="4" borderId="3" xfId="0" applyNumberFormat="1" applyFont="1" applyFill="1" applyBorder="1" applyAlignment="1">
      <alignment vertical="center" wrapText="1"/>
    </xf>
    <xf numFmtId="0" fontId="10" fillId="8" borderId="3" xfId="0" applyFont="1" applyFill="1" applyBorder="1" applyAlignment="1">
      <alignment horizontal="center" vertical="center"/>
    </xf>
    <xf numFmtId="49" fontId="8" fillId="0" borderId="5" xfId="0" applyNumberFormat="1" applyFont="1" applyBorder="1" applyAlignment="1">
      <alignment vertical="center" wrapText="1"/>
    </xf>
    <xf numFmtId="0" fontId="8" fillId="0" borderId="5" xfId="0" applyFont="1" applyBorder="1" applyAlignment="1">
      <alignment vertical="center" wrapText="1"/>
    </xf>
    <xf numFmtId="14" fontId="8" fillId="0" borderId="5" xfId="0" applyNumberFormat="1" applyFont="1" applyBorder="1" applyAlignment="1">
      <alignment vertical="center" wrapText="1"/>
    </xf>
    <xf numFmtId="164" fontId="8" fillId="0" borderId="5" xfId="0" applyNumberFormat="1" applyFont="1" applyBorder="1" applyAlignment="1">
      <alignment vertical="center" wrapText="1"/>
    </xf>
    <xf numFmtId="3" fontId="8" fillId="0" borderId="5" xfId="0" applyNumberFormat="1" applyFont="1" applyBorder="1" applyAlignment="1">
      <alignment vertical="center" wrapText="1"/>
    </xf>
    <xf numFmtId="49" fontId="1" fillId="0" borderId="0" xfId="0" applyNumberFormat="1" applyFont="1"/>
    <xf numFmtId="14" fontId="1" fillId="0" borderId="0" xfId="0" applyNumberFormat="1" applyFont="1"/>
    <xf numFmtId="164" fontId="1" fillId="0" borderId="0" xfId="0" applyNumberFormat="1" applyFont="1"/>
    <xf numFmtId="3" fontId="1" fillId="0" borderId="0" xfId="0" applyNumberFormat="1" applyFont="1"/>
    <xf numFmtId="0" fontId="7" fillId="2" borderId="3" xfId="0" applyFont="1" applyFill="1" applyBorder="1" applyAlignment="1">
      <alignment horizontal="center" wrapText="1"/>
    </xf>
    <xf numFmtId="0" fontId="8" fillId="0" borderId="5" xfId="0" applyFont="1" applyBorder="1" applyAlignment="1">
      <alignment wrapText="1"/>
    </xf>
    <xf numFmtId="14" fontId="8" fillId="0" borderId="5" xfId="0" applyNumberFormat="1" applyFont="1" applyBorder="1" applyAlignment="1">
      <alignment wrapText="1"/>
    </xf>
    <xf numFmtId="0" fontId="15" fillId="0" borderId="0" xfId="0" applyFont="1" applyAlignment="1">
      <alignment horizontal="left" vertical="center"/>
    </xf>
    <xf numFmtId="0" fontId="16" fillId="5" borderId="1" xfId="0" applyFont="1" applyFill="1" applyBorder="1" applyAlignment="1">
      <alignment horizontal="center" vertical="center"/>
    </xf>
    <xf numFmtId="0" fontId="12" fillId="0" borderId="0" xfId="0" applyFont="1"/>
    <xf numFmtId="0" fontId="12" fillId="0" borderId="0" xfId="0" applyFont="1" applyAlignment="1">
      <alignment wrapText="1"/>
    </xf>
    <xf numFmtId="0" fontId="6" fillId="0" borderId="0" xfId="0" applyFont="1" applyAlignment="1">
      <alignment vertical="center" wrapText="1"/>
    </xf>
    <xf numFmtId="14" fontId="6" fillId="0" borderId="0" xfId="0" applyNumberFormat="1" applyFont="1" applyAlignment="1">
      <alignment vertical="center" wrapText="1"/>
    </xf>
    <xf numFmtId="3" fontId="6" fillId="0" borderId="0" xfId="0" applyNumberFormat="1" applyFont="1" applyAlignment="1">
      <alignment vertical="center" wrapText="1"/>
    </xf>
    <xf numFmtId="0" fontId="19" fillId="0" borderId="0" xfId="0" applyFont="1" applyAlignment="1">
      <alignment horizontal="center" vertical="center" wrapText="1"/>
    </xf>
    <xf numFmtId="0" fontId="12" fillId="0" borderId="0" xfId="0" applyFont="1" applyAlignment="1">
      <alignment horizontal="center" vertical="center" wrapText="1"/>
    </xf>
    <xf numFmtId="0" fontId="33" fillId="8" borderId="3" xfId="0" applyFont="1" applyFill="1" applyBorder="1" applyAlignment="1">
      <alignment horizontal="center" vertical="center" wrapText="1"/>
    </xf>
    <xf numFmtId="0" fontId="26" fillId="10" borderId="3" xfId="0" applyFont="1" applyFill="1" applyBorder="1" applyAlignment="1">
      <alignment horizontal="left" vertical="center" wrapText="1"/>
    </xf>
    <xf numFmtId="3" fontId="26" fillId="10" borderId="3" xfId="0" applyNumberFormat="1" applyFont="1" applyFill="1" applyBorder="1" applyAlignment="1">
      <alignment horizontal="left" vertical="center" wrapText="1"/>
    </xf>
    <xf numFmtId="0" fontId="0" fillId="0" borderId="0" xfId="0"/>
    <xf numFmtId="0" fontId="0" fillId="0" borderId="9" xfId="0" applyBorder="1"/>
    <xf numFmtId="0" fontId="0" fillId="0" borderId="14" xfId="0" applyBorder="1"/>
    <xf numFmtId="0" fontId="0" fillId="0" borderId="15" xfId="0" applyBorder="1"/>
    <xf numFmtId="0" fontId="0" fillId="0" borderId="10" xfId="0" applyBorder="1"/>
    <xf numFmtId="0" fontId="0" fillId="0" borderId="11" xfId="0" applyBorder="1"/>
    <xf numFmtId="0" fontId="3" fillId="2" borderId="2" xfId="0" applyFont="1" applyFill="1" applyBorder="1" applyAlignment="1">
      <alignment horizontal="center" vertical="center" wrapText="1"/>
    </xf>
    <xf numFmtId="0" fontId="0" fillId="0" borderId="12" xfId="0" applyBorder="1"/>
    <xf numFmtId="0" fontId="0" fillId="0" borderId="13" xfId="0" applyBorder="1"/>
    <xf numFmtId="0" fontId="0" fillId="0" borderId="18" xfId="0" applyBorder="1"/>
    <xf numFmtId="0" fontId="0" fillId="0" borderId="19" xfId="0" applyBorder="1"/>
    <xf numFmtId="0" fontId="0" fillId="0" borderId="20" xfId="0" applyBorder="1"/>
    <xf numFmtId="0" fontId="9" fillId="2" borderId="0" xfId="0" applyFont="1" applyFill="1" applyAlignment="1">
      <alignment horizontal="center" vertical="center"/>
    </xf>
    <xf numFmtId="0" fontId="11" fillId="2" borderId="2" xfId="0" applyFont="1" applyFill="1" applyBorder="1" applyAlignment="1">
      <alignment horizontal="center"/>
    </xf>
    <xf numFmtId="0" fontId="0" fillId="0" borderId="16" xfId="0" applyBorder="1"/>
    <xf numFmtId="0" fontId="0" fillId="0" borderId="17" xfId="0" applyBorder="1"/>
    <xf numFmtId="0" fontId="4" fillId="7" borderId="3" xfId="0" applyFont="1" applyFill="1" applyBorder="1" applyAlignment="1">
      <alignment wrapText="1"/>
    </xf>
    <xf numFmtId="0" fontId="10" fillId="9" borderId="3" xfId="0" applyFont="1" applyFill="1" applyBorder="1" applyAlignment="1">
      <alignment horizontal="center" vertical="center"/>
    </xf>
    <xf numFmtId="0" fontId="10" fillId="8" borderId="3" xfId="0" applyFont="1" applyFill="1" applyBorder="1" applyAlignment="1">
      <alignment horizontal="center" vertical="center"/>
    </xf>
    <xf numFmtId="0" fontId="9" fillId="2" borderId="0" xfId="0" applyFont="1" applyFill="1" applyAlignment="1">
      <alignment horizontal="center"/>
    </xf>
    <xf numFmtId="0" fontId="17" fillId="0" borderId="0" xfId="0" applyFont="1" applyAlignment="1">
      <alignment horizontal="left" vertical="center" wrapText="1"/>
    </xf>
    <xf numFmtId="0" fontId="14" fillId="2" borderId="0" xfId="0" applyFont="1" applyFill="1" applyAlignment="1">
      <alignment horizontal="center" vertical="center"/>
    </xf>
    <xf numFmtId="0" fontId="18" fillId="0" borderId="0" xfId="0" applyFont="1" applyAlignment="1">
      <alignment wrapText="1"/>
    </xf>
    <xf numFmtId="0" fontId="16" fillId="3" borderId="0" xfId="0" applyFont="1" applyFill="1" applyAlignment="1">
      <alignment horizontal="left" vertical="center"/>
    </xf>
    <xf numFmtId="0" fontId="21" fillId="2" borderId="2" xfId="0" applyFont="1" applyFill="1" applyBorder="1"/>
    <xf numFmtId="0" fontId="5" fillId="3" borderId="3" xfId="0" applyFont="1" applyFill="1" applyBorder="1" applyAlignment="1">
      <alignment horizontal="center" vertical="center" wrapText="1"/>
    </xf>
    <xf numFmtId="0" fontId="20" fillId="3" borderId="3" xfId="0" applyFont="1" applyFill="1" applyBorder="1" applyAlignment="1">
      <alignment vertical="center" wrapText="1"/>
    </xf>
    <xf numFmtId="0" fontId="6" fillId="10" borderId="3" xfId="0" applyFont="1" applyFill="1" applyBorder="1" applyAlignment="1">
      <alignment wrapText="1"/>
    </xf>
    <xf numFmtId="0" fontId="22" fillId="11" borderId="6" xfId="0" applyFont="1" applyFill="1" applyBorder="1" applyAlignment="1">
      <alignment vertical="center" wrapText="1"/>
    </xf>
    <xf numFmtId="0" fontId="0" fillId="0" borderId="21" xfId="0" applyBorder="1"/>
    <xf numFmtId="0" fontId="0" fillId="0" borderId="23" xfId="0" applyBorder="1"/>
    <xf numFmtId="0" fontId="0" fillId="0" borderId="22" xfId="0" applyBorder="1"/>
    <xf numFmtId="0" fontId="0" fillId="0" borderId="24" xfId="0" applyBorder="1"/>
    <xf numFmtId="0" fontId="0" fillId="0" borderId="25" xfId="0" applyBorder="1"/>
    <xf numFmtId="0" fontId="0" fillId="0" borderId="26" xfId="0" applyBorder="1"/>
    <xf numFmtId="0" fontId="0" fillId="0" borderId="27" xfId="0" applyBorder="1"/>
    <xf numFmtId="0" fontId="15" fillId="4" borderId="3" xfId="0" applyFont="1" applyFill="1" applyBorder="1" applyAlignment="1">
      <alignment horizontal="center" vertical="center" wrapText="1"/>
    </xf>
    <xf numFmtId="0" fontId="26" fillId="10" borderId="0" xfId="0" applyFont="1" applyFill="1" applyAlignment="1">
      <alignment horizontal="left" vertical="top" wrapText="1"/>
    </xf>
    <xf numFmtId="0" fontId="26" fillId="10" borderId="3" xfId="0" applyFont="1" applyFill="1" applyBorder="1" applyAlignment="1">
      <alignment horizontal="left" vertical="center" wrapText="1"/>
    </xf>
    <xf numFmtId="0" fontId="32" fillId="10" borderId="0" xfId="0" applyFont="1" applyFill="1" applyAlignment="1">
      <alignment horizontal="left" vertical="top" wrapText="1"/>
    </xf>
    <xf numFmtId="0" fontId="24" fillId="10" borderId="3" xfId="0" applyFont="1" applyFill="1" applyBorder="1" applyAlignment="1">
      <alignment horizontal="center" vertical="top" wrapText="1"/>
    </xf>
    <xf numFmtId="0" fontId="31" fillId="3" borderId="7" xfId="0" applyFont="1" applyFill="1" applyBorder="1" applyAlignment="1">
      <alignment horizontal="left" vertical="top" wrapText="1"/>
    </xf>
    <xf numFmtId="0" fontId="0" fillId="0" borderId="7" xfId="0" applyBorder="1"/>
    <xf numFmtId="0" fontId="30" fillId="10" borderId="0" xfId="0" applyFont="1" applyFill="1" applyAlignment="1">
      <alignment horizontal="center" vertical="top" wrapText="1"/>
    </xf>
    <xf numFmtId="0" fontId="33" fillId="8" borderId="3" xfId="0" applyFont="1" applyFill="1" applyBorder="1" applyAlignment="1">
      <alignment horizontal="center" vertical="center" wrapText="1"/>
    </xf>
    <xf numFmtId="0" fontId="2" fillId="10" borderId="0" xfId="0" applyFont="1" applyFill="1" applyAlignment="1">
      <alignment horizontal="center" vertical="top" wrapText="1"/>
    </xf>
    <xf numFmtId="0" fontId="26" fillId="10" borderId="0" xfId="0" applyFont="1" applyFill="1" applyAlignment="1">
      <alignment horizontal="center" vertical="top" wrapText="1"/>
    </xf>
    <xf numFmtId="0" fontId="25" fillId="4" borderId="1" xfId="0" applyFont="1" applyFill="1" applyBorder="1" applyAlignment="1">
      <alignment horizontal="center" vertical="center"/>
    </xf>
    <xf numFmtId="0" fontId="34" fillId="0" borderId="8" xfId="0" applyFont="1" applyBorder="1" applyAlignment="1">
      <alignment horizontal="center" vertical="center" wrapText="1"/>
    </xf>
    <xf numFmtId="0" fontId="0" fillId="0" borderId="8" xfId="0" applyBorder="1"/>
    <xf numFmtId="0" fontId="29" fillId="0" borderId="0" xfId="0" applyFont="1" applyAlignment="1">
      <alignment horizontal="center" vertical="center" wrapText="1"/>
    </xf>
    <xf numFmtId="0" fontId="31" fillId="10" borderId="0" xfId="0" applyFont="1" applyFill="1" applyAlignment="1">
      <alignment horizontal="left" vertical="top" wrapText="1"/>
    </xf>
    <xf numFmtId="0" fontId="24" fillId="10" borderId="0" xfId="0" applyFont="1" applyFill="1" applyAlignment="1">
      <alignment horizontal="center" vertical="top" wrapText="1"/>
    </xf>
    <xf numFmtId="0" fontId="27" fillId="5" borderId="1" xfId="0" applyFont="1" applyFill="1" applyBorder="1" applyAlignment="1">
      <alignment horizontal="center" vertical="center"/>
    </xf>
    <xf numFmtId="0" fontId="28" fillId="10" borderId="0" xfId="0" applyFont="1" applyFill="1" applyAlignment="1">
      <alignment horizontal="center" vertical="top" wrapText="1"/>
    </xf>
    <xf numFmtId="0" fontId="23" fillId="2" borderId="0" xfId="0" applyFont="1" applyFill="1" applyAlignment="1">
      <alignment horizontal="center" vertical="center"/>
    </xf>
    <xf numFmtId="0" fontId="36" fillId="0" borderId="0" xfId="0" applyFont="1"/>
    <xf numFmtId="0" fontId="36" fillId="0" borderId="0" xfId="0" applyFont="1"/>
    <xf numFmtId="0" fontId="40" fillId="0" borderId="0" xfId="0" applyFont="1" applyAlignment="1">
      <alignment horizontal="left" vertical="center" wrapText="1"/>
    </xf>
    <xf numFmtId="0" fontId="42" fillId="0" borderId="0" xfId="0" applyFont="1" applyAlignment="1">
      <alignment horizontal="left" vertical="top" wrapText="1"/>
    </xf>
    <xf numFmtId="0" fontId="36" fillId="0" borderId="0" xfId="0" applyFont="1" applyAlignment="1">
      <alignment vertical="center"/>
    </xf>
    <xf numFmtId="0" fontId="36" fillId="0" borderId="0" xfId="0" applyFont="1" applyAlignment="1">
      <alignment vertical="center"/>
    </xf>
    <xf numFmtId="0" fontId="45" fillId="0" borderId="0" xfId="0" applyFont="1" applyAlignment="1">
      <alignment vertical="center"/>
    </xf>
    <xf numFmtId="0" fontId="45" fillId="0" borderId="0" xfId="0" applyFont="1"/>
    <xf numFmtId="0" fontId="46" fillId="13" borderId="0" xfId="0" applyFont="1" applyFill="1"/>
    <xf numFmtId="0" fontId="47" fillId="12" borderId="0" xfId="0" applyFont="1" applyFill="1" applyAlignment="1">
      <alignment horizontal="left" vertical="center"/>
    </xf>
    <xf numFmtId="0" fontId="46" fillId="13" borderId="0" xfId="0" applyFont="1" applyFill="1"/>
    <xf numFmtId="0" fontId="36" fillId="14" borderId="0" xfId="0" applyFont="1" applyFill="1"/>
    <xf numFmtId="0" fontId="44" fillId="14" borderId="0" xfId="0" applyFont="1" applyFill="1" applyAlignment="1">
      <alignment horizontal="center" vertical="center" wrapText="1"/>
    </xf>
    <xf numFmtId="0" fontId="38" fillId="14" borderId="0" xfId="0" applyFont="1" applyFill="1" applyAlignment="1">
      <alignment horizontal="center" vertical="center" wrapText="1"/>
    </xf>
    <xf numFmtId="0" fontId="36" fillId="15" borderId="0" xfId="0" applyFont="1" applyFill="1"/>
    <xf numFmtId="0" fontId="47" fillId="0" borderId="0" xfId="0" applyFont="1" applyFill="1" applyBorder="1" applyAlignment="1">
      <alignment horizontal="left" vertical="center"/>
    </xf>
    <xf numFmtId="0" fontId="46" fillId="0" borderId="0" xfId="0" applyFont="1" applyFill="1" applyBorder="1"/>
    <xf numFmtId="0" fontId="36" fillId="0" borderId="0" xfId="0" applyFont="1" applyFill="1" applyBorder="1"/>
    <xf numFmtId="0" fontId="37" fillId="0" borderId="0" xfId="1" applyFont="1" applyFill="1" applyBorder="1" applyAlignment="1">
      <alignment horizontal="left" vertical="center" wrapText="1"/>
    </xf>
    <xf numFmtId="0" fontId="48" fillId="0" borderId="0" xfId="0" applyFont="1" applyFill="1" applyBorder="1" applyAlignment="1">
      <alignment horizontal="left" vertical="center" wrapText="1"/>
    </xf>
    <xf numFmtId="0" fontId="48" fillId="0" borderId="0" xfId="0" applyFont="1" applyFill="1" applyBorder="1"/>
    <xf numFmtId="0" fontId="48" fillId="0" borderId="0" xfId="0" quotePrefix="1" applyFont="1" applyFill="1" applyBorder="1" applyAlignment="1">
      <alignment horizontal="left" vertical="center" wrapText="1"/>
    </xf>
    <xf numFmtId="0" fontId="36" fillId="0" borderId="10" xfId="0" applyFont="1" applyBorder="1"/>
    <xf numFmtId="0" fontId="36" fillId="0" borderId="11" xfId="0" applyFont="1" applyBorder="1"/>
    <xf numFmtId="0" fontId="36" fillId="0" borderId="14" xfId="0" applyFont="1" applyBorder="1"/>
    <xf numFmtId="0" fontId="36" fillId="0" borderId="15" xfId="0" applyFont="1" applyBorder="1"/>
    <xf numFmtId="0" fontId="39" fillId="3" borderId="2" xfId="0" applyFont="1" applyFill="1" applyBorder="1" applyAlignment="1">
      <alignment horizontal="center" vertical="center" wrapText="1"/>
    </xf>
    <xf numFmtId="0" fontId="50" fillId="7" borderId="0" xfId="0" applyFont="1" applyFill="1" applyAlignment="1">
      <alignment wrapText="1"/>
    </xf>
    <xf numFmtId="0" fontId="39" fillId="8" borderId="3" xfId="0" applyFont="1" applyFill="1" applyBorder="1" applyAlignment="1">
      <alignment horizontal="center" vertical="center"/>
    </xf>
    <xf numFmtId="0" fontId="39" fillId="9" borderId="3" xfId="0" applyFont="1" applyFill="1" applyBorder="1" applyAlignment="1">
      <alignment horizontal="center" vertical="center"/>
    </xf>
    <xf numFmtId="0" fontId="38" fillId="2" borderId="3" xfId="0" applyFont="1" applyFill="1" applyBorder="1" applyAlignment="1">
      <alignment horizontal="center" vertical="center" wrapText="1"/>
    </xf>
    <xf numFmtId="49" fontId="41" fillId="7" borderId="4" xfId="0" applyNumberFormat="1" applyFont="1" applyFill="1" applyBorder="1" applyAlignment="1">
      <alignment vertical="center" wrapText="1"/>
    </xf>
    <xf numFmtId="49" fontId="41" fillId="5" borderId="4" xfId="0" applyNumberFormat="1" applyFont="1" applyFill="1" applyBorder="1" applyAlignment="1">
      <alignment vertical="center" wrapText="1"/>
    </xf>
    <xf numFmtId="0" fontId="41" fillId="7" borderId="4" xfId="0" applyFont="1" applyFill="1" applyBorder="1" applyAlignment="1">
      <alignment vertical="center" wrapText="1"/>
    </xf>
    <xf numFmtId="14" fontId="41" fillId="7" borderId="4" xfId="0" applyNumberFormat="1" applyFont="1" applyFill="1" applyBorder="1" applyAlignment="1">
      <alignment vertical="center" wrapText="1"/>
    </xf>
    <xf numFmtId="14" fontId="41" fillId="5" borderId="4" xfId="0" applyNumberFormat="1" applyFont="1" applyFill="1" applyBorder="1" applyAlignment="1">
      <alignment vertical="center" wrapText="1"/>
    </xf>
    <xf numFmtId="3" fontId="41" fillId="7" borderId="4" xfId="0" applyNumberFormat="1" applyFont="1" applyFill="1" applyBorder="1" applyAlignment="1">
      <alignment vertical="center" wrapText="1"/>
    </xf>
    <xf numFmtId="0" fontId="50" fillId="7" borderId="0" xfId="0" applyFont="1" applyFill="1"/>
    <xf numFmtId="0" fontId="36" fillId="0" borderId="0" xfId="0" applyFont="1" applyFill="1"/>
    <xf numFmtId="0" fontId="49" fillId="0" borderId="28" xfId="0" applyFont="1" applyFill="1" applyBorder="1" applyAlignment="1">
      <alignment vertical="center" wrapText="1"/>
    </xf>
    <xf numFmtId="0" fontId="41" fillId="0" borderId="28" xfId="0" applyFont="1" applyFill="1" applyBorder="1" applyAlignment="1">
      <alignment vertical="center" wrapText="1"/>
    </xf>
    <xf numFmtId="0" fontId="41" fillId="0" borderId="28" xfId="0" quotePrefix="1" applyFont="1" applyFill="1" applyBorder="1" applyAlignment="1">
      <alignment vertical="center" wrapText="1"/>
    </xf>
    <xf numFmtId="0" fontId="36" fillId="0" borderId="28" xfId="0" applyFont="1" applyFill="1" applyBorder="1"/>
    <xf numFmtId="0" fontId="39" fillId="3" borderId="2" xfId="0" applyFont="1" applyFill="1" applyBorder="1" applyAlignment="1">
      <alignment vertical="center" wrapText="1"/>
    </xf>
    <xf numFmtId="0" fontId="36" fillId="0" borderId="10" xfId="0" applyFont="1" applyBorder="1" applyAlignment="1"/>
    <xf numFmtId="0" fontId="36" fillId="0" borderId="11" xfId="0" applyFont="1" applyBorder="1" applyAlignment="1"/>
    <xf numFmtId="0" fontId="39" fillId="3" borderId="2" xfId="0" applyFont="1" applyFill="1" applyBorder="1" applyAlignment="1">
      <alignment vertical="center"/>
    </xf>
    <xf numFmtId="0" fontId="38" fillId="14" borderId="2" xfId="0" applyFont="1" applyFill="1" applyBorder="1" applyAlignment="1">
      <alignment vertical="center"/>
    </xf>
    <xf numFmtId="0" fontId="38" fillId="14" borderId="0" xfId="0" applyFont="1" applyFill="1" applyAlignment="1">
      <alignment horizontal="right" vertical="center"/>
    </xf>
    <xf numFmtId="0" fontId="36" fillId="15" borderId="0" xfId="0" applyFont="1" applyFill="1"/>
    <xf numFmtId="0" fontId="43" fillId="14" borderId="2" xfId="0" applyFont="1" applyFill="1" applyBorder="1" applyAlignment="1">
      <alignment vertical="center"/>
    </xf>
    <xf numFmtId="49" fontId="41" fillId="7" borderId="4" xfId="0" applyNumberFormat="1" applyFont="1" applyFill="1" applyBorder="1" applyAlignment="1">
      <alignment horizontal="center" vertical="center" wrapText="1"/>
    </xf>
    <xf numFmtId="0" fontId="41" fillId="7" borderId="4" xfId="0" applyFont="1" applyFill="1" applyBorder="1" applyAlignment="1">
      <alignment horizontal="center" vertical="center" wrapText="1"/>
    </xf>
  </cellXfs>
  <cellStyles count="2">
    <cellStyle name="Hyperlink" xfId="1" builtinId="8"/>
    <cellStyle name="Normal" xfId="0" builtinId="0"/>
  </cellStyles>
  <dxfs count="13">
    <dxf>
      <font>
        <b/>
        <color rgb="FF9C0006"/>
      </font>
      <fill>
        <patternFill>
          <bgColor rgb="FFF4CCCC"/>
        </patternFill>
      </fill>
    </dxf>
    <dxf>
      <font>
        <b/>
        <color rgb="FF9C0006"/>
      </font>
      <fill>
        <patternFill>
          <bgColor rgb="FFF4CCCC"/>
        </patternFill>
      </fill>
    </dxf>
    <dxf>
      <font>
        <b/>
        <color rgb="FF9C0006"/>
      </font>
      <fill>
        <patternFill>
          <bgColor rgb="FFF4CCCC"/>
        </patternFill>
      </fill>
    </dxf>
    <dxf>
      <font>
        <color rgb="FF9C0006"/>
      </font>
      <fill>
        <patternFill>
          <bgColor rgb="FFF4CCCC"/>
        </patternFill>
      </fill>
    </dxf>
    <dxf>
      <font>
        <color rgb="FF9C0006"/>
      </font>
      <fill>
        <patternFill>
          <bgColor rgb="FFF4CCCC"/>
        </patternFill>
      </fill>
    </dxf>
    <dxf>
      <font>
        <color rgb="FF9C0006"/>
      </font>
      <fill>
        <patternFill>
          <bgColor rgb="FFF4CCCC"/>
        </patternFill>
      </fill>
    </dxf>
    <dxf>
      <font>
        <color rgb="FF9C0006"/>
      </font>
      <fill>
        <patternFill>
          <bgColor rgb="FFF4CCCC"/>
        </patternFill>
      </fill>
    </dxf>
    <dxf>
      <font>
        <color rgb="FF9C0006"/>
      </font>
      <fill>
        <patternFill>
          <bgColor rgb="FFF4CCCC"/>
        </patternFill>
      </fill>
    </dxf>
    <dxf>
      <font>
        <color rgb="FF9C0006"/>
      </font>
      <fill>
        <patternFill>
          <bgColor rgb="FFF4CCCC"/>
        </patternFill>
      </fill>
    </dxf>
    <dxf>
      <font>
        <color rgb="FF9C0006"/>
      </font>
      <fill>
        <patternFill>
          <bgColor rgb="FFF4CCCC"/>
        </patternFill>
      </fill>
    </dxf>
    <dxf>
      <font>
        <b/>
        <color rgb="FF9C0006"/>
      </font>
      <fill>
        <patternFill>
          <bgColor rgb="FFF4CCCC"/>
        </patternFill>
      </fill>
    </dxf>
    <dxf>
      <font>
        <b/>
        <color rgb="FF9C0006"/>
      </font>
      <fill>
        <patternFill>
          <bgColor rgb="FFF4CCCC"/>
        </patternFill>
      </fill>
    </dxf>
    <dxf>
      <font>
        <b/>
        <color rgb="FF9C0006"/>
      </font>
      <fill>
        <patternFill>
          <bgColor rgb="FFF4CCCC"/>
        </patternFill>
      </fill>
    </dxf>
  </dxfs>
  <tableStyles count="0" defaultTableStyle="TableStyleMedium2" defaultPivotStyle="PivotStyleLight16"/>
  <colors>
    <indexedColors>
      <rgbColor rgb="FF000000"/>
      <rgbColor rgb="FFFFFFFF"/>
      <rgbColor rgb="FFC00000"/>
      <rgbColor rgb="FF00FF00"/>
      <rgbColor rgb="FF0000FF"/>
      <rgbColor rgb="FFF3F4F6"/>
      <rgbColor rgb="FFFF00FF"/>
      <rgbColor rgb="FF00FFFF"/>
      <rgbColor rgb="FF9C0006"/>
      <rgbColor rgb="FF215E21"/>
      <rgbColor rgb="FF000080"/>
      <rgbColor rgb="FF808000"/>
      <rgbColor rgb="FF800080"/>
      <rgbColor rgb="FF008080"/>
      <rgbColor rgb="FFBFBFBF"/>
      <rgbColor rgb="FF7F7F7F"/>
      <rgbColor rgb="FFE5E7EB"/>
      <rgbColor rgb="FF595959"/>
      <rgbColor rgb="FFFFF9E6"/>
      <rgbColor rgb="FFD9EAF7"/>
      <rgbColor rgb="FF660066"/>
      <rgbColor rgb="FFFF8080"/>
      <rgbColor rgb="FF0066CC"/>
      <rgbColor rgb="FFBFC7D1"/>
      <rgbColor rgb="FF000080"/>
      <rgbColor rgb="FFFF00FF"/>
      <rgbColor rgb="FFFFFF00"/>
      <rgbColor rgb="FF00FFFF"/>
      <rgbColor rgb="FF800080"/>
      <rgbColor rgb="FF800000"/>
      <rgbColor rgb="FF008080"/>
      <rgbColor rgb="FF0000FF"/>
      <rgbColor rgb="FF00CCFF"/>
      <rgbColor rgb="FFEAF3F8"/>
      <rgbColor rgb="FFE2F0D9"/>
      <rgbColor rgb="FFFFF2CC"/>
      <rgbColor rgb="FFD6E4F0"/>
      <rgbColor rgb="FFD9E1F2"/>
      <rgbColor rgb="FFD9D9D9"/>
      <rgbColor rgb="FFF4CCCC"/>
      <rgbColor rgb="FF3366FF"/>
      <rgbColor rgb="FF33CCCC"/>
      <rgbColor rgb="FF99CC00"/>
      <rgbColor rgb="FFFFCC00"/>
      <rgbColor rgb="FFBF9000"/>
      <rgbColor rgb="FFFF6600"/>
      <rgbColor rgb="FF6B7280"/>
      <rgbColor rgb="FFA6A6A6"/>
      <rgbColor rgb="FF003366"/>
      <rgbColor rgb="FF5B6573"/>
      <rgbColor rgb="FF003300"/>
      <rgbColor rgb="FF374151"/>
      <rgbColor rgb="FF993300"/>
      <rgbColor rgb="FF993366"/>
      <rgbColor rgb="FF1F4E78"/>
      <rgbColor rgb="FF1F2937"/>
      <rgbColor rgb="00003366"/>
      <rgbColor rgb="00339966"/>
      <rgbColor rgb="00003300"/>
      <rgbColor rgb="00333300"/>
      <rgbColor rgb="00993300"/>
      <rgbColor rgb="00993366"/>
      <rgbColor rgb="00333399"/>
      <rgbColor rgb="00333333"/>
    </indexed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57180</xdr:colOff>
      <xdr:row>20</xdr:row>
      <xdr:rowOff>6380</xdr:rowOff>
    </xdr:from>
    <xdr:to>
      <xdr:col>23</xdr:col>
      <xdr:colOff>109860</xdr:colOff>
      <xdr:row>49</xdr:row>
      <xdr:rowOff>94560</xdr:rowOff>
    </xdr:to>
    <xdr:pic>
      <xdr:nvPicPr>
        <xdr:cNvPr id="2" name="Image 1" descr="Picture">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a:stretch>
          <a:fillRect/>
        </a:stretch>
      </xdr:blipFill>
      <xdr:spPr>
        <a:xfrm>
          <a:off x="8096280" y="5695980"/>
          <a:ext cx="9882480" cy="9321080"/>
        </a:xfrm>
        <a:prstGeom prst="rect">
          <a:avLst/>
        </a:prstGeom>
        <a:ln w="0">
          <a:noFill/>
          <a:prstDash val="solid"/>
        </a:ln>
      </xdr:spPr>
    </xdr:pic>
    <xdr:clientData/>
  </xdr:twoCellAnchor>
  <xdr:twoCellAnchor editAs="oneCell">
    <xdr:from>
      <xdr:col>1</xdr:col>
      <xdr:colOff>19080</xdr:colOff>
      <xdr:row>44</xdr:row>
      <xdr:rowOff>19080</xdr:rowOff>
    </xdr:from>
    <xdr:to>
      <xdr:col>11</xdr:col>
      <xdr:colOff>147960</xdr:colOff>
      <xdr:row>64</xdr:row>
      <xdr:rowOff>303840</xdr:rowOff>
    </xdr:to>
    <xdr:pic>
      <xdr:nvPicPr>
        <xdr:cNvPr id="3" name="Image 2" descr="Picture">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a:stretch>
          <a:fillRect/>
        </a:stretch>
      </xdr:blipFill>
      <xdr:spPr>
        <a:xfrm>
          <a:off x="195480" y="12306240"/>
          <a:ext cx="9151200" cy="9381240"/>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19080</xdr:colOff>
      <xdr:row>0</xdr:row>
      <xdr:rowOff>19080</xdr:rowOff>
    </xdr:from>
    <xdr:to>
      <xdr:col>10</xdr:col>
      <xdr:colOff>359640</xdr:colOff>
      <xdr:row>19</xdr:row>
      <xdr:rowOff>160920</xdr:rowOff>
    </xdr:to>
    <xdr:pic>
      <xdr:nvPicPr>
        <xdr:cNvPr id="5" name="Image 1" descr="Picture">
          <a:extLst>
            <a:ext uri="{FF2B5EF4-FFF2-40B4-BE49-F238E27FC236}">
              <a16:creationId xmlns:a16="http://schemas.microsoft.com/office/drawing/2014/main" id="{00000000-0008-0000-0B00-000005000000}"/>
            </a:ext>
          </a:extLst>
        </xdr:cNvPr>
        <xdr:cNvPicPr/>
      </xdr:nvPicPr>
      <xdr:blipFill>
        <a:blip xmlns:r="http://schemas.openxmlformats.org/officeDocument/2006/relationships" r:embed="rId1"/>
        <a:stretch>
          <a:fillRect/>
        </a:stretch>
      </xdr:blipFill>
      <xdr:spPr>
        <a:xfrm>
          <a:off x="195480" y="19080"/>
          <a:ext cx="7238160" cy="9381240"/>
        </a:xfrm>
        <a:prstGeom prst="rect">
          <a:avLst/>
        </a:prstGeom>
        <a:ln w="0">
          <a:noFill/>
          <a:prstDash val="solid"/>
        </a:ln>
      </xdr:spPr>
    </xdr:pic>
    <xdr:clientData/>
  </xdr:twoCellAnchor>
  <xdr:twoCellAnchor editAs="oneCell">
    <xdr:from>
      <xdr:col>1</xdr:col>
      <xdr:colOff>19080</xdr:colOff>
      <xdr:row>44</xdr:row>
      <xdr:rowOff>19080</xdr:rowOff>
    </xdr:from>
    <xdr:to>
      <xdr:col>10</xdr:col>
      <xdr:colOff>359640</xdr:colOff>
      <xdr:row>67</xdr:row>
      <xdr:rowOff>161280</xdr:rowOff>
    </xdr:to>
    <xdr:pic>
      <xdr:nvPicPr>
        <xdr:cNvPr id="6" name="Image 2" descr="Picture">
          <a:extLst>
            <a:ext uri="{FF2B5EF4-FFF2-40B4-BE49-F238E27FC236}">
              <a16:creationId xmlns:a16="http://schemas.microsoft.com/office/drawing/2014/main" id="{00000000-0008-0000-0B00-000006000000}"/>
            </a:ext>
          </a:extLst>
        </xdr:cNvPr>
        <xdr:cNvPicPr/>
      </xdr:nvPicPr>
      <xdr:blipFill>
        <a:blip xmlns:r="http://schemas.openxmlformats.org/officeDocument/2006/relationships" r:embed="rId1"/>
        <a:stretch>
          <a:fillRect/>
        </a:stretch>
      </xdr:blipFill>
      <xdr:spPr>
        <a:xfrm>
          <a:off x="195480" y="20126520"/>
          <a:ext cx="7238160" cy="9381240"/>
        </a:xfrm>
        <a:prstGeom prst="rect">
          <a:avLst/>
        </a:prstGeom>
        <a:ln w="0">
          <a:noFill/>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hanSuTable" displayName="NhanSuTable" ref="A5:BO7" totalsRowShown="0">
  <tableColumns count="67">
    <tableColumn id="1" xr3:uid="{00000000-0010-0000-0000-000001000000}" name="Mã nhân viên"/>
    <tableColumn id="2" xr3:uid="{00000000-0010-0000-0000-000002000000}" name="Họ và tên"/>
    <tableColumn id="3" xr3:uid="{00000000-0010-0000-0000-000003000000}" name="Xưng hô"/>
    <tableColumn id="4" xr3:uid="{00000000-0010-0000-0000-000004000000}" name="Giới tính"/>
    <tableColumn id="5" xr3:uid="{00000000-0010-0000-0000-000005000000}" name="Ngày sinh"/>
    <tableColumn id="6" xr3:uid="{00000000-0010-0000-0000-000006000000}" name="Quốc tịch"/>
    <tableColumn id="7" xr3:uid="{00000000-0010-0000-0000-000007000000}" name="Số CCCD/Hộ chiếu"/>
    <tableColumn id="8" xr3:uid="{00000000-0010-0000-0000-000008000000}" name="Ngày cấp"/>
    <tableColumn id="9" xr3:uid="{00000000-0010-0000-0000-000009000000}" name="Nơi cấp"/>
    <tableColumn id="10" xr3:uid="{00000000-0010-0000-0000-00000A000000}" name="Nơi cư trú"/>
    <tableColumn id="11" xr3:uid="{00000000-0010-0000-0000-00000B000000}" name="Trình độ chuyên môn"/>
    <tableColumn id="12" xr3:uid="{00000000-0010-0000-0000-00000C000000}" name="Mã số thuế TNCN"/>
    <tableColumn id="13" xr3:uid="{00000000-0010-0000-0000-00000D000000}" name="Mã số BHXH"/>
    <tableColumn id="14" xr3:uid="{00000000-0010-0000-0000-00000E000000}" name="Số GPLĐ/xác nhận"/>
    <tableColumn id="15" xr3:uid="{00000000-0010-0000-0000-00000F000000}" name="Liên hệ khẩn cấp"/>
    <tableColumn id="16" xr3:uid="{00000000-0010-0000-0000-000010000000}" name="Chức danh/vị trí"/>
    <tableColumn id="17" xr3:uid="{00000000-0010-0000-0000-000011000000}" name="Bộ phận/phòng ban"/>
    <tableColumn id="18" xr3:uid="{00000000-0010-0000-0000-000012000000}" name="Mô tả công việc"/>
    <tableColumn id="19" xr3:uid="{00000000-0010-0000-0000-000013000000}" name="Địa điểm làm việc"/>
    <tableColumn id="20" xr3:uid="{00000000-0010-0000-0000-000014000000}" name="Làm nhiều địa điểm"/>
    <tableColumn id="21" xr3:uid="{00000000-0010-0000-0000-000015000000}" name="Hình thức làm việc"/>
    <tableColumn id="22" xr3:uid="{00000000-0010-0000-0000-000016000000}" name="Loại hợp đồng"/>
    <tableColumn id="23" xr3:uid="{00000000-0010-0000-0000-000017000000}" name="Thời hạn (tháng)"/>
    <tableColumn id="24" xr3:uid="{00000000-0010-0000-0000-000018000000}" name="Ngày bắt đầu"/>
    <tableColumn id="25" xr3:uid="{00000000-0010-0000-0000-000019000000}" name="Ngày kết thúc"/>
    <tableColumn id="26" xr3:uid="{00000000-0010-0000-0000-00001A000000}" name="Số ngày thử việc"/>
    <tableColumn id="27" xr3:uid="{00000000-0010-0000-0000-00001B000000}" name="Thử việc từ ngày"/>
    <tableColumn id="28" xr3:uid="{00000000-0010-0000-0000-00001C000000}" name="Thử việc đến ngày"/>
    <tableColumn id="29" xr3:uid="{00000000-0010-0000-0000-00001D000000}" name="Tỷ lệ lương thử việc (%)"/>
    <tableColumn id="30" xr3:uid="{00000000-0010-0000-0000-00001E000000}" name="Lương chính"/>
    <tableColumn id="31" xr3:uid="{00000000-0010-0000-0000-00001F000000}" name="Phụ cấp trách nhiệm"/>
    <tableColumn id="32" xr3:uid="{00000000-0010-0000-0000-000020000000}" name="Điều kiện PC trách nhiệm"/>
    <tableColumn id="33" xr3:uid="{00000000-0010-0000-0000-000021000000}" name="Tiền ăn giữa ca"/>
    <tableColumn id="34" xr3:uid="{00000000-0010-0000-0000-000022000000}" name="Điều kiện ăn giữa ca"/>
    <tableColumn id="35" xr3:uid="{00000000-0010-0000-0000-000023000000}" name="Hỗ trợ điện thoại"/>
    <tableColumn id="36" xr3:uid="{00000000-0010-0000-0000-000024000000}" name="Điều kiện điện thoại"/>
    <tableColumn id="37" xr3:uid="{00000000-0010-0000-0000-000025000000}" name="Hỗ trợ xăng xe"/>
    <tableColumn id="38" xr3:uid="{00000000-0010-0000-0000-000026000000}" name="Điều kiện xăng xe"/>
    <tableColumn id="39" xr3:uid="{00000000-0010-0000-0000-000027000000}" name="Hỗ trợ nhà ở"/>
    <tableColumn id="40" xr3:uid="{00000000-0010-0000-0000-000028000000}" name="Điều kiện nhà ở"/>
    <tableColumn id="41" xr3:uid="{00000000-0010-0000-0000-000029000000}" name="Khoản bổ sung khác"/>
    <tableColumn id="42" xr3:uid="{00000000-0010-0000-0000-00002A000000}" name="Mức khoản bổ sung khác"/>
    <tableColumn id="43" xr3:uid="{00000000-0010-0000-0000-00002B000000}" name="Điều kiện khoản khác"/>
    <tableColumn id="44" xr3:uid="{00000000-0010-0000-0000-00002C000000}" name="Hình thức trả lương"/>
    <tableColumn id="45" xr3:uid="{00000000-0010-0000-0000-00002D000000}" name="Ngày trả lương"/>
    <tableColumn id="46" xr3:uid="{00000000-0010-0000-0000-00002E000000}" name="Số lần xét nâng lương/năm"/>
    <tableColumn id="47" xr3:uid="{00000000-0010-0000-0000-00002F000000}" name="Giờ/ngày"/>
    <tableColumn id="48" xr3:uid="{00000000-0010-0000-0000-000030000000}" name="Giờ/tuần"/>
    <tableColumn id="49" xr3:uid="{00000000-0010-0000-0000-000031000000}" name="Giờ bắt đầu"/>
    <tableColumn id="50" xr3:uid="{00000000-0010-0000-0000-000032000000}" name="Giờ kết thúc"/>
    <tableColumn id="51" xr3:uid="{00000000-0010-0000-0000-000033000000}" name="Nghỉ giữa giờ (phút)"/>
    <tableColumn id="52" xr3:uid="{00000000-0010-0000-0000-000034000000}" name="Ngày nghỉ hằng tuần"/>
    <tableColumn id="53" xr3:uid="{00000000-0010-0000-0000-000035000000}" name="Trang bị bảo hộ"/>
    <tableColumn id="54" xr3:uid="{00000000-0010-0000-0000-000036000000}" name="Vùng lương"/>
    <tableColumn id="55" xr3:uid="{00000000-0010-0000-0000-000037000000}" name="Số hợp đồng"/>
    <tableColumn id="56" xr3:uid="{00000000-0010-0000-0000-000038000000}" name="Ngày ký hợp đồng"/>
    <tableColumn id="57" xr3:uid="{00000000-0010-0000-0000-000039000000}" name="Địa điểm ký"/>
    <tableColumn id="58" xr3:uid="{00000000-0010-0000-0000-00003A000000}" name="Ngày hiệu lực"/>
    <tableColumn id="59" xr3:uid="{00000000-0010-0000-0000-00003B000000}" name="Thông tin mật bổ sung"/>
    <tableColumn id="60" xr3:uid="{00000000-0010-0000-0000-00003C000000}" name="Thời hạn bảo mật (năm)"/>
    <tableColumn id="61" xr3:uid="{00000000-0010-0000-0000-00003D000000}" name="Khóa đào tạo/nghề đào tạo"/>
    <tableColumn id="62" xr3:uid="{00000000-0010-0000-0000-00003E000000}" name="Địa điểm/thời gian đào tạo"/>
    <tableColumn id="63" xr3:uid="{00000000-0010-0000-0000-00003F000000}" name="Chi phí đào tạo"/>
    <tableColumn id="64" xr3:uid="{00000000-0010-0000-0000-000040000000}" name="Cam kết làm việc (tháng)"/>
    <tableColumn id="65" xr3:uid="{00000000-0010-0000-0000-000041000000}" name="Thời hạn hoàn trả (ngày)"/>
    <tableColumn id="66" xr3:uid="{00000000-0010-0000-0000-000042000000}" name="Áp dụng đào tạo"/>
    <tableColumn id="67" xr3:uid="{00000000-0010-0000-0000-000043000000}" name="Ghi chú"/>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huLucDataTable" displayName="PhuLucDataTable" ref="A5:P7" totalsRowShown="0">
  <tableColumns count="16">
    <tableColumn id="1" xr3:uid="{00000000-0010-0000-0100-000001000000}" name="Mã phụ lục"/>
    <tableColumn id="2" xr3:uid="{00000000-0010-0000-0100-000002000000}" name="Mã nhân viên"/>
    <tableColumn id="3" xr3:uid="{00000000-0010-0000-0100-000003000000}" name="Số phụ lục"/>
    <tableColumn id="4" xr3:uid="{00000000-0010-0000-0100-000004000000}" name="Ngày ký phụ lục"/>
    <tableColumn id="5" xr3:uid="{00000000-0010-0000-0100-000005000000}" name="Địa điểm ký"/>
    <tableColumn id="6" xr3:uid="{00000000-0010-0000-0100-000006000000}" name="Ngày hiệu lực"/>
    <tableColumn id="7" xr3:uid="{00000000-0010-0000-0100-000007000000}" name="Điều khoản 1"/>
    <tableColumn id="8" xr3:uid="{00000000-0010-0000-0100-000008000000}" name="Nội dung cũ 1"/>
    <tableColumn id="9" xr3:uid="{00000000-0010-0000-0100-000009000000}" name="Nội dung mới 1"/>
    <tableColumn id="10" xr3:uid="{00000000-0010-0000-0100-00000A000000}" name="Điều khoản 2"/>
    <tableColumn id="11" xr3:uid="{00000000-0010-0000-0100-00000B000000}" name="Nội dung cũ 2"/>
    <tableColumn id="12" xr3:uid="{00000000-0010-0000-0100-00000C000000}" name="Nội dung mới 2"/>
    <tableColumn id="13" xr3:uid="{00000000-0010-0000-0100-00000D000000}" name="Điều khoản 3"/>
    <tableColumn id="14" xr3:uid="{00000000-0010-0000-0100-00000E000000}" name="Nội dung cũ 3"/>
    <tableColumn id="15" xr3:uid="{00000000-0010-0000-0100-00000F000000}" name="Nội dung mới 3"/>
    <tableColumn id="16" xr3:uid="{00000000-0010-0000-0100-000010000000}" name="Ghi chú"/>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hkdkkhome.com/"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admin@hkdkkhome.com"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pageSetUpPr fitToPage="1"/>
  </sheetPr>
  <dimension ref="A1:G27"/>
  <sheetViews>
    <sheetView showGridLines="0" topLeftCell="A5" zoomScale="173" zoomScaleNormal="100" workbookViewId="0">
      <selection activeCell="B16" sqref="B16:F16"/>
    </sheetView>
  </sheetViews>
  <sheetFormatPr defaultColWidth="8.6328125" defaultRowHeight="12.5" x14ac:dyDescent="0.25"/>
  <cols>
    <col min="1" max="1" width="2.453125" style="94" customWidth="1"/>
    <col min="2" max="6" width="22" style="94" customWidth="1"/>
    <col min="7" max="7" width="2.453125" style="94" customWidth="1"/>
    <col min="8" max="16384" width="8.6328125" style="94"/>
  </cols>
  <sheetData>
    <row r="1" spans="1:7" ht="12" customHeight="1" x14ac:dyDescent="0.25">
      <c r="A1" s="105"/>
      <c r="B1" s="106" t="s">
        <v>0</v>
      </c>
      <c r="C1" s="106"/>
      <c r="D1" s="106"/>
      <c r="E1" s="106"/>
      <c r="F1" s="106"/>
      <c r="G1" s="105"/>
    </row>
    <row r="2" spans="1:7" ht="20" customHeight="1" x14ac:dyDescent="0.25">
      <c r="A2" s="105"/>
      <c r="B2" s="106"/>
      <c r="C2" s="106"/>
      <c r="D2" s="106"/>
      <c r="E2" s="106"/>
      <c r="F2" s="106"/>
      <c r="G2" s="105"/>
    </row>
    <row r="3" spans="1:7" ht="25.5" customHeight="1" x14ac:dyDescent="0.25">
      <c r="A3" s="105"/>
      <c r="B3" s="107" t="s">
        <v>1</v>
      </c>
      <c r="C3" s="108"/>
      <c r="D3" s="108"/>
      <c r="E3" s="108"/>
      <c r="F3" s="108"/>
      <c r="G3" s="105"/>
    </row>
    <row r="4" spans="1:7" ht="9.75" customHeight="1" x14ac:dyDescent="0.25">
      <c r="A4" s="105"/>
      <c r="B4" s="105"/>
      <c r="C4" s="105"/>
      <c r="D4" s="105"/>
      <c r="E4" s="105"/>
      <c r="F4" s="105"/>
      <c r="G4" s="105"/>
    </row>
    <row r="6" spans="1:7" ht="21.75" customHeight="1" x14ac:dyDescent="0.25">
      <c r="A6" s="102"/>
      <c r="B6" s="103" t="s">
        <v>681</v>
      </c>
      <c r="C6" s="104"/>
      <c r="D6" s="104"/>
      <c r="E6" s="104"/>
      <c r="F6" s="104"/>
      <c r="G6" s="102"/>
    </row>
    <row r="7" spans="1:7" s="98" customFormat="1" ht="18" customHeight="1" x14ac:dyDescent="0.25">
      <c r="B7" s="96" t="s">
        <v>687</v>
      </c>
      <c r="C7" s="99"/>
      <c r="D7" s="99"/>
      <c r="E7" s="99"/>
      <c r="F7" s="99"/>
    </row>
    <row r="8" spans="1:7" s="98" customFormat="1" ht="18" customHeight="1" x14ac:dyDescent="0.25">
      <c r="B8" s="100" t="s">
        <v>682</v>
      </c>
    </row>
    <row r="9" spans="1:7" s="98" customFormat="1" ht="18" customHeight="1" x14ac:dyDescent="0.25">
      <c r="B9" s="100" t="s">
        <v>683</v>
      </c>
    </row>
    <row r="10" spans="1:7" s="98" customFormat="1" ht="18" customHeight="1" x14ac:dyDescent="0.25">
      <c r="B10" s="100" t="s">
        <v>684</v>
      </c>
    </row>
    <row r="11" spans="1:7" s="98" customFormat="1" ht="18" customHeight="1" x14ac:dyDescent="0.25">
      <c r="B11" s="100" t="s">
        <v>685</v>
      </c>
    </row>
    <row r="12" spans="1:7" s="98" customFormat="1" ht="18" customHeight="1" x14ac:dyDescent="0.25">
      <c r="B12" s="100" t="s">
        <v>686</v>
      </c>
    </row>
    <row r="13" spans="1:7" x14ac:dyDescent="0.25">
      <c r="B13" s="101"/>
    </row>
    <row r="14" spans="1:7" ht="21.75" customHeight="1" x14ac:dyDescent="0.25">
      <c r="A14" s="102"/>
      <c r="B14" s="103" t="s">
        <v>688</v>
      </c>
      <c r="C14" s="104"/>
      <c r="D14" s="104"/>
      <c r="E14" s="104"/>
      <c r="F14" s="104"/>
      <c r="G14" s="102"/>
    </row>
    <row r="15" spans="1:7" ht="18" customHeight="1" x14ac:dyDescent="0.25">
      <c r="B15" s="96" t="s">
        <v>2</v>
      </c>
      <c r="C15" s="95"/>
      <c r="D15" s="95"/>
      <c r="E15" s="95"/>
      <c r="F15" s="95"/>
    </row>
    <row r="16" spans="1:7" ht="18" customHeight="1" x14ac:dyDescent="0.25">
      <c r="B16" s="96" t="s">
        <v>3</v>
      </c>
      <c r="C16" s="95"/>
      <c r="D16" s="95"/>
      <c r="E16" s="95"/>
      <c r="F16" s="95"/>
    </row>
    <row r="17" spans="1:7" ht="18" customHeight="1" x14ac:dyDescent="0.25">
      <c r="B17" s="96" t="s">
        <v>4</v>
      </c>
      <c r="C17" s="95"/>
      <c r="D17" s="95"/>
      <c r="E17" s="95"/>
      <c r="F17" s="95"/>
    </row>
    <row r="18" spans="1:7" ht="18" customHeight="1" x14ac:dyDescent="0.25">
      <c r="B18" s="96" t="s">
        <v>5</v>
      </c>
      <c r="C18" s="95"/>
      <c r="D18" s="95"/>
      <c r="E18" s="95"/>
      <c r="F18" s="95"/>
    </row>
    <row r="20" spans="1:7" ht="21.75" customHeight="1" x14ac:dyDescent="0.25">
      <c r="A20" s="102"/>
      <c r="B20" s="103" t="s">
        <v>6</v>
      </c>
      <c r="C20" s="104"/>
      <c r="D20" s="104"/>
      <c r="E20" s="104"/>
      <c r="F20" s="104"/>
      <c r="G20" s="102"/>
    </row>
    <row r="21" spans="1:7" ht="19.5" customHeight="1" x14ac:dyDescent="0.25">
      <c r="B21" s="109" t="s">
        <v>7</v>
      </c>
      <c r="C21" s="110"/>
      <c r="D21" s="113" t="s">
        <v>0</v>
      </c>
      <c r="E21" s="114"/>
      <c r="F21" s="114"/>
    </row>
    <row r="22" spans="1:7" ht="19.5" customHeight="1" x14ac:dyDescent="0.25">
      <c r="B22" s="109" t="s">
        <v>8</v>
      </c>
      <c r="C22" s="110"/>
      <c r="D22" s="113" t="s">
        <v>678</v>
      </c>
      <c r="E22" s="114"/>
      <c r="F22" s="114"/>
    </row>
    <row r="23" spans="1:7" ht="19.5" customHeight="1" x14ac:dyDescent="0.25">
      <c r="B23" s="109" t="s">
        <v>9</v>
      </c>
      <c r="C23" s="110"/>
      <c r="D23" s="115" t="s">
        <v>679</v>
      </c>
      <c r="E23" s="114"/>
      <c r="F23" s="114"/>
    </row>
    <row r="24" spans="1:7" ht="19.5" customHeight="1" x14ac:dyDescent="0.25">
      <c r="B24" s="109" t="s">
        <v>10</v>
      </c>
      <c r="C24" s="110"/>
      <c r="D24" s="112" t="s">
        <v>680</v>
      </c>
      <c r="E24" s="111"/>
      <c r="F24" s="111"/>
    </row>
    <row r="26" spans="1:7" ht="15.75" customHeight="1" x14ac:dyDescent="0.25">
      <c r="B26" s="97" t="s">
        <v>11</v>
      </c>
      <c r="C26" s="95"/>
      <c r="D26" s="95"/>
      <c r="E26" s="95"/>
      <c r="F26" s="95"/>
    </row>
    <row r="27" spans="1:7" ht="15.75" customHeight="1" x14ac:dyDescent="0.25">
      <c r="B27" s="95"/>
      <c r="C27" s="95"/>
      <c r="D27" s="95"/>
      <c r="E27" s="95"/>
      <c r="F27" s="95"/>
    </row>
  </sheetData>
  <mergeCells count="19">
    <mergeCell ref="B1:F2"/>
    <mergeCell ref="B26:F27"/>
    <mergeCell ref="B17:F17"/>
    <mergeCell ref="D23:F23"/>
    <mergeCell ref="D22:F22"/>
    <mergeCell ref="B22:C22"/>
    <mergeCell ref="B21:C21"/>
    <mergeCell ref="B23:C23"/>
    <mergeCell ref="B3:F3"/>
    <mergeCell ref="B18:F18"/>
    <mergeCell ref="B16:F16"/>
    <mergeCell ref="B24:C24"/>
    <mergeCell ref="B20:F20"/>
    <mergeCell ref="B15:F15"/>
    <mergeCell ref="D21:F21"/>
    <mergeCell ref="B14:F14"/>
    <mergeCell ref="B6:F6"/>
    <mergeCell ref="D24:F24"/>
    <mergeCell ref="B7:F7"/>
  </mergeCells>
  <hyperlinks>
    <hyperlink ref="D24" r:id="rId1" xr:uid="{00000000-0004-0000-0000-000000000000}"/>
  </hyperlinks>
  <pageMargins left="0.5" right="0.5" top="0.6" bottom="0.6" header="0.511811023622047" footer="0.5"/>
  <pageSetup paperSize="9" scale="80" orientation="portrait" horizontalDpi="300" verticalDpi="3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1525"/>
  <sheetViews>
    <sheetView showGridLines="0" zoomScaleNormal="100" workbookViewId="0">
      <pane xSplit="3" ySplit="13" topLeftCell="D26" activePane="bottomRight" state="frozen"/>
      <selection pane="topRight" activeCell="D1" sqref="D1"/>
      <selection pane="bottomLeft" activeCell="A20" sqref="A20"/>
      <selection pane="bottomRight" activeCell="D14" sqref="D14:D33"/>
    </sheetView>
  </sheetViews>
  <sheetFormatPr defaultColWidth="8.6328125" defaultRowHeight="12.5" outlineLevelCol="1" x14ac:dyDescent="0.25"/>
  <cols>
    <col min="1" max="1" width="17.90625" style="94" customWidth="1"/>
    <col min="2" max="2" width="24.81640625" style="94" customWidth="1"/>
    <col min="3" max="3" width="24" style="94" customWidth="1"/>
    <col min="4" max="4" width="14" style="94" customWidth="1"/>
    <col min="5" max="5" width="20" style="94" customWidth="1"/>
    <col min="6" max="6" width="16" style="94" customWidth="1"/>
    <col min="7" max="7" width="24" style="94" customWidth="1"/>
    <col min="8" max="9" width="20" style="94" customWidth="1" outlineLevel="1"/>
    <col min="10" max="10" width="28" style="94" customWidth="1"/>
    <col min="11" max="11" width="22" style="94" customWidth="1"/>
    <col min="12" max="14" width="18" style="94" customWidth="1" outlineLevel="1"/>
    <col min="15" max="15" width="28" style="94" customWidth="1"/>
    <col min="16" max="16" width="20" style="94" customWidth="1"/>
    <col min="17" max="17" width="22" style="94" customWidth="1"/>
    <col min="18" max="18" width="30" style="94" customWidth="1"/>
    <col min="19" max="20" width="22" style="94" customWidth="1"/>
    <col min="21" max="21" width="14" style="94" customWidth="1"/>
    <col min="22" max="24" width="16" style="94" customWidth="1"/>
    <col min="25" max="25" width="14" style="94" customWidth="1"/>
    <col min="26" max="27" width="16" style="94" customWidth="1"/>
    <col min="28" max="34" width="16" style="94" customWidth="1" outlineLevel="1"/>
    <col min="35" max="35" width="14" style="94" customWidth="1"/>
    <col min="36" max="37" width="30" style="94" customWidth="1" outlineLevel="1"/>
    <col min="38" max="16384" width="8.6328125" style="94"/>
  </cols>
  <sheetData>
    <row r="1" spans="1:37" s="143" customFormat="1" ht="37.5" customHeight="1" x14ac:dyDescent="0.25">
      <c r="A1" s="144" t="s">
        <v>12</v>
      </c>
      <c r="B1" s="141"/>
      <c r="C1" s="141"/>
      <c r="D1" s="141"/>
      <c r="E1" s="141"/>
      <c r="F1" s="141"/>
      <c r="G1" s="141"/>
      <c r="H1" s="141"/>
      <c r="I1" s="141"/>
      <c r="J1" s="141"/>
      <c r="K1" s="141"/>
      <c r="L1" s="142"/>
      <c r="M1" s="108"/>
      <c r="N1" s="108"/>
      <c r="O1" s="108"/>
      <c r="P1" s="108"/>
      <c r="Q1" s="108"/>
      <c r="R1" s="108"/>
      <c r="S1" s="108"/>
      <c r="T1" s="108"/>
      <c r="U1" s="108"/>
      <c r="V1" s="108"/>
      <c r="W1" s="108"/>
      <c r="X1" s="108"/>
      <c r="Y1" s="108"/>
      <c r="Z1" s="108"/>
      <c r="AA1" s="108"/>
      <c r="AB1" s="108"/>
      <c r="AC1" s="108"/>
      <c r="AD1" s="108"/>
      <c r="AE1" s="108"/>
      <c r="AF1" s="108"/>
      <c r="AG1" s="108"/>
      <c r="AH1" s="108"/>
      <c r="AI1" s="108"/>
      <c r="AJ1" s="108"/>
      <c r="AK1" s="108"/>
    </row>
    <row r="2" spans="1:37" ht="27.75" customHeight="1" x14ac:dyDescent="0.25">
      <c r="A2" s="140" t="s">
        <v>13</v>
      </c>
      <c r="B2" s="137"/>
      <c r="C2" s="137"/>
      <c r="D2" s="137"/>
      <c r="E2" s="137"/>
      <c r="F2" s="137"/>
      <c r="G2" s="137"/>
      <c r="H2" s="137"/>
      <c r="I2" s="137"/>
      <c r="J2" s="137"/>
      <c r="K2" s="137"/>
    </row>
    <row r="4" spans="1:37" ht="23.25" customHeight="1" x14ac:dyDescent="0.25">
      <c r="A4" s="133" t="s">
        <v>14</v>
      </c>
      <c r="B4" s="134" t="s">
        <v>689</v>
      </c>
      <c r="C4" s="132"/>
      <c r="D4" s="133" t="s">
        <v>16</v>
      </c>
      <c r="E4" s="134" t="s">
        <v>692</v>
      </c>
      <c r="F4" s="132"/>
      <c r="G4" s="133" t="s">
        <v>18</v>
      </c>
      <c r="H4" s="134">
        <v>5</v>
      </c>
      <c r="I4" s="136"/>
      <c r="J4" s="133" t="s">
        <v>19</v>
      </c>
      <c r="K4" s="134">
        <v>8</v>
      </c>
    </row>
    <row r="5" spans="1:37" ht="23.25" customHeight="1" x14ac:dyDescent="0.25">
      <c r="A5" s="133" t="s">
        <v>20</v>
      </c>
      <c r="B5" s="134" t="s">
        <v>21</v>
      </c>
      <c r="C5" s="132"/>
      <c r="D5" s="133" t="s">
        <v>22</v>
      </c>
      <c r="E5" s="134" t="s">
        <v>23</v>
      </c>
      <c r="F5" s="132"/>
      <c r="G5" s="133" t="s">
        <v>24</v>
      </c>
      <c r="H5" s="134" t="s">
        <v>25</v>
      </c>
      <c r="I5" s="136"/>
      <c r="J5" s="133" t="s">
        <v>26</v>
      </c>
      <c r="K5" s="134">
        <v>40</v>
      </c>
    </row>
    <row r="6" spans="1:37" ht="23.25" customHeight="1" x14ac:dyDescent="0.25">
      <c r="A6" s="133" t="s">
        <v>27</v>
      </c>
      <c r="B6" s="134" t="s">
        <v>691</v>
      </c>
      <c r="C6" s="132"/>
      <c r="D6" s="133" t="s">
        <v>29</v>
      </c>
      <c r="E6" s="134" t="s">
        <v>30</v>
      </c>
      <c r="F6" s="132"/>
      <c r="G6" s="133" t="s">
        <v>31</v>
      </c>
      <c r="H6" s="134" t="s">
        <v>32</v>
      </c>
      <c r="I6" s="136"/>
      <c r="J6" s="133" t="s">
        <v>33</v>
      </c>
      <c r="K6" s="134" t="s">
        <v>34</v>
      </c>
    </row>
    <row r="7" spans="1:37" ht="23.25" customHeight="1" x14ac:dyDescent="0.25">
      <c r="A7" s="133" t="s">
        <v>35</v>
      </c>
      <c r="B7" s="135" t="s">
        <v>679</v>
      </c>
      <c r="C7" s="132"/>
      <c r="D7" s="133" t="s">
        <v>37</v>
      </c>
      <c r="E7" s="134" t="s">
        <v>678</v>
      </c>
      <c r="F7" s="132"/>
      <c r="G7" s="133" t="s">
        <v>39</v>
      </c>
      <c r="H7" s="134" t="s">
        <v>40</v>
      </c>
      <c r="I7" s="136"/>
      <c r="J7" s="133" t="s">
        <v>41</v>
      </c>
      <c r="K7" s="134" t="s">
        <v>42</v>
      </c>
    </row>
    <row r="8" spans="1:37" ht="15" customHeight="1" x14ac:dyDescent="0.25">
      <c r="A8" s="133" t="s">
        <v>43</v>
      </c>
      <c r="B8" s="134" t="s">
        <v>690</v>
      </c>
      <c r="C8" s="132"/>
      <c r="D8" s="133" t="s">
        <v>45</v>
      </c>
      <c r="E8" s="134" t="s">
        <v>46</v>
      </c>
      <c r="F8" s="132"/>
      <c r="G8" s="133" t="s">
        <v>47</v>
      </c>
      <c r="H8" s="134" t="s">
        <v>48</v>
      </c>
      <c r="I8" s="136"/>
      <c r="J8" s="133" t="s">
        <v>49</v>
      </c>
      <c r="K8" s="134">
        <v>60</v>
      </c>
    </row>
    <row r="10" spans="1:37" ht="15" customHeight="1" x14ac:dyDescent="0.25">
      <c r="A10" s="121"/>
      <c r="B10" s="95"/>
      <c r="C10" s="95"/>
      <c r="D10" s="95"/>
      <c r="E10" s="95"/>
      <c r="F10" s="95"/>
      <c r="G10" s="95"/>
      <c r="H10" s="95"/>
      <c r="I10" s="95"/>
      <c r="J10" s="95"/>
      <c r="K10" s="95"/>
    </row>
    <row r="11" spans="1:37" ht="27.75" customHeight="1" x14ac:dyDescent="0.25">
      <c r="A11" s="140" t="s">
        <v>50</v>
      </c>
      <c r="B11" s="138"/>
      <c r="C11" s="138"/>
      <c r="D11" s="138"/>
      <c r="E11" s="138"/>
      <c r="F11" s="138"/>
      <c r="G11" s="138"/>
      <c r="H11" s="138"/>
      <c r="I11" s="138"/>
      <c r="J11" s="138"/>
      <c r="K11" s="138"/>
      <c r="L11" s="138"/>
      <c r="M11" s="138"/>
      <c r="N11" s="138"/>
      <c r="O11" s="138"/>
      <c r="P11" s="138"/>
      <c r="Q11" s="138"/>
      <c r="R11" s="138"/>
      <c r="S11" s="138"/>
      <c r="T11" s="138"/>
      <c r="U11" s="138"/>
      <c r="V11" s="138"/>
      <c r="W11" s="138"/>
      <c r="X11" s="138"/>
      <c r="Y11" s="138"/>
      <c r="Z11" s="138"/>
      <c r="AA11" s="138"/>
      <c r="AB11" s="138"/>
      <c r="AC11" s="138"/>
      <c r="AD11" s="138"/>
      <c r="AE11" s="138"/>
      <c r="AF11" s="138"/>
      <c r="AG11" s="138"/>
      <c r="AH11" s="138"/>
      <c r="AI11" s="138"/>
      <c r="AJ11" s="138"/>
      <c r="AK11" s="139"/>
    </row>
    <row r="12" spans="1:37" ht="25" customHeight="1" x14ac:dyDescent="0.25">
      <c r="A12" s="122" t="s">
        <v>51</v>
      </c>
      <c r="B12" s="118"/>
      <c r="C12" s="118"/>
      <c r="D12" s="118"/>
      <c r="E12" s="118"/>
      <c r="F12" s="118"/>
      <c r="G12" s="118"/>
      <c r="H12" s="118"/>
      <c r="I12" s="118"/>
      <c r="J12" s="118"/>
      <c r="K12" s="118"/>
      <c r="L12" s="118"/>
      <c r="M12" s="118"/>
      <c r="N12" s="118"/>
      <c r="O12" s="119"/>
      <c r="P12" s="123" t="s">
        <v>52</v>
      </c>
      <c r="Q12" s="118"/>
      <c r="R12" s="118"/>
      <c r="S12" s="119"/>
      <c r="T12" s="123" t="s">
        <v>53</v>
      </c>
      <c r="U12" s="118"/>
      <c r="V12" s="118"/>
      <c r="W12" s="118"/>
      <c r="X12" s="118"/>
      <c r="Y12" s="118"/>
      <c r="Z12" s="119"/>
      <c r="AA12" s="122" t="s">
        <v>54</v>
      </c>
      <c r="AB12" s="118"/>
      <c r="AC12" s="118"/>
      <c r="AD12" s="118"/>
      <c r="AE12" s="118"/>
      <c r="AF12" s="118"/>
      <c r="AG12" s="118"/>
      <c r="AH12" s="118"/>
      <c r="AI12" s="119"/>
      <c r="AJ12" s="123" t="s">
        <v>55</v>
      </c>
      <c r="AK12" s="119"/>
    </row>
    <row r="13" spans="1:37" ht="54" customHeight="1" x14ac:dyDescent="0.25">
      <c r="A13" s="124" t="s">
        <v>56</v>
      </c>
      <c r="B13" s="124" t="s">
        <v>57</v>
      </c>
      <c r="C13" s="124" t="s">
        <v>58</v>
      </c>
      <c r="D13" s="124" t="s">
        <v>59</v>
      </c>
      <c r="E13" s="124" t="s">
        <v>60</v>
      </c>
      <c r="F13" s="124" t="s">
        <v>61</v>
      </c>
      <c r="G13" s="124" t="s">
        <v>62</v>
      </c>
      <c r="H13" s="124" t="s">
        <v>63</v>
      </c>
      <c r="I13" s="124" t="s">
        <v>64</v>
      </c>
      <c r="J13" s="124" t="s">
        <v>65</v>
      </c>
      <c r="K13" s="124" t="s">
        <v>66</v>
      </c>
      <c r="L13" s="124" t="s">
        <v>67</v>
      </c>
      <c r="M13" s="124" t="s">
        <v>68</v>
      </c>
      <c r="N13" s="124" t="s">
        <v>69</v>
      </c>
      <c r="O13" s="124" t="s">
        <v>70</v>
      </c>
      <c r="P13" s="124" t="s">
        <v>71</v>
      </c>
      <c r="Q13" s="124" t="s">
        <v>72</v>
      </c>
      <c r="R13" s="124" t="s">
        <v>73</v>
      </c>
      <c r="S13" s="124" t="s">
        <v>74</v>
      </c>
      <c r="T13" s="124" t="s">
        <v>75</v>
      </c>
      <c r="U13" s="124" t="s">
        <v>76</v>
      </c>
      <c r="V13" s="124" t="s">
        <v>77</v>
      </c>
      <c r="W13" s="124" t="s">
        <v>78</v>
      </c>
      <c r="X13" s="124" t="s">
        <v>79</v>
      </c>
      <c r="Y13" s="124" t="s">
        <v>80</v>
      </c>
      <c r="Z13" s="124" t="s">
        <v>81</v>
      </c>
      <c r="AA13" s="124" t="s">
        <v>82</v>
      </c>
      <c r="AB13" s="124" t="s">
        <v>83</v>
      </c>
      <c r="AC13" s="124" t="s">
        <v>84</v>
      </c>
      <c r="AD13" s="124" t="s">
        <v>85</v>
      </c>
      <c r="AE13" s="124" t="s">
        <v>86</v>
      </c>
      <c r="AF13" s="124" t="s">
        <v>87</v>
      </c>
      <c r="AG13" s="124" t="s">
        <v>88</v>
      </c>
      <c r="AH13" s="124" t="s">
        <v>89</v>
      </c>
      <c r="AI13" s="124" t="s">
        <v>24</v>
      </c>
      <c r="AJ13" s="124" t="s">
        <v>90</v>
      </c>
      <c r="AK13" s="124" t="s">
        <v>91</v>
      </c>
    </row>
    <row r="14" spans="1:37" ht="36" customHeight="1" x14ac:dyDescent="0.25">
      <c r="A14" s="145" t="s">
        <v>694</v>
      </c>
      <c r="B14" s="126" t="str">
        <f t="shared" ref="B14:B77" si="0">IF($A14="","",TEXT(ROW()-19,"000")&amp;"/"&amp;IF($V14="",2026,YEAR($V14))&amp;"/HĐLĐ-"&amp;$E$8)</f>
        <v>-005/2026/HĐLĐ-MAU</v>
      </c>
      <c r="C14" s="127" t="s">
        <v>93</v>
      </c>
      <c r="D14" s="146" t="s">
        <v>94</v>
      </c>
      <c r="E14" s="128">
        <v>31118</v>
      </c>
      <c r="F14" s="127" t="s">
        <v>95</v>
      </c>
      <c r="G14" s="125" t="s">
        <v>693</v>
      </c>
      <c r="H14" s="128">
        <v>44362</v>
      </c>
      <c r="I14" s="127" t="s">
        <v>96</v>
      </c>
      <c r="J14" s="127" t="s">
        <v>97</v>
      </c>
      <c r="K14" s="127" t="s">
        <v>98</v>
      </c>
      <c r="L14" s="125" t="s">
        <v>99</v>
      </c>
      <c r="M14" s="125" t="s">
        <v>100</v>
      </c>
      <c r="N14" s="125"/>
      <c r="O14" s="127" t="s">
        <v>101</v>
      </c>
      <c r="P14" s="127" t="s">
        <v>102</v>
      </c>
      <c r="Q14" s="127" t="s">
        <v>103</v>
      </c>
      <c r="R14" s="127" t="s">
        <v>104</v>
      </c>
      <c r="S14" s="127" t="s">
        <v>105</v>
      </c>
      <c r="T14" s="127" t="s">
        <v>106</v>
      </c>
      <c r="U14" s="127"/>
      <c r="V14" s="128">
        <v>46027</v>
      </c>
      <c r="W14" s="128">
        <v>46027</v>
      </c>
      <c r="X14" s="129" t="str">
        <f t="shared" ref="X14:X77" si="1">IF($A14="","",IF($T14="Xác định thời hạn",IF(AND($W14&lt;&gt;"",$U14&lt;&gt;""),EDATE($W14,$U14)-1,""),""))</f>
        <v/>
      </c>
      <c r="Y14" s="127">
        <v>30</v>
      </c>
      <c r="Z14" s="128">
        <v>45997</v>
      </c>
      <c r="AA14" s="130">
        <v>25000000</v>
      </c>
      <c r="AB14" s="130">
        <v>4000000</v>
      </c>
      <c r="AC14" s="130">
        <v>730000</v>
      </c>
      <c r="AD14" s="130">
        <v>300000</v>
      </c>
      <c r="AE14" s="130">
        <v>600000</v>
      </c>
      <c r="AF14" s="130"/>
      <c r="AG14" s="127"/>
      <c r="AH14" s="130"/>
      <c r="AI14" s="127"/>
      <c r="AJ14" s="127"/>
      <c r="AK14" s="127" t="s">
        <v>107</v>
      </c>
    </row>
    <row r="15" spans="1:37" ht="36" customHeight="1" x14ac:dyDescent="0.25">
      <c r="A15" s="145" t="s">
        <v>695</v>
      </c>
      <c r="B15" s="126" t="str">
        <f t="shared" si="0"/>
        <v>-004/2026/HĐLĐ-MAU</v>
      </c>
      <c r="C15" s="127" t="s">
        <v>109</v>
      </c>
      <c r="D15" s="146" t="s">
        <v>110</v>
      </c>
      <c r="E15" s="128">
        <v>35271</v>
      </c>
      <c r="F15" s="127" t="s">
        <v>95</v>
      </c>
      <c r="G15" s="125" t="s">
        <v>693</v>
      </c>
      <c r="H15" s="128">
        <v>44362</v>
      </c>
      <c r="I15" s="127" t="s">
        <v>96</v>
      </c>
      <c r="J15" s="127" t="s">
        <v>111</v>
      </c>
      <c r="K15" s="127" t="s">
        <v>98</v>
      </c>
      <c r="L15" s="125" t="s">
        <v>112</v>
      </c>
      <c r="M15" s="125" t="s">
        <v>113</v>
      </c>
      <c r="N15" s="125"/>
      <c r="O15" s="127" t="s">
        <v>114</v>
      </c>
      <c r="P15" s="127" t="s">
        <v>115</v>
      </c>
      <c r="Q15" s="127" t="s">
        <v>103</v>
      </c>
      <c r="R15" s="127" t="s">
        <v>116</v>
      </c>
      <c r="S15" s="127" t="s">
        <v>105</v>
      </c>
      <c r="T15" s="127" t="s">
        <v>117</v>
      </c>
      <c r="U15" s="127">
        <v>12</v>
      </c>
      <c r="V15" s="128">
        <v>46027</v>
      </c>
      <c r="W15" s="128">
        <v>46027</v>
      </c>
      <c r="X15" s="129">
        <f t="shared" si="1"/>
        <v>46391</v>
      </c>
      <c r="Y15" s="127">
        <v>30</v>
      </c>
      <c r="Z15" s="128">
        <v>45997</v>
      </c>
      <c r="AA15" s="130">
        <v>12000000</v>
      </c>
      <c r="AB15" s="130"/>
      <c r="AC15" s="130">
        <v>730000</v>
      </c>
      <c r="AD15" s="130">
        <v>200000</v>
      </c>
      <c r="AE15" s="130">
        <v>400000</v>
      </c>
      <c r="AF15" s="130"/>
      <c r="AG15" s="127"/>
      <c r="AH15" s="130"/>
      <c r="AI15" s="127"/>
      <c r="AJ15" s="127"/>
      <c r="AK15" s="127" t="s">
        <v>107</v>
      </c>
    </row>
    <row r="16" spans="1:37" ht="36" customHeight="1" x14ac:dyDescent="0.25">
      <c r="A16" s="145" t="s">
        <v>696</v>
      </c>
      <c r="B16" s="126" t="str">
        <f t="shared" si="0"/>
        <v>-003/2026/HĐLĐ-MAU</v>
      </c>
      <c r="C16" s="127" t="s">
        <v>118</v>
      </c>
      <c r="D16" s="146" t="s">
        <v>94</v>
      </c>
      <c r="E16" s="128">
        <v>32450</v>
      </c>
      <c r="F16" s="127" t="s">
        <v>95</v>
      </c>
      <c r="G16" s="125" t="s">
        <v>693</v>
      </c>
      <c r="H16" s="128">
        <v>44362</v>
      </c>
      <c r="I16" s="127" t="s">
        <v>96</v>
      </c>
      <c r="J16" s="127" t="s">
        <v>119</v>
      </c>
      <c r="K16" s="127" t="s">
        <v>98</v>
      </c>
      <c r="L16" s="125" t="s">
        <v>120</v>
      </c>
      <c r="M16" s="125" t="s">
        <v>121</v>
      </c>
      <c r="N16" s="125"/>
      <c r="O16" s="127" t="s">
        <v>122</v>
      </c>
      <c r="P16" s="127" t="s">
        <v>123</v>
      </c>
      <c r="Q16" s="127" t="s">
        <v>124</v>
      </c>
      <c r="R16" s="127" t="s">
        <v>125</v>
      </c>
      <c r="S16" s="127" t="s">
        <v>105</v>
      </c>
      <c r="T16" s="127" t="s">
        <v>106</v>
      </c>
      <c r="U16" s="127"/>
      <c r="V16" s="128">
        <v>46027</v>
      </c>
      <c r="W16" s="128">
        <v>46027</v>
      </c>
      <c r="X16" s="129" t="str">
        <f t="shared" si="1"/>
        <v/>
      </c>
      <c r="Y16" s="127">
        <v>30</v>
      </c>
      <c r="Z16" s="128">
        <v>45997</v>
      </c>
      <c r="AA16" s="130">
        <v>22000000</v>
      </c>
      <c r="AB16" s="130">
        <v>3500000</v>
      </c>
      <c r="AC16" s="130">
        <v>730000</v>
      </c>
      <c r="AD16" s="130">
        <v>300000</v>
      </c>
      <c r="AE16" s="130">
        <v>500000</v>
      </c>
      <c r="AF16" s="130"/>
      <c r="AG16" s="127"/>
      <c r="AH16" s="130"/>
      <c r="AI16" s="127"/>
      <c r="AJ16" s="127"/>
      <c r="AK16" s="127" t="s">
        <v>107</v>
      </c>
    </row>
    <row r="17" spans="1:37" ht="36" customHeight="1" x14ac:dyDescent="0.25">
      <c r="A17" s="145" t="s">
        <v>697</v>
      </c>
      <c r="B17" s="126" t="str">
        <f t="shared" si="0"/>
        <v>-002/2026/HĐLĐ-MAU</v>
      </c>
      <c r="C17" s="127" t="s">
        <v>126</v>
      </c>
      <c r="D17" s="146" t="s">
        <v>110</v>
      </c>
      <c r="E17" s="128">
        <v>35479</v>
      </c>
      <c r="F17" s="127" t="s">
        <v>95</v>
      </c>
      <c r="G17" s="125" t="s">
        <v>693</v>
      </c>
      <c r="H17" s="128">
        <v>44362</v>
      </c>
      <c r="I17" s="127" t="s">
        <v>96</v>
      </c>
      <c r="J17" s="127" t="s">
        <v>127</v>
      </c>
      <c r="K17" s="127" t="s">
        <v>128</v>
      </c>
      <c r="L17" s="125" t="s">
        <v>129</v>
      </c>
      <c r="M17" s="125" t="s">
        <v>130</v>
      </c>
      <c r="N17" s="125"/>
      <c r="O17" s="127" t="s">
        <v>131</v>
      </c>
      <c r="P17" s="127" t="s">
        <v>132</v>
      </c>
      <c r="Q17" s="127" t="s">
        <v>124</v>
      </c>
      <c r="R17" s="127" t="s">
        <v>133</v>
      </c>
      <c r="S17" s="127" t="s">
        <v>105</v>
      </c>
      <c r="T17" s="127" t="s">
        <v>117</v>
      </c>
      <c r="U17" s="127">
        <v>24</v>
      </c>
      <c r="V17" s="128">
        <v>46027</v>
      </c>
      <c r="W17" s="128">
        <v>46027</v>
      </c>
      <c r="X17" s="129">
        <f t="shared" si="1"/>
        <v>46756</v>
      </c>
      <c r="Y17" s="127">
        <v>30</v>
      </c>
      <c r="Z17" s="128">
        <v>45997</v>
      </c>
      <c r="AA17" s="130">
        <v>13000000</v>
      </c>
      <c r="AB17" s="130"/>
      <c r="AC17" s="130">
        <v>730000</v>
      </c>
      <c r="AD17" s="130">
        <v>200000</v>
      </c>
      <c r="AE17" s="130">
        <v>300000</v>
      </c>
      <c r="AF17" s="130"/>
      <c r="AG17" s="127"/>
      <c r="AH17" s="130"/>
      <c r="AI17" s="127"/>
      <c r="AJ17" s="127"/>
      <c r="AK17" s="127" t="s">
        <v>107</v>
      </c>
    </row>
    <row r="18" spans="1:37" ht="36" customHeight="1" x14ac:dyDescent="0.25">
      <c r="A18" s="145" t="s">
        <v>698</v>
      </c>
      <c r="B18" s="126" t="str">
        <f t="shared" si="0"/>
        <v>-001/2026/HĐLĐ-MAU</v>
      </c>
      <c r="C18" s="127" t="s">
        <v>134</v>
      </c>
      <c r="D18" s="146" t="s">
        <v>94</v>
      </c>
      <c r="E18" s="128">
        <v>31664</v>
      </c>
      <c r="F18" s="127" t="s">
        <v>95</v>
      </c>
      <c r="G18" s="125" t="s">
        <v>693</v>
      </c>
      <c r="H18" s="128">
        <v>44362</v>
      </c>
      <c r="I18" s="127" t="s">
        <v>96</v>
      </c>
      <c r="J18" s="127" t="s">
        <v>135</v>
      </c>
      <c r="K18" s="127" t="s">
        <v>98</v>
      </c>
      <c r="L18" s="125" t="s">
        <v>136</v>
      </c>
      <c r="M18" s="125" t="s">
        <v>137</v>
      </c>
      <c r="N18" s="125"/>
      <c r="O18" s="127" t="s">
        <v>138</v>
      </c>
      <c r="P18" s="127" t="s">
        <v>139</v>
      </c>
      <c r="Q18" s="127" t="s">
        <v>140</v>
      </c>
      <c r="R18" s="127" t="s">
        <v>141</v>
      </c>
      <c r="S18" s="127" t="s">
        <v>105</v>
      </c>
      <c r="T18" s="127" t="s">
        <v>106</v>
      </c>
      <c r="U18" s="127"/>
      <c r="V18" s="128">
        <v>46027</v>
      </c>
      <c r="W18" s="128">
        <v>46027</v>
      </c>
      <c r="X18" s="129" t="str">
        <f t="shared" si="1"/>
        <v/>
      </c>
      <c r="Y18" s="127">
        <v>30</v>
      </c>
      <c r="Z18" s="128">
        <v>45997</v>
      </c>
      <c r="AA18" s="130">
        <v>20000000</v>
      </c>
      <c r="AB18" s="130">
        <v>5000000</v>
      </c>
      <c r="AC18" s="130">
        <v>730000</v>
      </c>
      <c r="AD18" s="130">
        <v>500000</v>
      </c>
      <c r="AE18" s="130">
        <v>700000</v>
      </c>
      <c r="AF18" s="130"/>
      <c r="AG18" s="127"/>
      <c r="AH18" s="130"/>
      <c r="AI18" s="127"/>
      <c r="AJ18" s="127"/>
      <c r="AK18" s="127" t="s">
        <v>107</v>
      </c>
    </row>
    <row r="19" spans="1:37" ht="36" customHeight="1" x14ac:dyDescent="0.25">
      <c r="A19" s="145" t="s">
        <v>699</v>
      </c>
      <c r="B19" s="126" t="str">
        <f t="shared" si="0"/>
        <v>000/2026/HĐLĐ-MAU</v>
      </c>
      <c r="C19" s="127" t="s">
        <v>142</v>
      </c>
      <c r="D19" s="146" t="s">
        <v>110</v>
      </c>
      <c r="E19" s="128">
        <v>35945</v>
      </c>
      <c r="F19" s="127" t="s">
        <v>95</v>
      </c>
      <c r="G19" s="125" t="s">
        <v>693</v>
      </c>
      <c r="H19" s="128">
        <v>44362</v>
      </c>
      <c r="I19" s="127" t="s">
        <v>96</v>
      </c>
      <c r="J19" s="127" t="s">
        <v>143</v>
      </c>
      <c r="K19" s="127" t="s">
        <v>128</v>
      </c>
      <c r="L19" s="125" t="s">
        <v>144</v>
      </c>
      <c r="M19" s="125" t="s">
        <v>145</v>
      </c>
      <c r="N19" s="125"/>
      <c r="O19" s="127" t="s">
        <v>146</v>
      </c>
      <c r="P19" s="127" t="s">
        <v>147</v>
      </c>
      <c r="Q19" s="127" t="s">
        <v>140</v>
      </c>
      <c r="R19" s="127" t="s">
        <v>148</v>
      </c>
      <c r="S19" s="127" t="s">
        <v>105</v>
      </c>
      <c r="T19" s="127" t="s">
        <v>117</v>
      </c>
      <c r="U19" s="127">
        <v>12</v>
      </c>
      <c r="V19" s="128">
        <v>46027</v>
      </c>
      <c r="W19" s="128">
        <v>46027</v>
      </c>
      <c r="X19" s="129">
        <f t="shared" si="1"/>
        <v>46391</v>
      </c>
      <c r="Y19" s="127">
        <v>30</v>
      </c>
      <c r="Z19" s="128">
        <v>45997</v>
      </c>
      <c r="AA19" s="130">
        <v>9000000</v>
      </c>
      <c r="AB19" s="130"/>
      <c r="AC19" s="130">
        <v>730000</v>
      </c>
      <c r="AD19" s="130">
        <v>300000</v>
      </c>
      <c r="AE19" s="130">
        <v>500000</v>
      </c>
      <c r="AF19" s="130"/>
      <c r="AG19" s="127"/>
      <c r="AH19" s="130"/>
      <c r="AI19" s="127"/>
      <c r="AJ19" s="127"/>
      <c r="AK19" s="127" t="s">
        <v>107</v>
      </c>
    </row>
    <row r="20" spans="1:37" ht="36" customHeight="1" x14ac:dyDescent="0.25">
      <c r="A20" s="145" t="s">
        <v>700</v>
      </c>
      <c r="B20" s="126" t="str">
        <f t="shared" si="0"/>
        <v>001/2026/HĐLĐ-MAU</v>
      </c>
      <c r="C20" s="127" t="s">
        <v>149</v>
      </c>
      <c r="D20" s="146" t="s">
        <v>94</v>
      </c>
      <c r="E20" s="128">
        <v>32888</v>
      </c>
      <c r="F20" s="127" t="s">
        <v>95</v>
      </c>
      <c r="G20" s="125" t="s">
        <v>693</v>
      </c>
      <c r="H20" s="128">
        <v>44362</v>
      </c>
      <c r="I20" s="127" t="s">
        <v>96</v>
      </c>
      <c r="J20" s="127" t="s">
        <v>150</v>
      </c>
      <c r="K20" s="127" t="s">
        <v>98</v>
      </c>
      <c r="L20" s="125" t="s">
        <v>151</v>
      </c>
      <c r="M20" s="125" t="s">
        <v>152</v>
      </c>
      <c r="N20" s="125"/>
      <c r="O20" s="127" t="s">
        <v>153</v>
      </c>
      <c r="P20" s="127" t="s">
        <v>154</v>
      </c>
      <c r="Q20" s="127" t="s">
        <v>155</v>
      </c>
      <c r="R20" s="127" t="s">
        <v>156</v>
      </c>
      <c r="S20" s="127" t="s">
        <v>157</v>
      </c>
      <c r="T20" s="127" t="s">
        <v>106</v>
      </c>
      <c r="U20" s="127"/>
      <c r="V20" s="128">
        <v>46027</v>
      </c>
      <c r="W20" s="128">
        <v>46027</v>
      </c>
      <c r="X20" s="129" t="str">
        <f t="shared" si="1"/>
        <v/>
      </c>
      <c r="Y20" s="127">
        <v>30</v>
      </c>
      <c r="Z20" s="128">
        <v>45997</v>
      </c>
      <c r="AA20" s="130">
        <v>18000000</v>
      </c>
      <c r="AB20" s="130">
        <v>2000000</v>
      </c>
      <c r="AC20" s="130">
        <v>730000</v>
      </c>
      <c r="AD20" s="130">
        <v>300000</v>
      </c>
      <c r="AE20" s="130">
        <v>500000</v>
      </c>
      <c r="AF20" s="130"/>
      <c r="AG20" s="127"/>
      <c r="AH20" s="130"/>
      <c r="AI20" s="127"/>
      <c r="AJ20" s="127"/>
      <c r="AK20" s="127" t="s">
        <v>107</v>
      </c>
    </row>
    <row r="21" spans="1:37" ht="36" customHeight="1" x14ac:dyDescent="0.25">
      <c r="A21" s="145" t="s">
        <v>701</v>
      </c>
      <c r="B21" s="126" t="str">
        <f t="shared" si="0"/>
        <v>002/2026/HĐLĐ-MAU</v>
      </c>
      <c r="C21" s="127" t="s">
        <v>158</v>
      </c>
      <c r="D21" s="146" t="s">
        <v>110</v>
      </c>
      <c r="E21" s="128">
        <v>34918</v>
      </c>
      <c r="F21" s="127" t="s">
        <v>95</v>
      </c>
      <c r="G21" s="125" t="s">
        <v>693</v>
      </c>
      <c r="H21" s="128">
        <v>44362</v>
      </c>
      <c r="I21" s="127" t="s">
        <v>96</v>
      </c>
      <c r="J21" s="127" t="s">
        <v>159</v>
      </c>
      <c r="K21" s="127" t="s">
        <v>160</v>
      </c>
      <c r="L21" s="125" t="s">
        <v>161</v>
      </c>
      <c r="M21" s="125" t="s">
        <v>162</v>
      </c>
      <c r="N21" s="125"/>
      <c r="O21" s="127" t="s">
        <v>163</v>
      </c>
      <c r="P21" s="127" t="s">
        <v>164</v>
      </c>
      <c r="Q21" s="127" t="s">
        <v>165</v>
      </c>
      <c r="R21" s="127" t="s">
        <v>166</v>
      </c>
      <c r="S21" s="127" t="s">
        <v>157</v>
      </c>
      <c r="T21" s="127" t="s">
        <v>117</v>
      </c>
      <c r="U21" s="127">
        <v>36</v>
      </c>
      <c r="V21" s="128">
        <v>46027</v>
      </c>
      <c r="W21" s="128">
        <v>46027</v>
      </c>
      <c r="X21" s="129">
        <f t="shared" si="1"/>
        <v>47122</v>
      </c>
      <c r="Y21" s="127">
        <v>30</v>
      </c>
      <c r="Z21" s="128">
        <v>45997</v>
      </c>
      <c r="AA21" s="130">
        <v>11000000</v>
      </c>
      <c r="AB21" s="130"/>
      <c r="AC21" s="130">
        <v>730000</v>
      </c>
      <c r="AD21" s="130">
        <v>150000</v>
      </c>
      <c r="AE21" s="130">
        <v>300000</v>
      </c>
      <c r="AF21" s="130"/>
      <c r="AG21" s="127"/>
      <c r="AH21" s="130"/>
      <c r="AI21" s="127"/>
      <c r="AJ21" s="127"/>
      <c r="AK21" s="127" t="s">
        <v>107</v>
      </c>
    </row>
    <row r="22" spans="1:37" ht="36" customHeight="1" x14ac:dyDescent="0.25">
      <c r="A22" s="145" t="s">
        <v>702</v>
      </c>
      <c r="B22" s="126" t="str">
        <f t="shared" si="0"/>
        <v>003/2026/HĐLĐ-MAU</v>
      </c>
      <c r="C22" s="127" t="s">
        <v>167</v>
      </c>
      <c r="D22" s="146" t="s">
        <v>94</v>
      </c>
      <c r="E22" s="128">
        <v>34081</v>
      </c>
      <c r="F22" s="127" t="s">
        <v>95</v>
      </c>
      <c r="G22" s="125" t="s">
        <v>693</v>
      </c>
      <c r="H22" s="128">
        <v>44362</v>
      </c>
      <c r="I22" s="127" t="s">
        <v>96</v>
      </c>
      <c r="J22" s="127" t="s">
        <v>168</v>
      </c>
      <c r="K22" s="127" t="s">
        <v>98</v>
      </c>
      <c r="L22" s="125" t="s">
        <v>169</v>
      </c>
      <c r="M22" s="125" t="s">
        <v>170</v>
      </c>
      <c r="N22" s="125"/>
      <c r="O22" s="127" t="s">
        <v>171</v>
      </c>
      <c r="P22" s="127" t="s">
        <v>172</v>
      </c>
      <c r="Q22" s="127" t="s">
        <v>173</v>
      </c>
      <c r="R22" s="127" t="s">
        <v>174</v>
      </c>
      <c r="S22" s="127" t="s">
        <v>105</v>
      </c>
      <c r="T22" s="127" t="s">
        <v>106</v>
      </c>
      <c r="U22" s="127"/>
      <c r="V22" s="128">
        <v>46027</v>
      </c>
      <c r="W22" s="128">
        <v>46027</v>
      </c>
      <c r="X22" s="129" t="str">
        <f t="shared" si="1"/>
        <v/>
      </c>
      <c r="Y22" s="127">
        <v>30</v>
      </c>
      <c r="Z22" s="128">
        <v>45997</v>
      </c>
      <c r="AA22" s="130">
        <v>22000000</v>
      </c>
      <c r="AB22" s="130"/>
      <c r="AC22" s="130">
        <v>730000</v>
      </c>
      <c r="AD22" s="130">
        <v>300000</v>
      </c>
      <c r="AE22" s="130"/>
      <c r="AF22" s="130"/>
      <c r="AG22" s="127"/>
      <c r="AH22" s="130"/>
      <c r="AI22" s="127"/>
      <c r="AJ22" s="127"/>
      <c r="AK22" s="127" t="s">
        <v>107</v>
      </c>
    </row>
    <row r="23" spans="1:37" ht="36" customHeight="1" x14ac:dyDescent="0.25">
      <c r="A23" s="145" t="s">
        <v>703</v>
      </c>
      <c r="B23" s="126" t="str">
        <f t="shared" si="0"/>
        <v>004/2026/HĐLĐ-MAU</v>
      </c>
      <c r="C23" s="127" t="s">
        <v>175</v>
      </c>
      <c r="D23" s="146" t="s">
        <v>110</v>
      </c>
      <c r="E23" s="128">
        <v>34669</v>
      </c>
      <c r="F23" s="127" t="s">
        <v>95</v>
      </c>
      <c r="G23" s="125" t="s">
        <v>693</v>
      </c>
      <c r="H23" s="128">
        <v>44362</v>
      </c>
      <c r="I23" s="127" t="s">
        <v>96</v>
      </c>
      <c r="J23" s="127" t="s">
        <v>176</v>
      </c>
      <c r="K23" s="127" t="s">
        <v>98</v>
      </c>
      <c r="L23" s="125" t="s">
        <v>177</v>
      </c>
      <c r="M23" s="125" t="s">
        <v>178</v>
      </c>
      <c r="N23" s="125"/>
      <c r="O23" s="127" t="s">
        <v>179</v>
      </c>
      <c r="P23" s="127" t="s">
        <v>180</v>
      </c>
      <c r="Q23" s="127" t="s">
        <v>181</v>
      </c>
      <c r="R23" s="127" t="s">
        <v>182</v>
      </c>
      <c r="S23" s="127" t="s">
        <v>105</v>
      </c>
      <c r="T23" s="127" t="s">
        <v>117</v>
      </c>
      <c r="U23" s="127">
        <v>12</v>
      </c>
      <c r="V23" s="128">
        <v>46027</v>
      </c>
      <c r="W23" s="128">
        <v>46027</v>
      </c>
      <c r="X23" s="129">
        <f t="shared" si="1"/>
        <v>46391</v>
      </c>
      <c r="Y23" s="127">
        <v>30</v>
      </c>
      <c r="Z23" s="128">
        <v>45997</v>
      </c>
      <c r="AA23" s="130">
        <v>12000000</v>
      </c>
      <c r="AB23" s="130"/>
      <c r="AC23" s="130">
        <v>730000</v>
      </c>
      <c r="AD23" s="130">
        <v>300000</v>
      </c>
      <c r="AE23" s="130">
        <v>400000</v>
      </c>
      <c r="AF23" s="130"/>
      <c r="AG23" s="127"/>
      <c r="AH23" s="130"/>
      <c r="AI23" s="127"/>
      <c r="AJ23" s="127"/>
      <c r="AK23" s="127" t="s">
        <v>107</v>
      </c>
    </row>
    <row r="24" spans="1:37" ht="36" customHeight="1" x14ac:dyDescent="0.25">
      <c r="A24" s="145" t="s">
        <v>704</v>
      </c>
      <c r="B24" s="126" t="str">
        <f t="shared" si="0"/>
        <v>005/2026/HĐLĐ-MAU</v>
      </c>
      <c r="C24" s="127" t="s">
        <v>183</v>
      </c>
      <c r="D24" s="146" t="s">
        <v>94</v>
      </c>
      <c r="E24" s="128">
        <v>33769</v>
      </c>
      <c r="F24" s="127" t="s">
        <v>95</v>
      </c>
      <c r="G24" s="125" t="s">
        <v>693</v>
      </c>
      <c r="H24" s="128">
        <v>44362</v>
      </c>
      <c r="I24" s="127" t="s">
        <v>96</v>
      </c>
      <c r="J24" s="127" t="s">
        <v>184</v>
      </c>
      <c r="K24" s="127" t="s">
        <v>185</v>
      </c>
      <c r="L24" s="125" t="s">
        <v>186</v>
      </c>
      <c r="M24" s="125" t="s">
        <v>187</v>
      </c>
      <c r="N24" s="125"/>
      <c r="O24" s="127" t="s">
        <v>188</v>
      </c>
      <c r="P24" s="127" t="s">
        <v>189</v>
      </c>
      <c r="Q24" s="127" t="s">
        <v>190</v>
      </c>
      <c r="R24" s="127" t="s">
        <v>191</v>
      </c>
      <c r="S24" s="127" t="s">
        <v>157</v>
      </c>
      <c r="T24" s="127" t="s">
        <v>117</v>
      </c>
      <c r="U24" s="127">
        <v>12</v>
      </c>
      <c r="V24" s="128">
        <v>46027</v>
      </c>
      <c r="W24" s="128">
        <v>46027</v>
      </c>
      <c r="X24" s="129">
        <f t="shared" si="1"/>
        <v>46391</v>
      </c>
      <c r="Y24" s="127">
        <v>30</v>
      </c>
      <c r="Z24" s="128">
        <v>45997</v>
      </c>
      <c r="AA24" s="130">
        <v>8000000</v>
      </c>
      <c r="AB24" s="130"/>
      <c r="AC24" s="130">
        <v>730000</v>
      </c>
      <c r="AD24" s="130">
        <v>150000</v>
      </c>
      <c r="AE24" s="130">
        <v>300000</v>
      </c>
      <c r="AF24" s="130"/>
      <c r="AG24" s="127"/>
      <c r="AH24" s="130"/>
      <c r="AI24" s="127" t="s">
        <v>192</v>
      </c>
      <c r="AJ24" s="127"/>
      <c r="AK24" s="127" t="s">
        <v>107</v>
      </c>
    </row>
    <row r="25" spans="1:37" ht="36" customHeight="1" x14ac:dyDescent="0.25">
      <c r="A25" s="145" t="s">
        <v>705</v>
      </c>
      <c r="B25" s="126" t="str">
        <f t="shared" si="0"/>
        <v>006/2026/HĐLĐ-MAU</v>
      </c>
      <c r="C25" s="127" t="s">
        <v>193</v>
      </c>
      <c r="D25" s="146" t="s">
        <v>110</v>
      </c>
      <c r="E25" s="128">
        <v>36227</v>
      </c>
      <c r="F25" s="127" t="s">
        <v>95</v>
      </c>
      <c r="G25" s="125" t="s">
        <v>693</v>
      </c>
      <c r="H25" s="128">
        <v>44362</v>
      </c>
      <c r="I25" s="127" t="s">
        <v>96</v>
      </c>
      <c r="J25" s="127" t="s">
        <v>194</v>
      </c>
      <c r="K25" s="127" t="s">
        <v>128</v>
      </c>
      <c r="L25" s="125" t="s">
        <v>195</v>
      </c>
      <c r="M25" s="125" t="s">
        <v>196</v>
      </c>
      <c r="N25" s="125"/>
      <c r="O25" s="127" t="s">
        <v>197</v>
      </c>
      <c r="P25" s="127" t="s">
        <v>198</v>
      </c>
      <c r="Q25" s="127" t="s">
        <v>199</v>
      </c>
      <c r="R25" s="127" t="s">
        <v>200</v>
      </c>
      <c r="S25" s="127" t="s">
        <v>105</v>
      </c>
      <c r="T25" s="127" t="s">
        <v>117</v>
      </c>
      <c r="U25" s="127">
        <v>12</v>
      </c>
      <c r="V25" s="128">
        <v>46027</v>
      </c>
      <c r="W25" s="128">
        <v>46027</v>
      </c>
      <c r="X25" s="129">
        <f t="shared" si="1"/>
        <v>46391</v>
      </c>
      <c r="Y25" s="127">
        <v>30</v>
      </c>
      <c r="Z25" s="128">
        <v>45997</v>
      </c>
      <c r="AA25" s="130">
        <v>9500000</v>
      </c>
      <c r="AB25" s="130"/>
      <c r="AC25" s="130">
        <v>730000</v>
      </c>
      <c r="AD25" s="130">
        <v>200000</v>
      </c>
      <c r="AE25" s="130"/>
      <c r="AF25" s="130"/>
      <c r="AG25" s="127"/>
      <c r="AH25" s="130"/>
      <c r="AI25" s="127"/>
      <c r="AJ25" s="127"/>
      <c r="AK25" s="127" t="s">
        <v>107</v>
      </c>
    </row>
    <row r="26" spans="1:37" ht="36" customHeight="1" x14ac:dyDescent="0.25">
      <c r="A26" s="145" t="s">
        <v>706</v>
      </c>
      <c r="B26" s="126" t="str">
        <f t="shared" si="0"/>
        <v>007/2026/HĐLĐ-MAU</v>
      </c>
      <c r="C26" s="127" t="s">
        <v>201</v>
      </c>
      <c r="D26" s="146" t="s">
        <v>94</v>
      </c>
      <c r="E26" s="128">
        <v>32070</v>
      </c>
      <c r="F26" s="127" t="s">
        <v>95</v>
      </c>
      <c r="G26" s="125" t="s">
        <v>693</v>
      </c>
      <c r="H26" s="128">
        <v>44362</v>
      </c>
      <c r="I26" s="127" t="s">
        <v>96</v>
      </c>
      <c r="J26" s="127" t="s">
        <v>202</v>
      </c>
      <c r="K26" s="127" t="s">
        <v>160</v>
      </c>
      <c r="L26" s="125" t="s">
        <v>203</v>
      </c>
      <c r="M26" s="125" t="s">
        <v>204</v>
      </c>
      <c r="N26" s="125"/>
      <c r="O26" s="127" t="s">
        <v>205</v>
      </c>
      <c r="P26" s="127" t="s">
        <v>206</v>
      </c>
      <c r="Q26" s="127" t="s">
        <v>165</v>
      </c>
      <c r="R26" s="127" t="s">
        <v>207</v>
      </c>
      <c r="S26" s="127" t="s">
        <v>157</v>
      </c>
      <c r="T26" s="127" t="s">
        <v>106</v>
      </c>
      <c r="U26" s="127"/>
      <c r="V26" s="128">
        <v>46027</v>
      </c>
      <c r="W26" s="128">
        <v>46027</v>
      </c>
      <c r="X26" s="129" t="str">
        <f t="shared" si="1"/>
        <v/>
      </c>
      <c r="Y26" s="127">
        <v>30</v>
      </c>
      <c r="Z26" s="128">
        <v>45997</v>
      </c>
      <c r="AA26" s="130">
        <v>16000000</v>
      </c>
      <c r="AB26" s="130">
        <v>2500000</v>
      </c>
      <c r="AC26" s="130">
        <v>730000</v>
      </c>
      <c r="AD26" s="130">
        <v>200000</v>
      </c>
      <c r="AE26" s="130">
        <v>400000</v>
      </c>
      <c r="AF26" s="130"/>
      <c r="AG26" s="127"/>
      <c r="AH26" s="130"/>
      <c r="AI26" s="127"/>
      <c r="AJ26" s="127"/>
      <c r="AK26" s="127" t="s">
        <v>107</v>
      </c>
    </row>
    <row r="27" spans="1:37" ht="36" customHeight="1" x14ac:dyDescent="0.25">
      <c r="A27" s="145" t="s">
        <v>707</v>
      </c>
      <c r="B27" s="126" t="str">
        <f t="shared" si="0"/>
        <v>008/2026/HĐLĐ-MAU</v>
      </c>
      <c r="C27" s="127" t="s">
        <v>208</v>
      </c>
      <c r="D27" s="146" t="s">
        <v>110</v>
      </c>
      <c r="E27" s="128">
        <v>33430</v>
      </c>
      <c r="F27" s="127" t="s">
        <v>95</v>
      </c>
      <c r="G27" s="125" t="s">
        <v>693</v>
      </c>
      <c r="H27" s="128">
        <v>44362</v>
      </c>
      <c r="I27" s="127" t="s">
        <v>96</v>
      </c>
      <c r="J27" s="127" t="s">
        <v>209</v>
      </c>
      <c r="K27" s="127" t="s">
        <v>98</v>
      </c>
      <c r="L27" s="125" t="s">
        <v>210</v>
      </c>
      <c r="M27" s="125" t="s">
        <v>211</v>
      </c>
      <c r="N27" s="125"/>
      <c r="O27" s="127" t="s">
        <v>212</v>
      </c>
      <c r="P27" s="127" t="s">
        <v>213</v>
      </c>
      <c r="Q27" s="127" t="s">
        <v>214</v>
      </c>
      <c r="R27" s="127" t="s">
        <v>215</v>
      </c>
      <c r="S27" s="127" t="s">
        <v>105</v>
      </c>
      <c r="T27" s="127" t="s">
        <v>106</v>
      </c>
      <c r="U27" s="127"/>
      <c r="V27" s="128">
        <v>46027</v>
      </c>
      <c r="W27" s="128">
        <v>46027</v>
      </c>
      <c r="X27" s="129" t="str">
        <f t="shared" si="1"/>
        <v/>
      </c>
      <c r="Y27" s="127">
        <v>30</v>
      </c>
      <c r="Z27" s="128">
        <v>45997</v>
      </c>
      <c r="AA27" s="130">
        <v>17000000</v>
      </c>
      <c r="AB27" s="130">
        <v>1500000</v>
      </c>
      <c r="AC27" s="130">
        <v>730000</v>
      </c>
      <c r="AD27" s="130">
        <v>300000</v>
      </c>
      <c r="AE27" s="130"/>
      <c r="AF27" s="130"/>
      <c r="AG27" s="127"/>
      <c r="AH27" s="130"/>
      <c r="AI27" s="127"/>
      <c r="AJ27" s="127"/>
      <c r="AK27" s="127" t="s">
        <v>107</v>
      </c>
    </row>
    <row r="28" spans="1:37" ht="36" customHeight="1" x14ac:dyDescent="0.25">
      <c r="A28" s="145" t="s">
        <v>708</v>
      </c>
      <c r="B28" s="126" t="str">
        <f t="shared" si="0"/>
        <v>009/2026/HĐLĐ-MAU</v>
      </c>
      <c r="C28" s="127" t="s">
        <v>216</v>
      </c>
      <c r="D28" s="146" t="s">
        <v>94</v>
      </c>
      <c r="E28" s="128">
        <v>35031</v>
      </c>
      <c r="F28" s="127" t="s">
        <v>95</v>
      </c>
      <c r="G28" s="125" t="s">
        <v>693</v>
      </c>
      <c r="H28" s="128">
        <v>44362</v>
      </c>
      <c r="I28" s="127" t="s">
        <v>96</v>
      </c>
      <c r="J28" s="127" t="s">
        <v>217</v>
      </c>
      <c r="K28" s="127" t="s">
        <v>128</v>
      </c>
      <c r="L28" s="125" t="s">
        <v>218</v>
      </c>
      <c r="M28" s="125" t="s">
        <v>219</v>
      </c>
      <c r="N28" s="125"/>
      <c r="O28" s="127" t="s">
        <v>220</v>
      </c>
      <c r="P28" s="127" t="s">
        <v>221</v>
      </c>
      <c r="Q28" s="127" t="s">
        <v>173</v>
      </c>
      <c r="R28" s="127" t="s">
        <v>222</v>
      </c>
      <c r="S28" s="127" t="s">
        <v>105</v>
      </c>
      <c r="T28" s="127" t="s">
        <v>117</v>
      </c>
      <c r="U28" s="127">
        <v>24</v>
      </c>
      <c r="V28" s="128">
        <v>46027</v>
      </c>
      <c r="W28" s="128">
        <v>46027</v>
      </c>
      <c r="X28" s="129">
        <f t="shared" si="1"/>
        <v>46756</v>
      </c>
      <c r="Y28" s="127">
        <v>30</v>
      </c>
      <c r="Z28" s="128">
        <v>45997</v>
      </c>
      <c r="AA28" s="130">
        <v>11000000</v>
      </c>
      <c r="AB28" s="130"/>
      <c r="AC28" s="130">
        <v>730000</v>
      </c>
      <c r="AD28" s="130">
        <v>300000</v>
      </c>
      <c r="AE28" s="130"/>
      <c r="AF28" s="130"/>
      <c r="AG28" s="127"/>
      <c r="AH28" s="130"/>
      <c r="AI28" s="127"/>
      <c r="AJ28" s="127"/>
      <c r="AK28" s="127" t="s">
        <v>107</v>
      </c>
    </row>
    <row r="29" spans="1:37" ht="36" customHeight="1" x14ac:dyDescent="0.25">
      <c r="A29" s="145" t="s">
        <v>709</v>
      </c>
      <c r="B29" s="126" t="str">
        <f t="shared" si="0"/>
        <v>010/2026/HĐLĐ-MAU</v>
      </c>
      <c r="C29" s="127" t="s">
        <v>223</v>
      </c>
      <c r="D29" s="146" t="s">
        <v>110</v>
      </c>
      <c r="E29" s="128">
        <v>32545</v>
      </c>
      <c r="F29" s="127" t="s">
        <v>95</v>
      </c>
      <c r="G29" s="125" t="s">
        <v>693</v>
      </c>
      <c r="H29" s="128">
        <v>44362</v>
      </c>
      <c r="I29" s="127" t="s">
        <v>96</v>
      </c>
      <c r="J29" s="127" t="s">
        <v>224</v>
      </c>
      <c r="K29" s="127" t="s">
        <v>98</v>
      </c>
      <c r="L29" s="125" t="s">
        <v>225</v>
      </c>
      <c r="M29" s="125" t="s">
        <v>226</v>
      </c>
      <c r="N29" s="125"/>
      <c r="O29" s="127" t="s">
        <v>227</v>
      </c>
      <c r="P29" s="127" t="s">
        <v>228</v>
      </c>
      <c r="Q29" s="127" t="s">
        <v>103</v>
      </c>
      <c r="R29" s="127" t="s">
        <v>229</v>
      </c>
      <c r="S29" s="127" t="s">
        <v>105</v>
      </c>
      <c r="T29" s="127" t="s">
        <v>106</v>
      </c>
      <c r="U29" s="127"/>
      <c r="V29" s="128">
        <v>46027</v>
      </c>
      <c r="W29" s="128">
        <v>46027</v>
      </c>
      <c r="X29" s="129" t="str">
        <f t="shared" si="1"/>
        <v/>
      </c>
      <c r="Y29" s="127">
        <v>30</v>
      </c>
      <c r="Z29" s="128">
        <v>45997</v>
      </c>
      <c r="AA29" s="130">
        <v>12000000</v>
      </c>
      <c r="AB29" s="130">
        <v>1000000</v>
      </c>
      <c r="AC29" s="130">
        <v>730000</v>
      </c>
      <c r="AD29" s="130">
        <v>200000</v>
      </c>
      <c r="AE29" s="130"/>
      <c r="AF29" s="130"/>
      <c r="AG29" s="127"/>
      <c r="AH29" s="130"/>
      <c r="AI29" s="127"/>
      <c r="AJ29" s="127"/>
      <c r="AK29" s="127" t="s">
        <v>107</v>
      </c>
    </row>
    <row r="30" spans="1:37" ht="36" customHeight="1" x14ac:dyDescent="0.25">
      <c r="A30" s="145" t="s">
        <v>710</v>
      </c>
      <c r="B30" s="126" t="str">
        <f t="shared" si="0"/>
        <v>011/2026/HĐLĐ-MAU</v>
      </c>
      <c r="C30" s="127" t="s">
        <v>230</v>
      </c>
      <c r="D30" s="146" t="s">
        <v>94</v>
      </c>
      <c r="E30" s="128">
        <v>33104</v>
      </c>
      <c r="F30" s="127" t="s">
        <v>95</v>
      </c>
      <c r="G30" s="125" t="s">
        <v>693</v>
      </c>
      <c r="H30" s="128">
        <v>44362</v>
      </c>
      <c r="I30" s="127" t="s">
        <v>96</v>
      </c>
      <c r="J30" s="127" t="s">
        <v>231</v>
      </c>
      <c r="K30" s="127" t="s">
        <v>185</v>
      </c>
      <c r="L30" s="125" t="s">
        <v>232</v>
      </c>
      <c r="M30" s="125" t="s">
        <v>233</v>
      </c>
      <c r="N30" s="125"/>
      <c r="O30" s="127" t="s">
        <v>234</v>
      </c>
      <c r="P30" s="127" t="s">
        <v>235</v>
      </c>
      <c r="Q30" s="127" t="s">
        <v>124</v>
      </c>
      <c r="R30" s="127" t="s">
        <v>236</v>
      </c>
      <c r="S30" s="127" t="s">
        <v>157</v>
      </c>
      <c r="T30" s="127" t="s">
        <v>117</v>
      </c>
      <c r="U30" s="127">
        <v>12</v>
      </c>
      <c r="V30" s="128">
        <v>46027</v>
      </c>
      <c r="W30" s="128">
        <v>46027</v>
      </c>
      <c r="X30" s="129">
        <f t="shared" si="1"/>
        <v>46391</v>
      </c>
      <c r="Y30" s="127">
        <v>30</v>
      </c>
      <c r="Z30" s="128">
        <v>45997</v>
      </c>
      <c r="AA30" s="130">
        <v>8500000</v>
      </c>
      <c r="AB30" s="130"/>
      <c r="AC30" s="130">
        <v>730000</v>
      </c>
      <c r="AD30" s="130"/>
      <c r="AE30" s="130">
        <v>600000</v>
      </c>
      <c r="AF30" s="130"/>
      <c r="AG30" s="127"/>
      <c r="AH30" s="130"/>
      <c r="AI30" s="127" t="s">
        <v>192</v>
      </c>
      <c r="AJ30" s="127"/>
      <c r="AK30" s="127" t="s">
        <v>107</v>
      </c>
    </row>
    <row r="31" spans="1:37" ht="36" customHeight="1" x14ac:dyDescent="0.25">
      <c r="A31" s="145" t="s">
        <v>711</v>
      </c>
      <c r="B31" s="126" t="str">
        <f t="shared" si="0"/>
        <v>012/2026/HĐLĐ-MAU</v>
      </c>
      <c r="C31" s="127" t="s">
        <v>237</v>
      </c>
      <c r="D31" s="146" t="s">
        <v>110</v>
      </c>
      <c r="E31" s="128">
        <v>36618</v>
      </c>
      <c r="F31" s="127" t="s">
        <v>95</v>
      </c>
      <c r="G31" s="125" t="s">
        <v>693</v>
      </c>
      <c r="H31" s="128">
        <v>44362</v>
      </c>
      <c r="I31" s="127" t="s">
        <v>96</v>
      </c>
      <c r="J31" s="127" t="s">
        <v>238</v>
      </c>
      <c r="K31" s="127" t="s">
        <v>128</v>
      </c>
      <c r="L31" s="125" t="s">
        <v>239</v>
      </c>
      <c r="M31" s="125" t="s">
        <v>240</v>
      </c>
      <c r="N31" s="125"/>
      <c r="O31" s="127" t="s">
        <v>241</v>
      </c>
      <c r="P31" s="127" t="s">
        <v>242</v>
      </c>
      <c r="Q31" s="127" t="s">
        <v>124</v>
      </c>
      <c r="R31" s="127" t="s">
        <v>243</v>
      </c>
      <c r="S31" s="127" t="s">
        <v>105</v>
      </c>
      <c r="T31" s="127" t="s">
        <v>117</v>
      </c>
      <c r="U31" s="127">
        <v>12</v>
      </c>
      <c r="V31" s="128">
        <v>46027</v>
      </c>
      <c r="W31" s="128">
        <v>46027</v>
      </c>
      <c r="X31" s="129">
        <f t="shared" si="1"/>
        <v>46391</v>
      </c>
      <c r="Y31" s="127">
        <v>30</v>
      </c>
      <c r="Z31" s="128">
        <v>45997</v>
      </c>
      <c r="AA31" s="130">
        <v>8000000</v>
      </c>
      <c r="AB31" s="130"/>
      <c r="AC31" s="130">
        <v>730000</v>
      </c>
      <c r="AD31" s="130">
        <v>150000</v>
      </c>
      <c r="AE31" s="130"/>
      <c r="AF31" s="130"/>
      <c r="AG31" s="127"/>
      <c r="AH31" s="130"/>
      <c r="AI31" s="127"/>
      <c r="AJ31" s="127"/>
      <c r="AK31" s="127" t="s">
        <v>107</v>
      </c>
    </row>
    <row r="32" spans="1:37" ht="36" customHeight="1" x14ac:dyDescent="0.25">
      <c r="A32" s="145" t="s">
        <v>712</v>
      </c>
      <c r="B32" s="126" t="str">
        <f t="shared" si="0"/>
        <v>013/2026/HĐLĐ-MAU</v>
      </c>
      <c r="C32" s="127" t="s">
        <v>244</v>
      </c>
      <c r="D32" s="146" t="s">
        <v>94</v>
      </c>
      <c r="E32" s="128">
        <v>32502</v>
      </c>
      <c r="F32" s="127" t="s">
        <v>95</v>
      </c>
      <c r="G32" s="125" t="s">
        <v>693</v>
      </c>
      <c r="H32" s="128">
        <v>44362</v>
      </c>
      <c r="I32" s="127" t="s">
        <v>96</v>
      </c>
      <c r="J32" s="127" t="s">
        <v>245</v>
      </c>
      <c r="K32" s="127" t="s">
        <v>160</v>
      </c>
      <c r="L32" s="125" t="s">
        <v>246</v>
      </c>
      <c r="M32" s="125" t="s">
        <v>247</v>
      </c>
      <c r="N32" s="125"/>
      <c r="O32" s="127" t="s">
        <v>248</v>
      </c>
      <c r="P32" s="127" t="s">
        <v>249</v>
      </c>
      <c r="Q32" s="127" t="s">
        <v>155</v>
      </c>
      <c r="R32" s="127" t="s">
        <v>250</v>
      </c>
      <c r="S32" s="127" t="s">
        <v>157</v>
      </c>
      <c r="T32" s="127" t="s">
        <v>117</v>
      </c>
      <c r="U32" s="127">
        <v>24</v>
      </c>
      <c r="V32" s="128">
        <v>46027</v>
      </c>
      <c r="W32" s="128">
        <v>46027</v>
      </c>
      <c r="X32" s="129">
        <f t="shared" si="1"/>
        <v>46756</v>
      </c>
      <c r="Y32" s="127">
        <v>30</v>
      </c>
      <c r="Z32" s="128">
        <v>45997</v>
      </c>
      <c r="AA32" s="130">
        <v>12000000</v>
      </c>
      <c r="AB32" s="130"/>
      <c r="AC32" s="130">
        <v>730000</v>
      </c>
      <c r="AD32" s="130">
        <v>200000</v>
      </c>
      <c r="AE32" s="130">
        <v>400000</v>
      </c>
      <c r="AF32" s="130"/>
      <c r="AG32" s="127"/>
      <c r="AH32" s="130"/>
      <c r="AI32" s="127"/>
      <c r="AJ32" s="127"/>
      <c r="AK32" s="127" t="s">
        <v>107</v>
      </c>
    </row>
    <row r="33" spans="1:37" ht="36" customHeight="1" x14ac:dyDescent="0.25">
      <c r="A33" s="145" t="s">
        <v>713</v>
      </c>
      <c r="B33" s="126" t="str">
        <f t="shared" si="0"/>
        <v>014/2026/HĐLĐ-MAU</v>
      </c>
      <c r="C33" s="127" t="s">
        <v>251</v>
      </c>
      <c r="D33" s="146" t="s">
        <v>110</v>
      </c>
      <c r="E33" s="128">
        <v>34229</v>
      </c>
      <c r="F33" s="127" t="s">
        <v>95</v>
      </c>
      <c r="G33" s="125" t="s">
        <v>693</v>
      </c>
      <c r="H33" s="128">
        <v>44362</v>
      </c>
      <c r="I33" s="127" t="s">
        <v>96</v>
      </c>
      <c r="J33" s="127" t="s">
        <v>252</v>
      </c>
      <c r="K33" s="127" t="s">
        <v>98</v>
      </c>
      <c r="L33" s="125" t="s">
        <v>253</v>
      </c>
      <c r="M33" s="125" t="s">
        <v>254</v>
      </c>
      <c r="N33" s="125"/>
      <c r="O33" s="127" t="s">
        <v>255</v>
      </c>
      <c r="P33" s="127" t="s">
        <v>256</v>
      </c>
      <c r="Q33" s="127" t="s">
        <v>257</v>
      </c>
      <c r="R33" s="127" t="s">
        <v>258</v>
      </c>
      <c r="S33" s="127" t="s">
        <v>105</v>
      </c>
      <c r="T33" s="127" t="s">
        <v>106</v>
      </c>
      <c r="U33" s="127"/>
      <c r="V33" s="128">
        <v>46027</v>
      </c>
      <c r="W33" s="128">
        <v>46027</v>
      </c>
      <c r="X33" s="129" t="str">
        <f t="shared" si="1"/>
        <v/>
      </c>
      <c r="Y33" s="127">
        <v>30</v>
      </c>
      <c r="Z33" s="128">
        <v>45997</v>
      </c>
      <c r="AA33" s="130">
        <v>13000000</v>
      </c>
      <c r="AB33" s="130">
        <v>1000000</v>
      </c>
      <c r="AC33" s="130">
        <v>730000</v>
      </c>
      <c r="AD33" s="130">
        <v>200000</v>
      </c>
      <c r="AE33" s="130"/>
      <c r="AF33" s="130"/>
      <c r="AG33" s="127"/>
      <c r="AH33" s="130"/>
      <c r="AI33" s="127"/>
      <c r="AJ33" s="127"/>
      <c r="AK33" s="127" t="s">
        <v>107</v>
      </c>
    </row>
    <row r="34" spans="1:37" ht="36" customHeight="1" x14ac:dyDescent="0.25">
      <c r="A34" s="145" t="s">
        <v>714</v>
      </c>
      <c r="B34" s="126" t="str">
        <f t="shared" si="0"/>
        <v>015/2026/HĐLĐ-MAU</v>
      </c>
      <c r="C34" s="127"/>
      <c r="D34" s="127"/>
      <c r="E34" s="128"/>
      <c r="F34" s="127"/>
      <c r="G34" s="125"/>
      <c r="H34" s="128"/>
      <c r="I34" s="127"/>
      <c r="J34" s="127"/>
      <c r="K34" s="127"/>
      <c r="L34" s="125"/>
      <c r="M34" s="125"/>
      <c r="N34" s="125"/>
      <c r="O34" s="127"/>
      <c r="P34" s="127"/>
      <c r="Q34" s="127"/>
      <c r="R34" s="127"/>
      <c r="S34" s="127"/>
      <c r="T34" s="127"/>
      <c r="U34" s="127"/>
      <c r="V34" s="128"/>
      <c r="W34" s="128"/>
      <c r="X34" s="129" t="str">
        <f t="shared" si="1"/>
        <v/>
      </c>
      <c r="Y34" s="127"/>
      <c r="Z34" s="128"/>
      <c r="AA34" s="130"/>
      <c r="AB34" s="130"/>
      <c r="AC34" s="130"/>
      <c r="AD34" s="130"/>
      <c r="AE34" s="130"/>
      <c r="AF34" s="130"/>
      <c r="AG34" s="127"/>
      <c r="AH34" s="130"/>
      <c r="AI34" s="127"/>
      <c r="AJ34" s="127"/>
      <c r="AK34" s="127"/>
    </row>
    <row r="35" spans="1:37" ht="36" customHeight="1" x14ac:dyDescent="0.25">
      <c r="A35" s="145" t="s">
        <v>715</v>
      </c>
      <c r="B35" s="126" t="str">
        <f t="shared" si="0"/>
        <v>016/2026/HĐLĐ-MAU</v>
      </c>
      <c r="C35" s="127"/>
      <c r="D35" s="127"/>
      <c r="E35" s="128"/>
      <c r="F35" s="127"/>
      <c r="G35" s="125"/>
      <c r="H35" s="128"/>
      <c r="I35" s="127"/>
      <c r="J35" s="127"/>
      <c r="K35" s="127"/>
      <c r="L35" s="125"/>
      <c r="M35" s="125"/>
      <c r="N35" s="125"/>
      <c r="O35" s="127"/>
      <c r="P35" s="127"/>
      <c r="Q35" s="127"/>
      <c r="R35" s="127"/>
      <c r="S35" s="127"/>
      <c r="T35" s="127"/>
      <c r="U35" s="127"/>
      <c r="V35" s="128"/>
      <c r="W35" s="128"/>
      <c r="X35" s="129" t="str">
        <f t="shared" si="1"/>
        <v/>
      </c>
      <c r="Y35" s="127"/>
      <c r="Z35" s="128"/>
      <c r="AA35" s="130"/>
      <c r="AB35" s="130"/>
      <c r="AC35" s="130"/>
      <c r="AD35" s="130"/>
      <c r="AE35" s="130"/>
      <c r="AF35" s="130"/>
      <c r="AG35" s="127"/>
      <c r="AH35" s="130"/>
      <c r="AI35" s="127"/>
      <c r="AJ35" s="127"/>
      <c r="AK35" s="127"/>
    </row>
    <row r="36" spans="1:37" ht="36" customHeight="1" x14ac:dyDescent="0.25">
      <c r="A36" s="145" t="s">
        <v>716</v>
      </c>
      <c r="B36" s="126" t="str">
        <f t="shared" si="0"/>
        <v>017/2026/HĐLĐ-MAU</v>
      </c>
      <c r="C36" s="127"/>
      <c r="D36" s="127"/>
      <c r="E36" s="128"/>
      <c r="F36" s="127"/>
      <c r="G36" s="125"/>
      <c r="H36" s="128"/>
      <c r="I36" s="127"/>
      <c r="J36" s="127"/>
      <c r="K36" s="127"/>
      <c r="L36" s="125"/>
      <c r="M36" s="125"/>
      <c r="N36" s="125"/>
      <c r="O36" s="127"/>
      <c r="P36" s="127"/>
      <c r="Q36" s="127"/>
      <c r="R36" s="127"/>
      <c r="S36" s="127"/>
      <c r="T36" s="127"/>
      <c r="U36" s="127"/>
      <c r="V36" s="128"/>
      <c r="W36" s="128"/>
      <c r="X36" s="129" t="str">
        <f t="shared" si="1"/>
        <v/>
      </c>
      <c r="Y36" s="127"/>
      <c r="Z36" s="128"/>
      <c r="AA36" s="130"/>
      <c r="AB36" s="130"/>
      <c r="AC36" s="130"/>
      <c r="AD36" s="130"/>
      <c r="AE36" s="130"/>
      <c r="AF36" s="130"/>
      <c r="AG36" s="127"/>
      <c r="AH36" s="130"/>
      <c r="AI36" s="127"/>
      <c r="AJ36" s="127"/>
      <c r="AK36" s="127"/>
    </row>
    <row r="37" spans="1:37" ht="36" customHeight="1" x14ac:dyDescent="0.25">
      <c r="A37" s="145" t="s">
        <v>717</v>
      </c>
      <c r="B37" s="126" t="str">
        <f t="shared" si="0"/>
        <v>018/2026/HĐLĐ-MAU</v>
      </c>
      <c r="C37" s="127"/>
      <c r="D37" s="127"/>
      <c r="E37" s="128"/>
      <c r="F37" s="127"/>
      <c r="G37" s="125"/>
      <c r="H37" s="128"/>
      <c r="I37" s="127"/>
      <c r="J37" s="127"/>
      <c r="K37" s="127"/>
      <c r="L37" s="125"/>
      <c r="M37" s="125"/>
      <c r="N37" s="125"/>
      <c r="O37" s="127"/>
      <c r="P37" s="127"/>
      <c r="Q37" s="127"/>
      <c r="R37" s="127"/>
      <c r="S37" s="127"/>
      <c r="T37" s="127"/>
      <c r="U37" s="127"/>
      <c r="V37" s="128"/>
      <c r="W37" s="128"/>
      <c r="X37" s="129" t="str">
        <f t="shared" si="1"/>
        <v/>
      </c>
      <c r="Y37" s="127"/>
      <c r="Z37" s="128"/>
      <c r="AA37" s="130"/>
      <c r="AB37" s="130"/>
      <c r="AC37" s="130"/>
      <c r="AD37" s="130"/>
      <c r="AE37" s="130"/>
      <c r="AF37" s="130"/>
      <c r="AG37" s="127"/>
      <c r="AH37" s="130"/>
      <c r="AI37" s="127"/>
      <c r="AJ37" s="127"/>
      <c r="AK37" s="127"/>
    </row>
    <row r="38" spans="1:37" ht="36" customHeight="1" x14ac:dyDescent="0.25">
      <c r="A38" s="145" t="s">
        <v>718</v>
      </c>
      <c r="B38" s="126" t="str">
        <f t="shared" si="0"/>
        <v>019/2026/HĐLĐ-MAU</v>
      </c>
      <c r="C38" s="127"/>
      <c r="D38" s="127"/>
      <c r="E38" s="128"/>
      <c r="F38" s="127"/>
      <c r="G38" s="125"/>
      <c r="H38" s="128"/>
      <c r="I38" s="127"/>
      <c r="J38" s="127"/>
      <c r="K38" s="127"/>
      <c r="L38" s="125"/>
      <c r="M38" s="125"/>
      <c r="N38" s="125"/>
      <c r="O38" s="127"/>
      <c r="P38" s="127"/>
      <c r="Q38" s="127"/>
      <c r="R38" s="127"/>
      <c r="S38" s="127"/>
      <c r="T38" s="127"/>
      <c r="U38" s="127"/>
      <c r="V38" s="128"/>
      <c r="W38" s="128"/>
      <c r="X38" s="129" t="str">
        <f t="shared" si="1"/>
        <v/>
      </c>
      <c r="Y38" s="127"/>
      <c r="Z38" s="128"/>
      <c r="AA38" s="130"/>
      <c r="AB38" s="130"/>
      <c r="AC38" s="130"/>
      <c r="AD38" s="130"/>
      <c r="AE38" s="130"/>
      <c r="AF38" s="130"/>
      <c r="AG38" s="127"/>
      <c r="AH38" s="130"/>
      <c r="AI38" s="127"/>
      <c r="AJ38" s="127"/>
      <c r="AK38" s="127"/>
    </row>
    <row r="39" spans="1:37" ht="36" customHeight="1" x14ac:dyDescent="0.25">
      <c r="A39" s="145" t="s">
        <v>719</v>
      </c>
      <c r="B39" s="126" t="str">
        <f t="shared" si="0"/>
        <v>020/2026/HĐLĐ-MAU</v>
      </c>
      <c r="C39" s="127"/>
      <c r="D39" s="127"/>
      <c r="E39" s="128"/>
      <c r="F39" s="127"/>
      <c r="G39" s="125"/>
      <c r="H39" s="128"/>
      <c r="I39" s="127"/>
      <c r="J39" s="127"/>
      <c r="K39" s="127"/>
      <c r="L39" s="125"/>
      <c r="M39" s="125"/>
      <c r="N39" s="125"/>
      <c r="O39" s="127"/>
      <c r="P39" s="127"/>
      <c r="Q39" s="127"/>
      <c r="R39" s="127"/>
      <c r="S39" s="127"/>
      <c r="T39" s="127"/>
      <c r="U39" s="127"/>
      <c r="V39" s="128"/>
      <c r="W39" s="128"/>
      <c r="X39" s="129" t="str">
        <f t="shared" si="1"/>
        <v/>
      </c>
      <c r="Y39" s="127"/>
      <c r="Z39" s="128"/>
      <c r="AA39" s="130"/>
      <c r="AB39" s="130"/>
      <c r="AC39" s="130"/>
      <c r="AD39" s="130"/>
      <c r="AE39" s="130"/>
      <c r="AF39" s="130"/>
      <c r="AG39" s="127"/>
      <c r="AH39" s="130"/>
      <c r="AI39" s="127"/>
      <c r="AJ39" s="127"/>
      <c r="AK39" s="127"/>
    </row>
    <row r="40" spans="1:37" ht="36" customHeight="1" x14ac:dyDescent="0.25">
      <c r="A40" s="145" t="s">
        <v>720</v>
      </c>
      <c r="B40" s="126" t="str">
        <f t="shared" si="0"/>
        <v>021/2026/HĐLĐ-MAU</v>
      </c>
      <c r="C40" s="127"/>
      <c r="D40" s="127"/>
      <c r="E40" s="128"/>
      <c r="F40" s="127"/>
      <c r="G40" s="125"/>
      <c r="H40" s="128"/>
      <c r="I40" s="127"/>
      <c r="J40" s="127"/>
      <c r="K40" s="127"/>
      <c r="L40" s="125"/>
      <c r="M40" s="125"/>
      <c r="N40" s="125"/>
      <c r="O40" s="127"/>
      <c r="P40" s="127"/>
      <c r="Q40" s="127"/>
      <c r="R40" s="127"/>
      <c r="S40" s="127"/>
      <c r="T40" s="127"/>
      <c r="U40" s="127"/>
      <c r="V40" s="128"/>
      <c r="W40" s="128"/>
      <c r="X40" s="129" t="str">
        <f t="shared" si="1"/>
        <v/>
      </c>
      <c r="Y40" s="127"/>
      <c r="Z40" s="128"/>
      <c r="AA40" s="130"/>
      <c r="AB40" s="130"/>
      <c r="AC40" s="130"/>
      <c r="AD40" s="130"/>
      <c r="AE40" s="130"/>
      <c r="AF40" s="130"/>
      <c r="AG40" s="127"/>
      <c r="AH40" s="130"/>
      <c r="AI40" s="127"/>
      <c r="AJ40" s="127"/>
      <c r="AK40" s="127"/>
    </row>
    <row r="41" spans="1:37" ht="36" customHeight="1" x14ac:dyDescent="0.25">
      <c r="A41" s="145" t="s">
        <v>721</v>
      </c>
      <c r="B41" s="126" t="str">
        <f t="shared" si="0"/>
        <v>022/2026/HĐLĐ-MAU</v>
      </c>
      <c r="C41" s="127"/>
      <c r="D41" s="127"/>
      <c r="E41" s="128"/>
      <c r="F41" s="127"/>
      <c r="G41" s="125"/>
      <c r="H41" s="128"/>
      <c r="I41" s="127"/>
      <c r="J41" s="127"/>
      <c r="K41" s="127"/>
      <c r="L41" s="125"/>
      <c r="M41" s="125"/>
      <c r="N41" s="125"/>
      <c r="O41" s="127"/>
      <c r="P41" s="127"/>
      <c r="Q41" s="127"/>
      <c r="R41" s="127"/>
      <c r="S41" s="127"/>
      <c r="T41" s="127"/>
      <c r="U41" s="127"/>
      <c r="V41" s="128"/>
      <c r="W41" s="128"/>
      <c r="X41" s="129" t="str">
        <f t="shared" si="1"/>
        <v/>
      </c>
      <c r="Y41" s="127"/>
      <c r="Z41" s="128"/>
      <c r="AA41" s="130"/>
      <c r="AB41" s="130"/>
      <c r="AC41" s="130"/>
      <c r="AD41" s="130"/>
      <c r="AE41" s="130"/>
      <c r="AF41" s="130"/>
      <c r="AG41" s="127"/>
      <c r="AH41" s="130"/>
      <c r="AI41" s="127"/>
      <c r="AJ41" s="127"/>
      <c r="AK41" s="127"/>
    </row>
    <row r="42" spans="1:37" ht="36" customHeight="1" x14ac:dyDescent="0.25">
      <c r="A42" s="145" t="s">
        <v>722</v>
      </c>
      <c r="B42" s="126" t="str">
        <f t="shared" si="0"/>
        <v>023/2026/HĐLĐ-MAU</v>
      </c>
      <c r="C42" s="127"/>
      <c r="D42" s="127"/>
      <c r="E42" s="128"/>
      <c r="F42" s="127"/>
      <c r="G42" s="125"/>
      <c r="H42" s="128"/>
      <c r="I42" s="127"/>
      <c r="J42" s="127"/>
      <c r="K42" s="127"/>
      <c r="L42" s="125"/>
      <c r="M42" s="125"/>
      <c r="N42" s="125"/>
      <c r="O42" s="127"/>
      <c r="P42" s="127"/>
      <c r="Q42" s="127"/>
      <c r="R42" s="127"/>
      <c r="S42" s="127"/>
      <c r="T42" s="127"/>
      <c r="U42" s="127"/>
      <c r="V42" s="128"/>
      <c r="W42" s="128"/>
      <c r="X42" s="129" t="str">
        <f t="shared" si="1"/>
        <v/>
      </c>
      <c r="Y42" s="127"/>
      <c r="Z42" s="128"/>
      <c r="AA42" s="130"/>
      <c r="AB42" s="130"/>
      <c r="AC42" s="130"/>
      <c r="AD42" s="130"/>
      <c r="AE42" s="130"/>
      <c r="AF42" s="130"/>
      <c r="AG42" s="127"/>
      <c r="AH42" s="130"/>
      <c r="AI42" s="127"/>
      <c r="AJ42" s="127"/>
      <c r="AK42" s="127"/>
    </row>
    <row r="43" spans="1:37" ht="36" customHeight="1" x14ac:dyDescent="0.25">
      <c r="A43" s="145" t="s">
        <v>723</v>
      </c>
      <c r="B43" s="126" t="str">
        <f t="shared" si="0"/>
        <v>024/2026/HĐLĐ-MAU</v>
      </c>
      <c r="C43" s="127"/>
      <c r="D43" s="127"/>
      <c r="E43" s="128"/>
      <c r="F43" s="127"/>
      <c r="G43" s="125"/>
      <c r="H43" s="128"/>
      <c r="I43" s="127"/>
      <c r="J43" s="127"/>
      <c r="K43" s="127"/>
      <c r="L43" s="125"/>
      <c r="M43" s="125"/>
      <c r="N43" s="125"/>
      <c r="O43" s="127"/>
      <c r="P43" s="127"/>
      <c r="Q43" s="127"/>
      <c r="R43" s="127"/>
      <c r="S43" s="127"/>
      <c r="T43" s="127"/>
      <c r="U43" s="127"/>
      <c r="V43" s="128"/>
      <c r="W43" s="128"/>
      <c r="X43" s="129" t="str">
        <f t="shared" si="1"/>
        <v/>
      </c>
      <c r="Y43" s="127"/>
      <c r="Z43" s="128"/>
      <c r="AA43" s="130"/>
      <c r="AB43" s="130"/>
      <c r="AC43" s="130"/>
      <c r="AD43" s="130"/>
      <c r="AE43" s="130"/>
      <c r="AF43" s="130"/>
      <c r="AG43" s="127"/>
      <c r="AH43" s="130"/>
      <c r="AI43" s="127"/>
      <c r="AJ43" s="127"/>
      <c r="AK43" s="127"/>
    </row>
    <row r="44" spans="1:37" ht="36" customHeight="1" x14ac:dyDescent="0.25">
      <c r="A44" s="145" t="s">
        <v>724</v>
      </c>
      <c r="B44" s="126" t="str">
        <f t="shared" si="0"/>
        <v>025/2026/HĐLĐ-MAU</v>
      </c>
      <c r="C44" s="127"/>
      <c r="D44" s="127"/>
      <c r="E44" s="128"/>
      <c r="F44" s="127"/>
      <c r="G44" s="125"/>
      <c r="H44" s="128"/>
      <c r="I44" s="127"/>
      <c r="J44" s="127"/>
      <c r="K44" s="127"/>
      <c r="L44" s="125"/>
      <c r="M44" s="125"/>
      <c r="N44" s="125"/>
      <c r="O44" s="127"/>
      <c r="P44" s="127"/>
      <c r="Q44" s="127"/>
      <c r="R44" s="127"/>
      <c r="S44" s="127"/>
      <c r="T44" s="127"/>
      <c r="U44" s="127"/>
      <c r="V44" s="128"/>
      <c r="W44" s="128"/>
      <c r="X44" s="129" t="str">
        <f t="shared" si="1"/>
        <v/>
      </c>
      <c r="Y44" s="127"/>
      <c r="Z44" s="128"/>
      <c r="AA44" s="130"/>
      <c r="AB44" s="130"/>
      <c r="AC44" s="130"/>
      <c r="AD44" s="130"/>
      <c r="AE44" s="130"/>
      <c r="AF44" s="130"/>
      <c r="AG44" s="127"/>
      <c r="AH44" s="130"/>
      <c r="AI44" s="127"/>
      <c r="AJ44" s="127"/>
      <c r="AK44" s="127"/>
    </row>
    <row r="45" spans="1:37" ht="36" customHeight="1" x14ac:dyDescent="0.25">
      <c r="A45" s="145" t="s">
        <v>725</v>
      </c>
      <c r="B45" s="126" t="str">
        <f t="shared" si="0"/>
        <v>026/2026/HĐLĐ-MAU</v>
      </c>
      <c r="C45" s="127"/>
      <c r="D45" s="127"/>
      <c r="E45" s="128"/>
      <c r="F45" s="127"/>
      <c r="G45" s="125"/>
      <c r="H45" s="128"/>
      <c r="I45" s="127"/>
      <c r="J45" s="127"/>
      <c r="K45" s="127"/>
      <c r="L45" s="125"/>
      <c r="M45" s="125"/>
      <c r="N45" s="125"/>
      <c r="O45" s="127"/>
      <c r="P45" s="127"/>
      <c r="Q45" s="127"/>
      <c r="R45" s="127"/>
      <c r="S45" s="127"/>
      <c r="T45" s="127"/>
      <c r="U45" s="127"/>
      <c r="V45" s="128"/>
      <c r="W45" s="128"/>
      <c r="X45" s="129" t="str">
        <f t="shared" si="1"/>
        <v/>
      </c>
      <c r="Y45" s="127"/>
      <c r="Z45" s="128"/>
      <c r="AA45" s="130"/>
      <c r="AB45" s="130"/>
      <c r="AC45" s="130"/>
      <c r="AD45" s="130"/>
      <c r="AE45" s="130"/>
      <c r="AF45" s="130"/>
      <c r="AG45" s="127"/>
      <c r="AH45" s="130"/>
      <c r="AI45" s="127"/>
      <c r="AJ45" s="127"/>
      <c r="AK45" s="127"/>
    </row>
    <row r="46" spans="1:37" ht="36" customHeight="1" x14ac:dyDescent="0.25">
      <c r="A46" s="145" t="s">
        <v>726</v>
      </c>
      <c r="B46" s="126" t="str">
        <f t="shared" si="0"/>
        <v>027/2026/HĐLĐ-MAU</v>
      </c>
      <c r="C46" s="127"/>
      <c r="D46" s="127"/>
      <c r="E46" s="128"/>
      <c r="F46" s="127"/>
      <c r="G46" s="125"/>
      <c r="H46" s="128"/>
      <c r="I46" s="127"/>
      <c r="J46" s="127"/>
      <c r="K46" s="127"/>
      <c r="L46" s="125"/>
      <c r="M46" s="125"/>
      <c r="N46" s="125"/>
      <c r="O46" s="127"/>
      <c r="P46" s="127"/>
      <c r="Q46" s="127"/>
      <c r="R46" s="127"/>
      <c r="S46" s="127"/>
      <c r="T46" s="127"/>
      <c r="U46" s="127"/>
      <c r="V46" s="128"/>
      <c r="W46" s="128"/>
      <c r="X46" s="129" t="str">
        <f t="shared" si="1"/>
        <v/>
      </c>
      <c r="Y46" s="127"/>
      <c r="Z46" s="128"/>
      <c r="AA46" s="130"/>
      <c r="AB46" s="130"/>
      <c r="AC46" s="130"/>
      <c r="AD46" s="130"/>
      <c r="AE46" s="130"/>
      <c r="AF46" s="130"/>
      <c r="AG46" s="127"/>
      <c r="AH46" s="130"/>
      <c r="AI46" s="127"/>
      <c r="AJ46" s="127"/>
      <c r="AK46" s="127"/>
    </row>
    <row r="47" spans="1:37" ht="36" customHeight="1" x14ac:dyDescent="0.25">
      <c r="A47" s="145" t="s">
        <v>727</v>
      </c>
      <c r="B47" s="126" t="str">
        <f t="shared" si="0"/>
        <v>028/2026/HĐLĐ-MAU</v>
      </c>
      <c r="C47" s="127"/>
      <c r="D47" s="127"/>
      <c r="E47" s="128"/>
      <c r="F47" s="127"/>
      <c r="G47" s="125"/>
      <c r="H47" s="128"/>
      <c r="I47" s="127"/>
      <c r="J47" s="127"/>
      <c r="K47" s="127"/>
      <c r="L47" s="125"/>
      <c r="M47" s="125"/>
      <c r="N47" s="125"/>
      <c r="O47" s="127"/>
      <c r="P47" s="127"/>
      <c r="Q47" s="127"/>
      <c r="R47" s="127"/>
      <c r="S47" s="127"/>
      <c r="T47" s="127"/>
      <c r="U47" s="127"/>
      <c r="V47" s="128"/>
      <c r="W47" s="128"/>
      <c r="X47" s="129" t="str">
        <f t="shared" si="1"/>
        <v/>
      </c>
      <c r="Y47" s="127"/>
      <c r="Z47" s="128"/>
      <c r="AA47" s="130"/>
      <c r="AB47" s="130"/>
      <c r="AC47" s="130"/>
      <c r="AD47" s="130"/>
      <c r="AE47" s="130"/>
      <c r="AF47" s="130"/>
      <c r="AG47" s="127"/>
      <c r="AH47" s="130"/>
      <c r="AI47" s="127"/>
      <c r="AJ47" s="127"/>
      <c r="AK47" s="127"/>
    </row>
    <row r="48" spans="1:37" ht="36" customHeight="1" x14ac:dyDescent="0.25">
      <c r="A48" s="145" t="s">
        <v>728</v>
      </c>
      <c r="B48" s="126" t="str">
        <f t="shared" si="0"/>
        <v>029/2026/HĐLĐ-MAU</v>
      </c>
      <c r="C48" s="127"/>
      <c r="D48" s="127"/>
      <c r="E48" s="128"/>
      <c r="F48" s="127"/>
      <c r="G48" s="125"/>
      <c r="H48" s="128"/>
      <c r="I48" s="127"/>
      <c r="J48" s="127"/>
      <c r="K48" s="127"/>
      <c r="L48" s="125"/>
      <c r="M48" s="125"/>
      <c r="N48" s="125"/>
      <c r="O48" s="127"/>
      <c r="P48" s="127"/>
      <c r="Q48" s="127"/>
      <c r="R48" s="127"/>
      <c r="S48" s="127"/>
      <c r="T48" s="127"/>
      <c r="U48" s="127"/>
      <c r="V48" s="128"/>
      <c r="W48" s="128"/>
      <c r="X48" s="129" t="str">
        <f t="shared" si="1"/>
        <v/>
      </c>
      <c r="Y48" s="127"/>
      <c r="Z48" s="128"/>
      <c r="AA48" s="130"/>
      <c r="AB48" s="130"/>
      <c r="AC48" s="130"/>
      <c r="AD48" s="130"/>
      <c r="AE48" s="130"/>
      <c r="AF48" s="130"/>
      <c r="AG48" s="127"/>
      <c r="AH48" s="130"/>
      <c r="AI48" s="127"/>
      <c r="AJ48" s="127"/>
      <c r="AK48" s="127"/>
    </row>
    <row r="49" spans="1:37" ht="36" customHeight="1" x14ac:dyDescent="0.25">
      <c r="A49" s="145" t="s">
        <v>729</v>
      </c>
      <c r="B49" s="126" t="str">
        <f t="shared" si="0"/>
        <v>030/2026/HĐLĐ-MAU</v>
      </c>
      <c r="C49" s="127"/>
      <c r="D49" s="127"/>
      <c r="E49" s="128"/>
      <c r="F49" s="127"/>
      <c r="G49" s="125"/>
      <c r="H49" s="128"/>
      <c r="I49" s="127"/>
      <c r="J49" s="127"/>
      <c r="K49" s="127"/>
      <c r="L49" s="125"/>
      <c r="M49" s="125"/>
      <c r="N49" s="125"/>
      <c r="O49" s="127"/>
      <c r="P49" s="127"/>
      <c r="Q49" s="127"/>
      <c r="R49" s="127"/>
      <c r="S49" s="127"/>
      <c r="T49" s="127"/>
      <c r="U49" s="127"/>
      <c r="V49" s="128"/>
      <c r="W49" s="128"/>
      <c r="X49" s="129" t="str">
        <f t="shared" si="1"/>
        <v/>
      </c>
      <c r="Y49" s="127"/>
      <c r="Z49" s="128"/>
      <c r="AA49" s="130"/>
      <c r="AB49" s="130"/>
      <c r="AC49" s="130"/>
      <c r="AD49" s="130"/>
      <c r="AE49" s="130"/>
      <c r="AF49" s="130"/>
      <c r="AG49" s="127"/>
      <c r="AH49" s="130"/>
      <c r="AI49" s="127"/>
      <c r="AJ49" s="127"/>
      <c r="AK49" s="127"/>
    </row>
    <row r="50" spans="1:37" ht="36" customHeight="1" x14ac:dyDescent="0.25">
      <c r="A50" s="145" t="s">
        <v>730</v>
      </c>
      <c r="B50" s="126" t="str">
        <f t="shared" si="0"/>
        <v>031/2026/HĐLĐ-MAU</v>
      </c>
      <c r="C50" s="127"/>
      <c r="D50" s="127"/>
      <c r="E50" s="128"/>
      <c r="F50" s="127"/>
      <c r="G50" s="125"/>
      <c r="H50" s="128"/>
      <c r="I50" s="127"/>
      <c r="J50" s="127"/>
      <c r="K50" s="127"/>
      <c r="L50" s="125"/>
      <c r="M50" s="125"/>
      <c r="N50" s="125"/>
      <c r="O50" s="127"/>
      <c r="P50" s="127"/>
      <c r="Q50" s="127"/>
      <c r="R50" s="127"/>
      <c r="S50" s="127"/>
      <c r="T50" s="127"/>
      <c r="U50" s="127"/>
      <c r="V50" s="128"/>
      <c r="W50" s="128"/>
      <c r="X50" s="129" t="str">
        <f t="shared" si="1"/>
        <v/>
      </c>
      <c r="Y50" s="127"/>
      <c r="Z50" s="128"/>
      <c r="AA50" s="130"/>
      <c r="AB50" s="130"/>
      <c r="AC50" s="130"/>
      <c r="AD50" s="130"/>
      <c r="AE50" s="130"/>
      <c r="AF50" s="130"/>
      <c r="AG50" s="127"/>
      <c r="AH50" s="130"/>
      <c r="AI50" s="127"/>
      <c r="AJ50" s="127"/>
      <c r="AK50" s="127"/>
    </row>
    <row r="51" spans="1:37" ht="36" customHeight="1" x14ac:dyDescent="0.25">
      <c r="A51" s="145" t="s">
        <v>731</v>
      </c>
      <c r="B51" s="126" t="str">
        <f t="shared" si="0"/>
        <v>032/2026/HĐLĐ-MAU</v>
      </c>
      <c r="C51" s="127"/>
      <c r="D51" s="127"/>
      <c r="E51" s="128"/>
      <c r="F51" s="127"/>
      <c r="G51" s="125"/>
      <c r="H51" s="128"/>
      <c r="I51" s="127"/>
      <c r="J51" s="127"/>
      <c r="K51" s="127"/>
      <c r="L51" s="125"/>
      <c r="M51" s="125"/>
      <c r="N51" s="125"/>
      <c r="O51" s="127"/>
      <c r="P51" s="127"/>
      <c r="Q51" s="127"/>
      <c r="R51" s="127"/>
      <c r="S51" s="127"/>
      <c r="T51" s="127"/>
      <c r="U51" s="127"/>
      <c r="V51" s="128"/>
      <c r="W51" s="128"/>
      <c r="X51" s="129" t="str">
        <f t="shared" si="1"/>
        <v/>
      </c>
      <c r="Y51" s="127"/>
      <c r="Z51" s="128"/>
      <c r="AA51" s="130"/>
      <c r="AB51" s="130"/>
      <c r="AC51" s="130"/>
      <c r="AD51" s="130"/>
      <c r="AE51" s="130"/>
      <c r="AF51" s="130"/>
      <c r="AG51" s="127"/>
      <c r="AH51" s="130"/>
      <c r="AI51" s="127"/>
      <c r="AJ51" s="127"/>
      <c r="AK51" s="127"/>
    </row>
    <row r="52" spans="1:37" ht="36" customHeight="1" x14ac:dyDescent="0.25">
      <c r="A52" s="145" t="s">
        <v>732</v>
      </c>
      <c r="B52" s="126" t="str">
        <f t="shared" si="0"/>
        <v>033/2026/HĐLĐ-MAU</v>
      </c>
      <c r="C52" s="127"/>
      <c r="D52" s="127"/>
      <c r="E52" s="128"/>
      <c r="F52" s="127"/>
      <c r="G52" s="125"/>
      <c r="H52" s="128"/>
      <c r="I52" s="127"/>
      <c r="J52" s="127"/>
      <c r="K52" s="127"/>
      <c r="L52" s="125"/>
      <c r="M52" s="125"/>
      <c r="N52" s="125"/>
      <c r="O52" s="127"/>
      <c r="P52" s="127"/>
      <c r="Q52" s="127"/>
      <c r="R52" s="127"/>
      <c r="S52" s="127"/>
      <c r="T52" s="127"/>
      <c r="U52" s="127"/>
      <c r="V52" s="128"/>
      <c r="W52" s="128"/>
      <c r="X52" s="129" t="str">
        <f t="shared" si="1"/>
        <v/>
      </c>
      <c r="Y52" s="127"/>
      <c r="Z52" s="128"/>
      <c r="AA52" s="130"/>
      <c r="AB52" s="130"/>
      <c r="AC52" s="130"/>
      <c r="AD52" s="130"/>
      <c r="AE52" s="130"/>
      <c r="AF52" s="130"/>
      <c r="AG52" s="127"/>
      <c r="AH52" s="130"/>
      <c r="AI52" s="127"/>
      <c r="AJ52" s="127"/>
      <c r="AK52" s="127"/>
    </row>
    <row r="53" spans="1:37" ht="36" customHeight="1" x14ac:dyDescent="0.25">
      <c r="A53" s="145" t="s">
        <v>733</v>
      </c>
      <c r="B53" s="126" t="str">
        <f t="shared" si="0"/>
        <v>034/2026/HĐLĐ-MAU</v>
      </c>
      <c r="C53" s="127"/>
      <c r="D53" s="127"/>
      <c r="E53" s="128"/>
      <c r="F53" s="127"/>
      <c r="G53" s="125"/>
      <c r="H53" s="128"/>
      <c r="I53" s="127"/>
      <c r="J53" s="127"/>
      <c r="K53" s="127"/>
      <c r="L53" s="125"/>
      <c r="M53" s="125"/>
      <c r="N53" s="125"/>
      <c r="O53" s="127"/>
      <c r="P53" s="127"/>
      <c r="Q53" s="127"/>
      <c r="R53" s="127"/>
      <c r="S53" s="127"/>
      <c r="T53" s="127"/>
      <c r="U53" s="127"/>
      <c r="V53" s="128"/>
      <c r="W53" s="128"/>
      <c r="X53" s="129" t="str">
        <f t="shared" si="1"/>
        <v/>
      </c>
      <c r="Y53" s="127"/>
      <c r="Z53" s="128"/>
      <c r="AA53" s="130"/>
      <c r="AB53" s="130"/>
      <c r="AC53" s="130"/>
      <c r="AD53" s="130"/>
      <c r="AE53" s="130"/>
      <c r="AF53" s="130"/>
      <c r="AG53" s="127"/>
      <c r="AH53" s="130"/>
      <c r="AI53" s="127"/>
      <c r="AJ53" s="127"/>
      <c r="AK53" s="127"/>
    </row>
    <row r="54" spans="1:37" ht="36" customHeight="1" x14ac:dyDescent="0.25">
      <c r="A54" s="145" t="s">
        <v>734</v>
      </c>
      <c r="B54" s="126" t="str">
        <f t="shared" si="0"/>
        <v>035/2026/HĐLĐ-MAU</v>
      </c>
      <c r="C54" s="127"/>
      <c r="D54" s="127"/>
      <c r="E54" s="128"/>
      <c r="F54" s="127"/>
      <c r="G54" s="125"/>
      <c r="H54" s="128"/>
      <c r="I54" s="127"/>
      <c r="J54" s="127"/>
      <c r="K54" s="127"/>
      <c r="L54" s="125"/>
      <c r="M54" s="125"/>
      <c r="N54" s="125"/>
      <c r="O54" s="127"/>
      <c r="P54" s="127"/>
      <c r="Q54" s="127"/>
      <c r="R54" s="127"/>
      <c r="S54" s="127"/>
      <c r="T54" s="127"/>
      <c r="U54" s="127"/>
      <c r="V54" s="128"/>
      <c r="W54" s="128"/>
      <c r="X54" s="129" t="str">
        <f t="shared" si="1"/>
        <v/>
      </c>
      <c r="Y54" s="127"/>
      <c r="Z54" s="128"/>
      <c r="AA54" s="130"/>
      <c r="AB54" s="130"/>
      <c r="AC54" s="130"/>
      <c r="AD54" s="130"/>
      <c r="AE54" s="130"/>
      <c r="AF54" s="130"/>
      <c r="AG54" s="127"/>
      <c r="AH54" s="130"/>
      <c r="AI54" s="127"/>
      <c r="AJ54" s="127"/>
      <c r="AK54" s="127"/>
    </row>
    <row r="55" spans="1:37" ht="36" customHeight="1" x14ac:dyDescent="0.25">
      <c r="A55" s="145" t="s">
        <v>735</v>
      </c>
      <c r="B55" s="126" t="str">
        <f t="shared" si="0"/>
        <v>036/2026/HĐLĐ-MAU</v>
      </c>
      <c r="C55" s="127"/>
      <c r="D55" s="127"/>
      <c r="E55" s="128"/>
      <c r="F55" s="127"/>
      <c r="G55" s="125"/>
      <c r="H55" s="128"/>
      <c r="I55" s="127"/>
      <c r="J55" s="127"/>
      <c r="K55" s="127"/>
      <c r="L55" s="125"/>
      <c r="M55" s="125"/>
      <c r="N55" s="125"/>
      <c r="O55" s="127"/>
      <c r="P55" s="127"/>
      <c r="Q55" s="127"/>
      <c r="R55" s="127"/>
      <c r="S55" s="127"/>
      <c r="T55" s="127"/>
      <c r="U55" s="127"/>
      <c r="V55" s="128"/>
      <c r="W55" s="128"/>
      <c r="X55" s="129" t="str">
        <f t="shared" si="1"/>
        <v/>
      </c>
      <c r="Y55" s="127"/>
      <c r="Z55" s="128"/>
      <c r="AA55" s="130"/>
      <c r="AB55" s="130"/>
      <c r="AC55" s="130"/>
      <c r="AD55" s="130"/>
      <c r="AE55" s="130"/>
      <c r="AF55" s="130"/>
      <c r="AG55" s="127"/>
      <c r="AH55" s="130"/>
      <c r="AI55" s="127"/>
      <c r="AJ55" s="127"/>
      <c r="AK55" s="127"/>
    </row>
    <row r="56" spans="1:37" ht="36" customHeight="1" x14ac:dyDescent="0.25">
      <c r="A56" s="145" t="s">
        <v>736</v>
      </c>
      <c r="B56" s="126" t="str">
        <f t="shared" si="0"/>
        <v>037/2026/HĐLĐ-MAU</v>
      </c>
      <c r="C56" s="127"/>
      <c r="D56" s="127"/>
      <c r="E56" s="128"/>
      <c r="F56" s="127"/>
      <c r="G56" s="125"/>
      <c r="H56" s="128"/>
      <c r="I56" s="127"/>
      <c r="J56" s="127"/>
      <c r="K56" s="127"/>
      <c r="L56" s="125"/>
      <c r="M56" s="125"/>
      <c r="N56" s="125"/>
      <c r="O56" s="127"/>
      <c r="P56" s="127"/>
      <c r="Q56" s="127"/>
      <c r="R56" s="127"/>
      <c r="S56" s="127"/>
      <c r="T56" s="127"/>
      <c r="U56" s="127"/>
      <c r="V56" s="128"/>
      <c r="W56" s="128"/>
      <c r="X56" s="129" t="str">
        <f t="shared" si="1"/>
        <v/>
      </c>
      <c r="Y56" s="127"/>
      <c r="Z56" s="128"/>
      <c r="AA56" s="130"/>
      <c r="AB56" s="130"/>
      <c r="AC56" s="130"/>
      <c r="AD56" s="130"/>
      <c r="AE56" s="130"/>
      <c r="AF56" s="130"/>
      <c r="AG56" s="127"/>
      <c r="AH56" s="130"/>
      <c r="AI56" s="127"/>
      <c r="AJ56" s="127"/>
      <c r="AK56" s="127"/>
    </row>
    <row r="57" spans="1:37" ht="36" customHeight="1" x14ac:dyDescent="0.25">
      <c r="A57" s="145" t="s">
        <v>737</v>
      </c>
      <c r="B57" s="126" t="str">
        <f t="shared" si="0"/>
        <v>038/2026/HĐLĐ-MAU</v>
      </c>
      <c r="C57" s="127"/>
      <c r="D57" s="127"/>
      <c r="E57" s="128"/>
      <c r="F57" s="127"/>
      <c r="G57" s="125"/>
      <c r="H57" s="128"/>
      <c r="I57" s="127"/>
      <c r="J57" s="127"/>
      <c r="K57" s="127"/>
      <c r="L57" s="125"/>
      <c r="M57" s="125"/>
      <c r="N57" s="125"/>
      <c r="O57" s="127"/>
      <c r="P57" s="127"/>
      <c r="Q57" s="127"/>
      <c r="R57" s="127"/>
      <c r="S57" s="127"/>
      <c r="T57" s="127"/>
      <c r="U57" s="127"/>
      <c r="V57" s="128"/>
      <c r="W57" s="128"/>
      <c r="X57" s="129" t="str">
        <f t="shared" si="1"/>
        <v/>
      </c>
      <c r="Y57" s="127"/>
      <c r="Z57" s="128"/>
      <c r="AA57" s="130"/>
      <c r="AB57" s="130"/>
      <c r="AC57" s="130"/>
      <c r="AD57" s="130"/>
      <c r="AE57" s="130"/>
      <c r="AF57" s="130"/>
      <c r="AG57" s="127"/>
      <c r="AH57" s="130"/>
      <c r="AI57" s="127"/>
      <c r="AJ57" s="127"/>
      <c r="AK57" s="127"/>
    </row>
    <row r="58" spans="1:37" ht="36" customHeight="1" x14ac:dyDescent="0.25">
      <c r="A58" s="145" t="s">
        <v>738</v>
      </c>
      <c r="B58" s="126" t="str">
        <f t="shared" si="0"/>
        <v>039/2026/HĐLĐ-MAU</v>
      </c>
      <c r="C58" s="127"/>
      <c r="D58" s="127"/>
      <c r="E58" s="128"/>
      <c r="F58" s="127"/>
      <c r="G58" s="125"/>
      <c r="H58" s="128"/>
      <c r="I58" s="127"/>
      <c r="J58" s="127"/>
      <c r="K58" s="127"/>
      <c r="L58" s="125"/>
      <c r="M58" s="125"/>
      <c r="N58" s="125"/>
      <c r="O58" s="127"/>
      <c r="P58" s="127"/>
      <c r="Q58" s="127"/>
      <c r="R58" s="127"/>
      <c r="S58" s="127"/>
      <c r="T58" s="127"/>
      <c r="U58" s="127"/>
      <c r="V58" s="128"/>
      <c r="W58" s="128"/>
      <c r="X58" s="129" t="str">
        <f t="shared" si="1"/>
        <v/>
      </c>
      <c r="Y58" s="127"/>
      <c r="Z58" s="128"/>
      <c r="AA58" s="130"/>
      <c r="AB58" s="130"/>
      <c r="AC58" s="130"/>
      <c r="AD58" s="130"/>
      <c r="AE58" s="130"/>
      <c r="AF58" s="130"/>
      <c r="AG58" s="127"/>
      <c r="AH58" s="130"/>
      <c r="AI58" s="127"/>
      <c r="AJ58" s="127"/>
      <c r="AK58" s="127"/>
    </row>
    <row r="59" spans="1:37" ht="36" customHeight="1" x14ac:dyDescent="0.25">
      <c r="A59" s="145" t="s">
        <v>739</v>
      </c>
      <c r="B59" s="126" t="str">
        <f t="shared" si="0"/>
        <v>040/2026/HĐLĐ-MAU</v>
      </c>
      <c r="C59" s="127"/>
      <c r="D59" s="127"/>
      <c r="E59" s="128"/>
      <c r="F59" s="127"/>
      <c r="G59" s="125"/>
      <c r="H59" s="128"/>
      <c r="I59" s="127"/>
      <c r="J59" s="127"/>
      <c r="K59" s="127"/>
      <c r="L59" s="125"/>
      <c r="M59" s="125"/>
      <c r="N59" s="125"/>
      <c r="O59" s="127"/>
      <c r="P59" s="127"/>
      <c r="Q59" s="127"/>
      <c r="R59" s="127"/>
      <c r="S59" s="127"/>
      <c r="T59" s="127"/>
      <c r="U59" s="127"/>
      <c r="V59" s="128"/>
      <c r="W59" s="128"/>
      <c r="X59" s="129" t="str">
        <f t="shared" si="1"/>
        <v/>
      </c>
      <c r="Y59" s="127"/>
      <c r="Z59" s="128"/>
      <c r="AA59" s="130"/>
      <c r="AB59" s="130"/>
      <c r="AC59" s="130"/>
      <c r="AD59" s="130"/>
      <c r="AE59" s="130"/>
      <c r="AF59" s="130"/>
      <c r="AG59" s="127"/>
      <c r="AH59" s="130"/>
      <c r="AI59" s="127"/>
      <c r="AJ59" s="127"/>
      <c r="AK59" s="127"/>
    </row>
    <row r="60" spans="1:37" ht="36" customHeight="1" x14ac:dyDescent="0.25">
      <c r="A60" s="145" t="s">
        <v>740</v>
      </c>
      <c r="B60" s="126" t="str">
        <f t="shared" si="0"/>
        <v>041/2026/HĐLĐ-MAU</v>
      </c>
      <c r="C60" s="127"/>
      <c r="D60" s="127"/>
      <c r="E60" s="128"/>
      <c r="F60" s="127"/>
      <c r="G60" s="125"/>
      <c r="H60" s="128"/>
      <c r="I60" s="127"/>
      <c r="J60" s="127"/>
      <c r="K60" s="127"/>
      <c r="L60" s="125"/>
      <c r="M60" s="125"/>
      <c r="N60" s="125"/>
      <c r="O60" s="127"/>
      <c r="P60" s="127"/>
      <c r="Q60" s="127"/>
      <c r="R60" s="127"/>
      <c r="S60" s="127"/>
      <c r="T60" s="127"/>
      <c r="U60" s="127"/>
      <c r="V60" s="128"/>
      <c r="W60" s="128"/>
      <c r="X60" s="129" t="str">
        <f t="shared" si="1"/>
        <v/>
      </c>
      <c r="Y60" s="127"/>
      <c r="Z60" s="128"/>
      <c r="AA60" s="130"/>
      <c r="AB60" s="130"/>
      <c r="AC60" s="130"/>
      <c r="AD60" s="130"/>
      <c r="AE60" s="130"/>
      <c r="AF60" s="130"/>
      <c r="AG60" s="127"/>
      <c r="AH60" s="130"/>
      <c r="AI60" s="127"/>
      <c r="AJ60" s="127"/>
      <c r="AK60" s="127"/>
    </row>
    <row r="61" spans="1:37" ht="36" customHeight="1" x14ac:dyDescent="0.25">
      <c r="A61" s="145" t="s">
        <v>741</v>
      </c>
      <c r="B61" s="126" t="str">
        <f t="shared" si="0"/>
        <v>042/2026/HĐLĐ-MAU</v>
      </c>
      <c r="C61" s="127"/>
      <c r="D61" s="127"/>
      <c r="E61" s="128"/>
      <c r="F61" s="127"/>
      <c r="G61" s="125"/>
      <c r="H61" s="128"/>
      <c r="I61" s="127"/>
      <c r="J61" s="127"/>
      <c r="K61" s="127"/>
      <c r="L61" s="125"/>
      <c r="M61" s="125"/>
      <c r="N61" s="125"/>
      <c r="O61" s="127"/>
      <c r="P61" s="127"/>
      <c r="Q61" s="127"/>
      <c r="R61" s="127"/>
      <c r="S61" s="127"/>
      <c r="T61" s="127"/>
      <c r="U61" s="127"/>
      <c r="V61" s="128"/>
      <c r="W61" s="128"/>
      <c r="X61" s="129" t="str">
        <f t="shared" si="1"/>
        <v/>
      </c>
      <c r="Y61" s="127"/>
      <c r="Z61" s="128"/>
      <c r="AA61" s="130"/>
      <c r="AB61" s="130"/>
      <c r="AC61" s="130"/>
      <c r="AD61" s="130"/>
      <c r="AE61" s="130"/>
      <c r="AF61" s="130"/>
      <c r="AG61" s="127"/>
      <c r="AH61" s="130"/>
      <c r="AI61" s="127"/>
      <c r="AJ61" s="127"/>
      <c r="AK61" s="127"/>
    </row>
    <row r="62" spans="1:37" ht="36" customHeight="1" x14ac:dyDescent="0.25">
      <c r="A62" s="145" t="s">
        <v>742</v>
      </c>
      <c r="B62" s="126" t="str">
        <f t="shared" si="0"/>
        <v>043/2026/HĐLĐ-MAU</v>
      </c>
      <c r="C62" s="127"/>
      <c r="D62" s="127"/>
      <c r="E62" s="128"/>
      <c r="F62" s="127"/>
      <c r="G62" s="125"/>
      <c r="H62" s="128"/>
      <c r="I62" s="127"/>
      <c r="J62" s="127"/>
      <c r="K62" s="127"/>
      <c r="L62" s="125"/>
      <c r="M62" s="125"/>
      <c r="N62" s="125"/>
      <c r="O62" s="127"/>
      <c r="P62" s="127"/>
      <c r="Q62" s="127"/>
      <c r="R62" s="127"/>
      <c r="S62" s="127"/>
      <c r="T62" s="127"/>
      <c r="U62" s="127"/>
      <c r="V62" s="128"/>
      <c r="W62" s="128"/>
      <c r="X62" s="129" t="str">
        <f t="shared" si="1"/>
        <v/>
      </c>
      <c r="Y62" s="127"/>
      <c r="Z62" s="128"/>
      <c r="AA62" s="130"/>
      <c r="AB62" s="130"/>
      <c r="AC62" s="130"/>
      <c r="AD62" s="130"/>
      <c r="AE62" s="130"/>
      <c r="AF62" s="130"/>
      <c r="AG62" s="127"/>
      <c r="AH62" s="130"/>
      <c r="AI62" s="127"/>
      <c r="AJ62" s="127"/>
      <c r="AK62" s="127"/>
    </row>
    <row r="63" spans="1:37" ht="36" customHeight="1" x14ac:dyDescent="0.25">
      <c r="A63" s="145" t="s">
        <v>743</v>
      </c>
      <c r="B63" s="126" t="str">
        <f t="shared" si="0"/>
        <v>044/2026/HĐLĐ-MAU</v>
      </c>
      <c r="C63" s="127"/>
      <c r="D63" s="127"/>
      <c r="E63" s="128"/>
      <c r="F63" s="127"/>
      <c r="G63" s="125"/>
      <c r="H63" s="128"/>
      <c r="I63" s="127"/>
      <c r="J63" s="127"/>
      <c r="K63" s="127"/>
      <c r="L63" s="125"/>
      <c r="M63" s="125"/>
      <c r="N63" s="125"/>
      <c r="O63" s="127"/>
      <c r="P63" s="127"/>
      <c r="Q63" s="127"/>
      <c r="R63" s="127"/>
      <c r="S63" s="127"/>
      <c r="T63" s="127"/>
      <c r="U63" s="127"/>
      <c r="V63" s="128"/>
      <c r="W63" s="128"/>
      <c r="X63" s="129" t="str">
        <f t="shared" si="1"/>
        <v/>
      </c>
      <c r="Y63" s="127"/>
      <c r="Z63" s="128"/>
      <c r="AA63" s="130"/>
      <c r="AB63" s="130"/>
      <c r="AC63" s="130"/>
      <c r="AD63" s="130"/>
      <c r="AE63" s="130"/>
      <c r="AF63" s="130"/>
      <c r="AG63" s="127"/>
      <c r="AH63" s="130"/>
      <c r="AI63" s="127"/>
      <c r="AJ63" s="127"/>
      <c r="AK63" s="127"/>
    </row>
    <row r="64" spans="1:37" ht="36" customHeight="1" x14ac:dyDescent="0.25">
      <c r="A64" s="145" t="s">
        <v>744</v>
      </c>
      <c r="B64" s="126" t="str">
        <f t="shared" si="0"/>
        <v>045/2026/HĐLĐ-MAU</v>
      </c>
      <c r="C64" s="127"/>
      <c r="D64" s="127"/>
      <c r="E64" s="128"/>
      <c r="F64" s="127"/>
      <c r="G64" s="125"/>
      <c r="H64" s="128"/>
      <c r="I64" s="127"/>
      <c r="J64" s="127"/>
      <c r="K64" s="127"/>
      <c r="L64" s="125"/>
      <c r="M64" s="125"/>
      <c r="N64" s="125"/>
      <c r="O64" s="127"/>
      <c r="P64" s="127"/>
      <c r="Q64" s="127"/>
      <c r="R64" s="127"/>
      <c r="S64" s="127"/>
      <c r="T64" s="127"/>
      <c r="U64" s="127"/>
      <c r="V64" s="128"/>
      <c r="W64" s="128"/>
      <c r="X64" s="129" t="str">
        <f t="shared" si="1"/>
        <v/>
      </c>
      <c r="Y64" s="127"/>
      <c r="Z64" s="128"/>
      <c r="AA64" s="130"/>
      <c r="AB64" s="130"/>
      <c r="AC64" s="130"/>
      <c r="AD64" s="130"/>
      <c r="AE64" s="130"/>
      <c r="AF64" s="130"/>
      <c r="AG64" s="127"/>
      <c r="AH64" s="130"/>
      <c r="AI64" s="127"/>
      <c r="AJ64" s="127"/>
      <c r="AK64" s="127"/>
    </row>
    <row r="65" spans="1:37" ht="36" customHeight="1" x14ac:dyDescent="0.25">
      <c r="A65" s="145" t="s">
        <v>745</v>
      </c>
      <c r="B65" s="126" t="str">
        <f t="shared" si="0"/>
        <v>046/2026/HĐLĐ-MAU</v>
      </c>
      <c r="C65" s="127"/>
      <c r="D65" s="127"/>
      <c r="E65" s="128"/>
      <c r="F65" s="127"/>
      <c r="G65" s="125"/>
      <c r="H65" s="128"/>
      <c r="I65" s="127"/>
      <c r="J65" s="127"/>
      <c r="K65" s="127"/>
      <c r="L65" s="125"/>
      <c r="M65" s="125"/>
      <c r="N65" s="125"/>
      <c r="O65" s="127"/>
      <c r="P65" s="127"/>
      <c r="Q65" s="127"/>
      <c r="R65" s="127"/>
      <c r="S65" s="127"/>
      <c r="T65" s="127"/>
      <c r="U65" s="127"/>
      <c r="V65" s="128"/>
      <c r="W65" s="128"/>
      <c r="X65" s="129" t="str">
        <f t="shared" si="1"/>
        <v/>
      </c>
      <c r="Y65" s="127"/>
      <c r="Z65" s="128"/>
      <c r="AA65" s="130"/>
      <c r="AB65" s="130"/>
      <c r="AC65" s="130"/>
      <c r="AD65" s="130"/>
      <c r="AE65" s="130"/>
      <c r="AF65" s="130"/>
      <c r="AG65" s="127"/>
      <c r="AH65" s="130"/>
      <c r="AI65" s="127"/>
      <c r="AJ65" s="127"/>
      <c r="AK65" s="127"/>
    </row>
    <row r="66" spans="1:37" ht="36" customHeight="1" x14ac:dyDescent="0.25">
      <c r="A66" s="145" t="s">
        <v>746</v>
      </c>
      <c r="B66" s="126" t="str">
        <f t="shared" si="0"/>
        <v>047/2026/HĐLĐ-MAU</v>
      </c>
      <c r="C66" s="127"/>
      <c r="D66" s="127"/>
      <c r="E66" s="128"/>
      <c r="F66" s="127"/>
      <c r="G66" s="125"/>
      <c r="H66" s="128"/>
      <c r="I66" s="127"/>
      <c r="J66" s="127"/>
      <c r="K66" s="127"/>
      <c r="L66" s="125"/>
      <c r="M66" s="125"/>
      <c r="N66" s="125"/>
      <c r="O66" s="127"/>
      <c r="P66" s="127"/>
      <c r="Q66" s="127"/>
      <c r="R66" s="127"/>
      <c r="S66" s="127"/>
      <c r="T66" s="127"/>
      <c r="U66" s="127"/>
      <c r="V66" s="128"/>
      <c r="W66" s="128"/>
      <c r="X66" s="129" t="str">
        <f t="shared" si="1"/>
        <v/>
      </c>
      <c r="Y66" s="127"/>
      <c r="Z66" s="128"/>
      <c r="AA66" s="130"/>
      <c r="AB66" s="130"/>
      <c r="AC66" s="130"/>
      <c r="AD66" s="130"/>
      <c r="AE66" s="130"/>
      <c r="AF66" s="130"/>
      <c r="AG66" s="127"/>
      <c r="AH66" s="130"/>
      <c r="AI66" s="127"/>
      <c r="AJ66" s="127"/>
      <c r="AK66" s="127"/>
    </row>
    <row r="67" spans="1:37" ht="36" customHeight="1" x14ac:dyDescent="0.25">
      <c r="A67" s="145" t="s">
        <v>747</v>
      </c>
      <c r="B67" s="126" t="str">
        <f t="shared" si="0"/>
        <v>048/2026/HĐLĐ-MAU</v>
      </c>
      <c r="C67" s="127"/>
      <c r="D67" s="127"/>
      <c r="E67" s="128"/>
      <c r="F67" s="127"/>
      <c r="G67" s="125"/>
      <c r="H67" s="128"/>
      <c r="I67" s="127"/>
      <c r="J67" s="127"/>
      <c r="K67" s="127"/>
      <c r="L67" s="125"/>
      <c r="M67" s="125"/>
      <c r="N67" s="125"/>
      <c r="O67" s="127"/>
      <c r="P67" s="127"/>
      <c r="Q67" s="127"/>
      <c r="R67" s="127"/>
      <c r="S67" s="127"/>
      <c r="T67" s="127"/>
      <c r="U67" s="127"/>
      <c r="V67" s="128"/>
      <c r="W67" s="128"/>
      <c r="X67" s="129" t="str">
        <f t="shared" si="1"/>
        <v/>
      </c>
      <c r="Y67" s="127"/>
      <c r="Z67" s="128"/>
      <c r="AA67" s="130"/>
      <c r="AB67" s="130"/>
      <c r="AC67" s="130"/>
      <c r="AD67" s="130"/>
      <c r="AE67" s="130"/>
      <c r="AF67" s="130"/>
      <c r="AG67" s="127"/>
      <c r="AH67" s="130"/>
      <c r="AI67" s="127"/>
      <c r="AJ67" s="127"/>
      <c r="AK67" s="127"/>
    </row>
    <row r="68" spans="1:37" ht="36" customHeight="1" x14ac:dyDescent="0.25">
      <c r="A68" s="145" t="s">
        <v>748</v>
      </c>
      <c r="B68" s="126" t="str">
        <f t="shared" si="0"/>
        <v>049/2026/HĐLĐ-MAU</v>
      </c>
      <c r="C68" s="127"/>
      <c r="D68" s="127"/>
      <c r="E68" s="128"/>
      <c r="F68" s="127"/>
      <c r="G68" s="125"/>
      <c r="H68" s="128"/>
      <c r="I68" s="127"/>
      <c r="J68" s="127"/>
      <c r="K68" s="127"/>
      <c r="L68" s="125"/>
      <c r="M68" s="125"/>
      <c r="N68" s="125"/>
      <c r="O68" s="127"/>
      <c r="P68" s="127"/>
      <c r="Q68" s="127"/>
      <c r="R68" s="127"/>
      <c r="S68" s="127"/>
      <c r="T68" s="127"/>
      <c r="U68" s="127"/>
      <c r="V68" s="128"/>
      <c r="W68" s="128"/>
      <c r="X68" s="129" t="str">
        <f t="shared" si="1"/>
        <v/>
      </c>
      <c r="Y68" s="127"/>
      <c r="Z68" s="128"/>
      <c r="AA68" s="130"/>
      <c r="AB68" s="130"/>
      <c r="AC68" s="130"/>
      <c r="AD68" s="130"/>
      <c r="AE68" s="130"/>
      <c r="AF68" s="130"/>
      <c r="AG68" s="127"/>
      <c r="AH68" s="130"/>
      <c r="AI68" s="127"/>
      <c r="AJ68" s="127"/>
      <c r="AK68" s="127"/>
    </row>
    <row r="69" spans="1:37" ht="36" customHeight="1" x14ac:dyDescent="0.25">
      <c r="A69" s="145" t="s">
        <v>749</v>
      </c>
      <c r="B69" s="126" t="str">
        <f t="shared" si="0"/>
        <v>050/2026/HĐLĐ-MAU</v>
      </c>
      <c r="C69" s="127"/>
      <c r="D69" s="127"/>
      <c r="E69" s="128"/>
      <c r="F69" s="127"/>
      <c r="G69" s="125"/>
      <c r="H69" s="128"/>
      <c r="I69" s="127"/>
      <c r="J69" s="127"/>
      <c r="K69" s="127"/>
      <c r="L69" s="125"/>
      <c r="M69" s="125"/>
      <c r="N69" s="125"/>
      <c r="O69" s="127"/>
      <c r="P69" s="127"/>
      <c r="Q69" s="127"/>
      <c r="R69" s="127"/>
      <c r="S69" s="127"/>
      <c r="T69" s="127"/>
      <c r="U69" s="127"/>
      <c r="V69" s="128"/>
      <c r="W69" s="128"/>
      <c r="X69" s="129" t="str">
        <f t="shared" si="1"/>
        <v/>
      </c>
      <c r="Y69" s="127"/>
      <c r="Z69" s="128"/>
      <c r="AA69" s="130"/>
      <c r="AB69" s="130"/>
      <c r="AC69" s="130"/>
      <c r="AD69" s="130"/>
      <c r="AE69" s="130"/>
      <c r="AF69" s="130"/>
      <c r="AG69" s="127"/>
      <c r="AH69" s="130"/>
      <c r="AI69" s="127"/>
      <c r="AJ69" s="127"/>
      <c r="AK69" s="127"/>
    </row>
    <row r="70" spans="1:37" ht="36" customHeight="1" x14ac:dyDescent="0.25">
      <c r="A70" s="145" t="s">
        <v>750</v>
      </c>
      <c r="B70" s="126" t="str">
        <f t="shared" si="0"/>
        <v>051/2026/HĐLĐ-MAU</v>
      </c>
      <c r="C70" s="127"/>
      <c r="D70" s="127"/>
      <c r="E70" s="128"/>
      <c r="F70" s="127"/>
      <c r="G70" s="125"/>
      <c r="H70" s="128"/>
      <c r="I70" s="127"/>
      <c r="J70" s="127"/>
      <c r="K70" s="127"/>
      <c r="L70" s="125"/>
      <c r="M70" s="125"/>
      <c r="N70" s="125"/>
      <c r="O70" s="127"/>
      <c r="P70" s="127"/>
      <c r="Q70" s="127"/>
      <c r="R70" s="127"/>
      <c r="S70" s="127"/>
      <c r="T70" s="127"/>
      <c r="U70" s="127"/>
      <c r="V70" s="128"/>
      <c r="W70" s="128"/>
      <c r="X70" s="129" t="str">
        <f t="shared" si="1"/>
        <v/>
      </c>
      <c r="Y70" s="127"/>
      <c r="Z70" s="128"/>
      <c r="AA70" s="130"/>
      <c r="AB70" s="130"/>
      <c r="AC70" s="130"/>
      <c r="AD70" s="130"/>
      <c r="AE70" s="130"/>
      <c r="AF70" s="130"/>
      <c r="AG70" s="127"/>
      <c r="AH70" s="130"/>
      <c r="AI70" s="127"/>
      <c r="AJ70" s="127"/>
      <c r="AK70" s="127"/>
    </row>
    <row r="71" spans="1:37" ht="36" customHeight="1" x14ac:dyDescent="0.25">
      <c r="A71" s="145" t="s">
        <v>751</v>
      </c>
      <c r="B71" s="126" t="str">
        <f t="shared" si="0"/>
        <v>052/2026/HĐLĐ-MAU</v>
      </c>
      <c r="C71" s="127"/>
      <c r="D71" s="127"/>
      <c r="E71" s="128"/>
      <c r="F71" s="127"/>
      <c r="G71" s="125"/>
      <c r="H71" s="128"/>
      <c r="I71" s="127"/>
      <c r="J71" s="127"/>
      <c r="K71" s="127"/>
      <c r="L71" s="125"/>
      <c r="M71" s="125"/>
      <c r="N71" s="125"/>
      <c r="O71" s="127"/>
      <c r="P71" s="127"/>
      <c r="Q71" s="127"/>
      <c r="R71" s="127"/>
      <c r="S71" s="127"/>
      <c r="T71" s="127"/>
      <c r="U71" s="127"/>
      <c r="V71" s="128"/>
      <c r="W71" s="128"/>
      <c r="X71" s="129" t="str">
        <f t="shared" si="1"/>
        <v/>
      </c>
      <c r="Y71" s="127"/>
      <c r="Z71" s="128"/>
      <c r="AA71" s="130"/>
      <c r="AB71" s="130"/>
      <c r="AC71" s="130"/>
      <c r="AD71" s="130"/>
      <c r="AE71" s="130"/>
      <c r="AF71" s="130"/>
      <c r="AG71" s="127"/>
      <c r="AH71" s="130"/>
      <c r="AI71" s="127"/>
      <c r="AJ71" s="127"/>
      <c r="AK71" s="127"/>
    </row>
    <row r="72" spans="1:37" ht="36" customHeight="1" x14ac:dyDescent="0.25">
      <c r="A72" s="145" t="s">
        <v>752</v>
      </c>
      <c r="B72" s="126" t="str">
        <f t="shared" si="0"/>
        <v>053/2026/HĐLĐ-MAU</v>
      </c>
      <c r="C72" s="127"/>
      <c r="D72" s="127"/>
      <c r="E72" s="128"/>
      <c r="F72" s="127"/>
      <c r="G72" s="125"/>
      <c r="H72" s="128"/>
      <c r="I72" s="127"/>
      <c r="J72" s="127"/>
      <c r="K72" s="127"/>
      <c r="L72" s="125"/>
      <c r="M72" s="125"/>
      <c r="N72" s="125"/>
      <c r="O72" s="127"/>
      <c r="P72" s="127"/>
      <c r="Q72" s="127"/>
      <c r="R72" s="127"/>
      <c r="S72" s="127"/>
      <c r="T72" s="127"/>
      <c r="U72" s="127"/>
      <c r="V72" s="128"/>
      <c r="W72" s="128"/>
      <c r="X72" s="129" t="str">
        <f t="shared" si="1"/>
        <v/>
      </c>
      <c r="Y72" s="127"/>
      <c r="Z72" s="128"/>
      <c r="AA72" s="130"/>
      <c r="AB72" s="130"/>
      <c r="AC72" s="130"/>
      <c r="AD72" s="130"/>
      <c r="AE72" s="130"/>
      <c r="AF72" s="130"/>
      <c r="AG72" s="127"/>
      <c r="AH72" s="130"/>
      <c r="AI72" s="127"/>
      <c r="AJ72" s="127"/>
      <c r="AK72" s="127"/>
    </row>
    <row r="73" spans="1:37" ht="36" customHeight="1" x14ac:dyDescent="0.25">
      <c r="A73" s="145" t="s">
        <v>753</v>
      </c>
      <c r="B73" s="126" t="str">
        <f t="shared" si="0"/>
        <v>054/2026/HĐLĐ-MAU</v>
      </c>
      <c r="C73" s="127"/>
      <c r="D73" s="127"/>
      <c r="E73" s="128"/>
      <c r="F73" s="127"/>
      <c r="G73" s="125"/>
      <c r="H73" s="128"/>
      <c r="I73" s="127"/>
      <c r="J73" s="127"/>
      <c r="K73" s="127"/>
      <c r="L73" s="125"/>
      <c r="M73" s="125"/>
      <c r="N73" s="125"/>
      <c r="O73" s="127"/>
      <c r="P73" s="127"/>
      <c r="Q73" s="127"/>
      <c r="R73" s="127"/>
      <c r="S73" s="127"/>
      <c r="T73" s="127"/>
      <c r="U73" s="127"/>
      <c r="V73" s="128"/>
      <c r="W73" s="128"/>
      <c r="X73" s="129" t="str">
        <f t="shared" si="1"/>
        <v/>
      </c>
      <c r="Y73" s="127"/>
      <c r="Z73" s="128"/>
      <c r="AA73" s="130"/>
      <c r="AB73" s="130"/>
      <c r="AC73" s="130"/>
      <c r="AD73" s="130"/>
      <c r="AE73" s="130"/>
      <c r="AF73" s="130"/>
      <c r="AG73" s="127"/>
      <c r="AH73" s="130"/>
      <c r="AI73" s="127"/>
      <c r="AJ73" s="127"/>
      <c r="AK73" s="127"/>
    </row>
    <row r="74" spans="1:37" ht="36" customHeight="1" x14ac:dyDescent="0.25">
      <c r="A74" s="145" t="s">
        <v>754</v>
      </c>
      <c r="B74" s="126" t="str">
        <f t="shared" si="0"/>
        <v>055/2026/HĐLĐ-MAU</v>
      </c>
      <c r="C74" s="127"/>
      <c r="D74" s="127"/>
      <c r="E74" s="128"/>
      <c r="F74" s="127"/>
      <c r="G74" s="125"/>
      <c r="H74" s="128"/>
      <c r="I74" s="127"/>
      <c r="J74" s="127"/>
      <c r="K74" s="127"/>
      <c r="L74" s="125"/>
      <c r="M74" s="125"/>
      <c r="N74" s="125"/>
      <c r="O74" s="127"/>
      <c r="P74" s="127"/>
      <c r="Q74" s="127"/>
      <c r="R74" s="127"/>
      <c r="S74" s="127"/>
      <c r="T74" s="127"/>
      <c r="U74" s="127"/>
      <c r="V74" s="128"/>
      <c r="W74" s="128"/>
      <c r="X74" s="129" t="str">
        <f t="shared" si="1"/>
        <v/>
      </c>
      <c r="Y74" s="127"/>
      <c r="Z74" s="128"/>
      <c r="AA74" s="130"/>
      <c r="AB74" s="130"/>
      <c r="AC74" s="130"/>
      <c r="AD74" s="130"/>
      <c r="AE74" s="130"/>
      <c r="AF74" s="130"/>
      <c r="AG74" s="127"/>
      <c r="AH74" s="130"/>
      <c r="AI74" s="127"/>
      <c r="AJ74" s="127"/>
      <c r="AK74" s="127"/>
    </row>
    <row r="75" spans="1:37" ht="36" customHeight="1" x14ac:dyDescent="0.25">
      <c r="A75" s="145" t="s">
        <v>755</v>
      </c>
      <c r="B75" s="126" t="str">
        <f t="shared" si="0"/>
        <v>056/2026/HĐLĐ-MAU</v>
      </c>
      <c r="C75" s="127"/>
      <c r="D75" s="127"/>
      <c r="E75" s="128"/>
      <c r="F75" s="127"/>
      <c r="G75" s="125"/>
      <c r="H75" s="128"/>
      <c r="I75" s="127"/>
      <c r="J75" s="127"/>
      <c r="K75" s="127"/>
      <c r="L75" s="125"/>
      <c r="M75" s="125"/>
      <c r="N75" s="125"/>
      <c r="O75" s="127"/>
      <c r="P75" s="127"/>
      <c r="Q75" s="127"/>
      <c r="R75" s="127"/>
      <c r="S75" s="127"/>
      <c r="T75" s="127"/>
      <c r="U75" s="127"/>
      <c r="V75" s="128"/>
      <c r="W75" s="128"/>
      <c r="X75" s="129" t="str">
        <f t="shared" si="1"/>
        <v/>
      </c>
      <c r="Y75" s="127"/>
      <c r="Z75" s="128"/>
      <c r="AA75" s="130"/>
      <c r="AB75" s="130"/>
      <c r="AC75" s="130"/>
      <c r="AD75" s="130"/>
      <c r="AE75" s="130"/>
      <c r="AF75" s="130"/>
      <c r="AG75" s="127"/>
      <c r="AH75" s="130"/>
      <c r="AI75" s="127"/>
      <c r="AJ75" s="127"/>
      <c r="AK75" s="127"/>
    </row>
    <row r="76" spans="1:37" ht="36" customHeight="1" x14ac:dyDescent="0.25">
      <c r="A76" s="145" t="s">
        <v>756</v>
      </c>
      <c r="B76" s="126" t="str">
        <f t="shared" si="0"/>
        <v>057/2026/HĐLĐ-MAU</v>
      </c>
      <c r="C76" s="127"/>
      <c r="D76" s="127"/>
      <c r="E76" s="128"/>
      <c r="F76" s="127"/>
      <c r="G76" s="125"/>
      <c r="H76" s="128"/>
      <c r="I76" s="127"/>
      <c r="J76" s="127"/>
      <c r="K76" s="127"/>
      <c r="L76" s="125"/>
      <c r="M76" s="125"/>
      <c r="N76" s="125"/>
      <c r="O76" s="127"/>
      <c r="P76" s="127"/>
      <c r="Q76" s="127"/>
      <c r="R76" s="127"/>
      <c r="S76" s="127"/>
      <c r="T76" s="127"/>
      <c r="U76" s="127"/>
      <c r="V76" s="128"/>
      <c r="W76" s="128"/>
      <c r="X76" s="129" t="str">
        <f t="shared" si="1"/>
        <v/>
      </c>
      <c r="Y76" s="127"/>
      <c r="Z76" s="128"/>
      <c r="AA76" s="130"/>
      <c r="AB76" s="130"/>
      <c r="AC76" s="130"/>
      <c r="AD76" s="130"/>
      <c r="AE76" s="130"/>
      <c r="AF76" s="130"/>
      <c r="AG76" s="127"/>
      <c r="AH76" s="130"/>
      <c r="AI76" s="127"/>
      <c r="AJ76" s="127"/>
      <c r="AK76" s="127"/>
    </row>
    <row r="77" spans="1:37" ht="36" customHeight="1" x14ac:dyDescent="0.25">
      <c r="A77" s="145" t="s">
        <v>757</v>
      </c>
      <c r="B77" s="126" t="str">
        <f t="shared" si="0"/>
        <v>058/2026/HĐLĐ-MAU</v>
      </c>
      <c r="C77" s="127"/>
      <c r="D77" s="127"/>
      <c r="E77" s="128"/>
      <c r="F77" s="127"/>
      <c r="G77" s="125"/>
      <c r="H77" s="128"/>
      <c r="I77" s="127"/>
      <c r="J77" s="127"/>
      <c r="K77" s="127"/>
      <c r="L77" s="125"/>
      <c r="M77" s="125"/>
      <c r="N77" s="125"/>
      <c r="O77" s="127"/>
      <c r="P77" s="127"/>
      <c r="Q77" s="127"/>
      <c r="R77" s="127"/>
      <c r="S77" s="127"/>
      <c r="T77" s="127"/>
      <c r="U77" s="127"/>
      <c r="V77" s="128"/>
      <c r="W77" s="128"/>
      <c r="X77" s="129" t="str">
        <f t="shared" si="1"/>
        <v/>
      </c>
      <c r="Y77" s="127"/>
      <c r="Z77" s="128"/>
      <c r="AA77" s="130"/>
      <c r="AB77" s="130"/>
      <c r="AC77" s="130"/>
      <c r="AD77" s="130"/>
      <c r="AE77" s="130"/>
      <c r="AF77" s="130"/>
      <c r="AG77" s="127"/>
      <c r="AH77" s="130"/>
      <c r="AI77" s="127"/>
      <c r="AJ77" s="127"/>
      <c r="AK77" s="127"/>
    </row>
    <row r="78" spans="1:37" ht="36" customHeight="1" x14ac:dyDescent="0.25">
      <c r="A78" s="145" t="s">
        <v>758</v>
      </c>
      <c r="B78" s="126" t="str">
        <f t="shared" ref="B78:B141" si="2">IF($A78="","",TEXT(ROW()-19,"000")&amp;"/"&amp;IF($V78="",2026,YEAR($V78))&amp;"/HĐLĐ-"&amp;$E$8)</f>
        <v>059/2026/HĐLĐ-MAU</v>
      </c>
      <c r="C78" s="127"/>
      <c r="D78" s="127"/>
      <c r="E78" s="128"/>
      <c r="F78" s="127"/>
      <c r="G78" s="125"/>
      <c r="H78" s="128"/>
      <c r="I78" s="127"/>
      <c r="J78" s="127"/>
      <c r="K78" s="127"/>
      <c r="L78" s="125"/>
      <c r="M78" s="125"/>
      <c r="N78" s="125"/>
      <c r="O78" s="127"/>
      <c r="P78" s="127"/>
      <c r="Q78" s="127"/>
      <c r="R78" s="127"/>
      <c r="S78" s="127"/>
      <c r="T78" s="127"/>
      <c r="U78" s="127"/>
      <c r="V78" s="128"/>
      <c r="W78" s="128"/>
      <c r="X78" s="129" t="str">
        <f t="shared" ref="X78:X141" si="3">IF($A78="","",IF($T78="Xác định thời hạn",IF(AND($W78&lt;&gt;"",$U78&lt;&gt;""),EDATE($W78,$U78)-1,""),""))</f>
        <v/>
      </c>
      <c r="Y78" s="127"/>
      <c r="Z78" s="128"/>
      <c r="AA78" s="130"/>
      <c r="AB78" s="130"/>
      <c r="AC78" s="130"/>
      <c r="AD78" s="130"/>
      <c r="AE78" s="130"/>
      <c r="AF78" s="130"/>
      <c r="AG78" s="127"/>
      <c r="AH78" s="130"/>
      <c r="AI78" s="127"/>
      <c r="AJ78" s="127"/>
      <c r="AK78" s="127"/>
    </row>
    <row r="79" spans="1:37" ht="36" customHeight="1" x14ac:dyDescent="0.25">
      <c r="A79" s="145" t="s">
        <v>759</v>
      </c>
      <c r="B79" s="126" t="str">
        <f t="shared" si="2"/>
        <v>060/2026/HĐLĐ-MAU</v>
      </c>
      <c r="C79" s="127"/>
      <c r="D79" s="127"/>
      <c r="E79" s="128"/>
      <c r="F79" s="127"/>
      <c r="G79" s="125"/>
      <c r="H79" s="128"/>
      <c r="I79" s="127"/>
      <c r="J79" s="127"/>
      <c r="K79" s="127"/>
      <c r="L79" s="125"/>
      <c r="M79" s="125"/>
      <c r="N79" s="125"/>
      <c r="O79" s="127"/>
      <c r="P79" s="127"/>
      <c r="Q79" s="127"/>
      <c r="R79" s="127"/>
      <c r="S79" s="127"/>
      <c r="T79" s="127"/>
      <c r="U79" s="127"/>
      <c r="V79" s="128"/>
      <c r="W79" s="128"/>
      <c r="X79" s="129" t="str">
        <f t="shared" si="3"/>
        <v/>
      </c>
      <c r="Y79" s="127"/>
      <c r="Z79" s="128"/>
      <c r="AA79" s="130"/>
      <c r="AB79" s="130"/>
      <c r="AC79" s="130"/>
      <c r="AD79" s="130"/>
      <c r="AE79" s="130"/>
      <c r="AF79" s="130"/>
      <c r="AG79" s="127"/>
      <c r="AH79" s="130"/>
      <c r="AI79" s="127"/>
      <c r="AJ79" s="127"/>
      <c r="AK79" s="127"/>
    </row>
    <row r="80" spans="1:37" ht="36" customHeight="1" x14ac:dyDescent="0.25">
      <c r="A80" s="145" t="s">
        <v>760</v>
      </c>
      <c r="B80" s="126" t="str">
        <f t="shared" si="2"/>
        <v>061/2026/HĐLĐ-MAU</v>
      </c>
      <c r="C80" s="127"/>
      <c r="D80" s="127"/>
      <c r="E80" s="128"/>
      <c r="F80" s="127"/>
      <c r="G80" s="125"/>
      <c r="H80" s="128"/>
      <c r="I80" s="127"/>
      <c r="J80" s="127"/>
      <c r="K80" s="127"/>
      <c r="L80" s="125"/>
      <c r="M80" s="125"/>
      <c r="N80" s="125"/>
      <c r="O80" s="127"/>
      <c r="P80" s="127"/>
      <c r="Q80" s="127"/>
      <c r="R80" s="127"/>
      <c r="S80" s="127"/>
      <c r="T80" s="127"/>
      <c r="U80" s="127"/>
      <c r="V80" s="128"/>
      <c r="W80" s="128"/>
      <c r="X80" s="129" t="str">
        <f t="shared" si="3"/>
        <v/>
      </c>
      <c r="Y80" s="127"/>
      <c r="Z80" s="128"/>
      <c r="AA80" s="130"/>
      <c r="AB80" s="130"/>
      <c r="AC80" s="130"/>
      <c r="AD80" s="130"/>
      <c r="AE80" s="130"/>
      <c r="AF80" s="130"/>
      <c r="AG80" s="127"/>
      <c r="AH80" s="130"/>
      <c r="AI80" s="127"/>
      <c r="AJ80" s="127"/>
      <c r="AK80" s="127"/>
    </row>
    <row r="81" spans="1:37" ht="36" customHeight="1" x14ac:dyDescent="0.25">
      <c r="A81" s="145" t="s">
        <v>761</v>
      </c>
      <c r="B81" s="126" t="str">
        <f t="shared" si="2"/>
        <v>062/2026/HĐLĐ-MAU</v>
      </c>
      <c r="C81" s="127"/>
      <c r="D81" s="127"/>
      <c r="E81" s="128"/>
      <c r="F81" s="127"/>
      <c r="G81" s="125"/>
      <c r="H81" s="128"/>
      <c r="I81" s="127"/>
      <c r="J81" s="127"/>
      <c r="K81" s="127"/>
      <c r="L81" s="125"/>
      <c r="M81" s="125"/>
      <c r="N81" s="125"/>
      <c r="O81" s="127"/>
      <c r="P81" s="127"/>
      <c r="Q81" s="127"/>
      <c r="R81" s="127"/>
      <c r="S81" s="127"/>
      <c r="T81" s="127"/>
      <c r="U81" s="127"/>
      <c r="V81" s="128"/>
      <c r="W81" s="128"/>
      <c r="X81" s="129" t="str">
        <f t="shared" si="3"/>
        <v/>
      </c>
      <c r="Y81" s="127"/>
      <c r="Z81" s="128"/>
      <c r="AA81" s="130"/>
      <c r="AB81" s="130"/>
      <c r="AC81" s="130"/>
      <c r="AD81" s="130"/>
      <c r="AE81" s="130"/>
      <c r="AF81" s="130"/>
      <c r="AG81" s="127"/>
      <c r="AH81" s="130"/>
      <c r="AI81" s="127"/>
      <c r="AJ81" s="127"/>
      <c r="AK81" s="127"/>
    </row>
    <row r="82" spans="1:37" ht="36" customHeight="1" x14ac:dyDescent="0.25">
      <c r="A82" s="145" t="s">
        <v>762</v>
      </c>
      <c r="B82" s="126" t="str">
        <f t="shared" si="2"/>
        <v>063/2026/HĐLĐ-MAU</v>
      </c>
      <c r="C82" s="127"/>
      <c r="D82" s="127"/>
      <c r="E82" s="128"/>
      <c r="F82" s="127"/>
      <c r="G82" s="125"/>
      <c r="H82" s="128"/>
      <c r="I82" s="127"/>
      <c r="J82" s="127"/>
      <c r="K82" s="127"/>
      <c r="L82" s="125"/>
      <c r="M82" s="125"/>
      <c r="N82" s="125"/>
      <c r="O82" s="127"/>
      <c r="P82" s="127"/>
      <c r="Q82" s="127"/>
      <c r="R82" s="127"/>
      <c r="S82" s="127"/>
      <c r="T82" s="127"/>
      <c r="U82" s="127"/>
      <c r="V82" s="128"/>
      <c r="W82" s="128"/>
      <c r="X82" s="129" t="str">
        <f t="shared" si="3"/>
        <v/>
      </c>
      <c r="Y82" s="127"/>
      <c r="Z82" s="128"/>
      <c r="AA82" s="130"/>
      <c r="AB82" s="130"/>
      <c r="AC82" s="130"/>
      <c r="AD82" s="130"/>
      <c r="AE82" s="130"/>
      <c r="AF82" s="130"/>
      <c r="AG82" s="127"/>
      <c r="AH82" s="130"/>
      <c r="AI82" s="127"/>
      <c r="AJ82" s="127"/>
      <c r="AK82" s="127"/>
    </row>
    <row r="83" spans="1:37" ht="36" customHeight="1" x14ac:dyDescent="0.25">
      <c r="A83" s="145" t="s">
        <v>763</v>
      </c>
      <c r="B83" s="126" t="str">
        <f t="shared" si="2"/>
        <v>064/2026/HĐLĐ-MAU</v>
      </c>
      <c r="C83" s="127"/>
      <c r="D83" s="127"/>
      <c r="E83" s="128"/>
      <c r="F83" s="127"/>
      <c r="G83" s="125"/>
      <c r="H83" s="128"/>
      <c r="I83" s="127"/>
      <c r="J83" s="127"/>
      <c r="K83" s="127"/>
      <c r="L83" s="125"/>
      <c r="M83" s="125"/>
      <c r="N83" s="125"/>
      <c r="O83" s="127"/>
      <c r="P83" s="127"/>
      <c r="Q83" s="127"/>
      <c r="R83" s="127"/>
      <c r="S83" s="127"/>
      <c r="T83" s="127"/>
      <c r="U83" s="127"/>
      <c r="V83" s="128"/>
      <c r="W83" s="128"/>
      <c r="X83" s="129" t="str">
        <f t="shared" si="3"/>
        <v/>
      </c>
      <c r="Y83" s="127"/>
      <c r="Z83" s="128"/>
      <c r="AA83" s="130"/>
      <c r="AB83" s="130"/>
      <c r="AC83" s="130"/>
      <c r="AD83" s="130"/>
      <c r="AE83" s="130"/>
      <c r="AF83" s="130"/>
      <c r="AG83" s="127"/>
      <c r="AH83" s="130"/>
      <c r="AI83" s="127"/>
      <c r="AJ83" s="127"/>
      <c r="AK83" s="127"/>
    </row>
    <row r="84" spans="1:37" ht="36" customHeight="1" x14ac:dyDescent="0.25">
      <c r="A84" s="145" t="s">
        <v>764</v>
      </c>
      <c r="B84" s="126" t="str">
        <f t="shared" si="2"/>
        <v>065/2026/HĐLĐ-MAU</v>
      </c>
      <c r="C84" s="127"/>
      <c r="D84" s="127"/>
      <c r="E84" s="128"/>
      <c r="F84" s="127"/>
      <c r="G84" s="125"/>
      <c r="H84" s="128"/>
      <c r="I84" s="127"/>
      <c r="J84" s="127"/>
      <c r="K84" s="127"/>
      <c r="L84" s="125"/>
      <c r="M84" s="125"/>
      <c r="N84" s="125"/>
      <c r="O84" s="127"/>
      <c r="P84" s="127"/>
      <c r="Q84" s="127"/>
      <c r="R84" s="127"/>
      <c r="S84" s="127"/>
      <c r="T84" s="127"/>
      <c r="U84" s="127"/>
      <c r="V84" s="128"/>
      <c r="W84" s="128"/>
      <c r="X84" s="129" t="str">
        <f t="shared" si="3"/>
        <v/>
      </c>
      <c r="Y84" s="127"/>
      <c r="Z84" s="128"/>
      <c r="AA84" s="130"/>
      <c r="AB84" s="130"/>
      <c r="AC84" s="130"/>
      <c r="AD84" s="130"/>
      <c r="AE84" s="130"/>
      <c r="AF84" s="130"/>
      <c r="AG84" s="127"/>
      <c r="AH84" s="130"/>
      <c r="AI84" s="127"/>
      <c r="AJ84" s="127"/>
      <c r="AK84" s="127"/>
    </row>
    <row r="85" spans="1:37" ht="36" customHeight="1" x14ac:dyDescent="0.25">
      <c r="A85" s="145" t="s">
        <v>765</v>
      </c>
      <c r="B85" s="126" t="str">
        <f t="shared" si="2"/>
        <v>066/2026/HĐLĐ-MAU</v>
      </c>
      <c r="C85" s="127"/>
      <c r="D85" s="127"/>
      <c r="E85" s="128"/>
      <c r="F85" s="127"/>
      <c r="G85" s="125"/>
      <c r="H85" s="128"/>
      <c r="I85" s="127"/>
      <c r="J85" s="127"/>
      <c r="K85" s="127"/>
      <c r="L85" s="125"/>
      <c r="M85" s="125"/>
      <c r="N85" s="125"/>
      <c r="O85" s="127"/>
      <c r="P85" s="127"/>
      <c r="Q85" s="127"/>
      <c r="R85" s="127"/>
      <c r="S85" s="127"/>
      <c r="T85" s="127"/>
      <c r="U85" s="127"/>
      <c r="V85" s="128"/>
      <c r="W85" s="128"/>
      <c r="X85" s="129" t="str">
        <f t="shared" si="3"/>
        <v/>
      </c>
      <c r="Y85" s="127"/>
      <c r="Z85" s="128"/>
      <c r="AA85" s="130"/>
      <c r="AB85" s="130"/>
      <c r="AC85" s="130"/>
      <c r="AD85" s="130"/>
      <c r="AE85" s="130"/>
      <c r="AF85" s="130"/>
      <c r="AG85" s="127"/>
      <c r="AH85" s="130"/>
      <c r="AI85" s="127"/>
      <c r="AJ85" s="127"/>
      <c r="AK85" s="127"/>
    </row>
    <row r="86" spans="1:37" ht="36" customHeight="1" x14ac:dyDescent="0.25">
      <c r="A86" s="145" t="s">
        <v>766</v>
      </c>
      <c r="B86" s="126" t="str">
        <f t="shared" si="2"/>
        <v>067/2026/HĐLĐ-MAU</v>
      </c>
      <c r="C86" s="127"/>
      <c r="D86" s="127"/>
      <c r="E86" s="128"/>
      <c r="F86" s="127"/>
      <c r="G86" s="125"/>
      <c r="H86" s="128"/>
      <c r="I86" s="127"/>
      <c r="J86" s="127"/>
      <c r="K86" s="127"/>
      <c r="L86" s="125"/>
      <c r="M86" s="125"/>
      <c r="N86" s="125"/>
      <c r="O86" s="127"/>
      <c r="P86" s="127"/>
      <c r="Q86" s="127"/>
      <c r="R86" s="127"/>
      <c r="S86" s="127"/>
      <c r="T86" s="127"/>
      <c r="U86" s="127"/>
      <c r="V86" s="128"/>
      <c r="W86" s="128"/>
      <c r="X86" s="129" t="str">
        <f t="shared" si="3"/>
        <v/>
      </c>
      <c r="Y86" s="127"/>
      <c r="Z86" s="128"/>
      <c r="AA86" s="130"/>
      <c r="AB86" s="130"/>
      <c r="AC86" s="130"/>
      <c r="AD86" s="130"/>
      <c r="AE86" s="130"/>
      <c r="AF86" s="130"/>
      <c r="AG86" s="127"/>
      <c r="AH86" s="130"/>
      <c r="AI86" s="127"/>
      <c r="AJ86" s="127"/>
      <c r="AK86" s="127"/>
    </row>
    <row r="87" spans="1:37" ht="36" customHeight="1" x14ac:dyDescent="0.25">
      <c r="A87" s="145" t="s">
        <v>767</v>
      </c>
      <c r="B87" s="126" t="str">
        <f t="shared" si="2"/>
        <v>068/2026/HĐLĐ-MAU</v>
      </c>
      <c r="C87" s="127"/>
      <c r="D87" s="127"/>
      <c r="E87" s="128"/>
      <c r="F87" s="127"/>
      <c r="G87" s="125"/>
      <c r="H87" s="128"/>
      <c r="I87" s="127"/>
      <c r="J87" s="127"/>
      <c r="K87" s="127"/>
      <c r="L87" s="125"/>
      <c r="M87" s="125"/>
      <c r="N87" s="125"/>
      <c r="O87" s="127"/>
      <c r="P87" s="127"/>
      <c r="Q87" s="127"/>
      <c r="R87" s="127"/>
      <c r="S87" s="127"/>
      <c r="T87" s="127"/>
      <c r="U87" s="127"/>
      <c r="V87" s="128"/>
      <c r="W87" s="128"/>
      <c r="X87" s="129" t="str">
        <f t="shared" si="3"/>
        <v/>
      </c>
      <c r="Y87" s="127"/>
      <c r="Z87" s="128"/>
      <c r="AA87" s="130"/>
      <c r="AB87" s="130"/>
      <c r="AC87" s="130"/>
      <c r="AD87" s="130"/>
      <c r="AE87" s="130"/>
      <c r="AF87" s="130"/>
      <c r="AG87" s="127"/>
      <c r="AH87" s="130"/>
      <c r="AI87" s="127"/>
      <c r="AJ87" s="127"/>
      <c r="AK87" s="127"/>
    </row>
    <row r="88" spans="1:37" ht="36" customHeight="1" x14ac:dyDescent="0.25">
      <c r="A88" s="145" t="s">
        <v>768</v>
      </c>
      <c r="B88" s="126" t="str">
        <f t="shared" si="2"/>
        <v>069/2026/HĐLĐ-MAU</v>
      </c>
      <c r="C88" s="127"/>
      <c r="D88" s="127"/>
      <c r="E88" s="128"/>
      <c r="F88" s="127"/>
      <c r="G88" s="125"/>
      <c r="H88" s="128"/>
      <c r="I88" s="127"/>
      <c r="J88" s="127"/>
      <c r="K88" s="127"/>
      <c r="L88" s="125"/>
      <c r="M88" s="125"/>
      <c r="N88" s="125"/>
      <c r="O88" s="127"/>
      <c r="P88" s="127"/>
      <c r="Q88" s="127"/>
      <c r="R88" s="127"/>
      <c r="S88" s="127"/>
      <c r="T88" s="127"/>
      <c r="U88" s="127"/>
      <c r="V88" s="128"/>
      <c r="W88" s="128"/>
      <c r="X88" s="129" t="str">
        <f t="shared" si="3"/>
        <v/>
      </c>
      <c r="Y88" s="127"/>
      <c r="Z88" s="128"/>
      <c r="AA88" s="130"/>
      <c r="AB88" s="130"/>
      <c r="AC88" s="130"/>
      <c r="AD88" s="130"/>
      <c r="AE88" s="130"/>
      <c r="AF88" s="130"/>
      <c r="AG88" s="127"/>
      <c r="AH88" s="130"/>
      <c r="AI88" s="127"/>
      <c r="AJ88" s="127"/>
      <c r="AK88" s="127"/>
    </row>
    <row r="89" spans="1:37" ht="36" customHeight="1" x14ac:dyDescent="0.25">
      <c r="A89" s="145" t="s">
        <v>769</v>
      </c>
      <c r="B89" s="126" t="str">
        <f t="shared" si="2"/>
        <v>070/2026/HĐLĐ-MAU</v>
      </c>
      <c r="C89" s="127"/>
      <c r="D89" s="127"/>
      <c r="E89" s="128"/>
      <c r="F89" s="127"/>
      <c r="G89" s="125"/>
      <c r="H89" s="128"/>
      <c r="I89" s="127"/>
      <c r="J89" s="127"/>
      <c r="K89" s="127"/>
      <c r="L89" s="125"/>
      <c r="M89" s="125"/>
      <c r="N89" s="125"/>
      <c r="O89" s="127"/>
      <c r="P89" s="127"/>
      <c r="Q89" s="127"/>
      <c r="R89" s="127"/>
      <c r="S89" s="127"/>
      <c r="T89" s="127"/>
      <c r="U89" s="127"/>
      <c r="V89" s="128"/>
      <c r="W89" s="128"/>
      <c r="X89" s="129" t="str">
        <f t="shared" si="3"/>
        <v/>
      </c>
      <c r="Y89" s="127"/>
      <c r="Z89" s="128"/>
      <c r="AA89" s="130"/>
      <c r="AB89" s="130"/>
      <c r="AC89" s="130"/>
      <c r="AD89" s="130"/>
      <c r="AE89" s="130"/>
      <c r="AF89" s="130"/>
      <c r="AG89" s="127"/>
      <c r="AH89" s="130"/>
      <c r="AI89" s="127"/>
      <c r="AJ89" s="127"/>
      <c r="AK89" s="127"/>
    </row>
    <row r="90" spans="1:37" ht="36" customHeight="1" x14ac:dyDescent="0.25">
      <c r="A90" s="145" t="s">
        <v>770</v>
      </c>
      <c r="B90" s="126" t="str">
        <f t="shared" si="2"/>
        <v>071/2026/HĐLĐ-MAU</v>
      </c>
      <c r="C90" s="127"/>
      <c r="D90" s="127"/>
      <c r="E90" s="128"/>
      <c r="F90" s="127"/>
      <c r="G90" s="125"/>
      <c r="H90" s="128"/>
      <c r="I90" s="127"/>
      <c r="J90" s="127"/>
      <c r="K90" s="127"/>
      <c r="L90" s="125"/>
      <c r="M90" s="125"/>
      <c r="N90" s="125"/>
      <c r="O90" s="127"/>
      <c r="P90" s="127"/>
      <c r="Q90" s="127"/>
      <c r="R90" s="127"/>
      <c r="S90" s="127"/>
      <c r="T90" s="127"/>
      <c r="U90" s="127"/>
      <c r="V90" s="128"/>
      <c r="W90" s="128"/>
      <c r="X90" s="129" t="str">
        <f t="shared" si="3"/>
        <v/>
      </c>
      <c r="Y90" s="127"/>
      <c r="Z90" s="128"/>
      <c r="AA90" s="130"/>
      <c r="AB90" s="130"/>
      <c r="AC90" s="130"/>
      <c r="AD90" s="130"/>
      <c r="AE90" s="130"/>
      <c r="AF90" s="130"/>
      <c r="AG90" s="127"/>
      <c r="AH90" s="130"/>
      <c r="AI90" s="127"/>
      <c r="AJ90" s="127"/>
      <c r="AK90" s="127"/>
    </row>
    <row r="91" spans="1:37" ht="36" customHeight="1" x14ac:dyDescent="0.25">
      <c r="A91" s="145" t="s">
        <v>771</v>
      </c>
      <c r="B91" s="126" t="str">
        <f t="shared" si="2"/>
        <v>072/2026/HĐLĐ-MAU</v>
      </c>
      <c r="C91" s="127"/>
      <c r="D91" s="127"/>
      <c r="E91" s="128"/>
      <c r="F91" s="127"/>
      <c r="G91" s="125"/>
      <c r="H91" s="128"/>
      <c r="I91" s="127"/>
      <c r="J91" s="127"/>
      <c r="K91" s="127"/>
      <c r="L91" s="125"/>
      <c r="M91" s="125"/>
      <c r="N91" s="125"/>
      <c r="O91" s="127"/>
      <c r="P91" s="127"/>
      <c r="Q91" s="127"/>
      <c r="R91" s="127"/>
      <c r="S91" s="127"/>
      <c r="T91" s="127"/>
      <c r="U91" s="127"/>
      <c r="V91" s="128"/>
      <c r="W91" s="128"/>
      <c r="X91" s="129" t="str">
        <f t="shared" si="3"/>
        <v/>
      </c>
      <c r="Y91" s="127"/>
      <c r="Z91" s="128"/>
      <c r="AA91" s="130"/>
      <c r="AB91" s="130"/>
      <c r="AC91" s="130"/>
      <c r="AD91" s="130"/>
      <c r="AE91" s="130"/>
      <c r="AF91" s="130"/>
      <c r="AG91" s="127"/>
      <c r="AH91" s="130"/>
      <c r="AI91" s="127"/>
      <c r="AJ91" s="127"/>
      <c r="AK91" s="127"/>
    </row>
    <row r="92" spans="1:37" ht="36" customHeight="1" x14ac:dyDescent="0.25">
      <c r="A92" s="145" t="s">
        <v>772</v>
      </c>
      <c r="B92" s="126" t="str">
        <f t="shared" si="2"/>
        <v>073/2026/HĐLĐ-MAU</v>
      </c>
      <c r="C92" s="127"/>
      <c r="D92" s="127"/>
      <c r="E92" s="128"/>
      <c r="F92" s="127"/>
      <c r="G92" s="125"/>
      <c r="H92" s="128"/>
      <c r="I92" s="127"/>
      <c r="J92" s="127"/>
      <c r="K92" s="127"/>
      <c r="L92" s="125"/>
      <c r="M92" s="125"/>
      <c r="N92" s="125"/>
      <c r="O92" s="127"/>
      <c r="P92" s="127"/>
      <c r="Q92" s="127"/>
      <c r="R92" s="127"/>
      <c r="S92" s="127"/>
      <c r="T92" s="127"/>
      <c r="U92" s="127"/>
      <c r="V92" s="128"/>
      <c r="W92" s="128"/>
      <c r="X92" s="129" t="str">
        <f t="shared" si="3"/>
        <v/>
      </c>
      <c r="Y92" s="127"/>
      <c r="Z92" s="128"/>
      <c r="AA92" s="130"/>
      <c r="AB92" s="130"/>
      <c r="AC92" s="130"/>
      <c r="AD92" s="130"/>
      <c r="AE92" s="130"/>
      <c r="AF92" s="130"/>
      <c r="AG92" s="127"/>
      <c r="AH92" s="130"/>
      <c r="AI92" s="127"/>
      <c r="AJ92" s="127"/>
      <c r="AK92" s="127"/>
    </row>
    <row r="93" spans="1:37" ht="36" customHeight="1" x14ac:dyDescent="0.25">
      <c r="A93" s="145" t="s">
        <v>773</v>
      </c>
      <c r="B93" s="126" t="str">
        <f t="shared" si="2"/>
        <v>074/2026/HĐLĐ-MAU</v>
      </c>
      <c r="C93" s="127"/>
      <c r="D93" s="127"/>
      <c r="E93" s="128"/>
      <c r="F93" s="127"/>
      <c r="G93" s="125"/>
      <c r="H93" s="128"/>
      <c r="I93" s="127"/>
      <c r="J93" s="127"/>
      <c r="K93" s="127"/>
      <c r="L93" s="125"/>
      <c r="M93" s="125"/>
      <c r="N93" s="125"/>
      <c r="O93" s="127"/>
      <c r="P93" s="127"/>
      <c r="Q93" s="127"/>
      <c r="R93" s="127"/>
      <c r="S93" s="127"/>
      <c r="T93" s="127"/>
      <c r="U93" s="127"/>
      <c r="V93" s="128"/>
      <c r="W93" s="128"/>
      <c r="X93" s="129" t="str">
        <f t="shared" si="3"/>
        <v/>
      </c>
      <c r="Y93" s="127"/>
      <c r="Z93" s="128"/>
      <c r="AA93" s="130"/>
      <c r="AB93" s="130"/>
      <c r="AC93" s="130"/>
      <c r="AD93" s="130"/>
      <c r="AE93" s="130"/>
      <c r="AF93" s="130"/>
      <c r="AG93" s="127"/>
      <c r="AH93" s="130"/>
      <c r="AI93" s="127"/>
      <c r="AJ93" s="127"/>
      <c r="AK93" s="127"/>
    </row>
    <row r="94" spans="1:37" ht="36" customHeight="1" x14ac:dyDescent="0.25">
      <c r="A94" s="145" t="s">
        <v>774</v>
      </c>
      <c r="B94" s="126" t="str">
        <f t="shared" si="2"/>
        <v>075/2026/HĐLĐ-MAU</v>
      </c>
      <c r="C94" s="127"/>
      <c r="D94" s="127"/>
      <c r="E94" s="128"/>
      <c r="F94" s="127"/>
      <c r="G94" s="125"/>
      <c r="H94" s="128"/>
      <c r="I94" s="127"/>
      <c r="J94" s="127"/>
      <c r="K94" s="127"/>
      <c r="L94" s="125"/>
      <c r="M94" s="125"/>
      <c r="N94" s="125"/>
      <c r="O94" s="127"/>
      <c r="P94" s="127"/>
      <c r="Q94" s="127"/>
      <c r="R94" s="127"/>
      <c r="S94" s="127"/>
      <c r="T94" s="127"/>
      <c r="U94" s="127"/>
      <c r="V94" s="128"/>
      <c r="W94" s="128"/>
      <c r="X94" s="129" t="str">
        <f t="shared" si="3"/>
        <v/>
      </c>
      <c r="Y94" s="127"/>
      <c r="Z94" s="128"/>
      <c r="AA94" s="130"/>
      <c r="AB94" s="130"/>
      <c r="AC94" s="130"/>
      <c r="AD94" s="130"/>
      <c r="AE94" s="130"/>
      <c r="AF94" s="130"/>
      <c r="AG94" s="127"/>
      <c r="AH94" s="130"/>
      <c r="AI94" s="127"/>
      <c r="AJ94" s="127"/>
      <c r="AK94" s="127"/>
    </row>
    <row r="95" spans="1:37" ht="36" customHeight="1" x14ac:dyDescent="0.25">
      <c r="A95" s="145" t="s">
        <v>775</v>
      </c>
      <c r="B95" s="126" t="str">
        <f t="shared" si="2"/>
        <v>076/2026/HĐLĐ-MAU</v>
      </c>
      <c r="C95" s="127"/>
      <c r="D95" s="127"/>
      <c r="E95" s="128"/>
      <c r="F95" s="127"/>
      <c r="G95" s="125"/>
      <c r="H95" s="128"/>
      <c r="I95" s="127"/>
      <c r="J95" s="127"/>
      <c r="K95" s="127"/>
      <c r="L95" s="125"/>
      <c r="M95" s="125"/>
      <c r="N95" s="125"/>
      <c r="O95" s="127"/>
      <c r="P95" s="127"/>
      <c r="Q95" s="127"/>
      <c r="R95" s="127"/>
      <c r="S95" s="127"/>
      <c r="T95" s="127"/>
      <c r="U95" s="127"/>
      <c r="V95" s="128"/>
      <c r="W95" s="128"/>
      <c r="X95" s="129" t="str">
        <f t="shared" si="3"/>
        <v/>
      </c>
      <c r="Y95" s="127"/>
      <c r="Z95" s="128"/>
      <c r="AA95" s="130"/>
      <c r="AB95" s="130"/>
      <c r="AC95" s="130"/>
      <c r="AD95" s="130"/>
      <c r="AE95" s="130"/>
      <c r="AF95" s="130"/>
      <c r="AG95" s="127"/>
      <c r="AH95" s="130"/>
      <c r="AI95" s="127"/>
      <c r="AJ95" s="127"/>
      <c r="AK95" s="127"/>
    </row>
    <row r="96" spans="1:37" ht="36" customHeight="1" x14ac:dyDescent="0.25">
      <c r="A96" s="145" t="s">
        <v>776</v>
      </c>
      <c r="B96" s="126" t="str">
        <f t="shared" si="2"/>
        <v>077/2026/HĐLĐ-MAU</v>
      </c>
      <c r="C96" s="127"/>
      <c r="D96" s="127"/>
      <c r="E96" s="128"/>
      <c r="F96" s="127"/>
      <c r="G96" s="125"/>
      <c r="H96" s="128"/>
      <c r="I96" s="127"/>
      <c r="J96" s="127"/>
      <c r="K96" s="127"/>
      <c r="L96" s="125"/>
      <c r="M96" s="125"/>
      <c r="N96" s="125"/>
      <c r="O96" s="127"/>
      <c r="P96" s="127"/>
      <c r="Q96" s="127"/>
      <c r="R96" s="127"/>
      <c r="S96" s="127"/>
      <c r="T96" s="127"/>
      <c r="U96" s="127"/>
      <c r="V96" s="128"/>
      <c r="W96" s="128"/>
      <c r="X96" s="129" t="str">
        <f t="shared" si="3"/>
        <v/>
      </c>
      <c r="Y96" s="127"/>
      <c r="Z96" s="128"/>
      <c r="AA96" s="130"/>
      <c r="AB96" s="130"/>
      <c r="AC96" s="130"/>
      <c r="AD96" s="130"/>
      <c r="AE96" s="130"/>
      <c r="AF96" s="130"/>
      <c r="AG96" s="127"/>
      <c r="AH96" s="130"/>
      <c r="AI96" s="127"/>
      <c r="AJ96" s="127"/>
      <c r="AK96" s="127"/>
    </row>
    <row r="97" spans="1:37" ht="36" customHeight="1" x14ac:dyDescent="0.25">
      <c r="A97" s="145" t="s">
        <v>777</v>
      </c>
      <c r="B97" s="126" t="str">
        <f t="shared" si="2"/>
        <v>078/2026/HĐLĐ-MAU</v>
      </c>
      <c r="C97" s="127"/>
      <c r="D97" s="127"/>
      <c r="E97" s="128"/>
      <c r="F97" s="127"/>
      <c r="G97" s="125"/>
      <c r="H97" s="128"/>
      <c r="I97" s="127"/>
      <c r="J97" s="127"/>
      <c r="K97" s="127"/>
      <c r="L97" s="125"/>
      <c r="M97" s="125"/>
      <c r="N97" s="125"/>
      <c r="O97" s="127"/>
      <c r="P97" s="127"/>
      <c r="Q97" s="127"/>
      <c r="R97" s="127"/>
      <c r="S97" s="127"/>
      <c r="T97" s="127"/>
      <c r="U97" s="127"/>
      <c r="V97" s="128"/>
      <c r="W97" s="128"/>
      <c r="X97" s="129" t="str">
        <f t="shared" si="3"/>
        <v/>
      </c>
      <c r="Y97" s="127"/>
      <c r="Z97" s="128"/>
      <c r="AA97" s="130"/>
      <c r="AB97" s="130"/>
      <c r="AC97" s="130"/>
      <c r="AD97" s="130"/>
      <c r="AE97" s="130"/>
      <c r="AF97" s="130"/>
      <c r="AG97" s="127"/>
      <c r="AH97" s="130"/>
      <c r="AI97" s="127"/>
      <c r="AJ97" s="127"/>
      <c r="AK97" s="127"/>
    </row>
    <row r="98" spans="1:37" ht="36" customHeight="1" x14ac:dyDescent="0.25">
      <c r="A98" s="145" t="s">
        <v>778</v>
      </c>
      <c r="B98" s="126" t="str">
        <f t="shared" si="2"/>
        <v>079/2026/HĐLĐ-MAU</v>
      </c>
      <c r="C98" s="127"/>
      <c r="D98" s="127"/>
      <c r="E98" s="128"/>
      <c r="F98" s="127"/>
      <c r="G98" s="125"/>
      <c r="H98" s="128"/>
      <c r="I98" s="127"/>
      <c r="J98" s="127"/>
      <c r="K98" s="127"/>
      <c r="L98" s="125"/>
      <c r="M98" s="125"/>
      <c r="N98" s="125"/>
      <c r="O98" s="127"/>
      <c r="P98" s="127"/>
      <c r="Q98" s="127"/>
      <c r="R98" s="127"/>
      <c r="S98" s="127"/>
      <c r="T98" s="127"/>
      <c r="U98" s="127"/>
      <c r="V98" s="128"/>
      <c r="W98" s="128"/>
      <c r="X98" s="129" t="str">
        <f t="shared" si="3"/>
        <v/>
      </c>
      <c r="Y98" s="127"/>
      <c r="Z98" s="128"/>
      <c r="AA98" s="130"/>
      <c r="AB98" s="130"/>
      <c r="AC98" s="130"/>
      <c r="AD98" s="130"/>
      <c r="AE98" s="130"/>
      <c r="AF98" s="130"/>
      <c r="AG98" s="127"/>
      <c r="AH98" s="130"/>
      <c r="AI98" s="127"/>
      <c r="AJ98" s="127"/>
      <c r="AK98" s="127"/>
    </row>
    <row r="99" spans="1:37" ht="36" customHeight="1" x14ac:dyDescent="0.25">
      <c r="A99" s="145" t="s">
        <v>779</v>
      </c>
      <c r="B99" s="126" t="str">
        <f t="shared" si="2"/>
        <v>080/2026/HĐLĐ-MAU</v>
      </c>
      <c r="C99" s="127"/>
      <c r="D99" s="127"/>
      <c r="E99" s="128"/>
      <c r="F99" s="127"/>
      <c r="G99" s="125"/>
      <c r="H99" s="128"/>
      <c r="I99" s="127"/>
      <c r="J99" s="127"/>
      <c r="K99" s="127"/>
      <c r="L99" s="125"/>
      <c r="M99" s="125"/>
      <c r="N99" s="125"/>
      <c r="O99" s="127"/>
      <c r="P99" s="127"/>
      <c r="Q99" s="127"/>
      <c r="R99" s="127"/>
      <c r="S99" s="127"/>
      <c r="T99" s="127"/>
      <c r="U99" s="127"/>
      <c r="V99" s="128"/>
      <c r="W99" s="128"/>
      <c r="X99" s="129" t="str">
        <f t="shared" si="3"/>
        <v/>
      </c>
      <c r="Y99" s="127"/>
      <c r="Z99" s="128"/>
      <c r="AA99" s="130"/>
      <c r="AB99" s="130"/>
      <c r="AC99" s="130"/>
      <c r="AD99" s="130"/>
      <c r="AE99" s="130"/>
      <c r="AF99" s="130"/>
      <c r="AG99" s="127"/>
      <c r="AH99" s="130"/>
      <c r="AI99" s="127"/>
      <c r="AJ99" s="127"/>
      <c r="AK99" s="127"/>
    </row>
    <row r="100" spans="1:37" ht="36" customHeight="1" x14ac:dyDescent="0.25">
      <c r="A100" s="145" t="s">
        <v>780</v>
      </c>
      <c r="B100" s="126" t="str">
        <f t="shared" si="2"/>
        <v>081/2026/HĐLĐ-MAU</v>
      </c>
      <c r="C100" s="127"/>
      <c r="D100" s="127"/>
      <c r="E100" s="128"/>
      <c r="F100" s="127"/>
      <c r="G100" s="125"/>
      <c r="H100" s="128"/>
      <c r="I100" s="127"/>
      <c r="J100" s="127"/>
      <c r="K100" s="127"/>
      <c r="L100" s="125"/>
      <c r="M100" s="125"/>
      <c r="N100" s="125"/>
      <c r="O100" s="127"/>
      <c r="P100" s="127"/>
      <c r="Q100" s="127"/>
      <c r="R100" s="127"/>
      <c r="S100" s="127"/>
      <c r="T100" s="127"/>
      <c r="U100" s="127"/>
      <c r="V100" s="128"/>
      <c r="W100" s="128"/>
      <c r="X100" s="129" t="str">
        <f t="shared" si="3"/>
        <v/>
      </c>
      <c r="Y100" s="127"/>
      <c r="Z100" s="128"/>
      <c r="AA100" s="130"/>
      <c r="AB100" s="130"/>
      <c r="AC100" s="130"/>
      <c r="AD100" s="130"/>
      <c r="AE100" s="130"/>
      <c r="AF100" s="130"/>
      <c r="AG100" s="127"/>
      <c r="AH100" s="130"/>
      <c r="AI100" s="127"/>
      <c r="AJ100" s="127"/>
      <c r="AK100" s="127"/>
    </row>
    <row r="101" spans="1:37" ht="36" customHeight="1" x14ac:dyDescent="0.25">
      <c r="A101" s="145" t="s">
        <v>781</v>
      </c>
      <c r="B101" s="126" t="str">
        <f t="shared" si="2"/>
        <v>082/2026/HĐLĐ-MAU</v>
      </c>
      <c r="C101" s="127"/>
      <c r="D101" s="127"/>
      <c r="E101" s="128"/>
      <c r="F101" s="127"/>
      <c r="G101" s="125"/>
      <c r="H101" s="128"/>
      <c r="I101" s="127"/>
      <c r="J101" s="127"/>
      <c r="K101" s="127"/>
      <c r="L101" s="125"/>
      <c r="M101" s="125"/>
      <c r="N101" s="125"/>
      <c r="O101" s="127"/>
      <c r="P101" s="127"/>
      <c r="Q101" s="127"/>
      <c r="R101" s="127"/>
      <c r="S101" s="127"/>
      <c r="T101" s="127"/>
      <c r="U101" s="127"/>
      <c r="V101" s="128"/>
      <c r="W101" s="128"/>
      <c r="X101" s="129" t="str">
        <f t="shared" si="3"/>
        <v/>
      </c>
      <c r="Y101" s="127"/>
      <c r="Z101" s="128"/>
      <c r="AA101" s="130"/>
      <c r="AB101" s="130"/>
      <c r="AC101" s="130"/>
      <c r="AD101" s="130"/>
      <c r="AE101" s="130"/>
      <c r="AF101" s="130"/>
      <c r="AG101" s="127"/>
      <c r="AH101" s="130"/>
      <c r="AI101" s="127"/>
      <c r="AJ101" s="127"/>
      <c r="AK101" s="127"/>
    </row>
    <row r="102" spans="1:37" ht="36" customHeight="1" x14ac:dyDescent="0.25">
      <c r="A102" s="145" t="s">
        <v>782</v>
      </c>
      <c r="B102" s="126" t="str">
        <f t="shared" si="2"/>
        <v>083/2026/HĐLĐ-MAU</v>
      </c>
      <c r="C102" s="127"/>
      <c r="D102" s="127"/>
      <c r="E102" s="128"/>
      <c r="F102" s="127"/>
      <c r="G102" s="125"/>
      <c r="H102" s="128"/>
      <c r="I102" s="127"/>
      <c r="J102" s="127"/>
      <c r="K102" s="127"/>
      <c r="L102" s="125"/>
      <c r="M102" s="125"/>
      <c r="N102" s="125"/>
      <c r="O102" s="127"/>
      <c r="P102" s="127"/>
      <c r="Q102" s="127"/>
      <c r="R102" s="127"/>
      <c r="S102" s="127"/>
      <c r="T102" s="127"/>
      <c r="U102" s="127"/>
      <c r="V102" s="128"/>
      <c r="W102" s="128"/>
      <c r="X102" s="129" t="str">
        <f t="shared" si="3"/>
        <v/>
      </c>
      <c r="Y102" s="127"/>
      <c r="Z102" s="128"/>
      <c r="AA102" s="130"/>
      <c r="AB102" s="130"/>
      <c r="AC102" s="130"/>
      <c r="AD102" s="130"/>
      <c r="AE102" s="130"/>
      <c r="AF102" s="130"/>
      <c r="AG102" s="127"/>
      <c r="AH102" s="130"/>
      <c r="AI102" s="127"/>
      <c r="AJ102" s="127"/>
      <c r="AK102" s="127"/>
    </row>
    <row r="103" spans="1:37" ht="36" customHeight="1" x14ac:dyDescent="0.25">
      <c r="A103" s="145" t="s">
        <v>783</v>
      </c>
      <c r="B103" s="126" t="str">
        <f t="shared" si="2"/>
        <v>084/2026/HĐLĐ-MAU</v>
      </c>
      <c r="C103" s="127"/>
      <c r="D103" s="127"/>
      <c r="E103" s="128"/>
      <c r="F103" s="127"/>
      <c r="G103" s="125"/>
      <c r="H103" s="128"/>
      <c r="I103" s="127"/>
      <c r="J103" s="127"/>
      <c r="K103" s="127"/>
      <c r="L103" s="125"/>
      <c r="M103" s="125"/>
      <c r="N103" s="125"/>
      <c r="O103" s="127"/>
      <c r="P103" s="127"/>
      <c r="Q103" s="127"/>
      <c r="R103" s="127"/>
      <c r="S103" s="127"/>
      <c r="T103" s="127"/>
      <c r="U103" s="127"/>
      <c r="V103" s="128"/>
      <c r="W103" s="128"/>
      <c r="X103" s="129" t="str">
        <f t="shared" si="3"/>
        <v/>
      </c>
      <c r="Y103" s="127"/>
      <c r="Z103" s="128"/>
      <c r="AA103" s="130"/>
      <c r="AB103" s="130"/>
      <c r="AC103" s="130"/>
      <c r="AD103" s="130"/>
      <c r="AE103" s="130"/>
      <c r="AF103" s="130"/>
      <c r="AG103" s="127"/>
      <c r="AH103" s="130"/>
      <c r="AI103" s="127"/>
      <c r="AJ103" s="127"/>
      <c r="AK103" s="127"/>
    </row>
    <row r="104" spans="1:37" ht="36" customHeight="1" x14ac:dyDescent="0.25">
      <c r="A104" s="145" t="s">
        <v>784</v>
      </c>
      <c r="B104" s="126" t="str">
        <f t="shared" si="2"/>
        <v>085/2026/HĐLĐ-MAU</v>
      </c>
      <c r="C104" s="127"/>
      <c r="D104" s="127"/>
      <c r="E104" s="128"/>
      <c r="F104" s="127"/>
      <c r="G104" s="125"/>
      <c r="H104" s="128"/>
      <c r="I104" s="127"/>
      <c r="J104" s="127"/>
      <c r="K104" s="127"/>
      <c r="L104" s="125"/>
      <c r="M104" s="125"/>
      <c r="N104" s="125"/>
      <c r="O104" s="127"/>
      <c r="P104" s="127"/>
      <c r="Q104" s="127"/>
      <c r="R104" s="127"/>
      <c r="S104" s="127"/>
      <c r="T104" s="127"/>
      <c r="U104" s="127"/>
      <c r="V104" s="128"/>
      <c r="W104" s="128"/>
      <c r="X104" s="129" t="str">
        <f t="shared" si="3"/>
        <v/>
      </c>
      <c r="Y104" s="127"/>
      <c r="Z104" s="128"/>
      <c r="AA104" s="130"/>
      <c r="AB104" s="130"/>
      <c r="AC104" s="130"/>
      <c r="AD104" s="130"/>
      <c r="AE104" s="130"/>
      <c r="AF104" s="130"/>
      <c r="AG104" s="127"/>
      <c r="AH104" s="130"/>
      <c r="AI104" s="127"/>
      <c r="AJ104" s="127"/>
      <c r="AK104" s="127"/>
    </row>
    <row r="105" spans="1:37" ht="36" customHeight="1" x14ac:dyDescent="0.25">
      <c r="A105" s="145" t="s">
        <v>785</v>
      </c>
      <c r="B105" s="126" t="str">
        <f t="shared" si="2"/>
        <v>086/2026/HĐLĐ-MAU</v>
      </c>
      <c r="C105" s="127"/>
      <c r="D105" s="127"/>
      <c r="E105" s="128"/>
      <c r="F105" s="127"/>
      <c r="G105" s="125"/>
      <c r="H105" s="128"/>
      <c r="I105" s="127"/>
      <c r="J105" s="127"/>
      <c r="K105" s="127"/>
      <c r="L105" s="125"/>
      <c r="M105" s="125"/>
      <c r="N105" s="125"/>
      <c r="O105" s="127"/>
      <c r="P105" s="127"/>
      <c r="Q105" s="127"/>
      <c r="R105" s="127"/>
      <c r="S105" s="127"/>
      <c r="T105" s="127"/>
      <c r="U105" s="127"/>
      <c r="V105" s="128"/>
      <c r="W105" s="128"/>
      <c r="X105" s="129" t="str">
        <f t="shared" si="3"/>
        <v/>
      </c>
      <c r="Y105" s="127"/>
      <c r="Z105" s="128"/>
      <c r="AA105" s="130"/>
      <c r="AB105" s="130"/>
      <c r="AC105" s="130"/>
      <c r="AD105" s="130"/>
      <c r="AE105" s="130"/>
      <c r="AF105" s="130"/>
      <c r="AG105" s="127"/>
      <c r="AH105" s="130"/>
      <c r="AI105" s="127"/>
      <c r="AJ105" s="127"/>
      <c r="AK105" s="127"/>
    </row>
    <row r="106" spans="1:37" ht="36" customHeight="1" x14ac:dyDescent="0.25">
      <c r="A106" s="145" t="s">
        <v>786</v>
      </c>
      <c r="B106" s="126" t="str">
        <f t="shared" si="2"/>
        <v>087/2026/HĐLĐ-MAU</v>
      </c>
      <c r="C106" s="127"/>
      <c r="D106" s="127"/>
      <c r="E106" s="128"/>
      <c r="F106" s="127"/>
      <c r="G106" s="125"/>
      <c r="H106" s="128"/>
      <c r="I106" s="127"/>
      <c r="J106" s="127"/>
      <c r="K106" s="127"/>
      <c r="L106" s="125"/>
      <c r="M106" s="125"/>
      <c r="N106" s="125"/>
      <c r="O106" s="127"/>
      <c r="P106" s="127"/>
      <c r="Q106" s="127"/>
      <c r="R106" s="127"/>
      <c r="S106" s="127"/>
      <c r="T106" s="127"/>
      <c r="U106" s="127"/>
      <c r="V106" s="128"/>
      <c r="W106" s="128"/>
      <c r="X106" s="129" t="str">
        <f t="shared" si="3"/>
        <v/>
      </c>
      <c r="Y106" s="127"/>
      <c r="Z106" s="128"/>
      <c r="AA106" s="130"/>
      <c r="AB106" s="130"/>
      <c r="AC106" s="130"/>
      <c r="AD106" s="130"/>
      <c r="AE106" s="130"/>
      <c r="AF106" s="130"/>
      <c r="AG106" s="127"/>
      <c r="AH106" s="130"/>
      <c r="AI106" s="127"/>
      <c r="AJ106" s="127"/>
      <c r="AK106" s="127"/>
    </row>
    <row r="107" spans="1:37" ht="36" customHeight="1" x14ac:dyDescent="0.25">
      <c r="A107" s="145" t="s">
        <v>787</v>
      </c>
      <c r="B107" s="126" t="str">
        <f t="shared" si="2"/>
        <v>088/2026/HĐLĐ-MAU</v>
      </c>
      <c r="C107" s="127"/>
      <c r="D107" s="127"/>
      <c r="E107" s="128"/>
      <c r="F107" s="127"/>
      <c r="G107" s="125"/>
      <c r="H107" s="128"/>
      <c r="I107" s="127"/>
      <c r="J107" s="127"/>
      <c r="K107" s="127"/>
      <c r="L107" s="125"/>
      <c r="M107" s="125"/>
      <c r="N107" s="125"/>
      <c r="O107" s="127"/>
      <c r="P107" s="127"/>
      <c r="Q107" s="127"/>
      <c r="R107" s="127"/>
      <c r="S107" s="127"/>
      <c r="T107" s="127"/>
      <c r="U107" s="127"/>
      <c r="V107" s="128"/>
      <c r="W107" s="128"/>
      <c r="X107" s="129" t="str">
        <f t="shared" si="3"/>
        <v/>
      </c>
      <c r="Y107" s="127"/>
      <c r="Z107" s="128"/>
      <c r="AA107" s="130"/>
      <c r="AB107" s="130"/>
      <c r="AC107" s="130"/>
      <c r="AD107" s="130"/>
      <c r="AE107" s="130"/>
      <c r="AF107" s="130"/>
      <c r="AG107" s="127"/>
      <c r="AH107" s="130"/>
      <c r="AI107" s="127"/>
      <c r="AJ107" s="127"/>
      <c r="AK107" s="127"/>
    </row>
    <row r="108" spans="1:37" ht="36" customHeight="1" x14ac:dyDescent="0.25">
      <c r="A108" s="145" t="s">
        <v>788</v>
      </c>
      <c r="B108" s="126" t="str">
        <f t="shared" si="2"/>
        <v>089/2026/HĐLĐ-MAU</v>
      </c>
      <c r="C108" s="127"/>
      <c r="D108" s="127"/>
      <c r="E108" s="128"/>
      <c r="F108" s="127"/>
      <c r="G108" s="125"/>
      <c r="H108" s="128"/>
      <c r="I108" s="127"/>
      <c r="J108" s="127"/>
      <c r="K108" s="127"/>
      <c r="L108" s="125"/>
      <c r="M108" s="125"/>
      <c r="N108" s="125"/>
      <c r="O108" s="127"/>
      <c r="P108" s="127"/>
      <c r="Q108" s="127"/>
      <c r="R108" s="127"/>
      <c r="S108" s="127"/>
      <c r="T108" s="127"/>
      <c r="U108" s="127"/>
      <c r="V108" s="128"/>
      <c r="W108" s="128"/>
      <c r="X108" s="129" t="str">
        <f t="shared" si="3"/>
        <v/>
      </c>
      <c r="Y108" s="127"/>
      <c r="Z108" s="128"/>
      <c r="AA108" s="130"/>
      <c r="AB108" s="130"/>
      <c r="AC108" s="130"/>
      <c r="AD108" s="130"/>
      <c r="AE108" s="130"/>
      <c r="AF108" s="130"/>
      <c r="AG108" s="127"/>
      <c r="AH108" s="130"/>
      <c r="AI108" s="127"/>
      <c r="AJ108" s="127"/>
      <c r="AK108" s="127"/>
    </row>
    <row r="109" spans="1:37" ht="36" customHeight="1" x14ac:dyDescent="0.25">
      <c r="A109" s="145" t="s">
        <v>789</v>
      </c>
      <c r="B109" s="126" t="str">
        <f t="shared" si="2"/>
        <v>090/2026/HĐLĐ-MAU</v>
      </c>
      <c r="C109" s="127"/>
      <c r="D109" s="127"/>
      <c r="E109" s="128"/>
      <c r="F109" s="127"/>
      <c r="G109" s="125"/>
      <c r="H109" s="128"/>
      <c r="I109" s="127"/>
      <c r="J109" s="127"/>
      <c r="K109" s="127"/>
      <c r="L109" s="125"/>
      <c r="M109" s="125"/>
      <c r="N109" s="125"/>
      <c r="O109" s="127"/>
      <c r="P109" s="127"/>
      <c r="Q109" s="127"/>
      <c r="R109" s="127"/>
      <c r="S109" s="127"/>
      <c r="T109" s="127"/>
      <c r="U109" s="127"/>
      <c r="V109" s="128"/>
      <c r="W109" s="128"/>
      <c r="X109" s="129" t="str">
        <f t="shared" si="3"/>
        <v/>
      </c>
      <c r="Y109" s="127"/>
      <c r="Z109" s="128"/>
      <c r="AA109" s="130"/>
      <c r="AB109" s="130"/>
      <c r="AC109" s="130"/>
      <c r="AD109" s="130"/>
      <c r="AE109" s="130"/>
      <c r="AF109" s="130"/>
      <c r="AG109" s="127"/>
      <c r="AH109" s="130"/>
      <c r="AI109" s="127"/>
      <c r="AJ109" s="127"/>
      <c r="AK109" s="127"/>
    </row>
    <row r="110" spans="1:37" ht="36" customHeight="1" x14ac:dyDescent="0.25">
      <c r="A110" s="145" t="s">
        <v>790</v>
      </c>
      <c r="B110" s="126" t="str">
        <f t="shared" si="2"/>
        <v>091/2026/HĐLĐ-MAU</v>
      </c>
      <c r="C110" s="127"/>
      <c r="D110" s="127"/>
      <c r="E110" s="128"/>
      <c r="F110" s="127"/>
      <c r="G110" s="125"/>
      <c r="H110" s="128"/>
      <c r="I110" s="127"/>
      <c r="J110" s="127"/>
      <c r="K110" s="127"/>
      <c r="L110" s="125"/>
      <c r="M110" s="125"/>
      <c r="N110" s="125"/>
      <c r="O110" s="127"/>
      <c r="P110" s="127"/>
      <c r="Q110" s="127"/>
      <c r="R110" s="127"/>
      <c r="S110" s="127"/>
      <c r="T110" s="127"/>
      <c r="U110" s="127"/>
      <c r="V110" s="128"/>
      <c r="W110" s="128"/>
      <c r="X110" s="129" t="str">
        <f t="shared" si="3"/>
        <v/>
      </c>
      <c r="Y110" s="127"/>
      <c r="Z110" s="128"/>
      <c r="AA110" s="130"/>
      <c r="AB110" s="130"/>
      <c r="AC110" s="130"/>
      <c r="AD110" s="130"/>
      <c r="AE110" s="130"/>
      <c r="AF110" s="130"/>
      <c r="AG110" s="127"/>
      <c r="AH110" s="130"/>
      <c r="AI110" s="127"/>
      <c r="AJ110" s="127"/>
      <c r="AK110" s="127"/>
    </row>
    <row r="111" spans="1:37" ht="36" customHeight="1" x14ac:dyDescent="0.25">
      <c r="A111" s="145" t="s">
        <v>791</v>
      </c>
      <c r="B111" s="126" t="str">
        <f t="shared" si="2"/>
        <v>092/2026/HĐLĐ-MAU</v>
      </c>
      <c r="C111" s="127"/>
      <c r="D111" s="127"/>
      <c r="E111" s="128"/>
      <c r="F111" s="127"/>
      <c r="G111" s="125"/>
      <c r="H111" s="128"/>
      <c r="I111" s="127"/>
      <c r="J111" s="127"/>
      <c r="K111" s="127"/>
      <c r="L111" s="125"/>
      <c r="M111" s="125"/>
      <c r="N111" s="125"/>
      <c r="O111" s="127"/>
      <c r="P111" s="127"/>
      <c r="Q111" s="127"/>
      <c r="R111" s="127"/>
      <c r="S111" s="127"/>
      <c r="T111" s="127"/>
      <c r="U111" s="127"/>
      <c r="V111" s="128"/>
      <c r="W111" s="128"/>
      <c r="X111" s="129" t="str">
        <f t="shared" si="3"/>
        <v/>
      </c>
      <c r="Y111" s="127"/>
      <c r="Z111" s="128"/>
      <c r="AA111" s="130"/>
      <c r="AB111" s="130"/>
      <c r="AC111" s="130"/>
      <c r="AD111" s="130"/>
      <c r="AE111" s="130"/>
      <c r="AF111" s="130"/>
      <c r="AG111" s="127"/>
      <c r="AH111" s="130"/>
      <c r="AI111" s="127"/>
      <c r="AJ111" s="127"/>
      <c r="AK111" s="127"/>
    </row>
    <row r="112" spans="1:37" ht="36" customHeight="1" x14ac:dyDescent="0.25">
      <c r="A112" s="145" t="s">
        <v>792</v>
      </c>
      <c r="B112" s="126" t="str">
        <f t="shared" si="2"/>
        <v>093/2026/HĐLĐ-MAU</v>
      </c>
      <c r="C112" s="127"/>
      <c r="D112" s="127"/>
      <c r="E112" s="128"/>
      <c r="F112" s="127"/>
      <c r="G112" s="125"/>
      <c r="H112" s="128"/>
      <c r="I112" s="127"/>
      <c r="J112" s="127"/>
      <c r="K112" s="127"/>
      <c r="L112" s="125"/>
      <c r="M112" s="125"/>
      <c r="N112" s="125"/>
      <c r="O112" s="127"/>
      <c r="P112" s="127"/>
      <c r="Q112" s="127"/>
      <c r="R112" s="127"/>
      <c r="S112" s="127"/>
      <c r="T112" s="127"/>
      <c r="U112" s="127"/>
      <c r="V112" s="128"/>
      <c r="W112" s="128"/>
      <c r="X112" s="129" t="str">
        <f t="shared" si="3"/>
        <v/>
      </c>
      <c r="Y112" s="127"/>
      <c r="Z112" s="128"/>
      <c r="AA112" s="130"/>
      <c r="AB112" s="130"/>
      <c r="AC112" s="130"/>
      <c r="AD112" s="130"/>
      <c r="AE112" s="130"/>
      <c r="AF112" s="130"/>
      <c r="AG112" s="127"/>
      <c r="AH112" s="130"/>
      <c r="AI112" s="127"/>
      <c r="AJ112" s="127"/>
      <c r="AK112" s="127"/>
    </row>
    <row r="113" spans="1:37" ht="36" customHeight="1" x14ac:dyDescent="0.25">
      <c r="A113" s="145" t="s">
        <v>793</v>
      </c>
      <c r="B113" s="126" t="str">
        <f t="shared" si="2"/>
        <v>094/2026/HĐLĐ-MAU</v>
      </c>
      <c r="C113" s="127"/>
      <c r="D113" s="127"/>
      <c r="E113" s="128"/>
      <c r="F113" s="127"/>
      <c r="G113" s="125"/>
      <c r="H113" s="128"/>
      <c r="I113" s="127"/>
      <c r="J113" s="127"/>
      <c r="K113" s="127"/>
      <c r="L113" s="125"/>
      <c r="M113" s="125"/>
      <c r="N113" s="125"/>
      <c r="O113" s="127"/>
      <c r="P113" s="127"/>
      <c r="Q113" s="127"/>
      <c r="R113" s="127"/>
      <c r="S113" s="127"/>
      <c r="T113" s="127"/>
      <c r="U113" s="127"/>
      <c r="V113" s="128"/>
      <c r="W113" s="128"/>
      <c r="X113" s="129" t="str">
        <f t="shared" si="3"/>
        <v/>
      </c>
      <c r="Y113" s="127"/>
      <c r="Z113" s="128"/>
      <c r="AA113" s="130"/>
      <c r="AB113" s="130"/>
      <c r="AC113" s="130"/>
      <c r="AD113" s="130"/>
      <c r="AE113" s="130"/>
      <c r="AF113" s="130"/>
      <c r="AG113" s="127"/>
      <c r="AH113" s="130"/>
      <c r="AI113" s="127"/>
      <c r="AJ113" s="127"/>
      <c r="AK113" s="127"/>
    </row>
    <row r="114" spans="1:37" ht="36" customHeight="1" x14ac:dyDescent="0.25">
      <c r="A114" s="145" t="s">
        <v>794</v>
      </c>
      <c r="B114" s="126" t="str">
        <f t="shared" si="2"/>
        <v>095/2026/HĐLĐ-MAU</v>
      </c>
      <c r="C114" s="127"/>
      <c r="D114" s="127"/>
      <c r="E114" s="128"/>
      <c r="F114" s="127"/>
      <c r="G114" s="125"/>
      <c r="H114" s="128"/>
      <c r="I114" s="127"/>
      <c r="J114" s="127"/>
      <c r="K114" s="127"/>
      <c r="L114" s="125"/>
      <c r="M114" s="125"/>
      <c r="N114" s="125"/>
      <c r="O114" s="127"/>
      <c r="P114" s="127"/>
      <c r="Q114" s="127"/>
      <c r="R114" s="127"/>
      <c r="S114" s="127"/>
      <c r="T114" s="127"/>
      <c r="U114" s="127"/>
      <c r="V114" s="128"/>
      <c r="W114" s="128"/>
      <c r="X114" s="129" t="str">
        <f t="shared" si="3"/>
        <v/>
      </c>
      <c r="Y114" s="127"/>
      <c r="Z114" s="128"/>
      <c r="AA114" s="130"/>
      <c r="AB114" s="130"/>
      <c r="AC114" s="130"/>
      <c r="AD114" s="130"/>
      <c r="AE114" s="130"/>
      <c r="AF114" s="130"/>
      <c r="AG114" s="127"/>
      <c r="AH114" s="130"/>
      <c r="AI114" s="127"/>
      <c r="AJ114" s="127"/>
      <c r="AK114" s="127"/>
    </row>
    <row r="115" spans="1:37" ht="36" customHeight="1" x14ac:dyDescent="0.25">
      <c r="A115" s="145" t="s">
        <v>795</v>
      </c>
      <c r="B115" s="126" t="str">
        <f t="shared" si="2"/>
        <v>096/2026/HĐLĐ-MAU</v>
      </c>
      <c r="C115" s="127"/>
      <c r="D115" s="127"/>
      <c r="E115" s="128"/>
      <c r="F115" s="127"/>
      <c r="G115" s="125"/>
      <c r="H115" s="128"/>
      <c r="I115" s="127"/>
      <c r="J115" s="127"/>
      <c r="K115" s="127"/>
      <c r="L115" s="125"/>
      <c r="M115" s="125"/>
      <c r="N115" s="125"/>
      <c r="O115" s="127"/>
      <c r="P115" s="127"/>
      <c r="Q115" s="127"/>
      <c r="R115" s="127"/>
      <c r="S115" s="127"/>
      <c r="T115" s="127"/>
      <c r="U115" s="127"/>
      <c r="V115" s="128"/>
      <c r="W115" s="128"/>
      <c r="X115" s="129" t="str">
        <f t="shared" si="3"/>
        <v/>
      </c>
      <c r="Y115" s="127"/>
      <c r="Z115" s="128"/>
      <c r="AA115" s="130"/>
      <c r="AB115" s="130"/>
      <c r="AC115" s="130"/>
      <c r="AD115" s="130"/>
      <c r="AE115" s="130"/>
      <c r="AF115" s="130"/>
      <c r="AG115" s="127"/>
      <c r="AH115" s="130"/>
      <c r="AI115" s="127"/>
      <c r="AJ115" s="127"/>
      <c r="AK115" s="127"/>
    </row>
    <row r="116" spans="1:37" ht="36" customHeight="1" x14ac:dyDescent="0.25">
      <c r="A116" s="145" t="s">
        <v>796</v>
      </c>
      <c r="B116" s="126" t="str">
        <f t="shared" si="2"/>
        <v>097/2026/HĐLĐ-MAU</v>
      </c>
      <c r="C116" s="127"/>
      <c r="D116" s="127"/>
      <c r="E116" s="128"/>
      <c r="F116" s="127"/>
      <c r="G116" s="125"/>
      <c r="H116" s="128"/>
      <c r="I116" s="127"/>
      <c r="J116" s="127"/>
      <c r="K116" s="127"/>
      <c r="L116" s="125"/>
      <c r="M116" s="125"/>
      <c r="N116" s="125"/>
      <c r="O116" s="127"/>
      <c r="P116" s="127"/>
      <c r="Q116" s="127"/>
      <c r="R116" s="127"/>
      <c r="S116" s="127"/>
      <c r="T116" s="127"/>
      <c r="U116" s="127"/>
      <c r="V116" s="128"/>
      <c r="W116" s="128"/>
      <c r="X116" s="129" t="str">
        <f t="shared" si="3"/>
        <v/>
      </c>
      <c r="Y116" s="127"/>
      <c r="Z116" s="128"/>
      <c r="AA116" s="130"/>
      <c r="AB116" s="130"/>
      <c r="AC116" s="130"/>
      <c r="AD116" s="130"/>
      <c r="AE116" s="130"/>
      <c r="AF116" s="130"/>
      <c r="AG116" s="127"/>
      <c r="AH116" s="130"/>
      <c r="AI116" s="127"/>
      <c r="AJ116" s="127"/>
      <c r="AK116" s="127"/>
    </row>
    <row r="117" spans="1:37" ht="36" customHeight="1" x14ac:dyDescent="0.25">
      <c r="A117" s="145" t="s">
        <v>797</v>
      </c>
      <c r="B117" s="126" t="str">
        <f t="shared" si="2"/>
        <v>098/2026/HĐLĐ-MAU</v>
      </c>
      <c r="C117" s="127"/>
      <c r="D117" s="127"/>
      <c r="E117" s="128"/>
      <c r="F117" s="127"/>
      <c r="G117" s="125"/>
      <c r="H117" s="128"/>
      <c r="I117" s="127"/>
      <c r="J117" s="127"/>
      <c r="K117" s="127"/>
      <c r="L117" s="125"/>
      <c r="M117" s="125"/>
      <c r="N117" s="125"/>
      <c r="O117" s="127"/>
      <c r="P117" s="127"/>
      <c r="Q117" s="127"/>
      <c r="R117" s="127"/>
      <c r="S117" s="127"/>
      <c r="T117" s="127"/>
      <c r="U117" s="127"/>
      <c r="V117" s="128"/>
      <c r="W117" s="128"/>
      <c r="X117" s="129" t="str">
        <f t="shared" si="3"/>
        <v/>
      </c>
      <c r="Y117" s="127"/>
      <c r="Z117" s="128"/>
      <c r="AA117" s="130"/>
      <c r="AB117" s="130"/>
      <c r="AC117" s="130"/>
      <c r="AD117" s="130"/>
      <c r="AE117" s="130"/>
      <c r="AF117" s="130"/>
      <c r="AG117" s="127"/>
      <c r="AH117" s="130"/>
      <c r="AI117" s="127"/>
      <c r="AJ117" s="127"/>
      <c r="AK117" s="127"/>
    </row>
    <row r="118" spans="1:37" ht="36" customHeight="1" x14ac:dyDescent="0.25">
      <c r="A118" s="145" t="s">
        <v>798</v>
      </c>
      <c r="B118" s="126" t="str">
        <f t="shared" si="2"/>
        <v>099/2026/HĐLĐ-MAU</v>
      </c>
      <c r="C118" s="127"/>
      <c r="D118" s="127"/>
      <c r="E118" s="128"/>
      <c r="F118" s="127"/>
      <c r="G118" s="125"/>
      <c r="H118" s="128"/>
      <c r="I118" s="127"/>
      <c r="J118" s="127"/>
      <c r="K118" s="127"/>
      <c r="L118" s="125"/>
      <c r="M118" s="125"/>
      <c r="N118" s="125"/>
      <c r="O118" s="127"/>
      <c r="P118" s="127"/>
      <c r="Q118" s="127"/>
      <c r="R118" s="127"/>
      <c r="S118" s="127"/>
      <c r="T118" s="127"/>
      <c r="U118" s="127"/>
      <c r="V118" s="128"/>
      <c r="W118" s="128"/>
      <c r="X118" s="129" t="str">
        <f t="shared" si="3"/>
        <v/>
      </c>
      <c r="Y118" s="127"/>
      <c r="Z118" s="128"/>
      <c r="AA118" s="130"/>
      <c r="AB118" s="130"/>
      <c r="AC118" s="130"/>
      <c r="AD118" s="130"/>
      <c r="AE118" s="130"/>
      <c r="AF118" s="130"/>
      <c r="AG118" s="127"/>
      <c r="AH118" s="130"/>
      <c r="AI118" s="127"/>
      <c r="AJ118" s="127"/>
      <c r="AK118" s="127"/>
    </row>
    <row r="119" spans="1:37" ht="36" customHeight="1" x14ac:dyDescent="0.25">
      <c r="A119" s="145" t="s">
        <v>799</v>
      </c>
      <c r="B119" s="126" t="str">
        <f t="shared" si="2"/>
        <v>100/2026/HĐLĐ-MAU</v>
      </c>
      <c r="C119" s="127"/>
      <c r="D119" s="127"/>
      <c r="E119" s="128"/>
      <c r="F119" s="127"/>
      <c r="G119" s="125"/>
      <c r="H119" s="128"/>
      <c r="I119" s="127"/>
      <c r="J119" s="127"/>
      <c r="K119" s="127"/>
      <c r="L119" s="125"/>
      <c r="M119" s="125"/>
      <c r="N119" s="125"/>
      <c r="O119" s="127"/>
      <c r="P119" s="127"/>
      <c r="Q119" s="127"/>
      <c r="R119" s="127"/>
      <c r="S119" s="127"/>
      <c r="T119" s="127"/>
      <c r="U119" s="127"/>
      <c r="V119" s="128"/>
      <c r="W119" s="128"/>
      <c r="X119" s="129" t="str">
        <f t="shared" si="3"/>
        <v/>
      </c>
      <c r="Y119" s="127"/>
      <c r="Z119" s="128"/>
      <c r="AA119" s="130"/>
      <c r="AB119" s="130"/>
      <c r="AC119" s="130"/>
      <c r="AD119" s="130"/>
      <c r="AE119" s="130"/>
      <c r="AF119" s="130"/>
      <c r="AG119" s="127"/>
      <c r="AH119" s="130"/>
      <c r="AI119" s="127"/>
      <c r="AJ119" s="127"/>
      <c r="AK119" s="127"/>
    </row>
    <row r="120" spans="1:37" ht="36" customHeight="1" x14ac:dyDescent="0.25">
      <c r="A120" s="145" t="s">
        <v>800</v>
      </c>
      <c r="B120" s="126" t="str">
        <f t="shared" si="2"/>
        <v>101/2026/HĐLĐ-MAU</v>
      </c>
      <c r="C120" s="127"/>
      <c r="D120" s="127"/>
      <c r="E120" s="128"/>
      <c r="F120" s="127"/>
      <c r="G120" s="125"/>
      <c r="H120" s="128"/>
      <c r="I120" s="127"/>
      <c r="J120" s="127"/>
      <c r="K120" s="127"/>
      <c r="L120" s="125"/>
      <c r="M120" s="125"/>
      <c r="N120" s="125"/>
      <c r="O120" s="127"/>
      <c r="P120" s="127"/>
      <c r="Q120" s="127"/>
      <c r="R120" s="127"/>
      <c r="S120" s="127"/>
      <c r="T120" s="127"/>
      <c r="U120" s="127"/>
      <c r="V120" s="128"/>
      <c r="W120" s="128"/>
      <c r="X120" s="129" t="str">
        <f t="shared" si="3"/>
        <v/>
      </c>
      <c r="Y120" s="127"/>
      <c r="Z120" s="128"/>
      <c r="AA120" s="130"/>
      <c r="AB120" s="130"/>
      <c r="AC120" s="130"/>
      <c r="AD120" s="130"/>
      <c r="AE120" s="130"/>
      <c r="AF120" s="130"/>
      <c r="AG120" s="127"/>
      <c r="AH120" s="130"/>
      <c r="AI120" s="127"/>
      <c r="AJ120" s="127"/>
      <c r="AK120" s="127"/>
    </row>
    <row r="121" spans="1:37" ht="36" customHeight="1" x14ac:dyDescent="0.25">
      <c r="A121" s="145" t="s">
        <v>801</v>
      </c>
      <c r="B121" s="126" t="str">
        <f t="shared" si="2"/>
        <v>102/2026/HĐLĐ-MAU</v>
      </c>
      <c r="C121" s="127"/>
      <c r="D121" s="127"/>
      <c r="E121" s="128"/>
      <c r="F121" s="127"/>
      <c r="G121" s="125"/>
      <c r="H121" s="128"/>
      <c r="I121" s="127"/>
      <c r="J121" s="127"/>
      <c r="K121" s="127"/>
      <c r="L121" s="125"/>
      <c r="M121" s="125"/>
      <c r="N121" s="125"/>
      <c r="O121" s="127"/>
      <c r="P121" s="127"/>
      <c r="Q121" s="127"/>
      <c r="R121" s="127"/>
      <c r="S121" s="127"/>
      <c r="T121" s="127"/>
      <c r="U121" s="127"/>
      <c r="V121" s="128"/>
      <c r="W121" s="128"/>
      <c r="X121" s="129" t="str">
        <f t="shared" si="3"/>
        <v/>
      </c>
      <c r="Y121" s="127"/>
      <c r="Z121" s="128"/>
      <c r="AA121" s="130"/>
      <c r="AB121" s="130"/>
      <c r="AC121" s="130"/>
      <c r="AD121" s="130"/>
      <c r="AE121" s="130"/>
      <c r="AF121" s="130"/>
      <c r="AG121" s="127"/>
      <c r="AH121" s="130"/>
      <c r="AI121" s="127"/>
      <c r="AJ121" s="127"/>
      <c r="AK121" s="127"/>
    </row>
    <row r="122" spans="1:37" ht="36" customHeight="1" x14ac:dyDescent="0.25">
      <c r="A122" s="145" t="s">
        <v>802</v>
      </c>
      <c r="B122" s="126" t="str">
        <f t="shared" si="2"/>
        <v>103/2026/HĐLĐ-MAU</v>
      </c>
      <c r="C122" s="127"/>
      <c r="D122" s="127"/>
      <c r="E122" s="128"/>
      <c r="F122" s="127"/>
      <c r="G122" s="125"/>
      <c r="H122" s="128"/>
      <c r="I122" s="127"/>
      <c r="J122" s="127"/>
      <c r="K122" s="127"/>
      <c r="L122" s="125"/>
      <c r="M122" s="125"/>
      <c r="N122" s="125"/>
      <c r="O122" s="127"/>
      <c r="P122" s="127"/>
      <c r="Q122" s="127"/>
      <c r="R122" s="127"/>
      <c r="S122" s="127"/>
      <c r="T122" s="127"/>
      <c r="U122" s="127"/>
      <c r="V122" s="128"/>
      <c r="W122" s="128"/>
      <c r="X122" s="129" t="str">
        <f t="shared" si="3"/>
        <v/>
      </c>
      <c r="Y122" s="127"/>
      <c r="Z122" s="128"/>
      <c r="AA122" s="130"/>
      <c r="AB122" s="130"/>
      <c r="AC122" s="130"/>
      <c r="AD122" s="130"/>
      <c r="AE122" s="130"/>
      <c r="AF122" s="130"/>
      <c r="AG122" s="127"/>
      <c r="AH122" s="130"/>
      <c r="AI122" s="127"/>
      <c r="AJ122" s="127"/>
      <c r="AK122" s="127"/>
    </row>
    <row r="123" spans="1:37" ht="36" customHeight="1" x14ac:dyDescent="0.25">
      <c r="A123" s="145" t="s">
        <v>803</v>
      </c>
      <c r="B123" s="126" t="str">
        <f t="shared" si="2"/>
        <v>104/2026/HĐLĐ-MAU</v>
      </c>
      <c r="C123" s="127"/>
      <c r="D123" s="127"/>
      <c r="E123" s="128"/>
      <c r="F123" s="127"/>
      <c r="G123" s="125"/>
      <c r="H123" s="128"/>
      <c r="I123" s="127"/>
      <c r="J123" s="127"/>
      <c r="K123" s="127"/>
      <c r="L123" s="125"/>
      <c r="M123" s="125"/>
      <c r="N123" s="125"/>
      <c r="O123" s="127"/>
      <c r="P123" s="127"/>
      <c r="Q123" s="127"/>
      <c r="R123" s="127"/>
      <c r="S123" s="127"/>
      <c r="T123" s="127"/>
      <c r="U123" s="127"/>
      <c r="V123" s="128"/>
      <c r="W123" s="128"/>
      <c r="X123" s="129" t="str">
        <f t="shared" si="3"/>
        <v/>
      </c>
      <c r="Y123" s="127"/>
      <c r="Z123" s="128"/>
      <c r="AA123" s="130"/>
      <c r="AB123" s="130"/>
      <c r="AC123" s="130"/>
      <c r="AD123" s="130"/>
      <c r="AE123" s="130"/>
      <c r="AF123" s="130"/>
      <c r="AG123" s="127"/>
      <c r="AH123" s="130"/>
      <c r="AI123" s="127"/>
      <c r="AJ123" s="127"/>
      <c r="AK123" s="127"/>
    </row>
    <row r="124" spans="1:37" ht="36" customHeight="1" x14ac:dyDescent="0.25">
      <c r="A124" s="145" t="s">
        <v>804</v>
      </c>
      <c r="B124" s="126" t="str">
        <f t="shared" si="2"/>
        <v>105/2026/HĐLĐ-MAU</v>
      </c>
      <c r="C124" s="127"/>
      <c r="D124" s="127"/>
      <c r="E124" s="128"/>
      <c r="F124" s="127"/>
      <c r="G124" s="125"/>
      <c r="H124" s="128"/>
      <c r="I124" s="127"/>
      <c r="J124" s="127"/>
      <c r="K124" s="127"/>
      <c r="L124" s="125"/>
      <c r="M124" s="125"/>
      <c r="N124" s="125"/>
      <c r="O124" s="127"/>
      <c r="P124" s="127"/>
      <c r="Q124" s="127"/>
      <c r="R124" s="127"/>
      <c r="S124" s="127"/>
      <c r="T124" s="127"/>
      <c r="U124" s="127"/>
      <c r="V124" s="128"/>
      <c r="W124" s="128"/>
      <c r="X124" s="129" t="str">
        <f t="shared" si="3"/>
        <v/>
      </c>
      <c r="Y124" s="127"/>
      <c r="Z124" s="128"/>
      <c r="AA124" s="130"/>
      <c r="AB124" s="130"/>
      <c r="AC124" s="130"/>
      <c r="AD124" s="130"/>
      <c r="AE124" s="130"/>
      <c r="AF124" s="130"/>
      <c r="AG124" s="127"/>
      <c r="AH124" s="130"/>
      <c r="AI124" s="127"/>
      <c r="AJ124" s="127"/>
      <c r="AK124" s="127"/>
    </row>
    <row r="125" spans="1:37" ht="36" customHeight="1" x14ac:dyDescent="0.25">
      <c r="A125" s="145" t="s">
        <v>805</v>
      </c>
      <c r="B125" s="126" t="str">
        <f t="shared" si="2"/>
        <v>106/2026/HĐLĐ-MAU</v>
      </c>
      <c r="C125" s="127"/>
      <c r="D125" s="127"/>
      <c r="E125" s="128"/>
      <c r="F125" s="127"/>
      <c r="G125" s="125"/>
      <c r="H125" s="128"/>
      <c r="I125" s="127"/>
      <c r="J125" s="127"/>
      <c r="K125" s="127"/>
      <c r="L125" s="125"/>
      <c r="M125" s="125"/>
      <c r="N125" s="125"/>
      <c r="O125" s="127"/>
      <c r="P125" s="127"/>
      <c r="Q125" s="127"/>
      <c r="R125" s="127"/>
      <c r="S125" s="127"/>
      <c r="T125" s="127"/>
      <c r="U125" s="127"/>
      <c r="V125" s="128"/>
      <c r="W125" s="128"/>
      <c r="X125" s="129" t="str">
        <f t="shared" si="3"/>
        <v/>
      </c>
      <c r="Y125" s="127"/>
      <c r="Z125" s="128"/>
      <c r="AA125" s="130"/>
      <c r="AB125" s="130"/>
      <c r="AC125" s="130"/>
      <c r="AD125" s="130"/>
      <c r="AE125" s="130"/>
      <c r="AF125" s="130"/>
      <c r="AG125" s="127"/>
      <c r="AH125" s="130"/>
      <c r="AI125" s="127"/>
      <c r="AJ125" s="127"/>
      <c r="AK125" s="127"/>
    </row>
    <row r="126" spans="1:37" ht="36" customHeight="1" x14ac:dyDescent="0.25">
      <c r="A126" s="145" t="s">
        <v>806</v>
      </c>
      <c r="B126" s="126" t="str">
        <f t="shared" si="2"/>
        <v>107/2026/HĐLĐ-MAU</v>
      </c>
      <c r="C126" s="127"/>
      <c r="D126" s="127"/>
      <c r="E126" s="128"/>
      <c r="F126" s="127"/>
      <c r="G126" s="125"/>
      <c r="H126" s="128"/>
      <c r="I126" s="127"/>
      <c r="J126" s="127"/>
      <c r="K126" s="127"/>
      <c r="L126" s="125"/>
      <c r="M126" s="125"/>
      <c r="N126" s="125"/>
      <c r="O126" s="127"/>
      <c r="P126" s="127"/>
      <c r="Q126" s="127"/>
      <c r="R126" s="127"/>
      <c r="S126" s="127"/>
      <c r="T126" s="127"/>
      <c r="U126" s="127"/>
      <c r="V126" s="128"/>
      <c r="W126" s="128"/>
      <c r="X126" s="129" t="str">
        <f t="shared" si="3"/>
        <v/>
      </c>
      <c r="Y126" s="127"/>
      <c r="Z126" s="128"/>
      <c r="AA126" s="130"/>
      <c r="AB126" s="130"/>
      <c r="AC126" s="130"/>
      <c r="AD126" s="130"/>
      <c r="AE126" s="130"/>
      <c r="AF126" s="130"/>
      <c r="AG126" s="127"/>
      <c r="AH126" s="130"/>
      <c r="AI126" s="127"/>
      <c r="AJ126" s="127"/>
      <c r="AK126" s="127"/>
    </row>
    <row r="127" spans="1:37" ht="36" customHeight="1" x14ac:dyDescent="0.25">
      <c r="A127" s="145" t="s">
        <v>807</v>
      </c>
      <c r="B127" s="126" t="str">
        <f t="shared" si="2"/>
        <v>108/2026/HĐLĐ-MAU</v>
      </c>
      <c r="C127" s="127"/>
      <c r="D127" s="127"/>
      <c r="E127" s="128"/>
      <c r="F127" s="127"/>
      <c r="G127" s="125"/>
      <c r="H127" s="128"/>
      <c r="I127" s="127"/>
      <c r="J127" s="127"/>
      <c r="K127" s="127"/>
      <c r="L127" s="125"/>
      <c r="M127" s="125"/>
      <c r="N127" s="125"/>
      <c r="O127" s="127"/>
      <c r="P127" s="127"/>
      <c r="Q127" s="127"/>
      <c r="R127" s="127"/>
      <c r="S127" s="127"/>
      <c r="T127" s="127"/>
      <c r="U127" s="127"/>
      <c r="V127" s="128"/>
      <c r="W127" s="128"/>
      <c r="X127" s="129" t="str">
        <f t="shared" si="3"/>
        <v/>
      </c>
      <c r="Y127" s="127"/>
      <c r="Z127" s="128"/>
      <c r="AA127" s="130"/>
      <c r="AB127" s="130"/>
      <c r="AC127" s="130"/>
      <c r="AD127" s="130"/>
      <c r="AE127" s="130"/>
      <c r="AF127" s="130"/>
      <c r="AG127" s="127"/>
      <c r="AH127" s="130"/>
      <c r="AI127" s="127"/>
      <c r="AJ127" s="127"/>
      <c r="AK127" s="127"/>
    </row>
    <row r="128" spans="1:37" ht="36" customHeight="1" x14ac:dyDescent="0.25">
      <c r="A128" s="145" t="s">
        <v>808</v>
      </c>
      <c r="B128" s="126" t="str">
        <f t="shared" si="2"/>
        <v>109/2026/HĐLĐ-MAU</v>
      </c>
      <c r="C128" s="127"/>
      <c r="D128" s="127"/>
      <c r="E128" s="128"/>
      <c r="F128" s="127"/>
      <c r="G128" s="125"/>
      <c r="H128" s="128"/>
      <c r="I128" s="127"/>
      <c r="J128" s="127"/>
      <c r="K128" s="127"/>
      <c r="L128" s="125"/>
      <c r="M128" s="125"/>
      <c r="N128" s="125"/>
      <c r="O128" s="127"/>
      <c r="P128" s="127"/>
      <c r="Q128" s="127"/>
      <c r="R128" s="127"/>
      <c r="S128" s="127"/>
      <c r="T128" s="127"/>
      <c r="U128" s="127"/>
      <c r="V128" s="128"/>
      <c r="W128" s="128"/>
      <c r="X128" s="129" t="str">
        <f t="shared" si="3"/>
        <v/>
      </c>
      <c r="Y128" s="127"/>
      <c r="Z128" s="128"/>
      <c r="AA128" s="130"/>
      <c r="AB128" s="130"/>
      <c r="AC128" s="130"/>
      <c r="AD128" s="130"/>
      <c r="AE128" s="130"/>
      <c r="AF128" s="130"/>
      <c r="AG128" s="127"/>
      <c r="AH128" s="130"/>
      <c r="AI128" s="127"/>
      <c r="AJ128" s="127"/>
      <c r="AK128" s="127"/>
    </row>
    <row r="129" spans="1:37" ht="36" customHeight="1" x14ac:dyDescent="0.25">
      <c r="A129" s="145" t="s">
        <v>809</v>
      </c>
      <c r="B129" s="126" t="str">
        <f t="shared" si="2"/>
        <v>110/2026/HĐLĐ-MAU</v>
      </c>
      <c r="C129" s="127"/>
      <c r="D129" s="127"/>
      <c r="E129" s="128"/>
      <c r="F129" s="127"/>
      <c r="G129" s="125"/>
      <c r="H129" s="128"/>
      <c r="I129" s="127"/>
      <c r="J129" s="127"/>
      <c r="K129" s="127"/>
      <c r="L129" s="125"/>
      <c r="M129" s="125"/>
      <c r="N129" s="125"/>
      <c r="O129" s="127"/>
      <c r="P129" s="127"/>
      <c r="Q129" s="127"/>
      <c r="R129" s="127"/>
      <c r="S129" s="127"/>
      <c r="T129" s="127"/>
      <c r="U129" s="127"/>
      <c r="V129" s="128"/>
      <c r="W129" s="128"/>
      <c r="X129" s="129" t="str">
        <f t="shared" si="3"/>
        <v/>
      </c>
      <c r="Y129" s="127"/>
      <c r="Z129" s="128"/>
      <c r="AA129" s="130"/>
      <c r="AB129" s="130"/>
      <c r="AC129" s="130"/>
      <c r="AD129" s="130"/>
      <c r="AE129" s="130"/>
      <c r="AF129" s="130"/>
      <c r="AG129" s="127"/>
      <c r="AH129" s="130"/>
      <c r="AI129" s="127"/>
      <c r="AJ129" s="127"/>
      <c r="AK129" s="127"/>
    </row>
    <row r="130" spans="1:37" ht="36" customHeight="1" x14ac:dyDescent="0.25">
      <c r="A130" s="145" t="s">
        <v>810</v>
      </c>
      <c r="B130" s="126" t="str">
        <f t="shared" si="2"/>
        <v>111/2026/HĐLĐ-MAU</v>
      </c>
      <c r="C130" s="127"/>
      <c r="D130" s="127"/>
      <c r="E130" s="128"/>
      <c r="F130" s="127"/>
      <c r="G130" s="125"/>
      <c r="H130" s="128"/>
      <c r="I130" s="127"/>
      <c r="J130" s="127"/>
      <c r="K130" s="127"/>
      <c r="L130" s="125"/>
      <c r="M130" s="125"/>
      <c r="N130" s="125"/>
      <c r="O130" s="127"/>
      <c r="P130" s="127"/>
      <c r="Q130" s="127"/>
      <c r="R130" s="127"/>
      <c r="S130" s="127"/>
      <c r="T130" s="127"/>
      <c r="U130" s="127"/>
      <c r="V130" s="128"/>
      <c r="W130" s="128"/>
      <c r="X130" s="129" t="str">
        <f t="shared" si="3"/>
        <v/>
      </c>
      <c r="Y130" s="127"/>
      <c r="Z130" s="128"/>
      <c r="AA130" s="130"/>
      <c r="AB130" s="130"/>
      <c r="AC130" s="130"/>
      <c r="AD130" s="130"/>
      <c r="AE130" s="130"/>
      <c r="AF130" s="130"/>
      <c r="AG130" s="127"/>
      <c r="AH130" s="130"/>
      <c r="AI130" s="127"/>
      <c r="AJ130" s="127"/>
      <c r="AK130" s="127"/>
    </row>
    <row r="131" spans="1:37" ht="36" customHeight="1" x14ac:dyDescent="0.25">
      <c r="A131" s="145" t="s">
        <v>811</v>
      </c>
      <c r="B131" s="126" t="str">
        <f t="shared" si="2"/>
        <v>112/2026/HĐLĐ-MAU</v>
      </c>
      <c r="C131" s="127"/>
      <c r="D131" s="127"/>
      <c r="E131" s="128"/>
      <c r="F131" s="127"/>
      <c r="G131" s="125"/>
      <c r="H131" s="128"/>
      <c r="I131" s="127"/>
      <c r="J131" s="127"/>
      <c r="K131" s="127"/>
      <c r="L131" s="125"/>
      <c r="M131" s="125"/>
      <c r="N131" s="125"/>
      <c r="O131" s="127"/>
      <c r="P131" s="127"/>
      <c r="Q131" s="127"/>
      <c r="R131" s="127"/>
      <c r="S131" s="127"/>
      <c r="T131" s="127"/>
      <c r="U131" s="127"/>
      <c r="V131" s="128"/>
      <c r="W131" s="128"/>
      <c r="X131" s="129" t="str">
        <f t="shared" si="3"/>
        <v/>
      </c>
      <c r="Y131" s="127"/>
      <c r="Z131" s="128"/>
      <c r="AA131" s="130"/>
      <c r="AB131" s="130"/>
      <c r="AC131" s="130"/>
      <c r="AD131" s="130"/>
      <c r="AE131" s="130"/>
      <c r="AF131" s="130"/>
      <c r="AG131" s="127"/>
      <c r="AH131" s="130"/>
      <c r="AI131" s="127"/>
      <c r="AJ131" s="127"/>
      <c r="AK131" s="127"/>
    </row>
    <row r="132" spans="1:37" ht="36" customHeight="1" x14ac:dyDescent="0.25">
      <c r="A132" s="145" t="s">
        <v>812</v>
      </c>
      <c r="B132" s="126" t="str">
        <f t="shared" si="2"/>
        <v>113/2026/HĐLĐ-MAU</v>
      </c>
      <c r="C132" s="127"/>
      <c r="D132" s="127"/>
      <c r="E132" s="128"/>
      <c r="F132" s="127"/>
      <c r="G132" s="125"/>
      <c r="H132" s="128"/>
      <c r="I132" s="127"/>
      <c r="J132" s="127"/>
      <c r="K132" s="127"/>
      <c r="L132" s="125"/>
      <c r="M132" s="125"/>
      <c r="N132" s="125"/>
      <c r="O132" s="127"/>
      <c r="P132" s="127"/>
      <c r="Q132" s="127"/>
      <c r="R132" s="127"/>
      <c r="S132" s="127"/>
      <c r="T132" s="127"/>
      <c r="U132" s="127"/>
      <c r="V132" s="128"/>
      <c r="W132" s="128"/>
      <c r="X132" s="129" t="str">
        <f t="shared" si="3"/>
        <v/>
      </c>
      <c r="Y132" s="127"/>
      <c r="Z132" s="128"/>
      <c r="AA132" s="130"/>
      <c r="AB132" s="130"/>
      <c r="AC132" s="130"/>
      <c r="AD132" s="130"/>
      <c r="AE132" s="130"/>
      <c r="AF132" s="130"/>
      <c r="AG132" s="127"/>
      <c r="AH132" s="130"/>
      <c r="AI132" s="127"/>
      <c r="AJ132" s="127"/>
      <c r="AK132" s="127"/>
    </row>
    <row r="133" spans="1:37" ht="36" customHeight="1" x14ac:dyDescent="0.25">
      <c r="A133" s="145" t="s">
        <v>813</v>
      </c>
      <c r="B133" s="126" t="str">
        <f t="shared" si="2"/>
        <v>114/2026/HĐLĐ-MAU</v>
      </c>
      <c r="C133" s="127"/>
      <c r="D133" s="127"/>
      <c r="E133" s="128"/>
      <c r="F133" s="127"/>
      <c r="G133" s="125"/>
      <c r="H133" s="128"/>
      <c r="I133" s="127"/>
      <c r="J133" s="127"/>
      <c r="K133" s="127"/>
      <c r="L133" s="125"/>
      <c r="M133" s="125"/>
      <c r="N133" s="125"/>
      <c r="O133" s="127"/>
      <c r="P133" s="127"/>
      <c r="Q133" s="127"/>
      <c r="R133" s="127"/>
      <c r="S133" s="127"/>
      <c r="T133" s="127"/>
      <c r="U133" s="127"/>
      <c r="V133" s="128"/>
      <c r="W133" s="128"/>
      <c r="X133" s="129" t="str">
        <f t="shared" si="3"/>
        <v/>
      </c>
      <c r="Y133" s="127"/>
      <c r="Z133" s="128"/>
      <c r="AA133" s="130"/>
      <c r="AB133" s="130"/>
      <c r="AC133" s="130"/>
      <c r="AD133" s="130"/>
      <c r="AE133" s="130"/>
      <c r="AF133" s="130"/>
      <c r="AG133" s="127"/>
      <c r="AH133" s="130"/>
      <c r="AI133" s="127"/>
      <c r="AJ133" s="127"/>
      <c r="AK133" s="127"/>
    </row>
    <row r="134" spans="1:37" ht="36" customHeight="1" x14ac:dyDescent="0.25">
      <c r="A134" s="145" t="s">
        <v>814</v>
      </c>
      <c r="B134" s="126" t="str">
        <f t="shared" si="2"/>
        <v>115/2026/HĐLĐ-MAU</v>
      </c>
      <c r="C134" s="127"/>
      <c r="D134" s="127"/>
      <c r="E134" s="128"/>
      <c r="F134" s="127"/>
      <c r="G134" s="125"/>
      <c r="H134" s="128"/>
      <c r="I134" s="127"/>
      <c r="J134" s="127"/>
      <c r="K134" s="127"/>
      <c r="L134" s="125"/>
      <c r="M134" s="125"/>
      <c r="N134" s="125"/>
      <c r="O134" s="127"/>
      <c r="P134" s="127"/>
      <c r="Q134" s="127"/>
      <c r="R134" s="127"/>
      <c r="S134" s="127"/>
      <c r="T134" s="127"/>
      <c r="U134" s="127"/>
      <c r="V134" s="128"/>
      <c r="W134" s="128"/>
      <c r="X134" s="129" t="str">
        <f t="shared" si="3"/>
        <v/>
      </c>
      <c r="Y134" s="127"/>
      <c r="Z134" s="128"/>
      <c r="AA134" s="130"/>
      <c r="AB134" s="130"/>
      <c r="AC134" s="130"/>
      <c r="AD134" s="130"/>
      <c r="AE134" s="130"/>
      <c r="AF134" s="130"/>
      <c r="AG134" s="127"/>
      <c r="AH134" s="130"/>
      <c r="AI134" s="127"/>
      <c r="AJ134" s="127"/>
      <c r="AK134" s="127"/>
    </row>
    <row r="135" spans="1:37" ht="36" customHeight="1" x14ac:dyDescent="0.25">
      <c r="A135" s="145" t="s">
        <v>815</v>
      </c>
      <c r="B135" s="126" t="str">
        <f t="shared" si="2"/>
        <v>116/2026/HĐLĐ-MAU</v>
      </c>
      <c r="C135" s="127"/>
      <c r="D135" s="127"/>
      <c r="E135" s="128"/>
      <c r="F135" s="127"/>
      <c r="G135" s="125"/>
      <c r="H135" s="128"/>
      <c r="I135" s="127"/>
      <c r="J135" s="127"/>
      <c r="K135" s="127"/>
      <c r="L135" s="125"/>
      <c r="M135" s="125"/>
      <c r="N135" s="125"/>
      <c r="O135" s="127"/>
      <c r="P135" s="127"/>
      <c r="Q135" s="127"/>
      <c r="R135" s="127"/>
      <c r="S135" s="127"/>
      <c r="T135" s="127"/>
      <c r="U135" s="127"/>
      <c r="V135" s="128"/>
      <c r="W135" s="128"/>
      <c r="X135" s="129" t="str">
        <f t="shared" si="3"/>
        <v/>
      </c>
      <c r="Y135" s="127"/>
      <c r="Z135" s="128"/>
      <c r="AA135" s="130"/>
      <c r="AB135" s="130"/>
      <c r="AC135" s="130"/>
      <c r="AD135" s="130"/>
      <c r="AE135" s="130"/>
      <c r="AF135" s="130"/>
      <c r="AG135" s="127"/>
      <c r="AH135" s="130"/>
      <c r="AI135" s="127"/>
      <c r="AJ135" s="127"/>
      <c r="AK135" s="127"/>
    </row>
    <row r="136" spans="1:37" ht="36" customHeight="1" x14ac:dyDescent="0.25">
      <c r="A136" s="145" t="s">
        <v>816</v>
      </c>
      <c r="B136" s="126" t="str">
        <f t="shared" si="2"/>
        <v>117/2026/HĐLĐ-MAU</v>
      </c>
      <c r="C136" s="127"/>
      <c r="D136" s="127"/>
      <c r="E136" s="128"/>
      <c r="F136" s="127"/>
      <c r="G136" s="125"/>
      <c r="H136" s="128"/>
      <c r="I136" s="127"/>
      <c r="J136" s="127"/>
      <c r="K136" s="127"/>
      <c r="L136" s="125"/>
      <c r="M136" s="125"/>
      <c r="N136" s="125"/>
      <c r="O136" s="127"/>
      <c r="P136" s="127"/>
      <c r="Q136" s="127"/>
      <c r="R136" s="127"/>
      <c r="S136" s="127"/>
      <c r="T136" s="127"/>
      <c r="U136" s="127"/>
      <c r="V136" s="128"/>
      <c r="W136" s="128"/>
      <c r="X136" s="129" t="str">
        <f t="shared" si="3"/>
        <v/>
      </c>
      <c r="Y136" s="127"/>
      <c r="Z136" s="128"/>
      <c r="AA136" s="130"/>
      <c r="AB136" s="130"/>
      <c r="AC136" s="130"/>
      <c r="AD136" s="130"/>
      <c r="AE136" s="130"/>
      <c r="AF136" s="130"/>
      <c r="AG136" s="127"/>
      <c r="AH136" s="130"/>
      <c r="AI136" s="127"/>
      <c r="AJ136" s="127"/>
      <c r="AK136" s="127"/>
    </row>
    <row r="137" spans="1:37" ht="36" customHeight="1" x14ac:dyDescent="0.25">
      <c r="A137" s="145" t="s">
        <v>817</v>
      </c>
      <c r="B137" s="126" t="str">
        <f t="shared" si="2"/>
        <v>118/2026/HĐLĐ-MAU</v>
      </c>
      <c r="C137" s="127"/>
      <c r="D137" s="127"/>
      <c r="E137" s="128"/>
      <c r="F137" s="127"/>
      <c r="G137" s="125"/>
      <c r="H137" s="128"/>
      <c r="I137" s="127"/>
      <c r="J137" s="127"/>
      <c r="K137" s="127"/>
      <c r="L137" s="125"/>
      <c r="M137" s="125"/>
      <c r="N137" s="125"/>
      <c r="O137" s="127"/>
      <c r="P137" s="127"/>
      <c r="Q137" s="127"/>
      <c r="R137" s="127"/>
      <c r="S137" s="127"/>
      <c r="T137" s="127"/>
      <c r="U137" s="127"/>
      <c r="V137" s="128"/>
      <c r="W137" s="128"/>
      <c r="X137" s="129" t="str">
        <f t="shared" si="3"/>
        <v/>
      </c>
      <c r="Y137" s="127"/>
      <c r="Z137" s="128"/>
      <c r="AA137" s="130"/>
      <c r="AB137" s="130"/>
      <c r="AC137" s="130"/>
      <c r="AD137" s="130"/>
      <c r="AE137" s="130"/>
      <c r="AF137" s="130"/>
      <c r="AG137" s="127"/>
      <c r="AH137" s="130"/>
      <c r="AI137" s="127"/>
      <c r="AJ137" s="127"/>
      <c r="AK137" s="127"/>
    </row>
    <row r="138" spans="1:37" ht="36" customHeight="1" x14ac:dyDescent="0.25">
      <c r="A138" s="145" t="s">
        <v>818</v>
      </c>
      <c r="B138" s="126" t="str">
        <f t="shared" si="2"/>
        <v>119/2026/HĐLĐ-MAU</v>
      </c>
      <c r="C138" s="127"/>
      <c r="D138" s="127"/>
      <c r="E138" s="128"/>
      <c r="F138" s="127"/>
      <c r="G138" s="125"/>
      <c r="H138" s="128"/>
      <c r="I138" s="127"/>
      <c r="J138" s="127"/>
      <c r="K138" s="127"/>
      <c r="L138" s="125"/>
      <c r="M138" s="125"/>
      <c r="N138" s="125"/>
      <c r="O138" s="127"/>
      <c r="P138" s="127"/>
      <c r="Q138" s="127"/>
      <c r="R138" s="127"/>
      <c r="S138" s="127"/>
      <c r="T138" s="127"/>
      <c r="U138" s="127"/>
      <c r="V138" s="128"/>
      <c r="W138" s="128"/>
      <c r="X138" s="129" t="str">
        <f t="shared" si="3"/>
        <v/>
      </c>
      <c r="Y138" s="127"/>
      <c r="Z138" s="128"/>
      <c r="AA138" s="130"/>
      <c r="AB138" s="130"/>
      <c r="AC138" s="130"/>
      <c r="AD138" s="130"/>
      <c r="AE138" s="130"/>
      <c r="AF138" s="130"/>
      <c r="AG138" s="127"/>
      <c r="AH138" s="130"/>
      <c r="AI138" s="127"/>
      <c r="AJ138" s="127"/>
      <c r="AK138" s="127"/>
    </row>
    <row r="139" spans="1:37" ht="36" customHeight="1" x14ac:dyDescent="0.25">
      <c r="A139" s="145" t="s">
        <v>819</v>
      </c>
      <c r="B139" s="126" t="str">
        <f t="shared" si="2"/>
        <v>120/2026/HĐLĐ-MAU</v>
      </c>
      <c r="C139" s="127"/>
      <c r="D139" s="127"/>
      <c r="E139" s="128"/>
      <c r="F139" s="127"/>
      <c r="G139" s="125"/>
      <c r="H139" s="128"/>
      <c r="I139" s="127"/>
      <c r="J139" s="127"/>
      <c r="K139" s="127"/>
      <c r="L139" s="125"/>
      <c r="M139" s="125"/>
      <c r="N139" s="125"/>
      <c r="O139" s="127"/>
      <c r="P139" s="127"/>
      <c r="Q139" s="127"/>
      <c r="R139" s="127"/>
      <c r="S139" s="127"/>
      <c r="T139" s="127"/>
      <c r="U139" s="127"/>
      <c r="V139" s="128"/>
      <c r="W139" s="128"/>
      <c r="X139" s="129" t="str">
        <f t="shared" si="3"/>
        <v/>
      </c>
      <c r="Y139" s="127"/>
      <c r="Z139" s="128"/>
      <c r="AA139" s="130"/>
      <c r="AB139" s="130"/>
      <c r="AC139" s="130"/>
      <c r="AD139" s="130"/>
      <c r="AE139" s="130"/>
      <c r="AF139" s="130"/>
      <c r="AG139" s="127"/>
      <c r="AH139" s="130"/>
      <c r="AI139" s="127"/>
      <c r="AJ139" s="127"/>
      <c r="AK139" s="127"/>
    </row>
    <row r="140" spans="1:37" ht="36" customHeight="1" x14ac:dyDescent="0.25">
      <c r="A140" s="145" t="s">
        <v>820</v>
      </c>
      <c r="B140" s="126" t="str">
        <f t="shared" si="2"/>
        <v>121/2026/HĐLĐ-MAU</v>
      </c>
      <c r="C140" s="127"/>
      <c r="D140" s="127"/>
      <c r="E140" s="128"/>
      <c r="F140" s="127"/>
      <c r="G140" s="125"/>
      <c r="H140" s="128"/>
      <c r="I140" s="127"/>
      <c r="J140" s="127"/>
      <c r="K140" s="127"/>
      <c r="L140" s="125"/>
      <c r="M140" s="125"/>
      <c r="N140" s="125"/>
      <c r="O140" s="127"/>
      <c r="P140" s="127"/>
      <c r="Q140" s="127"/>
      <c r="R140" s="127"/>
      <c r="S140" s="127"/>
      <c r="T140" s="127"/>
      <c r="U140" s="127"/>
      <c r="V140" s="128"/>
      <c r="W140" s="128"/>
      <c r="X140" s="129" t="str">
        <f t="shared" si="3"/>
        <v/>
      </c>
      <c r="Y140" s="127"/>
      <c r="Z140" s="128"/>
      <c r="AA140" s="130"/>
      <c r="AB140" s="130"/>
      <c r="AC140" s="130"/>
      <c r="AD140" s="130"/>
      <c r="AE140" s="130"/>
      <c r="AF140" s="130"/>
      <c r="AG140" s="127"/>
      <c r="AH140" s="130"/>
      <c r="AI140" s="127"/>
      <c r="AJ140" s="127"/>
      <c r="AK140" s="127"/>
    </row>
    <row r="141" spans="1:37" ht="36" customHeight="1" x14ac:dyDescent="0.25">
      <c r="A141" s="145" t="s">
        <v>821</v>
      </c>
      <c r="B141" s="126" t="str">
        <f t="shared" si="2"/>
        <v>122/2026/HĐLĐ-MAU</v>
      </c>
      <c r="C141" s="127"/>
      <c r="D141" s="127"/>
      <c r="E141" s="128"/>
      <c r="F141" s="127"/>
      <c r="G141" s="125"/>
      <c r="H141" s="128"/>
      <c r="I141" s="127"/>
      <c r="J141" s="127"/>
      <c r="K141" s="127"/>
      <c r="L141" s="125"/>
      <c r="M141" s="125"/>
      <c r="N141" s="125"/>
      <c r="O141" s="127"/>
      <c r="P141" s="127"/>
      <c r="Q141" s="127"/>
      <c r="R141" s="127"/>
      <c r="S141" s="127"/>
      <c r="T141" s="127"/>
      <c r="U141" s="127"/>
      <c r="V141" s="128"/>
      <c r="W141" s="128"/>
      <c r="X141" s="129" t="str">
        <f t="shared" si="3"/>
        <v/>
      </c>
      <c r="Y141" s="127"/>
      <c r="Z141" s="128"/>
      <c r="AA141" s="130"/>
      <c r="AB141" s="130"/>
      <c r="AC141" s="130"/>
      <c r="AD141" s="130"/>
      <c r="AE141" s="130"/>
      <c r="AF141" s="130"/>
      <c r="AG141" s="127"/>
      <c r="AH141" s="130"/>
      <c r="AI141" s="127"/>
      <c r="AJ141" s="127"/>
      <c r="AK141" s="127"/>
    </row>
    <row r="142" spans="1:37" ht="36" customHeight="1" x14ac:dyDescent="0.25">
      <c r="A142" s="145" t="s">
        <v>822</v>
      </c>
      <c r="B142" s="126" t="str">
        <f t="shared" ref="B142:B205" si="4">IF($A142="","",TEXT(ROW()-19,"000")&amp;"/"&amp;IF($V142="",2026,YEAR($V142))&amp;"/HĐLĐ-"&amp;$E$8)</f>
        <v>123/2026/HĐLĐ-MAU</v>
      </c>
      <c r="C142" s="127"/>
      <c r="D142" s="127"/>
      <c r="E142" s="128"/>
      <c r="F142" s="127"/>
      <c r="G142" s="125"/>
      <c r="H142" s="128"/>
      <c r="I142" s="127"/>
      <c r="J142" s="127"/>
      <c r="K142" s="127"/>
      <c r="L142" s="125"/>
      <c r="M142" s="125"/>
      <c r="N142" s="125"/>
      <c r="O142" s="127"/>
      <c r="P142" s="127"/>
      <c r="Q142" s="127"/>
      <c r="R142" s="127"/>
      <c r="S142" s="127"/>
      <c r="T142" s="127"/>
      <c r="U142" s="127"/>
      <c r="V142" s="128"/>
      <c r="W142" s="128"/>
      <c r="X142" s="129" t="str">
        <f t="shared" ref="X142:X205" si="5">IF($A142="","",IF($T142="Xác định thời hạn",IF(AND($W142&lt;&gt;"",$U142&lt;&gt;""),EDATE($W142,$U142)-1,""),""))</f>
        <v/>
      </c>
      <c r="Y142" s="127"/>
      <c r="Z142" s="128"/>
      <c r="AA142" s="130"/>
      <c r="AB142" s="130"/>
      <c r="AC142" s="130"/>
      <c r="AD142" s="130"/>
      <c r="AE142" s="130"/>
      <c r="AF142" s="130"/>
      <c r="AG142" s="127"/>
      <c r="AH142" s="130"/>
      <c r="AI142" s="127"/>
      <c r="AJ142" s="127"/>
      <c r="AK142" s="127"/>
    </row>
    <row r="143" spans="1:37" ht="36" customHeight="1" x14ac:dyDescent="0.25">
      <c r="A143" s="145" t="s">
        <v>823</v>
      </c>
      <c r="B143" s="126" t="str">
        <f t="shared" si="4"/>
        <v>124/2026/HĐLĐ-MAU</v>
      </c>
      <c r="C143" s="127"/>
      <c r="D143" s="127"/>
      <c r="E143" s="128"/>
      <c r="F143" s="127"/>
      <c r="G143" s="125"/>
      <c r="H143" s="128"/>
      <c r="I143" s="127"/>
      <c r="J143" s="127"/>
      <c r="K143" s="127"/>
      <c r="L143" s="125"/>
      <c r="M143" s="125"/>
      <c r="N143" s="125"/>
      <c r="O143" s="127"/>
      <c r="P143" s="127"/>
      <c r="Q143" s="127"/>
      <c r="R143" s="127"/>
      <c r="S143" s="127"/>
      <c r="T143" s="127"/>
      <c r="U143" s="127"/>
      <c r="V143" s="128"/>
      <c r="W143" s="128"/>
      <c r="X143" s="129" t="str">
        <f t="shared" si="5"/>
        <v/>
      </c>
      <c r="Y143" s="127"/>
      <c r="Z143" s="128"/>
      <c r="AA143" s="130"/>
      <c r="AB143" s="130"/>
      <c r="AC143" s="130"/>
      <c r="AD143" s="130"/>
      <c r="AE143" s="130"/>
      <c r="AF143" s="130"/>
      <c r="AG143" s="127"/>
      <c r="AH143" s="130"/>
      <c r="AI143" s="127"/>
      <c r="AJ143" s="127"/>
      <c r="AK143" s="127"/>
    </row>
    <row r="144" spans="1:37" ht="36" customHeight="1" x14ac:dyDescent="0.25">
      <c r="A144" s="145" t="s">
        <v>824</v>
      </c>
      <c r="B144" s="126" t="str">
        <f t="shared" si="4"/>
        <v>125/2026/HĐLĐ-MAU</v>
      </c>
      <c r="C144" s="127"/>
      <c r="D144" s="127"/>
      <c r="E144" s="128"/>
      <c r="F144" s="127"/>
      <c r="G144" s="125"/>
      <c r="H144" s="128"/>
      <c r="I144" s="127"/>
      <c r="J144" s="127"/>
      <c r="K144" s="127"/>
      <c r="L144" s="125"/>
      <c r="M144" s="125"/>
      <c r="N144" s="125"/>
      <c r="O144" s="127"/>
      <c r="P144" s="127"/>
      <c r="Q144" s="127"/>
      <c r="R144" s="127"/>
      <c r="S144" s="127"/>
      <c r="T144" s="127"/>
      <c r="U144" s="127"/>
      <c r="V144" s="128"/>
      <c r="W144" s="128"/>
      <c r="X144" s="129" t="str">
        <f t="shared" si="5"/>
        <v/>
      </c>
      <c r="Y144" s="127"/>
      <c r="Z144" s="128"/>
      <c r="AA144" s="130"/>
      <c r="AB144" s="130"/>
      <c r="AC144" s="130"/>
      <c r="AD144" s="130"/>
      <c r="AE144" s="130"/>
      <c r="AF144" s="130"/>
      <c r="AG144" s="127"/>
      <c r="AH144" s="130"/>
      <c r="AI144" s="127"/>
      <c r="AJ144" s="127"/>
      <c r="AK144" s="127"/>
    </row>
    <row r="145" spans="1:37" ht="36" customHeight="1" x14ac:dyDescent="0.25">
      <c r="A145" s="145" t="s">
        <v>825</v>
      </c>
      <c r="B145" s="126" t="str">
        <f t="shared" si="4"/>
        <v>126/2026/HĐLĐ-MAU</v>
      </c>
      <c r="C145" s="127"/>
      <c r="D145" s="127"/>
      <c r="E145" s="128"/>
      <c r="F145" s="127"/>
      <c r="G145" s="125"/>
      <c r="H145" s="128"/>
      <c r="I145" s="127"/>
      <c r="J145" s="127"/>
      <c r="K145" s="127"/>
      <c r="L145" s="125"/>
      <c r="M145" s="125"/>
      <c r="N145" s="125"/>
      <c r="O145" s="127"/>
      <c r="P145" s="127"/>
      <c r="Q145" s="127"/>
      <c r="R145" s="127"/>
      <c r="S145" s="127"/>
      <c r="T145" s="127"/>
      <c r="U145" s="127"/>
      <c r="V145" s="128"/>
      <c r="W145" s="128"/>
      <c r="X145" s="129" t="str">
        <f t="shared" si="5"/>
        <v/>
      </c>
      <c r="Y145" s="127"/>
      <c r="Z145" s="128"/>
      <c r="AA145" s="130"/>
      <c r="AB145" s="130"/>
      <c r="AC145" s="130"/>
      <c r="AD145" s="130"/>
      <c r="AE145" s="130"/>
      <c r="AF145" s="130"/>
      <c r="AG145" s="127"/>
      <c r="AH145" s="130"/>
      <c r="AI145" s="127"/>
      <c r="AJ145" s="127"/>
      <c r="AK145" s="127"/>
    </row>
    <row r="146" spans="1:37" ht="36" customHeight="1" x14ac:dyDescent="0.25">
      <c r="A146" s="145" t="s">
        <v>826</v>
      </c>
      <c r="B146" s="126" t="str">
        <f t="shared" si="4"/>
        <v>127/2026/HĐLĐ-MAU</v>
      </c>
      <c r="C146" s="127"/>
      <c r="D146" s="127"/>
      <c r="E146" s="128"/>
      <c r="F146" s="127"/>
      <c r="G146" s="125"/>
      <c r="H146" s="128"/>
      <c r="I146" s="127"/>
      <c r="J146" s="127"/>
      <c r="K146" s="127"/>
      <c r="L146" s="125"/>
      <c r="M146" s="125"/>
      <c r="N146" s="125"/>
      <c r="O146" s="127"/>
      <c r="P146" s="127"/>
      <c r="Q146" s="127"/>
      <c r="R146" s="127"/>
      <c r="S146" s="127"/>
      <c r="T146" s="127"/>
      <c r="U146" s="127"/>
      <c r="V146" s="128"/>
      <c r="W146" s="128"/>
      <c r="X146" s="129" t="str">
        <f t="shared" si="5"/>
        <v/>
      </c>
      <c r="Y146" s="127"/>
      <c r="Z146" s="128"/>
      <c r="AA146" s="130"/>
      <c r="AB146" s="130"/>
      <c r="AC146" s="130"/>
      <c r="AD146" s="130"/>
      <c r="AE146" s="130"/>
      <c r="AF146" s="130"/>
      <c r="AG146" s="127"/>
      <c r="AH146" s="130"/>
      <c r="AI146" s="127"/>
      <c r="AJ146" s="127"/>
      <c r="AK146" s="127"/>
    </row>
    <row r="147" spans="1:37" ht="36" customHeight="1" x14ac:dyDescent="0.25">
      <c r="A147" s="145" t="s">
        <v>827</v>
      </c>
      <c r="B147" s="126" t="str">
        <f t="shared" si="4"/>
        <v>128/2026/HĐLĐ-MAU</v>
      </c>
      <c r="C147" s="127"/>
      <c r="D147" s="127"/>
      <c r="E147" s="128"/>
      <c r="F147" s="127"/>
      <c r="G147" s="125"/>
      <c r="H147" s="128"/>
      <c r="I147" s="127"/>
      <c r="J147" s="127"/>
      <c r="K147" s="127"/>
      <c r="L147" s="125"/>
      <c r="M147" s="125"/>
      <c r="N147" s="125"/>
      <c r="O147" s="127"/>
      <c r="P147" s="127"/>
      <c r="Q147" s="127"/>
      <c r="R147" s="127"/>
      <c r="S147" s="127"/>
      <c r="T147" s="127"/>
      <c r="U147" s="127"/>
      <c r="V147" s="128"/>
      <c r="W147" s="128"/>
      <c r="X147" s="129" t="str">
        <f t="shared" si="5"/>
        <v/>
      </c>
      <c r="Y147" s="127"/>
      <c r="Z147" s="128"/>
      <c r="AA147" s="130"/>
      <c r="AB147" s="130"/>
      <c r="AC147" s="130"/>
      <c r="AD147" s="130"/>
      <c r="AE147" s="130"/>
      <c r="AF147" s="130"/>
      <c r="AG147" s="127"/>
      <c r="AH147" s="130"/>
      <c r="AI147" s="127"/>
      <c r="AJ147" s="127"/>
      <c r="AK147" s="127"/>
    </row>
    <row r="148" spans="1:37" ht="36" customHeight="1" x14ac:dyDescent="0.25">
      <c r="A148" s="145" t="s">
        <v>828</v>
      </c>
      <c r="B148" s="126" t="str">
        <f t="shared" si="4"/>
        <v>129/2026/HĐLĐ-MAU</v>
      </c>
      <c r="C148" s="127"/>
      <c r="D148" s="127"/>
      <c r="E148" s="128"/>
      <c r="F148" s="127"/>
      <c r="G148" s="125"/>
      <c r="H148" s="128"/>
      <c r="I148" s="127"/>
      <c r="J148" s="127"/>
      <c r="K148" s="127"/>
      <c r="L148" s="125"/>
      <c r="M148" s="125"/>
      <c r="N148" s="125"/>
      <c r="O148" s="127"/>
      <c r="P148" s="127"/>
      <c r="Q148" s="127"/>
      <c r="R148" s="127"/>
      <c r="S148" s="127"/>
      <c r="T148" s="127"/>
      <c r="U148" s="127"/>
      <c r="V148" s="128"/>
      <c r="W148" s="128"/>
      <c r="X148" s="129" t="str">
        <f t="shared" si="5"/>
        <v/>
      </c>
      <c r="Y148" s="127"/>
      <c r="Z148" s="128"/>
      <c r="AA148" s="130"/>
      <c r="AB148" s="130"/>
      <c r="AC148" s="130"/>
      <c r="AD148" s="130"/>
      <c r="AE148" s="130"/>
      <c r="AF148" s="130"/>
      <c r="AG148" s="127"/>
      <c r="AH148" s="130"/>
      <c r="AI148" s="127"/>
      <c r="AJ148" s="127"/>
      <c r="AK148" s="127"/>
    </row>
    <row r="149" spans="1:37" ht="36" customHeight="1" x14ac:dyDescent="0.25">
      <c r="A149" s="145" t="s">
        <v>829</v>
      </c>
      <c r="B149" s="126" t="str">
        <f t="shared" si="4"/>
        <v>130/2026/HĐLĐ-MAU</v>
      </c>
      <c r="C149" s="127"/>
      <c r="D149" s="127"/>
      <c r="E149" s="128"/>
      <c r="F149" s="127"/>
      <c r="G149" s="125"/>
      <c r="H149" s="128"/>
      <c r="I149" s="127"/>
      <c r="J149" s="127"/>
      <c r="K149" s="127"/>
      <c r="L149" s="125"/>
      <c r="M149" s="125"/>
      <c r="N149" s="125"/>
      <c r="O149" s="127"/>
      <c r="P149" s="127"/>
      <c r="Q149" s="127"/>
      <c r="R149" s="127"/>
      <c r="S149" s="127"/>
      <c r="T149" s="127"/>
      <c r="U149" s="127"/>
      <c r="V149" s="128"/>
      <c r="W149" s="128"/>
      <c r="X149" s="129" t="str">
        <f t="shared" si="5"/>
        <v/>
      </c>
      <c r="Y149" s="127"/>
      <c r="Z149" s="128"/>
      <c r="AA149" s="130"/>
      <c r="AB149" s="130"/>
      <c r="AC149" s="130"/>
      <c r="AD149" s="130"/>
      <c r="AE149" s="130"/>
      <c r="AF149" s="130"/>
      <c r="AG149" s="127"/>
      <c r="AH149" s="130"/>
      <c r="AI149" s="127"/>
      <c r="AJ149" s="127"/>
      <c r="AK149" s="127"/>
    </row>
    <row r="150" spans="1:37" ht="36" customHeight="1" x14ac:dyDescent="0.25">
      <c r="A150" s="145" t="s">
        <v>830</v>
      </c>
      <c r="B150" s="126" t="str">
        <f t="shared" si="4"/>
        <v>131/2026/HĐLĐ-MAU</v>
      </c>
      <c r="C150" s="127"/>
      <c r="D150" s="127"/>
      <c r="E150" s="128"/>
      <c r="F150" s="127"/>
      <c r="G150" s="125"/>
      <c r="H150" s="128"/>
      <c r="I150" s="127"/>
      <c r="J150" s="127"/>
      <c r="K150" s="127"/>
      <c r="L150" s="125"/>
      <c r="M150" s="125"/>
      <c r="N150" s="125"/>
      <c r="O150" s="127"/>
      <c r="P150" s="127"/>
      <c r="Q150" s="127"/>
      <c r="R150" s="127"/>
      <c r="S150" s="127"/>
      <c r="T150" s="127"/>
      <c r="U150" s="127"/>
      <c r="V150" s="128"/>
      <c r="W150" s="128"/>
      <c r="X150" s="129" t="str">
        <f t="shared" si="5"/>
        <v/>
      </c>
      <c r="Y150" s="127"/>
      <c r="Z150" s="128"/>
      <c r="AA150" s="130"/>
      <c r="AB150" s="130"/>
      <c r="AC150" s="130"/>
      <c r="AD150" s="130"/>
      <c r="AE150" s="130"/>
      <c r="AF150" s="130"/>
      <c r="AG150" s="127"/>
      <c r="AH150" s="130"/>
      <c r="AI150" s="127"/>
      <c r="AJ150" s="127"/>
      <c r="AK150" s="127"/>
    </row>
    <row r="151" spans="1:37" ht="36" customHeight="1" x14ac:dyDescent="0.25">
      <c r="A151" s="145" t="s">
        <v>831</v>
      </c>
      <c r="B151" s="126" t="str">
        <f t="shared" si="4"/>
        <v>132/2026/HĐLĐ-MAU</v>
      </c>
      <c r="C151" s="127"/>
      <c r="D151" s="127"/>
      <c r="E151" s="128"/>
      <c r="F151" s="127"/>
      <c r="G151" s="125"/>
      <c r="H151" s="128"/>
      <c r="I151" s="127"/>
      <c r="J151" s="127"/>
      <c r="K151" s="127"/>
      <c r="L151" s="125"/>
      <c r="M151" s="125"/>
      <c r="N151" s="125"/>
      <c r="O151" s="127"/>
      <c r="P151" s="127"/>
      <c r="Q151" s="127"/>
      <c r="R151" s="127"/>
      <c r="S151" s="127"/>
      <c r="T151" s="127"/>
      <c r="U151" s="127"/>
      <c r="V151" s="128"/>
      <c r="W151" s="128"/>
      <c r="X151" s="129" t="str">
        <f t="shared" si="5"/>
        <v/>
      </c>
      <c r="Y151" s="127"/>
      <c r="Z151" s="128"/>
      <c r="AA151" s="130"/>
      <c r="AB151" s="130"/>
      <c r="AC151" s="130"/>
      <c r="AD151" s="130"/>
      <c r="AE151" s="130"/>
      <c r="AF151" s="130"/>
      <c r="AG151" s="127"/>
      <c r="AH151" s="130"/>
      <c r="AI151" s="127"/>
      <c r="AJ151" s="127"/>
      <c r="AK151" s="127"/>
    </row>
    <row r="152" spans="1:37" ht="36" customHeight="1" x14ac:dyDescent="0.25">
      <c r="A152" s="145" t="s">
        <v>832</v>
      </c>
      <c r="B152" s="126" t="str">
        <f t="shared" si="4"/>
        <v>133/2026/HĐLĐ-MAU</v>
      </c>
      <c r="C152" s="127"/>
      <c r="D152" s="127"/>
      <c r="E152" s="128"/>
      <c r="F152" s="127"/>
      <c r="G152" s="125"/>
      <c r="H152" s="128"/>
      <c r="I152" s="127"/>
      <c r="J152" s="127"/>
      <c r="K152" s="127"/>
      <c r="L152" s="125"/>
      <c r="M152" s="125"/>
      <c r="N152" s="125"/>
      <c r="O152" s="127"/>
      <c r="P152" s="127"/>
      <c r="Q152" s="127"/>
      <c r="R152" s="127"/>
      <c r="S152" s="127"/>
      <c r="T152" s="127"/>
      <c r="U152" s="127"/>
      <c r="V152" s="128"/>
      <c r="W152" s="128"/>
      <c r="X152" s="129" t="str">
        <f t="shared" si="5"/>
        <v/>
      </c>
      <c r="Y152" s="127"/>
      <c r="Z152" s="128"/>
      <c r="AA152" s="130"/>
      <c r="AB152" s="130"/>
      <c r="AC152" s="130"/>
      <c r="AD152" s="130"/>
      <c r="AE152" s="130"/>
      <c r="AF152" s="130"/>
      <c r="AG152" s="127"/>
      <c r="AH152" s="130"/>
      <c r="AI152" s="127"/>
      <c r="AJ152" s="127"/>
      <c r="AK152" s="127"/>
    </row>
    <row r="153" spans="1:37" ht="36" customHeight="1" x14ac:dyDescent="0.25">
      <c r="A153" s="145" t="s">
        <v>833</v>
      </c>
      <c r="B153" s="126" t="str">
        <f t="shared" si="4"/>
        <v>134/2026/HĐLĐ-MAU</v>
      </c>
      <c r="C153" s="127"/>
      <c r="D153" s="127"/>
      <c r="E153" s="128"/>
      <c r="F153" s="127"/>
      <c r="G153" s="125"/>
      <c r="H153" s="128"/>
      <c r="I153" s="127"/>
      <c r="J153" s="127"/>
      <c r="K153" s="127"/>
      <c r="L153" s="125"/>
      <c r="M153" s="125"/>
      <c r="N153" s="125"/>
      <c r="O153" s="127"/>
      <c r="P153" s="127"/>
      <c r="Q153" s="127"/>
      <c r="R153" s="127"/>
      <c r="S153" s="127"/>
      <c r="T153" s="127"/>
      <c r="U153" s="127"/>
      <c r="V153" s="128"/>
      <c r="W153" s="128"/>
      <c r="X153" s="129" t="str">
        <f t="shared" si="5"/>
        <v/>
      </c>
      <c r="Y153" s="127"/>
      <c r="Z153" s="128"/>
      <c r="AA153" s="130"/>
      <c r="AB153" s="130"/>
      <c r="AC153" s="130"/>
      <c r="AD153" s="130"/>
      <c r="AE153" s="130"/>
      <c r="AF153" s="130"/>
      <c r="AG153" s="127"/>
      <c r="AH153" s="130"/>
      <c r="AI153" s="127"/>
      <c r="AJ153" s="127"/>
      <c r="AK153" s="127"/>
    </row>
    <row r="154" spans="1:37" ht="36" customHeight="1" x14ac:dyDescent="0.25">
      <c r="A154" s="145" t="s">
        <v>834</v>
      </c>
      <c r="B154" s="126" t="str">
        <f t="shared" si="4"/>
        <v>135/2026/HĐLĐ-MAU</v>
      </c>
      <c r="C154" s="127"/>
      <c r="D154" s="127"/>
      <c r="E154" s="128"/>
      <c r="F154" s="127"/>
      <c r="G154" s="125"/>
      <c r="H154" s="128"/>
      <c r="I154" s="127"/>
      <c r="J154" s="127"/>
      <c r="K154" s="127"/>
      <c r="L154" s="125"/>
      <c r="M154" s="125"/>
      <c r="N154" s="125"/>
      <c r="O154" s="127"/>
      <c r="P154" s="127"/>
      <c r="Q154" s="127"/>
      <c r="R154" s="127"/>
      <c r="S154" s="127"/>
      <c r="T154" s="127"/>
      <c r="U154" s="127"/>
      <c r="V154" s="128"/>
      <c r="W154" s="128"/>
      <c r="X154" s="129" t="str">
        <f t="shared" si="5"/>
        <v/>
      </c>
      <c r="Y154" s="127"/>
      <c r="Z154" s="128"/>
      <c r="AA154" s="130"/>
      <c r="AB154" s="130"/>
      <c r="AC154" s="130"/>
      <c r="AD154" s="130"/>
      <c r="AE154" s="130"/>
      <c r="AF154" s="130"/>
      <c r="AG154" s="127"/>
      <c r="AH154" s="130"/>
      <c r="AI154" s="127"/>
      <c r="AJ154" s="127"/>
      <c r="AK154" s="127"/>
    </row>
    <row r="155" spans="1:37" ht="36" customHeight="1" x14ac:dyDescent="0.25">
      <c r="A155" s="145" t="s">
        <v>835</v>
      </c>
      <c r="B155" s="126" t="str">
        <f t="shared" si="4"/>
        <v>136/2026/HĐLĐ-MAU</v>
      </c>
      <c r="C155" s="127"/>
      <c r="D155" s="127"/>
      <c r="E155" s="128"/>
      <c r="F155" s="127"/>
      <c r="G155" s="125"/>
      <c r="H155" s="128"/>
      <c r="I155" s="127"/>
      <c r="J155" s="127"/>
      <c r="K155" s="127"/>
      <c r="L155" s="125"/>
      <c r="M155" s="125"/>
      <c r="N155" s="125"/>
      <c r="O155" s="127"/>
      <c r="P155" s="127"/>
      <c r="Q155" s="127"/>
      <c r="R155" s="127"/>
      <c r="S155" s="127"/>
      <c r="T155" s="127"/>
      <c r="U155" s="127"/>
      <c r="V155" s="128"/>
      <c r="W155" s="128"/>
      <c r="X155" s="129" t="str">
        <f t="shared" si="5"/>
        <v/>
      </c>
      <c r="Y155" s="127"/>
      <c r="Z155" s="128"/>
      <c r="AA155" s="130"/>
      <c r="AB155" s="130"/>
      <c r="AC155" s="130"/>
      <c r="AD155" s="130"/>
      <c r="AE155" s="130"/>
      <c r="AF155" s="130"/>
      <c r="AG155" s="127"/>
      <c r="AH155" s="130"/>
      <c r="AI155" s="127"/>
      <c r="AJ155" s="127"/>
      <c r="AK155" s="127"/>
    </row>
    <row r="156" spans="1:37" ht="36" customHeight="1" x14ac:dyDescent="0.25">
      <c r="A156" s="145" t="s">
        <v>836</v>
      </c>
      <c r="B156" s="126" t="str">
        <f t="shared" si="4"/>
        <v>137/2026/HĐLĐ-MAU</v>
      </c>
      <c r="C156" s="127"/>
      <c r="D156" s="127"/>
      <c r="E156" s="128"/>
      <c r="F156" s="127"/>
      <c r="G156" s="125"/>
      <c r="H156" s="128"/>
      <c r="I156" s="127"/>
      <c r="J156" s="127"/>
      <c r="K156" s="127"/>
      <c r="L156" s="125"/>
      <c r="M156" s="125"/>
      <c r="N156" s="125"/>
      <c r="O156" s="127"/>
      <c r="P156" s="127"/>
      <c r="Q156" s="127"/>
      <c r="R156" s="127"/>
      <c r="S156" s="127"/>
      <c r="T156" s="127"/>
      <c r="U156" s="127"/>
      <c r="V156" s="128"/>
      <c r="W156" s="128"/>
      <c r="X156" s="129" t="str">
        <f t="shared" si="5"/>
        <v/>
      </c>
      <c r="Y156" s="127"/>
      <c r="Z156" s="128"/>
      <c r="AA156" s="130"/>
      <c r="AB156" s="130"/>
      <c r="AC156" s="130"/>
      <c r="AD156" s="130"/>
      <c r="AE156" s="130"/>
      <c r="AF156" s="130"/>
      <c r="AG156" s="127"/>
      <c r="AH156" s="130"/>
      <c r="AI156" s="127"/>
      <c r="AJ156" s="127"/>
      <c r="AK156" s="127"/>
    </row>
    <row r="157" spans="1:37" ht="36" customHeight="1" x14ac:dyDescent="0.25">
      <c r="A157" s="145" t="s">
        <v>837</v>
      </c>
      <c r="B157" s="126" t="str">
        <f t="shared" si="4"/>
        <v>138/2026/HĐLĐ-MAU</v>
      </c>
      <c r="C157" s="127"/>
      <c r="D157" s="127"/>
      <c r="E157" s="128"/>
      <c r="F157" s="127"/>
      <c r="G157" s="125"/>
      <c r="H157" s="128"/>
      <c r="I157" s="127"/>
      <c r="J157" s="127"/>
      <c r="K157" s="127"/>
      <c r="L157" s="125"/>
      <c r="M157" s="125"/>
      <c r="N157" s="125"/>
      <c r="O157" s="127"/>
      <c r="P157" s="127"/>
      <c r="Q157" s="127"/>
      <c r="R157" s="127"/>
      <c r="S157" s="127"/>
      <c r="T157" s="127"/>
      <c r="U157" s="127"/>
      <c r="V157" s="128"/>
      <c r="W157" s="128"/>
      <c r="X157" s="129" t="str">
        <f t="shared" si="5"/>
        <v/>
      </c>
      <c r="Y157" s="127"/>
      <c r="Z157" s="128"/>
      <c r="AA157" s="130"/>
      <c r="AB157" s="130"/>
      <c r="AC157" s="130"/>
      <c r="AD157" s="130"/>
      <c r="AE157" s="130"/>
      <c r="AF157" s="130"/>
      <c r="AG157" s="127"/>
      <c r="AH157" s="130"/>
      <c r="AI157" s="127"/>
      <c r="AJ157" s="127"/>
      <c r="AK157" s="127"/>
    </row>
    <row r="158" spans="1:37" ht="36" customHeight="1" x14ac:dyDescent="0.25">
      <c r="A158" s="145" t="s">
        <v>838</v>
      </c>
      <c r="B158" s="126" t="str">
        <f t="shared" si="4"/>
        <v>139/2026/HĐLĐ-MAU</v>
      </c>
      <c r="C158" s="127"/>
      <c r="D158" s="127"/>
      <c r="E158" s="128"/>
      <c r="F158" s="127"/>
      <c r="G158" s="125"/>
      <c r="H158" s="128"/>
      <c r="I158" s="127"/>
      <c r="J158" s="127"/>
      <c r="K158" s="127"/>
      <c r="L158" s="125"/>
      <c r="M158" s="125"/>
      <c r="N158" s="125"/>
      <c r="O158" s="127"/>
      <c r="P158" s="127"/>
      <c r="Q158" s="127"/>
      <c r="R158" s="127"/>
      <c r="S158" s="127"/>
      <c r="T158" s="127"/>
      <c r="U158" s="127"/>
      <c r="V158" s="128"/>
      <c r="W158" s="128"/>
      <c r="X158" s="129" t="str">
        <f t="shared" si="5"/>
        <v/>
      </c>
      <c r="Y158" s="127"/>
      <c r="Z158" s="128"/>
      <c r="AA158" s="130"/>
      <c r="AB158" s="130"/>
      <c r="AC158" s="130"/>
      <c r="AD158" s="130"/>
      <c r="AE158" s="130"/>
      <c r="AF158" s="130"/>
      <c r="AG158" s="127"/>
      <c r="AH158" s="130"/>
      <c r="AI158" s="127"/>
      <c r="AJ158" s="127"/>
      <c r="AK158" s="127"/>
    </row>
    <row r="159" spans="1:37" ht="36" customHeight="1" x14ac:dyDescent="0.25">
      <c r="A159" s="145" t="s">
        <v>839</v>
      </c>
      <c r="B159" s="126" t="str">
        <f t="shared" si="4"/>
        <v>140/2026/HĐLĐ-MAU</v>
      </c>
      <c r="C159" s="127"/>
      <c r="D159" s="127"/>
      <c r="E159" s="128"/>
      <c r="F159" s="127"/>
      <c r="G159" s="125"/>
      <c r="H159" s="128"/>
      <c r="I159" s="127"/>
      <c r="J159" s="127"/>
      <c r="K159" s="127"/>
      <c r="L159" s="125"/>
      <c r="M159" s="125"/>
      <c r="N159" s="125"/>
      <c r="O159" s="127"/>
      <c r="P159" s="127"/>
      <c r="Q159" s="127"/>
      <c r="R159" s="127"/>
      <c r="S159" s="127"/>
      <c r="T159" s="127"/>
      <c r="U159" s="127"/>
      <c r="V159" s="128"/>
      <c r="W159" s="128"/>
      <c r="X159" s="129" t="str">
        <f t="shared" si="5"/>
        <v/>
      </c>
      <c r="Y159" s="127"/>
      <c r="Z159" s="128"/>
      <c r="AA159" s="130"/>
      <c r="AB159" s="130"/>
      <c r="AC159" s="130"/>
      <c r="AD159" s="130"/>
      <c r="AE159" s="130"/>
      <c r="AF159" s="130"/>
      <c r="AG159" s="127"/>
      <c r="AH159" s="130"/>
      <c r="AI159" s="127"/>
      <c r="AJ159" s="127"/>
      <c r="AK159" s="127"/>
    </row>
    <row r="160" spans="1:37" ht="36" customHeight="1" x14ac:dyDescent="0.25">
      <c r="A160" s="145" t="s">
        <v>840</v>
      </c>
      <c r="B160" s="126" t="str">
        <f t="shared" si="4"/>
        <v>141/2026/HĐLĐ-MAU</v>
      </c>
      <c r="C160" s="127"/>
      <c r="D160" s="127"/>
      <c r="E160" s="128"/>
      <c r="F160" s="127"/>
      <c r="G160" s="125"/>
      <c r="H160" s="128"/>
      <c r="I160" s="127"/>
      <c r="J160" s="127"/>
      <c r="K160" s="127"/>
      <c r="L160" s="125"/>
      <c r="M160" s="125"/>
      <c r="N160" s="125"/>
      <c r="O160" s="127"/>
      <c r="P160" s="127"/>
      <c r="Q160" s="127"/>
      <c r="R160" s="127"/>
      <c r="S160" s="127"/>
      <c r="T160" s="127"/>
      <c r="U160" s="127"/>
      <c r="V160" s="128"/>
      <c r="W160" s="128"/>
      <c r="X160" s="129" t="str">
        <f t="shared" si="5"/>
        <v/>
      </c>
      <c r="Y160" s="127"/>
      <c r="Z160" s="128"/>
      <c r="AA160" s="130"/>
      <c r="AB160" s="130"/>
      <c r="AC160" s="130"/>
      <c r="AD160" s="130"/>
      <c r="AE160" s="130"/>
      <c r="AF160" s="130"/>
      <c r="AG160" s="127"/>
      <c r="AH160" s="130"/>
      <c r="AI160" s="127"/>
      <c r="AJ160" s="127"/>
      <c r="AK160" s="127"/>
    </row>
    <row r="161" spans="1:37" ht="36" customHeight="1" x14ac:dyDescent="0.25">
      <c r="A161" s="145" t="s">
        <v>841</v>
      </c>
      <c r="B161" s="126" t="str">
        <f t="shared" si="4"/>
        <v>142/2026/HĐLĐ-MAU</v>
      </c>
      <c r="C161" s="127"/>
      <c r="D161" s="127"/>
      <c r="E161" s="128"/>
      <c r="F161" s="127"/>
      <c r="G161" s="125"/>
      <c r="H161" s="128"/>
      <c r="I161" s="127"/>
      <c r="J161" s="127"/>
      <c r="K161" s="127"/>
      <c r="L161" s="125"/>
      <c r="M161" s="125"/>
      <c r="N161" s="125"/>
      <c r="O161" s="127"/>
      <c r="P161" s="127"/>
      <c r="Q161" s="127"/>
      <c r="R161" s="127"/>
      <c r="S161" s="127"/>
      <c r="T161" s="127"/>
      <c r="U161" s="127"/>
      <c r="V161" s="128"/>
      <c r="W161" s="128"/>
      <c r="X161" s="129" t="str">
        <f t="shared" si="5"/>
        <v/>
      </c>
      <c r="Y161" s="127"/>
      <c r="Z161" s="128"/>
      <c r="AA161" s="130"/>
      <c r="AB161" s="130"/>
      <c r="AC161" s="130"/>
      <c r="AD161" s="130"/>
      <c r="AE161" s="130"/>
      <c r="AF161" s="130"/>
      <c r="AG161" s="127"/>
      <c r="AH161" s="130"/>
      <c r="AI161" s="127"/>
      <c r="AJ161" s="127"/>
      <c r="AK161" s="127"/>
    </row>
    <row r="162" spans="1:37" ht="36" customHeight="1" x14ac:dyDescent="0.25">
      <c r="A162" s="145" t="s">
        <v>842</v>
      </c>
      <c r="B162" s="126" t="str">
        <f t="shared" si="4"/>
        <v>143/2026/HĐLĐ-MAU</v>
      </c>
      <c r="C162" s="127"/>
      <c r="D162" s="127"/>
      <c r="E162" s="128"/>
      <c r="F162" s="127"/>
      <c r="G162" s="125"/>
      <c r="H162" s="128"/>
      <c r="I162" s="127"/>
      <c r="J162" s="127"/>
      <c r="K162" s="127"/>
      <c r="L162" s="125"/>
      <c r="M162" s="125"/>
      <c r="N162" s="125"/>
      <c r="O162" s="127"/>
      <c r="P162" s="127"/>
      <c r="Q162" s="127"/>
      <c r="R162" s="127"/>
      <c r="S162" s="127"/>
      <c r="T162" s="127"/>
      <c r="U162" s="127"/>
      <c r="V162" s="128"/>
      <c r="W162" s="128"/>
      <c r="X162" s="129" t="str">
        <f t="shared" si="5"/>
        <v/>
      </c>
      <c r="Y162" s="127"/>
      <c r="Z162" s="128"/>
      <c r="AA162" s="130"/>
      <c r="AB162" s="130"/>
      <c r="AC162" s="130"/>
      <c r="AD162" s="130"/>
      <c r="AE162" s="130"/>
      <c r="AF162" s="130"/>
      <c r="AG162" s="127"/>
      <c r="AH162" s="130"/>
      <c r="AI162" s="127"/>
      <c r="AJ162" s="127"/>
      <c r="AK162" s="127"/>
    </row>
    <row r="163" spans="1:37" ht="36" customHeight="1" x14ac:dyDescent="0.25">
      <c r="A163" s="145" t="s">
        <v>843</v>
      </c>
      <c r="B163" s="126" t="str">
        <f t="shared" si="4"/>
        <v>144/2026/HĐLĐ-MAU</v>
      </c>
      <c r="C163" s="127"/>
      <c r="D163" s="127"/>
      <c r="E163" s="128"/>
      <c r="F163" s="127"/>
      <c r="G163" s="125"/>
      <c r="H163" s="128"/>
      <c r="I163" s="127"/>
      <c r="J163" s="127"/>
      <c r="K163" s="127"/>
      <c r="L163" s="125"/>
      <c r="M163" s="125"/>
      <c r="N163" s="125"/>
      <c r="O163" s="127"/>
      <c r="P163" s="127"/>
      <c r="Q163" s="127"/>
      <c r="R163" s="127"/>
      <c r="S163" s="127"/>
      <c r="T163" s="127"/>
      <c r="U163" s="127"/>
      <c r="V163" s="128"/>
      <c r="W163" s="128"/>
      <c r="X163" s="129" t="str">
        <f t="shared" si="5"/>
        <v/>
      </c>
      <c r="Y163" s="127"/>
      <c r="Z163" s="128"/>
      <c r="AA163" s="130"/>
      <c r="AB163" s="130"/>
      <c r="AC163" s="130"/>
      <c r="AD163" s="130"/>
      <c r="AE163" s="130"/>
      <c r="AF163" s="130"/>
      <c r="AG163" s="127"/>
      <c r="AH163" s="130"/>
      <c r="AI163" s="127"/>
      <c r="AJ163" s="127"/>
      <c r="AK163" s="127"/>
    </row>
    <row r="164" spans="1:37" ht="36" customHeight="1" x14ac:dyDescent="0.25">
      <c r="A164" s="145" t="s">
        <v>844</v>
      </c>
      <c r="B164" s="126" t="str">
        <f t="shared" si="4"/>
        <v>145/2026/HĐLĐ-MAU</v>
      </c>
      <c r="C164" s="127"/>
      <c r="D164" s="127"/>
      <c r="E164" s="128"/>
      <c r="F164" s="127"/>
      <c r="G164" s="125"/>
      <c r="H164" s="128"/>
      <c r="I164" s="127"/>
      <c r="J164" s="127"/>
      <c r="K164" s="127"/>
      <c r="L164" s="125"/>
      <c r="M164" s="125"/>
      <c r="N164" s="125"/>
      <c r="O164" s="127"/>
      <c r="P164" s="127"/>
      <c r="Q164" s="127"/>
      <c r="R164" s="127"/>
      <c r="S164" s="127"/>
      <c r="T164" s="127"/>
      <c r="U164" s="127"/>
      <c r="V164" s="128"/>
      <c r="W164" s="128"/>
      <c r="X164" s="129" t="str">
        <f t="shared" si="5"/>
        <v/>
      </c>
      <c r="Y164" s="127"/>
      <c r="Z164" s="128"/>
      <c r="AA164" s="130"/>
      <c r="AB164" s="130"/>
      <c r="AC164" s="130"/>
      <c r="AD164" s="130"/>
      <c r="AE164" s="130"/>
      <c r="AF164" s="130"/>
      <c r="AG164" s="127"/>
      <c r="AH164" s="130"/>
      <c r="AI164" s="127"/>
      <c r="AJ164" s="127"/>
      <c r="AK164" s="127"/>
    </row>
    <row r="165" spans="1:37" ht="36" customHeight="1" x14ac:dyDescent="0.25">
      <c r="A165" s="145" t="s">
        <v>845</v>
      </c>
      <c r="B165" s="126" t="str">
        <f t="shared" si="4"/>
        <v>146/2026/HĐLĐ-MAU</v>
      </c>
      <c r="C165" s="127"/>
      <c r="D165" s="127"/>
      <c r="E165" s="128"/>
      <c r="F165" s="127"/>
      <c r="G165" s="125"/>
      <c r="H165" s="128"/>
      <c r="I165" s="127"/>
      <c r="J165" s="127"/>
      <c r="K165" s="127"/>
      <c r="L165" s="125"/>
      <c r="M165" s="125"/>
      <c r="N165" s="125"/>
      <c r="O165" s="127"/>
      <c r="P165" s="127"/>
      <c r="Q165" s="127"/>
      <c r="R165" s="127"/>
      <c r="S165" s="127"/>
      <c r="T165" s="127"/>
      <c r="U165" s="127"/>
      <c r="V165" s="128"/>
      <c r="W165" s="128"/>
      <c r="X165" s="129" t="str">
        <f t="shared" si="5"/>
        <v/>
      </c>
      <c r="Y165" s="127"/>
      <c r="Z165" s="128"/>
      <c r="AA165" s="130"/>
      <c r="AB165" s="130"/>
      <c r="AC165" s="130"/>
      <c r="AD165" s="130"/>
      <c r="AE165" s="130"/>
      <c r="AF165" s="130"/>
      <c r="AG165" s="127"/>
      <c r="AH165" s="130"/>
      <c r="AI165" s="127"/>
      <c r="AJ165" s="127"/>
      <c r="AK165" s="127"/>
    </row>
    <row r="166" spans="1:37" ht="36" customHeight="1" x14ac:dyDescent="0.25">
      <c r="A166" s="145" t="s">
        <v>846</v>
      </c>
      <c r="B166" s="126" t="str">
        <f t="shared" si="4"/>
        <v>147/2026/HĐLĐ-MAU</v>
      </c>
      <c r="C166" s="127"/>
      <c r="D166" s="127"/>
      <c r="E166" s="128"/>
      <c r="F166" s="127"/>
      <c r="G166" s="125"/>
      <c r="H166" s="128"/>
      <c r="I166" s="127"/>
      <c r="J166" s="127"/>
      <c r="K166" s="127"/>
      <c r="L166" s="125"/>
      <c r="M166" s="125"/>
      <c r="N166" s="125"/>
      <c r="O166" s="127"/>
      <c r="P166" s="127"/>
      <c r="Q166" s="127"/>
      <c r="R166" s="127"/>
      <c r="S166" s="127"/>
      <c r="T166" s="127"/>
      <c r="U166" s="127"/>
      <c r="V166" s="128"/>
      <c r="W166" s="128"/>
      <c r="X166" s="129" t="str">
        <f t="shared" si="5"/>
        <v/>
      </c>
      <c r="Y166" s="127"/>
      <c r="Z166" s="128"/>
      <c r="AA166" s="130"/>
      <c r="AB166" s="130"/>
      <c r="AC166" s="130"/>
      <c r="AD166" s="130"/>
      <c r="AE166" s="130"/>
      <c r="AF166" s="130"/>
      <c r="AG166" s="127"/>
      <c r="AH166" s="130"/>
      <c r="AI166" s="127"/>
      <c r="AJ166" s="127"/>
      <c r="AK166" s="127"/>
    </row>
    <row r="167" spans="1:37" ht="36" customHeight="1" x14ac:dyDescent="0.25">
      <c r="A167" s="145" t="s">
        <v>847</v>
      </c>
      <c r="B167" s="126" t="str">
        <f t="shared" si="4"/>
        <v>148/2026/HĐLĐ-MAU</v>
      </c>
      <c r="C167" s="127"/>
      <c r="D167" s="127"/>
      <c r="E167" s="128"/>
      <c r="F167" s="127"/>
      <c r="G167" s="125"/>
      <c r="H167" s="128"/>
      <c r="I167" s="127"/>
      <c r="J167" s="127"/>
      <c r="K167" s="127"/>
      <c r="L167" s="125"/>
      <c r="M167" s="125"/>
      <c r="N167" s="125"/>
      <c r="O167" s="127"/>
      <c r="P167" s="127"/>
      <c r="Q167" s="127"/>
      <c r="R167" s="127"/>
      <c r="S167" s="127"/>
      <c r="T167" s="127"/>
      <c r="U167" s="127"/>
      <c r="V167" s="128"/>
      <c r="W167" s="128"/>
      <c r="X167" s="129" t="str">
        <f t="shared" si="5"/>
        <v/>
      </c>
      <c r="Y167" s="127"/>
      <c r="Z167" s="128"/>
      <c r="AA167" s="130"/>
      <c r="AB167" s="130"/>
      <c r="AC167" s="130"/>
      <c r="AD167" s="130"/>
      <c r="AE167" s="130"/>
      <c r="AF167" s="130"/>
      <c r="AG167" s="127"/>
      <c r="AH167" s="130"/>
      <c r="AI167" s="127"/>
      <c r="AJ167" s="127"/>
      <c r="AK167" s="127"/>
    </row>
    <row r="168" spans="1:37" ht="36" customHeight="1" x14ac:dyDescent="0.25">
      <c r="A168" s="145" t="s">
        <v>848</v>
      </c>
      <c r="B168" s="126" t="str">
        <f t="shared" si="4"/>
        <v>149/2026/HĐLĐ-MAU</v>
      </c>
      <c r="C168" s="127"/>
      <c r="D168" s="127"/>
      <c r="E168" s="128"/>
      <c r="F168" s="127"/>
      <c r="G168" s="125"/>
      <c r="H168" s="128"/>
      <c r="I168" s="127"/>
      <c r="J168" s="127"/>
      <c r="K168" s="127"/>
      <c r="L168" s="125"/>
      <c r="M168" s="125"/>
      <c r="N168" s="125"/>
      <c r="O168" s="127"/>
      <c r="P168" s="127"/>
      <c r="Q168" s="127"/>
      <c r="R168" s="127"/>
      <c r="S168" s="127"/>
      <c r="T168" s="127"/>
      <c r="U168" s="127"/>
      <c r="V168" s="128"/>
      <c r="W168" s="128"/>
      <c r="X168" s="129" t="str">
        <f t="shared" si="5"/>
        <v/>
      </c>
      <c r="Y168" s="127"/>
      <c r="Z168" s="128"/>
      <c r="AA168" s="130"/>
      <c r="AB168" s="130"/>
      <c r="AC168" s="130"/>
      <c r="AD168" s="130"/>
      <c r="AE168" s="130"/>
      <c r="AF168" s="130"/>
      <c r="AG168" s="127"/>
      <c r="AH168" s="130"/>
      <c r="AI168" s="127"/>
      <c r="AJ168" s="127"/>
      <c r="AK168" s="127"/>
    </row>
    <row r="169" spans="1:37" ht="36" customHeight="1" x14ac:dyDescent="0.25">
      <c r="A169" s="145" t="s">
        <v>849</v>
      </c>
      <c r="B169" s="126" t="str">
        <f t="shared" si="4"/>
        <v>150/2026/HĐLĐ-MAU</v>
      </c>
      <c r="C169" s="127"/>
      <c r="D169" s="127"/>
      <c r="E169" s="128"/>
      <c r="F169" s="127"/>
      <c r="G169" s="125"/>
      <c r="H169" s="128"/>
      <c r="I169" s="127"/>
      <c r="J169" s="127"/>
      <c r="K169" s="127"/>
      <c r="L169" s="125"/>
      <c r="M169" s="125"/>
      <c r="N169" s="125"/>
      <c r="O169" s="127"/>
      <c r="P169" s="127"/>
      <c r="Q169" s="127"/>
      <c r="R169" s="127"/>
      <c r="S169" s="127"/>
      <c r="T169" s="127"/>
      <c r="U169" s="127"/>
      <c r="V169" s="128"/>
      <c r="W169" s="128"/>
      <c r="X169" s="129" t="str">
        <f t="shared" si="5"/>
        <v/>
      </c>
      <c r="Y169" s="127"/>
      <c r="Z169" s="128"/>
      <c r="AA169" s="130"/>
      <c r="AB169" s="130"/>
      <c r="AC169" s="130"/>
      <c r="AD169" s="130"/>
      <c r="AE169" s="130"/>
      <c r="AF169" s="130"/>
      <c r="AG169" s="127"/>
      <c r="AH169" s="130"/>
      <c r="AI169" s="127"/>
      <c r="AJ169" s="127"/>
      <c r="AK169" s="127"/>
    </row>
    <row r="170" spans="1:37" ht="36" customHeight="1" x14ac:dyDescent="0.25">
      <c r="A170" s="145" t="s">
        <v>850</v>
      </c>
      <c r="B170" s="126" t="str">
        <f t="shared" si="4"/>
        <v>151/2026/HĐLĐ-MAU</v>
      </c>
      <c r="C170" s="127"/>
      <c r="D170" s="127"/>
      <c r="E170" s="128"/>
      <c r="F170" s="127"/>
      <c r="G170" s="125"/>
      <c r="H170" s="128"/>
      <c r="I170" s="127"/>
      <c r="J170" s="127"/>
      <c r="K170" s="127"/>
      <c r="L170" s="125"/>
      <c r="M170" s="125"/>
      <c r="N170" s="125"/>
      <c r="O170" s="127"/>
      <c r="P170" s="127"/>
      <c r="Q170" s="127"/>
      <c r="R170" s="127"/>
      <c r="S170" s="127"/>
      <c r="T170" s="127"/>
      <c r="U170" s="127"/>
      <c r="V170" s="128"/>
      <c r="W170" s="128"/>
      <c r="X170" s="129" t="str">
        <f t="shared" si="5"/>
        <v/>
      </c>
      <c r="Y170" s="127"/>
      <c r="Z170" s="128"/>
      <c r="AA170" s="130"/>
      <c r="AB170" s="130"/>
      <c r="AC170" s="130"/>
      <c r="AD170" s="130"/>
      <c r="AE170" s="130"/>
      <c r="AF170" s="130"/>
      <c r="AG170" s="127"/>
      <c r="AH170" s="130"/>
      <c r="AI170" s="127"/>
      <c r="AJ170" s="127"/>
      <c r="AK170" s="127"/>
    </row>
    <row r="171" spans="1:37" ht="36" customHeight="1" x14ac:dyDescent="0.25">
      <c r="A171" s="145" t="s">
        <v>851</v>
      </c>
      <c r="B171" s="126" t="str">
        <f t="shared" si="4"/>
        <v>152/2026/HĐLĐ-MAU</v>
      </c>
      <c r="C171" s="127"/>
      <c r="D171" s="127"/>
      <c r="E171" s="128"/>
      <c r="F171" s="127"/>
      <c r="G171" s="125"/>
      <c r="H171" s="128"/>
      <c r="I171" s="127"/>
      <c r="J171" s="127"/>
      <c r="K171" s="127"/>
      <c r="L171" s="125"/>
      <c r="M171" s="125"/>
      <c r="N171" s="125"/>
      <c r="O171" s="127"/>
      <c r="P171" s="127"/>
      <c r="Q171" s="127"/>
      <c r="R171" s="127"/>
      <c r="S171" s="127"/>
      <c r="T171" s="127"/>
      <c r="U171" s="127"/>
      <c r="V171" s="128"/>
      <c r="W171" s="128"/>
      <c r="X171" s="129" t="str">
        <f t="shared" si="5"/>
        <v/>
      </c>
      <c r="Y171" s="127"/>
      <c r="Z171" s="128"/>
      <c r="AA171" s="130"/>
      <c r="AB171" s="130"/>
      <c r="AC171" s="130"/>
      <c r="AD171" s="130"/>
      <c r="AE171" s="130"/>
      <c r="AF171" s="130"/>
      <c r="AG171" s="127"/>
      <c r="AH171" s="130"/>
      <c r="AI171" s="127"/>
      <c r="AJ171" s="127"/>
      <c r="AK171" s="127"/>
    </row>
    <row r="172" spans="1:37" ht="36" customHeight="1" x14ac:dyDescent="0.25">
      <c r="A172" s="145" t="s">
        <v>852</v>
      </c>
      <c r="B172" s="126" t="str">
        <f t="shared" si="4"/>
        <v>153/2026/HĐLĐ-MAU</v>
      </c>
      <c r="C172" s="127"/>
      <c r="D172" s="127"/>
      <c r="E172" s="128"/>
      <c r="F172" s="127"/>
      <c r="G172" s="125"/>
      <c r="H172" s="128"/>
      <c r="I172" s="127"/>
      <c r="J172" s="127"/>
      <c r="K172" s="127"/>
      <c r="L172" s="125"/>
      <c r="M172" s="125"/>
      <c r="N172" s="125"/>
      <c r="O172" s="127"/>
      <c r="P172" s="127"/>
      <c r="Q172" s="127"/>
      <c r="R172" s="127"/>
      <c r="S172" s="127"/>
      <c r="T172" s="127"/>
      <c r="U172" s="127"/>
      <c r="V172" s="128"/>
      <c r="W172" s="128"/>
      <c r="X172" s="129" t="str">
        <f t="shared" si="5"/>
        <v/>
      </c>
      <c r="Y172" s="127"/>
      <c r="Z172" s="128"/>
      <c r="AA172" s="130"/>
      <c r="AB172" s="130"/>
      <c r="AC172" s="130"/>
      <c r="AD172" s="130"/>
      <c r="AE172" s="130"/>
      <c r="AF172" s="130"/>
      <c r="AG172" s="127"/>
      <c r="AH172" s="130"/>
      <c r="AI172" s="127"/>
      <c r="AJ172" s="127"/>
      <c r="AK172" s="127"/>
    </row>
    <row r="173" spans="1:37" ht="36" customHeight="1" x14ac:dyDescent="0.25">
      <c r="A173" s="145" t="s">
        <v>853</v>
      </c>
      <c r="B173" s="126" t="str">
        <f t="shared" si="4"/>
        <v>154/2026/HĐLĐ-MAU</v>
      </c>
      <c r="C173" s="127"/>
      <c r="D173" s="127"/>
      <c r="E173" s="128"/>
      <c r="F173" s="127"/>
      <c r="G173" s="125"/>
      <c r="H173" s="128"/>
      <c r="I173" s="127"/>
      <c r="J173" s="127"/>
      <c r="K173" s="127"/>
      <c r="L173" s="125"/>
      <c r="M173" s="125"/>
      <c r="N173" s="125"/>
      <c r="O173" s="127"/>
      <c r="P173" s="127"/>
      <c r="Q173" s="127"/>
      <c r="R173" s="127"/>
      <c r="S173" s="127"/>
      <c r="T173" s="127"/>
      <c r="U173" s="127"/>
      <c r="V173" s="128"/>
      <c r="W173" s="128"/>
      <c r="X173" s="129" t="str">
        <f t="shared" si="5"/>
        <v/>
      </c>
      <c r="Y173" s="127"/>
      <c r="Z173" s="128"/>
      <c r="AA173" s="130"/>
      <c r="AB173" s="130"/>
      <c r="AC173" s="130"/>
      <c r="AD173" s="130"/>
      <c r="AE173" s="130"/>
      <c r="AF173" s="130"/>
      <c r="AG173" s="127"/>
      <c r="AH173" s="130"/>
      <c r="AI173" s="127"/>
      <c r="AJ173" s="127"/>
      <c r="AK173" s="127"/>
    </row>
    <row r="174" spans="1:37" ht="36" customHeight="1" x14ac:dyDescent="0.25">
      <c r="A174" s="145" t="s">
        <v>854</v>
      </c>
      <c r="B174" s="126" t="str">
        <f t="shared" si="4"/>
        <v>155/2026/HĐLĐ-MAU</v>
      </c>
      <c r="C174" s="127"/>
      <c r="D174" s="127"/>
      <c r="E174" s="128"/>
      <c r="F174" s="127"/>
      <c r="G174" s="125"/>
      <c r="H174" s="128"/>
      <c r="I174" s="127"/>
      <c r="J174" s="127"/>
      <c r="K174" s="127"/>
      <c r="L174" s="125"/>
      <c r="M174" s="125"/>
      <c r="N174" s="125"/>
      <c r="O174" s="127"/>
      <c r="P174" s="127"/>
      <c r="Q174" s="127"/>
      <c r="R174" s="127"/>
      <c r="S174" s="127"/>
      <c r="T174" s="127"/>
      <c r="U174" s="127"/>
      <c r="V174" s="128"/>
      <c r="W174" s="128"/>
      <c r="X174" s="129" t="str">
        <f t="shared" si="5"/>
        <v/>
      </c>
      <c r="Y174" s="127"/>
      <c r="Z174" s="128"/>
      <c r="AA174" s="130"/>
      <c r="AB174" s="130"/>
      <c r="AC174" s="130"/>
      <c r="AD174" s="130"/>
      <c r="AE174" s="130"/>
      <c r="AF174" s="130"/>
      <c r="AG174" s="127"/>
      <c r="AH174" s="130"/>
      <c r="AI174" s="127"/>
      <c r="AJ174" s="127"/>
      <c r="AK174" s="127"/>
    </row>
    <row r="175" spans="1:37" ht="36" customHeight="1" x14ac:dyDescent="0.25">
      <c r="A175" s="145" t="s">
        <v>855</v>
      </c>
      <c r="B175" s="126" t="str">
        <f t="shared" si="4"/>
        <v>156/2026/HĐLĐ-MAU</v>
      </c>
      <c r="C175" s="127"/>
      <c r="D175" s="127"/>
      <c r="E175" s="128"/>
      <c r="F175" s="127"/>
      <c r="G175" s="125"/>
      <c r="H175" s="128"/>
      <c r="I175" s="127"/>
      <c r="J175" s="127"/>
      <c r="K175" s="127"/>
      <c r="L175" s="125"/>
      <c r="M175" s="125"/>
      <c r="N175" s="125"/>
      <c r="O175" s="127"/>
      <c r="P175" s="127"/>
      <c r="Q175" s="127"/>
      <c r="R175" s="127"/>
      <c r="S175" s="127"/>
      <c r="T175" s="127"/>
      <c r="U175" s="127"/>
      <c r="V175" s="128"/>
      <c r="W175" s="128"/>
      <c r="X175" s="129" t="str">
        <f t="shared" si="5"/>
        <v/>
      </c>
      <c r="Y175" s="127"/>
      <c r="Z175" s="128"/>
      <c r="AA175" s="130"/>
      <c r="AB175" s="130"/>
      <c r="AC175" s="130"/>
      <c r="AD175" s="130"/>
      <c r="AE175" s="130"/>
      <c r="AF175" s="130"/>
      <c r="AG175" s="127"/>
      <c r="AH175" s="130"/>
      <c r="AI175" s="127"/>
      <c r="AJ175" s="127"/>
      <c r="AK175" s="127"/>
    </row>
    <row r="176" spans="1:37" ht="36" customHeight="1" x14ac:dyDescent="0.25">
      <c r="A176" s="145" t="s">
        <v>856</v>
      </c>
      <c r="B176" s="126" t="str">
        <f t="shared" si="4"/>
        <v>157/2026/HĐLĐ-MAU</v>
      </c>
      <c r="C176" s="127"/>
      <c r="D176" s="127"/>
      <c r="E176" s="128"/>
      <c r="F176" s="127"/>
      <c r="G176" s="125"/>
      <c r="H176" s="128"/>
      <c r="I176" s="127"/>
      <c r="J176" s="127"/>
      <c r="K176" s="127"/>
      <c r="L176" s="125"/>
      <c r="M176" s="125"/>
      <c r="N176" s="125"/>
      <c r="O176" s="127"/>
      <c r="P176" s="127"/>
      <c r="Q176" s="127"/>
      <c r="R176" s="127"/>
      <c r="S176" s="127"/>
      <c r="T176" s="127"/>
      <c r="U176" s="127"/>
      <c r="V176" s="128"/>
      <c r="W176" s="128"/>
      <c r="X176" s="129" t="str">
        <f t="shared" si="5"/>
        <v/>
      </c>
      <c r="Y176" s="127"/>
      <c r="Z176" s="128"/>
      <c r="AA176" s="130"/>
      <c r="AB176" s="130"/>
      <c r="AC176" s="130"/>
      <c r="AD176" s="130"/>
      <c r="AE176" s="130"/>
      <c r="AF176" s="130"/>
      <c r="AG176" s="127"/>
      <c r="AH176" s="130"/>
      <c r="AI176" s="127"/>
      <c r="AJ176" s="127"/>
      <c r="AK176" s="127"/>
    </row>
    <row r="177" spans="1:37" ht="36" customHeight="1" x14ac:dyDescent="0.25">
      <c r="A177" s="145" t="s">
        <v>857</v>
      </c>
      <c r="B177" s="126" t="str">
        <f t="shared" si="4"/>
        <v>158/2026/HĐLĐ-MAU</v>
      </c>
      <c r="C177" s="127"/>
      <c r="D177" s="127"/>
      <c r="E177" s="128"/>
      <c r="F177" s="127"/>
      <c r="G177" s="125"/>
      <c r="H177" s="128"/>
      <c r="I177" s="127"/>
      <c r="J177" s="127"/>
      <c r="K177" s="127"/>
      <c r="L177" s="125"/>
      <c r="M177" s="125"/>
      <c r="N177" s="125"/>
      <c r="O177" s="127"/>
      <c r="P177" s="127"/>
      <c r="Q177" s="127"/>
      <c r="R177" s="127"/>
      <c r="S177" s="127"/>
      <c r="T177" s="127"/>
      <c r="U177" s="127"/>
      <c r="V177" s="128"/>
      <c r="W177" s="128"/>
      <c r="X177" s="129" t="str">
        <f t="shared" si="5"/>
        <v/>
      </c>
      <c r="Y177" s="127"/>
      <c r="Z177" s="128"/>
      <c r="AA177" s="130"/>
      <c r="AB177" s="130"/>
      <c r="AC177" s="130"/>
      <c r="AD177" s="130"/>
      <c r="AE177" s="130"/>
      <c r="AF177" s="130"/>
      <c r="AG177" s="127"/>
      <c r="AH177" s="130"/>
      <c r="AI177" s="127"/>
      <c r="AJ177" s="127"/>
      <c r="AK177" s="127"/>
    </row>
    <row r="178" spans="1:37" ht="36" customHeight="1" x14ac:dyDescent="0.25">
      <c r="A178" s="145" t="s">
        <v>858</v>
      </c>
      <c r="B178" s="126" t="str">
        <f t="shared" si="4"/>
        <v>159/2026/HĐLĐ-MAU</v>
      </c>
      <c r="C178" s="127"/>
      <c r="D178" s="127"/>
      <c r="E178" s="128"/>
      <c r="F178" s="127"/>
      <c r="G178" s="125"/>
      <c r="H178" s="128"/>
      <c r="I178" s="127"/>
      <c r="J178" s="127"/>
      <c r="K178" s="127"/>
      <c r="L178" s="125"/>
      <c r="M178" s="125"/>
      <c r="N178" s="125"/>
      <c r="O178" s="127"/>
      <c r="P178" s="127"/>
      <c r="Q178" s="127"/>
      <c r="R178" s="127"/>
      <c r="S178" s="127"/>
      <c r="T178" s="127"/>
      <c r="U178" s="127"/>
      <c r="V178" s="128"/>
      <c r="W178" s="128"/>
      <c r="X178" s="129" t="str">
        <f t="shared" si="5"/>
        <v/>
      </c>
      <c r="Y178" s="127"/>
      <c r="Z178" s="128"/>
      <c r="AA178" s="130"/>
      <c r="AB178" s="130"/>
      <c r="AC178" s="130"/>
      <c r="AD178" s="130"/>
      <c r="AE178" s="130"/>
      <c r="AF178" s="130"/>
      <c r="AG178" s="127"/>
      <c r="AH178" s="130"/>
      <c r="AI178" s="127"/>
      <c r="AJ178" s="127"/>
      <c r="AK178" s="127"/>
    </row>
    <row r="179" spans="1:37" ht="36" customHeight="1" x14ac:dyDescent="0.25">
      <c r="A179" s="145" t="s">
        <v>859</v>
      </c>
      <c r="B179" s="126" t="str">
        <f t="shared" si="4"/>
        <v>160/2026/HĐLĐ-MAU</v>
      </c>
      <c r="C179" s="127"/>
      <c r="D179" s="127"/>
      <c r="E179" s="128"/>
      <c r="F179" s="127"/>
      <c r="G179" s="125"/>
      <c r="H179" s="128"/>
      <c r="I179" s="127"/>
      <c r="J179" s="127"/>
      <c r="K179" s="127"/>
      <c r="L179" s="125"/>
      <c r="M179" s="125"/>
      <c r="N179" s="125"/>
      <c r="O179" s="127"/>
      <c r="P179" s="127"/>
      <c r="Q179" s="127"/>
      <c r="R179" s="127"/>
      <c r="S179" s="127"/>
      <c r="T179" s="127"/>
      <c r="U179" s="127"/>
      <c r="V179" s="128"/>
      <c r="W179" s="128"/>
      <c r="X179" s="129" t="str">
        <f t="shared" si="5"/>
        <v/>
      </c>
      <c r="Y179" s="127"/>
      <c r="Z179" s="128"/>
      <c r="AA179" s="130"/>
      <c r="AB179" s="130"/>
      <c r="AC179" s="130"/>
      <c r="AD179" s="130"/>
      <c r="AE179" s="130"/>
      <c r="AF179" s="130"/>
      <c r="AG179" s="127"/>
      <c r="AH179" s="130"/>
      <c r="AI179" s="127"/>
      <c r="AJ179" s="127"/>
      <c r="AK179" s="127"/>
    </row>
    <row r="180" spans="1:37" ht="36" customHeight="1" x14ac:dyDescent="0.25">
      <c r="A180" s="145" t="s">
        <v>860</v>
      </c>
      <c r="B180" s="126" t="str">
        <f t="shared" si="4"/>
        <v>161/2026/HĐLĐ-MAU</v>
      </c>
      <c r="C180" s="127"/>
      <c r="D180" s="127"/>
      <c r="E180" s="128"/>
      <c r="F180" s="127"/>
      <c r="G180" s="125"/>
      <c r="H180" s="128"/>
      <c r="I180" s="127"/>
      <c r="J180" s="127"/>
      <c r="K180" s="127"/>
      <c r="L180" s="125"/>
      <c r="M180" s="125"/>
      <c r="N180" s="125"/>
      <c r="O180" s="127"/>
      <c r="P180" s="127"/>
      <c r="Q180" s="127"/>
      <c r="R180" s="127"/>
      <c r="S180" s="127"/>
      <c r="T180" s="127"/>
      <c r="U180" s="127"/>
      <c r="V180" s="128"/>
      <c r="W180" s="128"/>
      <c r="X180" s="129" t="str">
        <f t="shared" si="5"/>
        <v/>
      </c>
      <c r="Y180" s="127"/>
      <c r="Z180" s="128"/>
      <c r="AA180" s="130"/>
      <c r="AB180" s="130"/>
      <c r="AC180" s="130"/>
      <c r="AD180" s="130"/>
      <c r="AE180" s="130"/>
      <c r="AF180" s="130"/>
      <c r="AG180" s="127"/>
      <c r="AH180" s="130"/>
      <c r="AI180" s="127"/>
      <c r="AJ180" s="127"/>
      <c r="AK180" s="127"/>
    </row>
    <row r="181" spans="1:37" ht="36" customHeight="1" x14ac:dyDescent="0.25">
      <c r="A181" s="145" t="s">
        <v>861</v>
      </c>
      <c r="B181" s="126" t="str">
        <f t="shared" si="4"/>
        <v>162/2026/HĐLĐ-MAU</v>
      </c>
      <c r="C181" s="127"/>
      <c r="D181" s="127"/>
      <c r="E181" s="128"/>
      <c r="F181" s="127"/>
      <c r="G181" s="125"/>
      <c r="H181" s="128"/>
      <c r="I181" s="127"/>
      <c r="J181" s="127"/>
      <c r="K181" s="127"/>
      <c r="L181" s="125"/>
      <c r="M181" s="125"/>
      <c r="N181" s="125"/>
      <c r="O181" s="127"/>
      <c r="P181" s="127"/>
      <c r="Q181" s="127"/>
      <c r="R181" s="127"/>
      <c r="S181" s="127"/>
      <c r="T181" s="127"/>
      <c r="U181" s="127"/>
      <c r="V181" s="128"/>
      <c r="W181" s="128"/>
      <c r="X181" s="129" t="str">
        <f t="shared" si="5"/>
        <v/>
      </c>
      <c r="Y181" s="127"/>
      <c r="Z181" s="128"/>
      <c r="AA181" s="130"/>
      <c r="AB181" s="130"/>
      <c r="AC181" s="130"/>
      <c r="AD181" s="130"/>
      <c r="AE181" s="130"/>
      <c r="AF181" s="130"/>
      <c r="AG181" s="127"/>
      <c r="AH181" s="130"/>
      <c r="AI181" s="127"/>
      <c r="AJ181" s="127"/>
      <c r="AK181" s="127"/>
    </row>
    <row r="182" spans="1:37" ht="36" customHeight="1" x14ac:dyDescent="0.25">
      <c r="A182" s="145" t="s">
        <v>862</v>
      </c>
      <c r="B182" s="126" t="str">
        <f t="shared" si="4"/>
        <v>163/2026/HĐLĐ-MAU</v>
      </c>
      <c r="C182" s="127"/>
      <c r="D182" s="127"/>
      <c r="E182" s="128"/>
      <c r="F182" s="127"/>
      <c r="G182" s="125"/>
      <c r="H182" s="128"/>
      <c r="I182" s="127"/>
      <c r="J182" s="127"/>
      <c r="K182" s="127"/>
      <c r="L182" s="125"/>
      <c r="M182" s="125"/>
      <c r="N182" s="125"/>
      <c r="O182" s="127"/>
      <c r="P182" s="127"/>
      <c r="Q182" s="127"/>
      <c r="R182" s="127"/>
      <c r="S182" s="127"/>
      <c r="T182" s="127"/>
      <c r="U182" s="127"/>
      <c r="V182" s="128"/>
      <c r="W182" s="128"/>
      <c r="X182" s="129" t="str">
        <f t="shared" si="5"/>
        <v/>
      </c>
      <c r="Y182" s="127"/>
      <c r="Z182" s="128"/>
      <c r="AA182" s="130"/>
      <c r="AB182" s="130"/>
      <c r="AC182" s="130"/>
      <c r="AD182" s="130"/>
      <c r="AE182" s="130"/>
      <c r="AF182" s="130"/>
      <c r="AG182" s="127"/>
      <c r="AH182" s="130"/>
      <c r="AI182" s="127"/>
      <c r="AJ182" s="127"/>
      <c r="AK182" s="127"/>
    </row>
    <row r="183" spans="1:37" ht="36" customHeight="1" x14ac:dyDescent="0.25">
      <c r="A183" s="145" t="s">
        <v>863</v>
      </c>
      <c r="B183" s="126" t="str">
        <f t="shared" si="4"/>
        <v>164/2026/HĐLĐ-MAU</v>
      </c>
      <c r="C183" s="127"/>
      <c r="D183" s="127"/>
      <c r="E183" s="128"/>
      <c r="F183" s="127"/>
      <c r="G183" s="125"/>
      <c r="H183" s="128"/>
      <c r="I183" s="127"/>
      <c r="J183" s="127"/>
      <c r="K183" s="127"/>
      <c r="L183" s="125"/>
      <c r="M183" s="125"/>
      <c r="N183" s="125"/>
      <c r="O183" s="127"/>
      <c r="P183" s="127"/>
      <c r="Q183" s="127"/>
      <c r="R183" s="127"/>
      <c r="S183" s="127"/>
      <c r="T183" s="127"/>
      <c r="U183" s="127"/>
      <c r="V183" s="128"/>
      <c r="W183" s="128"/>
      <c r="X183" s="129" t="str">
        <f t="shared" si="5"/>
        <v/>
      </c>
      <c r="Y183" s="127"/>
      <c r="Z183" s="128"/>
      <c r="AA183" s="130"/>
      <c r="AB183" s="130"/>
      <c r="AC183" s="130"/>
      <c r="AD183" s="130"/>
      <c r="AE183" s="130"/>
      <c r="AF183" s="130"/>
      <c r="AG183" s="127"/>
      <c r="AH183" s="130"/>
      <c r="AI183" s="127"/>
      <c r="AJ183" s="127"/>
      <c r="AK183" s="127"/>
    </row>
    <row r="184" spans="1:37" ht="36" customHeight="1" x14ac:dyDescent="0.25">
      <c r="A184" s="145" t="s">
        <v>864</v>
      </c>
      <c r="B184" s="126" t="str">
        <f t="shared" si="4"/>
        <v>165/2026/HĐLĐ-MAU</v>
      </c>
      <c r="C184" s="127"/>
      <c r="D184" s="127"/>
      <c r="E184" s="128"/>
      <c r="F184" s="127"/>
      <c r="G184" s="125"/>
      <c r="H184" s="128"/>
      <c r="I184" s="127"/>
      <c r="J184" s="127"/>
      <c r="K184" s="127"/>
      <c r="L184" s="125"/>
      <c r="M184" s="125"/>
      <c r="N184" s="125"/>
      <c r="O184" s="127"/>
      <c r="P184" s="127"/>
      <c r="Q184" s="127"/>
      <c r="R184" s="127"/>
      <c r="S184" s="127"/>
      <c r="T184" s="127"/>
      <c r="U184" s="127"/>
      <c r="V184" s="128"/>
      <c r="W184" s="128"/>
      <c r="X184" s="129" t="str">
        <f t="shared" si="5"/>
        <v/>
      </c>
      <c r="Y184" s="127"/>
      <c r="Z184" s="128"/>
      <c r="AA184" s="130"/>
      <c r="AB184" s="130"/>
      <c r="AC184" s="130"/>
      <c r="AD184" s="130"/>
      <c r="AE184" s="130"/>
      <c r="AF184" s="130"/>
      <c r="AG184" s="127"/>
      <c r="AH184" s="130"/>
      <c r="AI184" s="127"/>
      <c r="AJ184" s="127"/>
      <c r="AK184" s="127"/>
    </row>
    <row r="185" spans="1:37" ht="36" customHeight="1" x14ac:dyDescent="0.25">
      <c r="A185" s="125"/>
      <c r="B185" s="126" t="str">
        <f t="shared" si="4"/>
        <v/>
      </c>
      <c r="C185" s="127"/>
      <c r="D185" s="127"/>
      <c r="E185" s="128"/>
      <c r="F185" s="127"/>
      <c r="G185" s="125"/>
      <c r="H185" s="128"/>
      <c r="I185" s="127"/>
      <c r="J185" s="127"/>
      <c r="K185" s="127"/>
      <c r="L185" s="125"/>
      <c r="M185" s="125"/>
      <c r="N185" s="125"/>
      <c r="O185" s="127"/>
      <c r="P185" s="127"/>
      <c r="Q185" s="127"/>
      <c r="R185" s="127"/>
      <c r="S185" s="127"/>
      <c r="T185" s="127"/>
      <c r="U185" s="127"/>
      <c r="V185" s="128"/>
      <c r="W185" s="128"/>
      <c r="X185" s="129" t="str">
        <f t="shared" si="5"/>
        <v/>
      </c>
      <c r="Y185" s="127"/>
      <c r="Z185" s="128"/>
      <c r="AA185" s="130"/>
      <c r="AB185" s="130"/>
      <c r="AC185" s="130"/>
      <c r="AD185" s="130"/>
      <c r="AE185" s="130"/>
      <c r="AF185" s="130"/>
      <c r="AG185" s="127"/>
      <c r="AH185" s="130"/>
      <c r="AI185" s="127"/>
      <c r="AJ185" s="127"/>
      <c r="AK185" s="127"/>
    </row>
    <row r="186" spans="1:37" ht="36" customHeight="1" x14ac:dyDescent="0.25">
      <c r="A186" s="125"/>
      <c r="B186" s="126" t="str">
        <f t="shared" si="4"/>
        <v/>
      </c>
      <c r="C186" s="127"/>
      <c r="D186" s="127"/>
      <c r="E186" s="128"/>
      <c r="F186" s="127"/>
      <c r="G186" s="125"/>
      <c r="H186" s="128"/>
      <c r="I186" s="127"/>
      <c r="J186" s="127"/>
      <c r="K186" s="127"/>
      <c r="L186" s="125"/>
      <c r="M186" s="125"/>
      <c r="N186" s="125"/>
      <c r="O186" s="127"/>
      <c r="P186" s="127"/>
      <c r="Q186" s="127"/>
      <c r="R186" s="127"/>
      <c r="S186" s="127"/>
      <c r="T186" s="127"/>
      <c r="U186" s="127"/>
      <c r="V186" s="128"/>
      <c r="W186" s="128"/>
      <c r="X186" s="129" t="str">
        <f t="shared" si="5"/>
        <v/>
      </c>
      <c r="Y186" s="127"/>
      <c r="Z186" s="128"/>
      <c r="AA186" s="130"/>
      <c r="AB186" s="130"/>
      <c r="AC186" s="130"/>
      <c r="AD186" s="130"/>
      <c r="AE186" s="130"/>
      <c r="AF186" s="130"/>
      <c r="AG186" s="127"/>
      <c r="AH186" s="130"/>
      <c r="AI186" s="127"/>
      <c r="AJ186" s="127"/>
      <c r="AK186" s="127"/>
    </row>
    <row r="187" spans="1:37" ht="36" customHeight="1" x14ac:dyDescent="0.25">
      <c r="A187" s="125"/>
      <c r="B187" s="126" t="str">
        <f t="shared" si="4"/>
        <v/>
      </c>
      <c r="C187" s="127"/>
      <c r="D187" s="127"/>
      <c r="E187" s="128"/>
      <c r="F187" s="127"/>
      <c r="G187" s="125"/>
      <c r="H187" s="128"/>
      <c r="I187" s="127"/>
      <c r="J187" s="127"/>
      <c r="K187" s="127"/>
      <c r="L187" s="125"/>
      <c r="M187" s="125"/>
      <c r="N187" s="125"/>
      <c r="O187" s="127"/>
      <c r="P187" s="127"/>
      <c r="Q187" s="127"/>
      <c r="R187" s="127"/>
      <c r="S187" s="127"/>
      <c r="T187" s="127"/>
      <c r="U187" s="127"/>
      <c r="V187" s="128"/>
      <c r="W187" s="128"/>
      <c r="X187" s="129" t="str">
        <f t="shared" si="5"/>
        <v/>
      </c>
      <c r="Y187" s="127"/>
      <c r="Z187" s="128"/>
      <c r="AA187" s="130"/>
      <c r="AB187" s="130"/>
      <c r="AC187" s="130"/>
      <c r="AD187" s="130"/>
      <c r="AE187" s="130"/>
      <c r="AF187" s="130"/>
      <c r="AG187" s="127"/>
      <c r="AH187" s="130"/>
      <c r="AI187" s="127"/>
      <c r="AJ187" s="127"/>
      <c r="AK187" s="127"/>
    </row>
    <row r="188" spans="1:37" ht="36" customHeight="1" x14ac:dyDescent="0.25">
      <c r="A188" s="125"/>
      <c r="B188" s="126" t="str">
        <f t="shared" si="4"/>
        <v/>
      </c>
      <c r="C188" s="127"/>
      <c r="D188" s="127"/>
      <c r="E188" s="128"/>
      <c r="F188" s="127"/>
      <c r="G188" s="125"/>
      <c r="H188" s="128"/>
      <c r="I188" s="127"/>
      <c r="J188" s="127"/>
      <c r="K188" s="127"/>
      <c r="L188" s="125"/>
      <c r="M188" s="125"/>
      <c r="N188" s="125"/>
      <c r="O188" s="127"/>
      <c r="P188" s="127"/>
      <c r="Q188" s="127"/>
      <c r="R188" s="127"/>
      <c r="S188" s="127"/>
      <c r="T188" s="127"/>
      <c r="U188" s="127"/>
      <c r="V188" s="128"/>
      <c r="W188" s="128"/>
      <c r="X188" s="129" t="str">
        <f t="shared" si="5"/>
        <v/>
      </c>
      <c r="Y188" s="127"/>
      <c r="Z188" s="128"/>
      <c r="AA188" s="130"/>
      <c r="AB188" s="130"/>
      <c r="AC188" s="130"/>
      <c r="AD188" s="130"/>
      <c r="AE188" s="130"/>
      <c r="AF188" s="130"/>
      <c r="AG188" s="127"/>
      <c r="AH188" s="130"/>
      <c r="AI188" s="127"/>
      <c r="AJ188" s="127"/>
      <c r="AK188" s="127"/>
    </row>
    <row r="189" spans="1:37" ht="36" customHeight="1" x14ac:dyDescent="0.25">
      <c r="A189" s="125"/>
      <c r="B189" s="126" t="str">
        <f t="shared" si="4"/>
        <v/>
      </c>
      <c r="C189" s="127"/>
      <c r="D189" s="127"/>
      <c r="E189" s="128"/>
      <c r="F189" s="127"/>
      <c r="G189" s="125"/>
      <c r="H189" s="128"/>
      <c r="I189" s="127"/>
      <c r="J189" s="127"/>
      <c r="K189" s="127"/>
      <c r="L189" s="125"/>
      <c r="M189" s="125"/>
      <c r="N189" s="125"/>
      <c r="O189" s="127"/>
      <c r="P189" s="127"/>
      <c r="Q189" s="127"/>
      <c r="R189" s="127"/>
      <c r="S189" s="127"/>
      <c r="T189" s="127"/>
      <c r="U189" s="127"/>
      <c r="V189" s="128"/>
      <c r="W189" s="128"/>
      <c r="X189" s="129" t="str">
        <f t="shared" si="5"/>
        <v/>
      </c>
      <c r="Y189" s="127"/>
      <c r="Z189" s="128"/>
      <c r="AA189" s="130"/>
      <c r="AB189" s="130"/>
      <c r="AC189" s="130"/>
      <c r="AD189" s="130"/>
      <c r="AE189" s="130"/>
      <c r="AF189" s="130"/>
      <c r="AG189" s="127"/>
      <c r="AH189" s="130"/>
      <c r="AI189" s="127"/>
      <c r="AJ189" s="127"/>
      <c r="AK189" s="127"/>
    </row>
    <row r="190" spans="1:37" ht="36" customHeight="1" x14ac:dyDescent="0.25">
      <c r="A190" s="125"/>
      <c r="B190" s="126" t="str">
        <f t="shared" si="4"/>
        <v/>
      </c>
      <c r="C190" s="127"/>
      <c r="D190" s="127"/>
      <c r="E190" s="128"/>
      <c r="F190" s="127"/>
      <c r="G190" s="125"/>
      <c r="H190" s="128"/>
      <c r="I190" s="127"/>
      <c r="J190" s="127"/>
      <c r="K190" s="127"/>
      <c r="L190" s="125"/>
      <c r="M190" s="125"/>
      <c r="N190" s="125"/>
      <c r="O190" s="127"/>
      <c r="P190" s="127"/>
      <c r="Q190" s="127"/>
      <c r="R190" s="127"/>
      <c r="S190" s="127"/>
      <c r="T190" s="127"/>
      <c r="U190" s="127"/>
      <c r="V190" s="128"/>
      <c r="W190" s="128"/>
      <c r="X190" s="129" t="str">
        <f t="shared" si="5"/>
        <v/>
      </c>
      <c r="Y190" s="127"/>
      <c r="Z190" s="128"/>
      <c r="AA190" s="130"/>
      <c r="AB190" s="130"/>
      <c r="AC190" s="130"/>
      <c r="AD190" s="130"/>
      <c r="AE190" s="130"/>
      <c r="AF190" s="130"/>
      <c r="AG190" s="127"/>
      <c r="AH190" s="130"/>
      <c r="AI190" s="127"/>
      <c r="AJ190" s="127"/>
      <c r="AK190" s="127"/>
    </row>
    <row r="191" spans="1:37" ht="36" customHeight="1" x14ac:dyDescent="0.25">
      <c r="A191" s="125"/>
      <c r="B191" s="126" t="str">
        <f t="shared" si="4"/>
        <v/>
      </c>
      <c r="C191" s="127"/>
      <c r="D191" s="127"/>
      <c r="E191" s="128"/>
      <c r="F191" s="127"/>
      <c r="G191" s="125"/>
      <c r="H191" s="128"/>
      <c r="I191" s="127"/>
      <c r="J191" s="127"/>
      <c r="K191" s="127"/>
      <c r="L191" s="125"/>
      <c r="M191" s="125"/>
      <c r="N191" s="125"/>
      <c r="O191" s="127"/>
      <c r="P191" s="127"/>
      <c r="Q191" s="127"/>
      <c r="R191" s="127"/>
      <c r="S191" s="127"/>
      <c r="T191" s="127"/>
      <c r="U191" s="127"/>
      <c r="V191" s="128"/>
      <c r="W191" s="128"/>
      <c r="X191" s="129" t="str">
        <f t="shared" si="5"/>
        <v/>
      </c>
      <c r="Y191" s="127"/>
      <c r="Z191" s="128"/>
      <c r="AA191" s="130"/>
      <c r="AB191" s="130"/>
      <c r="AC191" s="130"/>
      <c r="AD191" s="130"/>
      <c r="AE191" s="130"/>
      <c r="AF191" s="130"/>
      <c r="AG191" s="127"/>
      <c r="AH191" s="130"/>
      <c r="AI191" s="127"/>
      <c r="AJ191" s="127"/>
      <c r="AK191" s="127"/>
    </row>
    <row r="192" spans="1:37" ht="36" customHeight="1" x14ac:dyDescent="0.25">
      <c r="A192" s="125"/>
      <c r="B192" s="126" t="str">
        <f t="shared" si="4"/>
        <v/>
      </c>
      <c r="C192" s="127"/>
      <c r="D192" s="127"/>
      <c r="E192" s="128"/>
      <c r="F192" s="127"/>
      <c r="G192" s="125"/>
      <c r="H192" s="128"/>
      <c r="I192" s="127"/>
      <c r="J192" s="127"/>
      <c r="K192" s="127"/>
      <c r="L192" s="125"/>
      <c r="M192" s="125"/>
      <c r="N192" s="125"/>
      <c r="O192" s="127"/>
      <c r="P192" s="127"/>
      <c r="Q192" s="127"/>
      <c r="R192" s="127"/>
      <c r="S192" s="127"/>
      <c r="T192" s="127"/>
      <c r="U192" s="127"/>
      <c r="V192" s="128"/>
      <c r="W192" s="128"/>
      <c r="X192" s="129" t="str">
        <f t="shared" si="5"/>
        <v/>
      </c>
      <c r="Y192" s="127"/>
      <c r="Z192" s="128"/>
      <c r="AA192" s="130"/>
      <c r="AB192" s="130"/>
      <c r="AC192" s="130"/>
      <c r="AD192" s="130"/>
      <c r="AE192" s="130"/>
      <c r="AF192" s="130"/>
      <c r="AG192" s="127"/>
      <c r="AH192" s="130"/>
      <c r="AI192" s="127"/>
      <c r="AJ192" s="127"/>
      <c r="AK192" s="127"/>
    </row>
    <row r="193" spans="1:37" ht="36" customHeight="1" x14ac:dyDescent="0.25">
      <c r="A193" s="125"/>
      <c r="B193" s="126" t="str">
        <f t="shared" si="4"/>
        <v/>
      </c>
      <c r="C193" s="127"/>
      <c r="D193" s="127"/>
      <c r="E193" s="128"/>
      <c r="F193" s="127"/>
      <c r="G193" s="125"/>
      <c r="H193" s="128"/>
      <c r="I193" s="127"/>
      <c r="J193" s="127"/>
      <c r="K193" s="127"/>
      <c r="L193" s="125"/>
      <c r="M193" s="125"/>
      <c r="N193" s="125"/>
      <c r="O193" s="127"/>
      <c r="P193" s="127"/>
      <c r="Q193" s="127"/>
      <c r="R193" s="127"/>
      <c r="S193" s="127"/>
      <c r="T193" s="127"/>
      <c r="U193" s="127"/>
      <c r="V193" s="128"/>
      <c r="W193" s="128"/>
      <c r="X193" s="129" t="str">
        <f t="shared" si="5"/>
        <v/>
      </c>
      <c r="Y193" s="127"/>
      <c r="Z193" s="128"/>
      <c r="AA193" s="130"/>
      <c r="AB193" s="130"/>
      <c r="AC193" s="130"/>
      <c r="AD193" s="130"/>
      <c r="AE193" s="130"/>
      <c r="AF193" s="130"/>
      <c r="AG193" s="127"/>
      <c r="AH193" s="130"/>
      <c r="AI193" s="127"/>
      <c r="AJ193" s="127"/>
      <c r="AK193" s="127"/>
    </row>
    <row r="194" spans="1:37" ht="36" customHeight="1" x14ac:dyDescent="0.25">
      <c r="A194" s="125"/>
      <c r="B194" s="126" t="str">
        <f t="shared" si="4"/>
        <v/>
      </c>
      <c r="C194" s="127"/>
      <c r="D194" s="127"/>
      <c r="E194" s="128"/>
      <c r="F194" s="127"/>
      <c r="G194" s="125"/>
      <c r="H194" s="128"/>
      <c r="I194" s="127"/>
      <c r="J194" s="127"/>
      <c r="K194" s="127"/>
      <c r="L194" s="125"/>
      <c r="M194" s="125"/>
      <c r="N194" s="125"/>
      <c r="O194" s="127"/>
      <c r="P194" s="127"/>
      <c r="Q194" s="127"/>
      <c r="R194" s="127"/>
      <c r="S194" s="127"/>
      <c r="T194" s="127"/>
      <c r="U194" s="127"/>
      <c r="V194" s="128"/>
      <c r="W194" s="128"/>
      <c r="X194" s="129" t="str">
        <f t="shared" si="5"/>
        <v/>
      </c>
      <c r="Y194" s="127"/>
      <c r="Z194" s="128"/>
      <c r="AA194" s="130"/>
      <c r="AB194" s="130"/>
      <c r="AC194" s="130"/>
      <c r="AD194" s="130"/>
      <c r="AE194" s="130"/>
      <c r="AF194" s="130"/>
      <c r="AG194" s="127"/>
      <c r="AH194" s="130"/>
      <c r="AI194" s="127"/>
      <c r="AJ194" s="127"/>
      <c r="AK194" s="127"/>
    </row>
    <row r="195" spans="1:37" ht="36" customHeight="1" x14ac:dyDescent="0.25">
      <c r="A195" s="125"/>
      <c r="B195" s="126" t="str">
        <f t="shared" si="4"/>
        <v/>
      </c>
      <c r="C195" s="127"/>
      <c r="D195" s="127"/>
      <c r="E195" s="128"/>
      <c r="F195" s="127"/>
      <c r="G195" s="125"/>
      <c r="H195" s="128"/>
      <c r="I195" s="127"/>
      <c r="J195" s="127"/>
      <c r="K195" s="127"/>
      <c r="L195" s="125"/>
      <c r="M195" s="125"/>
      <c r="N195" s="125"/>
      <c r="O195" s="127"/>
      <c r="P195" s="127"/>
      <c r="Q195" s="127"/>
      <c r="R195" s="127"/>
      <c r="S195" s="127"/>
      <c r="T195" s="127"/>
      <c r="U195" s="127"/>
      <c r="V195" s="128"/>
      <c r="W195" s="128"/>
      <c r="X195" s="129" t="str">
        <f t="shared" si="5"/>
        <v/>
      </c>
      <c r="Y195" s="127"/>
      <c r="Z195" s="128"/>
      <c r="AA195" s="130"/>
      <c r="AB195" s="130"/>
      <c r="AC195" s="130"/>
      <c r="AD195" s="130"/>
      <c r="AE195" s="130"/>
      <c r="AF195" s="130"/>
      <c r="AG195" s="127"/>
      <c r="AH195" s="130"/>
      <c r="AI195" s="127"/>
      <c r="AJ195" s="127"/>
      <c r="AK195" s="127"/>
    </row>
    <row r="196" spans="1:37" ht="36" customHeight="1" x14ac:dyDescent="0.25">
      <c r="A196" s="125"/>
      <c r="B196" s="126" t="str">
        <f t="shared" si="4"/>
        <v/>
      </c>
      <c r="C196" s="127"/>
      <c r="D196" s="127"/>
      <c r="E196" s="128"/>
      <c r="F196" s="127"/>
      <c r="G196" s="125"/>
      <c r="H196" s="128"/>
      <c r="I196" s="127"/>
      <c r="J196" s="127"/>
      <c r="K196" s="127"/>
      <c r="L196" s="125"/>
      <c r="M196" s="125"/>
      <c r="N196" s="125"/>
      <c r="O196" s="127"/>
      <c r="P196" s="127"/>
      <c r="Q196" s="127"/>
      <c r="R196" s="127"/>
      <c r="S196" s="127"/>
      <c r="T196" s="127"/>
      <c r="U196" s="127"/>
      <c r="V196" s="128"/>
      <c r="W196" s="128"/>
      <c r="X196" s="129" t="str">
        <f t="shared" si="5"/>
        <v/>
      </c>
      <c r="Y196" s="127"/>
      <c r="Z196" s="128"/>
      <c r="AA196" s="130"/>
      <c r="AB196" s="130"/>
      <c r="AC196" s="130"/>
      <c r="AD196" s="130"/>
      <c r="AE196" s="130"/>
      <c r="AF196" s="130"/>
      <c r="AG196" s="127"/>
      <c r="AH196" s="130"/>
      <c r="AI196" s="127"/>
      <c r="AJ196" s="127"/>
      <c r="AK196" s="127"/>
    </row>
    <row r="197" spans="1:37" ht="36" customHeight="1" x14ac:dyDescent="0.25">
      <c r="A197" s="125"/>
      <c r="B197" s="126" t="str">
        <f t="shared" si="4"/>
        <v/>
      </c>
      <c r="C197" s="127"/>
      <c r="D197" s="127"/>
      <c r="E197" s="128"/>
      <c r="F197" s="127"/>
      <c r="G197" s="125"/>
      <c r="H197" s="128"/>
      <c r="I197" s="127"/>
      <c r="J197" s="127"/>
      <c r="K197" s="127"/>
      <c r="L197" s="125"/>
      <c r="M197" s="125"/>
      <c r="N197" s="125"/>
      <c r="O197" s="127"/>
      <c r="P197" s="127"/>
      <c r="Q197" s="127"/>
      <c r="R197" s="127"/>
      <c r="S197" s="127"/>
      <c r="T197" s="127"/>
      <c r="U197" s="127"/>
      <c r="V197" s="128"/>
      <c r="W197" s="128"/>
      <c r="X197" s="129" t="str">
        <f t="shared" si="5"/>
        <v/>
      </c>
      <c r="Y197" s="127"/>
      <c r="Z197" s="128"/>
      <c r="AA197" s="130"/>
      <c r="AB197" s="130"/>
      <c r="AC197" s="130"/>
      <c r="AD197" s="130"/>
      <c r="AE197" s="130"/>
      <c r="AF197" s="130"/>
      <c r="AG197" s="127"/>
      <c r="AH197" s="130"/>
      <c r="AI197" s="127"/>
      <c r="AJ197" s="127"/>
      <c r="AK197" s="127"/>
    </row>
    <row r="198" spans="1:37" ht="36" customHeight="1" x14ac:dyDescent="0.25">
      <c r="A198" s="125"/>
      <c r="B198" s="126" t="str">
        <f t="shared" si="4"/>
        <v/>
      </c>
      <c r="C198" s="127"/>
      <c r="D198" s="127"/>
      <c r="E198" s="128"/>
      <c r="F198" s="127"/>
      <c r="G198" s="125"/>
      <c r="H198" s="128"/>
      <c r="I198" s="127"/>
      <c r="J198" s="127"/>
      <c r="K198" s="127"/>
      <c r="L198" s="125"/>
      <c r="M198" s="125"/>
      <c r="N198" s="125"/>
      <c r="O198" s="127"/>
      <c r="P198" s="127"/>
      <c r="Q198" s="127"/>
      <c r="R198" s="127"/>
      <c r="S198" s="127"/>
      <c r="T198" s="127"/>
      <c r="U198" s="127"/>
      <c r="V198" s="128"/>
      <c r="W198" s="128"/>
      <c r="X198" s="129" t="str">
        <f t="shared" si="5"/>
        <v/>
      </c>
      <c r="Y198" s="127"/>
      <c r="Z198" s="128"/>
      <c r="AA198" s="130"/>
      <c r="AB198" s="130"/>
      <c r="AC198" s="130"/>
      <c r="AD198" s="130"/>
      <c r="AE198" s="130"/>
      <c r="AF198" s="130"/>
      <c r="AG198" s="127"/>
      <c r="AH198" s="130"/>
      <c r="AI198" s="127"/>
      <c r="AJ198" s="127"/>
      <c r="AK198" s="127"/>
    </row>
    <row r="199" spans="1:37" ht="36" customHeight="1" x14ac:dyDescent="0.25">
      <c r="A199" s="125"/>
      <c r="B199" s="126" t="str">
        <f t="shared" si="4"/>
        <v/>
      </c>
      <c r="C199" s="127"/>
      <c r="D199" s="127"/>
      <c r="E199" s="128"/>
      <c r="F199" s="127"/>
      <c r="G199" s="125"/>
      <c r="H199" s="128"/>
      <c r="I199" s="127"/>
      <c r="J199" s="127"/>
      <c r="K199" s="127"/>
      <c r="L199" s="125"/>
      <c r="M199" s="125"/>
      <c r="N199" s="125"/>
      <c r="O199" s="127"/>
      <c r="P199" s="127"/>
      <c r="Q199" s="127"/>
      <c r="R199" s="127"/>
      <c r="S199" s="127"/>
      <c r="T199" s="127"/>
      <c r="U199" s="127"/>
      <c r="V199" s="128"/>
      <c r="W199" s="128"/>
      <c r="X199" s="129" t="str">
        <f t="shared" si="5"/>
        <v/>
      </c>
      <c r="Y199" s="127"/>
      <c r="Z199" s="128"/>
      <c r="AA199" s="130"/>
      <c r="AB199" s="130"/>
      <c r="AC199" s="130"/>
      <c r="AD199" s="130"/>
      <c r="AE199" s="130"/>
      <c r="AF199" s="130"/>
      <c r="AG199" s="127"/>
      <c r="AH199" s="130"/>
      <c r="AI199" s="127"/>
      <c r="AJ199" s="127"/>
      <c r="AK199" s="127"/>
    </row>
    <row r="200" spans="1:37" ht="36" customHeight="1" x14ac:dyDescent="0.25">
      <c r="A200" s="125"/>
      <c r="B200" s="126" t="str">
        <f t="shared" si="4"/>
        <v/>
      </c>
      <c r="C200" s="127"/>
      <c r="D200" s="127"/>
      <c r="E200" s="128"/>
      <c r="F200" s="127"/>
      <c r="G200" s="125"/>
      <c r="H200" s="128"/>
      <c r="I200" s="127"/>
      <c r="J200" s="127"/>
      <c r="K200" s="127"/>
      <c r="L200" s="125"/>
      <c r="M200" s="125"/>
      <c r="N200" s="125"/>
      <c r="O200" s="127"/>
      <c r="P200" s="127"/>
      <c r="Q200" s="127"/>
      <c r="R200" s="127"/>
      <c r="S200" s="127"/>
      <c r="T200" s="127"/>
      <c r="U200" s="127"/>
      <c r="V200" s="128"/>
      <c r="W200" s="128"/>
      <c r="X200" s="129" t="str">
        <f t="shared" si="5"/>
        <v/>
      </c>
      <c r="Y200" s="127"/>
      <c r="Z200" s="128"/>
      <c r="AA200" s="130"/>
      <c r="AB200" s="130"/>
      <c r="AC200" s="130"/>
      <c r="AD200" s="130"/>
      <c r="AE200" s="130"/>
      <c r="AF200" s="130"/>
      <c r="AG200" s="127"/>
      <c r="AH200" s="130"/>
      <c r="AI200" s="127"/>
      <c r="AJ200" s="127"/>
      <c r="AK200" s="127"/>
    </row>
    <row r="201" spans="1:37" ht="36" customHeight="1" x14ac:dyDescent="0.25">
      <c r="A201" s="125"/>
      <c r="B201" s="126" t="str">
        <f t="shared" si="4"/>
        <v/>
      </c>
      <c r="C201" s="127"/>
      <c r="D201" s="127"/>
      <c r="E201" s="128"/>
      <c r="F201" s="127"/>
      <c r="G201" s="125"/>
      <c r="H201" s="128"/>
      <c r="I201" s="127"/>
      <c r="J201" s="127"/>
      <c r="K201" s="127"/>
      <c r="L201" s="125"/>
      <c r="M201" s="125"/>
      <c r="N201" s="125"/>
      <c r="O201" s="127"/>
      <c r="P201" s="127"/>
      <c r="Q201" s="127"/>
      <c r="R201" s="127"/>
      <c r="S201" s="127"/>
      <c r="T201" s="127"/>
      <c r="U201" s="127"/>
      <c r="V201" s="128"/>
      <c r="W201" s="128"/>
      <c r="X201" s="129" t="str">
        <f t="shared" si="5"/>
        <v/>
      </c>
      <c r="Y201" s="127"/>
      <c r="Z201" s="128"/>
      <c r="AA201" s="130"/>
      <c r="AB201" s="130"/>
      <c r="AC201" s="130"/>
      <c r="AD201" s="130"/>
      <c r="AE201" s="130"/>
      <c r="AF201" s="130"/>
      <c r="AG201" s="127"/>
      <c r="AH201" s="130"/>
      <c r="AI201" s="127"/>
      <c r="AJ201" s="127"/>
      <c r="AK201" s="127"/>
    </row>
    <row r="202" spans="1:37" ht="36" customHeight="1" x14ac:dyDescent="0.25">
      <c r="A202" s="125"/>
      <c r="B202" s="126" t="str">
        <f t="shared" si="4"/>
        <v/>
      </c>
      <c r="C202" s="127"/>
      <c r="D202" s="127"/>
      <c r="E202" s="128"/>
      <c r="F202" s="127"/>
      <c r="G202" s="125"/>
      <c r="H202" s="128"/>
      <c r="I202" s="127"/>
      <c r="J202" s="127"/>
      <c r="K202" s="127"/>
      <c r="L202" s="125"/>
      <c r="M202" s="125"/>
      <c r="N202" s="125"/>
      <c r="O202" s="127"/>
      <c r="P202" s="127"/>
      <c r="Q202" s="127"/>
      <c r="R202" s="127"/>
      <c r="S202" s="127"/>
      <c r="T202" s="127"/>
      <c r="U202" s="127"/>
      <c r="V202" s="128"/>
      <c r="W202" s="128"/>
      <c r="X202" s="129" t="str">
        <f t="shared" si="5"/>
        <v/>
      </c>
      <c r="Y202" s="127"/>
      <c r="Z202" s="128"/>
      <c r="AA202" s="130"/>
      <c r="AB202" s="130"/>
      <c r="AC202" s="130"/>
      <c r="AD202" s="130"/>
      <c r="AE202" s="130"/>
      <c r="AF202" s="130"/>
      <c r="AG202" s="127"/>
      <c r="AH202" s="130"/>
      <c r="AI202" s="127"/>
      <c r="AJ202" s="127"/>
      <c r="AK202" s="127"/>
    </row>
    <row r="203" spans="1:37" ht="36" customHeight="1" x14ac:dyDescent="0.25">
      <c r="A203" s="125"/>
      <c r="B203" s="126" t="str">
        <f t="shared" si="4"/>
        <v/>
      </c>
      <c r="C203" s="127"/>
      <c r="D203" s="127"/>
      <c r="E203" s="128"/>
      <c r="F203" s="127"/>
      <c r="G203" s="125"/>
      <c r="H203" s="128"/>
      <c r="I203" s="127"/>
      <c r="J203" s="127"/>
      <c r="K203" s="127"/>
      <c r="L203" s="125"/>
      <c r="M203" s="125"/>
      <c r="N203" s="125"/>
      <c r="O203" s="127"/>
      <c r="P203" s="127"/>
      <c r="Q203" s="127"/>
      <c r="R203" s="127"/>
      <c r="S203" s="127"/>
      <c r="T203" s="127"/>
      <c r="U203" s="127"/>
      <c r="V203" s="128"/>
      <c r="W203" s="128"/>
      <c r="X203" s="129" t="str">
        <f t="shared" si="5"/>
        <v/>
      </c>
      <c r="Y203" s="127"/>
      <c r="Z203" s="128"/>
      <c r="AA203" s="130"/>
      <c r="AB203" s="130"/>
      <c r="AC203" s="130"/>
      <c r="AD203" s="130"/>
      <c r="AE203" s="130"/>
      <c r="AF203" s="130"/>
      <c r="AG203" s="127"/>
      <c r="AH203" s="130"/>
      <c r="AI203" s="127"/>
      <c r="AJ203" s="127"/>
      <c r="AK203" s="127"/>
    </row>
    <row r="204" spans="1:37" ht="36" customHeight="1" x14ac:dyDescent="0.25">
      <c r="A204" s="125"/>
      <c r="B204" s="126" t="str">
        <f t="shared" si="4"/>
        <v/>
      </c>
      <c r="C204" s="127"/>
      <c r="D204" s="127"/>
      <c r="E204" s="128"/>
      <c r="F204" s="127"/>
      <c r="G204" s="125"/>
      <c r="H204" s="128"/>
      <c r="I204" s="127"/>
      <c r="J204" s="127"/>
      <c r="K204" s="127"/>
      <c r="L204" s="125"/>
      <c r="M204" s="125"/>
      <c r="N204" s="125"/>
      <c r="O204" s="127"/>
      <c r="P204" s="127"/>
      <c r="Q204" s="127"/>
      <c r="R204" s="127"/>
      <c r="S204" s="127"/>
      <c r="T204" s="127"/>
      <c r="U204" s="127"/>
      <c r="V204" s="128"/>
      <c r="W204" s="128"/>
      <c r="X204" s="129" t="str">
        <f t="shared" si="5"/>
        <v/>
      </c>
      <c r="Y204" s="127"/>
      <c r="Z204" s="128"/>
      <c r="AA204" s="130"/>
      <c r="AB204" s="130"/>
      <c r="AC204" s="130"/>
      <c r="AD204" s="130"/>
      <c r="AE204" s="130"/>
      <c r="AF204" s="130"/>
      <c r="AG204" s="127"/>
      <c r="AH204" s="130"/>
      <c r="AI204" s="127"/>
      <c r="AJ204" s="127"/>
      <c r="AK204" s="127"/>
    </row>
    <row r="205" spans="1:37" ht="36" customHeight="1" x14ac:dyDescent="0.25">
      <c r="A205" s="125"/>
      <c r="B205" s="126" t="str">
        <f t="shared" si="4"/>
        <v/>
      </c>
      <c r="C205" s="127"/>
      <c r="D205" s="127"/>
      <c r="E205" s="128"/>
      <c r="F205" s="127"/>
      <c r="G205" s="125"/>
      <c r="H205" s="128"/>
      <c r="I205" s="127"/>
      <c r="J205" s="127"/>
      <c r="K205" s="127"/>
      <c r="L205" s="125"/>
      <c r="M205" s="125"/>
      <c r="N205" s="125"/>
      <c r="O205" s="127"/>
      <c r="P205" s="127"/>
      <c r="Q205" s="127"/>
      <c r="R205" s="127"/>
      <c r="S205" s="127"/>
      <c r="T205" s="127"/>
      <c r="U205" s="127"/>
      <c r="V205" s="128"/>
      <c r="W205" s="128"/>
      <c r="X205" s="129" t="str">
        <f t="shared" si="5"/>
        <v/>
      </c>
      <c r="Y205" s="127"/>
      <c r="Z205" s="128"/>
      <c r="AA205" s="130"/>
      <c r="AB205" s="130"/>
      <c r="AC205" s="130"/>
      <c r="AD205" s="130"/>
      <c r="AE205" s="130"/>
      <c r="AF205" s="130"/>
      <c r="AG205" s="127"/>
      <c r="AH205" s="130"/>
      <c r="AI205" s="127"/>
      <c r="AJ205" s="127"/>
      <c r="AK205" s="127"/>
    </row>
    <row r="206" spans="1:37" ht="36" customHeight="1" x14ac:dyDescent="0.25">
      <c r="A206" s="125"/>
      <c r="B206" s="126" t="str">
        <f t="shared" ref="B206:B269" si="6">IF($A206="","",TEXT(ROW()-19,"000")&amp;"/"&amp;IF($V206="",2026,YEAR($V206))&amp;"/HĐLĐ-"&amp;$E$8)</f>
        <v/>
      </c>
      <c r="C206" s="127"/>
      <c r="D206" s="127"/>
      <c r="E206" s="128"/>
      <c r="F206" s="127"/>
      <c r="G206" s="125"/>
      <c r="H206" s="128"/>
      <c r="I206" s="127"/>
      <c r="J206" s="127"/>
      <c r="K206" s="127"/>
      <c r="L206" s="125"/>
      <c r="M206" s="125"/>
      <c r="N206" s="125"/>
      <c r="O206" s="127"/>
      <c r="P206" s="127"/>
      <c r="Q206" s="127"/>
      <c r="R206" s="127"/>
      <c r="S206" s="127"/>
      <c r="T206" s="127"/>
      <c r="U206" s="127"/>
      <c r="V206" s="128"/>
      <c r="W206" s="128"/>
      <c r="X206" s="129" t="str">
        <f t="shared" ref="X206:X269" si="7">IF($A206="","",IF($T206="Xác định thời hạn",IF(AND($W206&lt;&gt;"",$U206&lt;&gt;""),EDATE($W206,$U206)-1,""),""))</f>
        <v/>
      </c>
      <c r="Y206" s="127"/>
      <c r="Z206" s="128"/>
      <c r="AA206" s="130"/>
      <c r="AB206" s="130"/>
      <c r="AC206" s="130"/>
      <c r="AD206" s="130"/>
      <c r="AE206" s="130"/>
      <c r="AF206" s="130"/>
      <c r="AG206" s="127"/>
      <c r="AH206" s="130"/>
      <c r="AI206" s="127"/>
      <c r="AJ206" s="127"/>
      <c r="AK206" s="127"/>
    </row>
    <row r="207" spans="1:37" ht="36" customHeight="1" x14ac:dyDescent="0.25">
      <c r="A207" s="125"/>
      <c r="B207" s="126" t="str">
        <f t="shared" si="6"/>
        <v/>
      </c>
      <c r="C207" s="127"/>
      <c r="D207" s="127"/>
      <c r="E207" s="128"/>
      <c r="F207" s="127"/>
      <c r="G207" s="125"/>
      <c r="H207" s="128"/>
      <c r="I207" s="127"/>
      <c r="J207" s="127"/>
      <c r="K207" s="127"/>
      <c r="L207" s="125"/>
      <c r="M207" s="125"/>
      <c r="N207" s="125"/>
      <c r="O207" s="127"/>
      <c r="P207" s="127"/>
      <c r="Q207" s="127"/>
      <c r="R207" s="127"/>
      <c r="S207" s="127"/>
      <c r="T207" s="127"/>
      <c r="U207" s="127"/>
      <c r="V207" s="128"/>
      <c r="W207" s="128"/>
      <c r="X207" s="129" t="str">
        <f t="shared" si="7"/>
        <v/>
      </c>
      <c r="Y207" s="127"/>
      <c r="Z207" s="128"/>
      <c r="AA207" s="130"/>
      <c r="AB207" s="130"/>
      <c r="AC207" s="130"/>
      <c r="AD207" s="130"/>
      <c r="AE207" s="130"/>
      <c r="AF207" s="130"/>
      <c r="AG207" s="127"/>
      <c r="AH207" s="130"/>
      <c r="AI207" s="127"/>
      <c r="AJ207" s="127"/>
      <c r="AK207" s="127"/>
    </row>
    <row r="208" spans="1:37" ht="36" customHeight="1" x14ac:dyDescent="0.25">
      <c r="A208" s="125"/>
      <c r="B208" s="126" t="str">
        <f t="shared" si="6"/>
        <v/>
      </c>
      <c r="C208" s="127"/>
      <c r="D208" s="127"/>
      <c r="E208" s="128"/>
      <c r="F208" s="127"/>
      <c r="G208" s="125"/>
      <c r="H208" s="128"/>
      <c r="I208" s="127"/>
      <c r="J208" s="127"/>
      <c r="K208" s="127"/>
      <c r="L208" s="125"/>
      <c r="M208" s="125"/>
      <c r="N208" s="125"/>
      <c r="O208" s="127"/>
      <c r="P208" s="127"/>
      <c r="Q208" s="127"/>
      <c r="R208" s="127"/>
      <c r="S208" s="127"/>
      <c r="T208" s="127"/>
      <c r="U208" s="127"/>
      <c r="V208" s="128"/>
      <c r="W208" s="128"/>
      <c r="X208" s="129" t="str">
        <f t="shared" si="7"/>
        <v/>
      </c>
      <c r="Y208" s="127"/>
      <c r="Z208" s="128"/>
      <c r="AA208" s="130"/>
      <c r="AB208" s="130"/>
      <c r="AC208" s="130"/>
      <c r="AD208" s="130"/>
      <c r="AE208" s="130"/>
      <c r="AF208" s="130"/>
      <c r="AG208" s="127"/>
      <c r="AH208" s="130"/>
      <c r="AI208" s="127"/>
      <c r="AJ208" s="127"/>
      <c r="AK208" s="127"/>
    </row>
    <row r="209" spans="1:37" ht="36" customHeight="1" x14ac:dyDescent="0.25">
      <c r="A209" s="125"/>
      <c r="B209" s="126" t="str">
        <f t="shared" si="6"/>
        <v/>
      </c>
      <c r="C209" s="127"/>
      <c r="D209" s="127"/>
      <c r="E209" s="128"/>
      <c r="F209" s="127"/>
      <c r="G209" s="125"/>
      <c r="H209" s="128"/>
      <c r="I209" s="127"/>
      <c r="J209" s="127"/>
      <c r="K209" s="127"/>
      <c r="L209" s="125"/>
      <c r="M209" s="125"/>
      <c r="N209" s="125"/>
      <c r="O209" s="127"/>
      <c r="P209" s="127"/>
      <c r="Q209" s="127"/>
      <c r="R209" s="127"/>
      <c r="S209" s="127"/>
      <c r="T209" s="127"/>
      <c r="U209" s="127"/>
      <c r="V209" s="128"/>
      <c r="W209" s="128"/>
      <c r="X209" s="129" t="str">
        <f t="shared" si="7"/>
        <v/>
      </c>
      <c r="Y209" s="127"/>
      <c r="Z209" s="128"/>
      <c r="AA209" s="130"/>
      <c r="AB209" s="130"/>
      <c r="AC209" s="130"/>
      <c r="AD209" s="130"/>
      <c r="AE209" s="130"/>
      <c r="AF209" s="130"/>
      <c r="AG209" s="127"/>
      <c r="AH209" s="130"/>
      <c r="AI209" s="127"/>
      <c r="AJ209" s="127"/>
      <c r="AK209" s="127"/>
    </row>
    <row r="210" spans="1:37" ht="36" customHeight="1" x14ac:dyDescent="0.25">
      <c r="A210" s="125"/>
      <c r="B210" s="126" t="str">
        <f t="shared" si="6"/>
        <v/>
      </c>
      <c r="C210" s="127"/>
      <c r="D210" s="127"/>
      <c r="E210" s="128"/>
      <c r="F210" s="127"/>
      <c r="G210" s="125"/>
      <c r="H210" s="128"/>
      <c r="I210" s="127"/>
      <c r="J210" s="127"/>
      <c r="K210" s="127"/>
      <c r="L210" s="125"/>
      <c r="M210" s="125"/>
      <c r="N210" s="125"/>
      <c r="O210" s="127"/>
      <c r="P210" s="127"/>
      <c r="Q210" s="127"/>
      <c r="R210" s="127"/>
      <c r="S210" s="127"/>
      <c r="T210" s="127"/>
      <c r="U210" s="127"/>
      <c r="V210" s="128"/>
      <c r="W210" s="128"/>
      <c r="X210" s="129" t="str">
        <f t="shared" si="7"/>
        <v/>
      </c>
      <c r="Y210" s="127"/>
      <c r="Z210" s="128"/>
      <c r="AA210" s="130"/>
      <c r="AB210" s="130"/>
      <c r="AC210" s="130"/>
      <c r="AD210" s="130"/>
      <c r="AE210" s="130"/>
      <c r="AF210" s="130"/>
      <c r="AG210" s="127"/>
      <c r="AH210" s="130"/>
      <c r="AI210" s="127"/>
      <c r="AJ210" s="127"/>
      <c r="AK210" s="127"/>
    </row>
    <row r="211" spans="1:37" ht="36" customHeight="1" x14ac:dyDescent="0.25">
      <c r="A211" s="125"/>
      <c r="B211" s="126" t="str">
        <f t="shared" si="6"/>
        <v/>
      </c>
      <c r="C211" s="127"/>
      <c r="D211" s="127"/>
      <c r="E211" s="128"/>
      <c r="F211" s="127"/>
      <c r="G211" s="125"/>
      <c r="H211" s="128"/>
      <c r="I211" s="127"/>
      <c r="J211" s="127"/>
      <c r="K211" s="127"/>
      <c r="L211" s="125"/>
      <c r="M211" s="125"/>
      <c r="N211" s="125"/>
      <c r="O211" s="127"/>
      <c r="P211" s="127"/>
      <c r="Q211" s="127"/>
      <c r="R211" s="127"/>
      <c r="S211" s="127"/>
      <c r="T211" s="127"/>
      <c r="U211" s="127"/>
      <c r="V211" s="128"/>
      <c r="W211" s="128"/>
      <c r="X211" s="129" t="str">
        <f t="shared" si="7"/>
        <v/>
      </c>
      <c r="Y211" s="127"/>
      <c r="Z211" s="128"/>
      <c r="AA211" s="130"/>
      <c r="AB211" s="130"/>
      <c r="AC211" s="130"/>
      <c r="AD211" s="130"/>
      <c r="AE211" s="130"/>
      <c r="AF211" s="130"/>
      <c r="AG211" s="127"/>
      <c r="AH211" s="130"/>
      <c r="AI211" s="127"/>
      <c r="AJ211" s="127"/>
      <c r="AK211" s="127"/>
    </row>
    <row r="212" spans="1:37" ht="36" customHeight="1" x14ac:dyDescent="0.25">
      <c r="A212" s="125"/>
      <c r="B212" s="126" t="str">
        <f t="shared" si="6"/>
        <v/>
      </c>
      <c r="C212" s="127"/>
      <c r="D212" s="127"/>
      <c r="E212" s="128"/>
      <c r="F212" s="127"/>
      <c r="G212" s="125"/>
      <c r="H212" s="128"/>
      <c r="I212" s="127"/>
      <c r="J212" s="127"/>
      <c r="K212" s="127"/>
      <c r="L212" s="125"/>
      <c r="M212" s="125"/>
      <c r="N212" s="125"/>
      <c r="O212" s="127"/>
      <c r="P212" s="127"/>
      <c r="Q212" s="127"/>
      <c r="R212" s="127"/>
      <c r="S212" s="127"/>
      <c r="T212" s="127"/>
      <c r="U212" s="127"/>
      <c r="V212" s="128"/>
      <c r="W212" s="128"/>
      <c r="X212" s="129" t="str">
        <f t="shared" si="7"/>
        <v/>
      </c>
      <c r="Y212" s="127"/>
      <c r="Z212" s="128"/>
      <c r="AA212" s="130"/>
      <c r="AB212" s="130"/>
      <c r="AC212" s="130"/>
      <c r="AD212" s="130"/>
      <c r="AE212" s="130"/>
      <c r="AF212" s="130"/>
      <c r="AG212" s="127"/>
      <c r="AH212" s="130"/>
      <c r="AI212" s="127"/>
      <c r="AJ212" s="127"/>
      <c r="AK212" s="127"/>
    </row>
    <row r="213" spans="1:37" ht="36" customHeight="1" x14ac:dyDescent="0.25">
      <c r="A213" s="125"/>
      <c r="B213" s="126" t="str">
        <f t="shared" si="6"/>
        <v/>
      </c>
      <c r="C213" s="127"/>
      <c r="D213" s="127"/>
      <c r="E213" s="128"/>
      <c r="F213" s="127"/>
      <c r="G213" s="125"/>
      <c r="H213" s="128"/>
      <c r="I213" s="127"/>
      <c r="J213" s="127"/>
      <c r="K213" s="127"/>
      <c r="L213" s="125"/>
      <c r="M213" s="125"/>
      <c r="N213" s="125"/>
      <c r="O213" s="127"/>
      <c r="P213" s="127"/>
      <c r="Q213" s="127"/>
      <c r="R213" s="127"/>
      <c r="S213" s="127"/>
      <c r="T213" s="127"/>
      <c r="U213" s="127"/>
      <c r="V213" s="128"/>
      <c r="W213" s="128"/>
      <c r="X213" s="129" t="str">
        <f t="shared" si="7"/>
        <v/>
      </c>
      <c r="Y213" s="127"/>
      <c r="Z213" s="128"/>
      <c r="AA213" s="130"/>
      <c r="AB213" s="130"/>
      <c r="AC213" s="130"/>
      <c r="AD213" s="130"/>
      <c r="AE213" s="130"/>
      <c r="AF213" s="130"/>
      <c r="AG213" s="127"/>
      <c r="AH213" s="130"/>
      <c r="AI213" s="127"/>
      <c r="AJ213" s="127"/>
      <c r="AK213" s="127"/>
    </row>
    <row r="214" spans="1:37" ht="36" customHeight="1" x14ac:dyDescent="0.25">
      <c r="A214" s="125"/>
      <c r="B214" s="126" t="str">
        <f t="shared" si="6"/>
        <v/>
      </c>
      <c r="C214" s="127"/>
      <c r="D214" s="127"/>
      <c r="E214" s="128"/>
      <c r="F214" s="127"/>
      <c r="G214" s="125"/>
      <c r="H214" s="128"/>
      <c r="I214" s="127"/>
      <c r="J214" s="127"/>
      <c r="K214" s="127"/>
      <c r="L214" s="125"/>
      <c r="M214" s="125"/>
      <c r="N214" s="125"/>
      <c r="O214" s="127"/>
      <c r="P214" s="127"/>
      <c r="Q214" s="127"/>
      <c r="R214" s="127"/>
      <c r="S214" s="127"/>
      <c r="T214" s="127"/>
      <c r="U214" s="127"/>
      <c r="V214" s="128"/>
      <c r="W214" s="128"/>
      <c r="X214" s="129" t="str">
        <f t="shared" si="7"/>
        <v/>
      </c>
      <c r="Y214" s="127"/>
      <c r="Z214" s="128"/>
      <c r="AA214" s="130"/>
      <c r="AB214" s="130"/>
      <c r="AC214" s="130"/>
      <c r="AD214" s="130"/>
      <c r="AE214" s="130"/>
      <c r="AF214" s="130"/>
      <c r="AG214" s="127"/>
      <c r="AH214" s="130"/>
      <c r="AI214" s="127"/>
      <c r="AJ214" s="127"/>
      <c r="AK214" s="127"/>
    </row>
    <row r="215" spans="1:37" ht="36" customHeight="1" x14ac:dyDescent="0.25">
      <c r="A215" s="125"/>
      <c r="B215" s="126" t="str">
        <f t="shared" si="6"/>
        <v/>
      </c>
      <c r="C215" s="127"/>
      <c r="D215" s="127"/>
      <c r="E215" s="128"/>
      <c r="F215" s="127"/>
      <c r="G215" s="125"/>
      <c r="H215" s="128"/>
      <c r="I215" s="127"/>
      <c r="J215" s="127"/>
      <c r="K215" s="127"/>
      <c r="L215" s="125"/>
      <c r="M215" s="125"/>
      <c r="N215" s="125"/>
      <c r="O215" s="127"/>
      <c r="P215" s="127"/>
      <c r="Q215" s="127"/>
      <c r="R215" s="127"/>
      <c r="S215" s="127"/>
      <c r="T215" s="127"/>
      <c r="U215" s="127"/>
      <c r="V215" s="128"/>
      <c r="W215" s="128"/>
      <c r="X215" s="129" t="str">
        <f t="shared" si="7"/>
        <v/>
      </c>
      <c r="Y215" s="127"/>
      <c r="Z215" s="128"/>
      <c r="AA215" s="130"/>
      <c r="AB215" s="130"/>
      <c r="AC215" s="130"/>
      <c r="AD215" s="130"/>
      <c r="AE215" s="130"/>
      <c r="AF215" s="130"/>
      <c r="AG215" s="127"/>
      <c r="AH215" s="130"/>
      <c r="AI215" s="127"/>
      <c r="AJ215" s="127"/>
      <c r="AK215" s="127"/>
    </row>
    <row r="216" spans="1:37" ht="36" customHeight="1" x14ac:dyDescent="0.25">
      <c r="A216" s="125"/>
      <c r="B216" s="126" t="str">
        <f t="shared" si="6"/>
        <v/>
      </c>
      <c r="C216" s="127"/>
      <c r="D216" s="127"/>
      <c r="E216" s="128"/>
      <c r="F216" s="127"/>
      <c r="G216" s="125"/>
      <c r="H216" s="128"/>
      <c r="I216" s="127"/>
      <c r="J216" s="127"/>
      <c r="K216" s="127"/>
      <c r="L216" s="125"/>
      <c r="M216" s="125"/>
      <c r="N216" s="125"/>
      <c r="O216" s="127"/>
      <c r="P216" s="127"/>
      <c r="Q216" s="127"/>
      <c r="R216" s="127"/>
      <c r="S216" s="127"/>
      <c r="T216" s="127"/>
      <c r="U216" s="127"/>
      <c r="V216" s="128"/>
      <c r="W216" s="128"/>
      <c r="X216" s="129" t="str">
        <f t="shared" si="7"/>
        <v/>
      </c>
      <c r="Y216" s="127"/>
      <c r="Z216" s="128"/>
      <c r="AA216" s="130"/>
      <c r="AB216" s="130"/>
      <c r="AC216" s="130"/>
      <c r="AD216" s="130"/>
      <c r="AE216" s="130"/>
      <c r="AF216" s="130"/>
      <c r="AG216" s="127"/>
      <c r="AH216" s="130"/>
      <c r="AI216" s="127"/>
      <c r="AJ216" s="127"/>
      <c r="AK216" s="127"/>
    </row>
    <row r="217" spans="1:37" ht="36" customHeight="1" x14ac:dyDescent="0.25">
      <c r="A217" s="125"/>
      <c r="B217" s="126" t="str">
        <f t="shared" si="6"/>
        <v/>
      </c>
      <c r="C217" s="127"/>
      <c r="D217" s="127"/>
      <c r="E217" s="128"/>
      <c r="F217" s="127"/>
      <c r="G217" s="125"/>
      <c r="H217" s="128"/>
      <c r="I217" s="127"/>
      <c r="J217" s="127"/>
      <c r="K217" s="127"/>
      <c r="L217" s="125"/>
      <c r="M217" s="125"/>
      <c r="N217" s="125"/>
      <c r="O217" s="127"/>
      <c r="P217" s="127"/>
      <c r="Q217" s="127"/>
      <c r="R217" s="127"/>
      <c r="S217" s="127"/>
      <c r="T217" s="127"/>
      <c r="U217" s="127"/>
      <c r="V217" s="128"/>
      <c r="W217" s="128"/>
      <c r="X217" s="129" t="str">
        <f t="shared" si="7"/>
        <v/>
      </c>
      <c r="Y217" s="127"/>
      <c r="Z217" s="128"/>
      <c r="AA217" s="130"/>
      <c r="AB217" s="130"/>
      <c r="AC217" s="130"/>
      <c r="AD217" s="130"/>
      <c r="AE217" s="130"/>
      <c r="AF217" s="130"/>
      <c r="AG217" s="127"/>
      <c r="AH217" s="130"/>
      <c r="AI217" s="127"/>
      <c r="AJ217" s="127"/>
      <c r="AK217" s="127"/>
    </row>
    <row r="218" spans="1:37" ht="36" customHeight="1" x14ac:dyDescent="0.25">
      <c r="A218" s="125"/>
      <c r="B218" s="126" t="str">
        <f t="shared" si="6"/>
        <v/>
      </c>
      <c r="C218" s="127"/>
      <c r="D218" s="127"/>
      <c r="E218" s="128"/>
      <c r="F218" s="127"/>
      <c r="G218" s="125"/>
      <c r="H218" s="128"/>
      <c r="I218" s="127"/>
      <c r="J218" s="127"/>
      <c r="K218" s="127"/>
      <c r="L218" s="125"/>
      <c r="M218" s="125"/>
      <c r="N218" s="125"/>
      <c r="O218" s="127"/>
      <c r="P218" s="127"/>
      <c r="Q218" s="127"/>
      <c r="R218" s="127"/>
      <c r="S218" s="127"/>
      <c r="T218" s="127"/>
      <c r="U218" s="127"/>
      <c r="V218" s="128"/>
      <c r="W218" s="128"/>
      <c r="X218" s="129" t="str">
        <f t="shared" si="7"/>
        <v/>
      </c>
      <c r="Y218" s="127"/>
      <c r="Z218" s="128"/>
      <c r="AA218" s="130"/>
      <c r="AB218" s="130"/>
      <c r="AC218" s="130"/>
      <c r="AD218" s="130"/>
      <c r="AE218" s="130"/>
      <c r="AF218" s="130"/>
      <c r="AG218" s="127"/>
      <c r="AH218" s="130"/>
      <c r="AI218" s="127"/>
      <c r="AJ218" s="127"/>
      <c r="AK218" s="127"/>
    </row>
    <row r="219" spans="1:37" ht="36" customHeight="1" x14ac:dyDescent="0.25">
      <c r="A219" s="125"/>
      <c r="B219" s="126" t="str">
        <f t="shared" si="6"/>
        <v/>
      </c>
      <c r="C219" s="127"/>
      <c r="D219" s="127"/>
      <c r="E219" s="128"/>
      <c r="F219" s="127"/>
      <c r="G219" s="125"/>
      <c r="H219" s="128"/>
      <c r="I219" s="127"/>
      <c r="J219" s="127"/>
      <c r="K219" s="127"/>
      <c r="L219" s="125"/>
      <c r="M219" s="125"/>
      <c r="N219" s="125"/>
      <c r="O219" s="127"/>
      <c r="P219" s="127"/>
      <c r="Q219" s="127"/>
      <c r="R219" s="127"/>
      <c r="S219" s="127"/>
      <c r="T219" s="127"/>
      <c r="U219" s="127"/>
      <c r="V219" s="128"/>
      <c r="W219" s="128"/>
      <c r="X219" s="129" t="str">
        <f t="shared" si="7"/>
        <v/>
      </c>
      <c r="Y219" s="127"/>
      <c r="Z219" s="128"/>
      <c r="AA219" s="130"/>
      <c r="AB219" s="130"/>
      <c r="AC219" s="130"/>
      <c r="AD219" s="130"/>
      <c r="AE219" s="130"/>
      <c r="AF219" s="130"/>
      <c r="AG219" s="127"/>
      <c r="AH219" s="130"/>
      <c r="AI219" s="127"/>
      <c r="AJ219" s="127"/>
      <c r="AK219" s="127"/>
    </row>
    <row r="220" spans="1:37" ht="36" customHeight="1" x14ac:dyDescent="0.25">
      <c r="A220" s="125"/>
      <c r="B220" s="126" t="str">
        <f t="shared" si="6"/>
        <v/>
      </c>
      <c r="C220" s="127"/>
      <c r="D220" s="127"/>
      <c r="E220" s="128"/>
      <c r="F220" s="127"/>
      <c r="G220" s="125"/>
      <c r="H220" s="128"/>
      <c r="I220" s="127"/>
      <c r="J220" s="127"/>
      <c r="K220" s="127"/>
      <c r="L220" s="125"/>
      <c r="M220" s="125"/>
      <c r="N220" s="125"/>
      <c r="O220" s="127"/>
      <c r="P220" s="127"/>
      <c r="Q220" s="127"/>
      <c r="R220" s="127"/>
      <c r="S220" s="127"/>
      <c r="T220" s="127"/>
      <c r="U220" s="127"/>
      <c r="V220" s="128"/>
      <c r="W220" s="128"/>
      <c r="X220" s="129" t="str">
        <f t="shared" si="7"/>
        <v/>
      </c>
      <c r="Y220" s="127"/>
      <c r="Z220" s="128"/>
      <c r="AA220" s="130"/>
      <c r="AB220" s="130"/>
      <c r="AC220" s="130"/>
      <c r="AD220" s="130"/>
      <c r="AE220" s="130"/>
      <c r="AF220" s="130"/>
      <c r="AG220" s="127"/>
      <c r="AH220" s="130"/>
      <c r="AI220" s="127"/>
      <c r="AJ220" s="127"/>
      <c r="AK220" s="127"/>
    </row>
    <row r="221" spans="1:37" ht="36" customHeight="1" x14ac:dyDescent="0.25">
      <c r="A221" s="125"/>
      <c r="B221" s="126" t="str">
        <f t="shared" si="6"/>
        <v/>
      </c>
      <c r="C221" s="127"/>
      <c r="D221" s="127"/>
      <c r="E221" s="128"/>
      <c r="F221" s="127"/>
      <c r="G221" s="125"/>
      <c r="H221" s="128"/>
      <c r="I221" s="127"/>
      <c r="J221" s="127"/>
      <c r="K221" s="127"/>
      <c r="L221" s="125"/>
      <c r="M221" s="125"/>
      <c r="N221" s="125"/>
      <c r="O221" s="127"/>
      <c r="P221" s="127"/>
      <c r="Q221" s="127"/>
      <c r="R221" s="127"/>
      <c r="S221" s="127"/>
      <c r="T221" s="127"/>
      <c r="U221" s="127"/>
      <c r="V221" s="128"/>
      <c r="W221" s="128"/>
      <c r="X221" s="129" t="str">
        <f t="shared" si="7"/>
        <v/>
      </c>
      <c r="Y221" s="127"/>
      <c r="Z221" s="128"/>
      <c r="AA221" s="130"/>
      <c r="AB221" s="130"/>
      <c r="AC221" s="130"/>
      <c r="AD221" s="130"/>
      <c r="AE221" s="130"/>
      <c r="AF221" s="130"/>
      <c r="AG221" s="127"/>
      <c r="AH221" s="130"/>
      <c r="AI221" s="127"/>
      <c r="AJ221" s="127"/>
      <c r="AK221" s="127"/>
    </row>
    <row r="222" spans="1:37" ht="36" customHeight="1" x14ac:dyDescent="0.25">
      <c r="A222" s="125"/>
      <c r="B222" s="126" t="str">
        <f t="shared" si="6"/>
        <v/>
      </c>
      <c r="C222" s="127"/>
      <c r="D222" s="127"/>
      <c r="E222" s="128"/>
      <c r="F222" s="127"/>
      <c r="G222" s="125"/>
      <c r="H222" s="128"/>
      <c r="I222" s="127"/>
      <c r="J222" s="127"/>
      <c r="K222" s="127"/>
      <c r="L222" s="125"/>
      <c r="M222" s="125"/>
      <c r="N222" s="125"/>
      <c r="O222" s="127"/>
      <c r="P222" s="127"/>
      <c r="Q222" s="127"/>
      <c r="R222" s="127"/>
      <c r="S222" s="127"/>
      <c r="T222" s="127"/>
      <c r="U222" s="127"/>
      <c r="V222" s="128"/>
      <c r="W222" s="128"/>
      <c r="X222" s="129" t="str">
        <f t="shared" si="7"/>
        <v/>
      </c>
      <c r="Y222" s="127"/>
      <c r="Z222" s="128"/>
      <c r="AA222" s="130"/>
      <c r="AB222" s="130"/>
      <c r="AC222" s="130"/>
      <c r="AD222" s="130"/>
      <c r="AE222" s="130"/>
      <c r="AF222" s="130"/>
      <c r="AG222" s="127"/>
      <c r="AH222" s="130"/>
      <c r="AI222" s="127"/>
      <c r="AJ222" s="127"/>
      <c r="AK222" s="127"/>
    </row>
    <row r="223" spans="1:37" ht="36" customHeight="1" x14ac:dyDescent="0.25">
      <c r="A223" s="125"/>
      <c r="B223" s="126" t="str">
        <f t="shared" si="6"/>
        <v/>
      </c>
      <c r="C223" s="127"/>
      <c r="D223" s="127"/>
      <c r="E223" s="128"/>
      <c r="F223" s="127"/>
      <c r="G223" s="125"/>
      <c r="H223" s="128"/>
      <c r="I223" s="127"/>
      <c r="J223" s="127"/>
      <c r="K223" s="127"/>
      <c r="L223" s="125"/>
      <c r="M223" s="125"/>
      <c r="N223" s="125"/>
      <c r="O223" s="127"/>
      <c r="P223" s="127"/>
      <c r="Q223" s="127"/>
      <c r="R223" s="127"/>
      <c r="S223" s="127"/>
      <c r="T223" s="127"/>
      <c r="U223" s="127"/>
      <c r="V223" s="128"/>
      <c r="W223" s="128"/>
      <c r="X223" s="129" t="str">
        <f t="shared" si="7"/>
        <v/>
      </c>
      <c r="Y223" s="127"/>
      <c r="Z223" s="128"/>
      <c r="AA223" s="130"/>
      <c r="AB223" s="130"/>
      <c r="AC223" s="130"/>
      <c r="AD223" s="130"/>
      <c r="AE223" s="130"/>
      <c r="AF223" s="130"/>
      <c r="AG223" s="127"/>
      <c r="AH223" s="130"/>
      <c r="AI223" s="127"/>
      <c r="AJ223" s="127"/>
      <c r="AK223" s="127"/>
    </row>
    <row r="224" spans="1:37" ht="36" customHeight="1" x14ac:dyDescent="0.25">
      <c r="A224" s="125"/>
      <c r="B224" s="126" t="str">
        <f t="shared" si="6"/>
        <v/>
      </c>
      <c r="C224" s="127"/>
      <c r="D224" s="127"/>
      <c r="E224" s="128"/>
      <c r="F224" s="127"/>
      <c r="G224" s="125"/>
      <c r="H224" s="128"/>
      <c r="I224" s="127"/>
      <c r="J224" s="127"/>
      <c r="K224" s="127"/>
      <c r="L224" s="125"/>
      <c r="M224" s="125"/>
      <c r="N224" s="125"/>
      <c r="O224" s="127"/>
      <c r="P224" s="127"/>
      <c r="Q224" s="127"/>
      <c r="R224" s="127"/>
      <c r="S224" s="127"/>
      <c r="T224" s="127"/>
      <c r="U224" s="127"/>
      <c r="V224" s="128"/>
      <c r="W224" s="128"/>
      <c r="X224" s="129" t="str">
        <f t="shared" si="7"/>
        <v/>
      </c>
      <c r="Y224" s="127"/>
      <c r="Z224" s="128"/>
      <c r="AA224" s="130"/>
      <c r="AB224" s="130"/>
      <c r="AC224" s="130"/>
      <c r="AD224" s="130"/>
      <c r="AE224" s="130"/>
      <c r="AF224" s="130"/>
      <c r="AG224" s="127"/>
      <c r="AH224" s="130"/>
      <c r="AI224" s="127"/>
      <c r="AJ224" s="127"/>
      <c r="AK224" s="127"/>
    </row>
    <row r="225" spans="1:37" ht="36" customHeight="1" x14ac:dyDescent="0.25">
      <c r="A225" s="125"/>
      <c r="B225" s="126" t="str">
        <f t="shared" si="6"/>
        <v/>
      </c>
      <c r="C225" s="127"/>
      <c r="D225" s="127"/>
      <c r="E225" s="128"/>
      <c r="F225" s="127"/>
      <c r="G225" s="125"/>
      <c r="H225" s="128"/>
      <c r="I225" s="127"/>
      <c r="J225" s="127"/>
      <c r="K225" s="127"/>
      <c r="L225" s="125"/>
      <c r="M225" s="125"/>
      <c r="N225" s="125"/>
      <c r="O225" s="127"/>
      <c r="P225" s="127"/>
      <c r="Q225" s="127"/>
      <c r="R225" s="127"/>
      <c r="S225" s="127"/>
      <c r="T225" s="127"/>
      <c r="U225" s="127"/>
      <c r="V225" s="128"/>
      <c r="W225" s="128"/>
      <c r="X225" s="129" t="str">
        <f t="shared" si="7"/>
        <v/>
      </c>
      <c r="Y225" s="127"/>
      <c r="Z225" s="128"/>
      <c r="AA225" s="130"/>
      <c r="AB225" s="130"/>
      <c r="AC225" s="130"/>
      <c r="AD225" s="130"/>
      <c r="AE225" s="130"/>
      <c r="AF225" s="130"/>
      <c r="AG225" s="127"/>
      <c r="AH225" s="130"/>
      <c r="AI225" s="127"/>
      <c r="AJ225" s="127"/>
      <c r="AK225" s="127"/>
    </row>
    <row r="226" spans="1:37" ht="36" customHeight="1" x14ac:dyDescent="0.25">
      <c r="A226" s="125"/>
      <c r="B226" s="126" t="str">
        <f t="shared" si="6"/>
        <v/>
      </c>
      <c r="C226" s="127"/>
      <c r="D226" s="127"/>
      <c r="E226" s="128"/>
      <c r="F226" s="127"/>
      <c r="G226" s="125"/>
      <c r="H226" s="128"/>
      <c r="I226" s="127"/>
      <c r="J226" s="127"/>
      <c r="K226" s="127"/>
      <c r="L226" s="125"/>
      <c r="M226" s="125"/>
      <c r="N226" s="125"/>
      <c r="O226" s="127"/>
      <c r="P226" s="127"/>
      <c r="Q226" s="127"/>
      <c r="R226" s="127"/>
      <c r="S226" s="127"/>
      <c r="T226" s="127"/>
      <c r="U226" s="127"/>
      <c r="V226" s="128"/>
      <c r="W226" s="128"/>
      <c r="X226" s="129" t="str">
        <f t="shared" si="7"/>
        <v/>
      </c>
      <c r="Y226" s="127"/>
      <c r="Z226" s="128"/>
      <c r="AA226" s="130"/>
      <c r="AB226" s="130"/>
      <c r="AC226" s="130"/>
      <c r="AD226" s="130"/>
      <c r="AE226" s="130"/>
      <c r="AF226" s="130"/>
      <c r="AG226" s="127"/>
      <c r="AH226" s="130"/>
      <c r="AI226" s="127"/>
      <c r="AJ226" s="127"/>
      <c r="AK226" s="127"/>
    </row>
    <row r="227" spans="1:37" ht="36" customHeight="1" x14ac:dyDescent="0.25">
      <c r="A227" s="125"/>
      <c r="B227" s="126" t="str">
        <f t="shared" si="6"/>
        <v/>
      </c>
      <c r="C227" s="127"/>
      <c r="D227" s="127"/>
      <c r="E227" s="128"/>
      <c r="F227" s="127"/>
      <c r="G227" s="125"/>
      <c r="H227" s="128"/>
      <c r="I227" s="127"/>
      <c r="J227" s="127"/>
      <c r="K227" s="127"/>
      <c r="L227" s="125"/>
      <c r="M227" s="125"/>
      <c r="N227" s="125"/>
      <c r="O227" s="127"/>
      <c r="P227" s="127"/>
      <c r="Q227" s="127"/>
      <c r="R227" s="127"/>
      <c r="S227" s="127"/>
      <c r="T227" s="127"/>
      <c r="U227" s="127"/>
      <c r="V227" s="128"/>
      <c r="W227" s="128"/>
      <c r="X227" s="129" t="str">
        <f t="shared" si="7"/>
        <v/>
      </c>
      <c r="Y227" s="127"/>
      <c r="Z227" s="128"/>
      <c r="AA227" s="130"/>
      <c r="AB227" s="130"/>
      <c r="AC227" s="130"/>
      <c r="AD227" s="130"/>
      <c r="AE227" s="130"/>
      <c r="AF227" s="130"/>
      <c r="AG227" s="127"/>
      <c r="AH227" s="130"/>
      <c r="AI227" s="127"/>
      <c r="AJ227" s="127"/>
      <c r="AK227" s="127"/>
    </row>
    <row r="228" spans="1:37" ht="36" customHeight="1" x14ac:dyDescent="0.25">
      <c r="A228" s="125"/>
      <c r="B228" s="126" t="str">
        <f t="shared" si="6"/>
        <v/>
      </c>
      <c r="C228" s="127"/>
      <c r="D228" s="127"/>
      <c r="E228" s="128"/>
      <c r="F228" s="127"/>
      <c r="G228" s="125"/>
      <c r="H228" s="128"/>
      <c r="I228" s="127"/>
      <c r="J228" s="127"/>
      <c r="K228" s="127"/>
      <c r="L228" s="125"/>
      <c r="M228" s="125"/>
      <c r="N228" s="125"/>
      <c r="O228" s="127"/>
      <c r="P228" s="127"/>
      <c r="Q228" s="127"/>
      <c r="R228" s="127"/>
      <c r="S228" s="127"/>
      <c r="T228" s="127"/>
      <c r="U228" s="127"/>
      <c r="V228" s="128"/>
      <c r="W228" s="128"/>
      <c r="X228" s="129" t="str">
        <f t="shared" si="7"/>
        <v/>
      </c>
      <c r="Y228" s="127"/>
      <c r="Z228" s="128"/>
      <c r="AA228" s="130"/>
      <c r="AB228" s="130"/>
      <c r="AC228" s="130"/>
      <c r="AD228" s="130"/>
      <c r="AE228" s="130"/>
      <c r="AF228" s="130"/>
      <c r="AG228" s="127"/>
      <c r="AH228" s="130"/>
      <c r="AI228" s="127"/>
      <c r="AJ228" s="127"/>
      <c r="AK228" s="127"/>
    </row>
    <row r="229" spans="1:37" ht="36" customHeight="1" x14ac:dyDescent="0.25">
      <c r="A229" s="125"/>
      <c r="B229" s="126" t="str">
        <f t="shared" si="6"/>
        <v/>
      </c>
      <c r="C229" s="127"/>
      <c r="D229" s="127"/>
      <c r="E229" s="128"/>
      <c r="F229" s="127"/>
      <c r="G229" s="125"/>
      <c r="H229" s="128"/>
      <c r="I229" s="127"/>
      <c r="J229" s="127"/>
      <c r="K229" s="127"/>
      <c r="L229" s="125"/>
      <c r="M229" s="125"/>
      <c r="N229" s="125"/>
      <c r="O229" s="127"/>
      <c r="P229" s="127"/>
      <c r="Q229" s="127"/>
      <c r="R229" s="127"/>
      <c r="S229" s="127"/>
      <c r="T229" s="127"/>
      <c r="U229" s="127"/>
      <c r="V229" s="128"/>
      <c r="W229" s="128"/>
      <c r="X229" s="129" t="str">
        <f t="shared" si="7"/>
        <v/>
      </c>
      <c r="Y229" s="127"/>
      <c r="Z229" s="128"/>
      <c r="AA229" s="130"/>
      <c r="AB229" s="130"/>
      <c r="AC229" s="130"/>
      <c r="AD229" s="130"/>
      <c r="AE229" s="130"/>
      <c r="AF229" s="130"/>
      <c r="AG229" s="127"/>
      <c r="AH229" s="130"/>
      <c r="AI229" s="127"/>
      <c r="AJ229" s="127"/>
      <c r="AK229" s="127"/>
    </row>
    <row r="230" spans="1:37" ht="36" customHeight="1" x14ac:dyDescent="0.25">
      <c r="A230" s="125"/>
      <c r="B230" s="126" t="str">
        <f t="shared" si="6"/>
        <v/>
      </c>
      <c r="C230" s="127"/>
      <c r="D230" s="127"/>
      <c r="E230" s="128"/>
      <c r="F230" s="127"/>
      <c r="G230" s="125"/>
      <c r="H230" s="128"/>
      <c r="I230" s="127"/>
      <c r="J230" s="127"/>
      <c r="K230" s="127"/>
      <c r="L230" s="125"/>
      <c r="M230" s="125"/>
      <c r="N230" s="125"/>
      <c r="O230" s="127"/>
      <c r="P230" s="127"/>
      <c r="Q230" s="127"/>
      <c r="R230" s="127"/>
      <c r="S230" s="127"/>
      <c r="T230" s="127"/>
      <c r="U230" s="127"/>
      <c r="V230" s="128"/>
      <c r="W230" s="128"/>
      <c r="X230" s="129" t="str">
        <f t="shared" si="7"/>
        <v/>
      </c>
      <c r="Y230" s="127"/>
      <c r="Z230" s="128"/>
      <c r="AA230" s="130"/>
      <c r="AB230" s="130"/>
      <c r="AC230" s="130"/>
      <c r="AD230" s="130"/>
      <c r="AE230" s="130"/>
      <c r="AF230" s="130"/>
      <c r="AG230" s="127"/>
      <c r="AH230" s="130"/>
      <c r="AI230" s="127"/>
      <c r="AJ230" s="127"/>
      <c r="AK230" s="127"/>
    </row>
    <row r="231" spans="1:37" ht="36" customHeight="1" x14ac:dyDescent="0.25">
      <c r="A231" s="125"/>
      <c r="B231" s="126" t="str">
        <f t="shared" si="6"/>
        <v/>
      </c>
      <c r="C231" s="127"/>
      <c r="D231" s="127"/>
      <c r="E231" s="128"/>
      <c r="F231" s="127"/>
      <c r="G231" s="125"/>
      <c r="H231" s="128"/>
      <c r="I231" s="127"/>
      <c r="J231" s="127"/>
      <c r="K231" s="127"/>
      <c r="L231" s="125"/>
      <c r="M231" s="125"/>
      <c r="N231" s="125"/>
      <c r="O231" s="127"/>
      <c r="P231" s="127"/>
      <c r="Q231" s="127"/>
      <c r="R231" s="127"/>
      <c r="S231" s="127"/>
      <c r="T231" s="127"/>
      <c r="U231" s="127"/>
      <c r="V231" s="128"/>
      <c r="W231" s="128"/>
      <c r="X231" s="129" t="str">
        <f t="shared" si="7"/>
        <v/>
      </c>
      <c r="Y231" s="127"/>
      <c r="Z231" s="128"/>
      <c r="AA231" s="130"/>
      <c r="AB231" s="130"/>
      <c r="AC231" s="130"/>
      <c r="AD231" s="130"/>
      <c r="AE231" s="130"/>
      <c r="AF231" s="130"/>
      <c r="AG231" s="127"/>
      <c r="AH231" s="130"/>
      <c r="AI231" s="127"/>
      <c r="AJ231" s="127"/>
      <c r="AK231" s="127"/>
    </row>
    <row r="232" spans="1:37" ht="36" customHeight="1" x14ac:dyDescent="0.25">
      <c r="A232" s="125"/>
      <c r="B232" s="126" t="str">
        <f t="shared" si="6"/>
        <v/>
      </c>
      <c r="C232" s="127"/>
      <c r="D232" s="127"/>
      <c r="E232" s="128"/>
      <c r="F232" s="127"/>
      <c r="G232" s="125"/>
      <c r="H232" s="128"/>
      <c r="I232" s="127"/>
      <c r="J232" s="127"/>
      <c r="K232" s="127"/>
      <c r="L232" s="125"/>
      <c r="M232" s="125"/>
      <c r="N232" s="125"/>
      <c r="O232" s="127"/>
      <c r="P232" s="127"/>
      <c r="Q232" s="127"/>
      <c r="R232" s="127"/>
      <c r="S232" s="127"/>
      <c r="T232" s="127"/>
      <c r="U232" s="127"/>
      <c r="V232" s="128"/>
      <c r="W232" s="128"/>
      <c r="X232" s="129" t="str">
        <f t="shared" si="7"/>
        <v/>
      </c>
      <c r="Y232" s="127"/>
      <c r="Z232" s="128"/>
      <c r="AA232" s="130"/>
      <c r="AB232" s="130"/>
      <c r="AC232" s="130"/>
      <c r="AD232" s="130"/>
      <c r="AE232" s="130"/>
      <c r="AF232" s="130"/>
      <c r="AG232" s="127"/>
      <c r="AH232" s="130"/>
      <c r="AI232" s="127"/>
      <c r="AJ232" s="127"/>
      <c r="AK232" s="127"/>
    </row>
    <row r="233" spans="1:37" ht="36" customHeight="1" x14ac:dyDescent="0.25">
      <c r="A233" s="125"/>
      <c r="B233" s="126" t="str">
        <f t="shared" si="6"/>
        <v/>
      </c>
      <c r="C233" s="127"/>
      <c r="D233" s="127"/>
      <c r="E233" s="128"/>
      <c r="F233" s="127"/>
      <c r="G233" s="125"/>
      <c r="H233" s="128"/>
      <c r="I233" s="127"/>
      <c r="J233" s="127"/>
      <c r="K233" s="127"/>
      <c r="L233" s="125"/>
      <c r="M233" s="125"/>
      <c r="N233" s="125"/>
      <c r="O233" s="127"/>
      <c r="P233" s="127"/>
      <c r="Q233" s="127"/>
      <c r="R233" s="127"/>
      <c r="S233" s="127"/>
      <c r="T233" s="127"/>
      <c r="U233" s="127"/>
      <c r="V233" s="128"/>
      <c r="W233" s="128"/>
      <c r="X233" s="129" t="str">
        <f t="shared" si="7"/>
        <v/>
      </c>
      <c r="Y233" s="127"/>
      <c r="Z233" s="128"/>
      <c r="AA233" s="130"/>
      <c r="AB233" s="130"/>
      <c r="AC233" s="130"/>
      <c r="AD233" s="130"/>
      <c r="AE233" s="130"/>
      <c r="AF233" s="130"/>
      <c r="AG233" s="127"/>
      <c r="AH233" s="130"/>
      <c r="AI233" s="127"/>
      <c r="AJ233" s="127"/>
      <c r="AK233" s="127"/>
    </row>
    <row r="234" spans="1:37" ht="36" customHeight="1" x14ac:dyDescent="0.25">
      <c r="A234" s="125"/>
      <c r="B234" s="126" t="str">
        <f t="shared" si="6"/>
        <v/>
      </c>
      <c r="C234" s="127"/>
      <c r="D234" s="127"/>
      <c r="E234" s="128"/>
      <c r="F234" s="127"/>
      <c r="G234" s="125"/>
      <c r="H234" s="128"/>
      <c r="I234" s="127"/>
      <c r="J234" s="127"/>
      <c r="K234" s="127"/>
      <c r="L234" s="125"/>
      <c r="M234" s="125"/>
      <c r="N234" s="125"/>
      <c r="O234" s="127"/>
      <c r="P234" s="127"/>
      <c r="Q234" s="127"/>
      <c r="R234" s="127"/>
      <c r="S234" s="127"/>
      <c r="T234" s="127"/>
      <c r="U234" s="127"/>
      <c r="V234" s="128"/>
      <c r="W234" s="128"/>
      <c r="X234" s="129" t="str">
        <f t="shared" si="7"/>
        <v/>
      </c>
      <c r="Y234" s="127"/>
      <c r="Z234" s="128"/>
      <c r="AA234" s="130"/>
      <c r="AB234" s="130"/>
      <c r="AC234" s="130"/>
      <c r="AD234" s="130"/>
      <c r="AE234" s="130"/>
      <c r="AF234" s="130"/>
      <c r="AG234" s="127"/>
      <c r="AH234" s="130"/>
      <c r="AI234" s="127"/>
      <c r="AJ234" s="127"/>
      <c r="AK234" s="127"/>
    </row>
    <row r="235" spans="1:37" ht="36" customHeight="1" x14ac:dyDescent="0.25">
      <c r="A235" s="125"/>
      <c r="B235" s="126" t="str">
        <f t="shared" si="6"/>
        <v/>
      </c>
      <c r="C235" s="127"/>
      <c r="D235" s="127"/>
      <c r="E235" s="128"/>
      <c r="F235" s="127"/>
      <c r="G235" s="125"/>
      <c r="H235" s="128"/>
      <c r="I235" s="127"/>
      <c r="J235" s="127"/>
      <c r="K235" s="127"/>
      <c r="L235" s="125"/>
      <c r="M235" s="125"/>
      <c r="N235" s="125"/>
      <c r="O235" s="127"/>
      <c r="P235" s="127"/>
      <c r="Q235" s="127"/>
      <c r="R235" s="127"/>
      <c r="S235" s="127"/>
      <c r="T235" s="127"/>
      <c r="U235" s="127"/>
      <c r="V235" s="128"/>
      <c r="W235" s="128"/>
      <c r="X235" s="129" t="str">
        <f t="shared" si="7"/>
        <v/>
      </c>
      <c r="Y235" s="127"/>
      <c r="Z235" s="128"/>
      <c r="AA235" s="130"/>
      <c r="AB235" s="130"/>
      <c r="AC235" s="130"/>
      <c r="AD235" s="130"/>
      <c r="AE235" s="130"/>
      <c r="AF235" s="130"/>
      <c r="AG235" s="127"/>
      <c r="AH235" s="130"/>
      <c r="AI235" s="127"/>
      <c r="AJ235" s="127"/>
      <c r="AK235" s="127"/>
    </row>
    <row r="236" spans="1:37" ht="36" customHeight="1" x14ac:dyDescent="0.25">
      <c r="A236" s="125"/>
      <c r="B236" s="126" t="str">
        <f t="shared" si="6"/>
        <v/>
      </c>
      <c r="C236" s="127"/>
      <c r="D236" s="127"/>
      <c r="E236" s="128"/>
      <c r="F236" s="127"/>
      <c r="G236" s="125"/>
      <c r="H236" s="128"/>
      <c r="I236" s="127"/>
      <c r="J236" s="127"/>
      <c r="K236" s="127"/>
      <c r="L236" s="125"/>
      <c r="M236" s="125"/>
      <c r="N236" s="125"/>
      <c r="O236" s="127"/>
      <c r="P236" s="127"/>
      <c r="Q236" s="127"/>
      <c r="R236" s="127"/>
      <c r="S236" s="127"/>
      <c r="T236" s="127"/>
      <c r="U236" s="127"/>
      <c r="V236" s="128"/>
      <c r="W236" s="128"/>
      <c r="X236" s="129" t="str">
        <f t="shared" si="7"/>
        <v/>
      </c>
      <c r="Y236" s="127"/>
      <c r="Z236" s="128"/>
      <c r="AA236" s="130"/>
      <c r="AB236" s="130"/>
      <c r="AC236" s="130"/>
      <c r="AD236" s="130"/>
      <c r="AE236" s="130"/>
      <c r="AF236" s="130"/>
      <c r="AG236" s="127"/>
      <c r="AH236" s="130"/>
      <c r="AI236" s="127"/>
      <c r="AJ236" s="127"/>
      <c r="AK236" s="127"/>
    </row>
    <row r="237" spans="1:37" ht="36" customHeight="1" x14ac:dyDescent="0.25">
      <c r="A237" s="125"/>
      <c r="B237" s="126" t="str">
        <f t="shared" si="6"/>
        <v/>
      </c>
      <c r="C237" s="127"/>
      <c r="D237" s="127"/>
      <c r="E237" s="128"/>
      <c r="F237" s="127"/>
      <c r="G237" s="125"/>
      <c r="H237" s="128"/>
      <c r="I237" s="127"/>
      <c r="J237" s="127"/>
      <c r="K237" s="127"/>
      <c r="L237" s="125"/>
      <c r="M237" s="125"/>
      <c r="N237" s="125"/>
      <c r="O237" s="127"/>
      <c r="P237" s="127"/>
      <c r="Q237" s="127"/>
      <c r="R237" s="127"/>
      <c r="S237" s="127"/>
      <c r="T237" s="127"/>
      <c r="U237" s="127"/>
      <c r="V237" s="128"/>
      <c r="W237" s="128"/>
      <c r="X237" s="129" t="str">
        <f t="shared" si="7"/>
        <v/>
      </c>
      <c r="Y237" s="127"/>
      <c r="Z237" s="128"/>
      <c r="AA237" s="130"/>
      <c r="AB237" s="130"/>
      <c r="AC237" s="130"/>
      <c r="AD237" s="130"/>
      <c r="AE237" s="130"/>
      <c r="AF237" s="130"/>
      <c r="AG237" s="127"/>
      <c r="AH237" s="130"/>
      <c r="AI237" s="127"/>
      <c r="AJ237" s="127"/>
      <c r="AK237" s="127"/>
    </row>
    <row r="238" spans="1:37" ht="36" customHeight="1" x14ac:dyDescent="0.25">
      <c r="A238" s="125"/>
      <c r="B238" s="126" t="str">
        <f t="shared" si="6"/>
        <v/>
      </c>
      <c r="C238" s="127"/>
      <c r="D238" s="127"/>
      <c r="E238" s="128"/>
      <c r="F238" s="127"/>
      <c r="G238" s="125"/>
      <c r="H238" s="128"/>
      <c r="I238" s="127"/>
      <c r="J238" s="127"/>
      <c r="K238" s="127"/>
      <c r="L238" s="125"/>
      <c r="M238" s="125"/>
      <c r="N238" s="125"/>
      <c r="O238" s="127"/>
      <c r="P238" s="127"/>
      <c r="Q238" s="127"/>
      <c r="R238" s="127"/>
      <c r="S238" s="127"/>
      <c r="T238" s="127"/>
      <c r="U238" s="127"/>
      <c r="V238" s="128"/>
      <c r="W238" s="128"/>
      <c r="X238" s="129" t="str">
        <f t="shared" si="7"/>
        <v/>
      </c>
      <c r="Y238" s="127"/>
      <c r="Z238" s="128"/>
      <c r="AA238" s="130"/>
      <c r="AB238" s="130"/>
      <c r="AC238" s="130"/>
      <c r="AD238" s="130"/>
      <c r="AE238" s="130"/>
      <c r="AF238" s="130"/>
      <c r="AG238" s="127"/>
      <c r="AH238" s="130"/>
      <c r="AI238" s="127"/>
      <c r="AJ238" s="127"/>
      <c r="AK238" s="127"/>
    </row>
    <row r="239" spans="1:37" ht="36" customHeight="1" x14ac:dyDescent="0.25">
      <c r="A239" s="125"/>
      <c r="B239" s="126" t="str">
        <f t="shared" si="6"/>
        <v/>
      </c>
      <c r="C239" s="127"/>
      <c r="D239" s="127"/>
      <c r="E239" s="128"/>
      <c r="F239" s="127"/>
      <c r="G239" s="125"/>
      <c r="H239" s="128"/>
      <c r="I239" s="127"/>
      <c r="J239" s="127"/>
      <c r="K239" s="127"/>
      <c r="L239" s="125"/>
      <c r="M239" s="125"/>
      <c r="N239" s="125"/>
      <c r="O239" s="127"/>
      <c r="P239" s="127"/>
      <c r="Q239" s="127"/>
      <c r="R239" s="127"/>
      <c r="S239" s="127"/>
      <c r="T239" s="127"/>
      <c r="U239" s="127"/>
      <c r="V239" s="128"/>
      <c r="W239" s="128"/>
      <c r="X239" s="129" t="str">
        <f t="shared" si="7"/>
        <v/>
      </c>
      <c r="Y239" s="127"/>
      <c r="Z239" s="128"/>
      <c r="AA239" s="130"/>
      <c r="AB239" s="130"/>
      <c r="AC239" s="130"/>
      <c r="AD239" s="130"/>
      <c r="AE239" s="130"/>
      <c r="AF239" s="130"/>
      <c r="AG239" s="127"/>
      <c r="AH239" s="130"/>
      <c r="AI239" s="127"/>
      <c r="AJ239" s="127"/>
      <c r="AK239" s="127"/>
    </row>
    <row r="240" spans="1:37" ht="36" customHeight="1" x14ac:dyDescent="0.25">
      <c r="A240" s="125"/>
      <c r="B240" s="126" t="str">
        <f t="shared" si="6"/>
        <v/>
      </c>
      <c r="C240" s="127"/>
      <c r="D240" s="127"/>
      <c r="E240" s="128"/>
      <c r="F240" s="127"/>
      <c r="G240" s="125"/>
      <c r="H240" s="128"/>
      <c r="I240" s="127"/>
      <c r="J240" s="127"/>
      <c r="K240" s="127"/>
      <c r="L240" s="125"/>
      <c r="M240" s="125"/>
      <c r="N240" s="125"/>
      <c r="O240" s="127"/>
      <c r="P240" s="127"/>
      <c r="Q240" s="127"/>
      <c r="R240" s="127"/>
      <c r="S240" s="127"/>
      <c r="T240" s="127"/>
      <c r="U240" s="127"/>
      <c r="V240" s="128"/>
      <c r="W240" s="128"/>
      <c r="X240" s="129" t="str">
        <f t="shared" si="7"/>
        <v/>
      </c>
      <c r="Y240" s="127"/>
      <c r="Z240" s="128"/>
      <c r="AA240" s="130"/>
      <c r="AB240" s="130"/>
      <c r="AC240" s="130"/>
      <c r="AD240" s="130"/>
      <c r="AE240" s="130"/>
      <c r="AF240" s="130"/>
      <c r="AG240" s="127"/>
      <c r="AH240" s="130"/>
      <c r="AI240" s="127"/>
      <c r="AJ240" s="127"/>
      <c r="AK240" s="127"/>
    </row>
    <row r="241" spans="1:37" ht="36" customHeight="1" x14ac:dyDescent="0.25">
      <c r="A241" s="125"/>
      <c r="B241" s="126" t="str">
        <f t="shared" si="6"/>
        <v/>
      </c>
      <c r="C241" s="127"/>
      <c r="D241" s="127"/>
      <c r="E241" s="128"/>
      <c r="F241" s="127"/>
      <c r="G241" s="125"/>
      <c r="H241" s="128"/>
      <c r="I241" s="127"/>
      <c r="J241" s="127"/>
      <c r="K241" s="127"/>
      <c r="L241" s="125"/>
      <c r="M241" s="125"/>
      <c r="N241" s="125"/>
      <c r="O241" s="127"/>
      <c r="P241" s="127"/>
      <c r="Q241" s="127"/>
      <c r="R241" s="127"/>
      <c r="S241" s="127"/>
      <c r="T241" s="127"/>
      <c r="U241" s="127"/>
      <c r="V241" s="128"/>
      <c r="W241" s="128"/>
      <c r="X241" s="129" t="str">
        <f t="shared" si="7"/>
        <v/>
      </c>
      <c r="Y241" s="127"/>
      <c r="Z241" s="128"/>
      <c r="AA241" s="130"/>
      <c r="AB241" s="130"/>
      <c r="AC241" s="130"/>
      <c r="AD241" s="130"/>
      <c r="AE241" s="130"/>
      <c r="AF241" s="130"/>
      <c r="AG241" s="127"/>
      <c r="AH241" s="130"/>
      <c r="AI241" s="127"/>
      <c r="AJ241" s="127"/>
      <c r="AK241" s="127"/>
    </row>
    <row r="242" spans="1:37" ht="36" customHeight="1" x14ac:dyDescent="0.25">
      <c r="A242" s="125"/>
      <c r="B242" s="126" t="str">
        <f t="shared" si="6"/>
        <v/>
      </c>
      <c r="C242" s="127"/>
      <c r="D242" s="127"/>
      <c r="E242" s="128"/>
      <c r="F242" s="127"/>
      <c r="G242" s="125"/>
      <c r="H242" s="128"/>
      <c r="I242" s="127"/>
      <c r="J242" s="127"/>
      <c r="K242" s="127"/>
      <c r="L242" s="125"/>
      <c r="M242" s="125"/>
      <c r="N242" s="125"/>
      <c r="O242" s="127"/>
      <c r="P242" s="127"/>
      <c r="Q242" s="127"/>
      <c r="R242" s="127"/>
      <c r="S242" s="127"/>
      <c r="T242" s="127"/>
      <c r="U242" s="127"/>
      <c r="V242" s="128"/>
      <c r="W242" s="128"/>
      <c r="X242" s="129" t="str">
        <f t="shared" si="7"/>
        <v/>
      </c>
      <c r="Y242" s="127"/>
      <c r="Z242" s="128"/>
      <c r="AA242" s="130"/>
      <c r="AB242" s="130"/>
      <c r="AC242" s="130"/>
      <c r="AD242" s="130"/>
      <c r="AE242" s="130"/>
      <c r="AF242" s="130"/>
      <c r="AG242" s="127"/>
      <c r="AH242" s="130"/>
      <c r="AI242" s="127"/>
      <c r="AJ242" s="127"/>
      <c r="AK242" s="127"/>
    </row>
    <row r="243" spans="1:37" ht="36" customHeight="1" x14ac:dyDescent="0.25">
      <c r="A243" s="125"/>
      <c r="B243" s="126" t="str">
        <f t="shared" si="6"/>
        <v/>
      </c>
      <c r="C243" s="127"/>
      <c r="D243" s="127"/>
      <c r="E243" s="128"/>
      <c r="F243" s="127"/>
      <c r="G243" s="125"/>
      <c r="H243" s="128"/>
      <c r="I243" s="127"/>
      <c r="J243" s="127"/>
      <c r="K243" s="127"/>
      <c r="L243" s="125"/>
      <c r="M243" s="125"/>
      <c r="N243" s="125"/>
      <c r="O243" s="127"/>
      <c r="P243" s="127"/>
      <c r="Q243" s="127"/>
      <c r="R243" s="127"/>
      <c r="S243" s="127"/>
      <c r="T243" s="127"/>
      <c r="U243" s="127"/>
      <c r="V243" s="128"/>
      <c r="W243" s="128"/>
      <c r="X243" s="129" t="str">
        <f t="shared" si="7"/>
        <v/>
      </c>
      <c r="Y243" s="127"/>
      <c r="Z243" s="128"/>
      <c r="AA243" s="130"/>
      <c r="AB243" s="130"/>
      <c r="AC243" s="130"/>
      <c r="AD243" s="130"/>
      <c r="AE243" s="130"/>
      <c r="AF243" s="130"/>
      <c r="AG243" s="127"/>
      <c r="AH243" s="130"/>
      <c r="AI243" s="127"/>
      <c r="AJ243" s="127"/>
      <c r="AK243" s="127"/>
    </row>
    <row r="244" spans="1:37" ht="36" customHeight="1" x14ac:dyDescent="0.25">
      <c r="A244" s="125"/>
      <c r="B244" s="126" t="str">
        <f t="shared" si="6"/>
        <v/>
      </c>
      <c r="C244" s="127"/>
      <c r="D244" s="127"/>
      <c r="E244" s="128"/>
      <c r="F244" s="127"/>
      <c r="G244" s="125"/>
      <c r="H244" s="128"/>
      <c r="I244" s="127"/>
      <c r="J244" s="127"/>
      <c r="K244" s="127"/>
      <c r="L244" s="125"/>
      <c r="M244" s="125"/>
      <c r="N244" s="125"/>
      <c r="O244" s="127"/>
      <c r="P244" s="127"/>
      <c r="Q244" s="127"/>
      <c r="R244" s="127"/>
      <c r="S244" s="127"/>
      <c r="T244" s="127"/>
      <c r="U244" s="127"/>
      <c r="V244" s="128"/>
      <c r="W244" s="128"/>
      <c r="X244" s="129" t="str">
        <f t="shared" si="7"/>
        <v/>
      </c>
      <c r="Y244" s="127"/>
      <c r="Z244" s="128"/>
      <c r="AA244" s="130"/>
      <c r="AB244" s="130"/>
      <c r="AC244" s="130"/>
      <c r="AD244" s="130"/>
      <c r="AE244" s="130"/>
      <c r="AF244" s="130"/>
      <c r="AG244" s="127"/>
      <c r="AH244" s="130"/>
      <c r="AI244" s="127"/>
      <c r="AJ244" s="127"/>
      <c r="AK244" s="127"/>
    </row>
    <row r="245" spans="1:37" ht="36" customHeight="1" x14ac:dyDescent="0.25">
      <c r="A245" s="125"/>
      <c r="B245" s="126" t="str">
        <f t="shared" si="6"/>
        <v/>
      </c>
      <c r="C245" s="127"/>
      <c r="D245" s="127"/>
      <c r="E245" s="128"/>
      <c r="F245" s="127"/>
      <c r="G245" s="125"/>
      <c r="H245" s="128"/>
      <c r="I245" s="127"/>
      <c r="J245" s="127"/>
      <c r="K245" s="127"/>
      <c r="L245" s="125"/>
      <c r="M245" s="125"/>
      <c r="N245" s="125"/>
      <c r="O245" s="127"/>
      <c r="P245" s="127"/>
      <c r="Q245" s="127"/>
      <c r="R245" s="127"/>
      <c r="S245" s="127"/>
      <c r="T245" s="127"/>
      <c r="U245" s="127"/>
      <c r="V245" s="128"/>
      <c r="W245" s="128"/>
      <c r="X245" s="129" t="str">
        <f t="shared" si="7"/>
        <v/>
      </c>
      <c r="Y245" s="127"/>
      <c r="Z245" s="128"/>
      <c r="AA245" s="130"/>
      <c r="AB245" s="130"/>
      <c r="AC245" s="130"/>
      <c r="AD245" s="130"/>
      <c r="AE245" s="130"/>
      <c r="AF245" s="130"/>
      <c r="AG245" s="127"/>
      <c r="AH245" s="130"/>
      <c r="AI245" s="127"/>
      <c r="AJ245" s="127"/>
      <c r="AK245" s="127"/>
    </row>
    <row r="246" spans="1:37" ht="36" customHeight="1" x14ac:dyDescent="0.25">
      <c r="A246" s="125"/>
      <c r="B246" s="126" t="str">
        <f t="shared" si="6"/>
        <v/>
      </c>
      <c r="C246" s="127"/>
      <c r="D246" s="127"/>
      <c r="E246" s="128"/>
      <c r="F246" s="127"/>
      <c r="G246" s="125"/>
      <c r="H246" s="128"/>
      <c r="I246" s="127"/>
      <c r="J246" s="127"/>
      <c r="K246" s="127"/>
      <c r="L246" s="125"/>
      <c r="M246" s="125"/>
      <c r="N246" s="125"/>
      <c r="O246" s="127"/>
      <c r="P246" s="127"/>
      <c r="Q246" s="127"/>
      <c r="R246" s="127"/>
      <c r="S246" s="127"/>
      <c r="T246" s="127"/>
      <c r="U246" s="127"/>
      <c r="V246" s="128"/>
      <c r="W246" s="128"/>
      <c r="X246" s="129" t="str">
        <f t="shared" si="7"/>
        <v/>
      </c>
      <c r="Y246" s="127"/>
      <c r="Z246" s="128"/>
      <c r="AA246" s="130"/>
      <c r="AB246" s="130"/>
      <c r="AC246" s="130"/>
      <c r="AD246" s="130"/>
      <c r="AE246" s="130"/>
      <c r="AF246" s="130"/>
      <c r="AG246" s="127"/>
      <c r="AH246" s="130"/>
      <c r="AI246" s="127"/>
      <c r="AJ246" s="127"/>
      <c r="AK246" s="127"/>
    </row>
    <row r="247" spans="1:37" ht="36" customHeight="1" x14ac:dyDescent="0.25">
      <c r="A247" s="125"/>
      <c r="B247" s="126" t="str">
        <f t="shared" si="6"/>
        <v/>
      </c>
      <c r="C247" s="127"/>
      <c r="D247" s="127"/>
      <c r="E247" s="128"/>
      <c r="F247" s="127"/>
      <c r="G247" s="125"/>
      <c r="H247" s="128"/>
      <c r="I247" s="127"/>
      <c r="J247" s="127"/>
      <c r="K247" s="127"/>
      <c r="L247" s="125"/>
      <c r="M247" s="125"/>
      <c r="N247" s="125"/>
      <c r="O247" s="127"/>
      <c r="P247" s="127"/>
      <c r="Q247" s="127"/>
      <c r="R247" s="127"/>
      <c r="S247" s="127"/>
      <c r="T247" s="127"/>
      <c r="U247" s="127"/>
      <c r="V247" s="128"/>
      <c r="W247" s="128"/>
      <c r="X247" s="129" t="str">
        <f t="shared" si="7"/>
        <v/>
      </c>
      <c r="Y247" s="127"/>
      <c r="Z247" s="128"/>
      <c r="AA247" s="130"/>
      <c r="AB247" s="130"/>
      <c r="AC247" s="130"/>
      <c r="AD247" s="130"/>
      <c r="AE247" s="130"/>
      <c r="AF247" s="130"/>
      <c r="AG247" s="127"/>
      <c r="AH247" s="130"/>
      <c r="AI247" s="127"/>
      <c r="AJ247" s="127"/>
      <c r="AK247" s="127"/>
    </row>
    <row r="248" spans="1:37" ht="36" customHeight="1" x14ac:dyDescent="0.25">
      <c r="A248" s="125"/>
      <c r="B248" s="126" t="str">
        <f t="shared" si="6"/>
        <v/>
      </c>
      <c r="C248" s="127"/>
      <c r="D248" s="127"/>
      <c r="E248" s="128"/>
      <c r="F248" s="127"/>
      <c r="G248" s="125"/>
      <c r="H248" s="128"/>
      <c r="I248" s="127"/>
      <c r="J248" s="127"/>
      <c r="K248" s="127"/>
      <c r="L248" s="125"/>
      <c r="M248" s="125"/>
      <c r="N248" s="125"/>
      <c r="O248" s="127"/>
      <c r="P248" s="127"/>
      <c r="Q248" s="127"/>
      <c r="R248" s="127"/>
      <c r="S248" s="127"/>
      <c r="T248" s="127"/>
      <c r="U248" s="127"/>
      <c r="V248" s="128"/>
      <c r="W248" s="128"/>
      <c r="X248" s="129" t="str">
        <f t="shared" si="7"/>
        <v/>
      </c>
      <c r="Y248" s="127"/>
      <c r="Z248" s="128"/>
      <c r="AA248" s="130"/>
      <c r="AB248" s="130"/>
      <c r="AC248" s="130"/>
      <c r="AD248" s="130"/>
      <c r="AE248" s="130"/>
      <c r="AF248" s="130"/>
      <c r="AG248" s="127"/>
      <c r="AH248" s="130"/>
      <c r="AI248" s="127"/>
      <c r="AJ248" s="127"/>
      <c r="AK248" s="127"/>
    </row>
    <row r="249" spans="1:37" ht="36" customHeight="1" x14ac:dyDescent="0.25">
      <c r="A249" s="125"/>
      <c r="B249" s="126" t="str">
        <f t="shared" si="6"/>
        <v/>
      </c>
      <c r="C249" s="127"/>
      <c r="D249" s="127"/>
      <c r="E249" s="128"/>
      <c r="F249" s="127"/>
      <c r="G249" s="125"/>
      <c r="H249" s="128"/>
      <c r="I249" s="127"/>
      <c r="J249" s="127"/>
      <c r="K249" s="127"/>
      <c r="L249" s="125"/>
      <c r="M249" s="125"/>
      <c r="N249" s="125"/>
      <c r="O249" s="127"/>
      <c r="P249" s="127"/>
      <c r="Q249" s="127"/>
      <c r="R249" s="127"/>
      <c r="S249" s="127"/>
      <c r="T249" s="127"/>
      <c r="U249" s="127"/>
      <c r="V249" s="128"/>
      <c r="W249" s="128"/>
      <c r="X249" s="129" t="str">
        <f t="shared" si="7"/>
        <v/>
      </c>
      <c r="Y249" s="127"/>
      <c r="Z249" s="128"/>
      <c r="AA249" s="130"/>
      <c r="AB249" s="130"/>
      <c r="AC249" s="130"/>
      <c r="AD249" s="130"/>
      <c r="AE249" s="130"/>
      <c r="AF249" s="130"/>
      <c r="AG249" s="127"/>
      <c r="AH249" s="130"/>
      <c r="AI249" s="127"/>
      <c r="AJ249" s="127"/>
      <c r="AK249" s="127"/>
    </row>
    <row r="250" spans="1:37" ht="36" customHeight="1" x14ac:dyDescent="0.25">
      <c r="A250" s="125"/>
      <c r="B250" s="126" t="str">
        <f t="shared" si="6"/>
        <v/>
      </c>
      <c r="C250" s="127"/>
      <c r="D250" s="127"/>
      <c r="E250" s="128"/>
      <c r="F250" s="127"/>
      <c r="G250" s="125"/>
      <c r="H250" s="128"/>
      <c r="I250" s="127"/>
      <c r="J250" s="127"/>
      <c r="K250" s="127"/>
      <c r="L250" s="125"/>
      <c r="M250" s="125"/>
      <c r="N250" s="125"/>
      <c r="O250" s="127"/>
      <c r="P250" s="127"/>
      <c r="Q250" s="127"/>
      <c r="R250" s="127"/>
      <c r="S250" s="127"/>
      <c r="T250" s="127"/>
      <c r="U250" s="127"/>
      <c r="V250" s="128"/>
      <c r="W250" s="128"/>
      <c r="X250" s="129" t="str">
        <f t="shared" si="7"/>
        <v/>
      </c>
      <c r="Y250" s="127"/>
      <c r="Z250" s="128"/>
      <c r="AA250" s="130"/>
      <c r="AB250" s="130"/>
      <c r="AC250" s="130"/>
      <c r="AD250" s="130"/>
      <c r="AE250" s="130"/>
      <c r="AF250" s="130"/>
      <c r="AG250" s="127"/>
      <c r="AH250" s="130"/>
      <c r="AI250" s="127"/>
      <c r="AJ250" s="127"/>
      <c r="AK250" s="127"/>
    </row>
    <row r="251" spans="1:37" ht="36" customHeight="1" x14ac:dyDescent="0.25">
      <c r="A251" s="125"/>
      <c r="B251" s="126" t="str">
        <f t="shared" si="6"/>
        <v/>
      </c>
      <c r="C251" s="127"/>
      <c r="D251" s="127"/>
      <c r="E251" s="128"/>
      <c r="F251" s="127"/>
      <c r="G251" s="125"/>
      <c r="H251" s="128"/>
      <c r="I251" s="127"/>
      <c r="J251" s="127"/>
      <c r="K251" s="127"/>
      <c r="L251" s="125"/>
      <c r="M251" s="125"/>
      <c r="N251" s="125"/>
      <c r="O251" s="127"/>
      <c r="P251" s="127"/>
      <c r="Q251" s="127"/>
      <c r="R251" s="127"/>
      <c r="S251" s="127"/>
      <c r="T251" s="127"/>
      <c r="U251" s="127"/>
      <c r="V251" s="128"/>
      <c r="W251" s="128"/>
      <c r="X251" s="129" t="str">
        <f t="shared" si="7"/>
        <v/>
      </c>
      <c r="Y251" s="127"/>
      <c r="Z251" s="128"/>
      <c r="AA251" s="130"/>
      <c r="AB251" s="130"/>
      <c r="AC251" s="130"/>
      <c r="AD251" s="130"/>
      <c r="AE251" s="130"/>
      <c r="AF251" s="130"/>
      <c r="AG251" s="127"/>
      <c r="AH251" s="130"/>
      <c r="AI251" s="127"/>
      <c r="AJ251" s="127"/>
      <c r="AK251" s="127"/>
    </row>
    <row r="252" spans="1:37" ht="36" customHeight="1" x14ac:dyDescent="0.25">
      <c r="A252" s="125"/>
      <c r="B252" s="126" t="str">
        <f t="shared" si="6"/>
        <v/>
      </c>
      <c r="C252" s="127"/>
      <c r="D252" s="127"/>
      <c r="E252" s="128"/>
      <c r="F252" s="127"/>
      <c r="G252" s="125"/>
      <c r="H252" s="128"/>
      <c r="I252" s="127"/>
      <c r="J252" s="127"/>
      <c r="K252" s="127"/>
      <c r="L252" s="125"/>
      <c r="M252" s="125"/>
      <c r="N252" s="125"/>
      <c r="O252" s="127"/>
      <c r="P252" s="127"/>
      <c r="Q252" s="127"/>
      <c r="R252" s="127"/>
      <c r="S252" s="127"/>
      <c r="T252" s="127"/>
      <c r="U252" s="127"/>
      <c r="V252" s="128"/>
      <c r="W252" s="128"/>
      <c r="X252" s="129" t="str">
        <f t="shared" si="7"/>
        <v/>
      </c>
      <c r="Y252" s="127"/>
      <c r="Z252" s="128"/>
      <c r="AA252" s="130"/>
      <c r="AB252" s="130"/>
      <c r="AC252" s="130"/>
      <c r="AD252" s="130"/>
      <c r="AE252" s="130"/>
      <c r="AF252" s="130"/>
      <c r="AG252" s="127"/>
      <c r="AH252" s="130"/>
      <c r="AI252" s="127"/>
      <c r="AJ252" s="127"/>
      <c r="AK252" s="127"/>
    </row>
    <row r="253" spans="1:37" ht="36" customHeight="1" x14ac:dyDescent="0.25">
      <c r="A253" s="125"/>
      <c r="B253" s="126" t="str">
        <f t="shared" si="6"/>
        <v/>
      </c>
      <c r="C253" s="127"/>
      <c r="D253" s="127"/>
      <c r="E253" s="128"/>
      <c r="F253" s="127"/>
      <c r="G253" s="125"/>
      <c r="H253" s="128"/>
      <c r="I253" s="127"/>
      <c r="J253" s="127"/>
      <c r="K253" s="127"/>
      <c r="L253" s="125"/>
      <c r="M253" s="125"/>
      <c r="N253" s="125"/>
      <c r="O253" s="127"/>
      <c r="P253" s="127"/>
      <c r="Q253" s="127"/>
      <c r="R253" s="127"/>
      <c r="S253" s="127"/>
      <c r="T253" s="127"/>
      <c r="U253" s="127"/>
      <c r="V253" s="128"/>
      <c r="W253" s="128"/>
      <c r="X253" s="129" t="str">
        <f t="shared" si="7"/>
        <v/>
      </c>
      <c r="Y253" s="127"/>
      <c r="Z253" s="128"/>
      <c r="AA253" s="130"/>
      <c r="AB253" s="130"/>
      <c r="AC253" s="130"/>
      <c r="AD253" s="130"/>
      <c r="AE253" s="130"/>
      <c r="AF253" s="130"/>
      <c r="AG253" s="127"/>
      <c r="AH253" s="130"/>
      <c r="AI253" s="127"/>
      <c r="AJ253" s="127"/>
      <c r="AK253" s="127"/>
    </row>
    <row r="254" spans="1:37" ht="36" customHeight="1" x14ac:dyDescent="0.25">
      <c r="A254" s="125"/>
      <c r="B254" s="126" t="str">
        <f t="shared" si="6"/>
        <v/>
      </c>
      <c r="C254" s="127"/>
      <c r="D254" s="127"/>
      <c r="E254" s="128"/>
      <c r="F254" s="127"/>
      <c r="G254" s="125"/>
      <c r="H254" s="128"/>
      <c r="I254" s="127"/>
      <c r="J254" s="127"/>
      <c r="K254" s="127"/>
      <c r="L254" s="125"/>
      <c r="M254" s="125"/>
      <c r="N254" s="125"/>
      <c r="O254" s="127"/>
      <c r="P254" s="127"/>
      <c r="Q254" s="127"/>
      <c r="R254" s="127"/>
      <c r="S254" s="127"/>
      <c r="T254" s="127"/>
      <c r="U254" s="127"/>
      <c r="V254" s="128"/>
      <c r="W254" s="128"/>
      <c r="X254" s="129" t="str">
        <f t="shared" si="7"/>
        <v/>
      </c>
      <c r="Y254" s="127"/>
      <c r="Z254" s="128"/>
      <c r="AA254" s="130"/>
      <c r="AB254" s="130"/>
      <c r="AC254" s="130"/>
      <c r="AD254" s="130"/>
      <c r="AE254" s="130"/>
      <c r="AF254" s="130"/>
      <c r="AG254" s="127"/>
      <c r="AH254" s="130"/>
      <c r="AI254" s="127"/>
      <c r="AJ254" s="127"/>
      <c r="AK254" s="127"/>
    </row>
    <row r="255" spans="1:37" ht="36" customHeight="1" x14ac:dyDescent="0.25">
      <c r="A255" s="125"/>
      <c r="B255" s="126" t="str">
        <f t="shared" si="6"/>
        <v/>
      </c>
      <c r="C255" s="127"/>
      <c r="D255" s="127"/>
      <c r="E255" s="128"/>
      <c r="F255" s="127"/>
      <c r="G255" s="125"/>
      <c r="H255" s="128"/>
      <c r="I255" s="127"/>
      <c r="J255" s="127"/>
      <c r="K255" s="127"/>
      <c r="L255" s="125"/>
      <c r="M255" s="125"/>
      <c r="N255" s="125"/>
      <c r="O255" s="127"/>
      <c r="P255" s="127"/>
      <c r="Q255" s="127"/>
      <c r="R255" s="127"/>
      <c r="S255" s="127"/>
      <c r="T255" s="127"/>
      <c r="U255" s="127"/>
      <c r="V255" s="128"/>
      <c r="W255" s="128"/>
      <c r="X255" s="129" t="str">
        <f t="shared" si="7"/>
        <v/>
      </c>
      <c r="Y255" s="127"/>
      <c r="Z255" s="128"/>
      <c r="AA255" s="130"/>
      <c r="AB255" s="130"/>
      <c r="AC255" s="130"/>
      <c r="AD255" s="130"/>
      <c r="AE255" s="130"/>
      <c r="AF255" s="130"/>
      <c r="AG255" s="127"/>
      <c r="AH255" s="130"/>
      <c r="AI255" s="127"/>
      <c r="AJ255" s="127"/>
      <c r="AK255" s="127"/>
    </row>
    <row r="256" spans="1:37" ht="36" customHeight="1" x14ac:dyDescent="0.25">
      <c r="A256" s="125"/>
      <c r="B256" s="126" t="str">
        <f t="shared" si="6"/>
        <v/>
      </c>
      <c r="C256" s="127"/>
      <c r="D256" s="127"/>
      <c r="E256" s="128"/>
      <c r="F256" s="127"/>
      <c r="G256" s="125"/>
      <c r="H256" s="128"/>
      <c r="I256" s="127"/>
      <c r="J256" s="127"/>
      <c r="K256" s="127"/>
      <c r="L256" s="125"/>
      <c r="M256" s="125"/>
      <c r="N256" s="125"/>
      <c r="O256" s="127"/>
      <c r="P256" s="127"/>
      <c r="Q256" s="127"/>
      <c r="R256" s="127"/>
      <c r="S256" s="127"/>
      <c r="T256" s="127"/>
      <c r="U256" s="127"/>
      <c r="V256" s="128"/>
      <c r="W256" s="128"/>
      <c r="X256" s="129" t="str">
        <f t="shared" si="7"/>
        <v/>
      </c>
      <c r="Y256" s="127"/>
      <c r="Z256" s="128"/>
      <c r="AA256" s="130"/>
      <c r="AB256" s="130"/>
      <c r="AC256" s="130"/>
      <c r="AD256" s="130"/>
      <c r="AE256" s="130"/>
      <c r="AF256" s="130"/>
      <c r="AG256" s="127"/>
      <c r="AH256" s="130"/>
      <c r="AI256" s="127"/>
      <c r="AJ256" s="127"/>
      <c r="AK256" s="127"/>
    </row>
    <row r="257" spans="1:37" ht="36" customHeight="1" x14ac:dyDescent="0.25">
      <c r="A257" s="125"/>
      <c r="B257" s="126" t="str">
        <f t="shared" si="6"/>
        <v/>
      </c>
      <c r="C257" s="127"/>
      <c r="D257" s="127"/>
      <c r="E257" s="128"/>
      <c r="F257" s="127"/>
      <c r="G257" s="125"/>
      <c r="H257" s="128"/>
      <c r="I257" s="127"/>
      <c r="J257" s="127"/>
      <c r="K257" s="127"/>
      <c r="L257" s="125"/>
      <c r="M257" s="125"/>
      <c r="N257" s="125"/>
      <c r="O257" s="127"/>
      <c r="P257" s="127"/>
      <c r="Q257" s="127"/>
      <c r="R257" s="127"/>
      <c r="S257" s="127"/>
      <c r="T257" s="127"/>
      <c r="U257" s="127"/>
      <c r="V257" s="128"/>
      <c r="W257" s="128"/>
      <c r="X257" s="129" t="str">
        <f t="shared" si="7"/>
        <v/>
      </c>
      <c r="Y257" s="127"/>
      <c r="Z257" s="128"/>
      <c r="AA257" s="130"/>
      <c r="AB257" s="130"/>
      <c r="AC257" s="130"/>
      <c r="AD257" s="130"/>
      <c r="AE257" s="130"/>
      <c r="AF257" s="130"/>
      <c r="AG257" s="127"/>
      <c r="AH257" s="130"/>
      <c r="AI257" s="127"/>
      <c r="AJ257" s="127"/>
      <c r="AK257" s="127"/>
    </row>
    <row r="258" spans="1:37" ht="36" customHeight="1" x14ac:dyDescent="0.25">
      <c r="A258" s="125"/>
      <c r="B258" s="126" t="str">
        <f t="shared" si="6"/>
        <v/>
      </c>
      <c r="C258" s="127"/>
      <c r="D258" s="127"/>
      <c r="E258" s="128"/>
      <c r="F258" s="127"/>
      <c r="G258" s="125"/>
      <c r="H258" s="128"/>
      <c r="I258" s="127"/>
      <c r="J258" s="127"/>
      <c r="K258" s="127"/>
      <c r="L258" s="125"/>
      <c r="M258" s="125"/>
      <c r="N258" s="125"/>
      <c r="O258" s="127"/>
      <c r="P258" s="127"/>
      <c r="Q258" s="127"/>
      <c r="R258" s="127"/>
      <c r="S258" s="127"/>
      <c r="T258" s="127"/>
      <c r="U258" s="127"/>
      <c r="V258" s="128"/>
      <c r="W258" s="128"/>
      <c r="X258" s="129" t="str">
        <f t="shared" si="7"/>
        <v/>
      </c>
      <c r="Y258" s="127"/>
      <c r="Z258" s="128"/>
      <c r="AA258" s="130"/>
      <c r="AB258" s="130"/>
      <c r="AC258" s="130"/>
      <c r="AD258" s="130"/>
      <c r="AE258" s="130"/>
      <c r="AF258" s="130"/>
      <c r="AG258" s="127"/>
      <c r="AH258" s="130"/>
      <c r="AI258" s="127"/>
      <c r="AJ258" s="127"/>
      <c r="AK258" s="127"/>
    </row>
    <row r="259" spans="1:37" ht="36" customHeight="1" x14ac:dyDescent="0.25">
      <c r="A259" s="125"/>
      <c r="B259" s="126" t="str">
        <f t="shared" si="6"/>
        <v/>
      </c>
      <c r="C259" s="127"/>
      <c r="D259" s="127"/>
      <c r="E259" s="128"/>
      <c r="F259" s="127"/>
      <c r="G259" s="125"/>
      <c r="H259" s="128"/>
      <c r="I259" s="127"/>
      <c r="J259" s="127"/>
      <c r="K259" s="127"/>
      <c r="L259" s="125"/>
      <c r="M259" s="125"/>
      <c r="N259" s="125"/>
      <c r="O259" s="127"/>
      <c r="P259" s="127"/>
      <c r="Q259" s="127"/>
      <c r="R259" s="127"/>
      <c r="S259" s="127"/>
      <c r="T259" s="127"/>
      <c r="U259" s="127"/>
      <c r="V259" s="128"/>
      <c r="W259" s="128"/>
      <c r="X259" s="129" t="str">
        <f t="shared" si="7"/>
        <v/>
      </c>
      <c r="Y259" s="127"/>
      <c r="Z259" s="128"/>
      <c r="AA259" s="130"/>
      <c r="AB259" s="130"/>
      <c r="AC259" s="130"/>
      <c r="AD259" s="130"/>
      <c r="AE259" s="130"/>
      <c r="AF259" s="130"/>
      <c r="AG259" s="127"/>
      <c r="AH259" s="130"/>
      <c r="AI259" s="127"/>
      <c r="AJ259" s="127"/>
      <c r="AK259" s="127"/>
    </row>
    <row r="260" spans="1:37" ht="36" customHeight="1" x14ac:dyDescent="0.25">
      <c r="A260" s="125"/>
      <c r="B260" s="126" t="str">
        <f t="shared" si="6"/>
        <v/>
      </c>
      <c r="C260" s="127"/>
      <c r="D260" s="127"/>
      <c r="E260" s="128"/>
      <c r="F260" s="127"/>
      <c r="G260" s="125"/>
      <c r="H260" s="128"/>
      <c r="I260" s="127"/>
      <c r="J260" s="127"/>
      <c r="K260" s="127"/>
      <c r="L260" s="125"/>
      <c r="M260" s="125"/>
      <c r="N260" s="125"/>
      <c r="O260" s="127"/>
      <c r="P260" s="127"/>
      <c r="Q260" s="127"/>
      <c r="R260" s="127"/>
      <c r="S260" s="127"/>
      <c r="T260" s="127"/>
      <c r="U260" s="127"/>
      <c r="V260" s="128"/>
      <c r="W260" s="128"/>
      <c r="X260" s="129" t="str">
        <f t="shared" si="7"/>
        <v/>
      </c>
      <c r="Y260" s="127"/>
      <c r="Z260" s="128"/>
      <c r="AA260" s="130"/>
      <c r="AB260" s="130"/>
      <c r="AC260" s="130"/>
      <c r="AD260" s="130"/>
      <c r="AE260" s="130"/>
      <c r="AF260" s="130"/>
      <c r="AG260" s="127"/>
      <c r="AH260" s="130"/>
      <c r="AI260" s="127"/>
      <c r="AJ260" s="127"/>
      <c r="AK260" s="127"/>
    </row>
    <row r="261" spans="1:37" ht="36" customHeight="1" x14ac:dyDescent="0.25">
      <c r="A261" s="125"/>
      <c r="B261" s="126" t="str">
        <f t="shared" si="6"/>
        <v/>
      </c>
      <c r="C261" s="127"/>
      <c r="D261" s="127"/>
      <c r="E261" s="128"/>
      <c r="F261" s="127"/>
      <c r="G261" s="125"/>
      <c r="H261" s="128"/>
      <c r="I261" s="127"/>
      <c r="J261" s="127"/>
      <c r="K261" s="127"/>
      <c r="L261" s="125"/>
      <c r="M261" s="125"/>
      <c r="N261" s="125"/>
      <c r="O261" s="127"/>
      <c r="P261" s="127"/>
      <c r="Q261" s="127"/>
      <c r="R261" s="127"/>
      <c r="S261" s="127"/>
      <c r="T261" s="127"/>
      <c r="U261" s="127"/>
      <c r="V261" s="128"/>
      <c r="W261" s="128"/>
      <c r="X261" s="129" t="str">
        <f t="shared" si="7"/>
        <v/>
      </c>
      <c r="Y261" s="127"/>
      <c r="Z261" s="128"/>
      <c r="AA261" s="130"/>
      <c r="AB261" s="130"/>
      <c r="AC261" s="130"/>
      <c r="AD261" s="130"/>
      <c r="AE261" s="130"/>
      <c r="AF261" s="130"/>
      <c r="AG261" s="127"/>
      <c r="AH261" s="130"/>
      <c r="AI261" s="127"/>
      <c r="AJ261" s="127"/>
      <c r="AK261" s="127"/>
    </row>
    <row r="262" spans="1:37" ht="36" customHeight="1" x14ac:dyDescent="0.25">
      <c r="A262" s="125"/>
      <c r="B262" s="126" t="str">
        <f t="shared" si="6"/>
        <v/>
      </c>
      <c r="C262" s="127"/>
      <c r="D262" s="127"/>
      <c r="E262" s="128"/>
      <c r="F262" s="127"/>
      <c r="G262" s="125"/>
      <c r="H262" s="128"/>
      <c r="I262" s="127"/>
      <c r="J262" s="127"/>
      <c r="K262" s="127"/>
      <c r="L262" s="125"/>
      <c r="M262" s="125"/>
      <c r="N262" s="125"/>
      <c r="O262" s="127"/>
      <c r="P262" s="127"/>
      <c r="Q262" s="127"/>
      <c r="R262" s="127"/>
      <c r="S262" s="127"/>
      <c r="T262" s="127"/>
      <c r="U262" s="127"/>
      <c r="V262" s="128"/>
      <c r="W262" s="128"/>
      <c r="X262" s="129" t="str">
        <f t="shared" si="7"/>
        <v/>
      </c>
      <c r="Y262" s="127"/>
      <c r="Z262" s="128"/>
      <c r="AA262" s="130"/>
      <c r="AB262" s="130"/>
      <c r="AC262" s="130"/>
      <c r="AD262" s="130"/>
      <c r="AE262" s="130"/>
      <c r="AF262" s="130"/>
      <c r="AG262" s="127"/>
      <c r="AH262" s="130"/>
      <c r="AI262" s="127"/>
      <c r="AJ262" s="127"/>
      <c r="AK262" s="127"/>
    </row>
    <row r="263" spans="1:37" ht="36" customHeight="1" x14ac:dyDescent="0.25">
      <c r="A263" s="125"/>
      <c r="B263" s="126" t="str">
        <f t="shared" si="6"/>
        <v/>
      </c>
      <c r="C263" s="127"/>
      <c r="D263" s="127"/>
      <c r="E263" s="128"/>
      <c r="F263" s="127"/>
      <c r="G263" s="125"/>
      <c r="H263" s="128"/>
      <c r="I263" s="127"/>
      <c r="J263" s="127"/>
      <c r="K263" s="127"/>
      <c r="L263" s="125"/>
      <c r="M263" s="125"/>
      <c r="N263" s="125"/>
      <c r="O263" s="127"/>
      <c r="P263" s="127"/>
      <c r="Q263" s="127"/>
      <c r="R263" s="127"/>
      <c r="S263" s="127"/>
      <c r="T263" s="127"/>
      <c r="U263" s="127"/>
      <c r="V263" s="128"/>
      <c r="W263" s="128"/>
      <c r="X263" s="129" t="str">
        <f t="shared" si="7"/>
        <v/>
      </c>
      <c r="Y263" s="127"/>
      <c r="Z263" s="128"/>
      <c r="AA263" s="130"/>
      <c r="AB263" s="130"/>
      <c r="AC263" s="130"/>
      <c r="AD263" s="130"/>
      <c r="AE263" s="130"/>
      <c r="AF263" s="130"/>
      <c r="AG263" s="127"/>
      <c r="AH263" s="130"/>
      <c r="AI263" s="127"/>
      <c r="AJ263" s="127"/>
      <c r="AK263" s="127"/>
    </row>
    <row r="264" spans="1:37" ht="36" customHeight="1" x14ac:dyDescent="0.25">
      <c r="A264" s="125"/>
      <c r="B264" s="126" t="str">
        <f t="shared" si="6"/>
        <v/>
      </c>
      <c r="C264" s="127"/>
      <c r="D264" s="127"/>
      <c r="E264" s="128"/>
      <c r="F264" s="127"/>
      <c r="G264" s="125"/>
      <c r="H264" s="128"/>
      <c r="I264" s="127"/>
      <c r="J264" s="127"/>
      <c r="K264" s="127"/>
      <c r="L264" s="125"/>
      <c r="M264" s="125"/>
      <c r="N264" s="125"/>
      <c r="O264" s="127"/>
      <c r="P264" s="127"/>
      <c r="Q264" s="127"/>
      <c r="R264" s="127"/>
      <c r="S264" s="127"/>
      <c r="T264" s="127"/>
      <c r="U264" s="127"/>
      <c r="V264" s="128"/>
      <c r="W264" s="128"/>
      <c r="X264" s="129" t="str">
        <f t="shared" si="7"/>
        <v/>
      </c>
      <c r="Y264" s="127"/>
      <c r="Z264" s="128"/>
      <c r="AA264" s="130"/>
      <c r="AB264" s="130"/>
      <c r="AC264" s="130"/>
      <c r="AD264" s="130"/>
      <c r="AE264" s="130"/>
      <c r="AF264" s="130"/>
      <c r="AG264" s="127"/>
      <c r="AH264" s="130"/>
      <c r="AI264" s="127"/>
      <c r="AJ264" s="127"/>
      <c r="AK264" s="127"/>
    </row>
    <row r="265" spans="1:37" ht="36" customHeight="1" x14ac:dyDescent="0.25">
      <c r="A265" s="125"/>
      <c r="B265" s="126" t="str">
        <f t="shared" si="6"/>
        <v/>
      </c>
      <c r="C265" s="127"/>
      <c r="D265" s="127"/>
      <c r="E265" s="128"/>
      <c r="F265" s="127"/>
      <c r="G265" s="125"/>
      <c r="H265" s="128"/>
      <c r="I265" s="127"/>
      <c r="J265" s="127"/>
      <c r="K265" s="127"/>
      <c r="L265" s="125"/>
      <c r="M265" s="125"/>
      <c r="N265" s="125"/>
      <c r="O265" s="127"/>
      <c r="P265" s="127"/>
      <c r="Q265" s="127"/>
      <c r="R265" s="127"/>
      <c r="S265" s="127"/>
      <c r="T265" s="127"/>
      <c r="U265" s="127"/>
      <c r="V265" s="128"/>
      <c r="W265" s="128"/>
      <c r="X265" s="129" t="str">
        <f t="shared" si="7"/>
        <v/>
      </c>
      <c r="Y265" s="127"/>
      <c r="Z265" s="128"/>
      <c r="AA265" s="130"/>
      <c r="AB265" s="130"/>
      <c r="AC265" s="130"/>
      <c r="AD265" s="130"/>
      <c r="AE265" s="130"/>
      <c r="AF265" s="130"/>
      <c r="AG265" s="127"/>
      <c r="AH265" s="130"/>
      <c r="AI265" s="127"/>
      <c r="AJ265" s="127"/>
      <c r="AK265" s="127"/>
    </row>
    <row r="266" spans="1:37" ht="36" customHeight="1" x14ac:dyDescent="0.25">
      <c r="A266" s="125"/>
      <c r="B266" s="126" t="str">
        <f t="shared" si="6"/>
        <v/>
      </c>
      <c r="C266" s="127"/>
      <c r="D266" s="127"/>
      <c r="E266" s="128"/>
      <c r="F266" s="127"/>
      <c r="G266" s="125"/>
      <c r="H266" s="128"/>
      <c r="I266" s="127"/>
      <c r="J266" s="127"/>
      <c r="K266" s="127"/>
      <c r="L266" s="125"/>
      <c r="M266" s="125"/>
      <c r="N266" s="125"/>
      <c r="O266" s="127"/>
      <c r="P266" s="127"/>
      <c r="Q266" s="127"/>
      <c r="R266" s="127"/>
      <c r="S266" s="127"/>
      <c r="T266" s="127"/>
      <c r="U266" s="127"/>
      <c r="V266" s="128"/>
      <c r="W266" s="128"/>
      <c r="X266" s="129" t="str">
        <f t="shared" si="7"/>
        <v/>
      </c>
      <c r="Y266" s="127"/>
      <c r="Z266" s="128"/>
      <c r="AA266" s="130"/>
      <c r="AB266" s="130"/>
      <c r="AC266" s="130"/>
      <c r="AD266" s="130"/>
      <c r="AE266" s="130"/>
      <c r="AF266" s="130"/>
      <c r="AG266" s="127"/>
      <c r="AH266" s="130"/>
      <c r="AI266" s="127"/>
      <c r="AJ266" s="127"/>
      <c r="AK266" s="127"/>
    </row>
    <row r="267" spans="1:37" ht="36" customHeight="1" x14ac:dyDescent="0.25">
      <c r="A267" s="125"/>
      <c r="B267" s="126" t="str">
        <f t="shared" si="6"/>
        <v/>
      </c>
      <c r="C267" s="127"/>
      <c r="D267" s="127"/>
      <c r="E267" s="128"/>
      <c r="F267" s="127"/>
      <c r="G267" s="125"/>
      <c r="H267" s="128"/>
      <c r="I267" s="127"/>
      <c r="J267" s="127"/>
      <c r="K267" s="127"/>
      <c r="L267" s="125"/>
      <c r="M267" s="125"/>
      <c r="N267" s="125"/>
      <c r="O267" s="127"/>
      <c r="P267" s="127"/>
      <c r="Q267" s="127"/>
      <c r="R267" s="127"/>
      <c r="S267" s="127"/>
      <c r="T267" s="127"/>
      <c r="U267" s="127"/>
      <c r="V267" s="128"/>
      <c r="W267" s="128"/>
      <c r="X267" s="129" t="str">
        <f t="shared" si="7"/>
        <v/>
      </c>
      <c r="Y267" s="127"/>
      <c r="Z267" s="128"/>
      <c r="AA267" s="130"/>
      <c r="AB267" s="130"/>
      <c r="AC267" s="130"/>
      <c r="AD267" s="130"/>
      <c r="AE267" s="130"/>
      <c r="AF267" s="130"/>
      <c r="AG267" s="127"/>
      <c r="AH267" s="130"/>
      <c r="AI267" s="127"/>
      <c r="AJ267" s="127"/>
      <c r="AK267" s="127"/>
    </row>
    <row r="268" spans="1:37" ht="36" customHeight="1" x14ac:dyDescent="0.25">
      <c r="A268" s="125"/>
      <c r="B268" s="126" t="str">
        <f t="shared" si="6"/>
        <v/>
      </c>
      <c r="C268" s="127"/>
      <c r="D268" s="127"/>
      <c r="E268" s="128"/>
      <c r="F268" s="127"/>
      <c r="G268" s="125"/>
      <c r="H268" s="128"/>
      <c r="I268" s="127"/>
      <c r="J268" s="127"/>
      <c r="K268" s="127"/>
      <c r="L268" s="125"/>
      <c r="M268" s="125"/>
      <c r="N268" s="125"/>
      <c r="O268" s="127"/>
      <c r="P268" s="127"/>
      <c r="Q268" s="127"/>
      <c r="R268" s="127"/>
      <c r="S268" s="127"/>
      <c r="T268" s="127"/>
      <c r="U268" s="127"/>
      <c r="V268" s="128"/>
      <c r="W268" s="128"/>
      <c r="X268" s="129" t="str">
        <f t="shared" si="7"/>
        <v/>
      </c>
      <c r="Y268" s="127"/>
      <c r="Z268" s="128"/>
      <c r="AA268" s="130"/>
      <c r="AB268" s="130"/>
      <c r="AC268" s="130"/>
      <c r="AD268" s="130"/>
      <c r="AE268" s="130"/>
      <c r="AF268" s="130"/>
      <c r="AG268" s="127"/>
      <c r="AH268" s="130"/>
      <c r="AI268" s="127"/>
      <c r="AJ268" s="127"/>
      <c r="AK268" s="127"/>
    </row>
    <row r="269" spans="1:37" ht="36" customHeight="1" x14ac:dyDescent="0.25">
      <c r="A269" s="125"/>
      <c r="B269" s="126" t="str">
        <f t="shared" si="6"/>
        <v/>
      </c>
      <c r="C269" s="127"/>
      <c r="D269" s="127"/>
      <c r="E269" s="128"/>
      <c r="F269" s="127"/>
      <c r="G269" s="125"/>
      <c r="H269" s="128"/>
      <c r="I269" s="127"/>
      <c r="J269" s="127"/>
      <c r="K269" s="127"/>
      <c r="L269" s="125"/>
      <c r="M269" s="125"/>
      <c r="N269" s="125"/>
      <c r="O269" s="127"/>
      <c r="P269" s="127"/>
      <c r="Q269" s="127"/>
      <c r="R269" s="127"/>
      <c r="S269" s="127"/>
      <c r="T269" s="127"/>
      <c r="U269" s="127"/>
      <c r="V269" s="128"/>
      <c r="W269" s="128"/>
      <c r="X269" s="129" t="str">
        <f t="shared" si="7"/>
        <v/>
      </c>
      <c r="Y269" s="127"/>
      <c r="Z269" s="128"/>
      <c r="AA269" s="130"/>
      <c r="AB269" s="130"/>
      <c r="AC269" s="130"/>
      <c r="AD269" s="130"/>
      <c r="AE269" s="130"/>
      <c r="AF269" s="130"/>
      <c r="AG269" s="127"/>
      <c r="AH269" s="130"/>
      <c r="AI269" s="127"/>
      <c r="AJ269" s="127"/>
      <c r="AK269" s="127"/>
    </row>
    <row r="270" spans="1:37" ht="36" customHeight="1" x14ac:dyDescent="0.25">
      <c r="A270" s="125"/>
      <c r="B270" s="126" t="str">
        <f t="shared" ref="B270:B333" si="8">IF($A270="","",TEXT(ROW()-19,"000")&amp;"/"&amp;IF($V270="",2026,YEAR($V270))&amp;"/HĐLĐ-"&amp;$E$8)</f>
        <v/>
      </c>
      <c r="C270" s="127"/>
      <c r="D270" s="127"/>
      <c r="E270" s="128"/>
      <c r="F270" s="127"/>
      <c r="G270" s="125"/>
      <c r="H270" s="128"/>
      <c r="I270" s="127"/>
      <c r="J270" s="127"/>
      <c r="K270" s="127"/>
      <c r="L270" s="125"/>
      <c r="M270" s="125"/>
      <c r="N270" s="125"/>
      <c r="O270" s="127"/>
      <c r="P270" s="127"/>
      <c r="Q270" s="127"/>
      <c r="R270" s="127"/>
      <c r="S270" s="127"/>
      <c r="T270" s="127"/>
      <c r="U270" s="127"/>
      <c r="V270" s="128"/>
      <c r="W270" s="128"/>
      <c r="X270" s="129" t="str">
        <f t="shared" ref="X270:X333" si="9">IF($A270="","",IF($T270="Xác định thời hạn",IF(AND($W270&lt;&gt;"",$U270&lt;&gt;""),EDATE($W270,$U270)-1,""),""))</f>
        <v/>
      </c>
      <c r="Y270" s="127"/>
      <c r="Z270" s="128"/>
      <c r="AA270" s="130"/>
      <c r="AB270" s="130"/>
      <c r="AC270" s="130"/>
      <c r="AD270" s="130"/>
      <c r="AE270" s="130"/>
      <c r="AF270" s="130"/>
      <c r="AG270" s="127"/>
      <c r="AH270" s="130"/>
      <c r="AI270" s="127"/>
      <c r="AJ270" s="127"/>
      <c r="AK270" s="127"/>
    </row>
    <row r="271" spans="1:37" ht="36" customHeight="1" x14ac:dyDescent="0.25">
      <c r="A271" s="125"/>
      <c r="B271" s="126" t="str">
        <f t="shared" si="8"/>
        <v/>
      </c>
      <c r="C271" s="127"/>
      <c r="D271" s="127"/>
      <c r="E271" s="128"/>
      <c r="F271" s="127"/>
      <c r="G271" s="125"/>
      <c r="H271" s="128"/>
      <c r="I271" s="127"/>
      <c r="J271" s="127"/>
      <c r="K271" s="127"/>
      <c r="L271" s="125"/>
      <c r="M271" s="125"/>
      <c r="N271" s="125"/>
      <c r="O271" s="127"/>
      <c r="P271" s="127"/>
      <c r="Q271" s="127"/>
      <c r="R271" s="127"/>
      <c r="S271" s="127"/>
      <c r="T271" s="127"/>
      <c r="U271" s="127"/>
      <c r="V271" s="128"/>
      <c r="W271" s="128"/>
      <c r="X271" s="129" t="str">
        <f t="shared" si="9"/>
        <v/>
      </c>
      <c r="Y271" s="127"/>
      <c r="Z271" s="128"/>
      <c r="AA271" s="130"/>
      <c r="AB271" s="130"/>
      <c r="AC271" s="130"/>
      <c r="AD271" s="130"/>
      <c r="AE271" s="130"/>
      <c r="AF271" s="130"/>
      <c r="AG271" s="127"/>
      <c r="AH271" s="130"/>
      <c r="AI271" s="127"/>
      <c r="AJ271" s="127"/>
      <c r="AK271" s="127"/>
    </row>
    <row r="272" spans="1:37" ht="36" customHeight="1" x14ac:dyDescent="0.25">
      <c r="A272" s="125"/>
      <c r="B272" s="126" t="str">
        <f t="shared" si="8"/>
        <v/>
      </c>
      <c r="C272" s="127"/>
      <c r="D272" s="127"/>
      <c r="E272" s="128"/>
      <c r="F272" s="127"/>
      <c r="G272" s="125"/>
      <c r="H272" s="128"/>
      <c r="I272" s="127"/>
      <c r="J272" s="127"/>
      <c r="K272" s="127"/>
      <c r="L272" s="125"/>
      <c r="M272" s="125"/>
      <c r="N272" s="125"/>
      <c r="O272" s="127"/>
      <c r="P272" s="127"/>
      <c r="Q272" s="127"/>
      <c r="R272" s="127"/>
      <c r="S272" s="127"/>
      <c r="T272" s="127"/>
      <c r="U272" s="127"/>
      <c r="V272" s="128"/>
      <c r="W272" s="128"/>
      <c r="X272" s="129" t="str">
        <f t="shared" si="9"/>
        <v/>
      </c>
      <c r="Y272" s="127"/>
      <c r="Z272" s="128"/>
      <c r="AA272" s="130"/>
      <c r="AB272" s="130"/>
      <c r="AC272" s="130"/>
      <c r="AD272" s="130"/>
      <c r="AE272" s="130"/>
      <c r="AF272" s="130"/>
      <c r="AG272" s="127"/>
      <c r="AH272" s="130"/>
      <c r="AI272" s="127"/>
      <c r="AJ272" s="127"/>
      <c r="AK272" s="127"/>
    </row>
    <row r="273" spans="1:37" ht="36" customHeight="1" x14ac:dyDescent="0.25">
      <c r="A273" s="125"/>
      <c r="B273" s="126" t="str">
        <f t="shared" si="8"/>
        <v/>
      </c>
      <c r="C273" s="127"/>
      <c r="D273" s="127"/>
      <c r="E273" s="128"/>
      <c r="F273" s="127"/>
      <c r="G273" s="125"/>
      <c r="H273" s="128"/>
      <c r="I273" s="127"/>
      <c r="J273" s="127"/>
      <c r="K273" s="127"/>
      <c r="L273" s="125"/>
      <c r="M273" s="125"/>
      <c r="N273" s="125"/>
      <c r="O273" s="127"/>
      <c r="P273" s="127"/>
      <c r="Q273" s="127"/>
      <c r="R273" s="127"/>
      <c r="S273" s="127"/>
      <c r="T273" s="127"/>
      <c r="U273" s="127"/>
      <c r="V273" s="128"/>
      <c r="W273" s="128"/>
      <c r="X273" s="129" t="str">
        <f t="shared" si="9"/>
        <v/>
      </c>
      <c r="Y273" s="127"/>
      <c r="Z273" s="128"/>
      <c r="AA273" s="130"/>
      <c r="AB273" s="130"/>
      <c r="AC273" s="130"/>
      <c r="AD273" s="130"/>
      <c r="AE273" s="130"/>
      <c r="AF273" s="130"/>
      <c r="AG273" s="127"/>
      <c r="AH273" s="130"/>
      <c r="AI273" s="127"/>
      <c r="AJ273" s="127"/>
      <c r="AK273" s="127"/>
    </row>
    <row r="274" spans="1:37" ht="36" customHeight="1" x14ac:dyDescent="0.25">
      <c r="A274" s="125"/>
      <c r="B274" s="126" t="str">
        <f t="shared" si="8"/>
        <v/>
      </c>
      <c r="C274" s="127"/>
      <c r="D274" s="127"/>
      <c r="E274" s="128"/>
      <c r="F274" s="127"/>
      <c r="G274" s="125"/>
      <c r="H274" s="128"/>
      <c r="I274" s="127"/>
      <c r="J274" s="127"/>
      <c r="K274" s="127"/>
      <c r="L274" s="125"/>
      <c r="M274" s="125"/>
      <c r="N274" s="125"/>
      <c r="O274" s="127"/>
      <c r="P274" s="127"/>
      <c r="Q274" s="127"/>
      <c r="R274" s="127"/>
      <c r="S274" s="127"/>
      <c r="T274" s="127"/>
      <c r="U274" s="127"/>
      <c r="V274" s="128"/>
      <c r="W274" s="128"/>
      <c r="X274" s="129" t="str">
        <f t="shared" si="9"/>
        <v/>
      </c>
      <c r="Y274" s="127"/>
      <c r="Z274" s="128"/>
      <c r="AA274" s="130"/>
      <c r="AB274" s="130"/>
      <c r="AC274" s="130"/>
      <c r="AD274" s="130"/>
      <c r="AE274" s="130"/>
      <c r="AF274" s="130"/>
      <c r="AG274" s="127"/>
      <c r="AH274" s="130"/>
      <c r="AI274" s="127"/>
      <c r="AJ274" s="127"/>
      <c r="AK274" s="127"/>
    </row>
    <row r="275" spans="1:37" ht="36" customHeight="1" x14ac:dyDescent="0.25">
      <c r="A275" s="125"/>
      <c r="B275" s="126" t="str">
        <f t="shared" si="8"/>
        <v/>
      </c>
      <c r="C275" s="127"/>
      <c r="D275" s="127"/>
      <c r="E275" s="128"/>
      <c r="F275" s="127"/>
      <c r="G275" s="125"/>
      <c r="H275" s="128"/>
      <c r="I275" s="127"/>
      <c r="J275" s="127"/>
      <c r="K275" s="127"/>
      <c r="L275" s="125"/>
      <c r="M275" s="125"/>
      <c r="N275" s="125"/>
      <c r="O275" s="127"/>
      <c r="P275" s="127"/>
      <c r="Q275" s="127"/>
      <c r="R275" s="127"/>
      <c r="S275" s="127"/>
      <c r="T275" s="127"/>
      <c r="U275" s="127"/>
      <c r="V275" s="128"/>
      <c r="W275" s="128"/>
      <c r="X275" s="129" t="str">
        <f t="shared" si="9"/>
        <v/>
      </c>
      <c r="Y275" s="127"/>
      <c r="Z275" s="128"/>
      <c r="AA275" s="130"/>
      <c r="AB275" s="130"/>
      <c r="AC275" s="130"/>
      <c r="AD275" s="130"/>
      <c r="AE275" s="130"/>
      <c r="AF275" s="130"/>
      <c r="AG275" s="127"/>
      <c r="AH275" s="130"/>
      <c r="AI275" s="127"/>
      <c r="AJ275" s="127"/>
      <c r="AK275" s="127"/>
    </row>
    <row r="276" spans="1:37" ht="36" customHeight="1" x14ac:dyDescent="0.25">
      <c r="A276" s="125"/>
      <c r="B276" s="126" t="str">
        <f t="shared" si="8"/>
        <v/>
      </c>
      <c r="C276" s="127"/>
      <c r="D276" s="127"/>
      <c r="E276" s="128"/>
      <c r="F276" s="127"/>
      <c r="G276" s="125"/>
      <c r="H276" s="128"/>
      <c r="I276" s="127"/>
      <c r="J276" s="127"/>
      <c r="K276" s="127"/>
      <c r="L276" s="125"/>
      <c r="M276" s="125"/>
      <c r="N276" s="125"/>
      <c r="O276" s="127"/>
      <c r="P276" s="127"/>
      <c r="Q276" s="127"/>
      <c r="R276" s="127"/>
      <c r="S276" s="127"/>
      <c r="T276" s="127"/>
      <c r="U276" s="127"/>
      <c r="V276" s="128"/>
      <c r="W276" s="128"/>
      <c r="X276" s="129" t="str">
        <f t="shared" si="9"/>
        <v/>
      </c>
      <c r="Y276" s="127"/>
      <c r="Z276" s="128"/>
      <c r="AA276" s="130"/>
      <c r="AB276" s="130"/>
      <c r="AC276" s="130"/>
      <c r="AD276" s="130"/>
      <c r="AE276" s="130"/>
      <c r="AF276" s="130"/>
      <c r="AG276" s="127"/>
      <c r="AH276" s="130"/>
      <c r="AI276" s="127"/>
      <c r="AJ276" s="127"/>
      <c r="AK276" s="127"/>
    </row>
    <row r="277" spans="1:37" ht="36" customHeight="1" x14ac:dyDescent="0.25">
      <c r="A277" s="125"/>
      <c r="B277" s="126" t="str">
        <f t="shared" si="8"/>
        <v/>
      </c>
      <c r="C277" s="127"/>
      <c r="D277" s="127"/>
      <c r="E277" s="128"/>
      <c r="F277" s="127"/>
      <c r="G277" s="125"/>
      <c r="H277" s="128"/>
      <c r="I277" s="127"/>
      <c r="J277" s="127"/>
      <c r="K277" s="127"/>
      <c r="L277" s="125"/>
      <c r="M277" s="125"/>
      <c r="N277" s="125"/>
      <c r="O277" s="127"/>
      <c r="P277" s="127"/>
      <c r="Q277" s="127"/>
      <c r="R277" s="127"/>
      <c r="S277" s="127"/>
      <c r="T277" s="127"/>
      <c r="U277" s="127"/>
      <c r="V277" s="128"/>
      <c r="W277" s="128"/>
      <c r="X277" s="129" t="str">
        <f t="shared" si="9"/>
        <v/>
      </c>
      <c r="Y277" s="127"/>
      <c r="Z277" s="128"/>
      <c r="AA277" s="130"/>
      <c r="AB277" s="130"/>
      <c r="AC277" s="130"/>
      <c r="AD277" s="130"/>
      <c r="AE277" s="130"/>
      <c r="AF277" s="130"/>
      <c r="AG277" s="127"/>
      <c r="AH277" s="130"/>
      <c r="AI277" s="127"/>
      <c r="AJ277" s="127"/>
      <c r="AK277" s="127"/>
    </row>
    <row r="278" spans="1:37" ht="36" customHeight="1" x14ac:dyDescent="0.25">
      <c r="A278" s="125"/>
      <c r="B278" s="126" t="str">
        <f t="shared" si="8"/>
        <v/>
      </c>
      <c r="C278" s="127"/>
      <c r="D278" s="127"/>
      <c r="E278" s="128"/>
      <c r="F278" s="127"/>
      <c r="G278" s="125"/>
      <c r="H278" s="128"/>
      <c r="I278" s="127"/>
      <c r="J278" s="127"/>
      <c r="K278" s="127"/>
      <c r="L278" s="125"/>
      <c r="M278" s="125"/>
      <c r="N278" s="125"/>
      <c r="O278" s="127"/>
      <c r="P278" s="127"/>
      <c r="Q278" s="127"/>
      <c r="R278" s="127"/>
      <c r="S278" s="127"/>
      <c r="T278" s="127"/>
      <c r="U278" s="127"/>
      <c r="V278" s="128"/>
      <c r="W278" s="128"/>
      <c r="X278" s="129" t="str">
        <f t="shared" si="9"/>
        <v/>
      </c>
      <c r="Y278" s="127"/>
      <c r="Z278" s="128"/>
      <c r="AA278" s="130"/>
      <c r="AB278" s="130"/>
      <c r="AC278" s="130"/>
      <c r="AD278" s="130"/>
      <c r="AE278" s="130"/>
      <c r="AF278" s="130"/>
      <c r="AG278" s="127"/>
      <c r="AH278" s="130"/>
      <c r="AI278" s="127"/>
      <c r="AJ278" s="127"/>
      <c r="AK278" s="127"/>
    </row>
    <row r="279" spans="1:37" ht="36" customHeight="1" x14ac:dyDescent="0.25">
      <c r="A279" s="125"/>
      <c r="B279" s="126" t="str">
        <f t="shared" si="8"/>
        <v/>
      </c>
      <c r="C279" s="127"/>
      <c r="D279" s="127"/>
      <c r="E279" s="128"/>
      <c r="F279" s="127"/>
      <c r="G279" s="125"/>
      <c r="H279" s="128"/>
      <c r="I279" s="127"/>
      <c r="J279" s="127"/>
      <c r="K279" s="127"/>
      <c r="L279" s="125"/>
      <c r="M279" s="125"/>
      <c r="N279" s="125"/>
      <c r="O279" s="127"/>
      <c r="P279" s="127"/>
      <c r="Q279" s="127"/>
      <c r="R279" s="127"/>
      <c r="S279" s="127"/>
      <c r="T279" s="127"/>
      <c r="U279" s="127"/>
      <c r="V279" s="128"/>
      <c r="W279" s="128"/>
      <c r="X279" s="129" t="str">
        <f t="shared" si="9"/>
        <v/>
      </c>
      <c r="Y279" s="127"/>
      <c r="Z279" s="128"/>
      <c r="AA279" s="130"/>
      <c r="AB279" s="130"/>
      <c r="AC279" s="130"/>
      <c r="AD279" s="130"/>
      <c r="AE279" s="130"/>
      <c r="AF279" s="130"/>
      <c r="AG279" s="127"/>
      <c r="AH279" s="130"/>
      <c r="AI279" s="127"/>
      <c r="AJ279" s="127"/>
      <c r="AK279" s="127"/>
    </row>
    <row r="280" spans="1:37" ht="36" customHeight="1" x14ac:dyDescent="0.25">
      <c r="A280" s="125"/>
      <c r="B280" s="126" t="str">
        <f t="shared" si="8"/>
        <v/>
      </c>
      <c r="C280" s="127"/>
      <c r="D280" s="127"/>
      <c r="E280" s="128"/>
      <c r="F280" s="127"/>
      <c r="G280" s="125"/>
      <c r="H280" s="128"/>
      <c r="I280" s="127"/>
      <c r="J280" s="127"/>
      <c r="K280" s="127"/>
      <c r="L280" s="125"/>
      <c r="M280" s="125"/>
      <c r="N280" s="125"/>
      <c r="O280" s="127"/>
      <c r="P280" s="127"/>
      <c r="Q280" s="127"/>
      <c r="R280" s="127"/>
      <c r="S280" s="127"/>
      <c r="T280" s="127"/>
      <c r="U280" s="127"/>
      <c r="V280" s="128"/>
      <c r="W280" s="128"/>
      <c r="X280" s="129" t="str">
        <f t="shared" si="9"/>
        <v/>
      </c>
      <c r="Y280" s="127"/>
      <c r="Z280" s="128"/>
      <c r="AA280" s="130"/>
      <c r="AB280" s="130"/>
      <c r="AC280" s="130"/>
      <c r="AD280" s="130"/>
      <c r="AE280" s="130"/>
      <c r="AF280" s="130"/>
      <c r="AG280" s="127"/>
      <c r="AH280" s="130"/>
      <c r="AI280" s="127"/>
      <c r="AJ280" s="127"/>
      <c r="AK280" s="127"/>
    </row>
    <row r="281" spans="1:37" ht="36" customHeight="1" x14ac:dyDescent="0.25">
      <c r="A281" s="125"/>
      <c r="B281" s="126" t="str">
        <f t="shared" si="8"/>
        <v/>
      </c>
      <c r="C281" s="127"/>
      <c r="D281" s="127"/>
      <c r="E281" s="128"/>
      <c r="F281" s="127"/>
      <c r="G281" s="125"/>
      <c r="H281" s="128"/>
      <c r="I281" s="127"/>
      <c r="J281" s="127"/>
      <c r="K281" s="127"/>
      <c r="L281" s="125"/>
      <c r="M281" s="125"/>
      <c r="N281" s="125"/>
      <c r="O281" s="127"/>
      <c r="P281" s="127"/>
      <c r="Q281" s="127"/>
      <c r="R281" s="127"/>
      <c r="S281" s="127"/>
      <c r="T281" s="127"/>
      <c r="U281" s="127"/>
      <c r="V281" s="128"/>
      <c r="W281" s="128"/>
      <c r="X281" s="129" t="str">
        <f t="shared" si="9"/>
        <v/>
      </c>
      <c r="Y281" s="127"/>
      <c r="Z281" s="128"/>
      <c r="AA281" s="130"/>
      <c r="AB281" s="130"/>
      <c r="AC281" s="130"/>
      <c r="AD281" s="130"/>
      <c r="AE281" s="130"/>
      <c r="AF281" s="130"/>
      <c r="AG281" s="127"/>
      <c r="AH281" s="130"/>
      <c r="AI281" s="127"/>
      <c r="AJ281" s="127"/>
      <c r="AK281" s="127"/>
    </row>
    <row r="282" spans="1:37" ht="36" customHeight="1" x14ac:dyDescent="0.25">
      <c r="A282" s="125"/>
      <c r="B282" s="126" t="str">
        <f t="shared" si="8"/>
        <v/>
      </c>
      <c r="C282" s="127"/>
      <c r="D282" s="127"/>
      <c r="E282" s="128"/>
      <c r="F282" s="127"/>
      <c r="G282" s="125"/>
      <c r="H282" s="128"/>
      <c r="I282" s="127"/>
      <c r="J282" s="127"/>
      <c r="K282" s="127"/>
      <c r="L282" s="125"/>
      <c r="M282" s="125"/>
      <c r="N282" s="125"/>
      <c r="O282" s="127"/>
      <c r="P282" s="127"/>
      <c r="Q282" s="127"/>
      <c r="R282" s="127"/>
      <c r="S282" s="127"/>
      <c r="T282" s="127"/>
      <c r="U282" s="127"/>
      <c r="V282" s="128"/>
      <c r="W282" s="128"/>
      <c r="X282" s="129" t="str">
        <f t="shared" si="9"/>
        <v/>
      </c>
      <c r="Y282" s="127"/>
      <c r="Z282" s="128"/>
      <c r="AA282" s="130"/>
      <c r="AB282" s="130"/>
      <c r="AC282" s="130"/>
      <c r="AD282" s="130"/>
      <c r="AE282" s="130"/>
      <c r="AF282" s="130"/>
      <c r="AG282" s="127"/>
      <c r="AH282" s="130"/>
      <c r="AI282" s="127"/>
      <c r="AJ282" s="127"/>
      <c r="AK282" s="127"/>
    </row>
    <row r="283" spans="1:37" ht="36" customHeight="1" x14ac:dyDescent="0.25">
      <c r="A283" s="125"/>
      <c r="B283" s="126" t="str">
        <f t="shared" si="8"/>
        <v/>
      </c>
      <c r="C283" s="127"/>
      <c r="D283" s="127"/>
      <c r="E283" s="128"/>
      <c r="F283" s="127"/>
      <c r="G283" s="125"/>
      <c r="H283" s="128"/>
      <c r="I283" s="127"/>
      <c r="J283" s="127"/>
      <c r="K283" s="127"/>
      <c r="L283" s="125"/>
      <c r="M283" s="125"/>
      <c r="N283" s="125"/>
      <c r="O283" s="127"/>
      <c r="P283" s="127"/>
      <c r="Q283" s="127"/>
      <c r="R283" s="127"/>
      <c r="S283" s="127"/>
      <c r="T283" s="127"/>
      <c r="U283" s="127"/>
      <c r="V283" s="128"/>
      <c r="W283" s="128"/>
      <c r="X283" s="129" t="str">
        <f t="shared" si="9"/>
        <v/>
      </c>
      <c r="Y283" s="127"/>
      <c r="Z283" s="128"/>
      <c r="AA283" s="130"/>
      <c r="AB283" s="130"/>
      <c r="AC283" s="130"/>
      <c r="AD283" s="130"/>
      <c r="AE283" s="130"/>
      <c r="AF283" s="130"/>
      <c r="AG283" s="127"/>
      <c r="AH283" s="130"/>
      <c r="AI283" s="127"/>
      <c r="AJ283" s="127"/>
      <c r="AK283" s="127"/>
    </row>
    <row r="284" spans="1:37" ht="36" customHeight="1" x14ac:dyDescent="0.25">
      <c r="A284" s="125"/>
      <c r="B284" s="126" t="str">
        <f t="shared" si="8"/>
        <v/>
      </c>
      <c r="C284" s="127"/>
      <c r="D284" s="127"/>
      <c r="E284" s="128"/>
      <c r="F284" s="127"/>
      <c r="G284" s="125"/>
      <c r="H284" s="128"/>
      <c r="I284" s="127"/>
      <c r="J284" s="127"/>
      <c r="K284" s="127"/>
      <c r="L284" s="125"/>
      <c r="M284" s="125"/>
      <c r="N284" s="125"/>
      <c r="O284" s="127"/>
      <c r="P284" s="127"/>
      <c r="Q284" s="127"/>
      <c r="R284" s="127"/>
      <c r="S284" s="127"/>
      <c r="T284" s="127"/>
      <c r="U284" s="127"/>
      <c r="V284" s="128"/>
      <c r="W284" s="128"/>
      <c r="X284" s="129" t="str">
        <f t="shared" si="9"/>
        <v/>
      </c>
      <c r="Y284" s="127"/>
      <c r="Z284" s="128"/>
      <c r="AA284" s="130"/>
      <c r="AB284" s="130"/>
      <c r="AC284" s="130"/>
      <c r="AD284" s="130"/>
      <c r="AE284" s="130"/>
      <c r="AF284" s="130"/>
      <c r="AG284" s="127"/>
      <c r="AH284" s="130"/>
      <c r="AI284" s="127"/>
      <c r="AJ284" s="127"/>
      <c r="AK284" s="127"/>
    </row>
    <row r="285" spans="1:37" ht="36" customHeight="1" x14ac:dyDescent="0.25">
      <c r="A285" s="125"/>
      <c r="B285" s="126" t="str">
        <f t="shared" si="8"/>
        <v/>
      </c>
      <c r="C285" s="127"/>
      <c r="D285" s="127"/>
      <c r="E285" s="128"/>
      <c r="F285" s="127"/>
      <c r="G285" s="125"/>
      <c r="H285" s="128"/>
      <c r="I285" s="127"/>
      <c r="J285" s="127"/>
      <c r="K285" s="127"/>
      <c r="L285" s="125"/>
      <c r="M285" s="125"/>
      <c r="N285" s="125"/>
      <c r="O285" s="127"/>
      <c r="P285" s="127"/>
      <c r="Q285" s="127"/>
      <c r="R285" s="127"/>
      <c r="S285" s="127"/>
      <c r="T285" s="127"/>
      <c r="U285" s="127"/>
      <c r="V285" s="128"/>
      <c r="W285" s="128"/>
      <c r="X285" s="129" t="str">
        <f t="shared" si="9"/>
        <v/>
      </c>
      <c r="Y285" s="127"/>
      <c r="Z285" s="128"/>
      <c r="AA285" s="130"/>
      <c r="AB285" s="130"/>
      <c r="AC285" s="130"/>
      <c r="AD285" s="130"/>
      <c r="AE285" s="130"/>
      <c r="AF285" s="130"/>
      <c r="AG285" s="127"/>
      <c r="AH285" s="130"/>
      <c r="AI285" s="127"/>
      <c r="AJ285" s="127"/>
      <c r="AK285" s="127"/>
    </row>
    <row r="286" spans="1:37" ht="36" customHeight="1" x14ac:dyDescent="0.25">
      <c r="A286" s="125"/>
      <c r="B286" s="126" t="str">
        <f t="shared" si="8"/>
        <v/>
      </c>
      <c r="C286" s="127"/>
      <c r="D286" s="127"/>
      <c r="E286" s="128"/>
      <c r="F286" s="127"/>
      <c r="G286" s="125"/>
      <c r="H286" s="128"/>
      <c r="I286" s="127"/>
      <c r="J286" s="127"/>
      <c r="K286" s="127"/>
      <c r="L286" s="125"/>
      <c r="M286" s="125"/>
      <c r="N286" s="125"/>
      <c r="O286" s="127"/>
      <c r="P286" s="127"/>
      <c r="Q286" s="127"/>
      <c r="R286" s="127"/>
      <c r="S286" s="127"/>
      <c r="T286" s="127"/>
      <c r="U286" s="127"/>
      <c r="V286" s="128"/>
      <c r="W286" s="128"/>
      <c r="X286" s="129" t="str">
        <f t="shared" si="9"/>
        <v/>
      </c>
      <c r="Y286" s="127"/>
      <c r="Z286" s="128"/>
      <c r="AA286" s="130"/>
      <c r="AB286" s="130"/>
      <c r="AC286" s="130"/>
      <c r="AD286" s="130"/>
      <c r="AE286" s="130"/>
      <c r="AF286" s="130"/>
      <c r="AG286" s="127"/>
      <c r="AH286" s="130"/>
      <c r="AI286" s="127"/>
      <c r="AJ286" s="127"/>
      <c r="AK286" s="127"/>
    </row>
    <row r="287" spans="1:37" ht="36" customHeight="1" x14ac:dyDescent="0.25">
      <c r="A287" s="125"/>
      <c r="B287" s="126" t="str">
        <f t="shared" si="8"/>
        <v/>
      </c>
      <c r="C287" s="127"/>
      <c r="D287" s="127"/>
      <c r="E287" s="128"/>
      <c r="F287" s="127"/>
      <c r="G287" s="125"/>
      <c r="H287" s="128"/>
      <c r="I287" s="127"/>
      <c r="J287" s="127"/>
      <c r="K287" s="127"/>
      <c r="L287" s="125"/>
      <c r="M287" s="125"/>
      <c r="N287" s="125"/>
      <c r="O287" s="127"/>
      <c r="P287" s="127"/>
      <c r="Q287" s="127"/>
      <c r="R287" s="127"/>
      <c r="S287" s="127"/>
      <c r="T287" s="127"/>
      <c r="U287" s="127"/>
      <c r="V287" s="128"/>
      <c r="W287" s="128"/>
      <c r="X287" s="129" t="str">
        <f t="shared" si="9"/>
        <v/>
      </c>
      <c r="Y287" s="127"/>
      <c r="Z287" s="128"/>
      <c r="AA287" s="130"/>
      <c r="AB287" s="130"/>
      <c r="AC287" s="130"/>
      <c r="AD287" s="130"/>
      <c r="AE287" s="130"/>
      <c r="AF287" s="130"/>
      <c r="AG287" s="127"/>
      <c r="AH287" s="130"/>
      <c r="AI287" s="127"/>
      <c r="AJ287" s="127"/>
      <c r="AK287" s="127"/>
    </row>
    <row r="288" spans="1:37" ht="36" customHeight="1" x14ac:dyDescent="0.25">
      <c r="A288" s="125"/>
      <c r="B288" s="126" t="str">
        <f t="shared" si="8"/>
        <v/>
      </c>
      <c r="C288" s="127"/>
      <c r="D288" s="127"/>
      <c r="E288" s="128"/>
      <c r="F288" s="127"/>
      <c r="G288" s="125"/>
      <c r="H288" s="128"/>
      <c r="I288" s="127"/>
      <c r="J288" s="127"/>
      <c r="K288" s="127"/>
      <c r="L288" s="125"/>
      <c r="M288" s="125"/>
      <c r="N288" s="125"/>
      <c r="O288" s="127"/>
      <c r="P288" s="127"/>
      <c r="Q288" s="127"/>
      <c r="R288" s="127"/>
      <c r="S288" s="127"/>
      <c r="T288" s="127"/>
      <c r="U288" s="127"/>
      <c r="V288" s="128"/>
      <c r="W288" s="128"/>
      <c r="X288" s="129" t="str">
        <f t="shared" si="9"/>
        <v/>
      </c>
      <c r="Y288" s="127"/>
      <c r="Z288" s="128"/>
      <c r="AA288" s="130"/>
      <c r="AB288" s="130"/>
      <c r="AC288" s="130"/>
      <c r="AD288" s="130"/>
      <c r="AE288" s="130"/>
      <c r="AF288" s="130"/>
      <c r="AG288" s="127"/>
      <c r="AH288" s="130"/>
      <c r="AI288" s="127"/>
      <c r="AJ288" s="127"/>
      <c r="AK288" s="127"/>
    </row>
    <row r="289" spans="1:37" ht="36" customHeight="1" x14ac:dyDescent="0.25">
      <c r="A289" s="125"/>
      <c r="B289" s="126" t="str">
        <f t="shared" si="8"/>
        <v/>
      </c>
      <c r="C289" s="127"/>
      <c r="D289" s="127"/>
      <c r="E289" s="128"/>
      <c r="F289" s="127"/>
      <c r="G289" s="125"/>
      <c r="H289" s="128"/>
      <c r="I289" s="127"/>
      <c r="J289" s="127"/>
      <c r="K289" s="127"/>
      <c r="L289" s="125"/>
      <c r="M289" s="125"/>
      <c r="N289" s="125"/>
      <c r="O289" s="127"/>
      <c r="P289" s="127"/>
      <c r="Q289" s="127"/>
      <c r="R289" s="127"/>
      <c r="S289" s="127"/>
      <c r="T289" s="127"/>
      <c r="U289" s="127"/>
      <c r="V289" s="128"/>
      <c r="W289" s="128"/>
      <c r="X289" s="129" t="str">
        <f t="shared" si="9"/>
        <v/>
      </c>
      <c r="Y289" s="127"/>
      <c r="Z289" s="128"/>
      <c r="AA289" s="130"/>
      <c r="AB289" s="130"/>
      <c r="AC289" s="130"/>
      <c r="AD289" s="130"/>
      <c r="AE289" s="130"/>
      <c r="AF289" s="130"/>
      <c r="AG289" s="127"/>
      <c r="AH289" s="130"/>
      <c r="AI289" s="127"/>
      <c r="AJ289" s="127"/>
      <c r="AK289" s="127"/>
    </row>
    <row r="290" spans="1:37" ht="36" customHeight="1" x14ac:dyDescent="0.25">
      <c r="A290" s="125"/>
      <c r="B290" s="126" t="str">
        <f t="shared" si="8"/>
        <v/>
      </c>
      <c r="C290" s="127"/>
      <c r="D290" s="127"/>
      <c r="E290" s="128"/>
      <c r="F290" s="127"/>
      <c r="G290" s="125"/>
      <c r="H290" s="128"/>
      <c r="I290" s="127"/>
      <c r="J290" s="127"/>
      <c r="K290" s="127"/>
      <c r="L290" s="125"/>
      <c r="M290" s="125"/>
      <c r="N290" s="125"/>
      <c r="O290" s="127"/>
      <c r="P290" s="127"/>
      <c r="Q290" s="127"/>
      <c r="R290" s="127"/>
      <c r="S290" s="127"/>
      <c r="T290" s="127"/>
      <c r="U290" s="127"/>
      <c r="V290" s="128"/>
      <c r="W290" s="128"/>
      <c r="X290" s="129" t="str">
        <f t="shared" si="9"/>
        <v/>
      </c>
      <c r="Y290" s="127"/>
      <c r="Z290" s="128"/>
      <c r="AA290" s="130"/>
      <c r="AB290" s="130"/>
      <c r="AC290" s="130"/>
      <c r="AD290" s="130"/>
      <c r="AE290" s="130"/>
      <c r="AF290" s="130"/>
      <c r="AG290" s="127"/>
      <c r="AH290" s="130"/>
      <c r="AI290" s="127"/>
      <c r="AJ290" s="127"/>
      <c r="AK290" s="127"/>
    </row>
    <row r="291" spans="1:37" ht="36" customHeight="1" x14ac:dyDescent="0.25">
      <c r="A291" s="125"/>
      <c r="B291" s="126" t="str">
        <f t="shared" si="8"/>
        <v/>
      </c>
      <c r="C291" s="127"/>
      <c r="D291" s="127"/>
      <c r="E291" s="128"/>
      <c r="F291" s="127"/>
      <c r="G291" s="125"/>
      <c r="H291" s="128"/>
      <c r="I291" s="127"/>
      <c r="J291" s="127"/>
      <c r="K291" s="127"/>
      <c r="L291" s="125"/>
      <c r="M291" s="125"/>
      <c r="N291" s="125"/>
      <c r="O291" s="127"/>
      <c r="P291" s="127"/>
      <c r="Q291" s="127"/>
      <c r="R291" s="127"/>
      <c r="S291" s="127"/>
      <c r="T291" s="127"/>
      <c r="U291" s="127"/>
      <c r="V291" s="128"/>
      <c r="W291" s="128"/>
      <c r="X291" s="129" t="str">
        <f t="shared" si="9"/>
        <v/>
      </c>
      <c r="Y291" s="127"/>
      <c r="Z291" s="128"/>
      <c r="AA291" s="130"/>
      <c r="AB291" s="130"/>
      <c r="AC291" s="130"/>
      <c r="AD291" s="130"/>
      <c r="AE291" s="130"/>
      <c r="AF291" s="130"/>
      <c r="AG291" s="127"/>
      <c r="AH291" s="130"/>
      <c r="AI291" s="127"/>
      <c r="AJ291" s="127"/>
      <c r="AK291" s="127"/>
    </row>
    <row r="292" spans="1:37" ht="36" customHeight="1" x14ac:dyDescent="0.25">
      <c r="A292" s="125"/>
      <c r="B292" s="126" t="str">
        <f t="shared" si="8"/>
        <v/>
      </c>
      <c r="C292" s="127"/>
      <c r="D292" s="127"/>
      <c r="E292" s="128"/>
      <c r="F292" s="127"/>
      <c r="G292" s="125"/>
      <c r="H292" s="128"/>
      <c r="I292" s="127"/>
      <c r="J292" s="127"/>
      <c r="K292" s="127"/>
      <c r="L292" s="125"/>
      <c r="M292" s="125"/>
      <c r="N292" s="125"/>
      <c r="O292" s="127"/>
      <c r="P292" s="127"/>
      <c r="Q292" s="127"/>
      <c r="R292" s="127"/>
      <c r="S292" s="127"/>
      <c r="T292" s="127"/>
      <c r="U292" s="127"/>
      <c r="V292" s="128"/>
      <c r="W292" s="128"/>
      <c r="X292" s="129" t="str">
        <f t="shared" si="9"/>
        <v/>
      </c>
      <c r="Y292" s="127"/>
      <c r="Z292" s="128"/>
      <c r="AA292" s="130"/>
      <c r="AB292" s="130"/>
      <c r="AC292" s="130"/>
      <c r="AD292" s="130"/>
      <c r="AE292" s="130"/>
      <c r="AF292" s="130"/>
      <c r="AG292" s="127"/>
      <c r="AH292" s="130"/>
      <c r="AI292" s="127"/>
      <c r="AJ292" s="127"/>
      <c r="AK292" s="127"/>
    </row>
    <row r="293" spans="1:37" ht="36" customHeight="1" x14ac:dyDescent="0.25">
      <c r="A293" s="125"/>
      <c r="B293" s="126" t="str">
        <f t="shared" si="8"/>
        <v/>
      </c>
      <c r="C293" s="127"/>
      <c r="D293" s="127"/>
      <c r="E293" s="128"/>
      <c r="F293" s="127"/>
      <c r="G293" s="125"/>
      <c r="H293" s="128"/>
      <c r="I293" s="127"/>
      <c r="J293" s="127"/>
      <c r="K293" s="127"/>
      <c r="L293" s="125"/>
      <c r="M293" s="125"/>
      <c r="N293" s="125"/>
      <c r="O293" s="127"/>
      <c r="P293" s="127"/>
      <c r="Q293" s="127"/>
      <c r="R293" s="127"/>
      <c r="S293" s="127"/>
      <c r="T293" s="127"/>
      <c r="U293" s="127"/>
      <c r="V293" s="128"/>
      <c r="W293" s="128"/>
      <c r="X293" s="129" t="str">
        <f t="shared" si="9"/>
        <v/>
      </c>
      <c r="Y293" s="127"/>
      <c r="Z293" s="128"/>
      <c r="AA293" s="130"/>
      <c r="AB293" s="130"/>
      <c r="AC293" s="130"/>
      <c r="AD293" s="130"/>
      <c r="AE293" s="130"/>
      <c r="AF293" s="130"/>
      <c r="AG293" s="127"/>
      <c r="AH293" s="130"/>
      <c r="AI293" s="127"/>
      <c r="AJ293" s="127"/>
      <c r="AK293" s="127"/>
    </row>
    <row r="294" spans="1:37" ht="36" customHeight="1" x14ac:dyDescent="0.25">
      <c r="A294" s="125"/>
      <c r="B294" s="126" t="str">
        <f t="shared" si="8"/>
        <v/>
      </c>
      <c r="C294" s="127"/>
      <c r="D294" s="127"/>
      <c r="E294" s="128"/>
      <c r="F294" s="127"/>
      <c r="G294" s="125"/>
      <c r="H294" s="128"/>
      <c r="I294" s="127"/>
      <c r="J294" s="127"/>
      <c r="K294" s="127"/>
      <c r="L294" s="125"/>
      <c r="M294" s="125"/>
      <c r="N294" s="125"/>
      <c r="O294" s="127"/>
      <c r="P294" s="127"/>
      <c r="Q294" s="127"/>
      <c r="R294" s="127"/>
      <c r="S294" s="127"/>
      <c r="T294" s="127"/>
      <c r="U294" s="127"/>
      <c r="V294" s="128"/>
      <c r="W294" s="128"/>
      <c r="X294" s="129" t="str">
        <f t="shared" si="9"/>
        <v/>
      </c>
      <c r="Y294" s="127"/>
      <c r="Z294" s="128"/>
      <c r="AA294" s="130"/>
      <c r="AB294" s="130"/>
      <c r="AC294" s="130"/>
      <c r="AD294" s="130"/>
      <c r="AE294" s="130"/>
      <c r="AF294" s="130"/>
      <c r="AG294" s="127"/>
      <c r="AH294" s="130"/>
      <c r="AI294" s="127"/>
      <c r="AJ294" s="127"/>
      <c r="AK294" s="127"/>
    </row>
    <row r="295" spans="1:37" ht="36" customHeight="1" x14ac:dyDescent="0.25">
      <c r="A295" s="125"/>
      <c r="B295" s="126" t="str">
        <f t="shared" si="8"/>
        <v/>
      </c>
      <c r="C295" s="127"/>
      <c r="D295" s="127"/>
      <c r="E295" s="128"/>
      <c r="F295" s="127"/>
      <c r="G295" s="125"/>
      <c r="H295" s="128"/>
      <c r="I295" s="127"/>
      <c r="J295" s="127"/>
      <c r="K295" s="127"/>
      <c r="L295" s="125"/>
      <c r="M295" s="125"/>
      <c r="N295" s="125"/>
      <c r="O295" s="127"/>
      <c r="P295" s="127"/>
      <c r="Q295" s="127"/>
      <c r="R295" s="127"/>
      <c r="S295" s="127"/>
      <c r="T295" s="127"/>
      <c r="U295" s="127"/>
      <c r="V295" s="128"/>
      <c r="W295" s="128"/>
      <c r="X295" s="129" t="str">
        <f t="shared" si="9"/>
        <v/>
      </c>
      <c r="Y295" s="127"/>
      <c r="Z295" s="128"/>
      <c r="AA295" s="130"/>
      <c r="AB295" s="130"/>
      <c r="AC295" s="130"/>
      <c r="AD295" s="130"/>
      <c r="AE295" s="130"/>
      <c r="AF295" s="130"/>
      <c r="AG295" s="127"/>
      <c r="AH295" s="130"/>
      <c r="AI295" s="127"/>
      <c r="AJ295" s="127"/>
      <c r="AK295" s="127"/>
    </row>
    <row r="296" spans="1:37" ht="36" customHeight="1" x14ac:dyDescent="0.25">
      <c r="A296" s="125"/>
      <c r="B296" s="126" t="str">
        <f t="shared" si="8"/>
        <v/>
      </c>
      <c r="C296" s="127"/>
      <c r="D296" s="127"/>
      <c r="E296" s="128"/>
      <c r="F296" s="127"/>
      <c r="G296" s="125"/>
      <c r="H296" s="128"/>
      <c r="I296" s="127"/>
      <c r="J296" s="127"/>
      <c r="K296" s="127"/>
      <c r="L296" s="125"/>
      <c r="M296" s="125"/>
      <c r="N296" s="125"/>
      <c r="O296" s="127"/>
      <c r="P296" s="127"/>
      <c r="Q296" s="127"/>
      <c r="R296" s="127"/>
      <c r="S296" s="127"/>
      <c r="T296" s="127"/>
      <c r="U296" s="127"/>
      <c r="V296" s="128"/>
      <c r="W296" s="128"/>
      <c r="X296" s="129" t="str">
        <f t="shared" si="9"/>
        <v/>
      </c>
      <c r="Y296" s="127"/>
      <c r="Z296" s="128"/>
      <c r="AA296" s="130"/>
      <c r="AB296" s="130"/>
      <c r="AC296" s="130"/>
      <c r="AD296" s="130"/>
      <c r="AE296" s="130"/>
      <c r="AF296" s="130"/>
      <c r="AG296" s="127"/>
      <c r="AH296" s="130"/>
      <c r="AI296" s="127"/>
      <c r="AJ296" s="127"/>
      <c r="AK296" s="127"/>
    </row>
    <row r="297" spans="1:37" ht="36" customHeight="1" x14ac:dyDescent="0.25">
      <c r="A297" s="125"/>
      <c r="B297" s="126" t="str">
        <f t="shared" si="8"/>
        <v/>
      </c>
      <c r="C297" s="127"/>
      <c r="D297" s="127"/>
      <c r="E297" s="128"/>
      <c r="F297" s="127"/>
      <c r="G297" s="125"/>
      <c r="H297" s="128"/>
      <c r="I297" s="127"/>
      <c r="J297" s="127"/>
      <c r="K297" s="127"/>
      <c r="L297" s="125"/>
      <c r="M297" s="125"/>
      <c r="N297" s="125"/>
      <c r="O297" s="127"/>
      <c r="P297" s="127"/>
      <c r="Q297" s="127"/>
      <c r="R297" s="127"/>
      <c r="S297" s="127"/>
      <c r="T297" s="127"/>
      <c r="U297" s="127"/>
      <c r="V297" s="128"/>
      <c r="W297" s="128"/>
      <c r="X297" s="129" t="str">
        <f t="shared" si="9"/>
        <v/>
      </c>
      <c r="Y297" s="127"/>
      <c r="Z297" s="128"/>
      <c r="AA297" s="130"/>
      <c r="AB297" s="130"/>
      <c r="AC297" s="130"/>
      <c r="AD297" s="130"/>
      <c r="AE297" s="130"/>
      <c r="AF297" s="130"/>
      <c r="AG297" s="127"/>
      <c r="AH297" s="130"/>
      <c r="AI297" s="127"/>
      <c r="AJ297" s="127"/>
      <c r="AK297" s="127"/>
    </row>
    <row r="298" spans="1:37" ht="36" customHeight="1" x14ac:dyDescent="0.25">
      <c r="A298" s="125"/>
      <c r="B298" s="126" t="str">
        <f t="shared" si="8"/>
        <v/>
      </c>
      <c r="C298" s="127"/>
      <c r="D298" s="127"/>
      <c r="E298" s="128"/>
      <c r="F298" s="127"/>
      <c r="G298" s="125"/>
      <c r="H298" s="128"/>
      <c r="I298" s="127"/>
      <c r="J298" s="127"/>
      <c r="K298" s="127"/>
      <c r="L298" s="125"/>
      <c r="M298" s="125"/>
      <c r="N298" s="125"/>
      <c r="O298" s="127"/>
      <c r="P298" s="127"/>
      <c r="Q298" s="127"/>
      <c r="R298" s="127"/>
      <c r="S298" s="127"/>
      <c r="T298" s="127"/>
      <c r="U298" s="127"/>
      <c r="V298" s="128"/>
      <c r="W298" s="128"/>
      <c r="X298" s="129" t="str">
        <f t="shared" si="9"/>
        <v/>
      </c>
      <c r="Y298" s="127"/>
      <c r="Z298" s="128"/>
      <c r="AA298" s="130"/>
      <c r="AB298" s="130"/>
      <c r="AC298" s="130"/>
      <c r="AD298" s="130"/>
      <c r="AE298" s="130"/>
      <c r="AF298" s="130"/>
      <c r="AG298" s="127"/>
      <c r="AH298" s="130"/>
      <c r="AI298" s="127"/>
      <c r="AJ298" s="127"/>
      <c r="AK298" s="127"/>
    </row>
    <row r="299" spans="1:37" ht="36" customHeight="1" x14ac:dyDescent="0.25">
      <c r="A299" s="125"/>
      <c r="B299" s="126" t="str">
        <f t="shared" si="8"/>
        <v/>
      </c>
      <c r="C299" s="127"/>
      <c r="D299" s="127"/>
      <c r="E299" s="128"/>
      <c r="F299" s="127"/>
      <c r="G299" s="125"/>
      <c r="H299" s="128"/>
      <c r="I299" s="127"/>
      <c r="J299" s="127"/>
      <c r="K299" s="127"/>
      <c r="L299" s="125"/>
      <c r="M299" s="125"/>
      <c r="N299" s="125"/>
      <c r="O299" s="127"/>
      <c r="P299" s="127"/>
      <c r="Q299" s="127"/>
      <c r="R299" s="127"/>
      <c r="S299" s="127"/>
      <c r="T299" s="127"/>
      <c r="U299" s="127"/>
      <c r="V299" s="128"/>
      <c r="W299" s="128"/>
      <c r="X299" s="129" t="str">
        <f t="shared" si="9"/>
        <v/>
      </c>
      <c r="Y299" s="127"/>
      <c r="Z299" s="128"/>
      <c r="AA299" s="130"/>
      <c r="AB299" s="130"/>
      <c r="AC299" s="130"/>
      <c r="AD299" s="130"/>
      <c r="AE299" s="130"/>
      <c r="AF299" s="130"/>
      <c r="AG299" s="127"/>
      <c r="AH299" s="130"/>
      <c r="AI299" s="127"/>
      <c r="AJ299" s="127"/>
      <c r="AK299" s="127"/>
    </row>
    <row r="300" spans="1:37" ht="36" customHeight="1" x14ac:dyDescent="0.25">
      <c r="A300" s="125"/>
      <c r="B300" s="126" t="str">
        <f t="shared" si="8"/>
        <v/>
      </c>
      <c r="C300" s="127"/>
      <c r="D300" s="127"/>
      <c r="E300" s="128"/>
      <c r="F300" s="127"/>
      <c r="G300" s="125"/>
      <c r="H300" s="128"/>
      <c r="I300" s="127"/>
      <c r="J300" s="127"/>
      <c r="K300" s="127"/>
      <c r="L300" s="125"/>
      <c r="M300" s="125"/>
      <c r="N300" s="125"/>
      <c r="O300" s="127"/>
      <c r="P300" s="127"/>
      <c r="Q300" s="127"/>
      <c r="R300" s="127"/>
      <c r="S300" s="127"/>
      <c r="T300" s="127"/>
      <c r="U300" s="127"/>
      <c r="V300" s="128"/>
      <c r="W300" s="128"/>
      <c r="X300" s="129" t="str">
        <f t="shared" si="9"/>
        <v/>
      </c>
      <c r="Y300" s="127"/>
      <c r="Z300" s="128"/>
      <c r="AA300" s="130"/>
      <c r="AB300" s="130"/>
      <c r="AC300" s="130"/>
      <c r="AD300" s="130"/>
      <c r="AE300" s="130"/>
      <c r="AF300" s="130"/>
      <c r="AG300" s="127"/>
      <c r="AH300" s="130"/>
      <c r="AI300" s="127"/>
      <c r="AJ300" s="127"/>
      <c r="AK300" s="127"/>
    </row>
    <row r="301" spans="1:37" ht="36" customHeight="1" x14ac:dyDescent="0.25">
      <c r="A301" s="125"/>
      <c r="B301" s="126" t="str">
        <f t="shared" si="8"/>
        <v/>
      </c>
      <c r="C301" s="127"/>
      <c r="D301" s="127"/>
      <c r="E301" s="128"/>
      <c r="F301" s="127"/>
      <c r="G301" s="125"/>
      <c r="H301" s="128"/>
      <c r="I301" s="127"/>
      <c r="J301" s="127"/>
      <c r="K301" s="127"/>
      <c r="L301" s="125"/>
      <c r="M301" s="125"/>
      <c r="N301" s="125"/>
      <c r="O301" s="127"/>
      <c r="P301" s="127"/>
      <c r="Q301" s="127"/>
      <c r="R301" s="127"/>
      <c r="S301" s="127"/>
      <c r="T301" s="127"/>
      <c r="U301" s="127"/>
      <c r="V301" s="128"/>
      <c r="W301" s="128"/>
      <c r="X301" s="129" t="str">
        <f t="shared" si="9"/>
        <v/>
      </c>
      <c r="Y301" s="127"/>
      <c r="Z301" s="128"/>
      <c r="AA301" s="130"/>
      <c r="AB301" s="130"/>
      <c r="AC301" s="130"/>
      <c r="AD301" s="130"/>
      <c r="AE301" s="130"/>
      <c r="AF301" s="130"/>
      <c r="AG301" s="127"/>
      <c r="AH301" s="130"/>
      <c r="AI301" s="127"/>
      <c r="AJ301" s="127"/>
      <c r="AK301" s="127"/>
    </row>
    <row r="302" spans="1:37" ht="36" customHeight="1" x14ac:dyDescent="0.25">
      <c r="A302" s="125"/>
      <c r="B302" s="126" t="str">
        <f t="shared" si="8"/>
        <v/>
      </c>
      <c r="C302" s="127"/>
      <c r="D302" s="127"/>
      <c r="E302" s="128"/>
      <c r="F302" s="127"/>
      <c r="G302" s="125"/>
      <c r="H302" s="128"/>
      <c r="I302" s="127"/>
      <c r="J302" s="127"/>
      <c r="K302" s="127"/>
      <c r="L302" s="125"/>
      <c r="M302" s="125"/>
      <c r="N302" s="125"/>
      <c r="O302" s="127"/>
      <c r="P302" s="127"/>
      <c r="Q302" s="127"/>
      <c r="R302" s="127"/>
      <c r="S302" s="127"/>
      <c r="T302" s="127"/>
      <c r="U302" s="127"/>
      <c r="V302" s="128"/>
      <c r="W302" s="128"/>
      <c r="X302" s="129" t="str">
        <f t="shared" si="9"/>
        <v/>
      </c>
      <c r="Y302" s="127"/>
      <c r="Z302" s="128"/>
      <c r="AA302" s="130"/>
      <c r="AB302" s="130"/>
      <c r="AC302" s="130"/>
      <c r="AD302" s="130"/>
      <c r="AE302" s="130"/>
      <c r="AF302" s="130"/>
      <c r="AG302" s="127"/>
      <c r="AH302" s="130"/>
      <c r="AI302" s="127"/>
      <c r="AJ302" s="127"/>
      <c r="AK302" s="127"/>
    </row>
    <row r="303" spans="1:37" ht="36" customHeight="1" x14ac:dyDescent="0.25">
      <c r="A303" s="125"/>
      <c r="B303" s="126" t="str">
        <f t="shared" si="8"/>
        <v/>
      </c>
      <c r="C303" s="127"/>
      <c r="D303" s="127"/>
      <c r="E303" s="128"/>
      <c r="F303" s="127"/>
      <c r="G303" s="125"/>
      <c r="H303" s="128"/>
      <c r="I303" s="127"/>
      <c r="J303" s="127"/>
      <c r="K303" s="127"/>
      <c r="L303" s="125"/>
      <c r="M303" s="125"/>
      <c r="N303" s="125"/>
      <c r="O303" s="127"/>
      <c r="P303" s="127"/>
      <c r="Q303" s="127"/>
      <c r="R303" s="127"/>
      <c r="S303" s="127"/>
      <c r="T303" s="127"/>
      <c r="U303" s="127"/>
      <c r="V303" s="128"/>
      <c r="W303" s="128"/>
      <c r="X303" s="129" t="str">
        <f t="shared" si="9"/>
        <v/>
      </c>
      <c r="Y303" s="127"/>
      <c r="Z303" s="128"/>
      <c r="AA303" s="130"/>
      <c r="AB303" s="130"/>
      <c r="AC303" s="130"/>
      <c r="AD303" s="130"/>
      <c r="AE303" s="130"/>
      <c r="AF303" s="130"/>
      <c r="AG303" s="127"/>
      <c r="AH303" s="130"/>
      <c r="AI303" s="127"/>
      <c r="AJ303" s="127"/>
      <c r="AK303" s="127"/>
    </row>
    <row r="304" spans="1:37" ht="36" customHeight="1" x14ac:dyDescent="0.25">
      <c r="A304" s="125"/>
      <c r="B304" s="126" t="str">
        <f t="shared" si="8"/>
        <v/>
      </c>
      <c r="C304" s="127"/>
      <c r="D304" s="127"/>
      <c r="E304" s="128"/>
      <c r="F304" s="127"/>
      <c r="G304" s="125"/>
      <c r="H304" s="128"/>
      <c r="I304" s="127"/>
      <c r="J304" s="127"/>
      <c r="K304" s="127"/>
      <c r="L304" s="125"/>
      <c r="M304" s="125"/>
      <c r="N304" s="125"/>
      <c r="O304" s="127"/>
      <c r="P304" s="127"/>
      <c r="Q304" s="127"/>
      <c r="R304" s="127"/>
      <c r="S304" s="127"/>
      <c r="T304" s="127"/>
      <c r="U304" s="127"/>
      <c r="V304" s="128"/>
      <c r="W304" s="128"/>
      <c r="X304" s="129" t="str">
        <f t="shared" si="9"/>
        <v/>
      </c>
      <c r="Y304" s="127"/>
      <c r="Z304" s="128"/>
      <c r="AA304" s="130"/>
      <c r="AB304" s="130"/>
      <c r="AC304" s="130"/>
      <c r="AD304" s="130"/>
      <c r="AE304" s="130"/>
      <c r="AF304" s="130"/>
      <c r="AG304" s="127"/>
      <c r="AH304" s="130"/>
      <c r="AI304" s="127"/>
      <c r="AJ304" s="127"/>
      <c r="AK304" s="127"/>
    </row>
    <row r="305" spans="1:37" ht="36" customHeight="1" x14ac:dyDescent="0.25">
      <c r="A305" s="125"/>
      <c r="B305" s="126" t="str">
        <f t="shared" si="8"/>
        <v/>
      </c>
      <c r="C305" s="127"/>
      <c r="D305" s="127"/>
      <c r="E305" s="128"/>
      <c r="F305" s="127"/>
      <c r="G305" s="125"/>
      <c r="H305" s="128"/>
      <c r="I305" s="127"/>
      <c r="J305" s="127"/>
      <c r="K305" s="127"/>
      <c r="L305" s="125"/>
      <c r="M305" s="125"/>
      <c r="N305" s="125"/>
      <c r="O305" s="127"/>
      <c r="P305" s="127"/>
      <c r="Q305" s="127"/>
      <c r="R305" s="127"/>
      <c r="S305" s="127"/>
      <c r="T305" s="127"/>
      <c r="U305" s="127"/>
      <c r="V305" s="128"/>
      <c r="W305" s="128"/>
      <c r="X305" s="129" t="str">
        <f t="shared" si="9"/>
        <v/>
      </c>
      <c r="Y305" s="127"/>
      <c r="Z305" s="128"/>
      <c r="AA305" s="130"/>
      <c r="AB305" s="130"/>
      <c r="AC305" s="130"/>
      <c r="AD305" s="130"/>
      <c r="AE305" s="130"/>
      <c r="AF305" s="130"/>
      <c r="AG305" s="127"/>
      <c r="AH305" s="130"/>
      <c r="AI305" s="127"/>
      <c r="AJ305" s="127"/>
      <c r="AK305" s="127"/>
    </row>
    <row r="306" spans="1:37" ht="36" customHeight="1" x14ac:dyDescent="0.25">
      <c r="A306" s="125"/>
      <c r="B306" s="126" t="str">
        <f t="shared" si="8"/>
        <v/>
      </c>
      <c r="C306" s="127"/>
      <c r="D306" s="127"/>
      <c r="E306" s="128"/>
      <c r="F306" s="127"/>
      <c r="G306" s="125"/>
      <c r="H306" s="128"/>
      <c r="I306" s="127"/>
      <c r="J306" s="127"/>
      <c r="K306" s="127"/>
      <c r="L306" s="125"/>
      <c r="M306" s="125"/>
      <c r="N306" s="125"/>
      <c r="O306" s="127"/>
      <c r="P306" s="127"/>
      <c r="Q306" s="127"/>
      <c r="R306" s="127"/>
      <c r="S306" s="127"/>
      <c r="T306" s="127"/>
      <c r="U306" s="127"/>
      <c r="V306" s="128"/>
      <c r="W306" s="128"/>
      <c r="X306" s="129" t="str">
        <f t="shared" si="9"/>
        <v/>
      </c>
      <c r="Y306" s="127"/>
      <c r="Z306" s="128"/>
      <c r="AA306" s="130"/>
      <c r="AB306" s="130"/>
      <c r="AC306" s="130"/>
      <c r="AD306" s="130"/>
      <c r="AE306" s="130"/>
      <c r="AF306" s="130"/>
      <c r="AG306" s="127"/>
      <c r="AH306" s="130"/>
      <c r="AI306" s="127"/>
      <c r="AJ306" s="127"/>
      <c r="AK306" s="127"/>
    </row>
    <row r="307" spans="1:37" ht="36" customHeight="1" x14ac:dyDescent="0.25">
      <c r="A307" s="125"/>
      <c r="B307" s="126" t="str">
        <f t="shared" si="8"/>
        <v/>
      </c>
      <c r="C307" s="127"/>
      <c r="D307" s="127"/>
      <c r="E307" s="128"/>
      <c r="F307" s="127"/>
      <c r="G307" s="125"/>
      <c r="H307" s="128"/>
      <c r="I307" s="127"/>
      <c r="J307" s="127"/>
      <c r="K307" s="127"/>
      <c r="L307" s="125"/>
      <c r="M307" s="125"/>
      <c r="N307" s="125"/>
      <c r="O307" s="127"/>
      <c r="P307" s="127"/>
      <c r="Q307" s="127"/>
      <c r="R307" s="127"/>
      <c r="S307" s="127"/>
      <c r="T307" s="127"/>
      <c r="U307" s="127"/>
      <c r="V307" s="128"/>
      <c r="W307" s="128"/>
      <c r="X307" s="129" t="str">
        <f t="shared" si="9"/>
        <v/>
      </c>
      <c r="Y307" s="127"/>
      <c r="Z307" s="128"/>
      <c r="AA307" s="130"/>
      <c r="AB307" s="130"/>
      <c r="AC307" s="130"/>
      <c r="AD307" s="130"/>
      <c r="AE307" s="130"/>
      <c r="AF307" s="130"/>
      <c r="AG307" s="127"/>
      <c r="AH307" s="130"/>
      <c r="AI307" s="127"/>
      <c r="AJ307" s="127"/>
      <c r="AK307" s="127"/>
    </row>
    <row r="308" spans="1:37" ht="36" customHeight="1" x14ac:dyDescent="0.25">
      <c r="A308" s="125"/>
      <c r="B308" s="126" t="str">
        <f t="shared" si="8"/>
        <v/>
      </c>
      <c r="C308" s="127"/>
      <c r="D308" s="127"/>
      <c r="E308" s="128"/>
      <c r="F308" s="127"/>
      <c r="G308" s="125"/>
      <c r="H308" s="128"/>
      <c r="I308" s="127"/>
      <c r="J308" s="127"/>
      <c r="K308" s="127"/>
      <c r="L308" s="125"/>
      <c r="M308" s="125"/>
      <c r="N308" s="125"/>
      <c r="O308" s="127"/>
      <c r="P308" s="127"/>
      <c r="Q308" s="127"/>
      <c r="R308" s="127"/>
      <c r="S308" s="127"/>
      <c r="T308" s="127"/>
      <c r="U308" s="127"/>
      <c r="V308" s="128"/>
      <c r="W308" s="128"/>
      <c r="X308" s="129" t="str">
        <f t="shared" si="9"/>
        <v/>
      </c>
      <c r="Y308" s="127"/>
      <c r="Z308" s="128"/>
      <c r="AA308" s="130"/>
      <c r="AB308" s="130"/>
      <c r="AC308" s="130"/>
      <c r="AD308" s="130"/>
      <c r="AE308" s="130"/>
      <c r="AF308" s="130"/>
      <c r="AG308" s="127"/>
      <c r="AH308" s="130"/>
      <c r="AI308" s="127"/>
      <c r="AJ308" s="127"/>
      <c r="AK308" s="127"/>
    </row>
    <row r="309" spans="1:37" ht="36" customHeight="1" x14ac:dyDescent="0.25">
      <c r="A309" s="125"/>
      <c r="B309" s="126" t="str">
        <f t="shared" si="8"/>
        <v/>
      </c>
      <c r="C309" s="127"/>
      <c r="D309" s="127"/>
      <c r="E309" s="128"/>
      <c r="F309" s="127"/>
      <c r="G309" s="125"/>
      <c r="H309" s="128"/>
      <c r="I309" s="127"/>
      <c r="J309" s="127"/>
      <c r="K309" s="127"/>
      <c r="L309" s="125"/>
      <c r="M309" s="125"/>
      <c r="N309" s="125"/>
      <c r="O309" s="127"/>
      <c r="P309" s="127"/>
      <c r="Q309" s="127"/>
      <c r="R309" s="127"/>
      <c r="S309" s="127"/>
      <c r="T309" s="127"/>
      <c r="U309" s="127"/>
      <c r="V309" s="128"/>
      <c r="W309" s="128"/>
      <c r="X309" s="129" t="str">
        <f t="shared" si="9"/>
        <v/>
      </c>
      <c r="Y309" s="127"/>
      <c r="Z309" s="128"/>
      <c r="AA309" s="130"/>
      <c r="AB309" s="130"/>
      <c r="AC309" s="130"/>
      <c r="AD309" s="130"/>
      <c r="AE309" s="130"/>
      <c r="AF309" s="130"/>
      <c r="AG309" s="127"/>
      <c r="AH309" s="130"/>
      <c r="AI309" s="127"/>
      <c r="AJ309" s="127"/>
      <c r="AK309" s="127"/>
    </row>
    <row r="310" spans="1:37" ht="36" customHeight="1" x14ac:dyDescent="0.25">
      <c r="A310" s="125"/>
      <c r="B310" s="126" t="str">
        <f t="shared" si="8"/>
        <v/>
      </c>
      <c r="C310" s="127"/>
      <c r="D310" s="127"/>
      <c r="E310" s="128"/>
      <c r="F310" s="127"/>
      <c r="G310" s="125"/>
      <c r="H310" s="128"/>
      <c r="I310" s="127"/>
      <c r="J310" s="127"/>
      <c r="K310" s="127"/>
      <c r="L310" s="125"/>
      <c r="M310" s="125"/>
      <c r="N310" s="125"/>
      <c r="O310" s="127"/>
      <c r="P310" s="127"/>
      <c r="Q310" s="127"/>
      <c r="R310" s="127"/>
      <c r="S310" s="127"/>
      <c r="T310" s="127"/>
      <c r="U310" s="127"/>
      <c r="V310" s="128"/>
      <c r="W310" s="128"/>
      <c r="X310" s="129" t="str">
        <f t="shared" si="9"/>
        <v/>
      </c>
      <c r="Y310" s="127"/>
      <c r="Z310" s="128"/>
      <c r="AA310" s="130"/>
      <c r="AB310" s="130"/>
      <c r="AC310" s="130"/>
      <c r="AD310" s="130"/>
      <c r="AE310" s="130"/>
      <c r="AF310" s="130"/>
      <c r="AG310" s="127"/>
      <c r="AH310" s="130"/>
      <c r="AI310" s="127"/>
      <c r="AJ310" s="127"/>
      <c r="AK310" s="127"/>
    </row>
    <row r="311" spans="1:37" ht="36" customHeight="1" x14ac:dyDescent="0.25">
      <c r="A311" s="125"/>
      <c r="B311" s="126" t="str">
        <f t="shared" si="8"/>
        <v/>
      </c>
      <c r="C311" s="127"/>
      <c r="D311" s="127"/>
      <c r="E311" s="128"/>
      <c r="F311" s="127"/>
      <c r="G311" s="125"/>
      <c r="H311" s="128"/>
      <c r="I311" s="127"/>
      <c r="J311" s="127"/>
      <c r="K311" s="127"/>
      <c r="L311" s="125"/>
      <c r="M311" s="125"/>
      <c r="N311" s="125"/>
      <c r="O311" s="127"/>
      <c r="P311" s="127"/>
      <c r="Q311" s="127"/>
      <c r="R311" s="127"/>
      <c r="S311" s="127"/>
      <c r="T311" s="127"/>
      <c r="U311" s="127"/>
      <c r="V311" s="128"/>
      <c r="W311" s="128"/>
      <c r="X311" s="129" t="str">
        <f t="shared" si="9"/>
        <v/>
      </c>
      <c r="Y311" s="127"/>
      <c r="Z311" s="128"/>
      <c r="AA311" s="130"/>
      <c r="AB311" s="130"/>
      <c r="AC311" s="130"/>
      <c r="AD311" s="130"/>
      <c r="AE311" s="130"/>
      <c r="AF311" s="130"/>
      <c r="AG311" s="127"/>
      <c r="AH311" s="130"/>
      <c r="AI311" s="127"/>
      <c r="AJ311" s="127"/>
      <c r="AK311" s="127"/>
    </row>
    <row r="312" spans="1:37" ht="36" customHeight="1" x14ac:dyDescent="0.25">
      <c r="A312" s="125"/>
      <c r="B312" s="126" t="str">
        <f t="shared" si="8"/>
        <v/>
      </c>
      <c r="C312" s="127"/>
      <c r="D312" s="127"/>
      <c r="E312" s="128"/>
      <c r="F312" s="127"/>
      <c r="G312" s="125"/>
      <c r="H312" s="128"/>
      <c r="I312" s="127"/>
      <c r="J312" s="127"/>
      <c r="K312" s="127"/>
      <c r="L312" s="125"/>
      <c r="M312" s="125"/>
      <c r="N312" s="125"/>
      <c r="O312" s="127"/>
      <c r="P312" s="127"/>
      <c r="Q312" s="127"/>
      <c r="R312" s="127"/>
      <c r="S312" s="127"/>
      <c r="T312" s="127"/>
      <c r="U312" s="127"/>
      <c r="V312" s="128"/>
      <c r="W312" s="128"/>
      <c r="X312" s="129" t="str">
        <f t="shared" si="9"/>
        <v/>
      </c>
      <c r="Y312" s="127"/>
      <c r="Z312" s="128"/>
      <c r="AA312" s="130"/>
      <c r="AB312" s="130"/>
      <c r="AC312" s="130"/>
      <c r="AD312" s="130"/>
      <c r="AE312" s="130"/>
      <c r="AF312" s="130"/>
      <c r="AG312" s="127"/>
      <c r="AH312" s="130"/>
      <c r="AI312" s="127"/>
      <c r="AJ312" s="127"/>
      <c r="AK312" s="127"/>
    </row>
    <row r="313" spans="1:37" ht="36" customHeight="1" x14ac:dyDescent="0.25">
      <c r="A313" s="125"/>
      <c r="B313" s="126" t="str">
        <f t="shared" si="8"/>
        <v/>
      </c>
      <c r="C313" s="127"/>
      <c r="D313" s="127"/>
      <c r="E313" s="128"/>
      <c r="F313" s="127"/>
      <c r="G313" s="125"/>
      <c r="H313" s="128"/>
      <c r="I313" s="127"/>
      <c r="J313" s="127"/>
      <c r="K313" s="127"/>
      <c r="L313" s="125"/>
      <c r="M313" s="125"/>
      <c r="N313" s="125"/>
      <c r="O313" s="127"/>
      <c r="P313" s="127"/>
      <c r="Q313" s="127"/>
      <c r="R313" s="127"/>
      <c r="S313" s="127"/>
      <c r="T313" s="127"/>
      <c r="U313" s="127"/>
      <c r="V313" s="128"/>
      <c r="W313" s="128"/>
      <c r="X313" s="129" t="str">
        <f t="shared" si="9"/>
        <v/>
      </c>
      <c r="Y313" s="127"/>
      <c r="Z313" s="128"/>
      <c r="AA313" s="130"/>
      <c r="AB313" s="130"/>
      <c r="AC313" s="130"/>
      <c r="AD313" s="130"/>
      <c r="AE313" s="130"/>
      <c r="AF313" s="130"/>
      <c r="AG313" s="127"/>
      <c r="AH313" s="130"/>
      <c r="AI313" s="127"/>
      <c r="AJ313" s="127"/>
      <c r="AK313" s="127"/>
    </row>
    <row r="314" spans="1:37" ht="36" customHeight="1" x14ac:dyDescent="0.25">
      <c r="A314" s="125"/>
      <c r="B314" s="126" t="str">
        <f t="shared" si="8"/>
        <v/>
      </c>
      <c r="C314" s="127"/>
      <c r="D314" s="127"/>
      <c r="E314" s="128"/>
      <c r="F314" s="127"/>
      <c r="G314" s="125"/>
      <c r="H314" s="128"/>
      <c r="I314" s="127"/>
      <c r="J314" s="127"/>
      <c r="K314" s="127"/>
      <c r="L314" s="125"/>
      <c r="M314" s="125"/>
      <c r="N314" s="125"/>
      <c r="O314" s="127"/>
      <c r="P314" s="127"/>
      <c r="Q314" s="127"/>
      <c r="R314" s="127"/>
      <c r="S314" s="127"/>
      <c r="T314" s="127"/>
      <c r="U314" s="127"/>
      <c r="V314" s="128"/>
      <c r="W314" s="128"/>
      <c r="X314" s="129" t="str">
        <f t="shared" si="9"/>
        <v/>
      </c>
      <c r="Y314" s="127"/>
      <c r="Z314" s="128"/>
      <c r="AA314" s="130"/>
      <c r="AB314" s="130"/>
      <c r="AC314" s="130"/>
      <c r="AD314" s="130"/>
      <c r="AE314" s="130"/>
      <c r="AF314" s="130"/>
      <c r="AG314" s="127"/>
      <c r="AH314" s="130"/>
      <c r="AI314" s="127"/>
      <c r="AJ314" s="127"/>
      <c r="AK314" s="127"/>
    </row>
    <row r="315" spans="1:37" ht="36" customHeight="1" x14ac:dyDescent="0.25">
      <c r="A315" s="125"/>
      <c r="B315" s="126" t="str">
        <f t="shared" si="8"/>
        <v/>
      </c>
      <c r="C315" s="127"/>
      <c r="D315" s="127"/>
      <c r="E315" s="128"/>
      <c r="F315" s="127"/>
      <c r="G315" s="125"/>
      <c r="H315" s="128"/>
      <c r="I315" s="127"/>
      <c r="J315" s="127"/>
      <c r="K315" s="127"/>
      <c r="L315" s="125"/>
      <c r="M315" s="125"/>
      <c r="N315" s="125"/>
      <c r="O315" s="127"/>
      <c r="P315" s="127"/>
      <c r="Q315" s="127"/>
      <c r="R315" s="127"/>
      <c r="S315" s="127"/>
      <c r="T315" s="127"/>
      <c r="U315" s="127"/>
      <c r="V315" s="128"/>
      <c r="W315" s="128"/>
      <c r="X315" s="129" t="str">
        <f t="shared" si="9"/>
        <v/>
      </c>
      <c r="Y315" s="127"/>
      <c r="Z315" s="128"/>
      <c r="AA315" s="130"/>
      <c r="AB315" s="130"/>
      <c r="AC315" s="130"/>
      <c r="AD315" s="130"/>
      <c r="AE315" s="130"/>
      <c r="AF315" s="130"/>
      <c r="AG315" s="127"/>
      <c r="AH315" s="130"/>
      <c r="AI315" s="127"/>
      <c r="AJ315" s="127"/>
      <c r="AK315" s="127"/>
    </row>
    <row r="316" spans="1:37" ht="36" customHeight="1" x14ac:dyDescent="0.25">
      <c r="A316" s="125"/>
      <c r="B316" s="126" t="str">
        <f t="shared" si="8"/>
        <v/>
      </c>
      <c r="C316" s="127"/>
      <c r="D316" s="127"/>
      <c r="E316" s="128"/>
      <c r="F316" s="127"/>
      <c r="G316" s="125"/>
      <c r="H316" s="128"/>
      <c r="I316" s="127"/>
      <c r="J316" s="127"/>
      <c r="K316" s="127"/>
      <c r="L316" s="125"/>
      <c r="M316" s="125"/>
      <c r="N316" s="125"/>
      <c r="O316" s="127"/>
      <c r="P316" s="127"/>
      <c r="Q316" s="127"/>
      <c r="R316" s="127"/>
      <c r="S316" s="127"/>
      <c r="T316" s="127"/>
      <c r="U316" s="127"/>
      <c r="V316" s="128"/>
      <c r="W316" s="128"/>
      <c r="X316" s="129" t="str">
        <f t="shared" si="9"/>
        <v/>
      </c>
      <c r="Y316" s="127"/>
      <c r="Z316" s="128"/>
      <c r="AA316" s="130"/>
      <c r="AB316" s="130"/>
      <c r="AC316" s="130"/>
      <c r="AD316" s="130"/>
      <c r="AE316" s="130"/>
      <c r="AF316" s="130"/>
      <c r="AG316" s="127"/>
      <c r="AH316" s="130"/>
      <c r="AI316" s="127"/>
      <c r="AJ316" s="127"/>
      <c r="AK316" s="127"/>
    </row>
    <row r="317" spans="1:37" ht="36" customHeight="1" x14ac:dyDescent="0.25">
      <c r="A317" s="125"/>
      <c r="B317" s="126" t="str">
        <f t="shared" si="8"/>
        <v/>
      </c>
      <c r="C317" s="127"/>
      <c r="D317" s="127"/>
      <c r="E317" s="128"/>
      <c r="F317" s="127"/>
      <c r="G317" s="125"/>
      <c r="H317" s="128"/>
      <c r="I317" s="127"/>
      <c r="J317" s="127"/>
      <c r="K317" s="127"/>
      <c r="L317" s="125"/>
      <c r="M317" s="125"/>
      <c r="N317" s="125"/>
      <c r="O317" s="127"/>
      <c r="P317" s="127"/>
      <c r="Q317" s="127"/>
      <c r="R317" s="127"/>
      <c r="S317" s="127"/>
      <c r="T317" s="127"/>
      <c r="U317" s="127"/>
      <c r="V317" s="128"/>
      <c r="W317" s="128"/>
      <c r="X317" s="129" t="str">
        <f t="shared" si="9"/>
        <v/>
      </c>
      <c r="Y317" s="127"/>
      <c r="Z317" s="128"/>
      <c r="AA317" s="130"/>
      <c r="AB317" s="130"/>
      <c r="AC317" s="130"/>
      <c r="AD317" s="130"/>
      <c r="AE317" s="130"/>
      <c r="AF317" s="130"/>
      <c r="AG317" s="127"/>
      <c r="AH317" s="130"/>
      <c r="AI317" s="127"/>
      <c r="AJ317" s="127"/>
      <c r="AK317" s="127"/>
    </row>
    <row r="318" spans="1:37" ht="36" customHeight="1" x14ac:dyDescent="0.25">
      <c r="A318" s="125"/>
      <c r="B318" s="126" t="str">
        <f t="shared" si="8"/>
        <v/>
      </c>
      <c r="C318" s="127"/>
      <c r="D318" s="127"/>
      <c r="E318" s="128"/>
      <c r="F318" s="127"/>
      <c r="G318" s="125"/>
      <c r="H318" s="128"/>
      <c r="I318" s="127"/>
      <c r="J318" s="127"/>
      <c r="K318" s="127"/>
      <c r="L318" s="125"/>
      <c r="M318" s="125"/>
      <c r="N318" s="125"/>
      <c r="O318" s="127"/>
      <c r="P318" s="127"/>
      <c r="Q318" s="127"/>
      <c r="R318" s="127"/>
      <c r="S318" s="127"/>
      <c r="T318" s="127"/>
      <c r="U318" s="127"/>
      <c r="V318" s="128"/>
      <c r="W318" s="128"/>
      <c r="X318" s="129" t="str">
        <f t="shared" si="9"/>
        <v/>
      </c>
      <c r="Y318" s="127"/>
      <c r="Z318" s="128"/>
      <c r="AA318" s="130"/>
      <c r="AB318" s="130"/>
      <c r="AC318" s="130"/>
      <c r="AD318" s="130"/>
      <c r="AE318" s="130"/>
      <c r="AF318" s="130"/>
      <c r="AG318" s="127"/>
      <c r="AH318" s="130"/>
      <c r="AI318" s="127"/>
      <c r="AJ318" s="127"/>
      <c r="AK318" s="127"/>
    </row>
    <row r="319" spans="1:37" ht="36" customHeight="1" x14ac:dyDescent="0.25">
      <c r="A319" s="125"/>
      <c r="B319" s="126" t="str">
        <f t="shared" si="8"/>
        <v/>
      </c>
      <c r="C319" s="127"/>
      <c r="D319" s="127"/>
      <c r="E319" s="128"/>
      <c r="F319" s="127"/>
      <c r="G319" s="125"/>
      <c r="H319" s="128"/>
      <c r="I319" s="127"/>
      <c r="J319" s="127"/>
      <c r="K319" s="127"/>
      <c r="L319" s="125"/>
      <c r="M319" s="125"/>
      <c r="N319" s="125"/>
      <c r="O319" s="127"/>
      <c r="P319" s="127"/>
      <c r="Q319" s="127"/>
      <c r="R319" s="127"/>
      <c r="S319" s="127"/>
      <c r="T319" s="127"/>
      <c r="U319" s="127"/>
      <c r="V319" s="128"/>
      <c r="W319" s="128"/>
      <c r="X319" s="129" t="str">
        <f t="shared" si="9"/>
        <v/>
      </c>
      <c r="Y319" s="127"/>
      <c r="Z319" s="128"/>
      <c r="AA319" s="130"/>
      <c r="AB319" s="130"/>
      <c r="AC319" s="130"/>
      <c r="AD319" s="130"/>
      <c r="AE319" s="130"/>
      <c r="AF319" s="130"/>
      <c r="AG319" s="127"/>
      <c r="AH319" s="130"/>
      <c r="AI319" s="127"/>
      <c r="AJ319" s="127"/>
      <c r="AK319" s="127"/>
    </row>
    <row r="320" spans="1:37" ht="36" customHeight="1" x14ac:dyDescent="0.25">
      <c r="A320" s="125"/>
      <c r="B320" s="126" t="str">
        <f t="shared" si="8"/>
        <v/>
      </c>
      <c r="C320" s="127"/>
      <c r="D320" s="127"/>
      <c r="E320" s="128"/>
      <c r="F320" s="127"/>
      <c r="G320" s="125"/>
      <c r="H320" s="128"/>
      <c r="I320" s="127"/>
      <c r="J320" s="127"/>
      <c r="K320" s="127"/>
      <c r="L320" s="125"/>
      <c r="M320" s="125"/>
      <c r="N320" s="125"/>
      <c r="O320" s="127"/>
      <c r="P320" s="127"/>
      <c r="Q320" s="127"/>
      <c r="R320" s="127"/>
      <c r="S320" s="127"/>
      <c r="T320" s="127"/>
      <c r="U320" s="127"/>
      <c r="V320" s="128"/>
      <c r="W320" s="128"/>
      <c r="X320" s="129" t="str">
        <f t="shared" si="9"/>
        <v/>
      </c>
      <c r="Y320" s="127"/>
      <c r="Z320" s="128"/>
      <c r="AA320" s="130"/>
      <c r="AB320" s="130"/>
      <c r="AC320" s="130"/>
      <c r="AD320" s="130"/>
      <c r="AE320" s="130"/>
      <c r="AF320" s="130"/>
      <c r="AG320" s="127"/>
      <c r="AH320" s="130"/>
      <c r="AI320" s="127"/>
      <c r="AJ320" s="127"/>
      <c r="AK320" s="127"/>
    </row>
    <row r="321" spans="1:37" ht="36" customHeight="1" x14ac:dyDescent="0.25">
      <c r="A321" s="125"/>
      <c r="B321" s="126" t="str">
        <f t="shared" si="8"/>
        <v/>
      </c>
      <c r="C321" s="127"/>
      <c r="D321" s="127"/>
      <c r="E321" s="128"/>
      <c r="F321" s="127"/>
      <c r="G321" s="125"/>
      <c r="H321" s="128"/>
      <c r="I321" s="127"/>
      <c r="J321" s="127"/>
      <c r="K321" s="127"/>
      <c r="L321" s="125"/>
      <c r="M321" s="125"/>
      <c r="N321" s="125"/>
      <c r="O321" s="127"/>
      <c r="P321" s="127"/>
      <c r="Q321" s="127"/>
      <c r="R321" s="127"/>
      <c r="S321" s="127"/>
      <c r="T321" s="127"/>
      <c r="U321" s="127"/>
      <c r="V321" s="128"/>
      <c r="W321" s="128"/>
      <c r="X321" s="129" t="str">
        <f t="shared" si="9"/>
        <v/>
      </c>
      <c r="Y321" s="127"/>
      <c r="Z321" s="128"/>
      <c r="AA321" s="130"/>
      <c r="AB321" s="130"/>
      <c r="AC321" s="130"/>
      <c r="AD321" s="130"/>
      <c r="AE321" s="130"/>
      <c r="AF321" s="130"/>
      <c r="AG321" s="127"/>
      <c r="AH321" s="130"/>
      <c r="AI321" s="127"/>
      <c r="AJ321" s="127"/>
      <c r="AK321" s="127"/>
    </row>
    <row r="322" spans="1:37" ht="36" customHeight="1" x14ac:dyDescent="0.25">
      <c r="A322" s="125"/>
      <c r="B322" s="126" t="str">
        <f t="shared" si="8"/>
        <v/>
      </c>
      <c r="C322" s="127"/>
      <c r="D322" s="127"/>
      <c r="E322" s="128"/>
      <c r="F322" s="127"/>
      <c r="G322" s="125"/>
      <c r="H322" s="128"/>
      <c r="I322" s="127"/>
      <c r="J322" s="127"/>
      <c r="K322" s="127"/>
      <c r="L322" s="125"/>
      <c r="M322" s="125"/>
      <c r="N322" s="125"/>
      <c r="O322" s="127"/>
      <c r="P322" s="127"/>
      <c r="Q322" s="127"/>
      <c r="R322" s="127"/>
      <c r="S322" s="127"/>
      <c r="T322" s="127"/>
      <c r="U322" s="127"/>
      <c r="V322" s="128"/>
      <c r="W322" s="128"/>
      <c r="X322" s="129" t="str">
        <f t="shared" si="9"/>
        <v/>
      </c>
      <c r="Y322" s="127"/>
      <c r="Z322" s="128"/>
      <c r="AA322" s="130"/>
      <c r="AB322" s="130"/>
      <c r="AC322" s="130"/>
      <c r="AD322" s="130"/>
      <c r="AE322" s="130"/>
      <c r="AF322" s="130"/>
      <c r="AG322" s="127"/>
      <c r="AH322" s="130"/>
      <c r="AI322" s="127"/>
      <c r="AJ322" s="127"/>
      <c r="AK322" s="127"/>
    </row>
    <row r="323" spans="1:37" ht="36" customHeight="1" x14ac:dyDescent="0.25">
      <c r="A323" s="125"/>
      <c r="B323" s="126" t="str">
        <f t="shared" si="8"/>
        <v/>
      </c>
      <c r="C323" s="127"/>
      <c r="D323" s="127"/>
      <c r="E323" s="128"/>
      <c r="F323" s="127"/>
      <c r="G323" s="125"/>
      <c r="H323" s="128"/>
      <c r="I323" s="127"/>
      <c r="J323" s="127"/>
      <c r="K323" s="127"/>
      <c r="L323" s="125"/>
      <c r="M323" s="125"/>
      <c r="N323" s="125"/>
      <c r="O323" s="127"/>
      <c r="P323" s="127"/>
      <c r="Q323" s="127"/>
      <c r="R323" s="127"/>
      <c r="S323" s="127"/>
      <c r="T323" s="127"/>
      <c r="U323" s="127"/>
      <c r="V323" s="128"/>
      <c r="W323" s="128"/>
      <c r="X323" s="129" t="str">
        <f t="shared" si="9"/>
        <v/>
      </c>
      <c r="Y323" s="127"/>
      <c r="Z323" s="128"/>
      <c r="AA323" s="130"/>
      <c r="AB323" s="130"/>
      <c r="AC323" s="130"/>
      <c r="AD323" s="130"/>
      <c r="AE323" s="130"/>
      <c r="AF323" s="130"/>
      <c r="AG323" s="127"/>
      <c r="AH323" s="130"/>
      <c r="AI323" s="127"/>
      <c r="AJ323" s="127"/>
      <c r="AK323" s="127"/>
    </row>
    <row r="324" spans="1:37" ht="36" customHeight="1" x14ac:dyDescent="0.25">
      <c r="A324" s="125"/>
      <c r="B324" s="126" t="str">
        <f t="shared" si="8"/>
        <v/>
      </c>
      <c r="C324" s="127"/>
      <c r="D324" s="127"/>
      <c r="E324" s="128"/>
      <c r="F324" s="127"/>
      <c r="G324" s="125"/>
      <c r="H324" s="128"/>
      <c r="I324" s="127"/>
      <c r="J324" s="127"/>
      <c r="K324" s="127"/>
      <c r="L324" s="125"/>
      <c r="M324" s="125"/>
      <c r="N324" s="125"/>
      <c r="O324" s="127"/>
      <c r="P324" s="127"/>
      <c r="Q324" s="127"/>
      <c r="R324" s="127"/>
      <c r="S324" s="127"/>
      <c r="T324" s="127"/>
      <c r="U324" s="127"/>
      <c r="V324" s="128"/>
      <c r="W324" s="128"/>
      <c r="X324" s="129" t="str">
        <f t="shared" si="9"/>
        <v/>
      </c>
      <c r="Y324" s="127"/>
      <c r="Z324" s="128"/>
      <c r="AA324" s="130"/>
      <c r="AB324" s="130"/>
      <c r="AC324" s="130"/>
      <c r="AD324" s="130"/>
      <c r="AE324" s="130"/>
      <c r="AF324" s="130"/>
      <c r="AG324" s="127"/>
      <c r="AH324" s="130"/>
      <c r="AI324" s="127"/>
      <c r="AJ324" s="127"/>
      <c r="AK324" s="127"/>
    </row>
    <row r="325" spans="1:37" ht="36" customHeight="1" x14ac:dyDescent="0.25">
      <c r="A325" s="125"/>
      <c r="B325" s="126" t="str">
        <f t="shared" si="8"/>
        <v/>
      </c>
      <c r="C325" s="127"/>
      <c r="D325" s="127"/>
      <c r="E325" s="128"/>
      <c r="F325" s="127"/>
      <c r="G325" s="125"/>
      <c r="H325" s="128"/>
      <c r="I325" s="127"/>
      <c r="J325" s="127"/>
      <c r="K325" s="127"/>
      <c r="L325" s="125"/>
      <c r="M325" s="125"/>
      <c r="N325" s="125"/>
      <c r="O325" s="127"/>
      <c r="P325" s="127"/>
      <c r="Q325" s="127"/>
      <c r="R325" s="127"/>
      <c r="S325" s="127"/>
      <c r="T325" s="127"/>
      <c r="U325" s="127"/>
      <c r="V325" s="128"/>
      <c r="W325" s="128"/>
      <c r="X325" s="129" t="str">
        <f t="shared" si="9"/>
        <v/>
      </c>
      <c r="Y325" s="127"/>
      <c r="Z325" s="128"/>
      <c r="AA325" s="130"/>
      <c r="AB325" s="130"/>
      <c r="AC325" s="130"/>
      <c r="AD325" s="130"/>
      <c r="AE325" s="130"/>
      <c r="AF325" s="130"/>
      <c r="AG325" s="127"/>
      <c r="AH325" s="130"/>
      <c r="AI325" s="127"/>
      <c r="AJ325" s="127"/>
      <c r="AK325" s="127"/>
    </row>
    <row r="326" spans="1:37" ht="36" customHeight="1" x14ac:dyDescent="0.25">
      <c r="A326" s="125"/>
      <c r="B326" s="126" t="str">
        <f t="shared" si="8"/>
        <v/>
      </c>
      <c r="C326" s="127"/>
      <c r="D326" s="127"/>
      <c r="E326" s="128"/>
      <c r="F326" s="127"/>
      <c r="G326" s="125"/>
      <c r="H326" s="128"/>
      <c r="I326" s="127"/>
      <c r="J326" s="127"/>
      <c r="K326" s="127"/>
      <c r="L326" s="125"/>
      <c r="M326" s="125"/>
      <c r="N326" s="125"/>
      <c r="O326" s="127"/>
      <c r="P326" s="127"/>
      <c r="Q326" s="127"/>
      <c r="R326" s="127"/>
      <c r="S326" s="127"/>
      <c r="T326" s="127"/>
      <c r="U326" s="127"/>
      <c r="V326" s="128"/>
      <c r="W326" s="128"/>
      <c r="X326" s="129" t="str">
        <f t="shared" si="9"/>
        <v/>
      </c>
      <c r="Y326" s="127"/>
      <c r="Z326" s="128"/>
      <c r="AA326" s="130"/>
      <c r="AB326" s="130"/>
      <c r="AC326" s="130"/>
      <c r="AD326" s="130"/>
      <c r="AE326" s="130"/>
      <c r="AF326" s="130"/>
      <c r="AG326" s="127"/>
      <c r="AH326" s="130"/>
      <c r="AI326" s="127"/>
      <c r="AJ326" s="127"/>
      <c r="AK326" s="127"/>
    </row>
    <row r="327" spans="1:37" ht="36" customHeight="1" x14ac:dyDescent="0.25">
      <c r="A327" s="125"/>
      <c r="B327" s="126" t="str">
        <f t="shared" si="8"/>
        <v/>
      </c>
      <c r="C327" s="127"/>
      <c r="D327" s="127"/>
      <c r="E327" s="128"/>
      <c r="F327" s="127"/>
      <c r="G327" s="125"/>
      <c r="H327" s="128"/>
      <c r="I327" s="127"/>
      <c r="J327" s="127"/>
      <c r="K327" s="127"/>
      <c r="L327" s="125"/>
      <c r="M327" s="125"/>
      <c r="N327" s="125"/>
      <c r="O327" s="127"/>
      <c r="P327" s="127"/>
      <c r="Q327" s="127"/>
      <c r="R327" s="127"/>
      <c r="S327" s="127"/>
      <c r="T327" s="127"/>
      <c r="U327" s="127"/>
      <c r="V327" s="128"/>
      <c r="W327" s="128"/>
      <c r="X327" s="129" t="str">
        <f t="shared" si="9"/>
        <v/>
      </c>
      <c r="Y327" s="127"/>
      <c r="Z327" s="128"/>
      <c r="AA327" s="130"/>
      <c r="AB327" s="130"/>
      <c r="AC327" s="130"/>
      <c r="AD327" s="130"/>
      <c r="AE327" s="130"/>
      <c r="AF327" s="130"/>
      <c r="AG327" s="127"/>
      <c r="AH327" s="130"/>
      <c r="AI327" s="127"/>
      <c r="AJ327" s="127"/>
      <c r="AK327" s="127"/>
    </row>
    <row r="328" spans="1:37" ht="36" customHeight="1" x14ac:dyDescent="0.25">
      <c r="A328" s="125"/>
      <c r="B328" s="126" t="str">
        <f t="shared" si="8"/>
        <v/>
      </c>
      <c r="C328" s="127"/>
      <c r="D328" s="127"/>
      <c r="E328" s="128"/>
      <c r="F328" s="127"/>
      <c r="G328" s="125"/>
      <c r="H328" s="128"/>
      <c r="I328" s="127"/>
      <c r="J328" s="127"/>
      <c r="K328" s="127"/>
      <c r="L328" s="125"/>
      <c r="M328" s="125"/>
      <c r="N328" s="125"/>
      <c r="O328" s="127"/>
      <c r="P328" s="127"/>
      <c r="Q328" s="127"/>
      <c r="R328" s="127"/>
      <c r="S328" s="127"/>
      <c r="T328" s="127"/>
      <c r="U328" s="127"/>
      <c r="V328" s="128"/>
      <c r="W328" s="128"/>
      <c r="X328" s="129" t="str">
        <f t="shared" si="9"/>
        <v/>
      </c>
      <c r="Y328" s="127"/>
      <c r="Z328" s="128"/>
      <c r="AA328" s="130"/>
      <c r="AB328" s="130"/>
      <c r="AC328" s="130"/>
      <c r="AD328" s="130"/>
      <c r="AE328" s="130"/>
      <c r="AF328" s="130"/>
      <c r="AG328" s="127"/>
      <c r="AH328" s="130"/>
      <c r="AI328" s="127"/>
      <c r="AJ328" s="127"/>
      <c r="AK328" s="127"/>
    </row>
    <row r="329" spans="1:37" ht="36" customHeight="1" x14ac:dyDescent="0.25">
      <c r="A329" s="125"/>
      <c r="B329" s="126" t="str">
        <f t="shared" si="8"/>
        <v/>
      </c>
      <c r="C329" s="127"/>
      <c r="D329" s="127"/>
      <c r="E329" s="128"/>
      <c r="F329" s="127"/>
      <c r="G329" s="125"/>
      <c r="H329" s="128"/>
      <c r="I329" s="127"/>
      <c r="J329" s="127"/>
      <c r="K329" s="127"/>
      <c r="L329" s="125"/>
      <c r="M329" s="125"/>
      <c r="N329" s="125"/>
      <c r="O329" s="127"/>
      <c r="P329" s="127"/>
      <c r="Q329" s="127"/>
      <c r="R329" s="127"/>
      <c r="S329" s="127"/>
      <c r="T329" s="127"/>
      <c r="U329" s="127"/>
      <c r="V329" s="128"/>
      <c r="W329" s="128"/>
      <c r="X329" s="129" t="str">
        <f t="shared" si="9"/>
        <v/>
      </c>
      <c r="Y329" s="127"/>
      <c r="Z329" s="128"/>
      <c r="AA329" s="130"/>
      <c r="AB329" s="130"/>
      <c r="AC329" s="130"/>
      <c r="AD329" s="130"/>
      <c r="AE329" s="130"/>
      <c r="AF329" s="130"/>
      <c r="AG329" s="127"/>
      <c r="AH329" s="130"/>
      <c r="AI329" s="127"/>
      <c r="AJ329" s="127"/>
      <c r="AK329" s="127"/>
    </row>
    <row r="330" spans="1:37" ht="36" customHeight="1" x14ac:dyDescent="0.25">
      <c r="A330" s="125"/>
      <c r="B330" s="126" t="str">
        <f t="shared" si="8"/>
        <v/>
      </c>
      <c r="C330" s="127"/>
      <c r="D330" s="127"/>
      <c r="E330" s="128"/>
      <c r="F330" s="127"/>
      <c r="G330" s="125"/>
      <c r="H330" s="128"/>
      <c r="I330" s="127"/>
      <c r="J330" s="127"/>
      <c r="K330" s="127"/>
      <c r="L330" s="125"/>
      <c r="M330" s="125"/>
      <c r="N330" s="125"/>
      <c r="O330" s="127"/>
      <c r="P330" s="127"/>
      <c r="Q330" s="127"/>
      <c r="R330" s="127"/>
      <c r="S330" s="127"/>
      <c r="T330" s="127"/>
      <c r="U330" s="127"/>
      <c r="V330" s="128"/>
      <c r="W330" s="128"/>
      <c r="X330" s="129" t="str">
        <f t="shared" si="9"/>
        <v/>
      </c>
      <c r="Y330" s="127"/>
      <c r="Z330" s="128"/>
      <c r="AA330" s="130"/>
      <c r="AB330" s="130"/>
      <c r="AC330" s="130"/>
      <c r="AD330" s="130"/>
      <c r="AE330" s="130"/>
      <c r="AF330" s="130"/>
      <c r="AG330" s="127"/>
      <c r="AH330" s="130"/>
      <c r="AI330" s="127"/>
      <c r="AJ330" s="127"/>
      <c r="AK330" s="127"/>
    </row>
    <row r="331" spans="1:37" ht="36" customHeight="1" x14ac:dyDescent="0.25">
      <c r="A331" s="125"/>
      <c r="B331" s="126" t="str">
        <f t="shared" si="8"/>
        <v/>
      </c>
      <c r="C331" s="127"/>
      <c r="D331" s="127"/>
      <c r="E331" s="128"/>
      <c r="F331" s="127"/>
      <c r="G331" s="125"/>
      <c r="H331" s="128"/>
      <c r="I331" s="127"/>
      <c r="J331" s="127"/>
      <c r="K331" s="127"/>
      <c r="L331" s="125"/>
      <c r="M331" s="125"/>
      <c r="N331" s="125"/>
      <c r="O331" s="127"/>
      <c r="P331" s="127"/>
      <c r="Q331" s="127"/>
      <c r="R331" s="127"/>
      <c r="S331" s="127"/>
      <c r="T331" s="127"/>
      <c r="U331" s="127"/>
      <c r="V331" s="128"/>
      <c r="W331" s="128"/>
      <c r="X331" s="129" t="str">
        <f t="shared" si="9"/>
        <v/>
      </c>
      <c r="Y331" s="127"/>
      <c r="Z331" s="128"/>
      <c r="AA331" s="130"/>
      <c r="AB331" s="130"/>
      <c r="AC331" s="130"/>
      <c r="AD331" s="130"/>
      <c r="AE331" s="130"/>
      <c r="AF331" s="130"/>
      <c r="AG331" s="127"/>
      <c r="AH331" s="130"/>
      <c r="AI331" s="127"/>
      <c r="AJ331" s="127"/>
      <c r="AK331" s="127"/>
    </row>
    <row r="332" spans="1:37" ht="36" customHeight="1" x14ac:dyDescent="0.25">
      <c r="A332" s="125"/>
      <c r="B332" s="126" t="str">
        <f t="shared" si="8"/>
        <v/>
      </c>
      <c r="C332" s="127"/>
      <c r="D332" s="127"/>
      <c r="E332" s="128"/>
      <c r="F332" s="127"/>
      <c r="G332" s="125"/>
      <c r="H332" s="128"/>
      <c r="I332" s="127"/>
      <c r="J332" s="127"/>
      <c r="K332" s="127"/>
      <c r="L332" s="125"/>
      <c r="M332" s="125"/>
      <c r="N332" s="125"/>
      <c r="O332" s="127"/>
      <c r="P332" s="127"/>
      <c r="Q332" s="127"/>
      <c r="R332" s="127"/>
      <c r="S332" s="127"/>
      <c r="T332" s="127"/>
      <c r="U332" s="127"/>
      <c r="V332" s="128"/>
      <c r="W332" s="128"/>
      <c r="X332" s="129" t="str">
        <f t="shared" si="9"/>
        <v/>
      </c>
      <c r="Y332" s="127"/>
      <c r="Z332" s="128"/>
      <c r="AA332" s="130"/>
      <c r="AB332" s="130"/>
      <c r="AC332" s="130"/>
      <c r="AD332" s="130"/>
      <c r="AE332" s="130"/>
      <c r="AF332" s="130"/>
      <c r="AG332" s="127"/>
      <c r="AH332" s="130"/>
      <c r="AI332" s="127"/>
      <c r="AJ332" s="127"/>
      <c r="AK332" s="127"/>
    </row>
    <row r="333" spans="1:37" ht="36" customHeight="1" x14ac:dyDescent="0.25">
      <c r="A333" s="125"/>
      <c r="B333" s="126" t="str">
        <f t="shared" si="8"/>
        <v/>
      </c>
      <c r="C333" s="127"/>
      <c r="D333" s="127"/>
      <c r="E333" s="128"/>
      <c r="F333" s="127"/>
      <c r="G333" s="125"/>
      <c r="H333" s="128"/>
      <c r="I333" s="127"/>
      <c r="J333" s="127"/>
      <c r="K333" s="127"/>
      <c r="L333" s="125"/>
      <c r="M333" s="125"/>
      <c r="N333" s="125"/>
      <c r="O333" s="127"/>
      <c r="P333" s="127"/>
      <c r="Q333" s="127"/>
      <c r="R333" s="127"/>
      <c r="S333" s="127"/>
      <c r="T333" s="127"/>
      <c r="U333" s="127"/>
      <c r="V333" s="128"/>
      <c r="W333" s="128"/>
      <c r="X333" s="129" t="str">
        <f t="shared" si="9"/>
        <v/>
      </c>
      <c r="Y333" s="127"/>
      <c r="Z333" s="128"/>
      <c r="AA333" s="130"/>
      <c r="AB333" s="130"/>
      <c r="AC333" s="130"/>
      <c r="AD333" s="130"/>
      <c r="AE333" s="130"/>
      <c r="AF333" s="130"/>
      <c r="AG333" s="127"/>
      <c r="AH333" s="130"/>
      <c r="AI333" s="127"/>
      <c r="AJ333" s="127"/>
      <c r="AK333" s="127"/>
    </row>
    <row r="334" spans="1:37" ht="36" customHeight="1" x14ac:dyDescent="0.25">
      <c r="A334" s="125"/>
      <c r="B334" s="126" t="str">
        <f t="shared" ref="B334:B397" si="10">IF($A334="","",TEXT(ROW()-19,"000")&amp;"/"&amp;IF($V334="",2026,YEAR($V334))&amp;"/HĐLĐ-"&amp;$E$8)</f>
        <v/>
      </c>
      <c r="C334" s="127"/>
      <c r="D334" s="127"/>
      <c r="E334" s="128"/>
      <c r="F334" s="127"/>
      <c r="G334" s="125"/>
      <c r="H334" s="128"/>
      <c r="I334" s="127"/>
      <c r="J334" s="127"/>
      <c r="K334" s="127"/>
      <c r="L334" s="125"/>
      <c r="M334" s="125"/>
      <c r="N334" s="125"/>
      <c r="O334" s="127"/>
      <c r="P334" s="127"/>
      <c r="Q334" s="127"/>
      <c r="R334" s="127"/>
      <c r="S334" s="127"/>
      <c r="T334" s="127"/>
      <c r="U334" s="127"/>
      <c r="V334" s="128"/>
      <c r="W334" s="128"/>
      <c r="X334" s="129" t="str">
        <f t="shared" ref="X334:X397" si="11">IF($A334="","",IF($T334="Xác định thời hạn",IF(AND($W334&lt;&gt;"",$U334&lt;&gt;""),EDATE($W334,$U334)-1,""),""))</f>
        <v/>
      </c>
      <c r="Y334" s="127"/>
      <c r="Z334" s="128"/>
      <c r="AA334" s="130"/>
      <c r="AB334" s="130"/>
      <c r="AC334" s="130"/>
      <c r="AD334" s="130"/>
      <c r="AE334" s="130"/>
      <c r="AF334" s="130"/>
      <c r="AG334" s="127"/>
      <c r="AH334" s="130"/>
      <c r="AI334" s="127"/>
      <c r="AJ334" s="127"/>
      <c r="AK334" s="127"/>
    </row>
    <row r="335" spans="1:37" ht="36" customHeight="1" x14ac:dyDescent="0.25">
      <c r="A335" s="125"/>
      <c r="B335" s="126" t="str">
        <f t="shared" si="10"/>
        <v/>
      </c>
      <c r="C335" s="127"/>
      <c r="D335" s="127"/>
      <c r="E335" s="128"/>
      <c r="F335" s="127"/>
      <c r="G335" s="125"/>
      <c r="H335" s="128"/>
      <c r="I335" s="127"/>
      <c r="J335" s="127"/>
      <c r="K335" s="127"/>
      <c r="L335" s="125"/>
      <c r="M335" s="125"/>
      <c r="N335" s="125"/>
      <c r="O335" s="127"/>
      <c r="P335" s="127"/>
      <c r="Q335" s="127"/>
      <c r="R335" s="127"/>
      <c r="S335" s="127"/>
      <c r="T335" s="127"/>
      <c r="U335" s="127"/>
      <c r="V335" s="128"/>
      <c r="W335" s="128"/>
      <c r="X335" s="129" t="str">
        <f t="shared" si="11"/>
        <v/>
      </c>
      <c r="Y335" s="127"/>
      <c r="Z335" s="128"/>
      <c r="AA335" s="130"/>
      <c r="AB335" s="130"/>
      <c r="AC335" s="130"/>
      <c r="AD335" s="130"/>
      <c r="AE335" s="130"/>
      <c r="AF335" s="130"/>
      <c r="AG335" s="127"/>
      <c r="AH335" s="130"/>
      <c r="AI335" s="127"/>
      <c r="AJ335" s="127"/>
      <c r="AK335" s="127"/>
    </row>
    <row r="336" spans="1:37" ht="36" customHeight="1" x14ac:dyDescent="0.25">
      <c r="A336" s="125"/>
      <c r="B336" s="126" t="str">
        <f t="shared" si="10"/>
        <v/>
      </c>
      <c r="C336" s="127"/>
      <c r="D336" s="127"/>
      <c r="E336" s="128"/>
      <c r="F336" s="127"/>
      <c r="G336" s="125"/>
      <c r="H336" s="128"/>
      <c r="I336" s="127"/>
      <c r="J336" s="127"/>
      <c r="K336" s="127"/>
      <c r="L336" s="125"/>
      <c r="M336" s="125"/>
      <c r="N336" s="125"/>
      <c r="O336" s="127"/>
      <c r="P336" s="127"/>
      <c r="Q336" s="127"/>
      <c r="R336" s="127"/>
      <c r="S336" s="127"/>
      <c r="T336" s="127"/>
      <c r="U336" s="127"/>
      <c r="V336" s="128"/>
      <c r="W336" s="128"/>
      <c r="X336" s="129" t="str">
        <f t="shared" si="11"/>
        <v/>
      </c>
      <c r="Y336" s="127"/>
      <c r="Z336" s="128"/>
      <c r="AA336" s="130"/>
      <c r="AB336" s="130"/>
      <c r="AC336" s="130"/>
      <c r="AD336" s="130"/>
      <c r="AE336" s="130"/>
      <c r="AF336" s="130"/>
      <c r="AG336" s="127"/>
      <c r="AH336" s="130"/>
      <c r="AI336" s="127"/>
      <c r="AJ336" s="127"/>
      <c r="AK336" s="127"/>
    </row>
    <row r="337" spans="1:37" ht="36" customHeight="1" x14ac:dyDescent="0.25">
      <c r="A337" s="125"/>
      <c r="B337" s="126" t="str">
        <f t="shared" si="10"/>
        <v/>
      </c>
      <c r="C337" s="127"/>
      <c r="D337" s="127"/>
      <c r="E337" s="128"/>
      <c r="F337" s="127"/>
      <c r="G337" s="125"/>
      <c r="H337" s="128"/>
      <c r="I337" s="127"/>
      <c r="J337" s="127"/>
      <c r="K337" s="127"/>
      <c r="L337" s="125"/>
      <c r="M337" s="125"/>
      <c r="N337" s="125"/>
      <c r="O337" s="127"/>
      <c r="P337" s="127"/>
      <c r="Q337" s="127"/>
      <c r="R337" s="127"/>
      <c r="S337" s="127"/>
      <c r="T337" s="127"/>
      <c r="U337" s="127"/>
      <c r="V337" s="128"/>
      <c r="W337" s="128"/>
      <c r="X337" s="129" t="str">
        <f t="shared" si="11"/>
        <v/>
      </c>
      <c r="Y337" s="127"/>
      <c r="Z337" s="128"/>
      <c r="AA337" s="130"/>
      <c r="AB337" s="130"/>
      <c r="AC337" s="130"/>
      <c r="AD337" s="130"/>
      <c r="AE337" s="130"/>
      <c r="AF337" s="130"/>
      <c r="AG337" s="127"/>
      <c r="AH337" s="130"/>
      <c r="AI337" s="127"/>
      <c r="AJ337" s="127"/>
      <c r="AK337" s="127"/>
    </row>
    <row r="338" spans="1:37" ht="36" customHeight="1" x14ac:dyDescent="0.25">
      <c r="A338" s="125"/>
      <c r="B338" s="126" t="str">
        <f t="shared" si="10"/>
        <v/>
      </c>
      <c r="C338" s="127"/>
      <c r="D338" s="127"/>
      <c r="E338" s="128"/>
      <c r="F338" s="127"/>
      <c r="G338" s="125"/>
      <c r="H338" s="128"/>
      <c r="I338" s="127"/>
      <c r="J338" s="127"/>
      <c r="K338" s="127"/>
      <c r="L338" s="125"/>
      <c r="M338" s="125"/>
      <c r="N338" s="125"/>
      <c r="O338" s="127"/>
      <c r="P338" s="127"/>
      <c r="Q338" s="127"/>
      <c r="R338" s="127"/>
      <c r="S338" s="127"/>
      <c r="T338" s="127"/>
      <c r="U338" s="127"/>
      <c r="V338" s="128"/>
      <c r="W338" s="128"/>
      <c r="X338" s="129" t="str">
        <f t="shared" si="11"/>
        <v/>
      </c>
      <c r="Y338" s="127"/>
      <c r="Z338" s="128"/>
      <c r="AA338" s="130"/>
      <c r="AB338" s="130"/>
      <c r="AC338" s="130"/>
      <c r="AD338" s="130"/>
      <c r="AE338" s="130"/>
      <c r="AF338" s="130"/>
      <c r="AG338" s="127"/>
      <c r="AH338" s="130"/>
      <c r="AI338" s="127"/>
      <c r="AJ338" s="127"/>
      <c r="AK338" s="127"/>
    </row>
    <row r="339" spans="1:37" ht="36" customHeight="1" x14ac:dyDescent="0.25">
      <c r="A339" s="125"/>
      <c r="B339" s="126" t="str">
        <f t="shared" si="10"/>
        <v/>
      </c>
      <c r="C339" s="127"/>
      <c r="D339" s="127"/>
      <c r="E339" s="128"/>
      <c r="F339" s="127"/>
      <c r="G339" s="125"/>
      <c r="H339" s="128"/>
      <c r="I339" s="127"/>
      <c r="J339" s="127"/>
      <c r="K339" s="127"/>
      <c r="L339" s="125"/>
      <c r="M339" s="125"/>
      <c r="N339" s="125"/>
      <c r="O339" s="127"/>
      <c r="P339" s="127"/>
      <c r="Q339" s="127"/>
      <c r="R339" s="127"/>
      <c r="S339" s="127"/>
      <c r="T339" s="127"/>
      <c r="U339" s="127"/>
      <c r="V339" s="128"/>
      <c r="W339" s="128"/>
      <c r="X339" s="129" t="str">
        <f t="shared" si="11"/>
        <v/>
      </c>
      <c r="Y339" s="127"/>
      <c r="Z339" s="128"/>
      <c r="AA339" s="130"/>
      <c r="AB339" s="130"/>
      <c r="AC339" s="130"/>
      <c r="AD339" s="130"/>
      <c r="AE339" s="130"/>
      <c r="AF339" s="130"/>
      <c r="AG339" s="127"/>
      <c r="AH339" s="130"/>
      <c r="AI339" s="127"/>
      <c r="AJ339" s="127"/>
      <c r="AK339" s="127"/>
    </row>
    <row r="340" spans="1:37" ht="36" customHeight="1" x14ac:dyDescent="0.25">
      <c r="A340" s="125"/>
      <c r="B340" s="126" t="str">
        <f t="shared" si="10"/>
        <v/>
      </c>
      <c r="C340" s="127"/>
      <c r="D340" s="127"/>
      <c r="E340" s="128"/>
      <c r="F340" s="127"/>
      <c r="G340" s="125"/>
      <c r="H340" s="128"/>
      <c r="I340" s="127"/>
      <c r="J340" s="127"/>
      <c r="K340" s="127"/>
      <c r="L340" s="125"/>
      <c r="M340" s="125"/>
      <c r="N340" s="125"/>
      <c r="O340" s="127"/>
      <c r="P340" s="127"/>
      <c r="Q340" s="127"/>
      <c r="R340" s="127"/>
      <c r="S340" s="127"/>
      <c r="T340" s="127"/>
      <c r="U340" s="127"/>
      <c r="V340" s="128"/>
      <c r="W340" s="128"/>
      <c r="X340" s="129" t="str">
        <f t="shared" si="11"/>
        <v/>
      </c>
      <c r="Y340" s="127"/>
      <c r="Z340" s="128"/>
      <c r="AA340" s="130"/>
      <c r="AB340" s="130"/>
      <c r="AC340" s="130"/>
      <c r="AD340" s="130"/>
      <c r="AE340" s="130"/>
      <c r="AF340" s="130"/>
      <c r="AG340" s="127"/>
      <c r="AH340" s="130"/>
      <c r="AI340" s="127"/>
      <c r="AJ340" s="127"/>
      <c r="AK340" s="127"/>
    </row>
    <row r="341" spans="1:37" ht="36" customHeight="1" x14ac:dyDescent="0.25">
      <c r="A341" s="125"/>
      <c r="B341" s="126" t="str">
        <f t="shared" si="10"/>
        <v/>
      </c>
      <c r="C341" s="127"/>
      <c r="D341" s="127"/>
      <c r="E341" s="128"/>
      <c r="F341" s="127"/>
      <c r="G341" s="125"/>
      <c r="H341" s="128"/>
      <c r="I341" s="127"/>
      <c r="J341" s="127"/>
      <c r="K341" s="127"/>
      <c r="L341" s="125"/>
      <c r="M341" s="125"/>
      <c r="N341" s="125"/>
      <c r="O341" s="127"/>
      <c r="P341" s="127"/>
      <c r="Q341" s="127"/>
      <c r="R341" s="127"/>
      <c r="S341" s="127"/>
      <c r="T341" s="127"/>
      <c r="U341" s="127"/>
      <c r="V341" s="128"/>
      <c r="W341" s="128"/>
      <c r="X341" s="129" t="str">
        <f t="shared" si="11"/>
        <v/>
      </c>
      <c r="Y341" s="127"/>
      <c r="Z341" s="128"/>
      <c r="AA341" s="130"/>
      <c r="AB341" s="130"/>
      <c r="AC341" s="130"/>
      <c r="AD341" s="130"/>
      <c r="AE341" s="130"/>
      <c r="AF341" s="130"/>
      <c r="AG341" s="127"/>
      <c r="AH341" s="130"/>
      <c r="AI341" s="127"/>
      <c r="AJ341" s="127"/>
      <c r="AK341" s="127"/>
    </row>
    <row r="342" spans="1:37" ht="36" customHeight="1" x14ac:dyDescent="0.25">
      <c r="A342" s="125"/>
      <c r="B342" s="126" t="str">
        <f t="shared" si="10"/>
        <v/>
      </c>
      <c r="C342" s="127"/>
      <c r="D342" s="127"/>
      <c r="E342" s="128"/>
      <c r="F342" s="127"/>
      <c r="G342" s="125"/>
      <c r="H342" s="128"/>
      <c r="I342" s="127"/>
      <c r="J342" s="127"/>
      <c r="K342" s="127"/>
      <c r="L342" s="125"/>
      <c r="M342" s="125"/>
      <c r="N342" s="125"/>
      <c r="O342" s="127"/>
      <c r="P342" s="127"/>
      <c r="Q342" s="127"/>
      <c r="R342" s="127"/>
      <c r="S342" s="127"/>
      <c r="T342" s="127"/>
      <c r="U342" s="127"/>
      <c r="V342" s="128"/>
      <c r="W342" s="128"/>
      <c r="X342" s="129" t="str">
        <f t="shared" si="11"/>
        <v/>
      </c>
      <c r="Y342" s="127"/>
      <c r="Z342" s="128"/>
      <c r="AA342" s="130"/>
      <c r="AB342" s="130"/>
      <c r="AC342" s="130"/>
      <c r="AD342" s="130"/>
      <c r="AE342" s="130"/>
      <c r="AF342" s="130"/>
      <c r="AG342" s="127"/>
      <c r="AH342" s="130"/>
      <c r="AI342" s="127"/>
      <c r="AJ342" s="127"/>
      <c r="AK342" s="127"/>
    </row>
    <row r="343" spans="1:37" ht="36" customHeight="1" x14ac:dyDescent="0.25">
      <c r="A343" s="125"/>
      <c r="B343" s="126" t="str">
        <f t="shared" si="10"/>
        <v/>
      </c>
      <c r="C343" s="127"/>
      <c r="D343" s="127"/>
      <c r="E343" s="128"/>
      <c r="F343" s="127"/>
      <c r="G343" s="125"/>
      <c r="H343" s="128"/>
      <c r="I343" s="127"/>
      <c r="J343" s="127"/>
      <c r="K343" s="127"/>
      <c r="L343" s="125"/>
      <c r="M343" s="125"/>
      <c r="N343" s="125"/>
      <c r="O343" s="127"/>
      <c r="P343" s="127"/>
      <c r="Q343" s="127"/>
      <c r="R343" s="127"/>
      <c r="S343" s="127"/>
      <c r="T343" s="127"/>
      <c r="U343" s="127"/>
      <c r="V343" s="128"/>
      <c r="W343" s="128"/>
      <c r="X343" s="129" t="str">
        <f t="shared" si="11"/>
        <v/>
      </c>
      <c r="Y343" s="127"/>
      <c r="Z343" s="128"/>
      <c r="AA343" s="130"/>
      <c r="AB343" s="130"/>
      <c r="AC343" s="130"/>
      <c r="AD343" s="130"/>
      <c r="AE343" s="130"/>
      <c r="AF343" s="130"/>
      <c r="AG343" s="127"/>
      <c r="AH343" s="130"/>
      <c r="AI343" s="127"/>
      <c r="AJ343" s="127"/>
      <c r="AK343" s="127"/>
    </row>
    <row r="344" spans="1:37" ht="36" customHeight="1" x14ac:dyDescent="0.25">
      <c r="A344" s="125"/>
      <c r="B344" s="126" t="str">
        <f t="shared" si="10"/>
        <v/>
      </c>
      <c r="C344" s="127"/>
      <c r="D344" s="127"/>
      <c r="E344" s="128"/>
      <c r="F344" s="127"/>
      <c r="G344" s="125"/>
      <c r="H344" s="128"/>
      <c r="I344" s="127"/>
      <c r="J344" s="127"/>
      <c r="K344" s="127"/>
      <c r="L344" s="125"/>
      <c r="M344" s="125"/>
      <c r="N344" s="125"/>
      <c r="O344" s="127"/>
      <c r="P344" s="127"/>
      <c r="Q344" s="127"/>
      <c r="R344" s="127"/>
      <c r="S344" s="127"/>
      <c r="T344" s="127"/>
      <c r="U344" s="127"/>
      <c r="V344" s="128"/>
      <c r="W344" s="128"/>
      <c r="X344" s="129" t="str">
        <f t="shared" si="11"/>
        <v/>
      </c>
      <c r="Y344" s="127"/>
      <c r="Z344" s="128"/>
      <c r="AA344" s="130"/>
      <c r="AB344" s="130"/>
      <c r="AC344" s="130"/>
      <c r="AD344" s="130"/>
      <c r="AE344" s="130"/>
      <c r="AF344" s="130"/>
      <c r="AG344" s="127"/>
      <c r="AH344" s="130"/>
      <c r="AI344" s="127"/>
      <c r="AJ344" s="127"/>
      <c r="AK344" s="127"/>
    </row>
    <row r="345" spans="1:37" ht="36" customHeight="1" x14ac:dyDescent="0.25">
      <c r="A345" s="125"/>
      <c r="B345" s="126" t="str">
        <f t="shared" si="10"/>
        <v/>
      </c>
      <c r="C345" s="127"/>
      <c r="D345" s="127"/>
      <c r="E345" s="128"/>
      <c r="F345" s="127"/>
      <c r="G345" s="125"/>
      <c r="H345" s="128"/>
      <c r="I345" s="127"/>
      <c r="J345" s="127"/>
      <c r="K345" s="127"/>
      <c r="L345" s="125"/>
      <c r="M345" s="125"/>
      <c r="N345" s="125"/>
      <c r="O345" s="127"/>
      <c r="P345" s="127"/>
      <c r="Q345" s="127"/>
      <c r="R345" s="127"/>
      <c r="S345" s="127"/>
      <c r="T345" s="127"/>
      <c r="U345" s="127"/>
      <c r="V345" s="128"/>
      <c r="W345" s="128"/>
      <c r="X345" s="129" t="str">
        <f t="shared" si="11"/>
        <v/>
      </c>
      <c r="Y345" s="127"/>
      <c r="Z345" s="128"/>
      <c r="AA345" s="130"/>
      <c r="AB345" s="130"/>
      <c r="AC345" s="130"/>
      <c r="AD345" s="130"/>
      <c r="AE345" s="130"/>
      <c r="AF345" s="130"/>
      <c r="AG345" s="127"/>
      <c r="AH345" s="130"/>
      <c r="AI345" s="127"/>
      <c r="AJ345" s="127"/>
      <c r="AK345" s="127"/>
    </row>
    <row r="346" spans="1:37" ht="36" customHeight="1" x14ac:dyDescent="0.25">
      <c r="A346" s="125"/>
      <c r="B346" s="126" t="str">
        <f t="shared" si="10"/>
        <v/>
      </c>
      <c r="C346" s="127"/>
      <c r="D346" s="127"/>
      <c r="E346" s="128"/>
      <c r="F346" s="127"/>
      <c r="G346" s="125"/>
      <c r="H346" s="128"/>
      <c r="I346" s="127"/>
      <c r="J346" s="127"/>
      <c r="K346" s="127"/>
      <c r="L346" s="125"/>
      <c r="M346" s="125"/>
      <c r="N346" s="125"/>
      <c r="O346" s="127"/>
      <c r="P346" s="127"/>
      <c r="Q346" s="127"/>
      <c r="R346" s="127"/>
      <c r="S346" s="127"/>
      <c r="T346" s="127"/>
      <c r="U346" s="127"/>
      <c r="V346" s="128"/>
      <c r="W346" s="128"/>
      <c r="X346" s="129" t="str">
        <f t="shared" si="11"/>
        <v/>
      </c>
      <c r="Y346" s="127"/>
      <c r="Z346" s="128"/>
      <c r="AA346" s="130"/>
      <c r="AB346" s="130"/>
      <c r="AC346" s="130"/>
      <c r="AD346" s="130"/>
      <c r="AE346" s="130"/>
      <c r="AF346" s="130"/>
      <c r="AG346" s="127"/>
      <c r="AH346" s="130"/>
      <c r="AI346" s="127"/>
      <c r="AJ346" s="127"/>
      <c r="AK346" s="127"/>
    </row>
    <row r="347" spans="1:37" ht="36" customHeight="1" x14ac:dyDescent="0.25">
      <c r="A347" s="125"/>
      <c r="B347" s="126" t="str">
        <f t="shared" si="10"/>
        <v/>
      </c>
      <c r="C347" s="127"/>
      <c r="D347" s="127"/>
      <c r="E347" s="128"/>
      <c r="F347" s="127"/>
      <c r="G347" s="125"/>
      <c r="H347" s="128"/>
      <c r="I347" s="127"/>
      <c r="J347" s="127"/>
      <c r="K347" s="127"/>
      <c r="L347" s="125"/>
      <c r="M347" s="125"/>
      <c r="N347" s="125"/>
      <c r="O347" s="127"/>
      <c r="P347" s="127"/>
      <c r="Q347" s="127"/>
      <c r="R347" s="127"/>
      <c r="S347" s="127"/>
      <c r="T347" s="127"/>
      <c r="U347" s="127"/>
      <c r="V347" s="128"/>
      <c r="W347" s="128"/>
      <c r="X347" s="129" t="str">
        <f t="shared" si="11"/>
        <v/>
      </c>
      <c r="Y347" s="127"/>
      <c r="Z347" s="128"/>
      <c r="AA347" s="130"/>
      <c r="AB347" s="130"/>
      <c r="AC347" s="130"/>
      <c r="AD347" s="130"/>
      <c r="AE347" s="130"/>
      <c r="AF347" s="130"/>
      <c r="AG347" s="127"/>
      <c r="AH347" s="130"/>
      <c r="AI347" s="127"/>
      <c r="AJ347" s="127"/>
      <c r="AK347" s="127"/>
    </row>
    <row r="348" spans="1:37" ht="36" customHeight="1" x14ac:dyDescent="0.25">
      <c r="A348" s="125"/>
      <c r="B348" s="126" t="str">
        <f t="shared" si="10"/>
        <v/>
      </c>
      <c r="C348" s="127"/>
      <c r="D348" s="127"/>
      <c r="E348" s="128"/>
      <c r="F348" s="127"/>
      <c r="G348" s="125"/>
      <c r="H348" s="128"/>
      <c r="I348" s="127"/>
      <c r="J348" s="127"/>
      <c r="K348" s="127"/>
      <c r="L348" s="125"/>
      <c r="M348" s="125"/>
      <c r="N348" s="125"/>
      <c r="O348" s="127"/>
      <c r="P348" s="127"/>
      <c r="Q348" s="127"/>
      <c r="R348" s="127"/>
      <c r="S348" s="127"/>
      <c r="T348" s="127"/>
      <c r="U348" s="127"/>
      <c r="V348" s="128"/>
      <c r="W348" s="128"/>
      <c r="X348" s="129" t="str">
        <f t="shared" si="11"/>
        <v/>
      </c>
      <c r="Y348" s="127"/>
      <c r="Z348" s="128"/>
      <c r="AA348" s="130"/>
      <c r="AB348" s="130"/>
      <c r="AC348" s="130"/>
      <c r="AD348" s="130"/>
      <c r="AE348" s="130"/>
      <c r="AF348" s="130"/>
      <c r="AG348" s="127"/>
      <c r="AH348" s="130"/>
      <c r="AI348" s="127"/>
      <c r="AJ348" s="127"/>
      <c r="AK348" s="127"/>
    </row>
    <row r="349" spans="1:37" ht="36" customHeight="1" x14ac:dyDescent="0.25">
      <c r="A349" s="125"/>
      <c r="B349" s="126" t="str">
        <f t="shared" si="10"/>
        <v/>
      </c>
      <c r="C349" s="127"/>
      <c r="D349" s="127"/>
      <c r="E349" s="128"/>
      <c r="F349" s="127"/>
      <c r="G349" s="125"/>
      <c r="H349" s="128"/>
      <c r="I349" s="127"/>
      <c r="J349" s="127"/>
      <c r="K349" s="127"/>
      <c r="L349" s="125"/>
      <c r="M349" s="125"/>
      <c r="N349" s="125"/>
      <c r="O349" s="127"/>
      <c r="P349" s="127"/>
      <c r="Q349" s="127"/>
      <c r="R349" s="127"/>
      <c r="S349" s="127"/>
      <c r="T349" s="127"/>
      <c r="U349" s="127"/>
      <c r="V349" s="128"/>
      <c r="W349" s="128"/>
      <c r="X349" s="129" t="str">
        <f t="shared" si="11"/>
        <v/>
      </c>
      <c r="Y349" s="127"/>
      <c r="Z349" s="128"/>
      <c r="AA349" s="130"/>
      <c r="AB349" s="130"/>
      <c r="AC349" s="130"/>
      <c r="AD349" s="130"/>
      <c r="AE349" s="130"/>
      <c r="AF349" s="130"/>
      <c r="AG349" s="127"/>
      <c r="AH349" s="130"/>
      <c r="AI349" s="127"/>
      <c r="AJ349" s="127"/>
      <c r="AK349" s="127"/>
    </row>
    <row r="350" spans="1:37" ht="36" customHeight="1" x14ac:dyDescent="0.25">
      <c r="A350" s="125"/>
      <c r="B350" s="126" t="str">
        <f t="shared" si="10"/>
        <v/>
      </c>
      <c r="C350" s="127"/>
      <c r="D350" s="127"/>
      <c r="E350" s="128"/>
      <c r="F350" s="127"/>
      <c r="G350" s="125"/>
      <c r="H350" s="128"/>
      <c r="I350" s="127"/>
      <c r="J350" s="127"/>
      <c r="K350" s="127"/>
      <c r="L350" s="125"/>
      <c r="M350" s="125"/>
      <c r="N350" s="125"/>
      <c r="O350" s="127"/>
      <c r="P350" s="127"/>
      <c r="Q350" s="127"/>
      <c r="R350" s="127"/>
      <c r="S350" s="127"/>
      <c r="T350" s="127"/>
      <c r="U350" s="127"/>
      <c r="V350" s="128"/>
      <c r="W350" s="128"/>
      <c r="X350" s="129" t="str">
        <f t="shared" si="11"/>
        <v/>
      </c>
      <c r="Y350" s="127"/>
      <c r="Z350" s="128"/>
      <c r="AA350" s="130"/>
      <c r="AB350" s="130"/>
      <c r="AC350" s="130"/>
      <c r="AD350" s="130"/>
      <c r="AE350" s="130"/>
      <c r="AF350" s="130"/>
      <c r="AG350" s="127"/>
      <c r="AH350" s="130"/>
      <c r="AI350" s="127"/>
      <c r="AJ350" s="127"/>
      <c r="AK350" s="127"/>
    </row>
    <row r="351" spans="1:37" ht="36" customHeight="1" x14ac:dyDescent="0.25">
      <c r="A351" s="125"/>
      <c r="B351" s="126" t="str">
        <f t="shared" si="10"/>
        <v/>
      </c>
      <c r="C351" s="127"/>
      <c r="D351" s="127"/>
      <c r="E351" s="128"/>
      <c r="F351" s="127"/>
      <c r="G351" s="125"/>
      <c r="H351" s="128"/>
      <c r="I351" s="127"/>
      <c r="J351" s="127"/>
      <c r="K351" s="127"/>
      <c r="L351" s="125"/>
      <c r="M351" s="125"/>
      <c r="N351" s="125"/>
      <c r="O351" s="127"/>
      <c r="P351" s="127"/>
      <c r="Q351" s="127"/>
      <c r="R351" s="127"/>
      <c r="S351" s="127"/>
      <c r="T351" s="127"/>
      <c r="U351" s="127"/>
      <c r="V351" s="128"/>
      <c r="W351" s="128"/>
      <c r="X351" s="129" t="str">
        <f t="shared" si="11"/>
        <v/>
      </c>
      <c r="Y351" s="127"/>
      <c r="Z351" s="128"/>
      <c r="AA351" s="130"/>
      <c r="AB351" s="130"/>
      <c r="AC351" s="130"/>
      <c r="AD351" s="130"/>
      <c r="AE351" s="130"/>
      <c r="AF351" s="130"/>
      <c r="AG351" s="127"/>
      <c r="AH351" s="130"/>
      <c r="AI351" s="127"/>
      <c r="AJ351" s="127"/>
      <c r="AK351" s="127"/>
    </row>
    <row r="352" spans="1:37" ht="36" customHeight="1" x14ac:dyDescent="0.25">
      <c r="A352" s="125"/>
      <c r="B352" s="126" t="str">
        <f t="shared" si="10"/>
        <v/>
      </c>
      <c r="C352" s="127"/>
      <c r="D352" s="127"/>
      <c r="E352" s="128"/>
      <c r="F352" s="127"/>
      <c r="G352" s="125"/>
      <c r="H352" s="128"/>
      <c r="I352" s="127"/>
      <c r="J352" s="127"/>
      <c r="K352" s="127"/>
      <c r="L352" s="125"/>
      <c r="M352" s="125"/>
      <c r="N352" s="125"/>
      <c r="O352" s="127"/>
      <c r="P352" s="127"/>
      <c r="Q352" s="127"/>
      <c r="R352" s="127"/>
      <c r="S352" s="127"/>
      <c r="T352" s="127"/>
      <c r="U352" s="127"/>
      <c r="V352" s="128"/>
      <c r="W352" s="128"/>
      <c r="X352" s="129" t="str">
        <f t="shared" si="11"/>
        <v/>
      </c>
      <c r="Y352" s="127"/>
      <c r="Z352" s="128"/>
      <c r="AA352" s="130"/>
      <c r="AB352" s="130"/>
      <c r="AC352" s="130"/>
      <c r="AD352" s="130"/>
      <c r="AE352" s="130"/>
      <c r="AF352" s="130"/>
      <c r="AG352" s="127"/>
      <c r="AH352" s="130"/>
      <c r="AI352" s="127"/>
      <c r="AJ352" s="127"/>
      <c r="AK352" s="127"/>
    </row>
    <row r="353" spans="1:37" ht="36" customHeight="1" x14ac:dyDescent="0.25">
      <c r="A353" s="125"/>
      <c r="B353" s="126" t="str">
        <f t="shared" si="10"/>
        <v/>
      </c>
      <c r="C353" s="127"/>
      <c r="D353" s="127"/>
      <c r="E353" s="128"/>
      <c r="F353" s="127"/>
      <c r="G353" s="125"/>
      <c r="H353" s="128"/>
      <c r="I353" s="127"/>
      <c r="J353" s="127"/>
      <c r="K353" s="127"/>
      <c r="L353" s="125"/>
      <c r="M353" s="125"/>
      <c r="N353" s="125"/>
      <c r="O353" s="127"/>
      <c r="P353" s="127"/>
      <c r="Q353" s="127"/>
      <c r="R353" s="127"/>
      <c r="S353" s="127"/>
      <c r="T353" s="127"/>
      <c r="U353" s="127"/>
      <c r="V353" s="128"/>
      <c r="W353" s="128"/>
      <c r="X353" s="129" t="str">
        <f t="shared" si="11"/>
        <v/>
      </c>
      <c r="Y353" s="127"/>
      <c r="Z353" s="128"/>
      <c r="AA353" s="130"/>
      <c r="AB353" s="130"/>
      <c r="AC353" s="130"/>
      <c r="AD353" s="130"/>
      <c r="AE353" s="130"/>
      <c r="AF353" s="130"/>
      <c r="AG353" s="127"/>
      <c r="AH353" s="130"/>
      <c r="AI353" s="127"/>
      <c r="AJ353" s="127"/>
      <c r="AK353" s="127"/>
    </row>
    <row r="354" spans="1:37" ht="36" customHeight="1" x14ac:dyDescent="0.25">
      <c r="A354" s="125"/>
      <c r="B354" s="126" t="str">
        <f t="shared" si="10"/>
        <v/>
      </c>
      <c r="C354" s="127"/>
      <c r="D354" s="127"/>
      <c r="E354" s="128"/>
      <c r="F354" s="127"/>
      <c r="G354" s="125"/>
      <c r="H354" s="128"/>
      <c r="I354" s="127"/>
      <c r="J354" s="127"/>
      <c r="K354" s="127"/>
      <c r="L354" s="125"/>
      <c r="M354" s="125"/>
      <c r="N354" s="125"/>
      <c r="O354" s="127"/>
      <c r="P354" s="127"/>
      <c r="Q354" s="127"/>
      <c r="R354" s="127"/>
      <c r="S354" s="127"/>
      <c r="T354" s="127"/>
      <c r="U354" s="127"/>
      <c r="V354" s="128"/>
      <c r="W354" s="128"/>
      <c r="X354" s="129" t="str">
        <f t="shared" si="11"/>
        <v/>
      </c>
      <c r="Y354" s="127"/>
      <c r="Z354" s="128"/>
      <c r="AA354" s="130"/>
      <c r="AB354" s="130"/>
      <c r="AC354" s="130"/>
      <c r="AD354" s="130"/>
      <c r="AE354" s="130"/>
      <c r="AF354" s="130"/>
      <c r="AG354" s="127"/>
      <c r="AH354" s="130"/>
      <c r="AI354" s="127"/>
      <c r="AJ354" s="127"/>
      <c r="AK354" s="127"/>
    </row>
    <row r="355" spans="1:37" ht="36" customHeight="1" x14ac:dyDescent="0.25">
      <c r="A355" s="125"/>
      <c r="B355" s="126" t="str">
        <f t="shared" si="10"/>
        <v/>
      </c>
      <c r="C355" s="127"/>
      <c r="D355" s="127"/>
      <c r="E355" s="128"/>
      <c r="F355" s="127"/>
      <c r="G355" s="125"/>
      <c r="H355" s="128"/>
      <c r="I355" s="127"/>
      <c r="J355" s="127"/>
      <c r="K355" s="127"/>
      <c r="L355" s="125"/>
      <c r="M355" s="125"/>
      <c r="N355" s="125"/>
      <c r="O355" s="127"/>
      <c r="P355" s="127"/>
      <c r="Q355" s="127"/>
      <c r="R355" s="127"/>
      <c r="S355" s="127"/>
      <c r="T355" s="127"/>
      <c r="U355" s="127"/>
      <c r="V355" s="128"/>
      <c r="W355" s="128"/>
      <c r="X355" s="129" t="str">
        <f t="shared" si="11"/>
        <v/>
      </c>
      <c r="Y355" s="127"/>
      <c r="Z355" s="128"/>
      <c r="AA355" s="130"/>
      <c r="AB355" s="130"/>
      <c r="AC355" s="130"/>
      <c r="AD355" s="130"/>
      <c r="AE355" s="130"/>
      <c r="AF355" s="130"/>
      <c r="AG355" s="127"/>
      <c r="AH355" s="130"/>
      <c r="AI355" s="127"/>
      <c r="AJ355" s="127"/>
      <c r="AK355" s="127"/>
    </row>
    <row r="356" spans="1:37" ht="36" customHeight="1" x14ac:dyDescent="0.25">
      <c r="A356" s="125"/>
      <c r="B356" s="126" t="str">
        <f t="shared" si="10"/>
        <v/>
      </c>
      <c r="C356" s="127"/>
      <c r="D356" s="127"/>
      <c r="E356" s="128"/>
      <c r="F356" s="127"/>
      <c r="G356" s="125"/>
      <c r="H356" s="128"/>
      <c r="I356" s="127"/>
      <c r="J356" s="127"/>
      <c r="K356" s="127"/>
      <c r="L356" s="125"/>
      <c r="M356" s="125"/>
      <c r="N356" s="125"/>
      <c r="O356" s="127"/>
      <c r="P356" s="127"/>
      <c r="Q356" s="127"/>
      <c r="R356" s="127"/>
      <c r="S356" s="127"/>
      <c r="T356" s="127"/>
      <c r="U356" s="127"/>
      <c r="V356" s="128"/>
      <c r="W356" s="128"/>
      <c r="X356" s="129" t="str">
        <f t="shared" si="11"/>
        <v/>
      </c>
      <c r="Y356" s="127"/>
      <c r="Z356" s="128"/>
      <c r="AA356" s="130"/>
      <c r="AB356" s="130"/>
      <c r="AC356" s="130"/>
      <c r="AD356" s="130"/>
      <c r="AE356" s="130"/>
      <c r="AF356" s="130"/>
      <c r="AG356" s="127"/>
      <c r="AH356" s="130"/>
      <c r="AI356" s="127"/>
      <c r="AJ356" s="127"/>
      <c r="AK356" s="127"/>
    </row>
    <row r="357" spans="1:37" ht="36" customHeight="1" x14ac:dyDescent="0.25">
      <c r="A357" s="125"/>
      <c r="B357" s="126" t="str">
        <f t="shared" si="10"/>
        <v/>
      </c>
      <c r="C357" s="127"/>
      <c r="D357" s="127"/>
      <c r="E357" s="128"/>
      <c r="F357" s="127"/>
      <c r="G357" s="125"/>
      <c r="H357" s="128"/>
      <c r="I357" s="127"/>
      <c r="J357" s="127"/>
      <c r="K357" s="127"/>
      <c r="L357" s="125"/>
      <c r="M357" s="125"/>
      <c r="N357" s="125"/>
      <c r="O357" s="127"/>
      <c r="P357" s="127"/>
      <c r="Q357" s="127"/>
      <c r="R357" s="127"/>
      <c r="S357" s="127"/>
      <c r="T357" s="127"/>
      <c r="U357" s="127"/>
      <c r="V357" s="128"/>
      <c r="W357" s="128"/>
      <c r="X357" s="129" t="str">
        <f t="shared" si="11"/>
        <v/>
      </c>
      <c r="Y357" s="127"/>
      <c r="Z357" s="128"/>
      <c r="AA357" s="130"/>
      <c r="AB357" s="130"/>
      <c r="AC357" s="130"/>
      <c r="AD357" s="130"/>
      <c r="AE357" s="130"/>
      <c r="AF357" s="130"/>
      <c r="AG357" s="127"/>
      <c r="AH357" s="130"/>
      <c r="AI357" s="127"/>
      <c r="AJ357" s="127"/>
      <c r="AK357" s="127"/>
    </row>
    <row r="358" spans="1:37" ht="36" customHeight="1" x14ac:dyDescent="0.25">
      <c r="A358" s="125"/>
      <c r="B358" s="126" t="str">
        <f t="shared" si="10"/>
        <v/>
      </c>
      <c r="C358" s="127"/>
      <c r="D358" s="127"/>
      <c r="E358" s="128"/>
      <c r="F358" s="127"/>
      <c r="G358" s="125"/>
      <c r="H358" s="128"/>
      <c r="I358" s="127"/>
      <c r="J358" s="127"/>
      <c r="K358" s="127"/>
      <c r="L358" s="125"/>
      <c r="M358" s="125"/>
      <c r="N358" s="125"/>
      <c r="O358" s="127"/>
      <c r="P358" s="127"/>
      <c r="Q358" s="127"/>
      <c r="R358" s="127"/>
      <c r="S358" s="127"/>
      <c r="T358" s="127"/>
      <c r="U358" s="127"/>
      <c r="V358" s="128"/>
      <c r="W358" s="128"/>
      <c r="X358" s="129" t="str">
        <f t="shared" si="11"/>
        <v/>
      </c>
      <c r="Y358" s="127"/>
      <c r="Z358" s="128"/>
      <c r="AA358" s="130"/>
      <c r="AB358" s="130"/>
      <c r="AC358" s="130"/>
      <c r="AD358" s="130"/>
      <c r="AE358" s="130"/>
      <c r="AF358" s="130"/>
      <c r="AG358" s="127"/>
      <c r="AH358" s="130"/>
      <c r="AI358" s="127"/>
      <c r="AJ358" s="127"/>
      <c r="AK358" s="127"/>
    </row>
    <row r="359" spans="1:37" ht="36" customHeight="1" x14ac:dyDescent="0.25">
      <c r="A359" s="125"/>
      <c r="B359" s="126" t="str">
        <f t="shared" si="10"/>
        <v/>
      </c>
      <c r="C359" s="127"/>
      <c r="D359" s="127"/>
      <c r="E359" s="128"/>
      <c r="F359" s="127"/>
      <c r="G359" s="125"/>
      <c r="H359" s="128"/>
      <c r="I359" s="127"/>
      <c r="J359" s="127"/>
      <c r="K359" s="127"/>
      <c r="L359" s="125"/>
      <c r="M359" s="125"/>
      <c r="N359" s="125"/>
      <c r="O359" s="127"/>
      <c r="P359" s="127"/>
      <c r="Q359" s="127"/>
      <c r="R359" s="127"/>
      <c r="S359" s="127"/>
      <c r="T359" s="127"/>
      <c r="U359" s="127"/>
      <c r="V359" s="128"/>
      <c r="W359" s="128"/>
      <c r="X359" s="129" t="str">
        <f t="shared" si="11"/>
        <v/>
      </c>
      <c r="Y359" s="127"/>
      <c r="Z359" s="128"/>
      <c r="AA359" s="130"/>
      <c r="AB359" s="130"/>
      <c r="AC359" s="130"/>
      <c r="AD359" s="130"/>
      <c r="AE359" s="130"/>
      <c r="AF359" s="130"/>
      <c r="AG359" s="127"/>
      <c r="AH359" s="130"/>
      <c r="AI359" s="127"/>
      <c r="AJ359" s="127"/>
      <c r="AK359" s="127"/>
    </row>
    <row r="360" spans="1:37" ht="36" customHeight="1" x14ac:dyDescent="0.25">
      <c r="A360" s="125"/>
      <c r="B360" s="126" t="str">
        <f t="shared" si="10"/>
        <v/>
      </c>
      <c r="C360" s="127"/>
      <c r="D360" s="127"/>
      <c r="E360" s="128"/>
      <c r="F360" s="127"/>
      <c r="G360" s="125"/>
      <c r="H360" s="128"/>
      <c r="I360" s="127"/>
      <c r="J360" s="127"/>
      <c r="K360" s="127"/>
      <c r="L360" s="125"/>
      <c r="M360" s="125"/>
      <c r="N360" s="125"/>
      <c r="O360" s="127"/>
      <c r="P360" s="127"/>
      <c r="Q360" s="127"/>
      <c r="R360" s="127"/>
      <c r="S360" s="127"/>
      <c r="T360" s="127"/>
      <c r="U360" s="127"/>
      <c r="V360" s="128"/>
      <c r="W360" s="128"/>
      <c r="X360" s="129" t="str">
        <f t="shared" si="11"/>
        <v/>
      </c>
      <c r="Y360" s="127"/>
      <c r="Z360" s="128"/>
      <c r="AA360" s="130"/>
      <c r="AB360" s="130"/>
      <c r="AC360" s="130"/>
      <c r="AD360" s="130"/>
      <c r="AE360" s="130"/>
      <c r="AF360" s="130"/>
      <c r="AG360" s="127"/>
      <c r="AH360" s="130"/>
      <c r="AI360" s="127"/>
      <c r="AJ360" s="127"/>
      <c r="AK360" s="127"/>
    </row>
    <row r="361" spans="1:37" ht="36" customHeight="1" x14ac:dyDescent="0.25">
      <c r="A361" s="125"/>
      <c r="B361" s="126" t="str">
        <f t="shared" si="10"/>
        <v/>
      </c>
      <c r="C361" s="127"/>
      <c r="D361" s="127"/>
      <c r="E361" s="128"/>
      <c r="F361" s="127"/>
      <c r="G361" s="125"/>
      <c r="H361" s="128"/>
      <c r="I361" s="127"/>
      <c r="J361" s="127"/>
      <c r="K361" s="127"/>
      <c r="L361" s="125"/>
      <c r="M361" s="125"/>
      <c r="N361" s="125"/>
      <c r="O361" s="127"/>
      <c r="P361" s="127"/>
      <c r="Q361" s="127"/>
      <c r="R361" s="127"/>
      <c r="S361" s="127"/>
      <c r="T361" s="127"/>
      <c r="U361" s="127"/>
      <c r="V361" s="128"/>
      <c r="W361" s="128"/>
      <c r="X361" s="129" t="str">
        <f t="shared" si="11"/>
        <v/>
      </c>
      <c r="Y361" s="127"/>
      <c r="Z361" s="128"/>
      <c r="AA361" s="130"/>
      <c r="AB361" s="130"/>
      <c r="AC361" s="130"/>
      <c r="AD361" s="130"/>
      <c r="AE361" s="130"/>
      <c r="AF361" s="130"/>
      <c r="AG361" s="127"/>
      <c r="AH361" s="130"/>
      <c r="AI361" s="127"/>
      <c r="AJ361" s="127"/>
      <c r="AK361" s="127"/>
    </row>
    <row r="362" spans="1:37" ht="36" customHeight="1" x14ac:dyDescent="0.25">
      <c r="A362" s="125"/>
      <c r="B362" s="126" t="str">
        <f t="shared" si="10"/>
        <v/>
      </c>
      <c r="C362" s="127"/>
      <c r="D362" s="127"/>
      <c r="E362" s="128"/>
      <c r="F362" s="127"/>
      <c r="G362" s="125"/>
      <c r="H362" s="128"/>
      <c r="I362" s="127"/>
      <c r="J362" s="127"/>
      <c r="K362" s="127"/>
      <c r="L362" s="125"/>
      <c r="M362" s="125"/>
      <c r="N362" s="125"/>
      <c r="O362" s="127"/>
      <c r="P362" s="127"/>
      <c r="Q362" s="127"/>
      <c r="R362" s="127"/>
      <c r="S362" s="127"/>
      <c r="T362" s="127"/>
      <c r="U362" s="127"/>
      <c r="V362" s="128"/>
      <c r="W362" s="128"/>
      <c r="X362" s="129" t="str">
        <f t="shared" si="11"/>
        <v/>
      </c>
      <c r="Y362" s="127"/>
      <c r="Z362" s="128"/>
      <c r="AA362" s="130"/>
      <c r="AB362" s="130"/>
      <c r="AC362" s="130"/>
      <c r="AD362" s="130"/>
      <c r="AE362" s="130"/>
      <c r="AF362" s="130"/>
      <c r="AG362" s="127"/>
      <c r="AH362" s="130"/>
      <c r="AI362" s="127"/>
      <c r="AJ362" s="127"/>
      <c r="AK362" s="127"/>
    </row>
    <row r="363" spans="1:37" ht="36" customHeight="1" x14ac:dyDescent="0.25">
      <c r="A363" s="125"/>
      <c r="B363" s="126" t="str">
        <f t="shared" si="10"/>
        <v/>
      </c>
      <c r="C363" s="127"/>
      <c r="D363" s="127"/>
      <c r="E363" s="128"/>
      <c r="F363" s="127"/>
      <c r="G363" s="125"/>
      <c r="H363" s="128"/>
      <c r="I363" s="127"/>
      <c r="J363" s="127"/>
      <c r="K363" s="127"/>
      <c r="L363" s="125"/>
      <c r="M363" s="125"/>
      <c r="N363" s="125"/>
      <c r="O363" s="127"/>
      <c r="P363" s="127"/>
      <c r="Q363" s="127"/>
      <c r="R363" s="127"/>
      <c r="S363" s="127"/>
      <c r="T363" s="127"/>
      <c r="U363" s="127"/>
      <c r="V363" s="128"/>
      <c r="W363" s="128"/>
      <c r="X363" s="129" t="str">
        <f t="shared" si="11"/>
        <v/>
      </c>
      <c r="Y363" s="127"/>
      <c r="Z363" s="128"/>
      <c r="AA363" s="130"/>
      <c r="AB363" s="130"/>
      <c r="AC363" s="130"/>
      <c r="AD363" s="130"/>
      <c r="AE363" s="130"/>
      <c r="AF363" s="130"/>
      <c r="AG363" s="127"/>
      <c r="AH363" s="130"/>
      <c r="AI363" s="127"/>
      <c r="AJ363" s="127"/>
      <c r="AK363" s="127"/>
    </row>
    <row r="364" spans="1:37" ht="36" customHeight="1" x14ac:dyDescent="0.25">
      <c r="A364" s="125"/>
      <c r="B364" s="126" t="str">
        <f t="shared" si="10"/>
        <v/>
      </c>
      <c r="C364" s="127"/>
      <c r="D364" s="127"/>
      <c r="E364" s="128"/>
      <c r="F364" s="127"/>
      <c r="G364" s="125"/>
      <c r="H364" s="128"/>
      <c r="I364" s="127"/>
      <c r="J364" s="127"/>
      <c r="K364" s="127"/>
      <c r="L364" s="125"/>
      <c r="M364" s="125"/>
      <c r="N364" s="125"/>
      <c r="O364" s="127"/>
      <c r="P364" s="127"/>
      <c r="Q364" s="127"/>
      <c r="R364" s="127"/>
      <c r="S364" s="127"/>
      <c r="T364" s="127"/>
      <c r="U364" s="127"/>
      <c r="V364" s="128"/>
      <c r="W364" s="128"/>
      <c r="X364" s="129" t="str">
        <f t="shared" si="11"/>
        <v/>
      </c>
      <c r="Y364" s="127"/>
      <c r="Z364" s="128"/>
      <c r="AA364" s="130"/>
      <c r="AB364" s="130"/>
      <c r="AC364" s="130"/>
      <c r="AD364" s="130"/>
      <c r="AE364" s="130"/>
      <c r="AF364" s="130"/>
      <c r="AG364" s="127"/>
      <c r="AH364" s="130"/>
      <c r="AI364" s="127"/>
      <c r="AJ364" s="127"/>
      <c r="AK364" s="127"/>
    </row>
    <row r="365" spans="1:37" ht="36" customHeight="1" x14ac:dyDescent="0.25">
      <c r="A365" s="125"/>
      <c r="B365" s="126" t="str">
        <f t="shared" si="10"/>
        <v/>
      </c>
      <c r="C365" s="127"/>
      <c r="D365" s="127"/>
      <c r="E365" s="128"/>
      <c r="F365" s="127"/>
      <c r="G365" s="125"/>
      <c r="H365" s="128"/>
      <c r="I365" s="127"/>
      <c r="J365" s="127"/>
      <c r="K365" s="127"/>
      <c r="L365" s="125"/>
      <c r="M365" s="125"/>
      <c r="N365" s="125"/>
      <c r="O365" s="127"/>
      <c r="P365" s="127"/>
      <c r="Q365" s="127"/>
      <c r="R365" s="127"/>
      <c r="S365" s="127"/>
      <c r="T365" s="127"/>
      <c r="U365" s="127"/>
      <c r="V365" s="128"/>
      <c r="W365" s="128"/>
      <c r="X365" s="129" t="str">
        <f t="shared" si="11"/>
        <v/>
      </c>
      <c r="Y365" s="127"/>
      <c r="Z365" s="128"/>
      <c r="AA365" s="130"/>
      <c r="AB365" s="130"/>
      <c r="AC365" s="130"/>
      <c r="AD365" s="130"/>
      <c r="AE365" s="130"/>
      <c r="AF365" s="130"/>
      <c r="AG365" s="127"/>
      <c r="AH365" s="130"/>
      <c r="AI365" s="127"/>
      <c r="AJ365" s="127"/>
      <c r="AK365" s="127"/>
    </row>
    <row r="366" spans="1:37" ht="36" customHeight="1" x14ac:dyDescent="0.25">
      <c r="A366" s="125"/>
      <c r="B366" s="126" t="str">
        <f t="shared" si="10"/>
        <v/>
      </c>
      <c r="C366" s="127"/>
      <c r="D366" s="127"/>
      <c r="E366" s="128"/>
      <c r="F366" s="127"/>
      <c r="G366" s="125"/>
      <c r="H366" s="128"/>
      <c r="I366" s="127"/>
      <c r="J366" s="127"/>
      <c r="K366" s="127"/>
      <c r="L366" s="125"/>
      <c r="M366" s="125"/>
      <c r="N366" s="125"/>
      <c r="O366" s="127"/>
      <c r="P366" s="127"/>
      <c r="Q366" s="127"/>
      <c r="R366" s="127"/>
      <c r="S366" s="127"/>
      <c r="T366" s="127"/>
      <c r="U366" s="127"/>
      <c r="V366" s="128"/>
      <c r="W366" s="128"/>
      <c r="X366" s="129" t="str">
        <f t="shared" si="11"/>
        <v/>
      </c>
      <c r="Y366" s="127"/>
      <c r="Z366" s="128"/>
      <c r="AA366" s="130"/>
      <c r="AB366" s="130"/>
      <c r="AC366" s="130"/>
      <c r="AD366" s="130"/>
      <c r="AE366" s="130"/>
      <c r="AF366" s="130"/>
      <c r="AG366" s="127"/>
      <c r="AH366" s="130"/>
      <c r="AI366" s="127"/>
      <c r="AJ366" s="127"/>
      <c r="AK366" s="127"/>
    </row>
    <row r="367" spans="1:37" ht="36" customHeight="1" x14ac:dyDescent="0.25">
      <c r="A367" s="125"/>
      <c r="B367" s="126" t="str">
        <f t="shared" si="10"/>
        <v/>
      </c>
      <c r="C367" s="127"/>
      <c r="D367" s="127"/>
      <c r="E367" s="128"/>
      <c r="F367" s="127"/>
      <c r="G367" s="125"/>
      <c r="H367" s="128"/>
      <c r="I367" s="127"/>
      <c r="J367" s="127"/>
      <c r="K367" s="127"/>
      <c r="L367" s="125"/>
      <c r="M367" s="125"/>
      <c r="N367" s="125"/>
      <c r="O367" s="127"/>
      <c r="P367" s="127"/>
      <c r="Q367" s="127"/>
      <c r="R367" s="127"/>
      <c r="S367" s="127"/>
      <c r="T367" s="127"/>
      <c r="U367" s="127"/>
      <c r="V367" s="128"/>
      <c r="W367" s="128"/>
      <c r="X367" s="129" t="str">
        <f t="shared" si="11"/>
        <v/>
      </c>
      <c r="Y367" s="127"/>
      <c r="Z367" s="128"/>
      <c r="AA367" s="130"/>
      <c r="AB367" s="130"/>
      <c r="AC367" s="130"/>
      <c r="AD367" s="130"/>
      <c r="AE367" s="130"/>
      <c r="AF367" s="130"/>
      <c r="AG367" s="127"/>
      <c r="AH367" s="130"/>
      <c r="AI367" s="127"/>
      <c r="AJ367" s="127"/>
      <c r="AK367" s="127"/>
    </row>
    <row r="368" spans="1:37" ht="36" customHeight="1" x14ac:dyDescent="0.25">
      <c r="A368" s="125"/>
      <c r="B368" s="126" t="str">
        <f t="shared" si="10"/>
        <v/>
      </c>
      <c r="C368" s="127"/>
      <c r="D368" s="127"/>
      <c r="E368" s="128"/>
      <c r="F368" s="127"/>
      <c r="G368" s="125"/>
      <c r="H368" s="128"/>
      <c r="I368" s="127"/>
      <c r="J368" s="127"/>
      <c r="K368" s="127"/>
      <c r="L368" s="125"/>
      <c r="M368" s="125"/>
      <c r="N368" s="125"/>
      <c r="O368" s="127"/>
      <c r="P368" s="127"/>
      <c r="Q368" s="127"/>
      <c r="R368" s="127"/>
      <c r="S368" s="127"/>
      <c r="T368" s="127"/>
      <c r="U368" s="127"/>
      <c r="V368" s="128"/>
      <c r="W368" s="128"/>
      <c r="X368" s="129" t="str">
        <f t="shared" si="11"/>
        <v/>
      </c>
      <c r="Y368" s="127"/>
      <c r="Z368" s="128"/>
      <c r="AA368" s="130"/>
      <c r="AB368" s="130"/>
      <c r="AC368" s="130"/>
      <c r="AD368" s="130"/>
      <c r="AE368" s="130"/>
      <c r="AF368" s="130"/>
      <c r="AG368" s="127"/>
      <c r="AH368" s="130"/>
      <c r="AI368" s="127"/>
      <c r="AJ368" s="127"/>
      <c r="AK368" s="127"/>
    </row>
    <row r="369" spans="1:37" ht="36" customHeight="1" x14ac:dyDescent="0.25">
      <c r="A369" s="125"/>
      <c r="B369" s="126" t="str">
        <f t="shared" si="10"/>
        <v/>
      </c>
      <c r="C369" s="127"/>
      <c r="D369" s="127"/>
      <c r="E369" s="128"/>
      <c r="F369" s="127"/>
      <c r="G369" s="125"/>
      <c r="H369" s="128"/>
      <c r="I369" s="127"/>
      <c r="J369" s="127"/>
      <c r="K369" s="127"/>
      <c r="L369" s="125"/>
      <c r="M369" s="125"/>
      <c r="N369" s="125"/>
      <c r="O369" s="127"/>
      <c r="P369" s="127"/>
      <c r="Q369" s="127"/>
      <c r="R369" s="127"/>
      <c r="S369" s="127"/>
      <c r="T369" s="127"/>
      <c r="U369" s="127"/>
      <c r="V369" s="128"/>
      <c r="W369" s="128"/>
      <c r="X369" s="129" t="str">
        <f t="shared" si="11"/>
        <v/>
      </c>
      <c r="Y369" s="127"/>
      <c r="Z369" s="128"/>
      <c r="AA369" s="130"/>
      <c r="AB369" s="130"/>
      <c r="AC369" s="130"/>
      <c r="AD369" s="130"/>
      <c r="AE369" s="130"/>
      <c r="AF369" s="130"/>
      <c r="AG369" s="127"/>
      <c r="AH369" s="130"/>
      <c r="AI369" s="127"/>
      <c r="AJ369" s="127"/>
      <c r="AK369" s="127"/>
    </row>
    <row r="370" spans="1:37" ht="36" customHeight="1" x14ac:dyDescent="0.25">
      <c r="A370" s="125"/>
      <c r="B370" s="126" t="str">
        <f t="shared" si="10"/>
        <v/>
      </c>
      <c r="C370" s="127"/>
      <c r="D370" s="127"/>
      <c r="E370" s="128"/>
      <c r="F370" s="127"/>
      <c r="G370" s="125"/>
      <c r="H370" s="128"/>
      <c r="I370" s="127"/>
      <c r="J370" s="127"/>
      <c r="K370" s="127"/>
      <c r="L370" s="125"/>
      <c r="M370" s="125"/>
      <c r="N370" s="125"/>
      <c r="O370" s="127"/>
      <c r="P370" s="127"/>
      <c r="Q370" s="127"/>
      <c r="R370" s="127"/>
      <c r="S370" s="127"/>
      <c r="T370" s="127"/>
      <c r="U370" s="127"/>
      <c r="V370" s="128"/>
      <c r="W370" s="128"/>
      <c r="X370" s="129" t="str">
        <f t="shared" si="11"/>
        <v/>
      </c>
      <c r="Y370" s="127"/>
      <c r="Z370" s="128"/>
      <c r="AA370" s="130"/>
      <c r="AB370" s="130"/>
      <c r="AC370" s="130"/>
      <c r="AD370" s="130"/>
      <c r="AE370" s="130"/>
      <c r="AF370" s="130"/>
      <c r="AG370" s="127"/>
      <c r="AH370" s="130"/>
      <c r="AI370" s="127"/>
      <c r="AJ370" s="127"/>
      <c r="AK370" s="127"/>
    </row>
    <row r="371" spans="1:37" ht="36" customHeight="1" x14ac:dyDescent="0.25">
      <c r="A371" s="125"/>
      <c r="B371" s="126" t="str">
        <f t="shared" si="10"/>
        <v/>
      </c>
      <c r="C371" s="127"/>
      <c r="D371" s="127"/>
      <c r="E371" s="128"/>
      <c r="F371" s="127"/>
      <c r="G371" s="125"/>
      <c r="H371" s="128"/>
      <c r="I371" s="127"/>
      <c r="J371" s="127"/>
      <c r="K371" s="127"/>
      <c r="L371" s="125"/>
      <c r="M371" s="125"/>
      <c r="N371" s="125"/>
      <c r="O371" s="127"/>
      <c r="P371" s="127"/>
      <c r="Q371" s="127"/>
      <c r="R371" s="127"/>
      <c r="S371" s="127"/>
      <c r="T371" s="127"/>
      <c r="U371" s="127"/>
      <c r="V371" s="128"/>
      <c r="W371" s="128"/>
      <c r="X371" s="129" t="str">
        <f t="shared" si="11"/>
        <v/>
      </c>
      <c r="Y371" s="127"/>
      <c r="Z371" s="128"/>
      <c r="AA371" s="130"/>
      <c r="AB371" s="130"/>
      <c r="AC371" s="130"/>
      <c r="AD371" s="130"/>
      <c r="AE371" s="130"/>
      <c r="AF371" s="130"/>
      <c r="AG371" s="127"/>
      <c r="AH371" s="130"/>
      <c r="AI371" s="127"/>
      <c r="AJ371" s="127"/>
      <c r="AK371" s="127"/>
    </row>
    <row r="372" spans="1:37" ht="36" customHeight="1" x14ac:dyDescent="0.25">
      <c r="A372" s="125"/>
      <c r="B372" s="126" t="str">
        <f t="shared" si="10"/>
        <v/>
      </c>
      <c r="C372" s="127"/>
      <c r="D372" s="127"/>
      <c r="E372" s="128"/>
      <c r="F372" s="127"/>
      <c r="G372" s="125"/>
      <c r="H372" s="128"/>
      <c r="I372" s="127"/>
      <c r="J372" s="127"/>
      <c r="K372" s="127"/>
      <c r="L372" s="125"/>
      <c r="M372" s="125"/>
      <c r="N372" s="125"/>
      <c r="O372" s="127"/>
      <c r="P372" s="127"/>
      <c r="Q372" s="127"/>
      <c r="R372" s="127"/>
      <c r="S372" s="127"/>
      <c r="T372" s="127"/>
      <c r="U372" s="127"/>
      <c r="V372" s="128"/>
      <c r="W372" s="128"/>
      <c r="X372" s="129" t="str">
        <f t="shared" si="11"/>
        <v/>
      </c>
      <c r="Y372" s="127"/>
      <c r="Z372" s="128"/>
      <c r="AA372" s="130"/>
      <c r="AB372" s="130"/>
      <c r="AC372" s="130"/>
      <c r="AD372" s="130"/>
      <c r="AE372" s="130"/>
      <c r="AF372" s="130"/>
      <c r="AG372" s="127"/>
      <c r="AH372" s="130"/>
      <c r="AI372" s="127"/>
      <c r="AJ372" s="127"/>
      <c r="AK372" s="127"/>
    </row>
    <row r="373" spans="1:37" ht="36" customHeight="1" x14ac:dyDescent="0.25">
      <c r="A373" s="125"/>
      <c r="B373" s="126" t="str">
        <f t="shared" si="10"/>
        <v/>
      </c>
      <c r="C373" s="127"/>
      <c r="D373" s="127"/>
      <c r="E373" s="128"/>
      <c r="F373" s="127"/>
      <c r="G373" s="125"/>
      <c r="H373" s="128"/>
      <c r="I373" s="127"/>
      <c r="J373" s="127"/>
      <c r="K373" s="127"/>
      <c r="L373" s="125"/>
      <c r="M373" s="125"/>
      <c r="N373" s="125"/>
      <c r="O373" s="127"/>
      <c r="P373" s="127"/>
      <c r="Q373" s="127"/>
      <c r="R373" s="127"/>
      <c r="S373" s="127"/>
      <c r="T373" s="127"/>
      <c r="U373" s="127"/>
      <c r="V373" s="128"/>
      <c r="W373" s="128"/>
      <c r="X373" s="129" t="str">
        <f t="shared" si="11"/>
        <v/>
      </c>
      <c r="Y373" s="127"/>
      <c r="Z373" s="128"/>
      <c r="AA373" s="130"/>
      <c r="AB373" s="130"/>
      <c r="AC373" s="130"/>
      <c r="AD373" s="130"/>
      <c r="AE373" s="130"/>
      <c r="AF373" s="130"/>
      <c r="AG373" s="127"/>
      <c r="AH373" s="130"/>
      <c r="AI373" s="127"/>
      <c r="AJ373" s="127"/>
      <c r="AK373" s="127"/>
    </row>
    <row r="374" spans="1:37" ht="36" customHeight="1" x14ac:dyDescent="0.25">
      <c r="A374" s="125"/>
      <c r="B374" s="126" t="str">
        <f t="shared" si="10"/>
        <v/>
      </c>
      <c r="C374" s="127"/>
      <c r="D374" s="127"/>
      <c r="E374" s="128"/>
      <c r="F374" s="127"/>
      <c r="G374" s="125"/>
      <c r="H374" s="128"/>
      <c r="I374" s="127"/>
      <c r="J374" s="127"/>
      <c r="K374" s="127"/>
      <c r="L374" s="125"/>
      <c r="M374" s="125"/>
      <c r="N374" s="125"/>
      <c r="O374" s="127"/>
      <c r="P374" s="127"/>
      <c r="Q374" s="127"/>
      <c r="R374" s="127"/>
      <c r="S374" s="127"/>
      <c r="T374" s="127"/>
      <c r="U374" s="127"/>
      <c r="V374" s="128"/>
      <c r="W374" s="128"/>
      <c r="X374" s="129" t="str">
        <f t="shared" si="11"/>
        <v/>
      </c>
      <c r="Y374" s="127"/>
      <c r="Z374" s="128"/>
      <c r="AA374" s="130"/>
      <c r="AB374" s="130"/>
      <c r="AC374" s="130"/>
      <c r="AD374" s="130"/>
      <c r="AE374" s="130"/>
      <c r="AF374" s="130"/>
      <c r="AG374" s="127"/>
      <c r="AH374" s="130"/>
      <c r="AI374" s="127"/>
      <c r="AJ374" s="127"/>
      <c r="AK374" s="127"/>
    </row>
    <row r="375" spans="1:37" ht="36" customHeight="1" x14ac:dyDescent="0.25">
      <c r="A375" s="125"/>
      <c r="B375" s="126" t="str">
        <f t="shared" si="10"/>
        <v/>
      </c>
      <c r="C375" s="127"/>
      <c r="D375" s="127"/>
      <c r="E375" s="128"/>
      <c r="F375" s="127"/>
      <c r="G375" s="125"/>
      <c r="H375" s="128"/>
      <c r="I375" s="127"/>
      <c r="J375" s="127"/>
      <c r="K375" s="127"/>
      <c r="L375" s="125"/>
      <c r="M375" s="125"/>
      <c r="N375" s="125"/>
      <c r="O375" s="127"/>
      <c r="P375" s="127"/>
      <c r="Q375" s="127"/>
      <c r="R375" s="127"/>
      <c r="S375" s="127"/>
      <c r="T375" s="127"/>
      <c r="U375" s="127"/>
      <c r="V375" s="128"/>
      <c r="W375" s="128"/>
      <c r="X375" s="129" t="str">
        <f t="shared" si="11"/>
        <v/>
      </c>
      <c r="Y375" s="127"/>
      <c r="Z375" s="128"/>
      <c r="AA375" s="130"/>
      <c r="AB375" s="130"/>
      <c r="AC375" s="130"/>
      <c r="AD375" s="130"/>
      <c r="AE375" s="130"/>
      <c r="AF375" s="130"/>
      <c r="AG375" s="127"/>
      <c r="AH375" s="130"/>
      <c r="AI375" s="127"/>
      <c r="AJ375" s="127"/>
      <c r="AK375" s="127"/>
    </row>
    <row r="376" spans="1:37" ht="36" customHeight="1" x14ac:dyDescent="0.25">
      <c r="A376" s="125"/>
      <c r="B376" s="126" t="str">
        <f t="shared" si="10"/>
        <v/>
      </c>
      <c r="C376" s="127"/>
      <c r="D376" s="127"/>
      <c r="E376" s="128"/>
      <c r="F376" s="127"/>
      <c r="G376" s="125"/>
      <c r="H376" s="128"/>
      <c r="I376" s="127"/>
      <c r="J376" s="127"/>
      <c r="K376" s="127"/>
      <c r="L376" s="125"/>
      <c r="M376" s="125"/>
      <c r="N376" s="125"/>
      <c r="O376" s="127"/>
      <c r="P376" s="127"/>
      <c r="Q376" s="127"/>
      <c r="R376" s="127"/>
      <c r="S376" s="127"/>
      <c r="T376" s="127"/>
      <c r="U376" s="127"/>
      <c r="V376" s="128"/>
      <c r="W376" s="128"/>
      <c r="X376" s="129" t="str">
        <f t="shared" si="11"/>
        <v/>
      </c>
      <c r="Y376" s="127"/>
      <c r="Z376" s="128"/>
      <c r="AA376" s="130"/>
      <c r="AB376" s="130"/>
      <c r="AC376" s="130"/>
      <c r="AD376" s="130"/>
      <c r="AE376" s="130"/>
      <c r="AF376" s="130"/>
      <c r="AG376" s="127"/>
      <c r="AH376" s="130"/>
      <c r="AI376" s="127"/>
      <c r="AJ376" s="127"/>
      <c r="AK376" s="127"/>
    </row>
    <row r="377" spans="1:37" ht="36" customHeight="1" x14ac:dyDescent="0.25">
      <c r="A377" s="125"/>
      <c r="B377" s="126" t="str">
        <f t="shared" si="10"/>
        <v/>
      </c>
      <c r="C377" s="127"/>
      <c r="D377" s="127"/>
      <c r="E377" s="128"/>
      <c r="F377" s="127"/>
      <c r="G377" s="125"/>
      <c r="H377" s="128"/>
      <c r="I377" s="127"/>
      <c r="J377" s="127"/>
      <c r="K377" s="127"/>
      <c r="L377" s="125"/>
      <c r="M377" s="125"/>
      <c r="N377" s="125"/>
      <c r="O377" s="127"/>
      <c r="P377" s="127"/>
      <c r="Q377" s="127"/>
      <c r="R377" s="127"/>
      <c r="S377" s="127"/>
      <c r="T377" s="127"/>
      <c r="U377" s="127"/>
      <c r="V377" s="128"/>
      <c r="W377" s="128"/>
      <c r="X377" s="129" t="str">
        <f t="shared" si="11"/>
        <v/>
      </c>
      <c r="Y377" s="127"/>
      <c r="Z377" s="128"/>
      <c r="AA377" s="130"/>
      <c r="AB377" s="130"/>
      <c r="AC377" s="130"/>
      <c r="AD377" s="130"/>
      <c r="AE377" s="130"/>
      <c r="AF377" s="130"/>
      <c r="AG377" s="127"/>
      <c r="AH377" s="130"/>
      <c r="AI377" s="127"/>
      <c r="AJ377" s="127"/>
      <c r="AK377" s="127"/>
    </row>
    <row r="378" spans="1:37" ht="36" customHeight="1" x14ac:dyDescent="0.25">
      <c r="A378" s="125"/>
      <c r="B378" s="126" t="str">
        <f t="shared" si="10"/>
        <v/>
      </c>
      <c r="C378" s="127"/>
      <c r="D378" s="127"/>
      <c r="E378" s="128"/>
      <c r="F378" s="127"/>
      <c r="G378" s="125"/>
      <c r="H378" s="128"/>
      <c r="I378" s="127"/>
      <c r="J378" s="127"/>
      <c r="K378" s="127"/>
      <c r="L378" s="125"/>
      <c r="M378" s="125"/>
      <c r="N378" s="125"/>
      <c r="O378" s="127"/>
      <c r="P378" s="127"/>
      <c r="Q378" s="127"/>
      <c r="R378" s="127"/>
      <c r="S378" s="127"/>
      <c r="T378" s="127"/>
      <c r="U378" s="127"/>
      <c r="V378" s="128"/>
      <c r="W378" s="128"/>
      <c r="X378" s="129" t="str">
        <f t="shared" si="11"/>
        <v/>
      </c>
      <c r="Y378" s="127"/>
      <c r="Z378" s="128"/>
      <c r="AA378" s="130"/>
      <c r="AB378" s="130"/>
      <c r="AC378" s="130"/>
      <c r="AD378" s="130"/>
      <c r="AE378" s="130"/>
      <c r="AF378" s="130"/>
      <c r="AG378" s="127"/>
      <c r="AH378" s="130"/>
      <c r="AI378" s="127"/>
      <c r="AJ378" s="127"/>
      <c r="AK378" s="127"/>
    </row>
    <row r="379" spans="1:37" ht="36" customHeight="1" x14ac:dyDescent="0.25">
      <c r="A379" s="125"/>
      <c r="B379" s="126" t="str">
        <f t="shared" si="10"/>
        <v/>
      </c>
      <c r="C379" s="127"/>
      <c r="D379" s="127"/>
      <c r="E379" s="128"/>
      <c r="F379" s="127"/>
      <c r="G379" s="125"/>
      <c r="H379" s="128"/>
      <c r="I379" s="127"/>
      <c r="J379" s="127"/>
      <c r="K379" s="127"/>
      <c r="L379" s="125"/>
      <c r="M379" s="125"/>
      <c r="N379" s="125"/>
      <c r="O379" s="127"/>
      <c r="P379" s="127"/>
      <c r="Q379" s="127"/>
      <c r="R379" s="127"/>
      <c r="S379" s="127"/>
      <c r="T379" s="127"/>
      <c r="U379" s="127"/>
      <c r="V379" s="128"/>
      <c r="W379" s="128"/>
      <c r="X379" s="129" t="str">
        <f t="shared" si="11"/>
        <v/>
      </c>
      <c r="Y379" s="127"/>
      <c r="Z379" s="128"/>
      <c r="AA379" s="130"/>
      <c r="AB379" s="130"/>
      <c r="AC379" s="130"/>
      <c r="AD379" s="130"/>
      <c r="AE379" s="130"/>
      <c r="AF379" s="130"/>
      <c r="AG379" s="127"/>
      <c r="AH379" s="130"/>
      <c r="AI379" s="127"/>
      <c r="AJ379" s="127"/>
      <c r="AK379" s="127"/>
    </row>
    <row r="380" spans="1:37" ht="36" customHeight="1" x14ac:dyDescent="0.25">
      <c r="A380" s="125"/>
      <c r="B380" s="126" t="str">
        <f t="shared" si="10"/>
        <v/>
      </c>
      <c r="C380" s="127"/>
      <c r="D380" s="127"/>
      <c r="E380" s="128"/>
      <c r="F380" s="127"/>
      <c r="G380" s="125"/>
      <c r="H380" s="128"/>
      <c r="I380" s="127"/>
      <c r="J380" s="127"/>
      <c r="K380" s="127"/>
      <c r="L380" s="125"/>
      <c r="M380" s="125"/>
      <c r="N380" s="125"/>
      <c r="O380" s="127"/>
      <c r="P380" s="127"/>
      <c r="Q380" s="127"/>
      <c r="R380" s="127"/>
      <c r="S380" s="127"/>
      <c r="T380" s="127"/>
      <c r="U380" s="127"/>
      <c r="V380" s="128"/>
      <c r="W380" s="128"/>
      <c r="X380" s="129" t="str">
        <f t="shared" si="11"/>
        <v/>
      </c>
      <c r="Y380" s="127"/>
      <c r="Z380" s="128"/>
      <c r="AA380" s="130"/>
      <c r="AB380" s="130"/>
      <c r="AC380" s="130"/>
      <c r="AD380" s="130"/>
      <c r="AE380" s="130"/>
      <c r="AF380" s="130"/>
      <c r="AG380" s="127"/>
      <c r="AH380" s="130"/>
      <c r="AI380" s="127"/>
      <c r="AJ380" s="127"/>
      <c r="AK380" s="127"/>
    </row>
    <row r="381" spans="1:37" ht="36" customHeight="1" x14ac:dyDescent="0.25">
      <c r="A381" s="125"/>
      <c r="B381" s="126" t="str">
        <f t="shared" si="10"/>
        <v/>
      </c>
      <c r="C381" s="127"/>
      <c r="D381" s="127"/>
      <c r="E381" s="128"/>
      <c r="F381" s="127"/>
      <c r="G381" s="125"/>
      <c r="H381" s="128"/>
      <c r="I381" s="127"/>
      <c r="J381" s="127"/>
      <c r="K381" s="127"/>
      <c r="L381" s="125"/>
      <c r="M381" s="125"/>
      <c r="N381" s="125"/>
      <c r="O381" s="127"/>
      <c r="P381" s="127"/>
      <c r="Q381" s="127"/>
      <c r="R381" s="127"/>
      <c r="S381" s="127"/>
      <c r="T381" s="127"/>
      <c r="U381" s="127"/>
      <c r="V381" s="128"/>
      <c r="W381" s="128"/>
      <c r="X381" s="129" t="str">
        <f t="shared" si="11"/>
        <v/>
      </c>
      <c r="Y381" s="127"/>
      <c r="Z381" s="128"/>
      <c r="AA381" s="130"/>
      <c r="AB381" s="130"/>
      <c r="AC381" s="130"/>
      <c r="AD381" s="130"/>
      <c r="AE381" s="130"/>
      <c r="AF381" s="130"/>
      <c r="AG381" s="127"/>
      <c r="AH381" s="130"/>
      <c r="AI381" s="127"/>
      <c r="AJ381" s="127"/>
      <c r="AK381" s="127"/>
    </row>
    <row r="382" spans="1:37" ht="36" customHeight="1" x14ac:dyDescent="0.25">
      <c r="A382" s="125"/>
      <c r="B382" s="126" t="str">
        <f t="shared" si="10"/>
        <v/>
      </c>
      <c r="C382" s="127"/>
      <c r="D382" s="127"/>
      <c r="E382" s="128"/>
      <c r="F382" s="127"/>
      <c r="G382" s="125"/>
      <c r="H382" s="128"/>
      <c r="I382" s="127"/>
      <c r="J382" s="127"/>
      <c r="K382" s="127"/>
      <c r="L382" s="125"/>
      <c r="M382" s="125"/>
      <c r="N382" s="125"/>
      <c r="O382" s="127"/>
      <c r="P382" s="127"/>
      <c r="Q382" s="127"/>
      <c r="R382" s="127"/>
      <c r="S382" s="127"/>
      <c r="T382" s="127"/>
      <c r="U382" s="127"/>
      <c r="V382" s="128"/>
      <c r="W382" s="128"/>
      <c r="X382" s="129" t="str">
        <f t="shared" si="11"/>
        <v/>
      </c>
      <c r="Y382" s="127"/>
      <c r="Z382" s="128"/>
      <c r="AA382" s="130"/>
      <c r="AB382" s="130"/>
      <c r="AC382" s="130"/>
      <c r="AD382" s="130"/>
      <c r="AE382" s="130"/>
      <c r="AF382" s="130"/>
      <c r="AG382" s="127"/>
      <c r="AH382" s="130"/>
      <c r="AI382" s="127"/>
      <c r="AJ382" s="127"/>
      <c r="AK382" s="127"/>
    </row>
    <row r="383" spans="1:37" ht="36" customHeight="1" x14ac:dyDescent="0.25">
      <c r="A383" s="125"/>
      <c r="B383" s="126" t="str">
        <f t="shared" si="10"/>
        <v/>
      </c>
      <c r="C383" s="127"/>
      <c r="D383" s="127"/>
      <c r="E383" s="128"/>
      <c r="F383" s="127"/>
      <c r="G383" s="125"/>
      <c r="H383" s="128"/>
      <c r="I383" s="127"/>
      <c r="J383" s="127"/>
      <c r="K383" s="127"/>
      <c r="L383" s="125"/>
      <c r="M383" s="125"/>
      <c r="N383" s="125"/>
      <c r="O383" s="127"/>
      <c r="P383" s="127"/>
      <c r="Q383" s="127"/>
      <c r="R383" s="127"/>
      <c r="S383" s="127"/>
      <c r="T383" s="127"/>
      <c r="U383" s="127"/>
      <c r="V383" s="128"/>
      <c r="W383" s="128"/>
      <c r="X383" s="129" t="str">
        <f t="shared" si="11"/>
        <v/>
      </c>
      <c r="Y383" s="127"/>
      <c r="Z383" s="128"/>
      <c r="AA383" s="130"/>
      <c r="AB383" s="130"/>
      <c r="AC383" s="130"/>
      <c r="AD383" s="130"/>
      <c r="AE383" s="130"/>
      <c r="AF383" s="130"/>
      <c r="AG383" s="127"/>
      <c r="AH383" s="130"/>
      <c r="AI383" s="127"/>
      <c r="AJ383" s="127"/>
      <c r="AK383" s="127"/>
    </row>
    <row r="384" spans="1:37" ht="36" customHeight="1" x14ac:dyDescent="0.25">
      <c r="A384" s="125"/>
      <c r="B384" s="126" t="str">
        <f t="shared" si="10"/>
        <v/>
      </c>
      <c r="C384" s="127"/>
      <c r="D384" s="127"/>
      <c r="E384" s="128"/>
      <c r="F384" s="127"/>
      <c r="G384" s="125"/>
      <c r="H384" s="128"/>
      <c r="I384" s="127"/>
      <c r="J384" s="127"/>
      <c r="K384" s="127"/>
      <c r="L384" s="125"/>
      <c r="M384" s="125"/>
      <c r="N384" s="125"/>
      <c r="O384" s="127"/>
      <c r="P384" s="127"/>
      <c r="Q384" s="127"/>
      <c r="R384" s="127"/>
      <c r="S384" s="127"/>
      <c r="T384" s="127"/>
      <c r="U384" s="127"/>
      <c r="V384" s="128"/>
      <c r="W384" s="128"/>
      <c r="X384" s="129" t="str">
        <f t="shared" si="11"/>
        <v/>
      </c>
      <c r="Y384" s="127"/>
      <c r="Z384" s="128"/>
      <c r="AA384" s="130"/>
      <c r="AB384" s="130"/>
      <c r="AC384" s="130"/>
      <c r="AD384" s="130"/>
      <c r="AE384" s="130"/>
      <c r="AF384" s="130"/>
      <c r="AG384" s="127"/>
      <c r="AH384" s="130"/>
      <c r="AI384" s="127"/>
      <c r="AJ384" s="127"/>
      <c r="AK384" s="127"/>
    </row>
    <row r="385" spans="1:37" ht="36" customHeight="1" x14ac:dyDescent="0.25">
      <c r="A385" s="125"/>
      <c r="B385" s="126" t="str">
        <f t="shared" si="10"/>
        <v/>
      </c>
      <c r="C385" s="127"/>
      <c r="D385" s="127"/>
      <c r="E385" s="128"/>
      <c r="F385" s="127"/>
      <c r="G385" s="125"/>
      <c r="H385" s="128"/>
      <c r="I385" s="127"/>
      <c r="J385" s="127"/>
      <c r="K385" s="127"/>
      <c r="L385" s="125"/>
      <c r="M385" s="125"/>
      <c r="N385" s="125"/>
      <c r="O385" s="127"/>
      <c r="P385" s="127"/>
      <c r="Q385" s="127"/>
      <c r="R385" s="127"/>
      <c r="S385" s="127"/>
      <c r="T385" s="127"/>
      <c r="U385" s="127"/>
      <c r="V385" s="128"/>
      <c r="W385" s="128"/>
      <c r="X385" s="129" t="str">
        <f t="shared" si="11"/>
        <v/>
      </c>
      <c r="Y385" s="127"/>
      <c r="Z385" s="128"/>
      <c r="AA385" s="130"/>
      <c r="AB385" s="130"/>
      <c r="AC385" s="130"/>
      <c r="AD385" s="130"/>
      <c r="AE385" s="130"/>
      <c r="AF385" s="130"/>
      <c r="AG385" s="127"/>
      <c r="AH385" s="130"/>
      <c r="AI385" s="127"/>
      <c r="AJ385" s="127"/>
      <c r="AK385" s="127"/>
    </row>
    <row r="386" spans="1:37" ht="36" customHeight="1" x14ac:dyDescent="0.25">
      <c r="A386" s="125"/>
      <c r="B386" s="126" t="str">
        <f t="shared" si="10"/>
        <v/>
      </c>
      <c r="C386" s="127"/>
      <c r="D386" s="127"/>
      <c r="E386" s="128"/>
      <c r="F386" s="127"/>
      <c r="G386" s="125"/>
      <c r="H386" s="128"/>
      <c r="I386" s="127"/>
      <c r="J386" s="127"/>
      <c r="K386" s="127"/>
      <c r="L386" s="125"/>
      <c r="M386" s="125"/>
      <c r="N386" s="125"/>
      <c r="O386" s="127"/>
      <c r="P386" s="127"/>
      <c r="Q386" s="127"/>
      <c r="R386" s="127"/>
      <c r="S386" s="127"/>
      <c r="T386" s="127"/>
      <c r="U386" s="127"/>
      <c r="V386" s="128"/>
      <c r="W386" s="128"/>
      <c r="X386" s="129" t="str">
        <f t="shared" si="11"/>
        <v/>
      </c>
      <c r="Y386" s="127"/>
      <c r="Z386" s="128"/>
      <c r="AA386" s="130"/>
      <c r="AB386" s="130"/>
      <c r="AC386" s="130"/>
      <c r="AD386" s="130"/>
      <c r="AE386" s="130"/>
      <c r="AF386" s="130"/>
      <c r="AG386" s="127"/>
      <c r="AH386" s="130"/>
      <c r="AI386" s="127"/>
      <c r="AJ386" s="127"/>
      <c r="AK386" s="127"/>
    </row>
    <row r="387" spans="1:37" ht="36" customHeight="1" x14ac:dyDescent="0.25">
      <c r="A387" s="125"/>
      <c r="B387" s="126" t="str">
        <f t="shared" si="10"/>
        <v/>
      </c>
      <c r="C387" s="127"/>
      <c r="D387" s="127"/>
      <c r="E387" s="128"/>
      <c r="F387" s="127"/>
      <c r="G387" s="125"/>
      <c r="H387" s="128"/>
      <c r="I387" s="127"/>
      <c r="J387" s="127"/>
      <c r="K387" s="127"/>
      <c r="L387" s="125"/>
      <c r="M387" s="125"/>
      <c r="N387" s="125"/>
      <c r="O387" s="127"/>
      <c r="P387" s="127"/>
      <c r="Q387" s="127"/>
      <c r="R387" s="127"/>
      <c r="S387" s="127"/>
      <c r="T387" s="127"/>
      <c r="U387" s="127"/>
      <c r="V387" s="128"/>
      <c r="W387" s="128"/>
      <c r="X387" s="129" t="str">
        <f t="shared" si="11"/>
        <v/>
      </c>
      <c r="Y387" s="127"/>
      <c r="Z387" s="128"/>
      <c r="AA387" s="130"/>
      <c r="AB387" s="130"/>
      <c r="AC387" s="130"/>
      <c r="AD387" s="130"/>
      <c r="AE387" s="130"/>
      <c r="AF387" s="130"/>
      <c r="AG387" s="127"/>
      <c r="AH387" s="130"/>
      <c r="AI387" s="127"/>
      <c r="AJ387" s="127"/>
      <c r="AK387" s="127"/>
    </row>
    <row r="388" spans="1:37" ht="36" customHeight="1" x14ac:dyDescent="0.25">
      <c r="A388" s="125"/>
      <c r="B388" s="126" t="str">
        <f t="shared" si="10"/>
        <v/>
      </c>
      <c r="C388" s="127"/>
      <c r="D388" s="127"/>
      <c r="E388" s="128"/>
      <c r="F388" s="127"/>
      <c r="G388" s="125"/>
      <c r="H388" s="128"/>
      <c r="I388" s="127"/>
      <c r="J388" s="127"/>
      <c r="K388" s="127"/>
      <c r="L388" s="125"/>
      <c r="M388" s="125"/>
      <c r="N388" s="125"/>
      <c r="O388" s="127"/>
      <c r="P388" s="127"/>
      <c r="Q388" s="127"/>
      <c r="R388" s="127"/>
      <c r="S388" s="127"/>
      <c r="T388" s="127"/>
      <c r="U388" s="127"/>
      <c r="V388" s="128"/>
      <c r="W388" s="128"/>
      <c r="X388" s="129" t="str">
        <f t="shared" si="11"/>
        <v/>
      </c>
      <c r="Y388" s="127"/>
      <c r="Z388" s="128"/>
      <c r="AA388" s="130"/>
      <c r="AB388" s="130"/>
      <c r="AC388" s="130"/>
      <c r="AD388" s="130"/>
      <c r="AE388" s="130"/>
      <c r="AF388" s="130"/>
      <c r="AG388" s="127"/>
      <c r="AH388" s="130"/>
      <c r="AI388" s="127"/>
      <c r="AJ388" s="127"/>
      <c r="AK388" s="127"/>
    </row>
    <row r="389" spans="1:37" ht="36" customHeight="1" x14ac:dyDescent="0.25">
      <c r="A389" s="125"/>
      <c r="B389" s="126" t="str">
        <f t="shared" si="10"/>
        <v/>
      </c>
      <c r="C389" s="127"/>
      <c r="D389" s="127"/>
      <c r="E389" s="128"/>
      <c r="F389" s="127"/>
      <c r="G389" s="125"/>
      <c r="H389" s="128"/>
      <c r="I389" s="127"/>
      <c r="J389" s="127"/>
      <c r="K389" s="127"/>
      <c r="L389" s="125"/>
      <c r="M389" s="125"/>
      <c r="N389" s="125"/>
      <c r="O389" s="127"/>
      <c r="P389" s="127"/>
      <c r="Q389" s="127"/>
      <c r="R389" s="127"/>
      <c r="S389" s="127"/>
      <c r="T389" s="127"/>
      <c r="U389" s="127"/>
      <c r="V389" s="128"/>
      <c r="W389" s="128"/>
      <c r="X389" s="129" t="str">
        <f t="shared" si="11"/>
        <v/>
      </c>
      <c r="Y389" s="127"/>
      <c r="Z389" s="128"/>
      <c r="AA389" s="130"/>
      <c r="AB389" s="130"/>
      <c r="AC389" s="130"/>
      <c r="AD389" s="130"/>
      <c r="AE389" s="130"/>
      <c r="AF389" s="130"/>
      <c r="AG389" s="127"/>
      <c r="AH389" s="130"/>
      <c r="AI389" s="127"/>
      <c r="AJ389" s="127"/>
      <c r="AK389" s="127"/>
    </row>
    <row r="390" spans="1:37" ht="36" customHeight="1" x14ac:dyDescent="0.25">
      <c r="A390" s="125"/>
      <c r="B390" s="126" t="str">
        <f t="shared" si="10"/>
        <v/>
      </c>
      <c r="C390" s="127"/>
      <c r="D390" s="127"/>
      <c r="E390" s="128"/>
      <c r="F390" s="127"/>
      <c r="G390" s="125"/>
      <c r="H390" s="128"/>
      <c r="I390" s="127"/>
      <c r="J390" s="127"/>
      <c r="K390" s="127"/>
      <c r="L390" s="125"/>
      <c r="M390" s="125"/>
      <c r="N390" s="125"/>
      <c r="O390" s="127"/>
      <c r="P390" s="127"/>
      <c r="Q390" s="127"/>
      <c r="R390" s="127"/>
      <c r="S390" s="127"/>
      <c r="T390" s="127"/>
      <c r="U390" s="127"/>
      <c r="V390" s="128"/>
      <c r="W390" s="128"/>
      <c r="X390" s="129" t="str">
        <f t="shared" si="11"/>
        <v/>
      </c>
      <c r="Y390" s="127"/>
      <c r="Z390" s="128"/>
      <c r="AA390" s="130"/>
      <c r="AB390" s="130"/>
      <c r="AC390" s="130"/>
      <c r="AD390" s="130"/>
      <c r="AE390" s="130"/>
      <c r="AF390" s="130"/>
      <c r="AG390" s="127"/>
      <c r="AH390" s="130"/>
      <c r="AI390" s="127"/>
      <c r="AJ390" s="127"/>
      <c r="AK390" s="127"/>
    </row>
    <row r="391" spans="1:37" ht="36" customHeight="1" x14ac:dyDescent="0.25">
      <c r="A391" s="125"/>
      <c r="B391" s="126" t="str">
        <f t="shared" si="10"/>
        <v/>
      </c>
      <c r="C391" s="127"/>
      <c r="D391" s="127"/>
      <c r="E391" s="128"/>
      <c r="F391" s="127"/>
      <c r="G391" s="125"/>
      <c r="H391" s="128"/>
      <c r="I391" s="127"/>
      <c r="J391" s="127"/>
      <c r="K391" s="127"/>
      <c r="L391" s="125"/>
      <c r="M391" s="125"/>
      <c r="N391" s="125"/>
      <c r="O391" s="127"/>
      <c r="P391" s="127"/>
      <c r="Q391" s="127"/>
      <c r="R391" s="127"/>
      <c r="S391" s="127"/>
      <c r="T391" s="127"/>
      <c r="U391" s="127"/>
      <c r="V391" s="128"/>
      <c r="W391" s="128"/>
      <c r="X391" s="129" t="str">
        <f t="shared" si="11"/>
        <v/>
      </c>
      <c r="Y391" s="127"/>
      <c r="Z391" s="128"/>
      <c r="AA391" s="130"/>
      <c r="AB391" s="130"/>
      <c r="AC391" s="130"/>
      <c r="AD391" s="130"/>
      <c r="AE391" s="130"/>
      <c r="AF391" s="130"/>
      <c r="AG391" s="127"/>
      <c r="AH391" s="130"/>
      <c r="AI391" s="127"/>
      <c r="AJ391" s="127"/>
      <c r="AK391" s="127"/>
    </row>
    <row r="392" spans="1:37" ht="36" customHeight="1" x14ac:dyDescent="0.25">
      <c r="A392" s="125"/>
      <c r="B392" s="126" t="str">
        <f t="shared" si="10"/>
        <v/>
      </c>
      <c r="C392" s="127"/>
      <c r="D392" s="127"/>
      <c r="E392" s="128"/>
      <c r="F392" s="127"/>
      <c r="G392" s="125"/>
      <c r="H392" s="128"/>
      <c r="I392" s="127"/>
      <c r="J392" s="127"/>
      <c r="K392" s="127"/>
      <c r="L392" s="125"/>
      <c r="M392" s="125"/>
      <c r="N392" s="125"/>
      <c r="O392" s="127"/>
      <c r="P392" s="127"/>
      <c r="Q392" s="127"/>
      <c r="R392" s="127"/>
      <c r="S392" s="127"/>
      <c r="T392" s="127"/>
      <c r="U392" s="127"/>
      <c r="V392" s="128"/>
      <c r="W392" s="128"/>
      <c r="X392" s="129" t="str">
        <f t="shared" si="11"/>
        <v/>
      </c>
      <c r="Y392" s="127"/>
      <c r="Z392" s="128"/>
      <c r="AA392" s="130"/>
      <c r="AB392" s="130"/>
      <c r="AC392" s="130"/>
      <c r="AD392" s="130"/>
      <c r="AE392" s="130"/>
      <c r="AF392" s="130"/>
      <c r="AG392" s="127"/>
      <c r="AH392" s="130"/>
      <c r="AI392" s="127"/>
      <c r="AJ392" s="127"/>
      <c r="AK392" s="127"/>
    </row>
    <row r="393" spans="1:37" ht="36" customHeight="1" x14ac:dyDescent="0.25">
      <c r="A393" s="125"/>
      <c r="B393" s="126" t="str">
        <f t="shared" si="10"/>
        <v/>
      </c>
      <c r="C393" s="127"/>
      <c r="D393" s="127"/>
      <c r="E393" s="128"/>
      <c r="F393" s="127"/>
      <c r="G393" s="125"/>
      <c r="H393" s="128"/>
      <c r="I393" s="127"/>
      <c r="J393" s="127"/>
      <c r="K393" s="127"/>
      <c r="L393" s="125"/>
      <c r="M393" s="125"/>
      <c r="N393" s="125"/>
      <c r="O393" s="127"/>
      <c r="P393" s="127"/>
      <c r="Q393" s="127"/>
      <c r="R393" s="127"/>
      <c r="S393" s="127"/>
      <c r="T393" s="127"/>
      <c r="U393" s="127"/>
      <c r="V393" s="128"/>
      <c r="W393" s="128"/>
      <c r="X393" s="129" t="str">
        <f t="shared" si="11"/>
        <v/>
      </c>
      <c r="Y393" s="127"/>
      <c r="Z393" s="128"/>
      <c r="AA393" s="130"/>
      <c r="AB393" s="130"/>
      <c r="AC393" s="130"/>
      <c r="AD393" s="130"/>
      <c r="AE393" s="130"/>
      <c r="AF393" s="130"/>
      <c r="AG393" s="127"/>
      <c r="AH393" s="130"/>
      <c r="AI393" s="127"/>
      <c r="AJ393" s="127"/>
      <c r="AK393" s="127"/>
    </row>
    <row r="394" spans="1:37" ht="36" customHeight="1" x14ac:dyDescent="0.25">
      <c r="A394" s="125"/>
      <c r="B394" s="126" t="str">
        <f t="shared" si="10"/>
        <v/>
      </c>
      <c r="C394" s="127"/>
      <c r="D394" s="127"/>
      <c r="E394" s="128"/>
      <c r="F394" s="127"/>
      <c r="G394" s="125"/>
      <c r="H394" s="128"/>
      <c r="I394" s="127"/>
      <c r="J394" s="127"/>
      <c r="K394" s="127"/>
      <c r="L394" s="125"/>
      <c r="M394" s="125"/>
      <c r="N394" s="125"/>
      <c r="O394" s="127"/>
      <c r="P394" s="127"/>
      <c r="Q394" s="127"/>
      <c r="R394" s="127"/>
      <c r="S394" s="127"/>
      <c r="T394" s="127"/>
      <c r="U394" s="127"/>
      <c r="V394" s="128"/>
      <c r="W394" s="128"/>
      <c r="X394" s="129" t="str">
        <f t="shared" si="11"/>
        <v/>
      </c>
      <c r="Y394" s="127"/>
      <c r="Z394" s="128"/>
      <c r="AA394" s="130"/>
      <c r="AB394" s="130"/>
      <c r="AC394" s="130"/>
      <c r="AD394" s="130"/>
      <c r="AE394" s="130"/>
      <c r="AF394" s="130"/>
      <c r="AG394" s="127"/>
      <c r="AH394" s="130"/>
      <c r="AI394" s="127"/>
      <c r="AJ394" s="127"/>
      <c r="AK394" s="127"/>
    </row>
    <row r="395" spans="1:37" ht="36" customHeight="1" x14ac:dyDescent="0.25">
      <c r="A395" s="125"/>
      <c r="B395" s="126" t="str">
        <f t="shared" si="10"/>
        <v/>
      </c>
      <c r="C395" s="127"/>
      <c r="D395" s="127"/>
      <c r="E395" s="128"/>
      <c r="F395" s="127"/>
      <c r="G395" s="125"/>
      <c r="H395" s="128"/>
      <c r="I395" s="127"/>
      <c r="J395" s="127"/>
      <c r="K395" s="127"/>
      <c r="L395" s="125"/>
      <c r="M395" s="125"/>
      <c r="N395" s="125"/>
      <c r="O395" s="127"/>
      <c r="P395" s="127"/>
      <c r="Q395" s="127"/>
      <c r="R395" s="127"/>
      <c r="S395" s="127"/>
      <c r="T395" s="127"/>
      <c r="U395" s="127"/>
      <c r="V395" s="128"/>
      <c r="W395" s="128"/>
      <c r="X395" s="129" t="str">
        <f t="shared" si="11"/>
        <v/>
      </c>
      <c r="Y395" s="127"/>
      <c r="Z395" s="128"/>
      <c r="AA395" s="130"/>
      <c r="AB395" s="130"/>
      <c r="AC395" s="130"/>
      <c r="AD395" s="130"/>
      <c r="AE395" s="130"/>
      <c r="AF395" s="130"/>
      <c r="AG395" s="127"/>
      <c r="AH395" s="130"/>
      <c r="AI395" s="127"/>
      <c r="AJ395" s="127"/>
      <c r="AK395" s="127"/>
    </row>
    <row r="396" spans="1:37" ht="36" customHeight="1" x14ac:dyDescent="0.25">
      <c r="A396" s="125"/>
      <c r="B396" s="126" t="str">
        <f t="shared" si="10"/>
        <v/>
      </c>
      <c r="C396" s="127"/>
      <c r="D396" s="127"/>
      <c r="E396" s="128"/>
      <c r="F396" s="127"/>
      <c r="G396" s="125"/>
      <c r="H396" s="128"/>
      <c r="I396" s="127"/>
      <c r="J396" s="127"/>
      <c r="K396" s="127"/>
      <c r="L396" s="125"/>
      <c r="M396" s="125"/>
      <c r="N396" s="125"/>
      <c r="O396" s="127"/>
      <c r="P396" s="127"/>
      <c r="Q396" s="127"/>
      <c r="R396" s="127"/>
      <c r="S396" s="127"/>
      <c r="T396" s="127"/>
      <c r="U396" s="127"/>
      <c r="V396" s="128"/>
      <c r="W396" s="128"/>
      <c r="X396" s="129" t="str">
        <f t="shared" si="11"/>
        <v/>
      </c>
      <c r="Y396" s="127"/>
      <c r="Z396" s="128"/>
      <c r="AA396" s="130"/>
      <c r="AB396" s="130"/>
      <c r="AC396" s="130"/>
      <c r="AD396" s="130"/>
      <c r="AE396" s="130"/>
      <c r="AF396" s="130"/>
      <c r="AG396" s="127"/>
      <c r="AH396" s="130"/>
      <c r="AI396" s="127"/>
      <c r="AJ396" s="127"/>
      <c r="AK396" s="127"/>
    </row>
    <row r="397" spans="1:37" ht="36" customHeight="1" x14ac:dyDescent="0.25">
      <c r="A397" s="125"/>
      <c r="B397" s="126" t="str">
        <f t="shared" si="10"/>
        <v/>
      </c>
      <c r="C397" s="127"/>
      <c r="D397" s="127"/>
      <c r="E397" s="128"/>
      <c r="F397" s="127"/>
      <c r="G397" s="125"/>
      <c r="H397" s="128"/>
      <c r="I397" s="127"/>
      <c r="J397" s="127"/>
      <c r="K397" s="127"/>
      <c r="L397" s="125"/>
      <c r="M397" s="125"/>
      <c r="N397" s="125"/>
      <c r="O397" s="127"/>
      <c r="P397" s="127"/>
      <c r="Q397" s="127"/>
      <c r="R397" s="127"/>
      <c r="S397" s="127"/>
      <c r="T397" s="127"/>
      <c r="U397" s="127"/>
      <c r="V397" s="128"/>
      <c r="W397" s="128"/>
      <c r="X397" s="129" t="str">
        <f t="shared" si="11"/>
        <v/>
      </c>
      <c r="Y397" s="127"/>
      <c r="Z397" s="128"/>
      <c r="AA397" s="130"/>
      <c r="AB397" s="130"/>
      <c r="AC397" s="130"/>
      <c r="AD397" s="130"/>
      <c r="AE397" s="130"/>
      <c r="AF397" s="130"/>
      <c r="AG397" s="127"/>
      <c r="AH397" s="130"/>
      <c r="AI397" s="127"/>
      <c r="AJ397" s="127"/>
      <c r="AK397" s="127"/>
    </row>
    <row r="398" spans="1:37" ht="36" customHeight="1" x14ac:dyDescent="0.25">
      <c r="A398" s="125"/>
      <c r="B398" s="126" t="str">
        <f t="shared" ref="B398:B461" si="12">IF($A398="","",TEXT(ROW()-19,"000")&amp;"/"&amp;IF($V398="",2026,YEAR($V398))&amp;"/HĐLĐ-"&amp;$E$8)</f>
        <v/>
      </c>
      <c r="C398" s="127"/>
      <c r="D398" s="127"/>
      <c r="E398" s="128"/>
      <c r="F398" s="127"/>
      <c r="G398" s="125"/>
      <c r="H398" s="128"/>
      <c r="I398" s="127"/>
      <c r="J398" s="127"/>
      <c r="K398" s="127"/>
      <c r="L398" s="125"/>
      <c r="M398" s="125"/>
      <c r="N398" s="125"/>
      <c r="O398" s="127"/>
      <c r="P398" s="127"/>
      <c r="Q398" s="127"/>
      <c r="R398" s="127"/>
      <c r="S398" s="127"/>
      <c r="T398" s="127"/>
      <c r="U398" s="127"/>
      <c r="V398" s="128"/>
      <c r="W398" s="128"/>
      <c r="X398" s="129" t="str">
        <f t="shared" ref="X398:X461" si="13">IF($A398="","",IF($T398="Xác định thời hạn",IF(AND($W398&lt;&gt;"",$U398&lt;&gt;""),EDATE($W398,$U398)-1,""),""))</f>
        <v/>
      </c>
      <c r="Y398" s="127"/>
      <c r="Z398" s="128"/>
      <c r="AA398" s="130"/>
      <c r="AB398" s="130"/>
      <c r="AC398" s="130"/>
      <c r="AD398" s="130"/>
      <c r="AE398" s="130"/>
      <c r="AF398" s="130"/>
      <c r="AG398" s="127"/>
      <c r="AH398" s="130"/>
      <c r="AI398" s="127"/>
      <c r="AJ398" s="127"/>
      <c r="AK398" s="127"/>
    </row>
    <row r="399" spans="1:37" ht="36" customHeight="1" x14ac:dyDescent="0.25">
      <c r="A399" s="125"/>
      <c r="B399" s="126" t="str">
        <f t="shared" si="12"/>
        <v/>
      </c>
      <c r="C399" s="127"/>
      <c r="D399" s="127"/>
      <c r="E399" s="128"/>
      <c r="F399" s="127"/>
      <c r="G399" s="125"/>
      <c r="H399" s="128"/>
      <c r="I399" s="127"/>
      <c r="J399" s="127"/>
      <c r="K399" s="127"/>
      <c r="L399" s="125"/>
      <c r="M399" s="125"/>
      <c r="N399" s="125"/>
      <c r="O399" s="127"/>
      <c r="P399" s="127"/>
      <c r="Q399" s="127"/>
      <c r="R399" s="127"/>
      <c r="S399" s="127"/>
      <c r="T399" s="127"/>
      <c r="U399" s="127"/>
      <c r="V399" s="128"/>
      <c r="W399" s="128"/>
      <c r="X399" s="129" t="str">
        <f t="shared" si="13"/>
        <v/>
      </c>
      <c r="Y399" s="127"/>
      <c r="Z399" s="128"/>
      <c r="AA399" s="130"/>
      <c r="AB399" s="130"/>
      <c r="AC399" s="130"/>
      <c r="AD399" s="130"/>
      <c r="AE399" s="130"/>
      <c r="AF399" s="130"/>
      <c r="AG399" s="127"/>
      <c r="AH399" s="130"/>
      <c r="AI399" s="127"/>
      <c r="AJ399" s="127"/>
      <c r="AK399" s="127"/>
    </row>
    <row r="400" spans="1:37" ht="36" customHeight="1" x14ac:dyDescent="0.25">
      <c r="A400" s="125"/>
      <c r="B400" s="126" t="str">
        <f t="shared" si="12"/>
        <v/>
      </c>
      <c r="C400" s="127"/>
      <c r="D400" s="127"/>
      <c r="E400" s="128"/>
      <c r="F400" s="127"/>
      <c r="G400" s="125"/>
      <c r="H400" s="128"/>
      <c r="I400" s="127"/>
      <c r="J400" s="127"/>
      <c r="K400" s="127"/>
      <c r="L400" s="125"/>
      <c r="M400" s="125"/>
      <c r="N400" s="125"/>
      <c r="O400" s="127"/>
      <c r="P400" s="127"/>
      <c r="Q400" s="127"/>
      <c r="R400" s="127"/>
      <c r="S400" s="127"/>
      <c r="T400" s="127"/>
      <c r="U400" s="127"/>
      <c r="V400" s="128"/>
      <c r="W400" s="128"/>
      <c r="X400" s="129" t="str">
        <f t="shared" si="13"/>
        <v/>
      </c>
      <c r="Y400" s="127"/>
      <c r="Z400" s="128"/>
      <c r="AA400" s="130"/>
      <c r="AB400" s="130"/>
      <c r="AC400" s="130"/>
      <c r="AD400" s="130"/>
      <c r="AE400" s="130"/>
      <c r="AF400" s="130"/>
      <c r="AG400" s="127"/>
      <c r="AH400" s="130"/>
      <c r="AI400" s="127"/>
      <c r="AJ400" s="127"/>
      <c r="AK400" s="127"/>
    </row>
    <row r="401" spans="1:37" ht="36" customHeight="1" x14ac:dyDescent="0.25">
      <c r="A401" s="125"/>
      <c r="B401" s="126" t="str">
        <f t="shared" si="12"/>
        <v/>
      </c>
      <c r="C401" s="127"/>
      <c r="D401" s="127"/>
      <c r="E401" s="128"/>
      <c r="F401" s="127"/>
      <c r="G401" s="125"/>
      <c r="H401" s="128"/>
      <c r="I401" s="127"/>
      <c r="J401" s="127"/>
      <c r="K401" s="127"/>
      <c r="L401" s="125"/>
      <c r="M401" s="125"/>
      <c r="N401" s="125"/>
      <c r="O401" s="127"/>
      <c r="P401" s="127"/>
      <c r="Q401" s="127"/>
      <c r="R401" s="127"/>
      <c r="S401" s="127"/>
      <c r="T401" s="127"/>
      <c r="U401" s="127"/>
      <c r="V401" s="128"/>
      <c r="W401" s="128"/>
      <c r="X401" s="129" t="str">
        <f t="shared" si="13"/>
        <v/>
      </c>
      <c r="Y401" s="127"/>
      <c r="Z401" s="128"/>
      <c r="AA401" s="130"/>
      <c r="AB401" s="130"/>
      <c r="AC401" s="130"/>
      <c r="AD401" s="130"/>
      <c r="AE401" s="130"/>
      <c r="AF401" s="130"/>
      <c r="AG401" s="127"/>
      <c r="AH401" s="130"/>
      <c r="AI401" s="127"/>
      <c r="AJ401" s="127"/>
      <c r="AK401" s="127"/>
    </row>
    <row r="402" spans="1:37" ht="36" customHeight="1" x14ac:dyDescent="0.25">
      <c r="A402" s="125"/>
      <c r="B402" s="126" t="str">
        <f t="shared" si="12"/>
        <v/>
      </c>
      <c r="C402" s="127"/>
      <c r="D402" s="127"/>
      <c r="E402" s="128"/>
      <c r="F402" s="127"/>
      <c r="G402" s="125"/>
      <c r="H402" s="128"/>
      <c r="I402" s="127"/>
      <c r="J402" s="127"/>
      <c r="K402" s="127"/>
      <c r="L402" s="125"/>
      <c r="M402" s="125"/>
      <c r="N402" s="125"/>
      <c r="O402" s="127"/>
      <c r="P402" s="127"/>
      <c r="Q402" s="127"/>
      <c r="R402" s="127"/>
      <c r="S402" s="127"/>
      <c r="T402" s="127"/>
      <c r="U402" s="127"/>
      <c r="V402" s="128"/>
      <c r="W402" s="128"/>
      <c r="X402" s="129" t="str">
        <f t="shared" si="13"/>
        <v/>
      </c>
      <c r="Y402" s="127"/>
      <c r="Z402" s="128"/>
      <c r="AA402" s="130"/>
      <c r="AB402" s="130"/>
      <c r="AC402" s="130"/>
      <c r="AD402" s="130"/>
      <c r="AE402" s="130"/>
      <c r="AF402" s="130"/>
      <c r="AG402" s="127"/>
      <c r="AH402" s="130"/>
      <c r="AI402" s="127"/>
      <c r="AJ402" s="127"/>
      <c r="AK402" s="127"/>
    </row>
    <row r="403" spans="1:37" ht="36" customHeight="1" x14ac:dyDescent="0.25">
      <c r="A403" s="125"/>
      <c r="B403" s="126" t="str">
        <f t="shared" si="12"/>
        <v/>
      </c>
      <c r="C403" s="127"/>
      <c r="D403" s="127"/>
      <c r="E403" s="128"/>
      <c r="F403" s="127"/>
      <c r="G403" s="125"/>
      <c r="H403" s="128"/>
      <c r="I403" s="127"/>
      <c r="J403" s="127"/>
      <c r="K403" s="127"/>
      <c r="L403" s="125"/>
      <c r="M403" s="125"/>
      <c r="N403" s="125"/>
      <c r="O403" s="127"/>
      <c r="P403" s="127"/>
      <c r="Q403" s="127"/>
      <c r="R403" s="127"/>
      <c r="S403" s="127"/>
      <c r="T403" s="127"/>
      <c r="U403" s="127"/>
      <c r="V403" s="128"/>
      <c r="W403" s="128"/>
      <c r="X403" s="129" t="str">
        <f t="shared" si="13"/>
        <v/>
      </c>
      <c r="Y403" s="127"/>
      <c r="Z403" s="128"/>
      <c r="AA403" s="130"/>
      <c r="AB403" s="130"/>
      <c r="AC403" s="130"/>
      <c r="AD403" s="130"/>
      <c r="AE403" s="130"/>
      <c r="AF403" s="130"/>
      <c r="AG403" s="127"/>
      <c r="AH403" s="130"/>
      <c r="AI403" s="127"/>
      <c r="AJ403" s="127"/>
      <c r="AK403" s="127"/>
    </row>
    <row r="404" spans="1:37" ht="36" customHeight="1" x14ac:dyDescent="0.25">
      <c r="A404" s="125"/>
      <c r="B404" s="126" t="str">
        <f t="shared" si="12"/>
        <v/>
      </c>
      <c r="C404" s="127"/>
      <c r="D404" s="127"/>
      <c r="E404" s="128"/>
      <c r="F404" s="127"/>
      <c r="G404" s="125"/>
      <c r="H404" s="128"/>
      <c r="I404" s="127"/>
      <c r="J404" s="127"/>
      <c r="K404" s="127"/>
      <c r="L404" s="125"/>
      <c r="M404" s="125"/>
      <c r="N404" s="125"/>
      <c r="O404" s="127"/>
      <c r="P404" s="127"/>
      <c r="Q404" s="127"/>
      <c r="R404" s="127"/>
      <c r="S404" s="127"/>
      <c r="T404" s="127"/>
      <c r="U404" s="127"/>
      <c r="V404" s="128"/>
      <c r="W404" s="128"/>
      <c r="X404" s="129" t="str">
        <f t="shared" si="13"/>
        <v/>
      </c>
      <c r="Y404" s="127"/>
      <c r="Z404" s="128"/>
      <c r="AA404" s="130"/>
      <c r="AB404" s="130"/>
      <c r="AC404" s="130"/>
      <c r="AD404" s="130"/>
      <c r="AE404" s="130"/>
      <c r="AF404" s="130"/>
      <c r="AG404" s="127"/>
      <c r="AH404" s="130"/>
      <c r="AI404" s="127"/>
      <c r="AJ404" s="127"/>
      <c r="AK404" s="127"/>
    </row>
    <row r="405" spans="1:37" ht="36" customHeight="1" x14ac:dyDescent="0.25">
      <c r="A405" s="125"/>
      <c r="B405" s="126" t="str">
        <f t="shared" si="12"/>
        <v/>
      </c>
      <c r="C405" s="127"/>
      <c r="D405" s="127"/>
      <c r="E405" s="128"/>
      <c r="F405" s="127"/>
      <c r="G405" s="125"/>
      <c r="H405" s="128"/>
      <c r="I405" s="127"/>
      <c r="J405" s="127"/>
      <c r="K405" s="127"/>
      <c r="L405" s="125"/>
      <c r="M405" s="125"/>
      <c r="N405" s="125"/>
      <c r="O405" s="127"/>
      <c r="P405" s="127"/>
      <c r="Q405" s="127"/>
      <c r="R405" s="127"/>
      <c r="S405" s="127"/>
      <c r="T405" s="127"/>
      <c r="U405" s="127"/>
      <c r="V405" s="128"/>
      <c r="W405" s="128"/>
      <c r="X405" s="129" t="str">
        <f t="shared" si="13"/>
        <v/>
      </c>
      <c r="Y405" s="127"/>
      <c r="Z405" s="128"/>
      <c r="AA405" s="130"/>
      <c r="AB405" s="130"/>
      <c r="AC405" s="130"/>
      <c r="AD405" s="130"/>
      <c r="AE405" s="130"/>
      <c r="AF405" s="130"/>
      <c r="AG405" s="127"/>
      <c r="AH405" s="130"/>
      <c r="AI405" s="127"/>
      <c r="AJ405" s="127"/>
      <c r="AK405" s="127"/>
    </row>
    <row r="406" spans="1:37" ht="36" customHeight="1" x14ac:dyDescent="0.25">
      <c r="A406" s="125"/>
      <c r="B406" s="126" t="str">
        <f t="shared" si="12"/>
        <v/>
      </c>
      <c r="C406" s="127"/>
      <c r="D406" s="127"/>
      <c r="E406" s="128"/>
      <c r="F406" s="127"/>
      <c r="G406" s="125"/>
      <c r="H406" s="128"/>
      <c r="I406" s="127"/>
      <c r="J406" s="127"/>
      <c r="K406" s="127"/>
      <c r="L406" s="125"/>
      <c r="M406" s="125"/>
      <c r="N406" s="125"/>
      <c r="O406" s="127"/>
      <c r="P406" s="127"/>
      <c r="Q406" s="127"/>
      <c r="R406" s="127"/>
      <c r="S406" s="127"/>
      <c r="T406" s="127"/>
      <c r="U406" s="127"/>
      <c r="V406" s="128"/>
      <c r="W406" s="128"/>
      <c r="X406" s="129" t="str">
        <f t="shared" si="13"/>
        <v/>
      </c>
      <c r="Y406" s="127"/>
      <c r="Z406" s="128"/>
      <c r="AA406" s="130"/>
      <c r="AB406" s="130"/>
      <c r="AC406" s="130"/>
      <c r="AD406" s="130"/>
      <c r="AE406" s="130"/>
      <c r="AF406" s="130"/>
      <c r="AG406" s="127"/>
      <c r="AH406" s="130"/>
      <c r="AI406" s="127"/>
      <c r="AJ406" s="127"/>
      <c r="AK406" s="127"/>
    </row>
    <row r="407" spans="1:37" ht="36" customHeight="1" x14ac:dyDescent="0.25">
      <c r="A407" s="125"/>
      <c r="B407" s="126" t="str">
        <f t="shared" si="12"/>
        <v/>
      </c>
      <c r="C407" s="127"/>
      <c r="D407" s="127"/>
      <c r="E407" s="128"/>
      <c r="F407" s="127"/>
      <c r="G407" s="125"/>
      <c r="H407" s="128"/>
      <c r="I407" s="127"/>
      <c r="J407" s="127"/>
      <c r="K407" s="127"/>
      <c r="L407" s="125"/>
      <c r="M407" s="125"/>
      <c r="N407" s="125"/>
      <c r="O407" s="127"/>
      <c r="P407" s="127"/>
      <c r="Q407" s="127"/>
      <c r="R407" s="127"/>
      <c r="S407" s="127"/>
      <c r="T407" s="127"/>
      <c r="U407" s="127"/>
      <c r="V407" s="128"/>
      <c r="W407" s="128"/>
      <c r="X407" s="129" t="str">
        <f t="shared" si="13"/>
        <v/>
      </c>
      <c r="Y407" s="127"/>
      <c r="Z407" s="128"/>
      <c r="AA407" s="130"/>
      <c r="AB407" s="130"/>
      <c r="AC407" s="130"/>
      <c r="AD407" s="130"/>
      <c r="AE407" s="130"/>
      <c r="AF407" s="130"/>
      <c r="AG407" s="127"/>
      <c r="AH407" s="130"/>
      <c r="AI407" s="127"/>
      <c r="AJ407" s="127"/>
      <c r="AK407" s="127"/>
    </row>
    <row r="408" spans="1:37" ht="36" customHeight="1" x14ac:dyDescent="0.25">
      <c r="A408" s="125"/>
      <c r="B408" s="126" t="str">
        <f t="shared" si="12"/>
        <v/>
      </c>
      <c r="C408" s="127"/>
      <c r="D408" s="127"/>
      <c r="E408" s="128"/>
      <c r="F408" s="127"/>
      <c r="G408" s="125"/>
      <c r="H408" s="128"/>
      <c r="I408" s="127"/>
      <c r="J408" s="127"/>
      <c r="K408" s="127"/>
      <c r="L408" s="125"/>
      <c r="M408" s="125"/>
      <c r="N408" s="125"/>
      <c r="O408" s="127"/>
      <c r="P408" s="127"/>
      <c r="Q408" s="127"/>
      <c r="R408" s="127"/>
      <c r="S408" s="127"/>
      <c r="T408" s="127"/>
      <c r="U408" s="127"/>
      <c r="V408" s="128"/>
      <c r="W408" s="128"/>
      <c r="X408" s="129" t="str">
        <f t="shared" si="13"/>
        <v/>
      </c>
      <c r="Y408" s="127"/>
      <c r="Z408" s="128"/>
      <c r="AA408" s="130"/>
      <c r="AB408" s="130"/>
      <c r="AC408" s="130"/>
      <c r="AD408" s="130"/>
      <c r="AE408" s="130"/>
      <c r="AF408" s="130"/>
      <c r="AG408" s="127"/>
      <c r="AH408" s="130"/>
      <c r="AI408" s="127"/>
      <c r="AJ408" s="127"/>
      <c r="AK408" s="127"/>
    </row>
    <row r="409" spans="1:37" ht="36" customHeight="1" x14ac:dyDescent="0.25">
      <c r="A409" s="125"/>
      <c r="B409" s="126" t="str">
        <f t="shared" si="12"/>
        <v/>
      </c>
      <c r="C409" s="127"/>
      <c r="D409" s="127"/>
      <c r="E409" s="128"/>
      <c r="F409" s="127"/>
      <c r="G409" s="125"/>
      <c r="H409" s="128"/>
      <c r="I409" s="127"/>
      <c r="J409" s="127"/>
      <c r="K409" s="127"/>
      <c r="L409" s="125"/>
      <c r="M409" s="125"/>
      <c r="N409" s="125"/>
      <c r="O409" s="127"/>
      <c r="P409" s="127"/>
      <c r="Q409" s="127"/>
      <c r="R409" s="127"/>
      <c r="S409" s="127"/>
      <c r="T409" s="127"/>
      <c r="U409" s="127"/>
      <c r="V409" s="128"/>
      <c r="W409" s="128"/>
      <c r="X409" s="129" t="str">
        <f t="shared" si="13"/>
        <v/>
      </c>
      <c r="Y409" s="127"/>
      <c r="Z409" s="128"/>
      <c r="AA409" s="130"/>
      <c r="AB409" s="130"/>
      <c r="AC409" s="130"/>
      <c r="AD409" s="130"/>
      <c r="AE409" s="130"/>
      <c r="AF409" s="130"/>
      <c r="AG409" s="127"/>
      <c r="AH409" s="130"/>
      <c r="AI409" s="127"/>
      <c r="AJ409" s="127"/>
      <c r="AK409" s="127"/>
    </row>
    <row r="410" spans="1:37" ht="36" customHeight="1" x14ac:dyDescent="0.25">
      <c r="A410" s="125"/>
      <c r="B410" s="126" t="str">
        <f t="shared" si="12"/>
        <v/>
      </c>
      <c r="C410" s="127"/>
      <c r="D410" s="127"/>
      <c r="E410" s="128"/>
      <c r="F410" s="127"/>
      <c r="G410" s="125"/>
      <c r="H410" s="128"/>
      <c r="I410" s="127"/>
      <c r="J410" s="127"/>
      <c r="K410" s="127"/>
      <c r="L410" s="125"/>
      <c r="M410" s="125"/>
      <c r="N410" s="125"/>
      <c r="O410" s="127"/>
      <c r="P410" s="127"/>
      <c r="Q410" s="127"/>
      <c r="R410" s="127"/>
      <c r="S410" s="127"/>
      <c r="T410" s="127"/>
      <c r="U410" s="127"/>
      <c r="V410" s="128"/>
      <c r="W410" s="128"/>
      <c r="X410" s="129" t="str">
        <f t="shared" si="13"/>
        <v/>
      </c>
      <c r="Y410" s="127"/>
      <c r="Z410" s="128"/>
      <c r="AA410" s="130"/>
      <c r="AB410" s="130"/>
      <c r="AC410" s="130"/>
      <c r="AD410" s="130"/>
      <c r="AE410" s="130"/>
      <c r="AF410" s="130"/>
      <c r="AG410" s="127"/>
      <c r="AH410" s="130"/>
      <c r="AI410" s="127"/>
      <c r="AJ410" s="127"/>
      <c r="AK410" s="127"/>
    </row>
    <row r="411" spans="1:37" ht="36" customHeight="1" x14ac:dyDescent="0.25">
      <c r="A411" s="125"/>
      <c r="B411" s="126" t="str">
        <f t="shared" si="12"/>
        <v/>
      </c>
      <c r="C411" s="127"/>
      <c r="D411" s="127"/>
      <c r="E411" s="128"/>
      <c r="F411" s="127"/>
      <c r="G411" s="125"/>
      <c r="H411" s="128"/>
      <c r="I411" s="127"/>
      <c r="J411" s="127"/>
      <c r="K411" s="127"/>
      <c r="L411" s="125"/>
      <c r="M411" s="125"/>
      <c r="N411" s="125"/>
      <c r="O411" s="127"/>
      <c r="P411" s="127"/>
      <c r="Q411" s="127"/>
      <c r="R411" s="127"/>
      <c r="S411" s="127"/>
      <c r="T411" s="127"/>
      <c r="U411" s="127"/>
      <c r="V411" s="128"/>
      <c r="W411" s="128"/>
      <c r="X411" s="129" t="str">
        <f t="shared" si="13"/>
        <v/>
      </c>
      <c r="Y411" s="127"/>
      <c r="Z411" s="128"/>
      <c r="AA411" s="130"/>
      <c r="AB411" s="130"/>
      <c r="AC411" s="130"/>
      <c r="AD411" s="130"/>
      <c r="AE411" s="130"/>
      <c r="AF411" s="130"/>
      <c r="AG411" s="127"/>
      <c r="AH411" s="130"/>
      <c r="AI411" s="127"/>
      <c r="AJ411" s="127"/>
      <c r="AK411" s="127"/>
    </row>
    <row r="412" spans="1:37" ht="36" customHeight="1" x14ac:dyDescent="0.25">
      <c r="A412" s="125"/>
      <c r="B412" s="126" t="str">
        <f t="shared" si="12"/>
        <v/>
      </c>
      <c r="C412" s="127"/>
      <c r="D412" s="127"/>
      <c r="E412" s="128"/>
      <c r="F412" s="127"/>
      <c r="G412" s="125"/>
      <c r="H412" s="128"/>
      <c r="I412" s="127"/>
      <c r="J412" s="127"/>
      <c r="K412" s="127"/>
      <c r="L412" s="125"/>
      <c r="M412" s="125"/>
      <c r="N412" s="125"/>
      <c r="O412" s="127"/>
      <c r="P412" s="127"/>
      <c r="Q412" s="127"/>
      <c r="R412" s="127"/>
      <c r="S412" s="127"/>
      <c r="T412" s="127"/>
      <c r="U412" s="127"/>
      <c r="V412" s="128"/>
      <c r="W412" s="128"/>
      <c r="X412" s="129" t="str">
        <f t="shared" si="13"/>
        <v/>
      </c>
      <c r="Y412" s="127"/>
      <c r="Z412" s="128"/>
      <c r="AA412" s="130"/>
      <c r="AB412" s="130"/>
      <c r="AC412" s="130"/>
      <c r="AD412" s="130"/>
      <c r="AE412" s="130"/>
      <c r="AF412" s="130"/>
      <c r="AG412" s="127"/>
      <c r="AH412" s="130"/>
      <c r="AI412" s="127"/>
      <c r="AJ412" s="127"/>
      <c r="AK412" s="127"/>
    </row>
    <row r="413" spans="1:37" ht="36" customHeight="1" x14ac:dyDescent="0.25">
      <c r="A413" s="125"/>
      <c r="B413" s="126" t="str">
        <f t="shared" si="12"/>
        <v/>
      </c>
      <c r="C413" s="127"/>
      <c r="D413" s="127"/>
      <c r="E413" s="128"/>
      <c r="F413" s="127"/>
      <c r="G413" s="125"/>
      <c r="H413" s="128"/>
      <c r="I413" s="127"/>
      <c r="J413" s="127"/>
      <c r="K413" s="127"/>
      <c r="L413" s="125"/>
      <c r="M413" s="125"/>
      <c r="N413" s="125"/>
      <c r="O413" s="127"/>
      <c r="P413" s="127"/>
      <c r="Q413" s="127"/>
      <c r="R413" s="127"/>
      <c r="S413" s="127"/>
      <c r="T413" s="127"/>
      <c r="U413" s="127"/>
      <c r="V413" s="128"/>
      <c r="W413" s="128"/>
      <c r="X413" s="129" t="str">
        <f t="shared" si="13"/>
        <v/>
      </c>
      <c r="Y413" s="127"/>
      <c r="Z413" s="128"/>
      <c r="AA413" s="130"/>
      <c r="AB413" s="130"/>
      <c r="AC413" s="130"/>
      <c r="AD413" s="130"/>
      <c r="AE413" s="130"/>
      <c r="AF413" s="130"/>
      <c r="AG413" s="127"/>
      <c r="AH413" s="130"/>
      <c r="AI413" s="127"/>
      <c r="AJ413" s="127"/>
      <c r="AK413" s="127"/>
    </row>
    <row r="414" spans="1:37" ht="36" customHeight="1" x14ac:dyDescent="0.25">
      <c r="A414" s="125"/>
      <c r="B414" s="126" t="str">
        <f t="shared" si="12"/>
        <v/>
      </c>
      <c r="C414" s="127"/>
      <c r="D414" s="127"/>
      <c r="E414" s="128"/>
      <c r="F414" s="127"/>
      <c r="G414" s="125"/>
      <c r="H414" s="128"/>
      <c r="I414" s="127"/>
      <c r="J414" s="127"/>
      <c r="K414" s="127"/>
      <c r="L414" s="125"/>
      <c r="M414" s="125"/>
      <c r="N414" s="125"/>
      <c r="O414" s="127"/>
      <c r="P414" s="127"/>
      <c r="Q414" s="127"/>
      <c r="R414" s="127"/>
      <c r="S414" s="127"/>
      <c r="T414" s="127"/>
      <c r="U414" s="127"/>
      <c r="V414" s="128"/>
      <c r="W414" s="128"/>
      <c r="X414" s="129" t="str">
        <f t="shared" si="13"/>
        <v/>
      </c>
      <c r="Y414" s="127"/>
      <c r="Z414" s="128"/>
      <c r="AA414" s="130"/>
      <c r="AB414" s="130"/>
      <c r="AC414" s="130"/>
      <c r="AD414" s="130"/>
      <c r="AE414" s="130"/>
      <c r="AF414" s="130"/>
      <c r="AG414" s="127"/>
      <c r="AH414" s="130"/>
      <c r="AI414" s="127"/>
      <c r="AJ414" s="127"/>
      <c r="AK414" s="127"/>
    </row>
    <row r="415" spans="1:37" ht="36" customHeight="1" x14ac:dyDescent="0.25">
      <c r="A415" s="125"/>
      <c r="B415" s="126" t="str">
        <f t="shared" si="12"/>
        <v/>
      </c>
      <c r="C415" s="127"/>
      <c r="D415" s="127"/>
      <c r="E415" s="128"/>
      <c r="F415" s="127"/>
      <c r="G415" s="125"/>
      <c r="H415" s="128"/>
      <c r="I415" s="127"/>
      <c r="J415" s="127"/>
      <c r="K415" s="127"/>
      <c r="L415" s="125"/>
      <c r="M415" s="125"/>
      <c r="N415" s="125"/>
      <c r="O415" s="127"/>
      <c r="P415" s="127"/>
      <c r="Q415" s="127"/>
      <c r="R415" s="127"/>
      <c r="S415" s="127"/>
      <c r="T415" s="127"/>
      <c r="U415" s="127"/>
      <c r="V415" s="128"/>
      <c r="W415" s="128"/>
      <c r="X415" s="129" t="str">
        <f t="shared" si="13"/>
        <v/>
      </c>
      <c r="Y415" s="127"/>
      <c r="Z415" s="128"/>
      <c r="AA415" s="130"/>
      <c r="AB415" s="130"/>
      <c r="AC415" s="130"/>
      <c r="AD415" s="130"/>
      <c r="AE415" s="130"/>
      <c r="AF415" s="130"/>
      <c r="AG415" s="127"/>
      <c r="AH415" s="130"/>
      <c r="AI415" s="127"/>
      <c r="AJ415" s="127"/>
      <c r="AK415" s="127"/>
    </row>
    <row r="416" spans="1:37" ht="36" customHeight="1" x14ac:dyDescent="0.25">
      <c r="A416" s="125"/>
      <c r="B416" s="126" t="str">
        <f t="shared" si="12"/>
        <v/>
      </c>
      <c r="C416" s="127"/>
      <c r="D416" s="127"/>
      <c r="E416" s="128"/>
      <c r="F416" s="127"/>
      <c r="G416" s="125"/>
      <c r="H416" s="128"/>
      <c r="I416" s="127"/>
      <c r="J416" s="127"/>
      <c r="K416" s="127"/>
      <c r="L416" s="125"/>
      <c r="M416" s="125"/>
      <c r="N416" s="125"/>
      <c r="O416" s="127"/>
      <c r="P416" s="127"/>
      <c r="Q416" s="127"/>
      <c r="R416" s="127"/>
      <c r="S416" s="127"/>
      <c r="T416" s="127"/>
      <c r="U416" s="127"/>
      <c r="V416" s="128"/>
      <c r="W416" s="128"/>
      <c r="X416" s="129" t="str">
        <f t="shared" si="13"/>
        <v/>
      </c>
      <c r="Y416" s="127"/>
      <c r="Z416" s="128"/>
      <c r="AA416" s="130"/>
      <c r="AB416" s="130"/>
      <c r="AC416" s="130"/>
      <c r="AD416" s="130"/>
      <c r="AE416" s="130"/>
      <c r="AF416" s="130"/>
      <c r="AG416" s="127"/>
      <c r="AH416" s="130"/>
      <c r="AI416" s="127"/>
      <c r="AJ416" s="127"/>
      <c r="AK416" s="127"/>
    </row>
    <row r="417" spans="1:37" ht="36" customHeight="1" x14ac:dyDescent="0.25">
      <c r="A417" s="125"/>
      <c r="B417" s="126" t="str">
        <f t="shared" si="12"/>
        <v/>
      </c>
      <c r="C417" s="127"/>
      <c r="D417" s="127"/>
      <c r="E417" s="128"/>
      <c r="F417" s="127"/>
      <c r="G417" s="125"/>
      <c r="H417" s="128"/>
      <c r="I417" s="127"/>
      <c r="J417" s="127"/>
      <c r="K417" s="127"/>
      <c r="L417" s="125"/>
      <c r="M417" s="125"/>
      <c r="N417" s="125"/>
      <c r="O417" s="127"/>
      <c r="P417" s="127"/>
      <c r="Q417" s="127"/>
      <c r="R417" s="127"/>
      <c r="S417" s="127"/>
      <c r="T417" s="127"/>
      <c r="U417" s="127"/>
      <c r="V417" s="128"/>
      <c r="W417" s="128"/>
      <c r="X417" s="129" t="str">
        <f t="shared" si="13"/>
        <v/>
      </c>
      <c r="Y417" s="127"/>
      <c r="Z417" s="128"/>
      <c r="AA417" s="130"/>
      <c r="AB417" s="130"/>
      <c r="AC417" s="130"/>
      <c r="AD417" s="130"/>
      <c r="AE417" s="130"/>
      <c r="AF417" s="130"/>
      <c r="AG417" s="127"/>
      <c r="AH417" s="130"/>
      <c r="AI417" s="127"/>
      <c r="AJ417" s="127"/>
      <c r="AK417" s="127"/>
    </row>
    <row r="418" spans="1:37" ht="36" customHeight="1" x14ac:dyDescent="0.25">
      <c r="A418" s="125"/>
      <c r="B418" s="126" t="str">
        <f t="shared" si="12"/>
        <v/>
      </c>
      <c r="C418" s="127"/>
      <c r="D418" s="127"/>
      <c r="E418" s="128"/>
      <c r="F418" s="127"/>
      <c r="G418" s="125"/>
      <c r="H418" s="128"/>
      <c r="I418" s="127"/>
      <c r="J418" s="127"/>
      <c r="K418" s="127"/>
      <c r="L418" s="125"/>
      <c r="M418" s="125"/>
      <c r="N418" s="125"/>
      <c r="O418" s="127"/>
      <c r="P418" s="127"/>
      <c r="Q418" s="127"/>
      <c r="R418" s="127"/>
      <c r="S418" s="127"/>
      <c r="T418" s="127"/>
      <c r="U418" s="127"/>
      <c r="V418" s="128"/>
      <c r="W418" s="128"/>
      <c r="X418" s="129" t="str">
        <f t="shared" si="13"/>
        <v/>
      </c>
      <c r="Y418" s="127"/>
      <c r="Z418" s="128"/>
      <c r="AA418" s="130"/>
      <c r="AB418" s="130"/>
      <c r="AC418" s="130"/>
      <c r="AD418" s="130"/>
      <c r="AE418" s="130"/>
      <c r="AF418" s="130"/>
      <c r="AG418" s="127"/>
      <c r="AH418" s="130"/>
      <c r="AI418" s="127"/>
      <c r="AJ418" s="127"/>
      <c r="AK418" s="127"/>
    </row>
    <row r="419" spans="1:37" ht="36" customHeight="1" x14ac:dyDescent="0.25">
      <c r="A419" s="125"/>
      <c r="B419" s="126" t="str">
        <f t="shared" si="12"/>
        <v/>
      </c>
      <c r="C419" s="127"/>
      <c r="D419" s="127"/>
      <c r="E419" s="128"/>
      <c r="F419" s="127"/>
      <c r="G419" s="125"/>
      <c r="H419" s="128"/>
      <c r="I419" s="127"/>
      <c r="J419" s="127"/>
      <c r="K419" s="127"/>
      <c r="L419" s="125"/>
      <c r="M419" s="125"/>
      <c r="N419" s="125"/>
      <c r="O419" s="127"/>
      <c r="P419" s="127"/>
      <c r="Q419" s="127"/>
      <c r="R419" s="127"/>
      <c r="S419" s="127"/>
      <c r="T419" s="127"/>
      <c r="U419" s="127"/>
      <c r="V419" s="128"/>
      <c r="W419" s="128"/>
      <c r="X419" s="129" t="str">
        <f t="shared" si="13"/>
        <v/>
      </c>
      <c r="Y419" s="127"/>
      <c r="Z419" s="128"/>
      <c r="AA419" s="130"/>
      <c r="AB419" s="130"/>
      <c r="AC419" s="130"/>
      <c r="AD419" s="130"/>
      <c r="AE419" s="130"/>
      <c r="AF419" s="130"/>
      <c r="AG419" s="127"/>
      <c r="AH419" s="130"/>
      <c r="AI419" s="127"/>
      <c r="AJ419" s="127"/>
      <c r="AK419" s="127"/>
    </row>
    <row r="420" spans="1:37" ht="36" customHeight="1" x14ac:dyDescent="0.25">
      <c r="A420" s="125"/>
      <c r="B420" s="126" t="str">
        <f t="shared" si="12"/>
        <v/>
      </c>
      <c r="C420" s="127"/>
      <c r="D420" s="127"/>
      <c r="E420" s="128"/>
      <c r="F420" s="127"/>
      <c r="G420" s="125"/>
      <c r="H420" s="128"/>
      <c r="I420" s="127"/>
      <c r="J420" s="127"/>
      <c r="K420" s="127"/>
      <c r="L420" s="125"/>
      <c r="M420" s="125"/>
      <c r="N420" s="125"/>
      <c r="O420" s="127"/>
      <c r="P420" s="127"/>
      <c r="Q420" s="127"/>
      <c r="R420" s="127"/>
      <c r="S420" s="127"/>
      <c r="T420" s="127"/>
      <c r="U420" s="127"/>
      <c r="V420" s="128"/>
      <c r="W420" s="128"/>
      <c r="X420" s="129" t="str">
        <f t="shared" si="13"/>
        <v/>
      </c>
      <c r="Y420" s="127"/>
      <c r="Z420" s="128"/>
      <c r="AA420" s="130"/>
      <c r="AB420" s="130"/>
      <c r="AC420" s="130"/>
      <c r="AD420" s="130"/>
      <c r="AE420" s="130"/>
      <c r="AF420" s="130"/>
      <c r="AG420" s="127"/>
      <c r="AH420" s="130"/>
      <c r="AI420" s="127"/>
      <c r="AJ420" s="127"/>
      <c r="AK420" s="127"/>
    </row>
    <row r="421" spans="1:37" ht="36" customHeight="1" x14ac:dyDescent="0.25">
      <c r="A421" s="125"/>
      <c r="B421" s="126" t="str">
        <f t="shared" si="12"/>
        <v/>
      </c>
      <c r="C421" s="127"/>
      <c r="D421" s="127"/>
      <c r="E421" s="128"/>
      <c r="F421" s="127"/>
      <c r="G421" s="125"/>
      <c r="H421" s="128"/>
      <c r="I421" s="127"/>
      <c r="J421" s="127"/>
      <c r="K421" s="127"/>
      <c r="L421" s="125"/>
      <c r="M421" s="125"/>
      <c r="N421" s="125"/>
      <c r="O421" s="127"/>
      <c r="P421" s="127"/>
      <c r="Q421" s="127"/>
      <c r="R421" s="127"/>
      <c r="S421" s="127"/>
      <c r="T421" s="127"/>
      <c r="U421" s="127"/>
      <c r="V421" s="128"/>
      <c r="W421" s="128"/>
      <c r="X421" s="129" t="str">
        <f t="shared" si="13"/>
        <v/>
      </c>
      <c r="Y421" s="127"/>
      <c r="Z421" s="128"/>
      <c r="AA421" s="130"/>
      <c r="AB421" s="130"/>
      <c r="AC421" s="130"/>
      <c r="AD421" s="130"/>
      <c r="AE421" s="130"/>
      <c r="AF421" s="130"/>
      <c r="AG421" s="127"/>
      <c r="AH421" s="130"/>
      <c r="AI421" s="127"/>
      <c r="AJ421" s="127"/>
      <c r="AK421" s="127"/>
    </row>
    <row r="422" spans="1:37" ht="36" customHeight="1" x14ac:dyDescent="0.25">
      <c r="A422" s="125"/>
      <c r="B422" s="126" t="str">
        <f t="shared" si="12"/>
        <v/>
      </c>
      <c r="C422" s="127"/>
      <c r="D422" s="127"/>
      <c r="E422" s="128"/>
      <c r="F422" s="127"/>
      <c r="G422" s="125"/>
      <c r="H422" s="128"/>
      <c r="I422" s="127"/>
      <c r="J422" s="127"/>
      <c r="K422" s="127"/>
      <c r="L422" s="125"/>
      <c r="M422" s="125"/>
      <c r="N422" s="125"/>
      <c r="O422" s="127"/>
      <c r="P422" s="127"/>
      <c r="Q422" s="127"/>
      <c r="R422" s="127"/>
      <c r="S422" s="127"/>
      <c r="T422" s="127"/>
      <c r="U422" s="127"/>
      <c r="V422" s="128"/>
      <c r="W422" s="128"/>
      <c r="X422" s="129" t="str">
        <f t="shared" si="13"/>
        <v/>
      </c>
      <c r="Y422" s="127"/>
      <c r="Z422" s="128"/>
      <c r="AA422" s="130"/>
      <c r="AB422" s="130"/>
      <c r="AC422" s="130"/>
      <c r="AD422" s="130"/>
      <c r="AE422" s="130"/>
      <c r="AF422" s="130"/>
      <c r="AG422" s="127"/>
      <c r="AH422" s="130"/>
      <c r="AI422" s="127"/>
      <c r="AJ422" s="127"/>
      <c r="AK422" s="127"/>
    </row>
    <row r="423" spans="1:37" ht="36" customHeight="1" x14ac:dyDescent="0.25">
      <c r="A423" s="125"/>
      <c r="B423" s="126" t="str">
        <f t="shared" si="12"/>
        <v/>
      </c>
      <c r="C423" s="127"/>
      <c r="D423" s="127"/>
      <c r="E423" s="128"/>
      <c r="F423" s="127"/>
      <c r="G423" s="125"/>
      <c r="H423" s="128"/>
      <c r="I423" s="127"/>
      <c r="J423" s="127"/>
      <c r="K423" s="127"/>
      <c r="L423" s="125"/>
      <c r="M423" s="125"/>
      <c r="N423" s="125"/>
      <c r="O423" s="127"/>
      <c r="P423" s="127"/>
      <c r="Q423" s="127"/>
      <c r="R423" s="127"/>
      <c r="S423" s="127"/>
      <c r="T423" s="127"/>
      <c r="U423" s="127"/>
      <c r="V423" s="128"/>
      <c r="W423" s="128"/>
      <c r="X423" s="129" t="str">
        <f t="shared" si="13"/>
        <v/>
      </c>
      <c r="Y423" s="127"/>
      <c r="Z423" s="128"/>
      <c r="AA423" s="130"/>
      <c r="AB423" s="130"/>
      <c r="AC423" s="130"/>
      <c r="AD423" s="130"/>
      <c r="AE423" s="130"/>
      <c r="AF423" s="130"/>
      <c r="AG423" s="127"/>
      <c r="AH423" s="130"/>
      <c r="AI423" s="127"/>
      <c r="AJ423" s="127"/>
      <c r="AK423" s="127"/>
    </row>
    <row r="424" spans="1:37" ht="36" customHeight="1" x14ac:dyDescent="0.25">
      <c r="A424" s="125"/>
      <c r="B424" s="126" t="str">
        <f t="shared" si="12"/>
        <v/>
      </c>
      <c r="C424" s="127"/>
      <c r="D424" s="127"/>
      <c r="E424" s="128"/>
      <c r="F424" s="127"/>
      <c r="G424" s="125"/>
      <c r="H424" s="128"/>
      <c r="I424" s="127"/>
      <c r="J424" s="127"/>
      <c r="K424" s="127"/>
      <c r="L424" s="125"/>
      <c r="M424" s="125"/>
      <c r="N424" s="125"/>
      <c r="O424" s="127"/>
      <c r="P424" s="127"/>
      <c r="Q424" s="127"/>
      <c r="R424" s="127"/>
      <c r="S424" s="127"/>
      <c r="T424" s="127"/>
      <c r="U424" s="127"/>
      <c r="V424" s="128"/>
      <c r="W424" s="128"/>
      <c r="X424" s="129" t="str">
        <f t="shared" si="13"/>
        <v/>
      </c>
      <c r="Y424" s="127"/>
      <c r="Z424" s="128"/>
      <c r="AA424" s="130"/>
      <c r="AB424" s="130"/>
      <c r="AC424" s="130"/>
      <c r="AD424" s="130"/>
      <c r="AE424" s="130"/>
      <c r="AF424" s="130"/>
      <c r="AG424" s="127"/>
      <c r="AH424" s="130"/>
      <c r="AI424" s="127"/>
      <c r="AJ424" s="127"/>
      <c r="AK424" s="127"/>
    </row>
    <row r="425" spans="1:37" ht="36" customHeight="1" x14ac:dyDescent="0.25">
      <c r="A425" s="125"/>
      <c r="B425" s="126" t="str">
        <f t="shared" si="12"/>
        <v/>
      </c>
      <c r="C425" s="127"/>
      <c r="D425" s="127"/>
      <c r="E425" s="128"/>
      <c r="F425" s="127"/>
      <c r="G425" s="125"/>
      <c r="H425" s="128"/>
      <c r="I425" s="127"/>
      <c r="J425" s="127"/>
      <c r="K425" s="127"/>
      <c r="L425" s="125"/>
      <c r="M425" s="125"/>
      <c r="N425" s="125"/>
      <c r="O425" s="127"/>
      <c r="P425" s="127"/>
      <c r="Q425" s="127"/>
      <c r="R425" s="127"/>
      <c r="S425" s="127"/>
      <c r="T425" s="127"/>
      <c r="U425" s="127"/>
      <c r="V425" s="128"/>
      <c r="W425" s="128"/>
      <c r="X425" s="129" t="str">
        <f t="shared" si="13"/>
        <v/>
      </c>
      <c r="Y425" s="127"/>
      <c r="Z425" s="128"/>
      <c r="AA425" s="130"/>
      <c r="AB425" s="130"/>
      <c r="AC425" s="130"/>
      <c r="AD425" s="130"/>
      <c r="AE425" s="130"/>
      <c r="AF425" s="130"/>
      <c r="AG425" s="127"/>
      <c r="AH425" s="130"/>
      <c r="AI425" s="127"/>
      <c r="AJ425" s="127"/>
      <c r="AK425" s="127"/>
    </row>
    <row r="426" spans="1:37" ht="36" customHeight="1" x14ac:dyDescent="0.25">
      <c r="A426" s="125"/>
      <c r="B426" s="126" t="str">
        <f t="shared" si="12"/>
        <v/>
      </c>
      <c r="C426" s="127"/>
      <c r="D426" s="127"/>
      <c r="E426" s="128"/>
      <c r="F426" s="127"/>
      <c r="G426" s="125"/>
      <c r="H426" s="128"/>
      <c r="I426" s="127"/>
      <c r="J426" s="127"/>
      <c r="K426" s="127"/>
      <c r="L426" s="125"/>
      <c r="M426" s="125"/>
      <c r="N426" s="125"/>
      <c r="O426" s="127"/>
      <c r="P426" s="127"/>
      <c r="Q426" s="127"/>
      <c r="R426" s="127"/>
      <c r="S426" s="127"/>
      <c r="T426" s="127"/>
      <c r="U426" s="127"/>
      <c r="V426" s="128"/>
      <c r="W426" s="128"/>
      <c r="X426" s="129" t="str">
        <f t="shared" si="13"/>
        <v/>
      </c>
      <c r="Y426" s="127"/>
      <c r="Z426" s="128"/>
      <c r="AA426" s="130"/>
      <c r="AB426" s="130"/>
      <c r="AC426" s="130"/>
      <c r="AD426" s="130"/>
      <c r="AE426" s="130"/>
      <c r="AF426" s="130"/>
      <c r="AG426" s="127"/>
      <c r="AH426" s="130"/>
      <c r="AI426" s="127"/>
      <c r="AJ426" s="127"/>
      <c r="AK426" s="127"/>
    </row>
    <row r="427" spans="1:37" ht="36" customHeight="1" x14ac:dyDescent="0.25">
      <c r="A427" s="125"/>
      <c r="B427" s="126" t="str">
        <f t="shared" si="12"/>
        <v/>
      </c>
      <c r="C427" s="127"/>
      <c r="D427" s="127"/>
      <c r="E427" s="128"/>
      <c r="F427" s="127"/>
      <c r="G427" s="125"/>
      <c r="H427" s="128"/>
      <c r="I427" s="127"/>
      <c r="J427" s="127"/>
      <c r="K427" s="127"/>
      <c r="L427" s="125"/>
      <c r="M427" s="125"/>
      <c r="N427" s="125"/>
      <c r="O427" s="127"/>
      <c r="P427" s="127"/>
      <c r="Q427" s="127"/>
      <c r="R427" s="127"/>
      <c r="S427" s="127"/>
      <c r="T427" s="127"/>
      <c r="U427" s="127"/>
      <c r="V427" s="128"/>
      <c r="W427" s="128"/>
      <c r="X427" s="129" t="str">
        <f t="shared" si="13"/>
        <v/>
      </c>
      <c r="Y427" s="127"/>
      <c r="Z427" s="128"/>
      <c r="AA427" s="130"/>
      <c r="AB427" s="130"/>
      <c r="AC427" s="130"/>
      <c r="AD427" s="130"/>
      <c r="AE427" s="130"/>
      <c r="AF427" s="130"/>
      <c r="AG427" s="127"/>
      <c r="AH427" s="130"/>
      <c r="AI427" s="127"/>
      <c r="AJ427" s="127"/>
      <c r="AK427" s="127"/>
    </row>
    <row r="428" spans="1:37" ht="36" customHeight="1" x14ac:dyDescent="0.25">
      <c r="A428" s="125"/>
      <c r="B428" s="126" t="str">
        <f t="shared" si="12"/>
        <v/>
      </c>
      <c r="C428" s="127"/>
      <c r="D428" s="127"/>
      <c r="E428" s="128"/>
      <c r="F428" s="127"/>
      <c r="G428" s="125"/>
      <c r="H428" s="128"/>
      <c r="I428" s="127"/>
      <c r="J428" s="127"/>
      <c r="K428" s="127"/>
      <c r="L428" s="125"/>
      <c r="M428" s="125"/>
      <c r="N428" s="125"/>
      <c r="O428" s="127"/>
      <c r="P428" s="127"/>
      <c r="Q428" s="127"/>
      <c r="R428" s="127"/>
      <c r="S428" s="127"/>
      <c r="T428" s="127"/>
      <c r="U428" s="127"/>
      <c r="V428" s="128"/>
      <c r="W428" s="128"/>
      <c r="X428" s="129" t="str">
        <f t="shared" si="13"/>
        <v/>
      </c>
      <c r="Y428" s="127"/>
      <c r="Z428" s="128"/>
      <c r="AA428" s="130"/>
      <c r="AB428" s="130"/>
      <c r="AC428" s="130"/>
      <c r="AD428" s="130"/>
      <c r="AE428" s="130"/>
      <c r="AF428" s="130"/>
      <c r="AG428" s="127"/>
      <c r="AH428" s="130"/>
      <c r="AI428" s="127"/>
      <c r="AJ428" s="127"/>
      <c r="AK428" s="127"/>
    </row>
    <row r="429" spans="1:37" ht="36" customHeight="1" x14ac:dyDescent="0.25">
      <c r="A429" s="125"/>
      <c r="B429" s="126" t="str">
        <f t="shared" si="12"/>
        <v/>
      </c>
      <c r="C429" s="127"/>
      <c r="D429" s="127"/>
      <c r="E429" s="128"/>
      <c r="F429" s="127"/>
      <c r="G429" s="125"/>
      <c r="H429" s="128"/>
      <c r="I429" s="127"/>
      <c r="J429" s="127"/>
      <c r="K429" s="127"/>
      <c r="L429" s="125"/>
      <c r="M429" s="125"/>
      <c r="N429" s="125"/>
      <c r="O429" s="127"/>
      <c r="P429" s="127"/>
      <c r="Q429" s="127"/>
      <c r="R429" s="127"/>
      <c r="S429" s="127"/>
      <c r="T429" s="127"/>
      <c r="U429" s="127"/>
      <c r="V429" s="128"/>
      <c r="W429" s="128"/>
      <c r="X429" s="129" t="str">
        <f t="shared" si="13"/>
        <v/>
      </c>
      <c r="Y429" s="127"/>
      <c r="Z429" s="128"/>
      <c r="AA429" s="130"/>
      <c r="AB429" s="130"/>
      <c r="AC429" s="130"/>
      <c r="AD429" s="130"/>
      <c r="AE429" s="130"/>
      <c r="AF429" s="130"/>
      <c r="AG429" s="127"/>
      <c r="AH429" s="130"/>
      <c r="AI429" s="127"/>
      <c r="AJ429" s="127"/>
      <c r="AK429" s="127"/>
    </row>
    <row r="430" spans="1:37" ht="36" customHeight="1" x14ac:dyDescent="0.25">
      <c r="A430" s="125"/>
      <c r="B430" s="126" t="str">
        <f t="shared" si="12"/>
        <v/>
      </c>
      <c r="C430" s="127"/>
      <c r="D430" s="127"/>
      <c r="E430" s="128"/>
      <c r="F430" s="127"/>
      <c r="G430" s="125"/>
      <c r="H430" s="128"/>
      <c r="I430" s="127"/>
      <c r="J430" s="127"/>
      <c r="K430" s="127"/>
      <c r="L430" s="125"/>
      <c r="M430" s="125"/>
      <c r="N430" s="125"/>
      <c r="O430" s="127"/>
      <c r="P430" s="127"/>
      <c r="Q430" s="127"/>
      <c r="R430" s="127"/>
      <c r="S430" s="127"/>
      <c r="T430" s="127"/>
      <c r="U430" s="127"/>
      <c r="V430" s="128"/>
      <c r="W430" s="128"/>
      <c r="X430" s="129" t="str">
        <f t="shared" si="13"/>
        <v/>
      </c>
      <c r="Y430" s="127"/>
      <c r="Z430" s="128"/>
      <c r="AA430" s="130"/>
      <c r="AB430" s="130"/>
      <c r="AC430" s="130"/>
      <c r="AD430" s="130"/>
      <c r="AE430" s="130"/>
      <c r="AF430" s="130"/>
      <c r="AG430" s="127"/>
      <c r="AH430" s="130"/>
      <c r="AI430" s="127"/>
      <c r="AJ430" s="127"/>
      <c r="AK430" s="127"/>
    </row>
    <row r="431" spans="1:37" ht="36" customHeight="1" x14ac:dyDescent="0.25">
      <c r="A431" s="125"/>
      <c r="B431" s="126" t="str">
        <f t="shared" si="12"/>
        <v/>
      </c>
      <c r="C431" s="127"/>
      <c r="D431" s="127"/>
      <c r="E431" s="128"/>
      <c r="F431" s="127"/>
      <c r="G431" s="125"/>
      <c r="H431" s="128"/>
      <c r="I431" s="127"/>
      <c r="J431" s="127"/>
      <c r="K431" s="127"/>
      <c r="L431" s="125"/>
      <c r="M431" s="125"/>
      <c r="N431" s="125"/>
      <c r="O431" s="127"/>
      <c r="P431" s="127"/>
      <c r="Q431" s="127"/>
      <c r="R431" s="127"/>
      <c r="S431" s="127"/>
      <c r="T431" s="127"/>
      <c r="U431" s="127"/>
      <c r="V431" s="128"/>
      <c r="W431" s="128"/>
      <c r="X431" s="129" t="str">
        <f t="shared" si="13"/>
        <v/>
      </c>
      <c r="Y431" s="127"/>
      <c r="Z431" s="128"/>
      <c r="AA431" s="130"/>
      <c r="AB431" s="130"/>
      <c r="AC431" s="130"/>
      <c r="AD431" s="130"/>
      <c r="AE431" s="130"/>
      <c r="AF431" s="130"/>
      <c r="AG431" s="127"/>
      <c r="AH431" s="130"/>
      <c r="AI431" s="127"/>
      <c r="AJ431" s="127"/>
      <c r="AK431" s="127"/>
    </row>
    <row r="432" spans="1:37" ht="36" customHeight="1" x14ac:dyDescent="0.25">
      <c r="A432" s="125"/>
      <c r="B432" s="126" t="str">
        <f t="shared" si="12"/>
        <v/>
      </c>
      <c r="C432" s="127"/>
      <c r="D432" s="127"/>
      <c r="E432" s="128"/>
      <c r="F432" s="127"/>
      <c r="G432" s="125"/>
      <c r="H432" s="128"/>
      <c r="I432" s="127"/>
      <c r="J432" s="127"/>
      <c r="K432" s="127"/>
      <c r="L432" s="125"/>
      <c r="M432" s="125"/>
      <c r="N432" s="125"/>
      <c r="O432" s="127"/>
      <c r="P432" s="127"/>
      <c r="Q432" s="127"/>
      <c r="R432" s="127"/>
      <c r="S432" s="127"/>
      <c r="T432" s="127"/>
      <c r="U432" s="127"/>
      <c r="V432" s="128"/>
      <c r="W432" s="128"/>
      <c r="X432" s="129" t="str">
        <f t="shared" si="13"/>
        <v/>
      </c>
      <c r="Y432" s="127"/>
      <c r="Z432" s="128"/>
      <c r="AA432" s="130"/>
      <c r="AB432" s="130"/>
      <c r="AC432" s="130"/>
      <c r="AD432" s="130"/>
      <c r="AE432" s="130"/>
      <c r="AF432" s="130"/>
      <c r="AG432" s="127"/>
      <c r="AH432" s="130"/>
      <c r="AI432" s="127"/>
      <c r="AJ432" s="127"/>
      <c r="AK432" s="127"/>
    </row>
    <row r="433" spans="1:37" ht="36" customHeight="1" x14ac:dyDescent="0.25">
      <c r="A433" s="125"/>
      <c r="B433" s="126" t="str">
        <f t="shared" si="12"/>
        <v/>
      </c>
      <c r="C433" s="127"/>
      <c r="D433" s="127"/>
      <c r="E433" s="128"/>
      <c r="F433" s="127"/>
      <c r="G433" s="125"/>
      <c r="H433" s="128"/>
      <c r="I433" s="127"/>
      <c r="J433" s="127"/>
      <c r="K433" s="127"/>
      <c r="L433" s="125"/>
      <c r="M433" s="125"/>
      <c r="N433" s="125"/>
      <c r="O433" s="127"/>
      <c r="P433" s="127"/>
      <c r="Q433" s="127"/>
      <c r="R433" s="127"/>
      <c r="S433" s="127"/>
      <c r="T433" s="127"/>
      <c r="U433" s="127"/>
      <c r="V433" s="128"/>
      <c r="W433" s="128"/>
      <c r="X433" s="129" t="str">
        <f t="shared" si="13"/>
        <v/>
      </c>
      <c r="Y433" s="127"/>
      <c r="Z433" s="128"/>
      <c r="AA433" s="130"/>
      <c r="AB433" s="130"/>
      <c r="AC433" s="130"/>
      <c r="AD433" s="130"/>
      <c r="AE433" s="130"/>
      <c r="AF433" s="130"/>
      <c r="AG433" s="127"/>
      <c r="AH433" s="130"/>
      <c r="AI433" s="127"/>
      <c r="AJ433" s="127"/>
      <c r="AK433" s="127"/>
    </row>
    <row r="434" spans="1:37" ht="36" customHeight="1" x14ac:dyDescent="0.25">
      <c r="A434" s="125"/>
      <c r="B434" s="126" t="str">
        <f t="shared" si="12"/>
        <v/>
      </c>
      <c r="C434" s="127"/>
      <c r="D434" s="127"/>
      <c r="E434" s="128"/>
      <c r="F434" s="127"/>
      <c r="G434" s="125"/>
      <c r="H434" s="128"/>
      <c r="I434" s="127"/>
      <c r="J434" s="127"/>
      <c r="K434" s="127"/>
      <c r="L434" s="125"/>
      <c r="M434" s="125"/>
      <c r="N434" s="125"/>
      <c r="O434" s="127"/>
      <c r="P434" s="127"/>
      <c r="Q434" s="127"/>
      <c r="R434" s="127"/>
      <c r="S434" s="127"/>
      <c r="T434" s="127"/>
      <c r="U434" s="127"/>
      <c r="V434" s="128"/>
      <c r="W434" s="128"/>
      <c r="X434" s="129" t="str">
        <f t="shared" si="13"/>
        <v/>
      </c>
      <c r="Y434" s="127"/>
      <c r="Z434" s="128"/>
      <c r="AA434" s="130"/>
      <c r="AB434" s="130"/>
      <c r="AC434" s="130"/>
      <c r="AD434" s="130"/>
      <c r="AE434" s="130"/>
      <c r="AF434" s="130"/>
      <c r="AG434" s="127"/>
      <c r="AH434" s="130"/>
      <c r="AI434" s="127"/>
      <c r="AJ434" s="127"/>
      <c r="AK434" s="127"/>
    </row>
    <row r="435" spans="1:37" ht="36" customHeight="1" x14ac:dyDescent="0.25">
      <c r="A435" s="125"/>
      <c r="B435" s="126" t="str">
        <f t="shared" si="12"/>
        <v/>
      </c>
      <c r="C435" s="127"/>
      <c r="D435" s="127"/>
      <c r="E435" s="128"/>
      <c r="F435" s="127"/>
      <c r="G435" s="125"/>
      <c r="H435" s="128"/>
      <c r="I435" s="127"/>
      <c r="J435" s="127"/>
      <c r="K435" s="127"/>
      <c r="L435" s="125"/>
      <c r="M435" s="125"/>
      <c r="N435" s="125"/>
      <c r="O435" s="127"/>
      <c r="P435" s="127"/>
      <c r="Q435" s="127"/>
      <c r="R435" s="127"/>
      <c r="S435" s="127"/>
      <c r="T435" s="127"/>
      <c r="U435" s="127"/>
      <c r="V435" s="128"/>
      <c r="W435" s="128"/>
      <c r="X435" s="129" t="str">
        <f t="shared" si="13"/>
        <v/>
      </c>
      <c r="Y435" s="127"/>
      <c r="Z435" s="128"/>
      <c r="AA435" s="130"/>
      <c r="AB435" s="130"/>
      <c r="AC435" s="130"/>
      <c r="AD435" s="130"/>
      <c r="AE435" s="130"/>
      <c r="AF435" s="130"/>
      <c r="AG435" s="127"/>
      <c r="AH435" s="130"/>
      <c r="AI435" s="127"/>
      <c r="AJ435" s="127"/>
      <c r="AK435" s="127"/>
    </row>
    <row r="436" spans="1:37" ht="36" customHeight="1" x14ac:dyDescent="0.25">
      <c r="A436" s="125"/>
      <c r="B436" s="126" t="str">
        <f t="shared" si="12"/>
        <v/>
      </c>
      <c r="C436" s="127"/>
      <c r="D436" s="127"/>
      <c r="E436" s="128"/>
      <c r="F436" s="127"/>
      <c r="G436" s="125"/>
      <c r="H436" s="128"/>
      <c r="I436" s="127"/>
      <c r="J436" s="127"/>
      <c r="K436" s="127"/>
      <c r="L436" s="125"/>
      <c r="M436" s="125"/>
      <c r="N436" s="125"/>
      <c r="O436" s="127"/>
      <c r="P436" s="127"/>
      <c r="Q436" s="127"/>
      <c r="R436" s="127"/>
      <c r="S436" s="127"/>
      <c r="T436" s="127"/>
      <c r="U436" s="127"/>
      <c r="V436" s="128"/>
      <c r="W436" s="128"/>
      <c r="X436" s="129" t="str">
        <f t="shared" si="13"/>
        <v/>
      </c>
      <c r="Y436" s="127"/>
      <c r="Z436" s="128"/>
      <c r="AA436" s="130"/>
      <c r="AB436" s="130"/>
      <c r="AC436" s="130"/>
      <c r="AD436" s="130"/>
      <c r="AE436" s="130"/>
      <c r="AF436" s="130"/>
      <c r="AG436" s="127"/>
      <c r="AH436" s="130"/>
      <c r="AI436" s="127"/>
      <c r="AJ436" s="127"/>
      <c r="AK436" s="127"/>
    </row>
    <row r="437" spans="1:37" ht="36" customHeight="1" x14ac:dyDescent="0.25">
      <c r="A437" s="125"/>
      <c r="B437" s="126" t="str">
        <f t="shared" si="12"/>
        <v/>
      </c>
      <c r="C437" s="127"/>
      <c r="D437" s="127"/>
      <c r="E437" s="128"/>
      <c r="F437" s="127"/>
      <c r="G437" s="125"/>
      <c r="H437" s="128"/>
      <c r="I437" s="127"/>
      <c r="J437" s="127"/>
      <c r="K437" s="127"/>
      <c r="L437" s="125"/>
      <c r="M437" s="125"/>
      <c r="N437" s="125"/>
      <c r="O437" s="127"/>
      <c r="P437" s="127"/>
      <c r="Q437" s="127"/>
      <c r="R437" s="127"/>
      <c r="S437" s="127"/>
      <c r="T437" s="127"/>
      <c r="U437" s="127"/>
      <c r="V437" s="128"/>
      <c r="W437" s="128"/>
      <c r="X437" s="129" t="str">
        <f t="shared" si="13"/>
        <v/>
      </c>
      <c r="Y437" s="127"/>
      <c r="Z437" s="128"/>
      <c r="AA437" s="130"/>
      <c r="AB437" s="130"/>
      <c r="AC437" s="130"/>
      <c r="AD437" s="130"/>
      <c r="AE437" s="130"/>
      <c r="AF437" s="130"/>
      <c r="AG437" s="127"/>
      <c r="AH437" s="130"/>
      <c r="AI437" s="127"/>
      <c r="AJ437" s="127"/>
      <c r="AK437" s="127"/>
    </row>
    <row r="438" spans="1:37" ht="36" customHeight="1" x14ac:dyDescent="0.25">
      <c r="A438" s="125"/>
      <c r="B438" s="126" t="str">
        <f t="shared" si="12"/>
        <v/>
      </c>
      <c r="C438" s="127"/>
      <c r="D438" s="127"/>
      <c r="E438" s="128"/>
      <c r="F438" s="127"/>
      <c r="G438" s="125"/>
      <c r="H438" s="128"/>
      <c r="I438" s="127"/>
      <c r="J438" s="127"/>
      <c r="K438" s="127"/>
      <c r="L438" s="125"/>
      <c r="M438" s="125"/>
      <c r="N438" s="125"/>
      <c r="O438" s="127"/>
      <c r="P438" s="127"/>
      <c r="Q438" s="127"/>
      <c r="R438" s="127"/>
      <c r="S438" s="127"/>
      <c r="T438" s="127"/>
      <c r="U438" s="127"/>
      <c r="V438" s="128"/>
      <c r="W438" s="128"/>
      <c r="X438" s="129" t="str">
        <f t="shared" si="13"/>
        <v/>
      </c>
      <c r="Y438" s="127"/>
      <c r="Z438" s="128"/>
      <c r="AA438" s="130"/>
      <c r="AB438" s="130"/>
      <c r="AC438" s="130"/>
      <c r="AD438" s="130"/>
      <c r="AE438" s="130"/>
      <c r="AF438" s="130"/>
      <c r="AG438" s="127"/>
      <c r="AH438" s="130"/>
      <c r="AI438" s="127"/>
      <c r="AJ438" s="127"/>
      <c r="AK438" s="127"/>
    </row>
    <row r="439" spans="1:37" ht="36" customHeight="1" x14ac:dyDescent="0.25">
      <c r="A439" s="125"/>
      <c r="B439" s="126" t="str">
        <f t="shared" si="12"/>
        <v/>
      </c>
      <c r="C439" s="127"/>
      <c r="D439" s="127"/>
      <c r="E439" s="128"/>
      <c r="F439" s="127"/>
      <c r="G439" s="125"/>
      <c r="H439" s="128"/>
      <c r="I439" s="127"/>
      <c r="J439" s="127"/>
      <c r="K439" s="127"/>
      <c r="L439" s="125"/>
      <c r="M439" s="125"/>
      <c r="N439" s="125"/>
      <c r="O439" s="127"/>
      <c r="P439" s="127"/>
      <c r="Q439" s="127"/>
      <c r="R439" s="127"/>
      <c r="S439" s="127"/>
      <c r="T439" s="127"/>
      <c r="U439" s="127"/>
      <c r="V439" s="128"/>
      <c r="W439" s="128"/>
      <c r="X439" s="129" t="str">
        <f t="shared" si="13"/>
        <v/>
      </c>
      <c r="Y439" s="127"/>
      <c r="Z439" s="128"/>
      <c r="AA439" s="130"/>
      <c r="AB439" s="130"/>
      <c r="AC439" s="130"/>
      <c r="AD439" s="130"/>
      <c r="AE439" s="130"/>
      <c r="AF439" s="130"/>
      <c r="AG439" s="127"/>
      <c r="AH439" s="130"/>
      <c r="AI439" s="127"/>
      <c r="AJ439" s="127"/>
      <c r="AK439" s="127"/>
    </row>
    <row r="440" spans="1:37" ht="36" customHeight="1" x14ac:dyDescent="0.25">
      <c r="A440" s="125"/>
      <c r="B440" s="126" t="str">
        <f t="shared" si="12"/>
        <v/>
      </c>
      <c r="C440" s="127"/>
      <c r="D440" s="127"/>
      <c r="E440" s="128"/>
      <c r="F440" s="127"/>
      <c r="G440" s="125"/>
      <c r="H440" s="128"/>
      <c r="I440" s="127"/>
      <c r="J440" s="127"/>
      <c r="K440" s="127"/>
      <c r="L440" s="125"/>
      <c r="M440" s="125"/>
      <c r="N440" s="125"/>
      <c r="O440" s="127"/>
      <c r="P440" s="127"/>
      <c r="Q440" s="127"/>
      <c r="R440" s="127"/>
      <c r="S440" s="127"/>
      <c r="T440" s="127"/>
      <c r="U440" s="127"/>
      <c r="V440" s="128"/>
      <c r="W440" s="128"/>
      <c r="X440" s="129" t="str">
        <f t="shared" si="13"/>
        <v/>
      </c>
      <c r="Y440" s="127"/>
      <c r="Z440" s="128"/>
      <c r="AA440" s="130"/>
      <c r="AB440" s="130"/>
      <c r="AC440" s="130"/>
      <c r="AD440" s="130"/>
      <c r="AE440" s="130"/>
      <c r="AF440" s="130"/>
      <c r="AG440" s="127"/>
      <c r="AH440" s="130"/>
      <c r="AI440" s="127"/>
      <c r="AJ440" s="127"/>
      <c r="AK440" s="127"/>
    </row>
    <row r="441" spans="1:37" ht="36" customHeight="1" x14ac:dyDescent="0.25">
      <c r="A441" s="125"/>
      <c r="B441" s="126" t="str">
        <f t="shared" si="12"/>
        <v/>
      </c>
      <c r="C441" s="127"/>
      <c r="D441" s="127"/>
      <c r="E441" s="128"/>
      <c r="F441" s="127"/>
      <c r="G441" s="125"/>
      <c r="H441" s="128"/>
      <c r="I441" s="127"/>
      <c r="J441" s="127"/>
      <c r="K441" s="127"/>
      <c r="L441" s="125"/>
      <c r="M441" s="125"/>
      <c r="N441" s="125"/>
      <c r="O441" s="127"/>
      <c r="P441" s="127"/>
      <c r="Q441" s="127"/>
      <c r="R441" s="127"/>
      <c r="S441" s="127"/>
      <c r="T441" s="127"/>
      <c r="U441" s="127"/>
      <c r="V441" s="128"/>
      <c r="W441" s="128"/>
      <c r="X441" s="129" t="str">
        <f t="shared" si="13"/>
        <v/>
      </c>
      <c r="Y441" s="127"/>
      <c r="Z441" s="128"/>
      <c r="AA441" s="130"/>
      <c r="AB441" s="130"/>
      <c r="AC441" s="130"/>
      <c r="AD441" s="130"/>
      <c r="AE441" s="130"/>
      <c r="AF441" s="130"/>
      <c r="AG441" s="127"/>
      <c r="AH441" s="130"/>
      <c r="AI441" s="127"/>
      <c r="AJ441" s="127"/>
      <c r="AK441" s="127"/>
    </row>
    <row r="442" spans="1:37" ht="36" customHeight="1" x14ac:dyDescent="0.25">
      <c r="A442" s="125"/>
      <c r="B442" s="126" t="str">
        <f t="shared" si="12"/>
        <v/>
      </c>
      <c r="C442" s="127"/>
      <c r="D442" s="127"/>
      <c r="E442" s="128"/>
      <c r="F442" s="127"/>
      <c r="G442" s="125"/>
      <c r="H442" s="128"/>
      <c r="I442" s="127"/>
      <c r="J442" s="127"/>
      <c r="K442" s="127"/>
      <c r="L442" s="125"/>
      <c r="M442" s="125"/>
      <c r="N442" s="125"/>
      <c r="O442" s="127"/>
      <c r="P442" s="127"/>
      <c r="Q442" s="127"/>
      <c r="R442" s="127"/>
      <c r="S442" s="127"/>
      <c r="T442" s="127"/>
      <c r="U442" s="127"/>
      <c r="V442" s="128"/>
      <c r="W442" s="128"/>
      <c r="X442" s="129" t="str">
        <f t="shared" si="13"/>
        <v/>
      </c>
      <c r="Y442" s="127"/>
      <c r="Z442" s="128"/>
      <c r="AA442" s="130"/>
      <c r="AB442" s="130"/>
      <c r="AC442" s="130"/>
      <c r="AD442" s="130"/>
      <c r="AE442" s="130"/>
      <c r="AF442" s="130"/>
      <c r="AG442" s="127"/>
      <c r="AH442" s="130"/>
      <c r="AI442" s="127"/>
      <c r="AJ442" s="127"/>
      <c r="AK442" s="127"/>
    </row>
    <row r="443" spans="1:37" ht="36" customHeight="1" x14ac:dyDescent="0.25">
      <c r="A443" s="125"/>
      <c r="B443" s="126" t="str">
        <f t="shared" si="12"/>
        <v/>
      </c>
      <c r="C443" s="127"/>
      <c r="D443" s="127"/>
      <c r="E443" s="128"/>
      <c r="F443" s="127"/>
      <c r="G443" s="125"/>
      <c r="H443" s="128"/>
      <c r="I443" s="127"/>
      <c r="J443" s="127"/>
      <c r="K443" s="127"/>
      <c r="L443" s="125"/>
      <c r="M443" s="125"/>
      <c r="N443" s="125"/>
      <c r="O443" s="127"/>
      <c r="P443" s="127"/>
      <c r="Q443" s="127"/>
      <c r="R443" s="127"/>
      <c r="S443" s="127"/>
      <c r="T443" s="127"/>
      <c r="U443" s="127"/>
      <c r="V443" s="128"/>
      <c r="W443" s="128"/>
      <c r="X443" s="129" t="str">
        <f t="shared" si="13"/>
        <v/>
      </c>
      <c r="Y443" s="127"/>
      <c r="Z443" s="128"/>
      <c r="AA443" s="130"/>
      <c r="AB443" s="130"/>
      <c r="AC443" s="130"/>
      <c r="AD443" s="130"/>
      <c r="AE443" s="130"/>
      <c r="AF443" s="130"/>
      <c r="AG443" s="127"/>
      <c r="AH443" s="130"/>
      <c r="AI443" s="127"/>
      <c r="AJ443" s="127"/>
      <c r="AK443" s="127"/>
    </row>
    <row r="444" spans="1:37" ht="36" customHeight="1" x14ac:dyDescent="0.25">
      <c r="A444" s="125"/>
      <c r="B444" s="126" t="str">
        <f t="shared" si="12"/>
        <v/>
      </c>
      <c r="C444" s="127"/>
      <c r="D444" s="127"/>
      <c r="E444" s="128"/>
      <c r="F444" s="127"/>
      <c r="G444" s="125"/>
      <c r="H444" s="128"/>
      <c r="I444" s="127"/>
      <c r="J444" s="127"/>
      <c r="K444" s="127"/>
      <c r="L444" s="125"/>
      <c r="M444" s="125"/>
      <c r="N444" s="125"/>
      <c r="O444" s="127"/>
      <c r="P444" s="127"/>
      <c r="Q444" s="127"/>
      <c r="R444" s="127"/>
      <c r="S444" s="127"/>
      <c r="T444" s="127"/>
      <c r="U444" s="127"/>
      <c r="V444" s="128"/>
      <c r="W444" s="128"/>
      <c r="X444" s="129" t="str">
        <f t="shared" si="13"/>
        <v/>
      </c>
      <c r="Y444" s="127"/>
      <c r="Z444" s="128"/>
      <c r="AA444" s="130"/>
      <c r="AB444" s="130"/>
      <c r="AC444" s="130"/>
      <c r="AD444" s="130"/>
      <c r="AE444" s="130"/>
      <c r="AF444" s="130"/>
      <c r="AG444" s="127"/>
      <c r="AH444" s="130"/>
      <c r="AI444" s="127"/>
      <c r="AJ444" s="127"/>
      <c r="AK444" s="127"/>
    </row>
    <row r="445" spans="1:37" ht="36" customHeight="1" x14ac:dyDescent="0.25">
      <c r="A445" s="125"/>
      <c r="B445" s="126" t="str">
        <f t="shared" si="12"/>
        <v/>
      </c>
      <c r="C445" s="127"/>
      <c r="D445" s="127"/>
      <c r="E445" s="128"/>
      <c r="F445" s="127"/>
      <c r="G445" s="125"/>
      <c r="H445" s="128"/>
      <c r="I445" s="127"/>
      <c r="J445" s="127"/>
      <c r="K445" s="127"/>
      <c r="L445" s="125"/>
      <c r="M445" s="125"/>
      <c r="N445" s="125"/>
      <c r="O445" s="127"/>
      <c r="P445" s="127"/>
      <c r="Q445" s="127"/>
      <c r="R445" s="127"/>
      <c r="S445" s="127"/>
      <c r="T445" s="127"/>
      <c r="U445" s="127"/>
      <c r="V445" s="128"/>
      <c r="W445" s="128"/>
      <c r="X445" s="129" t="str">
        <f t="shared" si="13"/>
        <v/>
      </c>
      <c r="Y445" s="127"/>
      <c r="Z445" s="128"/>
      <c r="AA445" s="130"/>
      <c r="AB445" s="130"/>
      <c r="AC445" s="130"/>
      <c r="AD445" s="130"/>
      <c r="AE445" s="130"/>
      <c r="AF445" s="130"/>
      <c r="AG445" s="127"/>
      <c r="AH445" s="130"/>
      <c r="AI445" s="127"/>
      <c r="AJ445" s="127"/>
      <c r="AK445" s="127"/>
    </row>
    <row r="446" spans="1:37" ht="36" customHeight="1" x14ac:dyDescent="0.25">
      <c r="A446" s="125"/>
      <c r="B446" s="126" t="str">
        <f t="shared" si="12"/>
        <v/>
      </c>
      <c r="C446" s="127"/>
      <c r="D446" s="127"/>
      <c r="E446" s="128"/>
      <c r="F446" s="127"/>
      <c r="G446" s="125"/>
      <c r="H446" s="128"/>
      <c r="I446" s="127"/>
      <c r="J446" s="127"/>
      <c r="K446" s="127"/>
      <c r="L446" s="125"/>
      <c r="M446" s="125"/>
      <c r="N446" s="125"/>
      <c r="O446" s="127"/>
      <c r="P446" s="127"/>
      <c r="Q446" s="127"/>
      <c r="R446" s="127"/>
      <c r="S446" s="127"/>
      <c r="T446" s="127"/>
      <c r="U446" s="127"/>
      <c r="V446" s="128"/>
      <c r="W446" s="128"/>
      <c r="X446" s="129" t="str">
        <f t="shared" si="13"/>
        <v/>
      </c>
      <c r="Y446" s="127"/>
      <c r="Z446" s="128"/>
      <c r="AA446" s="130"/>
      <c r="AB446" s="130"/>
      <c r="AC446" s="130"/>
      <c r="AD446" s="130"/>
      <c r="AE446" s="130"/>
      <c r="AF446" s="130"/>
      <c r="AG446" s="127"/>
      <c r="AH446" s="130"/>
      <c r="AI446" s="127"/>
      <c r="AJ446" s="127"/>
      <c r="AK446" s="127"/>
    </row>
    <row r="447" spans="1:37" ht="36" customHeight="1" x14ac:dyDescent="0.25">
      <c r="A447" s="125"/>
      <c r="B447" s="126" t="str">
        <f t="shared" si="12"/>
        <v/>
      </c>
      <c r="C447" s="127"/>
      <c r="D447" s="127"/>
      <c r="E447" s="128"/>
      <c r="F447" s="127"/>
      <c r="G447" s="125"/>
      <c r="H447" s="128"/>
      <c r="I447" s="127"/>
      <c r="J447" s="127"/>
      <c r="K447" s="127"/>
      <c r="L447" s="125"/>
      <c r="M447" s="125"/>
      <c r="N447" s="125"/>
      <c r="O447" s="127"/>
      <c r="P447" s="127"/>
      <c r="Q447" s="127"/>
      <c r="R447" s="127"/>
      <c r="S447" s="127"/>
      <c r="T447" s="127"/>
      <c r="U447" s="127"/>
      <c r="V447" s="128"/>
      <c r="W447" s="128"/>
      <c r="X447" s="129" t="str">
        <f t="shared" si="13"/>
        <v/>
      </c>
      <c r="Y447" s="127"/>
      <c r="Z447" s="128"/>
      <c r="AA447" s="130"/>
      <c r="AB447" s="130"/>
      <c r="AC447" s="130"/>
      <c r="AD447" s="130"/>
      <c r="AE447" s="130"/>
      <c r="AF447" s="130"/>
      <c r="AG447" s="127"/>
      <c r="AH447" s="130"/>
      <c r="AI447" s="127"/>
      <c r="AJ447" s="127"/>
      <c r="AK447" s="127"/>
    </row>
    <row r="448" spans="1:37" ht="36" customHeight="1" x14ac:dyDescent="0.25">
      <c r="A448" s="125"/>
      <c r="B448" s="126" t="str">
        <f t="shared" si="12"/>
        <v/>
      </c>
      <c r="C448" s="127"/>
      <c r="D448" s="127"/>
      <c r="E448" s="128"/>
      <c r="F448" s="127"/>
      <c r="G448" s="125"/>
      <c r="H448" s="128"/>
      <c r="I448" s="127"/>
      <c r="J448" s="127"/>
      <c r="K448" s="127"/>
      <c r="L448" s="125"/>
      <c r="M448" s="125"/>
      <c r="N448" s="125"/>
      <c r="O448" s="127"/>
      <c r="P448" s="127"/>
      <c r="Q448" s="127"/>
      <c r="R448" s="127"/>
      <c r="S448" s="127"/>
      <c r="T448" s="127"/>
      <c r="U448" s="127"/>
      <c r="V448" s="128"/>
      <c r="W448" s="128"/>
      <c r="X448" s="129" t="str">
        <f t="shared" si="13"/>
        <v/>
      </c>
      <c r="Y448" s="127"/>
      <c r="Z448" s="128"/>
      <c r="AA448" s="130"/>
      <c r="AB448" s="130"/>
      <c r="AC448" s="130"/>
      <c r="AD448" s="130"/>
      <c r="AE448" s="130"/>
      <c r="AF448" s="130"/>
      <c r="AG448" s="127"/>
      <c r="AH448" s="130"/>
      <c r="AI448" s="127"/>
      <c r="AJ448" s="127"/>
      <c r="AK448" s="127"/>
    </row>
    <row r="449" spans="1:37" ht="36" customHeight="1" x14ac:dyDescent="0.25">
      <c r="A449" s="125"/>
      <c r="B449" s="126" t="str">
        <f t="shared" si="12"/>
        <v/>
      </c>
      <c r="C449" s="127"/>
      <c r="D449" s="127"/>
      <c r="E449" s="128"/>
      <c r="F449" s="127"/>
      <c r="G449" s="125"/>
      <c r="H449" s="128"/>
      <c r="I449" s="127"/>
      <c r="J449" s="127"/>
      <c r="K449" s="127"/>
      <c r="L449" s="125"/>
      <c r="M449" s="125"/>
      <c r="N449" s="125"/>
      <c r="O449" s="127"/>
      <c r="P449" s="127"/>
      <c r="Q449" s="127"/>
      <c r="R449" s="127"/>
      <c r="S449" s="127"/>
      <c r="T449" s="127"/>
      <c r="U449" s="127"/>
      <c r="V449" s="128"/>
      <c r="W449" s="128"/>
      <c r="X449" s="129" t="str">
        <f t="shared" si="13"/>
        <v/>
      </c>
      <c r="Y449" s="127"/>
      <c r="Z449" s="128"/>
      <c r="AA449" s="130"/>
      <c r="AB449" s="130"/>
      <c r="AC449" s="130"/>
      <c r="AD449" s="130"/>
      <c r="AE449" s="130"/>
      <c r="AF449" s="130"/>
      <c r="AG449" s="127"/>
      <c r="AH449" s="130"/>
      <c r="AI449" s="127"/>
      <c r="AJ449" s="127"/>
      <c r="AK449" s="127"/>
    </row>
    <row r="450" spans="1:37" ht="36" customHeight="1" x14ac:dyDescent="0.25">
      <c r="A450" s="125"/>
      <c r="B450" s="126" t="str">
        <f t="shared" si="12"/>
        <v/>
      </c>
      <c r="C450" s="127"/>
      <c r="D450" s="127"/>
      <c r="E450" s="128"/>
      <c r="F450" s="127"/>
      <c r="G450" s="125"/>
      <c r="H450" s="128"/>
      <c r="I450" s="127"/>
      <c r="J450" s="127"/>
      <c r="K450" s="127"/>
      <c r="L450" s="125"/>
      <c r="M450" s="125"/>
      <c r="N450" s="125"/>
      <c r="O450" s="127"/>
      <c r="P450" s="127"/>
      <c r="Q450" s="127"/>
      <c r="R450" s="127"/>
      <c r="S450" s="127"/>
      <c r="T450" s="127"/>
      <c r="U450" s="127"/>
      <c r="V450" s="128"/>
      <c r="W450" s="128"/>
      <c r="X450" s="129" t="str">
        <f t="shared" si="13"/>
        <v/>
      </c>
      <c r="Y450" s="127"/>
      <c r="Z450" s="128"/>
      <c r="AA450" s="130"/>
      <c r="AB450" s="130"/>
      <c r="AC450" s="130"/>
      <c r="AD450" s="130"/>
      <c r="AE450" s="130"/>
      <c r="AF450" s="130"/>
      <c r="AG450" s="127"/>
      <c r="AH450" s="130"/>
      <c r="AI450" s="127"/>
      <c r="AJ450" s="127"/>
      <c r="AK450" s="127"/>
    </row>
    <row r="451" spans="1:37" ht="36" customHeight="1" x14ac:dyDescent="0.25">
      <c r="A451" s="125"/>
      <c r="B451" s="126" t="str">
        <f t="shared" si="12"/>
        <v/>
      </c>
      <c r="C451" s="127"/>
      <c r="D451" s="127"/>
      <c r="E451" s="128"/>
      <c r="F451" s="127"/>
      <c r="G451" s="125"/>
      <c r="H451" s="128"/>
      <c r="I451" s="127"/>
      <c r="J451" s="127"/>
      <c r="K451" s="127"/>
      <c r="L451" s="125"/>
      <c r="M451" s="125"/>
      <c r="N451" s="125"/>
      <c r="O451" s="127"/>
      <c r="P451" s="127"/>
      <c r="Q451" s="127"/>
      <c r="R451" s="127"/>
      <c r="S451" s="127"/>
      <c r="T451" s="127"/>
      <c r="U451" s="127"/>
      <c r="V451" s="128"/>
      <c r="W451" s="128"/>
      <c r="X451" s="129" t="str">
        <f t="shared" si="13"/>
        <v/>
      </c>
      <c r="Y451" s="127"/>
      <c r="Z451" s="128"/>
      <c r="AA451" s="130"/>
      <c r="AB451" s="130"/>
      <c r="AC451" s="130"/>
      <c r="AD451" s="130"/>
      <c r="AE451" s="130"/>
      <c r="AF451" s="130"/>
      <c r="AG451" s="127"/>
      <c r="AH451" s="130"/>
      <c r="AI451" s="127"/>
      <c r="AJ451" s="127"/>
      <c r="AK451" s="127"/>
    </row>
    <row r="452" spans="1:37" ht="36" customHeight="1" x14ac:dyDescent="0.25">
      <c r="A452" s="125"/>
      <c r="B452" s="126" t="str">
        <f t="shared" si="12"/>
        <v/>
      </c>
      <c r="C452" s="127"/>
      <c r="D452" s="127"/>
      <c r="E452" s="128"/>
      <c r="F452" s="127"/>
      <c r="G452" s="125"/>
      <c r="H452" s="128"/>
      <c r="I452" s="127"/>
      <c r="J452" s="127"/>
      <c r="K452" s="127"/>
      <c r="L452" s="125"/>
      <c r="M452" s="125"/>
      <c r="N452" s="125"/>
      <c r="O452" s="127"/>
      <c r="P452" s="127"/>
      <c r="Q452" s="127"/>
      <c r="R452" s="127"/>
      <c r="S452" s="127"/>
      <c r="T452" s="127"/>
      <c r="U452" s="127"/>
      <c r="V452" s="128"/>
      <c r="W452" s="128"/>
      <c r="X452" s="129" t="str">
        <f t="shared" si="13"/>
        <v/>
      </c>
      <c r="Y452" s="127"/>
      <c r="Z452" s="128"/>
      <c r="AA452" s="130"/>
      <c r="AB452" s="130"/>
      <c r="AC452" s="130"/>
      <c r="AD452" s="130"/>
      <c r="AE452" s="130"/>
      <c r="AF452" s="130"/>
      <c r="AG452" s="127"/>
      <c r="AH452" s="130"/>
      <c r="AI452" s="127"/>
      <c r="AJ452" s="127"/>
      <c r="AK452" s="127"/>
    </row>
    <row r="453" spans="1:37" ht="36" customHeight="1" x14ac:dyDescent="0.25">
      <c r="A453" s="125"/>
      <c r="B453" s="126" t="str">
        <f t="shared" si="12"/>
        <v/>
      </c>
      <c r="C453" s="127"/>
      <c r="D453" s="127"/>
      <c r="E453" s="128"/>
      <c r="F453" s="127"/>
      <c r="G453" s="125"/>
      <c r="H453" s="128"/>
      <c r="I453" s="127"/>
      <c r="J453" s="127"/>
      <c r="K453" s="127"/>
      <c r="L453" s="125"/>
      <c r="M453" s="125"/>
      <c r="N453" s="125"/>
      <c r="O453" s="127"/>
      <c r="P453" s="127"/>
      <c r="Q453" s="127"/>
      <c r="R453" s="127"/>
      <c r="S453" s="127"/>
      <c r="T453" s="127"/>
      <c r="U453" s="127"/>
      <c r="V453" s="128"/>
      <c r="W453" s="128"/>
      <c r="X453" s="129" t="str">
        <f t="shared" si="13"/>
        <v/>
      </c>
      <c r="Y453" s="127"/>
      <c r="Z453" s="128"/>
      <c r="AA453" s="130"/>
      <c r="AB453" s="130"/>
      <c r="AC453" s="130"/>
      <c r="AD453" s="130"/>
      <c r="AE453" s="130"/>
      <c r="AF453" s="130"/>
      <c r="AG453" s="127"/>
      <c r="AH453" s="130"/>
      <c r="AI453" s="127"/>
      <c r="AJ453" s="127"/>
      <c r="AK453" s="127"/>
    </row>
    <row r="454" spans="1:37" ht="36" customHeight="1" x14ac:dyDescent="0.25">
      <c r="A454" s="125"/>
      <c r="B454" s="126" t="str">
        <f t="shared" si="12"/>
        <v/>
      </c>
      <c r="C454" s="127"/>
      <c r="D454" s="127"/>
      <c r="E454" s="128"/>
      <c r="F454" s="127"/>
      <c r="G454" s="125"/>
      <c r="H454" s="128"/>
      <c r="I454" s="127"/>
      <c r="J454" s="127"/>
      <c r="K454" s="127"/>
      <c r="L454" s="125"/>
      <c r="M454" s="125"/>
      <c r="N454" s="125"/>
      <c r="O454" s="127"/>
      <c r="P454" s="127"/>
      <c r="Q454" s="127"/>
      <c r="R454" s="127"/>
      <c r="S454" s="127"/>
      <c r="T454" s="127"/>
      <c r="U454" s="127"/>
      <c r="V454" s="128"/>
      <c r="W454" s="128"/>
      <c r="X454" s="129" t="str">
        <f t="shared" si="13"/>
        <v/>
      </c>
      <c r="Y454" s="127"/>
      <c r="Z454" s="128"/>
      <c r="AA454" s="130"/>
      <c r="AB454" s="130"/>
      <c r="AC454" s="130"/>
      <c r="AD454" s="130"/>
      <c r="AE454" s="130"/>
      <c r="AF454" s="130"/>
      <c r="AG454" s="127"/>
      <c r="AH454" s="130"/>
      <c r="AI454" s="127"/>
      <c r="AJ454" s="127"/>
      <c r="AK454" s="127"/>
    </row>
    <row r="455" spans="1:37" ht="36" customHeight="1" x14ac:dyDescent="0.25">
      <c r="A455" s="125"/>
      <c r="B455" s="126" t="str">
        <f t="shared" si="12"/>
        <v/>
      </c>
      <c r="C455" s="127"/>
      <c r="D455" s="127"/>
      <c r="E455" s="128"/>
      <c r="F455" s="127"/>
      <c r="G455" s="125"/>
      <c r="H455" s="128"/>
      <c r="I455" s="127"/>
      <c r="J455" s="127"/>
      <c r="K455" s="127"/>
      <c r="L455" s="125"/>
      <c r="M455" s="125"/>
      <c r="N455" s="125"/>
      <c r="O455" s="127"/>
      <c r="P455" s="127"/>
      <c r="Q455" s="127"/>
      <c r="R455" s="127"/>
      <c r="S455" s="127"/>
      <c r="T455" s="127"/>
      <c r="U455" s="127"/>
      <c r="V455" s="128"/>
      <c r="W455" s="128"/>
      <c r="X455" s="129" t="str">
        <f t="shared" si="13"/>
        <v/>
      </c>
      <c r="Y455" s="127"/>
      <c r="Z455" s="128"/>
      <c r="AA455" s="130"/>
      <c r="AB455" s="130"/>
      <c r="AC455" s="130"/>
      <c r="AD455" s="130"/>
      <c r="AE455" s="130"/>
      <c r="AF455" s="130"/>
      <c r="AG455" s="127"/>
      <c r="AH455" s="130"/>
      <c r="AI455" s="127"/>
      <c r="AJ455" s="127"/>
      <c r="AK455" s="127"/>
    </row>
    <row r="456" spans="1:37" ht="36" customHeight="1" x14ac:dyDescent="0.25">
      <c r="A456" s="125"/>
      <c r="B456" s="126" t="str">
        <f t="shared" si="12"/>
        <v/>
      </c>
      <c r="C456" s="127"/>
      <c r="D456" s="127"/>
      <c r="E456" s="128"/>
      <c r="F456" s="127"/>
      <c r="G456" s="125"/>
      <c r="H456" s="128"/>
      <c r="I456" s="127"/>
      <c r="J456" s="127"/>
      <c r="K456" s="127"/>
      <c r="L456" s="125"/>
      <c r="M456" s="125"/>
      <c r="N456" s="125"/>
      <c r="O456" s="127"/>
      <c r="P456" s="127"/>
      <c r="Q456" s="127"/>
      <c r="R456" s="127"/>
      <c r="S456" s="127"/>
      <c r="T456" s="127"/>
      <c r="U456" s="127"/>
      <c r="V456" s="128"/>
      <c r="W456" s="128"/>
      <c r="X456" s="129" t="str">
        <f t="shared" si="13"/>
        <v/>
      </c>
      <c r="Y456" s="127"/>
      <c r="Z456" s="128"/>
      <c r="AA456" s="130"/>
      <c r="AB456" s="130"/>
      <c r="AC456" s="130"/>
      <c r="AD456" s="130"/>
      <c r="AE456" s="130"/>
      <c r="AF456" s="130"/>
      <c r="AG456" s="127"/>
      <c r="AH456" s="130"/>
      <c r="AI456" s="127"/>
      <c r="AJ456" s="127"/>
      <c r="AK456" s="127"/>
    </row>
    <row r="457" spans="1:37" ht="36" customHeight="1" x14ac:dyDescent="0.25">
      <c r="A457" s="125"/>
      <c r="B457" s="126" t="str">
        <f t="shared" si="12"/>
        <v/>
      </c>
      <c r="C457" s="127"/>
      <c r="D457" s="127"/>
      <c r="E457" s="128"/>
      <c r="F457" s="127"/>
      <c r="G457" s="125"/>
      <c r="H457" s="128"/>
      <c r="I457" s="127"/>
      <c r="J457" s="127"/>
      <c r="K457" s="127"/>
      <c r="L457" s="125"/>
      <c r="M457" s="125"/>
      <c r="N457" s="125"/>
      <c r="O457" s="127"/>
      <c r="P457" s="127"/>
      <c r="Q457" s="127"/>
      <c r="R457" s="127"/>
      <c r="S457" s="127"/>
      <c r="T457" s="127"/>
      <c r="U457" s="127"/>
      <c r="V457" s="128"/>
      <c r="W457" s="128"/>
      <c r="X457" s="129" t="str">
        <f t="shared" si="13"/>
        <v/>
      </c>
      <c r="Y457" s="127"/>
      <c r="Z457" s="128"/>
      <c r="AA457" s="130"/>
      <c r="AB457" s="130"/>
      <c r="AC457" s="130"/>
      <c r="AD457" s="130"/>
      <c r="AE457" s="130"/>
      <c r="AF457" s="130"/>
      <c r="AG457" s="127"/>
      <c r="AH457" s="130"/>
      <c r="AI457" s="127"/>
      <c r="AJ457" s="127"/>
      <c r="AK457" s="127"/>
    </row>
    <row r="458" spans="1:37" ht="36" customHeight="1" x14ac:dyDescent="0.25">
      <c r="A458" s="125"/>
      <c r="B458" s="126" t="str">
        <f t="shared" si="12"/>
        <v/>
      </c>
      <c r="C458" s="127"/>
      <c r="D458" s="127"/>
      <c r="E458" s="128"/>
      <c r="F458" s="127"/>
      <c r="G458" s="125"/>
      <c r="H458" s="128"/>
      <c r="I458" s="127"/>
      <c r="J458" s="127"/>
      <c r="K458" s="127"/>
      <c r="L458" s="125"/>
      <c r="M458" s="125"/>
      <c r="N458" s="125"/>
      <c r="O458" s="127"/>
      <c r="P458" s="127"/>
      <c r="Q458" s="127"/>
      <c r="R458" s="127"/>
      <c r="S458" s="127"/>
      <c r="T458" s="127"/>
      <c r="U458" s="127"/>
      <c r="V458" s="128"/>
      <c r="W458" s="128"/>
      <c r="X458" s="129" t="str">
        <f t="shared" si="13"/>
        <v/>
      </c>
      <c r="Y458" s="127"/>
      <c r="Z458" s="128"/>
      <c r="AA458" s="130"/>
      <c r="AB458" s="130"/>
      <c r="AC458" s="130"/>
      <c r="AD458" s="130"/>
      <c r="AE458" s="130"/>
      <c r="AF458" s="130"/>
      <c r="AG458" s="127"/>
      <c r="AH458" s="130"/>
      <c r="AI458" s="127"/>
      <c r="AJ458" s="127"/>
      <c r="AK458" s="127"/>
    </row>
    <row r="459" spans="1:37" ht="36" customHeight="1" x14ac:dyDescent="0.25">
      <c r="A459" s="125"/>
      <c r="B459" s="126" t="str">
        <f t="shared" si="12"/>
        <v/>
      </c>
      <c r="C459" s="127"/>
      <c r="D459" s="127"/>
      <c r="E459" s="128"/>
      <c r="F459" s="127"/>
      <c r="G459" s="125"/>
      <c r="H459" s="128"/>
      <c r="I459" s="127"/>
      <c r="J459" s="127"/>
      <c r="K459" s="127"/>
      <c r="L459" s="125"/>
      <c r="M459" s="125"/>
      <c r="N459" s="125"/>
      <c r="O459" s="127"/>
      <c r="P459" s="127"/>
      <c r="Q459" s="127"/>
      <c r="R459" s="127"/>
      <c r="S459" s="127"/>
      <c r="T459" s="127"/>
      <c r="U459" s="127"/>
      <c r="V459" s="128"/>
      <c r="W459" s="128"/>
      <c r="X459" s="129" t="str">
        <f t="shared" si="13"/>
        <v/>
      </c>
      <c r="Y459" s="127"/>
      <c r="Z459" s="128"/>
      <c r="AA459" s="130"/>
      <c r="AB459" s="130"/>
      <c r="AC459" s="130"/>
      <c r="AD459" s="130"/>
      <c r="AE459" s="130"/>
      <c r="AF459" s="130"/>
      <c r="AG459" s="127"/>
      <c r="AH459" s="130"/>
      <c r="AI459" s="127"/>
      <c r="AJ459" s="127"/>
      <c r="AK459" s="127"/>
    </row>
    <row r="460" spans="1:37" ht="36" customHeight="1" x14ac:dyDescent="0.25">
      <c r="A460" s="125"/>
      <c r="B460" s="126" t="str">
        <f t="shared" si="12"/>
        <v/>
      </c>
      <c r="C460" s="127"/>
      <c r="D460" s="127"/>
      <c r="E460" s="128"/>
      <c r="F460" s="127"/>
      <c r="G460" s="125"/>
      <c r="H460" s="128"/>
      <c r="I460" s="127"/>
      <c r="J460" s="127"/>
      <c r="K460" s="127"/>
      <c r="L460" s="125"/>
      <c r="M460" s="125"/>
      <c r="N460" s="125"/>
      <c r="O460" s="127"/>
      <c r="P460" s="127"/>
      <c r="Q460" s="127"/>
      <c r="R460" s="127"/>
      <c r="S460" s="127"/>
      <c r="T460" s="127"/>
      <c r="U460" s="127"/>
      <c r="V460" s="128"/>
      <c r="W460" s="128"/>
      <c r="X460" s="129" t="str">
        <f t="shared" si="13"/>
        <v/>
      </c>
      <c r="Y460" s="127"/>
      <c r="Z460" s="128"/>
      <c r="AA460" s="130"/>
      <c r="AB460" s="130"/>
      <c r="AC460" s="130"/>
      <c r="AD460" s="130"/>
      <c r="AE460" s="130"/>
      <c r="AF460" s="130"/>
      <c r="AG460" s="127"/>
      <c r="AH460" s="130"/>
      <c r="AI460" s="127"/>
      <c r="AJ460" s="127"/>
      <c r="AK460" s="127"/>
    </row>
    <row r="461" spans="1:37" ht="36" customHeight="1" x14ac:dyDescent="0.25">
      <c r="A461" s="125"/>
      <c r="B461" s="126" t="str">
        <f t="shared" si="12"/>
        <v/>
      </c>
      <c r="C461" s="127"/>
      <c r="D461" s="127"/>
      <c r="E461" s="128"/>
      <c r="F461" s="127"/>
      <c r="G461" s="125"/>
      <c r="H461" s="128"/>
      <c r="I461" s="127"/>
      <c r="J461" s="127"/>
      <c r="K461" s="127"/>
      <c r="L461" s="125"/>
      <c r="M461" s="125"/>
      <c r="N461" s="125"/>
      <c r="O461" s="127"/>
      <c r="P461" s="127"/>
      <c r="Q461" s="127"/>
      <c r="R461" s="127"/>
      <c r="S461" s="127"/>
      <c r="T461" s="127"/>
      <c r="U461" s="127"/>
      <c r="V461" s="128"/>
      <c r="W461" s="128"/>
      <c r="X461" s="129" t="str">
        <f t="shared" si="13"/>
        <v/>
      </c>
      <c r="Y461" s="127"/>
      <c r="Z461" s="128"/>
      <c r="AA461" s="130"/>
      <c r="AB461" s="130"/>
      <c r="AC461" s="130"/>
      <c r="AD461" s="130"/>
      <c r="AE461" s="130"/>
      <c r="AF461" s="130"/>
      <c r="AG461" s="127"/>
      <c r="AH461" s="130"/>
      <c r="AI461" s="127"/>
      <c r="AJ461" s="127"/>
      <c r="AK461" s="127"/>
    </row>
    <row r="462" spans="1:37" ht="36" customHeight="1" x14ac:dyDescent="0.25">
      <c r="A462" s="125"/>
      <c r="B462" s="126" t="str">
        <f t="shared" ref="B462:B513" si="14">IF($A462="","",TEXT(ROW()-19,"000")&amp;"/"&amp;IF($V462="",2026,YEAR($V462))&amp;"/HĐLĐ-"&amp;$E$8)</f>
        <v/>
      </c>
      <c r="C462" s="127"/>
      <c r="D462" s="127"/>
      <c r="E462" s="128"/>
      <c r="F462" s="127"/>
      <c r="G462" s="125"/>
      <c r="H462" s="128"/>
      <c r="I462" s="127"/>
      <c r="J462" s="127"/>
      <c r="K462" s="127"/>
      <c r="L462" s="125"/>
      <c r="M462" s="125"/>
      <c r="N462" s="125"/>
      <c r="O462" s="127"/>
      <c r="P462" s="127"/>
      <c r="Q462" s="127"/>
      <c r="R462" s="127"/>
      <c r="S462" s="127"/>
      <c r="T462" s="127"/>
      <c r="U462" s="127"/>
      <c r="V462" s="128"/>
      <c r="W462" s="128"/>
      <c r="X462" s="129" t="str">
        <f t="shared" ref="X462:X513" si="15">IF($A462="","",IF($T462="Xác định thời hạn",IF(AND($W462&lt;&gt;"",$U462&lt;&gt;""),EDATE($W462,$U462)-1,""),""))</f>
        <v/>
      </c>
      <c r="Y462" s="127"/>
      <c r="Z462" s="128"/>
      <c r="AA462" s="130"/>
      <c r="AB462" s="130"/>
      <c r="AC462" s="130"/>
      <c r="AD462" s="130"/>
      <c r="AE462" s="130"/>
      <c r="AF462" s="130"/>
      <c r="AG462" s="127"/>
      <c r="AH462" s="130"/>
      <c r="AI462" s="127"/>
      <c r="AJ462" s="127"/>
      <c r="AK462" s="127"/>
    </row>
    <row r="463" spans="1:37" ht="36" customHeight="1" x14ac:dyDescent="0.25">
      <c r="A463" s="125"/>
      <c r="B463" s="126" t="str">
        <f t="shared" si="14"/>
        <v/>
      </c>
      <c r="C463" s="127"/>
      <c r="D463" s="127"/>
      <c r="E463" s="128"/>
      <c r="F463" s="127"/>
      <c r="G463" s="125"/>
      <c r="H463" s="128"/>
      <c r="I463" s="127"/>
      <c r="J463" s="127"/>
      <c r="K463" s="127"/>
      <c r="L463" s="125"/>
      <c r="M463" s="125"/>
      <c r="N463" s="125"/>
      <c r="O463" s="127"/>
      <c r="P463" s="127"/>
      <c r="Q463" s="127"/>
      <c r="R463" s="127"/>
      <c r="S463" s="127"/>
      <c r="T463" s="127"/>
      <c r="U463" s="127"/>
      <c r="V463" s="128"/>
      <c r="W463" s="128"/>
      <c r="X463" s="129" t="str">
        <f t="shared" si="15"/>
        <v/>
      </c>
      <c r="Y463" s="127"/>
      <c r="Z463" s="128"/>
      <c r="AA463" s="130"/>
      <c r="AB463" s="130"/>
      <c r="AC463" s="130"/>
      <c r="AD463" s="130"/>
      <c r="AE463" s="130"/>
      <c r="AF463" s="130"/>
      <c r="AG463" s="127"/>
      <c r="AH463" s="130"/>
      <c r="AI463" s="127"/>
      <c r="AJ463" s="127"/>
      <c r="AK463" s="127"/>
    </row>
    <row r="464" spans="1:37" ht="36" customHeight="1" x14ac:dyDescent="0.25">
      <c r="A464" s="125"/>
      <c r="B464" s="126" t="str">
        <f t="shared" si="14"/>
        <v/>
      </c>
      <c r="C464" s="127"/>
      <c r="D464" s="127"/>
      <c r="E464" s="128"/>
      <c r="F464" s="127"/>
      <c r="G464" s="125"/>
      <c r="H464" s="128"/>
      <c r="I464" s="127"/>
      <c r="J464" s="127"/>
      <c r="K464" s="127"/>
      <c r="L464" s="125"/>
      <c r="M464" s="125"/>
      <c r="N464" s="125"/>
      <c r="O464" s="127"/>
      <c r="P464" s="127"/>
      <c r="Q464" s="127"/>
      <c r="R464" s="127"/>
      <c r="S464" s="127"/>
      <c r="T464" s="127"/>
      <c r="U464" s="127"/>
      <c r="V464" s="128"/>
      <c r="W464" s="128"/>
      <c r="X464" s="129" t="str">
        <f t="shared" si="15"/>
        <v/>
      </c>
      <c r="Y464" s="127"/>
      <c r="Z464" s="128"/>
      <c r="AA464" s="130"/>
      <c r="AB464" s="130"/>
      <c r="AC464" s="130"/>
      <c r="AD464" s="130"/>
      <c r="AE464" s="130"/>
      <c r="AF464" s="130"/>
      <c r="AG464" s="127"/>
      <c r="AH464" s="130"/>
      <c r="AI464" s="127"/>
      <c r="AJ464" s="127"/>
      <c r="AK464" s="127"/>
    </row>
    <row r="465" spans="1:37" ht="36" customHeight="1" x14ac:dyDescent="0.25">
      <c r="A465" s="125"/>
      <c r="B465" s="126" t="str">
        <f t="shared" si="14"/>
        <v/>
      </c>
      <c r="C465" s="127"/>
      <c r="D465" s="127"/>
      <c r="E465" s="128"/>
      <c r="F465" s="127"/>
      <c r="G465" s="125"/>
      <c r="H465" s="128"/>
      <c r="I465" s="127"/>
      <c r="J465" s="127"/>
      <c r="K465" s="127"/>
      <c r="L465" s="125"/>
      <c r="M465" s="125"/>
      <c r="N465" s="125"/>
      <c r="O465" s="127"/>
      <c r="P465" s="127"/>
      <c r="Q465" s="127"/>
      <c r="R465" s="127"/>
      <c r="S465" s="127"/>
      <c r="T465" s="127"/>
      <c r="U465" s="127"/>
      <c r="V465" s="128"/>
      <c r="W465" s="128"/>
      <c r="X465" s="129" t="str">
        <f t="shared" si="15"/>
        <v/>
      </c>
      <c r="Y465" s="127"/>
      <c r="Z465" s="128"/>
      <c r="AA465" s="130"/>
      <c r="AB465" s="130"/>
      <c r="AC465" s="130"/>
      <c r="AD465" s="130"/>
      <c r="AE465" s="130"/>
      <c r="AF465" s="130"/>
      <c r="AG465" s="127"/>
      <c r="AH465" s="130"/>
      <c r="AI465" s="127"/>
      <c r="AJ465" s="127"/>
      <c r="AK465" s="127"/>
    </row>
    <row r="466" spans="1:37" ht="36" customHeight="1" x14ac:dyDescent="0.25">
      <c r="A466" s="125"/>
      <c r="B466" s="126" t="str">
        <f t="shared" si="14"/>
        <v/>
      </c>
      <c r="C466" s="127"/>
      <c r="D466" s="127"/>
      <c r="E466" s="128"/>
      <c r="F466" s="127"/>
      <c r="G466" s="125"/>
      <c r="H466" s="128"/>
      <c r="I466" s="127"/>
      <c r="J466" s="127"/>
      <c r="K466" s="127"/>
      <c r="L466" s="125"/>
      <c r="M466" s="125"/>
      <c r="N466" s="125"/>
      <c r="O466" s="127"/>
      <c r="P466" s="127"/>
      <c r="Q466" s="127"/>
      <c r="R466" s="127"/>
      <c r="S466" s="127"/>
      <c r="T466" s="127"/>
      <c r="U466" s="127"/>
      <c r="V466" s="128"/>
      <c r="W466" s="128"/>
      <c r="X466" s="129" t="str">
        <f t="shared" si="15"/>
        <v/>
      </c>
      <c r="Y466" s="127"/>
      <c r="Z466" s="128"/>
      <c r="AA466" s="130"/>
      <c r="AB466" s="130"/>
      <c r="AC466" s="130"/>
      <c r="AD466" s="130"/>
      <c r="AE466" s="130"/>
      <c r="AF466" s="130"/>
      <c r="AG466" s="127"/>
      <c r="AH466" s="130"/>
      <c r="AI466" s="127"/>
      <c r="AJ466" s="127"/>
      <c r="AK466" s="127"/>
    </row>
    <row r="467" spans="1:37" ht="36" customHeight="1" x14ac:dyDescent="0.25">
      <c r="A467" s="125"/>
      <c r="B467" s="126" t="str">
        <f t="shared" si="14"/>
        <v/>
      </c>
      <c r="C467" s="127"/>
      <c r="D467" s="127"/>
      <c r="E467" s="128"/>
      <c r="F467" s="127"/>
      <c r="G467" s="125"/>
      <c r="H467" s="128"/>
      <c r="I467" s="127"/>
      <c r="J467" s="127"/>
      <c r="K467" s="127"/>
      <c r="L467" s="125"/>
      <c r="M467" s="125"/>
      <c r="N467" s="125"/>
      <c r="O467" s="127"/>
      <c r="P467" s="127"/>
      <c r="Q467" s="127"/>
      <c r="R467" s="127"/>
      <c r="S467" s="127"/>
      <c r="T467" s="127"/>
      <c r="U467" s="127"/>
      <c r="V467" s="128"/>
      <c r="W467" s="128"/>
      <c r="X467" s="129" t="str">
        <f t="shared" si="15"/>
        <v/>
      </c>
      <c r="Y467" s="127"/>
      <c r="Z467" s="128"/>
      <c r="AA467" s="130"/>
      <c r="AB467" s="130"/>
      <c r="AC467" s="130"/>
      <c r="AD467" s="130"/>
      <c r="AE467" s="130"/>
      <c r="AF467" s="130"/>
      <c r="AG467" s="127"/>
      <c r="AH467" s="130"/>
      <c r="AI467" s="127"/>
      <c r="AJ467" s="127"/>
      <c r="AK467" s="127"/>
    </row>
    <row r="468" spans="1:37" ht="36" customHeight="1" x14ac:dyDescent="0.25">
      <c r="A468" s="125"/>
      <c r="B468" s="126" t="str">
        <f t="shared" si="14"/>
        <v/>
      </c>
      <c r="C468" s="127"/>
      <c r="D468" s="127"/>
      <c r="E468" s="128"/>
      <c r="F468" s="127"/>
      <c r="G468" s="125"/>
      <c r="H468" s="128"/>
      <c r="I468" s="127"/>
      <c r="J468" s="127"/>
      <c r="K468" s="127"/>
      <c r="L468" s="125"/>
      <c r="M468" s="125"/>
      <c r="N468" s="125"/>
      <c r="O468" s="127"/>
      <c r="P468" s="127"/>
      <c r="Q468" s="127"/>
      <c r="R468" s="127"/>
      <c r="S468" s="127"/>
      <c r="T468" s="127"/>
      <c r="U468" s="127"/>
      <c r="V468" s="128"/>
      <c r="W468" s="128"/>
      <c r="X468" s="129" t="str">
        <f t="shared" si="15"/>
        <v/>
      </c>
      <c r="Y468" s="127"/>
      <c r="Z468" s="128"/>
      <c r="AA468" s="130"/>
      <c r="AB468" s="130"/>
      <c r="AC468" s="130"/>
      <c r="AD468" s="130"/>
      <c r="AE468" s="130"/>
      <c r="AF468" s="130"/>
      <c r="AG468" s="127"/>
      <c r="AH468" s="130"/>
      <c r="AI468" s="127"/>
      <c r="AJ468" s="127"/>
      <c r="AK468" s="127"/>
    </row>
    <row r="469" spans="1:37" ht="36" customHeight="1" x14ac:dyDescent="0.25">
      <c r="A469" s="125"/>
      <c r="B469" s="126" t="str">
        <f t="shared" si="14"/>
        <v/>
      </c>
      <c r="C469" s="127"/>
      <c r="D469" s="127"/>
      <c r="E469" s="128"/>
      <c r="F469" s="127"/>
      <c r="G469" s="125"/>
      <c r="H469" s="128"/>
      <c r="I469" s="127"/>
      <c r="J469" s="127"/>
      <c r="K469" s="127"/>
      <c r="L469" s="125"/>
      <c r="M469" s="125"/>
      <c r="N469" s="125"/>
      <c r="O469" s="127"/>
      <c r="P469" s="127"/>
      <c r="Q469" s="127"/>
      <c r="R469" s="127"/>
      <c r="S469" s="127"/>
      <c r="T469" s="127"/>
      <c r="U469" s="127"/>
      <c r="V469" s="128"/>
      <c r="W469" s="128"/>
      <c r="X469" s="129" t="str">
        <f t="shared" si="15"/>
        <v/>
      </c>
      <c r="Y469" s="127"/>
      <c r="Z469" s="128"/>
      <c r="AA469" s="130"/>
      <c r="AB469" s="130"/>
      <c r="AC469" s="130"/>
      <c r="AD469" s="130"/>
      <c r="AE469" s="130"/>
      <c r="AF469" s="130"/>
      <c r="AG469" s="127"/>
      <c r="AH469" s="130"/>
      <c r="AI469" s="127"/>
      <c r="AJ469" s="127"/>
      <c r="AK469" s="127"/>
    </row>
    <row r="470" spans="1:37" ht="36" customHeight="1" x14ac:dyDescent="0.25">
      <c r="A470" s="125"/>
      <c r="B470" s="126" t="str">
        <f t="shared" si="14"/>
        <v/>
      </c>
      <c r="C470" s="127"/>
      <c r="D470" s="127"/>
      <c r="E470" s="128"/>
      <c r="F470" s="127"/>
      <c r="G470" s="125"/>
      <c r="H470" s="128"/>
      <c r="I470" s="127"/>
      <c r="J470" s="127"/>
      <c r="K470" s="127"/>
      <c r="L470" s="125"/>
      <c r="M470" s="125"/>
      <c r="N470" s="125"/>
      <c r="O470" s="127"/>
      <c r="P470" s="127"/>
      <c r="Q470" s="127"/>
      <c r="R470" s="127"/>
      <c r="S470" s="127"/>
      <c r="T470" s="127"/>
      <c r="U470" s="127"/>
      <c r="V470" s="128"/>
      <c r="W470" s="128"/>
      <c r="X470" s="129" t="str">
        <f t="shared" si="15"/>
        <v/>
      </c>
      <c r="Y470" s="127"/>
      <c r="Z470" s="128"/>
      <c r="AA470" s="130"/>
      <c r="AB470" s="130"/>
      <c r="AC470" s="130"/>
      <c r="AD470" s="130"/>
      <c r="AE470" s="130"/>
      <c r="AF470" s="130"/>
      <c r="AG470" s="127"/>
      <c r="AH470" s="130"/>
      <c r="AI470" s="127"/>
      <c r="AJ470" s="127"/>
      <c r="AK470" s="127"/>
    </row>
    <row r="471" spans="1:37" ht="36" customHeight="1" x14ac:dyDescent="0.25">
      <c r="A471" s="125"/>
      <c r="B471" s="126" t="str">
        <f t="shared" si="14"/>
        <v/>
      </c>
      <c r="C471" s="127"/>
      <c r="D471" s="127"/>
      <c r="E471" s="128"/>
      <c r="F471" s="127"/>
      <c r="G471" s="125"/>
      <c r="H471" s="128"/>
      <c r="I471" s="127"/>
      <c r="J471" s="127"/>
      <c r="K471" s="127"/>
      <c r="L471" s="125"/>
      <c r="M471" s="125"/>
      <c r="N471" s="125"/>
      <c r="O471" s="127"/>
      <c r="P471" s="127"/>
      <c r="Q471" s="127"/>
      <c r="R471" s="127"/>
      <c r="S471" s="127"/>
      <c r="T471" s="127"/>
      <c r="U471" s="127"/>
      <c r="V471" s="128"/>
      <c r="W471" s="128"/>
      <c r="X471" s="129" t="str">
        <f t="shared" si="15"/>
        <v/>
      </c>
      <c r="Y471" s="127"/>
      <c r="Z471" s="128"/>
      <c r="AA471" s="130"/>
      <c r="AB471" s="130"/>
      <c r="AC471" s="130"/>
      <c r="AD471" s="130"/>
      <c r="AE471" s="130"/>
      <c r="AF471" s="130"/>
      <c r="AG471" s="127"/>
      <c r="AH471" s="130"/>
      <c r="AI471" s="127"/>
      <c r="AJ471" s="127"/>
      <c r="AK471" s="127"/>
    </row>
    <row r="472" spans="1:37" ht="36" customHeight="1" x14ac:dyDescent="0.25">
      <c r="A472" s="125"/>
      <c r="B472" s="126" t="str">
        <f t="shared" si="14"/>
        <v/>
      </c>
      <c r="C472" s="127"/>
      <c r="D472" s="127"/>
      <c r="E472" s="128"/>
      <c r="F472" s="127"/>
      <c r="G472" s="125"/>
      <c r="H472" s="128"/>
      <c r="I472" s="127"/>
      <c r="J472" s="127"/>
      <c r="K472" s="127"/>
      <c r="L472" s="125"/>
      <c r="M472" s="125"/>
      <c r="N472" s="125"/>
      <c r="O472" s="127"/>
      <c r="P472" s="127"/>
      <c r="Q472" s="127"/>
      <c r="R472" s="127"/>
      <c r="S472" s="127"/>
      <c r="T472" s="127"/>
      <c r="U472" s="127"/>
      <c r="V472" s="128"/>
      <c r="W472" s="128"/>
      <c r="X472" s="129" t="str">
        <f t="shared" si="15"/>
        <v/>
      </c>
      <c r="Y472" s="127"/>
      <c r="Z472" s="128"/>
      <c r="AA472" s="130"/>
      <c r="AB472" s="130"/>
      <c r="AC472" s="130"/>
      <c r="AD472" s="130"/>
      <c r="AE472" s="130"/>
      <c r="AF472" s="130"/>
      <c r="AG472" s="127"/>
      <c r="AH472" s="130"/>
      <c r="AI472" s="127"/>
      <c r="AJ472" s="127"/>
      <c r="AK472" s="127"/>
    </row>
    <row r="473" spans="1:37" ht="36" customHeight="1" x14ac:dyDescent="0.25">
      <c r="A473" s="125"/>
      <c r="B473" s="126" t="str">
        <f t="shared" si="14"/>
        <v/>
      </c>
      <c r="C473" s="127"/>
      <c r="D473" s="127"/>
      <c r="E473" s="128"/>
      <c r="F473" s="127"/>
      <c r="G473" s="125"/>
      <c r="H473" s="128"/>
      <c r="I473" s="127"/>
      <c r="J473" s="127"/>
      <c r="K473" s="127"/>
      <c r="L473" s="125"/>
      <c r="M473" s="125"/>
      <c r="N473" s="125"/>
      <c r="O473" s="127"/>
      <c r="P473" s="127"/>
      <c r="Q473" s="127"/>
      <c r="R473" s="127"/>
      <c r="S473" s="127"/>
      <c r="T473" s="127"/>
      <c r="U473" s="127"/>
      <c r="V473" s="128"/>
      <c r="W473" s="128"/>
      <c r="X473" s="129" t="str">
        <f t="shared" si="15"/>
        <v/>
      </c>
      <c r="Y473" s="127"/>
      <c r="Z473" s="128"/>
      <c r="AA473" s="130"/>
      <c r="AB473" s="130"/>
      <c r="AC473" s="130"/>
      <c r="AD473" s="130"/>
      <c r="AE473" s="130"/>
      <c r="AF473" s="130"/>
      <c r="AG473" s="127"/>
      <c r="AH473" s="130"/>
      <c r="AI473" s="127"/>
      <c r="AJ473" s="127"/>
      <c r="AK473" s="127"/>
    </row>
    <row r="474" spans="1:37" ht="36" customHeight="1" x14ac:dyDescent="0.25">
      <c r="A474" s="125"/>
      <c r="B474" s="126" t="str">
        <f t="shared" si="14"/>
        <v/>
      </c>
      <c r="C474" s="127"/>
      <c r="D474" s="127"/>
      <c r="E474" s="128"/>
      <c r="F474" s="127"/>
      <c r="G474" s="125"/>
      <c r="H474" s="128"/>
      <c r="I474" s="127"/>
      <c r="J474" s="127"/>
      <c r="K474" s="127"/>
      <c r="L474" s="125"/>
      <c r="M474" s="125"/>
      <c r="N474" s="125"/>
      <c r="O474" s="127"/>
      <c r="P474" s="127"/>
      <c r="Q474" s="127"/>
      <c r="R474" s="127"/>
      <c r="S474" s="127"/>
      <c r="T474" s="127"/>
      <c r="U474" s="127"/>
      <c r="V474" s="128"/>
      <c r="W474" s="128"/>
      <c r="X474" s="129" t="str">
        <f t="shared" si="15"/>
        <v/>
      </c>
      <c r="Y474" s="127"/>
      <c r="Z474" s="128"/>
      <c r="AA474" s="130"/>
      <c r="AB474" s="130"/>
      <c r="AC474" s="130"/>
      <c r="AD474" s="130"/>
      <c r="AE474" s="130"/>
      <c r="AF474" s="130"/>
      <c r="AG474" s="127"/>
      <c r="AH474" s="130"/>
      <c r="AI474" s="127"/>
      <c r="AJ474" s="127"/>
      <c r="AK474" s="127"/>
    </row>
    <row r="475" spans="1:37" ht="36" customHeight="1" x14ac:dyDescent="0.25">
      <c r="A475" s="125"/>
      <c r="B475" s="126" t="str">
        <f t="shared" si="14"/>
        <v/>
      </c>
      <c r="C475" s="127"/>
      <c r="D475" s="127"/>
      <c r="E475" s="128"/>
      <c r="F475" s="127"/>
      <c r="G475" s="125"/>
      <c r="H475" s="128"/>
      <c r="I475" s="127"/>
      <c r="J475" s="127"/>
      <c r="K475" s="127"/>
      <c r="L475" s="125"/>
      <c r="M475" s="125"/>
      <c r="N475" s="125"/>
      <c r="O475" s="127"/>
      <c r="P475" s="127"/>
      <c r="Q475" s="127"/>
      <c r="R475" s="127"/>
      <c r="S475" s="127"/>
      <c r="T475" s="127"/>
      <c r="U475" s="127"/>
      <c r="V475" s="128"/>
      <c r="W475" s="128"/>
      <c r="X475" s="129" t="str">
        <f t="shared" si="15"/>
        <v/>
      </c>
      <c r="Y475" s="127"/>
      <c r="Z475" s="128"/>
      <c r="AA475" s="130"/>
      <c r="AB475" s="130"/>
      <c r="AC475" s="130"/>
      <c r="AD475" s="130"/>
      <c r="AE475" s="130"/>
      <c r="AF475" s="130"/>
      <c r="AG475" s="127"/>
      <c r="AH475" s="130"/>
      <c r="AI475" s="127"/>
      <c r="AJ475" s="127"/>
      <c r="AK475" s="127"/>
    </row>
    <row r="476" spans="1:37" ht="36" customHeight="1" x14ac:dyDescent="0.25">
      <c r="A476" s="125"/>
      <c r="B476" s="126" t="str">
        <f t="shared" si="14"/>
        <v/>
      </c>
      <c r="C476" s="127"/>
      <c r="D476" s="127"/>
      <c r="E476" s="128"/>
      <c r="F476" s="127"/>
      <c r="G476" s="125"/>
      <c r="H476" s="128"/>
      <c r="I476" s="127"/>
      <c r="J476" s="127"/>
      <c r="K476" s="127"/>
      <c r="L476" s="125"/>
      <c r="M476" s="125"/>
      <c r="N476" s="125"/>
      <c r="O476" s="127"/>
      <c r="P476" s="127"/>
      <c r="Q476" s="127"/>
      <c r="R476" s="127"/>
      <c r="S476" s="127"/>
      <c r="T476" s="127"/>
      <c r="U476" s="127"/>
      <c r="V476" s="128"/>
      <c r="W476" s="128"/>
      <c r="X476" s="129" t="str">
        <f t="shared" si="15"/>
        <v/>
      </c>
      <c r="Y476" s="127"/>
      <c r="Z476" s="128"/>
      <c r="AA476" s="130"/>
      <c r="AB476" s="130"/>
      <c r="AC476" s="130"/>
      <c r="AD476" s="130"/>
      <c r="AE476" s="130"/>
      <c r="AF476" s="130"/>
      <c r="AG476" s="127"/>
      <c r="AH476" s="130"/>
      <c r="AI476" s="127"/>
      <c r="AJ476" s="127"/>
      <c r="AK476" s="127"/>
    </row>
    <row r="477" spans="1:37" ht="36" customHeight="1" x14ac:dyDescent="0.25">
      <c r="A477" s="125"/>
      <c r="B477" s="126" t="str">
        <f t="shared" si="14"/>
        <v/>
      </c>
      <c r="C477" s="127"/>
      <c r="D477" s="127"/>
      <c r="E477" s="128"/>
      <c r="F477" s="127"/>
      <c r="G477" s="125"/>
      <c r="H477" s="128"/>
      <c r="I477" s="127"/>
      <c r="J477" s="127"/>
      <c r="K477" s="127"/>
      <c r="L477" s="125"/>
      <c r="M477" s="125"/>
      <c r="N477" s="125"/>
      <c r="O477" s="127"/>
      <c r="P477" s="127"/>
      <c r="Q477" s="127"/>
      <c r="R477" s="127"/>
      <c r="S477" s="127"/>
      <c r="T477" s="127"/>
      <c r="U477" s="127"/>
      <c r="V477" s="128"/>
      <c r="W477" s="128"/>
      <c r="X477" s="129" t="str">
        <f t="shared" si="15"/>
        <v/>
      </c>
      <c r="Y477" s="127"/>
      <c r="Z477" s="128"/>
      <c r="AA477" s="130"/>
      <c r="AB477" s="130"/>
      <c r="AC477" s="130"/>
      <c r="AD477" s="130"/>
      <c r="AE477" s="130"/>
      <c r="AF477" s="130"/>
      <c r="AG477" s="127"/>
      <c r="AH477" s="130"/>
      <c r="AI477" s="127"/>
      <c r="AJ477" s="127"/>
      <c r="AK477" s="127"/>
    </row>
    <row r="478" spans="1:37" ht="36" customHeight="1" x14ac:dyDescent="0.25">
      <c r="A478" s="125"/>
      <c r="B478" s="126" t="str">
        <f t="shared" si="14"/>
        <v/>
      </c>
      <c r="C478" s="127"/>
      <c r="D478" s="127"/>
      <c r="E478" s="128"/>
      <c r="F478" s="127"/>
      <c r="G478" s="125"/>
      <c r="H478" s="128"/>
      <c r="I478" s="127"/>
      <c r="J478" s="127"/>
      <c r="K478" s="127"/>
      <c r="L478" s="125"/>
      <c r="M478" s="125"/>
      <c r="N478" s="125"/>
      <c r="O478" s="127"/>
      <c r="P478" s="127"/>
      <c r="Q478" s="127"/>
      <c r="R478" s="127"/>
      <c r="S478" s="127"/>
      <c r="T478" s="127"/>
      <c r="U478" s="127"/>
      <c r="V478" s="128"/>
      <c r="W478" s="128"/>
      <c r="X478" s="129" t="str">
        <f t="shared" si="15"/>
        <v/>
      </c>
      <c r="Y478" s="127"/>
      <c r="Z478" s="128"/>
      <c r="AA478" s="130"/>
      <c r="AB478" s="130"/>
      <c r="AC478" s="130"/>
      <c r="AD478" s="130"/>
      <c r="AE478" s="130"/>
      <c r="AF478" s="130"/>
      <c r="AG478" s="127"/>
      <c r="AH478" s="130"/>
      <c r="AI478" s="127"/>
      <c r="AJ478" s="127"/>
      <c r="AK478" s="127"/>
    </row>
    <row r="479" spans="1:37" ht="36" customHeight="1" x14ac:dyDescent="0.25">
      <c r="A479" s="125"/>
      <c r="B479" s="126" t="str">
        <f t="shared" si="14"/>
        <v/>
      </c>
      <c r="C479" s="127"/>
      <c r="D479" s="127"/>
      <c r="E479" s="128"/>
      <c r="F479" s="127"/>
      <c r="G479" s="125"/>
      <c r="H479" s="128"/>
      <c r="I479" s="127"/>
      <c r="J479" s="127"/>
      <c r="K479" s="127"/>
      <c r="L479" s="125"/>
      <c r="M479" s="125"/>
      <c r="N479" s="125"/>
      <c r="O479" s="127"/>
      <c r="P479" s="127"/>
      <c r="Q479" s="127"/>
      <c r="R479" s="127"/>
      <c r="S479" s="127"/>
      <c r="T479" s="127"/>
      <c r="U479" s="127"/>
      <c r="V479" s="128"/>
      <c r="W479" s="128"/>
      <c r="X479" s="129" t="str">
        <f t="shared" si="15"/>
        <v/>
      </c>
      <c r="Y479" s="127"/>
      <c r="Z479" s="128"/>
      <c r="AA479" s="130"/>
      <c r="AB479" s="130"/>
      <c r="AC479" s="130"/>
      <c r="AD479" s="130"/>
      <c r="AE479" s="130"/>
      <c r="AF479" s="130"/>
      <c r="AG479" s="127"/>
      <c r="AH479" s="130"/>
      <c r="AI479" s="127"/>
      <c r="AJ479" s="127"/>
      <c r="AK479" s="127"/>
    </row>
    <row r="480" spans="1:37" ht="36" customHeight="1" x14ac:dyDescent="0.25">
      <c r="A480" s="125"/>
      <c r="B480" s="126" t="str">
        <f t="shared" si="14"/>
        <v/>
      </c>
      <c r="C480" s="127"/>
      <c r="D480" s="127"/>
      <c r="E480" s="128"/>
      <c r="F480" s="127"/>
      <c r="G480" s="125"/>
      <c r="H480" s="128"/>
      <c r="I480" s="127"/>
      <c r="J480" s="127"/>
      <c r="K480" s="127"/>
      <c r="L480" s="125"/>
      <c r="M480" s="125"/>
      <c r="N480" s="125"/>
      <c r="O480" s="127"/>
      <c r="P480" s="127"/>
      <c r="Q480" s="127"/>
      <c r="R480" s="127"/>
      <c r="S480" s="127"/>
      <c r="T480" s="127"/>
      <c r="U480" s="127"/>
      <c r="V480" s="128"/>
      <c r="W480" s="128"/>
      <c r="X480" s="129" t="str">
        <f t="shared" si="15"/>
        <v/>
      </c>
      <c r="Y480" s="127"/>
      <c r="Z480" s="128"/>
      <c r="AA480" s="130"/>
      <c r="AB480" s="130"/>
      <c r="AC480" s="130"/>
      <c r="AD480" s="130"/>
      <c r="AE480" s="130"/>
      <c r="AF480" s="130"/>
      <c r="AG480" s="127"/>
      <c r="AH480" s="130"/>
      <c r="AI480" s="127"/>
      <c r="AJ480" s="127"/>
      <c r="AK480" s="127"/>
    </row>
    <row r="481" spans="1:37" ht="36" customHeight="1" x14ac:dyDescent="0.25">
      <c r="A481" s="125"/>
      <c r="B481" s="126" t="str">
        <f t="shared" si="14"/>
        <v/>
      </c>
      <c r="C481" s="127"/>
      <c r="D481" s="127"/>
      <c r="E481" s="128"/>
      <c r="F481" s="127"/>
      <c r="G481" s="125"/>
      <c r="H481" s="128"/>
      <c r="I481" s="127"/>
      <c r="J481" s="127"/>
      <c r="K481" s="127"/>
      <c r="L481" s="125"/>
      <c r="M481" s="125"/>
      <c r="N481" s="125"/>
      <c r="O481" s="127"/>
      <c r="P481" s="127"/>
      <c r="Q481" s="127"/>
      <c r="R481" s="127"/>
      <c r="S481" s="127"/>
      <c r="T481" s="127"/>
      <c r="U481" s="127"/>
      <c r="V481" s="128"/>
      <c r="W481" s="128"/>
      <c r="X481" s="129" t="str">
        <f t="shared" si="15"/>
        <v/>
      </c>
      <c r="Y481" s="127"/>
      <c r="Z481" s="128"/>
      <c r="AA481" s="130"/>
      <c r="AB481" s="130"/>
      <c r="AC481" s="130"/>
      <c r="AD481" s="130"/>
      <c r="AE481" s="130"/>
      <c r="AF481" s="130"/>
      <c r="AG481" s="127"/>
      <c r="AH481" s="130"/>
      <c r="AI481" s="127"/>
      <c r="AJ481" s="127"/>
      <c r="AK481" s="127"/>
    </row>
    <row r="482" spans="1:37" ht="36" customHeight="1" x14ac:dyDescent="0.25">
      <c r="A482" s="125"/>
      <c r="B482" s="126" t="str">
        <f t="shared" si="14"/>
        <v/>
      </c>
      <c r="C482" s="127"/>
      <c r="D482" s="127"/>
      <c r="E482" s="128"/>
      <c r="F482" s="127"/>
      <c r="G482" s="125"/>
      <c r="H482" s="128"/>
      <c r="I482" s="127"/>
      <c r="J482" s="127"/>
      <c r="K482" s="127"/>
      <c r="L482" s="125"/>
      <c r="M482" s="125"/>
      <c r="N482" s="125"/>
      <c r="O482" s="127"/>
      <c r="P482" s="127"/>
      <c r="Q482" s="127"/>
      <c r="R482" s="127"/>
      <c r="S482" s="127"/>
      <c r="T482" s="127"/>
      <c r="U482" s="127"/>
      <c r="V482" s="128"/>
      <c r="W482" s="128"/>
      <c r="X482" s="129" t="str">
        <f t="shared" si="15"/>
        <v/>
      </c>
      <c r="Y482" s="127"/>
      <c r="Z482" s="128"/>
      <c r="AA482" s="130"/>
      <c r="AB482" s="130"/>
      <c r="AC482" s="130"/>
      <c r="AD482" s="130"/>
      <c r="AE482" s="130"/>
      <c r="AF482" s="130"/>
      <c r="AG482" s="127"/>
      <c r="AH482" s="130"/>
      <c r="AI482" s="127"/>
      <c r="AJ482" s="127"/>
      <c r="AK482" s="127"/>
    </row>
    <row r="483" spans="1:37" ht="36" customHeight="1" x14ac:dyDescent="0.25">
      <c r="A483" s="125"/>
      <c r="B483" s="126" t="str">
        <f t="shared" si="14"/>
        <v/>
      </c>
      <c r="C483" s="127"/>
      <c r="D483" s="127"/>
      <c r="E483" s="128"/>
      <c r="F483" s="127"/>
      <c r="G483" s="125"/>
      <c r="H483" s="128"/>
      <c r="I483" s="127"/>
      <c r="J483" s="127"/>
      <c r="K483" s="127"/>
      <c r="L483" s="125"/>
      <c r="M483" s="125"/>
      <c r="N483" s="125"/>
      <c r="O483" s="127"/>
      <c r="P483" s="127"/>
      <c r="Q483" s="127"/>
      <c r="R483" s="127"/>
      <c r="S483" s="127"/>
      <c r="T483" s="127"/>
      <c r="U483" s="127"/>
      <c r="V483" s="128"/>
      <c r="W483" s="128"/>
      <c r="X483" s="129" t="str">
        <f t="shared" si="15"/>
        <v/>
      </c>
      <c r="Y483" s="127"/>
      <c r="Z483" s="128"/>
      <c r="AA483" s="130"/>
      <c r="AB483" s="130"/>
      <c r="AC483" s="130"/>
      <c r="AD483" s="130"/>
      <c r="AE483" s="130"/>
      <c r="AF483" s="130"/>
      <c r="AG483" s="127"/>
      <c r="AH483" s="130"/>
      <c r="AI483" s="127"/>
      <c r="AJ483" s="127"/>
      <c r="AK483" s="127"/>
    </row>
    <row r="484" spans="1:37" ht="36" customHeight="1" x14ac:dyDescent="0.25">
      <c r="A484" s="125"/>
      <c r="B484" s="126" t="str">
        <f t="shared" si="14"/>
        <v/>
      </c>
      <c r="C484" s="127"/>
      <c r="D484" s="127"/>
      <c r="E484" s="128"/>
      <c r="F484" s="127"/>
      <c r="G484" s="125"/>
      <c r="H484" s="128"/>
      <c r="I484" s="127"/>
      <c r="J484" s="127"/>
      <c r="K484" s="127"/>
      <c r="L484" s="125"/>
      <c r="M484" s="125"/>
      <c r="N484" s="125"/>
      <c r="O484" s="127"/>
      <c r="P484" s="127"/>
      <c r="Q484" s="127"/>
      <c r="R484" s="127"/>
      <c r="S484" s="127"/>
      <c r="T484" s="127"/>
      <c r="U484" s="127"/>
      <c r="V484" s="128"/>
      <c r="W484" s="128"/>
      <c r="X484" s="129" t="str">
        <f t="shared" si="15"/>
        <v/>
      </c>
      <c r="Y484" s="127"/>
      <c r="Z484" s="128"/>
      <c r="AA484" s="130"/>
      <c r="AB484" s="130"/>
      <c r="AC484" s="130"/>
      <c r="AD484" s="130"/>
      <c r="AE484" s="130"/>
      <c r="AF484" s="130"/>
      <c r="AG484" s="127"/>
      <c r="AH484" s="130"/>
      <c r="AI484" s="127"/>
      <c r="AJ484" s="127"/>
      <c r="AK484" s="127"/>
    </row>
    <row r="485" spans="1:37" ht="36" customHeight="1" x14ac:dyDescent="0.25">
      <c r="A485" s="125"/>
      <c r="B485" s="126" t="str">
        <f t="shared" si="14"/>
        <v/>
      </c>
      <c r="C485" s="127"/>
      <c r="D485" s="127"/>
      <c r="E485" s="128"/>
      <c r="F485" s="127"/>
      <c r="G485" s="125"/>
      <c r="H485" s="128"/>
      <c r="I485" s="127"/>
      <c r="J485" s="127"/>
      <c r="K485" s="127"/>
      <c r="L485" s="125"/>
      <c r="M485" s="125"/>
      <c r="N485" s="125"/>
      <c r="O485" s="127"/>
      <c r="P485" s="127"/>
      <c r="Q485" s="127"/>
      <c r="R485" s="127"/>
      <c r="S485" s="127"/>
      <c r="T485" s="127"/>
      <c r="U485" s="127"/>
      <c r="V485" s="128"/>
      <c r="W485" s="128"/>
      <c r="X485" s="129" t="str">
        <f t="shared" si="15"/>
        <v/>
      </c>
      <c r="Y485" s="127"/>
      <c r="Z485" s="128"/>
      <c r="AA485" s="130"/>
      <c r="AB485" s="130"/>
      <c r="AC485" s="130"/>
      <c r="AD485" s="130"/>
      <c r="AE485" s="130"/>
      <c r="AF485" s="130"/>
      <c r="AG485" s="127"/>
      <c r="AH485" s="130"/>
      <c r="AI485" s="127"/>
      <c r="AJ485" s="127"/>
      <c r="AK485" s="127"/>
    </row>
    <row r="486" spans="1:37" ht="36" customHeight="1" x14ac:dyDescent="0.25">
      <c r="A486" s="125"/>
      <c r="B486" s="126" t="str">
        <f t="shared" si="14"/>
        <v/>
      </c>
      <c r="C486" s="127"/>
      <c r="D486" s="127"/>
      <c r="E486" s="128"/>
      <c r="F486" s="127"/>
      <c r="G486" s="125"/>
      <c r="H486" s="128"/>
      <c r="I486" s="127"/>
      <c r="J486" s="127"/>
      <c r="K486" s="127"/>
      <c r="L486" s="125"/>
      <c r="M486" s="125"/>
      <c r="N486" s="125"/>
      <c r="O486" s="127"/>
      <c r="P486" s="127"/>
      <c r="Q486" s="127"/>
      <c r="R486" s="127"/>
      <c r="S486" s="127"/>
      <c r="T486" s="127"/>
      <c r="U486" s="127"/>
      <c r="V486" s="128"/>
      <c r="W486" s="128"/>
      <c r="X486" s="129" t="str">
        <f t="shared" si="15"/>
        <v/>
      </c>
      <c r="Y486" s="127"/>
      <c r="Z486" s="128"/>
      <c r="AA486" s="130"/>
      <c r="AB486" s="130"/>
      <c r="AC486" s="130"/>
      <c r="AD486" s="130"/>
      <c r="AE486" s="130"/>
      <c r="AF486" s="130"/>
      <c r="AG486" s="127"/>
      <c r="AH486" s="130"/>
      <c r="AI486" s="127"/>
      <c r="AJ486" s="127"/>
      <c r="AK486" s="127"/>
    </row>
    <row r="487" spans="1:37" ht="36" customHeight="1" x14ac:dyDescent="0.25">
      <c r="A487" s="125"/>
      <c r="B487" s="126" t="str">
        <f t="shared" si="14"/>
        <v/>
      </c>
      <c r="C487" s="127"/>
      <c r="D487" s="127"/>
      <c r="E487" s="128"/>
      <c r="F487" s="127"/>
      <c r="G487" s="125"/>
      <c r="H487" s="128"/>
      <c r="I487" s="127"/>
      <c r="J487" s="127"/>
      <c r="K487" s="127"/>
      <c r="L487" s="125"/>
      <c r="M487" s="125"/>
      <c r="N487" s="125"/>
      <c r="O487" s="127"/>
      <c r="P487" s="127"/>
      <c r="Q487" s="127"/>
      <c r="R487" s="127"/>
      <c r="S487" s="127"/>
      <c r="T487" s="127"/>
      <c r="U487" s="127"/>
      <c r="V487" s="128"/>
      <c r="W487" s="128"/>
      <c r="X487" s="129" t="str">
        <f t="shared" si="15"/>
        <v/>
      </c>
      <c r="Y487" s="127"/>
      <c r="Z487" s="128"/>
      <c r="AA487" s="130"/>
      <c r="AB487" s="130"/>
      <c r="AC487" s="130"/>
      <c r="AD487" s="130"/>
      <c r="AE487" s="130"/>
      <c r="AF487" s="130"/>
      <c r="AG487" s="127"/>
      <c r="AH487" s="130"/>
      <c r="AI487" s="127"/>
      <c r="AJ487" s="127"/>
      <c r="AK487" s="127"/>
    </row>
    <row r="488" spans="1:37" ht="36" customHeight="1" x14ac:dyDescent="0.25">
      <c r="A488" s="125"/>
      <c r="B488" s="126" t="str">
        <f t="shared" si="14"/>
        <v/>
      </c>
      <c r="C488" s="127"/>
      <c r="D488" s="127"/>
      <c r="E488" s="128"/>
      <c r="F488" s="127"/>
      <c r="G488" s="125"/>
      <c r="H488" s="128"/>
      <c r="I488" s="127"/>
      <c r="J488" s="127"/>
      <c r="K488" s="127"/>
      <c r="L488" s="125"/>
      <c r="M488" s="125"/>
      <c r="N488" s="125"/>
      <c r="O488" s="127"/>
      <c r="P488" s="127"/>
      <c r="Q488" s="127"/>
      <c r="R488" s="127"/>
      <c r="S488" s="127"/>
      <c r="T488" s="127"/>
      <c r="U488" s="127"/>
      <c r="V488" s="128"/>
      <c r="W488" s="128"/>
      <c r="X488" s="129" t="str">
        <f t="shared" si="15"/>
        <v/>
      </c>
      <c r="Y488" s="127"/>
      <c r="Z488" s="128"/>
      <c r="AA488" s="130"/>
      <c r="AB488" s="130"/>
      <c r="AC488" s="130"/>
      <c r="AD488" s="130"/>
      <c r="AE488" s="130"/>
      <c r="AF488" s="130"/>
      <c r="AG488" s="127"/>
      <c r="AH488" s="130"/>
      <c r="AI488" s="127"/>
      <c r="AJ488" s="127"/>
      <c r="AK488" s="127"/>
    </row>
    <row r="489" spans="1:37" ht="36" customHeight="1" x14ac:dyDescent="0.25">
      <c r="A489" s="125"/>
      <c r="B489" s="126" t="str">
        <f t="shared" si="14"/>
        <v/>
      </c>
      <c r="C489" s="127"/>
      <c r="D489" s="127"/>
      <c r="E489" s="128"/>
      <c r="F489" s="127"/>
      <c r="G489" s="125"/>
      <c r="H489" s="128"/>
      <c r="I489" s="127"/>
      <c r="J489" s="127"/>
      <c r="K489" s="127"/>
      <c r="L489" s="125"/>
      <c r="M489" s="125"/>
      <c r="N489" s="125"/>
      <c r="O489" s="127"/>
      <c r="P489" s="127"/>
      <c r="Q489" s="127"/>
      <c r="R489" s="127"/>
      <c r="S489" s="127"/>
      <c r="T489" s="127"/>
      <c r="U489" s="127"/>
      <c r="V489" s="128"/>
      <c r="W489" s="128"/>
      <c r="X489" s="129" t="str">
        <f t="shared" si="15"/>
        <v/>
      </c>
      <c r="Y489" s="127"/>
      <c r="Z489" s="128"/>
      <c r="AA489" s="130"/>
      <c r="AB489" s="130"/>
      <c r="AC489" s="130"/>
      <c r="AD489" s="130"/>
      <c r="AE489" s="130"/>
      <c r="AF489" s="130"/>
      <c r="AG489" s="127"/>
      <c r="AH489" s="130"/>
      <c r="AI489" s="127"/>
      <c r="AJ489" s="127"/>
      <c r="AK489" s="127"/>
    </row>
    <row r="490" spans="1:37" ht="36" customHeight="1" x14ac:dyDescent="0.25">
      <c r="A490" s="125"/>
      <c r="B490" s="126" t="str">
        <f t="shared" si="14"/>
        <v/>
      </c>
      <c r="C490" s="127"/>
      <c r="D490" s="127"/>
      <c r="E490" s="128"/>
      <c r="F490" s="127"/>
      <c r="G490" s="125"/>
      <c r="H490" s="128"/>
      <c r="I490" s="127"/>
      <c r="J490" s="127"/>
      <c r="K490" s="127"/>
      <c r="L490" s="125"/>
      <c r="M490" s="125"/>
      <c r="N490" s="125"/>
      <c r="O490" s="127"/>
      <c r="P490" s="127"/>
      <c r="Q490" s="127"/>
      <c r="R490" s="127"/>
      <c r="S490" s="127"/>
      <c r="T490" s="127"/>
      <c r="U490" s="127"/>
      <c r="V490" s="128"/>
      <c r="W490" s="128"/>
      <c r="X490" s="129" t="str">
        <f t="shared" si="15"/>
        <v/>
      </c>
      <c r="Y490" s="127"/>
      <c r="Z490" s="128"/>
      <c r="AA490" s="130"/>
      <c r="AB490" s="130"/>
      <c r="AC490" s="130"/>
      <c r="AD490" s="130"/>
      <c r="AE490" s="130"/>
      <c r="AF490" s="130"/>
      <c r="AG490" s="127"/>
      <c r="AH490" s="130"/>
      <c r="AI490" s="127"/>
      <c r="AJ490" s="127"/>
      <c r="AK490" s="127"/>
    </row>
    <row r="491" spans="1:37" ht="36" customHeight="1" x14ac:dyDescent="0.25">
      <c r="A491" s="125"/>
      <c r="B491" s="126" t="str">
        <f t="shared" si="14"/>
        <v/>
      </c>
      <c r="C491" s="127"/>
      <c r="D491" s="127"/>
      <c r="E491" s="128"/>
      <c r="F491" s="127"/>
      <c r="G491" s="125"/>
      <c r="H491" s="128"/>
      <c r="I491" s="127"/>
      <c r="J491" s="127"/>
      <c r="K491" s="127"/>
      <c r="L491" s="125"/>
      <c r="M491" s="125"/>
      <c r="N491" s="125"/>
      <c r="O491" s="127"/>
      <c r="P491" s="127"/>
      <c r="Q491" s="127"/>
      <c r="R491" s="127"/>
      <c r="S491" s="127"/>
      <c r="T491" s="127"/>
      <c r="U491" s="127"/>
      <c r="V491" s="128"/>
      <c r="W491" s="128"/>
      <c r="X491" s="129" t="str">
        <f t="shared" si="15"/>
        <v/>
      </c>
      <c r="Y491" s="127"/>
      <c r="Z491" s="128"/>
      <c r="AA491" s="130"/>
      <c r="AB491" s="130"/>
      <c r="AC491" s="130"/>
      <c r="AD491" s="130"/>
      <c r="AE491" s="130"/>
      <c r="AF491" s="130"/>
      <c r="AG491" s="127"/>
      <c r="AH491" s="130"/>
      <c r="AI491" s="127"/>
      <c r="AJ491" s="127"/>
      <c r="AK491" s="127"/>
    </row>
    <row r="492" spans="1:37" ht="36" customHeight="1" x14ac:dyDescent="0.25">
      <c r="A492" s="125"/>
      <c r="B492" s="126" t="str">
        <f t="shared" si="14"/>
        <v/>
      </c>
      <c r="C492" s="127"/>
      <c r="D492" s="127"/>
      <c r="E492" s="128"/>
      <c r="F492" s="127"/>
      <c r="G492" s="125"/>
      <c r="H492" s="128"/>
      <c r="I492" s="127"/>
      <c r="J492" s="127"/>
      <c r="K492" s="127"/>
      <c r="L492" s="125"/>
      <c r="M492" s="125"/>
      <c r="N492" s="125"/>
      <c r="O492" s="127"/>
      <c r="P492" s="127"/>
      <c r="Q492" s="127"/>
      <c r="R492" s="127"/>
      <c r="S492" s="127"/>
      <c r="T492" s="127"/>
      <c r="U492" s="127"/>
      <c r="V492" s="128"/>
      <c r="W492" s="128"/>
      <c r="X492" s="129" t="str">
        <f t="shared" si="15"/>
        <v/>
      </c>
      <c r="Y492" s="127"/>
      <c r="Z492" s="128"/>
      <c r="AA492" s="130"/>
      <c r="AB492" s="130"/>
      <c r="AC492" s="130"/>
      <c r="AD492" s="130"/>
      <c r="AE492" s="130"/>
      <c r="AF492" s="130"/>
      <c r="AG492" s="127"/>
      <c r="AH492" s="130"/>
      <c r="AI492" s="127"/>
      <c r="AJ492" s="127"/>
      <c r="AK492" s="127"/>
    </row>
    <row r="493" spans="1:37" ht="36" customHeight="1" x14ac:dyDescent="0.25">
      <c r="A493" s="125"/>
      <c r="B493" s="126" t="str">
        <f t="shared" si="14"/>
        <v/>
      </c>
      <c r="C493" s="127"/>
      <c r="D493" s="127"/>
      <c r="E493" s="128"/>
      <c r="F493" s="127"/>
      <c r="G493" s="125"/>
      <c r="H493" s="128"/>
      <c r="I493" s="127"/>
      <c r="J493" s="127"/>
      <c r="K493" s="127"/>
      <c r="L493" s="125"/>
      <c r="M493" s="125"/>
      <c r="N493" s="125"/>
      <c r="O493" s="127"/>
      <c r="P493" s="127"/>
      <c r="Q493" s="127"/>
      <c r="R493" s="127"/>
      <c r="S493" s="127"/>
      <c r="T493" s="127"/>
      <c r="U493" s="127"/>
      <c r="V493" s="128"/>
      <c r="W493" s="128"/>
      <c r="X493" s="129" t="str">
        <f t="shared" si="15"/>
        <v/>
      </c>
      <c r="Y493" s="127"/>
      <c r="Z493" s="128"/>
      <c r="AA493" s="130"/>
      <c r="AB493" s="130"/>
      <c r="AC493" s="130"/>
      <c r="AD493" s="130"/>
      <c r="AE493" s="130"/>
      <c r="AF493" s="130"/>
      <c r="AG493" s="127"/>
      <c r="AH493" s="130"/>
      <c r="AI493" s="127"/>
      <c r="AJ493" s="127"/>
      <c r="AK493" s="127"/>
    </row>
    <row r="494" spans="1:37" ht="36" customHeight="1" x14ac:dyDescent="0.25">
      <c r="A494" s="125"/>
      <c r="B494" s="126" t="str">
        <f t="shared" si="14"/>
        <v/>
      </c>
      <c r="C494" s="127"/>
      <c r="D494" s="127"/>
      <c r="E494" s="128"/>
      <c r="F494" s="127"/>
      <c r="G494" s="125"/>
      <c r="H494" s="128"/>
      <c r="I494" s="127"/>
      <c r="J494" s="127"/>
      <c r="K494" s="127"/>
      <c r="L494" s="125"/>
      <c r="M494" s="125"/>
      <c r="N494" s="125"/>
      <c r="O494" s="127"/>
      <c r="P494" s="127"/>
      <c r="Q494" s="127"/>
      <c r="R494" s="127"/>
      <c r="S494" s="127"/>
      <c r="T494" s="127"/>
      <c r="U494" s="127"/>
      <c r="V494" s="128"/>
      <c r="W494" s="128"/>
      <c r="X494" s="129" t="str">
        <f t="shared" si="15"/>
        <v/>
      </c>
      <c r="Y494" s="127"/>
      <c r="Z494" s="128"/>
      <c r="AA494" s="130"/>
      <c r="AB494" s="130"/>
      <c r="AC494" s="130"/>
      <c r="AD494" s="130"/>
      <c r="AE494" s="130"/>
      <c r="AF494" s="130"/>
      <c r="AG494" s="127"/>
      <c r="AH494" s="130"/>
      <c r="AI494" s="127"/>
      <c r="AJ494" s="127"/>
      <c r="AK494" s="127"/>
    </row>
    <row r="495" spans="1:37" ht="36" customHeight="1" x14ac:dyDescent="0.25">
      <c r="A495" s="125"/>
      <c r="B495" s="126" t="str">
        <f t="shared" si="14"/>
        <v/>
      </c>
      <c r="C495" s="127"/>
      <c r="D495" s="127"/>
      <c r="E495" s="128"/>
      <c r="F495" s="127"/>
      <c r="G495" s="125"/>
      <c r="H495" s="128"/>
      <c r="I495" s="127"/>
      <c r="J495" s="127"/>
      <c r="K495" s="127"/>
      <c r="L495" s="125"/>
      <c r="M495" s="125"/>
      <c r="N495" s="125"/>
      <c r="O495" s="127"/>
      <c r="P495" s="127"/>
      <c r="Q495" s="127"/>
      <c r="R495" s="127"/>
      <c r="S495" s="127"/>
      <c r="T495" s="127"/>
      <c r="U495" s="127"/>
      <c r="V495" s="128"/>
      <c r="W495" s="128"/>
      <c r="X495" s="129" t="str">
        <f t="shared" si="15"/>
        <v/>
      </c>
      <c r="Y495" s="127"/>
      <c r="Z495" s="128"/>
      <c r="AA495" s="130"/>
      <c r="AB495" s="130"/>
      <c r="AC495" s="130"/>
      <c r="AD495" s="130"/>
      <c r="AE495" s="130"/>
      <c r="AF495" s="130"/>
      <c r="AG495" s="127"/>
      <c r="AH495" s="130"/>
      <c r="AI495" s="127"/>
      <c r="AJ495" s="127"/>
      <c r="AK495" s="127"/>
    </row>
    <row r="496" spans="1:37" ht="36" customHeight="1" x14ac:dyDescent="0.25">
      <c r="A496" s="125"/>
      <c r="B496" s="126" t="str">
        <f t="shared" si="14"/>
        <v/>
      </c>
      <c r="C496" s="127"/>
      <c r="D496" s="127"/>
      <c r="E496" s="128"/>
      <c r="F496" s="127"/>
      <c r="G496" s="125"/>
      <c r="H496" s="128"/>
      <c r="I496" s="127"/>
      <c r="J496" s="127"/>
      <c r="K496" s="127"/>
      <c r="L496" s="125"/>
      <c r="M496" s="125"/>
      <c r="N496" s="125"/>
      <c r="O496" s="127"/>
      <c r="P496" s="127"/>
      <c r="Q496" s="127"/>
      <c r="R496" s="127"/>
      <c r="S496" s="127"/>
      <c r="T496" s="127"/>
      <c r="U496" s="127"/>
      <c r="V496" s="128"/>
      <c r="W496" s="128"/>
      <c r="X496" s="129" t="str">
        <f t="shared" si="15"/>
        <v/>
      </c>
      <c r="Y496" s="127"/>
      <c r="Z496" s="128"/>
      <c r="AA496" s="130"/>
      <c r="AB496" s="130"/>
      <c r="AC496" s="130"/>
      <c r="AD496" s="130"/>
      <c r="AE496" s="130"/>
      <c r="AF496" s="130"/>
      <c r="AG496" s="127"/>
      <c r="AH496" s="130"/>
      <c r="AI496" s="127"/>
      <c r="AJ496" s="127"/>
      <c r="AK496" s="127"/>
    </row>
    <row r="497" spans="1:37" ht="36" customHeight="1" x14ac:dyDescent="0.25">
      <c r="A497" s="125"/>
      <c r="B497" s="126" t="str">
        <f t="shared" si="14"/>
        <v/>
      </c>
      <c r="C497" s="127"/>
      <c r="D497" s="127"/>
      <c r="E497" s="128"/>
      <c r="F497" s="127"/>
      <c r="G497" s="125"/>
      <c r="H497" s="128"/>
      <c r="I497" s="127"/>
      <c r="J497" s="127"/>
      <c r="K497" s="127"/>
      <c r="L497" s="125"/>
      <c r="M497" s="125"/>
      <c r="N497" s="125"/>
      <c r="O497" s="127"/>
      <c r="P497" s="127"/>
      <c r="Q497" s="127"/>
      <c r="R497" s="127"/>
      <c r="S497" s="127"/>
      <c r="T497" s="127"/>
      <c r="U497" s="127"/>
      <c r="V497" s="128"/>
      <c r="W497" s="128"/>
      <c r="X497" s="129" t="str">
        <f t="shared" si="15"/>
        <v/>
      </c>
      <c r="Y497" s="127"/>
      <c r="Z497" s="128"/>
      <c r="AA497" s="130"/>
      <c r="AB497" s="130"/>
      <c r="AC497" s="130"/>
      <c r="AD497" s="130"/>
      <c r="AE497" s="130"/>
      <c r="AF497" s="130"/>
      <c r="AG497" s="127"/>
      <c r="AH497" s="130"/>
      <c r="AI497" s="127"/>
      <c r="AJ497" s="127"/>
      <c r="AK497" s="127"/>
    </row>
    <row r="498" spans="1:37" ht="36" customHeight="1" x14ac:dyDescent="0.25">
      <c r="A498" s="125"/>
      <c r="B498" s="126" t="str">
        <f t="shared" si="14"/>
        <v/>
      </c>
      <c r="C498" s="127"/>
      <c r="D498" s="127"/>
      <c r="E498" s="128"/>
      <c r="F498" s="127"/>
      <c r="G498" s="125"/>
      <c r="H498" s="128"/>
      <c r="I498" s="127"/>
      <c r="J498" s="127"/>
      <c r="K498" s="127"/>
      <c r="L498" s="125"/>
      <c r="M498" s="125"/>
      <c r="N498" s="125"/>
      <c r="O498" s="127"/>
      <c r="P498" s="127"/>
      <c r="Q498" s="127"/>
      <c r="R498" s="127"/>
      <c r="S498" s="127"/>
      <c r="T498" s="127"/>
      <c r="U498" s="127"/>
      <c r="V498" s="128"/>
      <c r="W498" s="128"/>
      <c r="X498" s="129" t="str">
        <f t="shared" si="15"/>
        <v/>
      </c>
      <c r="Y498" s="127"/>
      <c r="Z498" s="128"/>
      <c r="AA498" s="130"/>
      <c r="AB498" s="130"/>
      <c r="AC498" s="130"/>
      <c r="AD498" s="130"/>
      <c r="AE498" s="130"/>
      <c r="AF498" s="130"/>
      <c r="AG498" s="127"/>
      <c r="AH498" s="130"/>
      <c r="AI498" s="127"/>
      <c r="AJ498" s="127"/>
      <c r="AK498" s="127"/>
    </row>
    <row r="499" spans="1:37" ht="36" customHeight="1" x14ac:dyDescent="0.25">
      <c r="A499" s="125"/>
      <c r="B499" s="126" t="str">
        <f t="shared" si="14"/>
        <v/>
      </c>
      <c r="C499" s="127"/>
      <c r="D499" s="127"/>
      <c r="E499" s="128"/>
      <c r="F499" s="127"/>
      <c r="G499" s="125"/>
      <c r="H499" s="128"/>
      <c r="I499" s="127"/>
      <c r="J499" s="127"/>
      <c r="K499" s="127"/>
      <c r="L499" s="125"/>
      <c r="M499" s="125"/>
      <c r="N499" s="125"/>
      <c r="O499" s="127"/>
      <c r="P499" s="127"/>
      <c r="Q499" s="127"/>
      <c r="R499" s="127"/>
      <c r="S499" s="127"/>
      <c r="T499" s="127"/>
      <c r="U499" s="127"/>
      <c r="V499" s="128"/>
      <c r="W499" s="128"/>
      <c r="X499" s="129" t="str">
        <f t="shared" si="15"/>
        <v/>
      </c>
      <c r="Y499" s="127"/>
      <c r="Z499" s="128"/>
      <c r="AA499" s="130"/>
      <c r="AB499" s="130"/>
      <c r="AC499" s="130"/>
      <c r="AD499" s="130"/>
      <c r="AE499" s="130"/>
      <c r="AF499" s="130"/>
      <c r="AG499" s="127"/>
      <c r="AH499" s="130"/>
      <c r="AI499" s="127"/>
      <c r="AJ499" s="127"/>
      <c r="AK499" s="127"/>
    </row>
    <row r="500" spans="1:37" ht="36" customHeight="1" x14ac:dyDescent="0.25">
      <c r="A500" s="125"/>
      <c r="B500" s="126" t="str">
        <f t="shared" si="14"/>
        <v/>
      </c>
      <c r="C500" s="127"/>
      <c r="D500" s="127"/>
      <c r="E500" s="128"/>
      <c r="F500" s="127"/>
      <c r="G500" s="125"/>
      <c r="H500" s="128"/>
      <c r="I500" s="127"/>
      <c r="J500" s="127"/>
      <c r="K500" s="127"/>
      <c r="L500" s="125"/>
      <c r="M500" s="125"/>
      <c r="N500" s="125"/>
      <c r="O500" s="127"/>
      <c r="P500" s="127"/>
      <c r="Q500" s="127"/>
      <c r="R500" s="127"/>
      <c r="S500" s="127"/>
      <c r="T500" s="127"/>
      <c r="U500" s="127"/>
      <c r="V500" s="128"/>
      <c r="W500" s="128"/>
      <c r="X500" s="129" t="str">
        <f t="shared" si="15"/>
        <v/>
      </c>
      <c r="Y500" s="127"/>
      <c r="Z500" s="128"/>
      <c r="AA500" s="130"/>
      <c r="AB500" s="130"/>
      <c r="AC500" s="130"/>
      <c r="AD500" s="130"/>
      <c r="AE500" s="130"/>
      <c r="AF500" s="130"/>
      <c r="AG500" s="127"/>
      <c r="AH500" s="130"/>
      <c r="AI500" s="127"/>
      <c r="AJ500" s="127"/>
      <c r="AK500" s="127"/>
    </row>
    <row r="501" spans="1:37" ht="36" customHeight="1" x14ac:dyDescent="0.25">
      <c r="A501" s="125"/>
      <c r="B501" s="126" t="str">
        <f t="shared" si="14"/>
        <v/>
      </c>
      <c r="C501" s="127"/>
      <c r="D501" s="127"/>
      <c r="E501" s="128"/>
      <c r="F501" s="127"/>
      <c r="G501" s="125"/>
      <c r="H501" s="128"/>
      <c r="I501" s="127"/>
      <c r="J501" s="127"/>
      <c r="K501" s="127"/>
      <c r="L501" s="125"/>
      <c r="M501" s="125"/>
      <c r="N501" s="125"/>
      <c r="O501" s="127"/>
      <c r="P501" s="127"/>
      <c r="Q501" s="127"/>
      <c r="R501" s="127"/>
      <c r="S501" s="127"/>
      <c r="T501" s="127"/>
      <c r="U501" s="127"/>
      <c r="V501" s="128"/>
      <c r="W501" s="128"/>
      <c r="X501" s="129" t="str">
        <f t="shared" si="15"/>
        <v/>
      </c>
      <c r="Y501" s="127"/>
      <c r="Z501" s="128"/>
      <c r="AA501" s="130"/>
      <c r="AB501" s="130"/>
      <c r="AC501" s="130"/>
      <c r="AD501" s="130"/>
      <c r="AE501" s="130"/>
      <c r="AF501" s="130"/>
      <c r="AG501" s="127"/>
      <c r="AH501" s="130"/>
      <c r="AI501" s="127"/>
      <c r="AJ501" s="127"/>
      <c r="AK501" s="127"/>
    </row>
    <row r="502" spans="1:37" ht="36" customHeight="1" x14ac:dyDescent="0.25">
      <c r="A502" s="125"/>
      <c r="B502" s="126" t="str">
        <f t="shared" si="14"/>
        <v/>
      </c>
      <c r="C502" s="127"/>
      <c r="D502" s="127"/>
      <c r="E502" s="128"/>
      <c r="F502" s="127"/>
      <c r="G502" s="125"/>
      <c r="H502" s="128"/>
      <c r="I502" s="127"/>
      <c r="J502" s="127"/>
      <c r="K502" s="127"/>
      <c r="L502" s="125"/>
      <c r="M502" s="125"/>
      <c r="N502" s="125"/>
      <c r="O502" s="127"/>
      <c r="P502" s="127"/>
      <c r="Q502" s="127"/>
      <c r="R502" s="127"/>
      <c r="S502" s="127"/>
      <c r="T502" s="127"/>
      <c r="U502" s="127"/>
      <c r="V502" s="128"/>
      <c r="W502" s="128"/>
      <c r="X502" s="129" t="str">
        <f t="shared" si="15"/>
        <v/>
      </c>
      <c r="Y502" s="127"/>
      <c r="Z502" s="128"/>
      <c r="AA502" s="130"/>
      <c r="AB502" s="130"/>
      <c r="AC502" s="130"/>
      <c r="AD502" s="130"/>
      <c r="AE502" s="130"/>
      <c r="AF502" s="130"/>
      <c r="AG502" s="127"/>
      <c r="AH502" s="130"/>
      <c r="AI502" s="127"/>
      <c r="AJ502" s="127"/>
      <c r="AK502" s="127"/>
    </row>
    <row r="503" spans="1:37" ht="36" customHeight="1" x14ac:dyDescent="0.25">
      <c r="A503" s="125"/>
      <c r="B503" s="126" t="str">
        <f t="shared" si="14"/>
        <v/>
      </c>
      <c r="C503" s="127"/>
      <c r="D503" s="127"/>
      <c r="E503" s="128"/>
      <c r="F503" s="127"/>
      <c r="G503" s="125"/>
      <c r="H503" s="128"/>
      <c r="I503" s="127"/>
      <c r="J503" s="127"/>
      <c r="K503" s="127"/>
      <c r="L503" s="125"/>
      <c r="M503" s="125"/>
      <c r="N503" s="125"/>
      <c r="O503" s="127"/>
      <c r="P503" s="127"/>
      <c r="Q503" s="127"/>
      <c r="R503" s="127"/>
      <c r="S503" s="127"/>
      <c r="T503" s="127"/>
      <c r="U503" s="127"/>
      <c r="V503" s="128"/>
      <c r="W503" s="128"/>
      <c r="X503" s="129" t="str">
        <f t="shared" si="15"/>
        <v/>
      </c>
      <c r="Y503" s="127"/>
      <c r="Z503" s="128"/>
      <c r="AA503" s="130"/>
      <c r="AB503" s="130"/>
      <c r="AC503" s="130"/>
      <c r="AD503" s="130"/>
      <c r="AE503" s="130"/>
      <c r="AF503" s="130"/>
      <c r="AG503" s="127"/>
      <c r="AH503" s="130"/>
      <c r="AI503" s="127"/>
      <c r="AJ503" s="127"/>
      <c r="AK503" s="127"/>
    </row>
    <row r="504" spans="1:37" ht="36" customHeight="1" x14ac:dyDescent="0.25">
      <c r="A504" s="125"/>
      <c r="B504" s="126" t="str">
        <f t="shared" si="14"/>
        <v/>
      </c>
      <c r="C504" s="127"/>
      <c r="D504" s="127"/>
      <c r="E504" s="128"/>
      <c r="F504" s="127"/>
      <c r="G504" s="125"/>
      <c r="H504" s="128"/>
      <c r="I504" s="127"/>
      <c r="J504" s="127"/>
      <c r="K504" s="127"/>
      <c r="L504" s="125"/>
      <c r="M504" s="125"/>
      <c r="N504" s="125"/>
      <c r="O504" s="127"/>
      <c r="P504" s="127"/>
      <c r="Q504" s="127"/>
      <c r="R504" s="127"/>
      <c r="S504" s="127"/>
      <c r="T504" s="127"/>
      <c r="U504" s="127"/>
      <c r="V504" s="128"/>
      <c r="W504" s="128"/>
      <c r="X504" s="129" t="str">
        <f t="shared" si="15"/>
        <v/>
      </c>
      <c r="Y504" s="127"/>
      <c r="Z504" s="128"/>
      <c r="AA504" s="130"/>
      <c r="AB504" s="130"/>
      <c r="AC504" s="130"/>
      <c r="AD504" s="130"/>
      <c r="AE504" s="130"/>
      <c r="AF504" s="130"/>
      <c r="AG504" s="127"/>
      <c r="AH504" s="130"/>
      <c r="AI504" s="127"/>
      <c r="AJ504" s="127"/>
      <c r="AK504" s="127"/>
    </row>
    <row r="505" spans="1:37" ht="36" customHeight="1" x14ac:dyDescent="0.25">
      <c r="A505" s="125"/>
      <c r="B505" s="126" t="str">
        <f t="shared" si="14"/>
        <v/>
      </c>
      <c r="C505" s="127"/>
      <c r="D505" s="127"/>
      <c r="E505" s="128"/>
      <c r="F505" s="127"/>
      <c r="G505" s="125"/>
      <c r="H505" s="128"/>
      <c r="I505" s="127"/>
      <c r="J505" s="127"/>
      <c r="K505" s="127"/>
      <c r="L505" s="125"/>
      <c r="M505" s="125"/>
      <c r="N505" s="125"/>
      <c r="O505" s="127"/>
      <c r="P505" s="127"/>
      <c r="Q505" s="127"/>
      <c r="R505" s="127"/>
      <c r="S505" s="127"/>
      <c r="T505" s="127"/>
      <c r="U505" s="127"/>
      <c r="V505" s="128"/>
      <c r="W505" s="128"/>
      <c r="X505" s="129" t="str">
        <f t="shared" si="15"/>
        <v/>
      </c>
      <c r="Y505" s="127"/>
      <c r="Z505" s="128"/>
      <c r="AA505" s="130"/>
      <c r="AB505" s="130"/>
      <c r="AC505" s="130"/>
      <c r="AD505" s="130"/>
      <c r="AE505" s="130"/>
      <c r="AF505" s="130"/>
      <c r="AG505" s="127"/>
      <c r="AH505" s="130"/>
      <c r="AI505" s="127"/>
      <c r="AJ505" s="127"/>
      <c r="AK505" s="127"/>
    </row>
    <row r="506" spans="1:37" ht="36" customHeight="1" x14ac:dyDescent="0.25">
      <c r="A506" s="125"/>
      <c r="B506" s="126" t="str">
        <f t="shared" si="14"/>
        <v/>
      </c>
      <c r="C506" s="127"/>
      <c r="D506" s="127"/>
      <c r="E506" s="128"/>
      <c r="F506" s="127"/>
      <c r="G506" s="125"/>
      <c r="H506" s="128"/>
      <c r="I506" s="127"/>
      <c r="J506" s="127"/>
      <c r="K506" s="127"/>
      <c r="L506" s="125"/>
      <c r="M506" s="125"/>
      <c r="N506" s="125"/>
      <c r="O506" s="127"/>
      <c r="P506" s="127"/>
      <c r="Q506" s="127"/>
      <c r="R506" s="127"/>
      <c r="S506" s="127"/>
      <c r="T506" s="127"/>
      <c r="U506" s="127"/>
      <c r="V506" s="128"/>
      <c r="W506" s="128"/>
      <c r="X506" s="129" t="str">
        <f t="shared" si="15"/>
        <v/>
      </c>
      <c r="Y506" s="127"/>
      <c r="Z506" s="128"/>
      <c r="AA506" s="130"/>
      <c r="AB506" s="130"/>
      <c r="AC506" s="130"/>
      <c r="AD506" s="130"/>
      <c r="AE506" s="130"/>
      <c r="AF506" s="130"/>
      <c r="AG506" s="127"/>
      <c r="AH506" s="130"/>
      <c r="AI506" s="127"/>
      <c r="AJ506" s="127"/>
      <c r="AK506" s="127"/>
    </row>
    <row r="507" spans="1:37" ht="36" customHeight="1" x14ac:dyDescent="0.25">
      <c r="A507" s="125"/>
      <c r="B507" s="126" t="str">
        <f t="shared" si="14"/>
        <v/>
      </c>
      <c r="C507" s="127"/>
      <c r="D507" s="127"/>
      <c r="E507" s="128"/>
      <c r="F507" s="127"/>
      <c r="G507" s="125"/>
      <c r="H507" s="128"/>
      <c r="I507" s="127"/>
      <c r="J507" s="127"/>
      <c r="K507" s="127"/>
      <c r="L507" s="125"/>
      <c r="M507" s="125"/>
      <c r="N507" s="125"/>
      <c r="O507" s="127"/>
      <c r="P507" s="127"/>
      <c r="Q507" s="127"/>
      <c r="R507" s="127"/>
      <c r="S507" s="127"/>
      <c r="T507" s="127"/>
      <c r="U507" s="127"/>
      <c r="V507" s="128"/>
      <c r="W507" s="128"/>
      <c r="X507" s="129" t="str">
        <f t="shared" si="15"/>
        <v/>
      </c>
      <c r="Y507" s="127"/>
      <c r="Z507" s="128"/>
      <c r="AA507" s="130"/>
      <c r="AB507" s="130"/>
      <c r="AC507" s="130"/>
      <c r="AD507" s="130"/>
      <c r="AE507" s="130"/>
      <c r="AF507" s="130"/>
      <c r="AG507" s="127"/>
      <c r="AH507" s="130"/>
      <c r="AI507" s="127"/>
      <c r="AJ507" s="127"/>
      <c r="AK507" s="127"/>
    </row>
    <row r="508" spans="1:37" ht="36" customHeight="1" x14ac:dyDescent="0.25">
      <c r="A508" s="125"/>
      <c r="B508" s="126" t="str">
        <f t="shared" si="14"/>
        <v/>
      </c>
      <c r="C508" s="127"/>
      <c r="D508" s="127"/>
      <c r="E508" s="128"/>
      <c r="F508" s="127"/>
      <c r="G508" s="125"/>
      <c r="H508" s="128"/>
      <c r="I508" s="127"/>
      <c r="J508" s="127"/>
      <c r="K508" s="127"/>
      <c r="L508" s="125"/>
      <c r="M508" s="125"/>
      <c r="N508" s="125"/>
      <c r="O508" s="127"/>
      <c r="P508" s="127"/>
      <c r="Q508" s="127"/>
      <c r="R508" s="127"/>
      <c r="S508" s="127"/>
      <c r="T508" s="127"/>
      <c r="U508" s="127"/>
      <c r="V508" s="128"/>
      <c r="W508" s="128"/>
      <c r="X508" s="129" t="str">
        <f t="shared" si="15"/>
        <v/>
      </c>
      <c r="Y508" s="127"/>
      <c r="Z508" s="128"/>
      <c r="AA508" s="130"/>
      <c r="AB508" s="130"/>
      <c r="AC508" s="130"/>
      <c r="AD508" s="130"/>
      <c r="AE508" s="130"/>
      <c r="AF508" s="130"/>
      <c r="AG508" s="127"/>
      <c r="AH508" s="130"/>
      <c r="AI508" s="127"/>
      <c r="AJ508" s="127"/>
      <c r="AK508" s="127"/>
    </row>
    <row r="509" spans="1:37" ht="36" customHeight="1" x14ac:dyDescent="0.25">
      <c r="A509" s="125"/>
      <c r="B509" s="126" t="str">
        <f t="shared" si="14"/>
        <v/>
      </c>
      <c r="C509" s="127"/>
      <c r="D509" s="127"/>
      <c r="E509" s="128"/>
      <c r="F509" s="127"/>
      <c r="G509" s="125"/>
      <c r="H509" s="128"/>
      <c r="I509" s="127"/>
      <c r="J509" s="127"/>
      <c r="K509" s="127"/>
      <c r="L509" s="125"/>
      <c r="M509" s="125"/>
      <c r="N509" s="125"/>
      <c r="O509" s="127"/>
      <c r="P509" s="127"/>
      <c r="Q509" s="127"/>
      <c r="R509" s="127"/>
      <c r="S509" s="127"/>
      <c r="T509" s="127"/>
      <c r="U509" s="127"/>
      <c r="V509" s="128"/>
      <c r="W509" s="128"/>
      <c r="X509" s="129" t="str">
        <f t="shared" si="15"/>
        <v/>
      </c>
      <c r="Y509" s="127"/>
      <c r="Z509" s="128"/>
      <c r="AA509" s="130"/>
      <c r="AB509" s="130"/>
      <c r="AC509" s="130"/>
      <c r="AD509" s="130"/>
      <c r="AE509" s="130"/>
      <c r="AF509" s="130"/>
      <c r="AG509" s="127"/>
      <c r="AH509" s="130"/>
      <c r="AI509" s="127"/>
      <c r="AJ509" s="127"/>
      <c r="AK509" s="127"/>
    </row>
    <row r="510" spans="1:37" ht="36" customHeight="1" x14ac:dyDescent="0.25">
      <c r="A510" s="125"/>
      <c r="B510" s="126" t="str">
        <f t="shared" si="14"/>
        <v/>
      </c>
      <c r="C510" s="127"/>
      <c r="D510" s="127"/>
      <c r="E510" s="128"/>
      <c r="F510" s="127"/>
      <c r="G510" s="125"/>
      <c r="H510" s="128"/>
      <c r="I510" s="127"/>
      <c r="J510" s="127"/>
      <c r="K510" s="127"/>
      <c r="L510" s="125"/>
      <c r="M510" s="125"/>
      <c r="N510" s="125"/>
      <c r="O510" s="127"/>
      <c r="P510" s="127"/>
      <c r="Q510" s="127"/>
      <c r="R510" s="127"/>
      <c r="S510" s="127"/>
      <c r="T510" s="127"/>
      <c r="U510" s="127"/>
      <c r="V510" s="128"/>
      <c r="W510" s="128"/>
      <c r="X510" s="129" t="str">
        <f t="shared" si="15"/>
        <v/>
      </c>
      <c r="Y510" s="127"/>
      <c r="Z510" s="128"/>
      <c r="AA510" s="130"/>
      <c r="AB510" s="130"/>
      <c r="AC510" s="130"/>
      <c r="AD510" s="130"/>
      <c r="AE510" s="130"/>
      <c r="AF510" s="130"/>
      <c r="AG510" s="127"/>
      <c r="AH510" s="130"/>
      <c r="AI510" s="127"/>
      <c r="AJ510" s="127"/>
      <c r="AK510" s="127"/>
    </row>
    <row r="511" spans="1:37" ht="36" customHeight="1" x14ac:dyDescent="0.25">
      <c r="A511" s="125"/>
      <c r="B511" s="126" t="str">
        <f t="shared" si="14"/>
        <v/>
      </c>
      <c r="C511" s="127"/>
      <c r="D511" s="127"/>
      <c r="E511" s="128"/>
      <c r="F511" s="127"/>
      <c r="G511" s="125"/>
      <c r="H511" s="128"/>
      <c r="I511" s="127"/>
      <c r="J511" s="127"/>
      <c r="K511" s="127"/>
      <c r="L511" s="125"/>
      <c r="M511" s="125"/>
      <c r="N511" s="125"/>
      <c r="O511" s="127"/>
      <c r="P511" s="127"/>
      <c r="Q511" s="127"/>
      <c r="R511" s="127"/>
      <c r="S511" s="127"/>
      <c r="T511" s="127"/>
      <c r="U511" s="127"/>
      <c r="V511" s="128"/>
      <c r="W511" s="128"/>
      <c r="X511" s="129" t="str">
        <f t="shared" si="15"/>
        <v/>
      </c>
      <c r="Y511" s="127"/>
      <c r="Z511" s="128"/>
      <c r="AA511" s="130"/>
      <c r="AB511" s="130"/>
      <c r="AC511" s="130"/>
      <c r="AD511" s="130"/>
      <c r="AE511" s="130"/>
      <c r="AF511" s="130"/>
      <c r="AG511" s="127"/>
      <c r="AH511" s="130"/>
      <c r="AI511" s="127"/>
      <c r="AJ511" s="127"/>
      <c r="AK511" s="127"/>
    </row>
    <row r="512" spans="1:37" ht="36" customHeight="1" x14ac:dyDescent="0.25">
      <c r="A512" s="125"/>
      <c r="B512" s="126" t="str">
        <f t="shared" si="14"/>
        <v/>
      </c>
      <c r="C512" s="127"/>
      <c r="D512" s="127"/>
      <c r="E512" s="128"/>
      <c r="F512" s="127"/>
      <c r="G512" s="125"/>
      <c r="H512" s="128"/>
      <c r="I512" s="127"/>
      <c r="J512" s="127"/>
      <c r="K512" s="127"/>
      <c r="L512" s="125"/>
      <c r="M512" s="125"/>
      <c r="N512" s="125"/>
      <c r="O512" s="127"/>
      <c r="P512" s="127"/>
      <c r="Q512" s="127"/>
      <c r="R512" s="127"/>
      <c r="S512" s="127"/>
      <c r="T512" s="127"/>
      <c r="U512" s="127"/>
      <c r="V512" s="128"/>
      <c r="W512" s="128"/>
      <c r="X512" s="129" t="str">
        <f t="shared" si="15"/>
        <v/>
      </c>
      <c r="Y512" s="127"/>
      <c r="Z512" s="128"/>
      <c r="AA512" s="130"/>
      <c r="AB512" s="130"/>
      <c r="AC512" s="130"/>
      <c r="AD512" s="130"/>
      <c r="AE512" s="130"/>
      <c r="AF512" s="130"/>
      <c r="AG512" s="127"/>
      <c r="AH512" s="130"/>
      <c r="AI512" s="127"/>
      <c r="AJ512" s="127"/>
      <c r="AK512" s="127"/>
    </row>
    <row r="513" spans="1:37" ht="36" customHeight="1" x14ac:dyDescent="0.25">
      <c r="A513" s="125"/>
      <c r="B513" s="126" t="str">
        <f t="shared" si="14"/>
        <v/>
      </c>
      <c r="C513" s="127"/>
      <c r="D513" s="127"/>
      <c r="E513" s="128"/>
      <c r="F513" s="127"/>
      <c r="G513" s="125"/>
      <c r="H513" s="128"/>
      <c r="I513" s="127"/>
      <c r="J513" s="127"/>
      <c r="K513" s="127"/>
      <c r="L513" s="125"/>
      <c r="M513" s="125"/>
      <c r="N513" s="125"/>
      <c r="O513" s="127"/>
      <c r="P513" s="127"/>
      <c r="Q513" s="127"/>
      <c r="R513" s="127"/>
      <c r="S513" s="127"/>
      <c r="T513" s="127"/>
      <c r="U513" s="127"/>
      <c r="V513" s="128"/>
      <c r="W513" s="128"/>
      <c r="X513" s="129" t="str">
        <f t="shared" si="15"/>
        <v/>
      </c>
      <c r="Y513" s="127"/>
      <c r="Z513" s="128"/>
      <c r="AA513" s="130"/>
      <c r="AB513" s="130"/>
      <c r="AC513" s="130"/>
      <c r="AD513" s="130"/>
      <c r="AE513" s="130"/>
      <c r="AF513" s="130"/>
      <c r="AG513" s="127"/>
      <c r="AH513" s="130"/>
      <c r="AI513" s="127"/>
      <c r="AJ513" s="127"/>
      <c r="AK513" s="127"/>
    </row>
    <row r="517" spans="1:37" ht="27.75" customHeight="1" x14ac:dyDescent="0.25">
      <c r="A517" s="120" t="s">
        <v>259</v>
      </c>
      <c r="B517" s="116"/>
      <c r="C517" s="116"/>
      <c r="D517" s="116"/>
      <c r="E517" s="116"/>
      <c r="F517" s="117"/>
    </row>
    <row r="518" spans="1:37" ht="15" customHeight="1" x14ac:dyDescent="0.25">
      <c r="A518" s="131" t="s">
        <v>260</v>
      </c>
      <c r="B518" s="95"/>
      <c r="C518" s="95"/>
      <c r="D518" s="95"/>
      <c r="E518" s="95"/>
      <c r="F518" s="95"/>
    </row>
    <row r="519" spans="1:37" ht="43.5" customHeight="1" x14ac:dyDescent="0.25">
      <c r="A519" s="124" t="s">
        <v>56</v>
      </c>
      <c r="B519" s="124" t="s">
        <v>261</v>
      </c>
      <c r="C519" s="124" t="s">
        <v>262</v>
      </c>
      <c r="D519" s="124" t="s">
        <v>263</v>
      </c>
      <c r="E519" s="124" t="s">
        <v>264</v>
      </c>
      <c r="F519" s="124" t="s">
        <v>265</v>
      </c>
    </row>
    <row r="520" spans="1:37" ht="37.5" customHeight="1" x14ac:dyDescent="0.25">
      <c r="A520" s="127" t="s">
        <v>92</v>
      </c>
      <c r="B520" s="127" t="s">
        <v>266</v>
      </c>
      <c r="C520" s="127" t="s">
        <v>267</v>
      </c>
      <c r="D520" s="127" t="s">
        <v>268</v>
      </c>
      <c r="E520" s="130">
        <v>15000000</v>
      </c>
      <c r="F520" s="127">
        <v>18</v>
      </c>
    </row>
    <row r="521" spans="1:37" ht="37.5" customHeight="1" x14ac:dyDescent="0.25">
      <c r="A521" s="127" t="s">
        <v>108</v>
      </c>
      <c r="B521" s="127" t="s">
        <v>269</v>
      </c>
      <c r="C521" s="127"/>
      <c r="D521" s="127"/>
      <c r="E521" s="130"/>
      <c r="F521" s="127"/>
    </row>
    <row r="522" spans="1:37" ht="37.5" customHeight="1" x14ac:dyDescent="0.25">
      <c r="A522" s="127"/>
      <c r="B522" s="127"/>
      <c r="C522" s="127"/>
      <c r="D522" s="127"/>
      <c r="E522" s="130"/>
      <c r="F522" s="127"/>
    </row>
    <row r="523" spans="1:37" ht="37.5" customHeight="1" x14ac:dyDescent="0.25">
      <c r="A523" s="127"/>
      <c r="B523" s="127"/>
      <c r="C523" s="127"/>
      <c r="D523" s="127"/>
      <c r="E523" s="130"/>
      <c r="F523" s="127"/>
    </row>
    <row r="524" spans="1:37" ht="37.5" customHeight="1" x14ac:dyDescent="0.25">
      <c r="A524" s="127"/>
      <c r="B524" s="127"/>
      <c r="C524" s="127"/>
      <c r="D524" s="127"/>
      <c r="E524" s="130"/>
      <c r="F524" s="127"/>
    </row>
    <row r="525" spans="1:37" ht="37.5" customHeight="1" x14ac:dyDescent="0.25">
      <c r="A525" s="127"/>
      <c r="B525" s="127"/>
      <c r="C525" s="127"/>
      <c r="D525" s="127"/>
      <c r="E525" s="130"/>
      <c r="F525" s="127"/>
    </row>
    <row r="526" spans="1:37" ht="37.5" customHeight="1" x14ac:dyDescent="0.25">
      <c r="A526" s="127"/>
      <c r="B526" s="127"/>
      <c r="C526" s="127"/>
      <c r="D526" s="127"/>
      <c r="E526" s="130"/>
      <c r="F526" s="127"/>
    </row>
    <row r="527" spans="1:37" ht="37.5" customHeight="1" x14ac:dyDescent="0.25">
      <c r="A527" s="127"/>
      <c r="B527" s="127"/>
      <c r="C527" s="127"/>
      <c r="D527" s="127"/>
      <c r="E527" s="130"/>
      <c r="F527" s="127"/>
    </row>
    <row r="528" spans="1:37" ht="37.5" customHeight="1" x14ac:dyDescent="0.25">
      <c r="A528" s="127"/>
      <c r="B528" s="127"/>
      <c r="C528" s="127"/>
      <c r="D528" s="127"/>
      <c r="E528" s="130"/>
      <c r="F528" s="127"/>
    </row>
    <row r="529" spans="1:6" ht="37.5" customHeight="1" x14ac:dyDescent="0.25">
      <c r="A529" s="127"/>
      <c r="B529" s="127"/>
      <c r="C529" s="127"/>
      <c r="D529" s="127"/>
      <c r="E529" s="130"/>
      <c r="F529" s="127"/>
    </row>
    <row r="530" spans="1:6" ht="37.5" customHeight="1" x14ac:dyDescent="0.25">
      <c r="A530" s="127"/>
      <c r="B530" s="127"/>
      <c r="C530" s="127"/>
      <c r="D530" s="127"/>
      <c r="E530" s="130"/>
      <c r="F530" s="127"/>
    </row>
    <row r="531" spans="1:6" ht="37.5" customHeight="1" x14ac:dyDescent="0.25">
      <c r="A531" s="127"/>
      <c r="B531" s="127"/>
      <c r="C531" s="127"/>
      <c r="D531" s="127"/>
      <c r="E531" s="130"/>
      <c r="F531" s="127"/>
    </row>
    <row r="532" spans="1:6" ht="37.5" customHeight="1" x14ac:dyDescent="0.25">
      <c r="A532" s="127"/>
      <c r="B532" s="127"/>
      <c r="C532" s="127"/>
      <c r="D532" s="127"/>
      <c r="E532" s="130"/>
      <c r="F532" s="127"/>
    </row>
    <row r="533" spans="1:6" ht="37.5" customHeight="1" x14ac:dyDescent="0.25">
      <c r="A533" s="127"/>
      <c r="B533" s="127"/>
      <c r="C533" s="127"/>
      <c r="D533" s="127"/>
      <c r="E533" s="130"/>
      <c r="F533" s="127"/>
    </row>
    <row r="534" spans="1:6" ht="37.5" customHeight="1" x14ac:dyDescent="0.25">
      <c r="A534" s="127"/>
      <c r="B534" s="127"/>
      <c r="C534" s="127"/>
      <c r="D534" s="127"/>
      <c r="E534" s="130"/>
      <c r="F534" s="127"/>
    </row>
    <row r="535" spans="1:6" ht="37.5" customHeight="1" x14ac:dyDescent="0.25">
      <c r="A535" s="127"/>
      <c r="B535" s="127"/>
      <c r="C535" s="127"/>
      <c r="D535" s="127"/>
      <c r="E535" s="130"/>
      <c r="F535" s="127"/>
    </row>
    <row r="536" spans="1:6" ht="37.5" customHeight="1" x14ac:dyDescent="0.25">
      <c r="A536" s="127"/>
      <c r="B536" s="127"/>
      <c r="C536" s="127"/>
      <c r="D536" s="127"/>
      <c r="E536" s="130"/>
      <c r="F536" s="127"/>
    </row>
    <row r="537" spans="1:6" ht="37.5" customHeight="1" x14ac:dyDescent="0.25">
      <c r="A537" s="127"/>
      <c r="B537" s="127"/>
      <c r="C537" s="127"/>
      <c r="D537" s="127"/>
      <c r="E537" s="130"/>
      <c r="F537" s="127"/>
    </row>
    <row r="538" spans="1:6" ht="37.5" customHeight="1" x14ac:dyDescent="0.25">
      <c r="A538" s="127"/>
      <c r="B538" s="127"/>
      <c r="C538" s="127"/>
      <c r="D538" s="127"/>
      <c r="E538" s="130"/>
      <c r="F538" s="127"/>
    </row>
    <row r="539" spans="1:6" ht="37.5" customHeight="1" x14ac:dyDescent="0.25">
      <c r="A539" s="127"/>
      <c r="B539" s="127"/>
      <c r="C539" s="127"/>
      <c r="D539" s="127"/>
      <c r="E539" s="130"/>
      <c r="F539" s="127"/>
    </row>
    <row r="540" spans="1:6" ht="37.5" customHeight="1" x14ac:dyDescent="0.25">
      <c r="A540" s="127"/>
      <c r="B540" s="127"/>
      <c r="C540" s="127"/>
      <c r="D540" s="127"/>
      <c r="E540" s="130"/>
      <c r="F540" s="127"/>
    </row>
    <row r="541" spans="1:6" ht="37.5" customHeight="1" x14ac:dyDescent="0.25">
      <c r="A541" s="127"/>
      <c r="B541" s="127"/>
      <c r="C541" s="127"/>
      <c r="D541" s="127"/>
      <c r="E541" s="130"/>
      <c r="F541" s="127"/>
    </row>
    <row r="542" spans="1:6" ht="37.5" customHeight="1" x14ac:dyDescent="0.25">
      <c r="A542" s="127"/>
      <c r="B542" s="127"/>
      <c r="C542" s="127"/>
      <c r="D542" s="127"/>
      <c r="E542" s="130"/>
      <c r="F542" s="127"/>
    </row>
    <row r="543" spans="1:6" ht="37.5" customHeight="1" x14ac:dyDescent="0.25">
      <c r="A543" s="127"/>
      <c r="B543" s="127"/>
      <c r="C543" s="127"/>
      <c r="D543" s="127"/>
      <c r="E543" s="130"/>
      <c r="F543" s="127"/>
    </row>
    <row r="544" spans="1:6" ht="37.5" customHeight="1" x14ac:dyDescent="0.25">
      <c r="A544" s="127"/>
      <c r="B544" s="127"/>
      <c r="C544" s="127"/>
      <c r="D544" s="127"/>
      <c r="E544" s="130"/>
      <c r="F544" s="127"/>
    </row>
    <row r="545" spans="1:6" ht="37.5" customHeight="1" x14ac:dyDescent="0.25">
      <c r="A545" s="127"/>
      <c r="B545" s="127"/>
      <c r="C545" s="127"/>
      <c r="D545" s="127"/>
      <c r="E545" s="130"/>
      <c r="F545" s="127"/>
    </row>
    <row r="546" spans="1:6" ht="37.5" customHeight="1" x14ac:dyDescent="0.25">
      <c r="A546" s="127"/>
      <c r="B546" s="127"/>
      <c r="C546" s="127"/>
      <c r="D546" s="127"/>
      <c r="E546" s="130"/>
      <c r="F546" s="127"/>
    </row>
    <row r="547" spans="1:6" ht="37.5" customHeight="1" x14ac:dyDescent="0.25">
      <c r="A547" s="127"/>
      <c r="B547" s="127"/>
      <c r="C547" s="127"/>
      <c r="D547" s="127"/>
      <c r="E547" s="130"/>
      <c r="F547" s="127"/>
    </row>
    <row r="548" spans="1:6" ht="37.5" customHeight="1" x14ac:dyDescent="0.25">
      <c r="A548" s="127"/>
      <c r="B548" s="127"/>
      <c r="C548" s="127"/>
      <c r="D548" s="127"/>
      <c r="E548" s="130"/>
      <c r="F548" s="127"/>
    </row>
    <row r="549" spans="1:6" ht="37.5" customHeight="1" x14ac:dyDescent="0.25">
      <c r="A549" s="127"/>
      <c r="B549" s="127"/>
      <c r="C549" s="127"/>
      <c r="D549" s="127"/>
      <c r="E549" s="130"/>
      <c r="F549" s="127"/>
    </row>
    <row r="550" spans="1:6" ht="37.5" customHeight="1" x14ac:dyDescent="0.25">
      <c r="A550" s="127"/>
      <c r="B550" s="127"/>
      <c r="C550" s="127"/>
      <c r="D550" s="127"/>
      <c r="E550" s="130"/>
      <c r="F550" s="127"/>
    </row>
    <row r="551" spans="1:6" ht="37.5" customHeight="1" x14ac:dyDescent="0.25">
      <c r="A551" s="127"/>
      <c r="B551" s="127"/>
      <c r="C551" s="127"/>
      <c r="D551" s="127"/>
      <c r="E551" s="130"/>
      <c r="F551" s="127"/>
    </row>
    <row r="552" spans="1:6" ht="37.5" customHeight="1" x14ac:dyDescent="0.25">
      <c r="A552" s="127"/>
      <c r="B552" s="127"/>
      <c r="C552" s="127"/>
      <c r="D552" s="127"/>
      <c r="E552" s="130"/>
      <c r="F552" s="127"/>
    </row>
    <row r="553" spans="1:6" ht="37.5" customHeight="1" x14ac:dyDescent="0.25">
      <c r="A553" s="127"/>
      <c r="B553" s="127"/>
      <c r="C553" s="127"/>
      <c r="D553" s="127"/>
      <c r="E553" s="130"/>
      <c r="F553" s="127"/>
    </row>
    <row r="554" spans="1:6" ht="37.5" customHeight="1" x14ac:dyDescent="0.25">
      <c r="A554" s="127"/>
      <c r="B554" s="127"/>
      <c r="C554" s="127"/>
      <c r="D554" s="127"/>
      <c r="E554" s="130"/>
      <c r="F554" s="127"/>
    </row>
    <row r="555" spans="1:6" ht="37.5" customHeight="1" x14ac:dyDescent="0.25">
      <c r="A555" s="127"/>
      <c r="B555" s="127"/>
      <c r="C555" s="127"/>
      <c r="D555" s="127"/>
      <c r="E555" s="130"/>
      <c r="F555" s="127"/>
    </row>
    <row r="556" spans="1:6" ht="37.5" customHeight="1" x14ac:dyDescent="0.25">
      <c r="A556" s="127"/>
      <c r="B556" s="127"/>
      <c r="C556" s="127"/>
      <c r="D556" s="127"/>
      <c r="E556" s="130"/>
      <c r="F556" s="127"/>
    </row>
    <row r="557" spans="1:6" ht="37.5" customHeight="1" x14ac:dyDescent="0.25">
      <c r="A557" s="127"/>
      <c r="B557" s="127"/>
      <c r="C557" s="127"/>
      <c r="D557" s="127"/>
      <c r="E557" s="130"/>
      <c r="F557" s="127"/>
    </row>
    <row r="558" spans="1:6" ht="37.5" customHeight="1" x14ac:dyDescent="0.25">
      <c r="A558" s="127"/>
      <c r="B558" s="127"/>
      <c r="C558" s="127"/>
      <c r="D558" s="127"/>
      <c r="E558" s="130"/>
      <c r="F558" s="127"/>
    </row>
    <row r="559" spans="1:6" ht="37.5" customHeight="1" x14ac:dyDescent="0.25">
      <c r="A559" s="127"/>
      <c r="B559" s="127"/>
      <c r="C559" s="127"/>
      <c r="D559" s="127"/>
      <c r="E559" s="130"/>
      <c r="F559" s="127"/>
    </row>
    <row r="560" spans="1:6" ht="37.5" customHeight="1" x14ac:dyDescent="0.25">
      <c r="A560" s="127"/>
      <c r="B560" s="127"/>
      <c r="C560" s="127"/>
      <c r="D560" s="127"/>
      <c r="E560" s="130"/>
      <c r="F560" s="127"/>
    </row>
    <row r="561" spans="1:6" ht="37.5" customHeight="1" x14ac:dyDescent="0.25">
      <c r="A561" s="127"/>
      <c r="B561" s="127"/>
      <c r="C561" s="127"/>
      <c r="D561" s="127"/>
      <c r="E561" s="130"/>
      <c r="F561" s="127"/>
    </row>
    <row r="562" spans="1:6" ht="37.5" customHeight="1" x14ac:dyDescent="0.25">
      <c r="A562" s="127"/>
      <c r="B562" s="127"/>
      <c r="C562" s="127"/>
      <c r="D562" s="127"/>
      <c r="E562" s="130"/>
      <c r="F562" s="127"/>
    </row>
    <row r="563" spans="1:6" ht="37.5" customHeight="1" x14ac:dyDescent="0.25">
      <c r="A563" s="127"/>
      <c r="B563" s="127"/>
      <c r="C563" s="127"/>
      <c r="D563" s="127"/>
      <c r="E563" s="130"/>
      <c r="F563" s="127"/>
    </row>
    <row r="564" spans="1:6" ht="37.5" customHeight="1" x14ac:dyDescent="0.25">
      <c r="A564" s="127"/>
      <c r="B564" s="127"/>
      <c r="C564" s="127"/>
      <c r="D564" s="127"/>
      <c r="E564" s="130"/>
      <c r="F564" s="127"/>
    </row>
    <row r="565" spans="1:6" ht="37.5" customHeight="1" x14ac:dyDescent="0.25">
      <c r="A565" s="127"/>
      <c r="B565" s="127"/>
      <c r="C565" s="127"/>
      <c r="D565" s="127"/>
      <c r="E565" s="130"/>
      <c r="F565" s="127"/>
    </row>
    <row r="566" spans="1:6" ht="37.5" customHeight="1" x14ac:dyDescent="0.25">
      <c r="A566" s="127"/>
      <c r="B566" s="127"/>
      <c r="C566" s="127"/>
      <c r="D566" s="127"/>
      <c r="E566" s="130"/>
      <c r="F566" s="127"/>
    </row>
    <row r="567" spans="1:6" ht="37.5" customHeight="1" x14ac:dyDescent="0.25">
      <c r="A567" s="127"/>
      <c r="B567" s="127"/>
      <c r="C567" s="127"/>
      <c r="D567" s="127"/>
      <c r="E567" s="130"/>
      <c r="F567" s="127"/>
    </row>
    <row r="568" spans="1:6" ht="37.5" customHeight="1" x14ac:dyDescent="0.25">
      <c r="A568" s="127"/>
      <c r="B568" s="127"/>
      <c r="C568" s="127"/>
      <c r="D568" s="127"/>
      <c r="E568" s="130"/>
      <c r="F568" s="127"/>
    </row>
    <row r="569" spans="1:6" ht="37.5" customHeight="1" x14ac:dyDescent="0.25">
      <c r="A569" s="127"/>
      <c r="B569" s="127"/>
      <c r="C569" s="127"/>
      <c r="D569" s="127"/>
      <c r="E569" s="130"/>
      <c r="F569" s="127"/>
    </row>
    <row r="570" spans="1:6" ht="37.5" customHeight="1" x14ac:dyDescent="0.25">
      <c r="A570" s="127"/>
      <c r="B570" s="127"/>
      <c r="C570" s="127"/>
      <c r="D570" s="127"/>
      <c r="E570" s="130"/>
      <c r="F570" s="127"/>
    </row>
    <row r="571" spans="1:6" ht="37.5" customHeight="1" x14ac:dyDescent="0.25">
      <c r="A571" s="127"/>
      <c r="B571" s="127"/>
      <c r="C571" s="127"/>
      <c r="D571" s="127"/>
      <c r="E571" s="130"/>
      <c r="F571" s="127"/>
    </row>
    <row r="572" spans="1:6" ht="37.5" customHeight="1" x14ac:dyDescent="0.25">
      <c r="A572" s="127"/>
      <c r="B572" s="127"/>
      <c r="C572" s="127"/>
      <c r="D572" s="127"/>
      <c r="E572" s="130"/>
      <c r="F572" s="127"/>
    </row>
    <row r="573" spans="1:6" ht="37.5" customHeight="1" x14ac:dyDescent="0.25">
      <c r="A573" s="127"/>
      <c r="B573" s="127"/>
      <c r="C573" s="127"/>
      <c r="D573" s="127"/>
      <c r="E573" s="130"/>
      <c r="F573" s="127"/>
    </row>
    <row r="574" spans="1:6" ht="37.5" customHeight="1" x14ac:dyDescent="0.25">
      <c r="A574" s="127"/>
      <c r="B574" s="127"/>
      <c r="C574" s="127"/>
      <c r="D574" s="127"/>
      <c r="E574" s="130"/>
      <c r="F574" s="127"/>
    </row>
    <row r="575" spans="1:6" ht="37.5" customHeight="1" x14ac:dyDescent="0.25">
      <c r="A575" s="127"/>
      <c r="B575" s="127"/>
      <c r="C575" s="127"/>
      <c r="D575" s="127"/>
      <c r="E575" s="130"/>
      <c r="F575" s="127"/>
    </row>
    <row r="576" spans="1:6" ht="37.5" customHeight="1" x14ac:dyDescent="0.25">
      <c r="A576" s="127"/>
      <c r="B576" s="127"/>
      <c r="C576" s="127"/>
      <c r="D576" s="127"/>
      <c r="E576" s="130"/>
      <c r="F576" s="127"/>
    </row>
    <row r="577" spans="1:6" ht="37.5" customHeight="1" x14ac:dyDescent="0.25">
      <c r="A577" s="127"/>
      <c r="B577" s="127"/>
      <c r="C577" s="127"/>
      <c r="D577" s="127"/>
      <c r="E577" s="130"/>
      <c r="F577" s="127"/>
    </row>
    <row r="578" spans="1:6" ht="37.5" customHeight="1" x14ac:dyDescent="0.25">
      <c r="A578" s="127"/>
      <c r="B578" s="127"/>
      <c r="C578" s="127"/>
      <c r="D578" s="127"/>
      <c r="E578" s="130"/>
      <c r="F578" s="127"/>
    </row>
    <row r="579" spans="1:6" ht="37.5" customHeight="1" x14ac:dyDescent="0.25">
      <c r="A579" s="127"/>
      <c r="B579" s="127"/>
      <c r="C579" s="127"/>
      <c r="D579" s="127"/>
      <c r="E579" s="130"/>
      <c r="F579" s="127"/>
    </row>
    <row r="580" spans="1:6" ht="37.5" customHeight="1" x14ac:dyDescent="0.25">
      <c r="A580" s="127"/>
      <c r="B580" s="127"/>
      <c r="C580" s="127"/>
      <c r="D580" s="127"/>
      <c r="E580" s="130"/>
      <c r="F580" s="127"/>
    </row>
    <row r="581" spans="1:6" ht="37.5" customHeight="1" x14ac:dyDescent="0.25">
      <c r="A581" s="127"/>
      <c r="B581" s="127"/>
      <c r="C581" s="127"/>
      <c r="D581" s="127"/>
      <c r="E581" s="130"/>
      <c r="F581" s="127"/>
    </row>
    <row r="582" spans="1:6" ht="37.5" customHeight="1" x14ac:dyDescent="0.25">
      <c r="A582" s="127"/>
      <c r="B582" s="127"/>
      <c r="C582" s="127"/>
      <c r="D582" s="127"/>
      <c r="E582" s="130"/>
      <c r="F582" s="127"/>
    </row>
    <row r="583" spans="1:6" ht="37.5" customHeight="1" x14ac:dyDescent="0.25">
      <c r="A583" s="127"/>
      <c r="B583" s="127"/>
      <c r="C583" s="127"/>
      <c r="D583" s="127"/>
      <c r="E583" s="130"/>
      <c r="F583" s="127"/>
    </row>
    <row r="584" spans="1:6" ht="37.5" customHeight="1" x14ac:dyDescent="0.25">
      <c r="A584" s="127"/>
      <c r="B584" s="127"/>
      <c r="C584" s="127"/>
      <c r="D584" s="127"/>
      <c r="E584" s="130"/>
      <c r="F584" s="127"/>
    </row>
    <row r="585" spans="1:6" ht="37.5" customHeight="1" x14ac:dyDescent="0.25">
      <c r="A585" s="127"/>
      <c r="B585" s="127"/>
      <c r="C585" s="127"/>
      <c r="D585" s="127"/>
      <c r="E585" s="130"/>
      <c r="F585" s="127"/>
    </row>
    <row r="586" spans="1:6" ht="37.5" customHeight="1" x14ac:dyDescent="0.25">
      <c r="A586" s="127"/>
      <c r="B586" s="127"/>
      <c r="C586" s="127"/>
      <c r="D586" s="127"/>
      <c r="E586" s="130"/>
      <c r="F586" s="127"/>
    </row>
    <row r="587" spans="1:6" ht="37.5" customHeight="1" x14ac:dyDescent="0.25">
      <c r="A587" s="127"/>
      <c r="B587" s="127"/>
      <c r="C587" s="127"/>
      <c r="D587" s="127"/>
      <c r="E587" s="130"/>
      <c r="F587" s="127"/>
    </row>
    <row r="588" spans="1:6" ht="37.5" customHeight="1" x14ac:dyDescent="0.25">
      <c r="A588" s="127"/>
      <c r="B588" s="127"/>
      <c r="C588" s="127"/>
      <c r="D588" s="127"/>
      <c r="E588" s="130"/>
      <c r="F588" s="127"/>
    </row>
    <row r="589" spans="1:6" ht="37.5" customHeight="1" x14ac:dyDescent="0.25">
      <c r="A589" s="127"/>
      <c r="B589" s="127"/>
      <c r="C589" s="127"/>
      <c r="D589" s="127"/>
      <c r="E589" s="130"/>
      <c r="F589" s="127"/>
    </row>
    <row r="590" spans="1:6" ht="37.5" customHeight="1" x14ac:dyDescent="0.25">
      <c r="A590" s="127"/>
      <c r="B590" s="127"/>
      <c r="C590" s="127"/>
      <c r="D590" s="127"/>
      <c r="E590" s="130"/>
      <c r="F590" s="127"/>
    </row>
    <row r="591" spans="1:6" ht="37.5" customHeight="1" x14ac:dyDescent="0.25">
      <c r="A591" s="127"/>
      <c r="B591" s="127"/>
      <c r="C591" s="127"/>
      <c r="D591" s="127"/>
      <c r="E591" s="130"/>
      <c r="F591" s="127"/>
    </row>
    <row r="592" spans="1:6" ht="37.5" customHeight="1" x14ac:dyDescent="0.25">
      <c r="A592" s="127"/>
      <c r="B592" s="127"/>
      <c r="C592" s="127"/>
      <c r="D592" s="127"/>
      <c r="E592" s="130"/>
      <c r="F592" s="127"/>
    </row>
    <row r="593" spans="1:6" ht="37.5" customHeight="1" x14ac:dyDescent="0.25">
      <c r="A593" s="127"/>
      <c r="B593" s="127"/>
      <c r="C593" s="127"/>
      <c r="D593" s="127"/>
      <c r="E593" s="130"/>
      <c r="F593" s="127"/>
    </row>
    <row r="594" spans="1:6" ht="37.5" customHeight="1" x14ac:dyDescent="0.25">
      <c r="A594" s="127"/>
      <c r="B594" s="127"/>
      <c r="C594" s="127"/>
      <c r="D594" s="127"/>
      <c r="E594" s="130"/>
      <c r="F594" s="127"/>
    </row>
    <row r="595" spans="1:6" ht="37.5" customHeight="1" x14ac:dyDescent="0.25">
      <c r="A595" s="127"/>
      <c r="B595" s="127"/>
      <c r="C595" s="127"/>
      <c r="D595" s="127"/>
      <c r="E595" s="130"/>
      <c r="F595" s="127"/>
    </row>
    <row r="596" spans="1:6" ht="37.5" customHeight="1" x14ac:dyDescent="0.25">
      <c r="A596" s="127"/>
      <c r="B596" s="127"/>
      <c r="C596" s="127"/>
      <c r="D596" s="127"/>
      <c r="E596" s="130"/>
      <c r="F596" s="127"/>
    </row>
    <row r="597" spans="1:6" ht="37.5" customHeight="1" x14ac:dyDescent="0.25">
      <c r="A597" s="127"/>
      <c r="B597" s="127"/>
      <c r="C597" s="127"/>
      <c r="D597" s="127"/>
      <c r="E597" s="130"/>
      <c r="F597" s="127"/>
    </row>
    <row r="598" spans="1:6" ht="37.5" customHeight="1" x14ac:dyDescent="0.25">
      <c r="A598" s="127"/>
      <c r="B598" s="127"/>
      <c r="C598" s="127"/>
      <c r="D598" s="127"/>
      <c r="E598" s="130"/>
      <c r="F598" s="127"/>
    </row>
    <row r="599" spans="1:6" ht="37.5" customHeight="1" x14ac:dyDescent="0.25">
      <c r="A599" s="127"/>
      <c r="B599" s="127"/>
      <c r="C599" s="127"/>
      <c r="D599" s="127"/>
      <c r="E599" s="130"/>
      <c r="F599" s="127"/>
    </row>
    <row r="600" spans="1:6" ht="37.5" customHeight="1" x14ac:dyDescent="0.25">
      <c r="A600" s="127"/>
      <c r="B600" s="127"/>
      <c r="C600" s="127"/>
      <c r="D600" s="127"/>
      <c r="E600" s="130"/>
      <c r="F600" s="127"/>
    </row>
    <row r="601" spans="1:6" ht="37.5" customHeight="1" x14ac:dyDescent="0.25">
      <c r="A601" s="127"/>
      <c r="B601" s="127"/>
      <c r="C601" s="127"/>
      <c r="D601" s="127"/>
      <c r="E601" s="130"/>
      <c r="F601" s="127"/>
    </row>
    <row r="602" spans="1:6" ht="37.5" customHeight="1" x14ac:dyDescent="0.25">
      <c r="A602" s="127"/>
      <c r="B602" s="127"/>
      <c r="C602" s="127"/>
      <c r="D602" s="127"/>
      <c r="E602" s="130"/>
      <c r="F602" s="127"/>
    </row>
    <row r="603" spans="1:6" ht="37.5" customHeight="1" x14ac:dyDescent="0.25">
      <c r="A603" s="127"/>
      <c r="B603" s="127"/>
      <c r="C603" s="127"/>
      <c r="D603" s="127"/>
      <c r="E603" s="130"/>
      <c r="F603" s="127"/>
    </row>
    <row r="604" spans="1:6" ht="37.5" customHeight="1" x14ac:dyDescent="0.25">
      <c r="A604" s="127"/>
      <c r="B604" s="127"/>
      <c r="C604" s="127"/>
      <c r="D604" s="127"/>
      <c r="E604" s="130"/>
      <c r="F604" s="127"/>
    </row>
    <row r="605" spans="1:6" ht="37.5" customHeight="1" x14ac:dyDescent="0.25">
      <c r="A605" s="127"/>
      <c r="B605" s="127"/>
      <c r="C605" s="127"/>
      <c r="D605" s="127"/>
      <c r="E605" s="130"/>
      <c r="F605" s="127"/>
    </row>
    <row r="606" spans="1:6" ht="37.5" customHeight="1" x14ac:dyDescent="0.25">
      <c r="A606" s="127"/>
      <c r="B606" s="127"/>
      <c r="C606" s="127"/>
      <c r="D606" s="127"/>
      <c r="E606" s="130"/>
      <c r="F606" s="127"/>
    </row>
    <row r="607" spans="1:6" ht="37.5" customHeight="1" x14ac:dyDescent="0.25">
      <c r="A607" s="127"/>
      <c r="B607" s="127"/>
      <c r="C607" s="127"/>
      <c r="D607" s="127"/>
      <c r="E607" s="130"/>
      <c r="F607" s="127"/>
    </row>
    <row r="608" spans="1:6" ht="37.5" customHeight="1" x14ac:dyDescent="0.25">
      <c r="A608" s="127"/>
      <c r="B608" s="127"/>
      <c r="C608" s="127"/>
      <c r="D608" s="127"/>
      <c r="E608" s="130"/>
      <c r="F608" s="127"/>
    </row>
    <row r="609" spans="1:6" ht="37.5" customHeight="1" x14ac:dyDescent="0.25">
      <c r="A609" s="127"/>
      <c r="B609" s="127"/>
      <c r="C609" s="127"/>
      <c r="D609" s="127"/>
      <c r="E609" s="130"/>
      <c r="F609" s="127"/>
    </row>
    <row r="610" spans="1:6" ht="37.5" customHeight="1" x14ac:dyDescent="0.25">
      <c r="A610" s="127"/>
      <c r="B610" s="127"/>
      <c r="C610" s="127"/>
      <c r="D610" s="127"/>
      <c r="E610" s="130"/>
      <c r="F610" s="127"/>
    </row>
    <row r="611" spans="1:6" ht="37.5" customHeight="1" x14ac:dyDescent="0.25">
      <c r="A611" s="127"/>
      <c r="B611" s="127"/>
      <c r="C611" s="127"/>
      <c r="D611" s="127"/>
      <c r="E611" s="130"/>
      <c r="F611" s="127"/>
    </row>
    <row r="612" spans="1:6" ht="37.5" customHeight="1" x14ac:dyDescent="0.25">
      <c r="A612" s="127"/>
      <c r="B612" s="127"/>
      <c r="C612" s="127"/>
      <c r="D612" s="127"/>
      <c r="E612" s="130"/>
      <c r="F612" s="127"/>
    </row>
    <row r="613" spans="1:6" ht="37.5" customHeight="1" x14ac:dyDescent="0.25">
      <c r="A613" s="127"/>
      <c r="B613" s="127"/>
      <c r="C613" s="127"/>
      <c r="D613" s="127"/>
      <c r="E613" s="130"/>
      <c r="F613" s="127"/>
    </row>
    <row r="614" spans="1:6" ht="37.5" customHeight="1" x14ac:dyDescent="0.25">
      <c r="A614" s="127"/>
      <c r="B614" s="127"/>
      <c r="C614" s="127"/>
      <c r="D614" s="127"/>
      <c r="E614" s="130"/>
      <c r="F614" s="127"/>
    </row>
    <row r="615" spans="1:6" ht="37.5" customHeight="1" x14ac:dyDescent="0.25">
      <c r="A615" s="127"/>
      <c r="B615" s="127"/>
      <c r="C615" s="127"/>
      <c r="D615" s="127"/>
      <c r="E615" s="130"/>
      <c r="F615" s="127"/>
    </row>
    <row r="616" spans="1:6" ht="37.5" customHeight="1" x14ac:dyDescent="0.25">
      <c r="A616" s="127"/>
      <c r="B616" s="127"/>
      <c r="C616" s="127"/>
      <c r="D616" s="127"/>
      <c r="E616" s="130"/>
      <c r="F616" s="127"/>
    </row>
    <row r="617" spans="1:6" ht="37.5" customHeight="1" x14ac:dyDescent="0.25">
      <c r="A617" s="127"/>
      <c r="B617" s="127"/>
      <c r="C617" s="127"/>
      <c r="D617" s="127"/>
      <c r="E617" s="130"/>
      <c r="F617" s="127"/>
    </row>
    <row r="618" spans="1:6" ht="37.5" customHeight="1" x14ac:dyDescent="0.25">
      <c r="A618" s="127"/>
      <c r="B618" s="127"/>
      <c r="C618" s="127"/>
      <c r="D618" s="127"/>
      <c r="E618" s="130"/>
      <c r="F618" s="127"/>
    </row>
    <row r="619" spans="1:6" ht="37.5" customHeight="1" x14ac:dyDescent="0.25">
      <c r="A619" s="127"/>
      <c r="B619" s="127"/>
      <c r="C619" s="127"/>
      <c r="D619" s="127"/>
      <c r="E619" s="130"/>
      <c r="F619" s="127"/>
    </row>
    <row r="620" spans="1:6" ht="37.5" customHeight="1" x14ac:dyDescent="0.25">
      <c r="A620" s="127"/>
      <c r="B620" s="127"/>
      <c r="C620" s="127"/>
      <c r="D620" s="127"/>
      <c r="E620" s="130"/>
      <c r="F620" s="127"/>
    </row>
    <row r="621" spans="1:6" ht="37.5" customHeight="1" x14ac:dyDescent="0.25">
      <c r="A621" s="127"/>
      <c r="B621" s="127"/>
      <c r="C621" s="127"/>
      <c r="D621" s="127"/>
      <c r="E621" s="130"/>
      <c r="F621" s="127"/>
    </row>
    <row r="622" spans="1:6" ht="37.5" customHeight="1" x14ac:dyDescent="0.25">
      <c r="A622" s="127"/>
      <c r="B622" s="127"/>
      <c r="C622" s="127"/>
      <c r="D622" s="127"/>
      <c r="E622" s="130"/>
      <c r="F622" s="127"/>
    </row>
    <row r="623" spans="1:6" ht="37.5" customHeight="1" x14ac:dyDescent="0.25">
      <c r="A623" s="127"/>
      <c r="B623" s="127"/>
      <c r="C623" s="127"/>
      <c r="D623" s="127"/>
      <c r="E623" s="130"/>
      <c r="F623" s="127"/>
    </row>
    <row r="624" spans="1:6" ht="37.5" customHeight="1" x14ac:dyDescent="0.25">
      <c r="A624" s="127"/>
      <c r="B624" s="127"/>
      <c r="C624" s="127"/>
      <c r="D624" s="127"/>
      <c r="E624" s="130"/>
      <c r="F624" s="127"/>
    </row>
    <row r="625" spans="1:6" ht="37.5" customHeight="1" x14ac:dyDescent="0.25">
      <c r="A625" s="127"/>
      <c r="B625" s="127"/>
      <c r="C625" s="127"/>
      <c r="D625" s="127"/>
      <c r="E625" s="130"/>
      <c r="F625" s="127"/>
    </row>
    <row r="626" spans="1:6" ht="37.5" customHeight="1" x14ac:dyDescent="0.25">
      <c r="A626" s="127"/>
      <c r="B626" s="127"/>
      <c r="C626" s="127"/>
      <c r="D626" s="127"/>
      <c r="E626" s="130"/>
      <c r="F626" s="127"/>
    </row>
    <row r="627" spans="1:6" ht="37.5" customHeight="1" x14ac:dyDescent="0.25">
      <c r="A627" s="127"/>
      <c r="B627" s="127"/>
      <c r="C627" s="127"/>
      <c r="D627" s="127"/>
      <c r="E627" s="130"/>
      <c r="F627" s="127"/>
    </row>
    <row r="628" spans="1:6" ht="37.5" customHeight="1" x14ac:dyDescent="0.25">
      <c r="A628" s="127"/>
      <c r="B628" s="127"/>
      <c r="C628" s="127"/>
      <c r="D628" s="127"/>
      <c r="E628" s="130"/>
      <c r="F628" s="127"/>
    </row>
    <row r="629" spans="1:6" ht="37.5" customHeight="1" x14ac:dyDescent="0.25">
      <c r="A629" s="127"/>
      <c r="B629" s="127"/>
      <c r="C629" s="127"/>
      <c r="D629" s="127"/>
      <c r="E629" s="130"/>
      <c r="F629" s="127"/>
    </row>
    <row r="630" spans="1:6" ht="37.5" customHeight="1" x14ac:dyDescent="0.25">
      <c r="A630" s="127"/>
      <c r="B630" s="127"/>
      <c r="C630" s="127"/>
      <c r="D630" s="127"/>
      <c r="E630" s="130"/>
      <c r="F630" s="127"/>
    </row>
    <row r="631" spans="1:6" ht="37.5" customHeight="1" x14ac:dyDescent="0.25">
      <c r="A631" s="127"/>
      <c r="B631" s="127"/>
      <c r="C631" s="127"/>
      <c r="D631" s="127"/>
      <c r="E631" s="130"/>
      <c r="F631" s="127"/>
    </row>
    <row r="632" spans="1:6" ht="37.5" customHeight="1" x14ac:dyDescent="0.25">
      <c r="A632" s="127"/>
      <c r="B632" s="127"/>
      <c r="C632" s="127"/>
      <c r="D632" s="127"/>
      <c r="E632" s="130"/>
      <c r="F632" s="127"/>
    </row>
    <row r="633" spans="1:6" ht="37.5" customHeight="1" x14ac:dyDescent="0.25">
      <c r="A633" s="127"/>
      <c r="B633" s="127"/>
      <c r="C633" s="127"/>
      <c r="D633" s="127"/>
      <c r="E633" s="130"/>
      <c r="F633" s="127"/>
    </row>
    <row r="634" spans="1:6" ht="37.5" customHeight="1" x14ac:dyDescent="0.25">
      <c r="A634" s="127"/>
      <c r="B634" s="127"/>
      <c r="C634" s="127"/>
      <c r="D634" s="127"/>
      <c r="E634" s="130"/>
      <c r="F634" s="127"/>
    </row>
    <row r="635" spans="1:6" ht="37.5" customHeight="1" x14ac:dyDescent="0.25">
      <c r="A635" s="127"/>
      <c r="B635" s="127"/>
      <c r="C635" s="127"/>
      <c r="D635" s="127"/>
      <c r="E635" s="130"/>
      <c r="F635" s="127"/>
    </row>
    <row r="636" spans="1:6" ht="37.5" customHeight="1" x14ac:dyDescent="0.25">
      <c r="A636" s="127"/>
      <c r="B636" s="127"/>
      <c r="C636" s="127"/>
      <c r="D636" s="127"/>
      <c r="E636" s="130"/>
      <c r="F636" s="127"/>
    </row>
    <row r="637" spans="1:6" ht="37.5" customHeight="1" x14ac:dyDescent="0.25">
      <c r="A637" s="127"/>
      <c r="B637" s="127"/>
      <c r="C637" s="127"/>
      <c r="D637" s="127"/>
      <c r="E637" s="130"/>
      <c r="F637" s="127"/>
    </row>
    <row r="638" spans="1:6" ht="37.5" customHeight="1" x14ac:dyDescent="0.25">
      <c r="A638" s="127"/>
      <c r="B638" s="127"/>
      <c r="C638" s="127"/>
      <c r="D638" s="127"/>
      <c r="E638" s="130"/>
      <c r="F638" s="127"/>
    </row>
    <row r="639" spans="1:6" ht="37.5" customHeight="1" x14ac:dyDescent="0.25">
      <c r="A639" s="127"/>
      <c r="B639" s="127"/>
      <c r="C639" s="127"/>
      <c r="D639" s="127"/>
      <c r="E639" s="130"/>
      <c r="F639" s="127"/>
    </row>
    <row r="640" spans="1:6" ht="37.5" customHeight="1" x14ac:dyDescent="0.25">
      <c r="A640" s="127"/>
      <c r="B640" s="127"/>
      <c r="C640" s="127"/>
      <c r="D640" s="127"/>
      <c r="E640" s="130"/>
      <c r="F640" s="127"/>
    </row>
    <row r="641" spans="1:6" ht="37.5" customHeight="1" x14ac:dyDescent="0.25">
      <c r="A641" s="127"/>
      <c r="B641" s="127"/>
      <c r="C641" s="127"/>
      <c r="D641" s="127"/>
      <c r="E641" s="130"/>
      <c r="F641" s="127"/>
    </row>
    <row r="642" spans="1:6" ht="37.5" customHeight="1" x14ac:dyDescent="0.25">
      <c r="A642" s="127"/>
      <c r="B642" s="127"/>
      <c r="C642" s="127"/>
      <c r="D642" s="127"/>
      <c r="E642" s="130"/>
      <c r="F642" s="127"/>
    </row>
    <row r="643" spans="1:6" ht="37.5" customHeight="1" x14ac:dyDescent="0.25">
      <c r="A643" s="127"/>
      <c r="B643" s="127"/>
      <c r="C643" s="127"/>
      <c r="D643" s="127"/>
      <c r="E643" s="130"/>
      <c r="F643" s="127"/>
    </row>
    <row r="644" spans="1:6" ht="37.5" customHeight="1" x14ac:dyDescent="0.25">
      <c r="A644" s="127"/>
      <c r="B644" s="127"/>
      <c r="C644" s="127"/>
      <c r="D644" s="127"/>
      <c r="E644" s="130"/>
      <c r="F644" s="127"/>
    </row>
    <row r="645" spans="1:6" ht="37.5" customHeight="1" x14ac:dyDescent="0.25">
      <c r="A645" s="127"/>
      <c r="B645" s="127"/>
      <c r="C645" s="127"/>
      <c r="D645" s="127"/>
      <c r="E645" s="130"/>
      <c r="F645" s="127"/>
    </row>
    <row r="646" spans="1:6" ht="37.5" customHeight="1" x14ac:dyDescent="0.25">
      <c r="A646" s="127"/>
      <c r="B646" s="127"/>
      <c r="C646" s="127"/>
      <c r="D646" s="127"/>
      <c r="E646" s="130"/>
      <c r="F646" s="127"/>
    </row>
    <row r="647" spans="1:6" ht="37.5" customHeight="1" x14ac:dyDescent="0.25">
      <c r="A647" s="127"/>
      <c r="B647" s="127"/>
      <c r="C647" s="127"/>
      <c r="D647" s="127"/>
      <c r="E647" s="130"/>
      <c r="F647" s="127"/>
    </row>
    <row r="648" spans="1:6" ht="37.5" customHeight="1" x14ac:dyDescent="0.25">
      <c r="A648" s="127"/>
      <c r="B648" s="127"/>
      <c r="C648" s="127"/>
      <c r="D648" s="127"/>
      <c r="E648" s="130"/>
      <c r="F648" s="127"/>
    </row>
    <row r="649" spans="1:6" ht="37.5" customHeight="1" x14ac:dyDescent="0.25">
      <c r="A649" s="127"/>
      <c r="B649" s="127"/>
      <c r="C649" s="127"/>
      <c r="D649" s="127"/>
      <c r="E649" s="130"/>
      <c r="F649" s="127"/>
    </row>
    <row r="650" spans="1:6" ht="37.5" customHeight="1" x14ac:dyDescent="0.25">
      <c r="A650" s="127"/>
      <c r="B650" s="127"/>
      <c r="C650" s="127"/>
      <c r="D650" s="127"/>
      <c r="E650" s="130"/>
      <c r="F650" s="127"/>
    </row>
    <row r="651" spans="1:6" ht="37.5" customHeight="1" x14ac:dyDescent="0.25">
      <c r="A651" s="127"/>
      <c r="B651" s="127"/>
      <c r="C651" s="127"/>
      <c r="D651" s="127"/>
      <c r="E651" s="130"/>
      <c r="F651" s="127"/>
    </row>
    <row r="652" spans="1:6" ht="37.5" customHeight="1" x14ac:dyDescent="0.25">
      <c r="A652" s="127"/>
      <c r="B652" s="127"/>
      <c r="C652" s="127"/>
      <c r="D652" s="127"/>
      <c r="E652" s="130"/>
      <c r="F652" s="127"/>
    </row>
    <row r="653" spans="1:6" ht="37.5" customHeight="1" x14ac:dyDescent="0.25">
      <c r="A653" s="127"/>
      <c r="B653" s="127"/>
      <c r="C653" s="127"/>
      <c r="D653" s="127"/>
      <c r="E653" s="130"/>
      <c r="F653" s="127"/>
    </row>
    <row r="654" spans="1:6" ht="37.5" customHeight="1" x14ac:dyDescent="0.25">
      <c r="A654" s="127"/>
      <c r="B654" s="127"/>
      <c r="C654" s="127"/>
      <c r="D654" s="127"/>
      <c r="E654" s="130"/>
      <c r="F654" s="127"/>
    </row>
    <row r="655" spans="1:6" ht="37.5" customHeight="1" x14ac:dyDescent="0.25">
      <c r="A655" s="127"/>
      <c r="B655" s="127"/>
      <c r="C655" s="127"/>
      <c r="D655" s="127"/>
      <c r="E655" s="130"/>
      <c r="F655" s="127"/>
    </row>
    <row r="656" spans="1:6" ht="37.5" customHeight="1" x14ac:dyDescent="0.25">
      <c r="A656" s="127"/>
      <c r="B656" s="127"/>
      <c r="C656" s="127"/>
      <c r="D656" s="127"/>
      <c r="E656" s="130"/>
      <c r="F656" s="127"/>
    </row>
    <row r="657" spans="1:6" ht="37.5" customHeight="1" x14ac:dyDescent="0.25">
      <c r="A657" s="127"/>
      <c r="B657" s="127"/>
      <c r="C657" s="127"/>
      <c r="D657" s="127"/>
      <c r="E657" s="130"/>
      <c r="F657" s="127"/>
    </row>
    <row r="658" spans="1:6" ht="37.5" customHeight="1" x14ac:dyDescent="0.25">
      <c r="A658" s="127"/>
      <c r="B658" s="127"/>
      <c r="C658" s="127"/>
      <c r="D658" s="127"/>
      <c r="E658" s="130"/>
      <c r="F658" s="127"/>
    </row>
    <row r="659" spans="1:6" ht="37.5" customHeight="1" x14ac:dyDescent="0.25">
      <c r="A659" s="127"/>
      <c r="B659" s="127"/>
      <c r="C659" s="127"/>
      <c r="D659" s="127"/>
      <c r="E659" s="130"/>
      <c r="F659" s="127"/>
    </row>
    <row r="660" spans="1:6" ht="37.5" customHeight="1" x14ac:dyDescent="0.25">
      <c r="A660" s="127"/>
      <c r="B660" s="127"/>
      <c r="C660" s="127"/>
      <c r="D660" s="127"/>
      <c r="E660" s="130"/>
      <c r="F660" s="127"/>
    </row>
    <row r="661" spans="1:6" ht="37.5" customHeight="1" x14ac:dyDescent="0.25">
      <c r="A661" s="127"/>
      <c r="B661" s="127"/>
      <c r="C661" s="127"/>
      <c r="D661" s="127"/>
      <c r="E661" s="130"/>
      <c r="F661" s="127"/>
    </row>
    <row r="662" spans="1:6" ht="37.5" customHeight="1" x14ac:dyDescent="0.25">
      <c r="A662" s="127"/>
      <c r="B662" s="127"/>
      <c r="C662" s="127"/>
      <c r="D662" s="127"/>
      <c r="E662" s="130"/>
      <c r="F662" s="127"/>
    </row>
    <row r="663" spans="1:6" ht="37.5" customHeight="1" x14ac:dyDescent="0.25">
      <c r="A663" s="127"/>
      <c r="B663" s="127"/>
      <c r="C663" s="127"/>
      <c r="D663" s="127"/>
      <c r="E663" s="130"/>
      <c r="F663" s="127"/>
    </row>
    <row r="664" spans="1:6" ht="37.5" customHeight="1" x14ac:dyDescent="0.25">
      <c r="A664" s="127"/>
      <c r="B664" s="127"/>
      <c r="C664" s="127"/>
      <c r="D664" s="127"/>
      <c r="E664" s="130"/>
      <c r="F664" s="127"/>
    </row>
    <row r="665" spans="1:6" ht="37.5" customHeight="1" x14ac:dyDescent="0.25">
      <c r="A665" s="127"/>
      <c r="B665" s="127"/>
      <c r="C665" s="127"/>
      <c r="D665" s="127"/>
      <c r="E665" s="130"/>
      <c r="F665" s="127"/>
    </row>
    <row r="666" spans="1:6" ht="37.5" customHeight="1" x14ac:dyDescent="0.25">
      <c r="A666" s="127"/>
      <c r="B666" s="127"/>
      <c r="C666" s="127"/>
      <c r="D666" s="127"/>
      <c r="E666" s="130"/>
      <c r="F666" s="127"/>
    </row>
    <row r="667" spans="1:6" ht="37.5" customHeight="1" x14ac:dyDescent="0.25">
      <c r="A667" s="127"/>
      <c r="B667" s="127"/>
      <c r="C667" s="127"/>
      <c r="D667" s="127"/>
      <c r="E667" s="130"/>
      <c r="F667" s="127"/>
    </row>
    <row r="668" spans="1:6" ht="37.5" customHeight="1" x14ac:dyDescent="0.25">
      <c r="A668" s="127"/>
      <c r="B668" s="127"/>
      <c r="C668" s="127"/>
      <c r="D668" s="127"/>
      <c r="E668" s="130"/>
      <c r="F668" s="127"/>
    </row>
    <row r="669" spans="1:6" ht="37.5" customHeight="1" x14ac:dyDescent="0.25">
      <c r="A669" s="127"/>
      <c r="B669" s="127"/>
      <c r="C669" s="127"/>
      <c r="D669" s="127"/>
      <c r="E669" s="130"/>
      <c r="F669" s="127"/>
    </row>
    <row r="670" spans="1:6" ht="37.5" customHeight="1" x14ac:dyDescent="0.25">
      <c r="A670" s="127"/>
      <c r="B670" s="127"/>
      <c r="C670" s="127"/>
      <c r="D670" s="127"/>
      <c r="E670" s="130"/>
      <c r="F670" s="127"/>
    </row>
    <row r="671" spans="1:6" ht="37.5" customHeight="1" x14ac:dyDescent="0.25">
      <c r="A671" s="127"/>
      <c r="B671" s="127"/>
      <c r="C671" s="127"/>
      <c r="D671" s="127"/>
      <c r="E671" s="130"/>
      <c r="F671" s="127"/>
    </row>
    <row r="672" spans="1:6" ht="37.5" customHeight="1" x14ac:dyDescent="0.25">
      <c r="A672" s="127"/>
      <c r="B672" s="127"/>
      <c r="C672" s="127"/>
      <c r="D672" s="127"/>
      <c r="E672" s="130"/>
      <c r="F672" s="127"/>
    </row>
    <row r="673" spans="1:6" ht="37.5" customHeight="1" x14ac:dyDescent="0.25">
      <c r="A673" s="127"/>
      <c r="B673" s="127"/>
      <c r="C673" s="127"/>
      <c r="D673" s="127"/>
      <c r="E673" s="130"/>
      <c r="F673" s="127"/>
    </row>
    <row r="674" spans="1:6" ht="37.5" customHeight="1" x14ac:dyDescent="0.25">
      <c r="A674" s="127"/>
      <c r="B674" s="127"/>
      <c r="C674" s="127"/>
      <c r="D674" s="127"/>
      <c r="E674" s="130"/>
      <c r="F674" s="127"/>
    </row>
    <row r="675" spans="1:6" ht="37.5" customHeight="1" x14ac:dyDescent="0.25">
      <c r="A675" s="127"/>
      <c r="B675" s="127"/>
      <c r="C675" s="127"/>
      <c r="D675" s="127"/>
      <c r="E675" s="130"/>
      <c r="F675" s="127"/>
    </row>
    <row r="676" spans="1:6" ht="37.5" customHeight="1" x14ac:dyDescent="0.25">
      <c r="A676" s="127"/>
      <c r="B676" s="127"/>
      <c r="C676" s="127"/>
      <c r="D676" s="127"/>
      <c r="E676" s="130"/>
      <c r="F676" s="127"/>
    </row>
    <row r="677" spans="1:6" ht="37.5" customHeight="1" x14ac:dyDescent="0.25">
      <c r="A677" s="127"/>
      <c r="B677" s="127"/>
      <c r="C677" s="127"/>
      <c r="D677" s="127"/>
      <c r="E677" s="130"/>
      <c r="F677" s="127"/>
    </row>
    <row r="678" spans="1:6" ht="37.5" customHeight="1" x14ac:dyDescent="0.25">
      <c r="A678" s="127"/>
      <c r="B678" s="127"/>
      <c r="C678" s="127"/>
      <c r="D678" s="127"/>
      <c r="E678" s="130"/>
      <c r="F678" s="127"/>
    </row>
    <row r="679" spans="1:6" ht="37.5" customHeight="1" x14ac:dyDescent="0.25">
      <c r="A679" s="127"/>
      <c r="B679" s="127"/>
      <c r="C679" s="127"/>
      <c r="D679" s="127"/>
      <c r="E679" s="130"/>
      <c r="F679" s="127"/>
    </row>
    <row r="680" spans="1:6" ht="37.5" customHeight="1" x14ac:dyDescent="0.25">
      <c r="A680" s="127"/>
      <c r="B680" s="127"/>
      <c r="C680" s="127"/>
      <c r="D680" s="127"/>
      <c r="E680" s="130"/>
      <c r="F680" s="127"/>
    </row>
    <row r="681" spans="1:6" ht="37.5" customHeight="1" x14ac:dyDescent="0.25">
      <c r="A681" s="127"/>
      <c r="B681" s="127"/>
      <c r="C681" s="127"/>
      <c r="D681" s="127"/>
      <c r="E681" s="130"/>
      <c r="F681" s="127"/>
    </row>
    <row r="682" spans="1:6" ht="37.5" customHeight="1" x14ac:dyDescent="0.25">
      <c r="A682" s="127"/>
      <c r="B682" s="127"/>
      <c r="C682" s="127"/>
      <c r="D682" s="127"/>
      <c r="E682" s="130"/>
      <c r="F682" s="127"/>
    </row>
    <row r="683" spans="1:6" ht="37.5" customHeight="1" x14ac:dyDescent="0.25">
      <c r="A683" s="127"/>
      <c r="B683" s="127"/>
      <c r="C683" s="127"/>
      <c r="D683" s="127"/>
      <c r="E683" s="130"/>
      <c r="F683" s="127"/>
    </row>
    <row r="684" spans="1:6" ht="37.5" customHeight="1" x14ac:dyDescent="0.25">
      <c r="A684" s="127"/>
      <c r="B684" s="127"/>
      <c r="C684" s="127"/>
      <c r="D684" s="127"/>
      <c r="E684" s="130"/>
      <c r="F684" s="127"/>
    </row>
    <row r="685" spans="1:6" ht="37.5" customHeight="1" x14ac:dyDescent="0.25">
      <c r="A685" s="127"/>
      <c r="B685" s="127"/>
      <c r="C685" s="127"/>
      <c r="D685" s="127"/>
      <c r="E685" s="130"/>
      <c r="F685" s="127"/>
    </row>
    <row r="686" spans="1:6" ht="37.5" customHeight="1" x14ac:dyDescent="0.25">
      <c r="A686" s="127"/>
      <c r="B686" s="127"/>
      <c r="C686" s="127"/>
      <c r="D686" s="127"/>
      <c r="E686" s="130"/>
      <c r="F686" s="127"/>
    </row>
    <row r="687" spans="1:6" ht="37.5" customHeight="1" x14ac:dyDescent="0.25">
      <c r="A687" s="127"/>
      <c r="B687" s="127"/>
      <c r="C687" s="127"/>
      <c r="D687" s="127"/>
      <c r="E687" s="130"/>
      <c r="F687" s="127"/>
    </row>
    <row r="688" spans="1:6" ht="37.5" customHeight="1" x14ac:dyDescent="0.25">
      <c r="A688" s="127"/>
      <c r="B688" s="127"/>
      <c r="C688" s="127"/>
      <c r="D688" s="127"/>
      <c r="E688" s="130"/>
      <c r="F688" s="127"/>
    </row>
    <row r="689" spans="1:6" ht="37.5" customHeight="1" x14ac:dyDescent="0.25">
      <c r="A689" s="127"/>
      <c r="B689" s="127"/>
      <c r="C689" s="127"/>
      <c r="D689" s="127"/>
      <c r="E689" s="130"/>
      <c r="F689" s="127"/>
    </row>
    <row r="690" spans="1:6" ht="37.5" customHeight="1" x14ac:dyDescent="0.25">
      <c r="A690" s="127"/>
      <c r="B690" s="127"/>
      <c r="C690" s="127"/>
      <c r="D690" s="127"/>
      <c r="E690" s="130"/>
      <c r="F690" s="127"/>
    </row>
    <row r="691" spans="1:6" ht="37.5" customHeight="1" x14ac:dyDescent="0.25">
      <c r="A691" s="127"/>
      <c r="B691" s="127"/>
      <c r="C691" s="127"/>
      <c r="D691" s="127"/>
      <c r="E691" s="130"/>
      <c r="F691" s="127"/>
    </row>
    <row r="692" spans="1:6" ht="37.5" customHeight="1" x14ac:dyDescent="0.25">
      <c r="A692" s="127"/>
      <c r="B692" s="127"/>
      <c r="C692" s="127"/>
      <c r="D692" s="127"/>
      <c r="E692" s="130"/>
      <c r="F692" s="127"/>
    </row>
    <row r="693" spans="1:6" ht="37.5" customHeight="1" x14ac:dyDescent="0.25">
      <c r="A693" s="127"/>
      <c r="B693" s="127"/>
      <c r="C693" s="127"/>
      <c r="D693" s="127"/>
      <c r="E693" s="130"/>
      <c r="F693" s="127"/>
    </row>
    <row r="694" spans="1:6" ht="37.5" customHeight="1" x14ac:dyDescent="0.25">
      <c r="A694" s="127"/>
      <c r="B694" s="127"/>
      <c r="C694" s="127"/>
      <c r="D694" s="127"/>
      <c r="E694" s="130"/>
      <c r="F694" s="127"/>
    </row>
    <row r="695" spans="1:6" ht="37.5" customHeight="1" x14ac:dyDescent="0.25">
      <c r="A695" s="127"/>
      <c r="B695" s="127"/>
      <c r="C695" s="127"/>
      <c r="D695" s="127"/>
      <c r="E695" s="130"/>
      <c r="F695" s="127"/>
    </row>
    <row r="696" spans="1:6" ht="37.5" customHeight="1" x14ac:dyDescent="0.25">
      <c r="A696" s="127"/>
      <c r="B696" s="127"/>
      <c r="C696" s="127"/>
      <c r="D696" s="127"/>
      <c r="E696" s="130"/>
      <c r="F696" s="127"/>
    </row>
    <row r="697" spans="1:6" ht="37.5" customHeight="1" x14ac:dyDescent="0.25">
      <c r="A697" s="127"/>
      <c r="B697" s="127"/>
      <c r="C697" s="127"/>
      <c r="D697" s="127"/>
      <c r="E697" s="130"/>
      <c r="F697" s="127"/>
    </row>
    <row r="698" spans="1:6" ht="37.5" customHeight="1" x14ac:dyDescent="0.25">
      <c r="A698" s="127"/>
      <c r="B698" s="127"/>
      <c r="C698" s="127"/>
      <c r="D698" s="127"/>
      <c r="E698" s="130"/>
      <c r="F698" s="127"/>
    </row>
    <row r="699" spans="1:6" ht="37.5" customHeight="1" x14ac:dyDescent="0.25">
      <c r="A699" s="127"/>
      <c r="B699" s="127"/>
      <c r="C699" s="127"/>
      <c r="D699" s="127"/>
      <c r="E699" s="130"/>
      <c r="F699" s="127"/>
    </row>
    <row r="700" spans="1:6" ht="37.5" customHeight="1" x14ac:dyDescent="0.25">
      <c r="A700" s="127"/>
      <c r="B700" s="127"/>
      <c r="C700" s="127"/>
      <c r="D700" s="127"/>
      <c r="E700" s="130"/>
      <c r="F700" s="127"/>
    </row>
    <row r="701" spans="1:6" ht="37.5" customHeight="1" x14ac:dyDescent="0.25">
      <c r="A701" s="127"/>
      <c r="B701" s="127"/>
      <c r="C701" s="127"/>
      <c r="D701" s="127"/>
      <c r="E701" s="130"/>
      <c r="F701" s="127"/>
    </row>
    <row r="702" spans="1:6" ht="37.5" customHeight="1" x14ac:dyDescent="0.25">
      <c r="A702" s="127"/>
      <c r="B702" s="127"/>
      <c r="C702" s="127"/>
      <c r="D702" s="127"/>
      <c r="E702" s="130"/>
      <c r="F702" s="127"/>
    </row>
    <row r="703" spans="1:6" ht="37.5" customHeight="1" x14ac:dyDescent="0.25">
      <c r="A703" s="127"/>
      <c r="B703" s="127"/>
      <c r="C703" s="127"/>
      <c r="D703" s="127"/>
      <c r="E703" s="130"/>
      <c r="F703" s="127"/>
    </row>
    <row r="704" spans="1:6" ht="37.5" customHeight="1" x14ac:dyDescent="0.25">
      <c r="A704" s="127"/>
      <c r="B704" s="127"/>
      <c r="C704" s="127"/>
      <c r="D704" s="127"/>
      <c r="E704" s="130"/>
      <c r="F704" s="127"/>
    </row>
    <row r="705" spans="1:6" ht="37.5" customHeight="1" x14ac:dyDescent="0.25">
      <c r="A705" s="127"/>
      <c r="B705" s="127"/>
      <c r="C705" s="127"/>
      <c r="D705" s="127"/>
      <c r="E705" s="130"/>
      <c r="F705" s="127"/>
    </row>
    <row r="706" spans="1:6" ht="37.5" customHeight="1" x14ac:dyDescent="0.25">
      <c r="A706" s="127"/>
      <c r="B706" s="127"/>
      <c r="C706" s="127"/>
      <c r="D706" s="127"/>
      <c r="E706" s="130"/>
      <c r="F706" s="127"/>
    </row>
    <row r="707" spans="1:6" ht="37.5" customHeight="1" x14ac:dyDescent="0.25">
      <c r="A707" s="127"/>
      <c r="B707" s="127"/>
      <c r="C707" s="127"/>
      <c r="D707" s="127"/>
      <c r="E707" s="130"/>
      <c r="F707" s="127"/>
    </row>
    <row r="708" spans="1:6" ht="37.5" customHeight="1" x14ac:dyDescent="0.25">
      <c r="A708" s="127"/>
      <c r="B708" s="127"/>
      <c r="C708" s="127"/>
      <c r="D708" s="127"/>
      <c r="E708" s="130"/>
      <c r="F708" s="127"/>
    </row>
    <row r="709" spans="1:6" ht="37.5" customHeight="1" x14ac:dyDescent="0.25">
      <c r="A709" s="127"/>
      <c r="B709" s="127"/>
      <c r="C709" s="127"/>
      <c r="D709" s="127"/>
      <c r="E709" s="130"/>
      <c r="F709" s="127"/>
    </row>
    <row r="710" spans="1:6" ht="37.5" customHeight="1" x14ac:dyDescent="0.25">
      <c r="A710" s="127"/>
      <c r="B710" s="127"/>
      <c r="C710" s="127"/>
      <c r="D710" s="127"/>
      <c r="E710" s="130"/>
      <c r="F710" s="127"/>
    </row>
    <row r="711" spans="1:6" ht="37.5" customHeight="1" x14ac:dyDescent="0.25">
      <c r="A711" s="127"/>
      <c r="B711" s="127"/>
      <c r="C711" s="127"/>
      <c r="D711" s="127"/>
      <c r="E711" s="130"/>
      <c r="F711" s="127"/>
    </row>
    <row r="712" spans="1:6" ht="37.5" customHeight="1" x14ac:dyDescent="0.25">
      <c r="A712" s="127"/>
      <c r="B712" s="127"/>
      <c r="C712" s="127"/>
      <c r="D712" s="127"/>
      <c r="E712" s="130"/>
      <c r="F712" s="127"/>
    </row>
    <row r="713" spans="1:6" ht="37.5" customHeight="1" x14ac:dyDescent="0.25">
      <c r="A713" s="127"/>
      <c r="B713" s="127"/>
      <c r="C713" s="127"/>
      <c r="D713" s="127"/>
      <c r="E713" s="130"/>
      <c r="F713" s="127"/>
    </row>
    <row r="714" spans="1:6" ht="37.5" customHeight="1" x14ac:dyDescent="0.25">
      <c r="A714" s="127"/>
      <c r="B714" s="127"/>
      <c r="C714" s="127"/>
      <c r="D714" s="127"/>
      <c r="E714" s="130"/>
      <c r="F714" s="127"/>
    </row>
    <row r="715" spans="1:6" ht="37.5" customHeight="1" x14ac:dyDescent="0.25">
      <c r="A715" s="127"/>
      <c r="B715" s="127"/>
      <c r="C715" s="127"/>
      <c r="D715" s="127"/>
      <c r="E715" s="130"/>
      <c r="F715" s="127"/>
    </row>
    <row r="716" spans="1:6" ht="37.5" customHeight="1" x14ac:dyDescent="0.25">
      <c r="A716" s="127"/>
      <c r="B716" s="127"/>
      <c r="C716" s="127"/>
      <c r="D716" s="127"/>
      <c r="E716" s="130"/>
      <c r="F716" s="127"/>
    </row>
    <row r="717" spans="1:6" ht="37.5" customHeight="1" x14ac:dyDescent="0.25">
      <c r="A717" s="127"/>
      <c r="B717" s="127"/>
      <c r="C717" s="127"/>
      <c r="D717" s="127"/>
      <c r="E717" s="130"/>
      <c r="F717" s="127"/>
    </row>
    <row r="718" spans="1:6" ht="37.5" customHeight="1" x14ac:dyDescent="0.25">
      <c r="A718" s="127"/>
      <c r="B718" s="127"/>
      <c r="C718" s="127"/>
      <c r="D718" s="127"/>
      <c r="E718" s="130"/>
      <c r="F718" s="127"/>
    </row>
    <row r="719" spans="1:6" ht="37.5" customHeight="1" x14ac:dyDescent="0.25">
      <c r="A719" s="127"/>
      <c r="B719" s="127"/>
      <c r="C719" s="127"/>
      <c r="D719" s="127"/>
      <c r="E719" s="130"/>
      <c r="F719" s="127"/>
    </row>
    <row r="720" spans="1:6" ht="37.5" customHeight="1" x14ac:dyDescent="0.25">
      <c r="A720" s="127"/>
      <c r="B720" s="127"/>
      <c r="C720" s="127"/>
      <c r="D720" s="127"/>
      <c r="E720" s="130"/>
      <c r="F720" s="127"/>
    </row>
    <row r="721" spans="1:6" ht="37.5" customHeight="1" x14ac:dyDescent="0.25">
      <c r="A721" s="127"/>
      <c r="B721" s="127"/>
      <c r="C721" s="127"/>
      <c r="D721" s="127"/>
      <c r="E721" s="130"/>
      <c r="F721" s="127"/>
    </row>
    <row r="722" spans="1:6" ht="37.5" customHeight="1" x14ac:dyDescent="0.25">
      <c r="A722" s="127"/>
      <c r="B722" s="127"/>
      <c r="C722" s="127"/>
      <c r="D722" s="127"/>
      <c r="E722" s="130"/>
      <c r="F722" s="127"/>
    </row>
    <row r="723" spans="1:6" ht="37.5" customHeight="1" x14ac:dyDescent="0.25">
      <c r="A723" s="127"/>
      <c r="B723" s="127"/>
      <c r="C723" s="127"/>
      <c r="D723" s="127"/>
      <c r="E723" s="130"/>
      <c r="F723" s="127"/>
    </row>
    <row r="724" spans="1:6" ht="37.5" customHeight="1" x14ac:dyDescent="0.25">
      <c r="A724" s="127"/>
      <c r="B724" s="127"/>
      <c r="C724" s="127"/>
      <c r="D724" s="127"/>
      <c r="E724" s="130"/>
      <c r="F724" s="127"/>
    </row>
    <row r="725" spans="1:6" ht="37.5" customHeight="1" x14ac:dyDescent="0.25">
      <c r="A725" s="127"/>
      <c r="B725" s="127"/>
      <c r="C725" s="127"/>
      <c r="D725" s="127"/>
      <c r="E725" s="130"/>
      <c r="F725" s="127"/>
    </row>
    <row r="726" spans="1:6" ht="37.5" customHeight="1" x14ac:dyDescent="0.25">
      <c r="A726" s="127"/>
      <c r="B726" s="127"/>
      <c r="C726" s="127"/>
      <c r="D726" s="127"/>
      <c r="E726" s="130"/>
      <c r="F726" s="127"/>
    </row>
    <row r="727" spans="1:6" ht="37.5" customHeight="1" x14ac:dyDescent="0.25">
      <c r="A727" s="127"/>
      <c r="B727" s="127"/>
      <c r="C727" s="127"/>
      <c r="D727" s="127"/>
      <c r="E727" s="130"/>
      <c r="F727" s="127"/>
    </row>
    <row r="728" spans="1:6" ht="37.5" customHeight="1" x14ac:dyDescent="0.25">
      <c r="A728" s="127"/>
      <c r="B728" s="127"/>
      <c r="C728" s="127"/>
      <c r="D728" s="127"/>
      <c r="E728" s="130"/>
      <c r="F728" s="127"/>
    </row>
    <row r="729" spans="1:6" ht="37.5" customHeight="1" x14ac:dyDescent="0.25">
      <c r="A729" s="127"/>
      <c r="B729" s="127"/>
      <c r="C729" s="127"/>
      <c r="D729" s="127"/>
      <c r="E729" s="130"/>
      <c r="F729" s="127"/>
    </row>
    <row r="730" spans="1:6" ht="37.5" customHeight="1" x14ac:dyDescent="0.25">
      <c r="A730" s="127"/>
      <c r="B730" s="127"/>
      <c r="C730" s="127"/>
      <c r="D730" s="127"/>
      <c r="E730" s="130"/>
      <c r="F730" s="127"/>
    </row>
    <row r="731" spans="1:6" ht="37.5" customHeight="1" x14ac:dyDescent="0.25">
      <c r="A731" s="127"/>
      <c r="B731" s="127"/>
      <c r="C731" s="127"/>
      <c r="D731" s="127"/>
      <c r="E731" s="130"/>
      <c r="F731" s="127"/>
    </row>
    <row r="732" spans="1:6" ht="37.5" customHeight="1" x14ac:dyDescent="0.25">
      <c r="A732" s="127"/>
      <c r="B732" s="127"/>
      <c r="C732" s="127"/>
      <c r="D732" s="127"/>
      <c r="E732" s="130"/>
      <c r="F732" s="127"/>
    </row>
    <row r="733" spans="1:6" ht="37.5" customHeight="1" x14ac:dyDescent="0.25">
      <c r="A733" s="127"/>
      <c r="B733" s="127"/>
      <c r="C733" s="127"/>
      <c r="D733" s="127"/>
      <c r="E733" s="130"/>
      <c r="F733" s="127"/>
    </row>
    <row r="734" spans="1:6" ht="37.5" customHeight="1" x14ac:dyDescent="0.25">
      <c r="A734" s="127"/>
      <c r="B734" s="127"/>
      <c r="C734" s="127"/>
      <c r="D734" s="127"/>
      <c r="E734" s="130"/>
      <c r="F734" s="127"/>
    </row>
    <row r="735" spans="1:6" ht="37.5" customHeight="1" x14ac:dyDescent="0.25">
      <c r="A735" s="127"/>
      <c r="B735" s="127"/>
      <c r="C735" s="127"/>
      <c r="D735" s="127"/>
      <c r="E735" s="130"/>
      <c r="F735" s="127"/>
    </row>
    <row r="736" spans="1:6" ht="37.5" customHeight="1" x14ac:dyDescent="0.25">
      <c r="A736" s="127"/>
      <c r="B736" s="127"/>
      <c r="C736" s="127"/>
      <c r="D736" s="127"/>
      <c r="E736" s="130"/>
      <c r="F736" s="127"/>
    </row>
    <row r="737" spans="1:6" ht="37.5" customHeight="1" x14ac:dyDescent="0.25">
      <c r="A737" s="127"/>
      <c r="B737" s="127"/>
      <c r="C737" s="127"/>
      <c r="D737" s="127"/>
      <c r="E737" s="130"/>
      <c r="F737" s="127"/>
    </row>
    <row r="738" spans="1:6" ht="37.5" customHeight="1" x14ac:dyDescent="0.25">
      <c r="A738" s="127"/>
      <c r="B738" s="127"/>
      <c r="C738" s="127"/>
      <c r="D738" s="127"/>
      <c r="E738" s="130"/>
      <c r="F738" s="127"/>
    </row>
    <row r="739" spans="1:6" ht="37.5" customHeight="1" x14ac:dyDescent="0.25">
      <c r="A739" s="127"/>
      <c r="B739" s="127"/>
      <c r="C739" s="127"/>
      <c r="D739" s="127"/>
      <c r="E739" s="130"/>
      <c r="F739" s="127"/>
    </row>
    <row r="740" spans="1:6" ht="37.5" customHeight="1" x14ac:dyDescent="0.25">
      <c r="A740" s="127"/>
      <c r="B740" s="127"/>
      <c r="C740" s="127"/>
      <c r="D740" s="127"/>
      <c r="E740" s="130"/>
      <c r="F740" s="127"/>
    </row>
    <row r="741" spans="1:6" ht="37.5" customHeight="1" x14ac:dyDescent="0.25">
      <c r="A741" s="127"/>
      <c r="B741" s="127"/>
      <c r="C741" s="127"/>
      <c r="D741" s="127"/>
      <c r="E741" s="130"/>
      <c r="F741" s="127"/>
    </row>
    <row r="742" spans="1:6" ht="37.5" customHeight="1" x14ac:dyDescent="0.25">
      <c r="A742" s="127"/>
      <c r="B742" s="127"/>
      <c r="C742" s="127"/>
      <c r="D742" s="127"/>
      <c r="E742" s="130"/>
      <c r="F742" s="127"/>
    </row>
    <row r="743" spans="1:6" ht="37.5" customHeight="1" x14ac:dyDescent="0.25">
      <c r="A743" s="127"/>
      <c r="B743" s="127"/>
      <c r="C743" s="127"/>
      <c r="D743" s="127"/>
      <c r="E743" s="130"/>
      <c r="F743" s="127"/>
    </row>
    <row r="744" spans="1:6" ht="37.5" customHeight="1" x14ac:dyDescent="0.25">
      <c r="A744" s="127"/>
      <c r="B744" s="127"/>
      <c r="C744" s="127"/>
      <c r="D744" s="127"/>
      <c r="E744" s="130"/>
      <c r="F744" s="127"/>
    </row>
    <row r="745" spans="1:6" ht="37.5" customHeight="1" x14ac:dyDescent="0.25">
      <c r="A745" s="127"/>
      <c r="B745" s="127"/>
      <c r="C745" s="127"/>
      <c r="D745" s="127"/>
      <c r="E745" s="130"/>
      <c r="F745" s="127"/>
    </row>
    <row r="746" spans="1:6" ht="37.5" customHeight="1" x14ac:dyDescent="0.25">
      <c r="A746" s="127"/>
      <c r="B746" s="127"/>
      <c r="C746" s="127"/>
      <c r="D746" s="127"/>
      <c r="E746" s="130"/>
      <c r="F746" s="127"/>
    </row>
    <row r="747" spans="1:6" ht="37.5" customHeight="1" x14ac:dyDescent="0.25">
      <c r="A747" s="127"/>
      <c r="B747" s="127"/>
      <c r="C747" s="127"/>
      <c r="D747" s="127"/>
      <c r="E747" s="130"/>
      <c r="F747" s="127"/>
    </row>
    <row r="748" spans="1:6" ht="37.5" customHeight="1" x14ac:dyDescent="0.25">
      <c r="A748" s="127"/>
      <c r="B748" s="127"/>
      <c r="C748" s="127"/>
      <c r="D748" s="127"/>
      <c r="E748" s="130"/>
      <c r="F748" s="127"/>
    </row>
    <row r="749" spans="1:6" ht="37.5" customHeight="1" x14ac:dyDescent="0.25">
      <c r="A749" s="127"/>
      <c r="B749" s="127"/>
      <c r="C749" s="127"/>
      <c r="D749" s="127"/>
      <c r="E749" s="130"/>
      <c r="F749" s="127"/>
    </row>
    <row r="750" spans="1:6" ht="37.5" customHeight="1" x14ac:dyDescent="0.25">
      <c r="A750" s="127"/>
      <c r="B750" s="127"/>
      <c r="C750" s="127"/>
      <c r="D750" s="127"/>
      <c r="E750" s="130"/>
      <c r="F750" s="127"/>
    </row>
    <row r="751" spans="1:6" ht="37.5" customHeight="1" x14ac:dyDescent="0.25">
      <c r="A751" s="127"/>
      <c r="B751" s="127"/>
      <c r="C751" s="127"/>
      <c r="D751" s="127"/>
      <c r="E751" s="130"/>
      <c r="F751" s="127"/>
    </row>
    <row r="752" spans="1:6" ht="37.5" customHeight="1" x14ac:dyDescent="0.25">
      <c r="A752" s="127"/>
      <c r="B752" s="127"/>
      <c r="C752" s="127"/>
      <c r="D752" s="127"/>
      <c r="E752" s="130"/>
      <c r="F752" s="127"/>
    </row>
    <row r="753" spans="1:6" ht="37.5" customHeight="1" x14ac:dyDescent="0.25">
      <c r="A753" s="127"/>
      <c r="B753" s="127"/>
      <c r="C753" s="127"/>
      <c r="D753" s="127"/>
      <c r="E753" s="130"/>
      <c r="F753" s="127"/>
    </row>
    <row r="754" spans="1:6" ht="37.5" customHeight="1" x14ac:dyDescent="0.25">
      <c r="A754" s="127"/>
      <c r="B754" s="127"/>
      <c r="C754" s="127"/>
      <c r="D754" s="127"/>
      <c r="E754" s="130"/>
      <c r="F754" s="127"/>
    </row>
    <row r="755" spans="1:6" ht="37.5" customHeight="1" x14ac:dyDescent="0.25">
      <c r="A755" s="127"/>
      <c r="B755" s="127"/>
      <c r="C755" s="127"/>
      <c r="D755" s="127"/>
      <c r="E755" s="130"/>
      <c r="F755" s="127"/>
    </row>
    <row r="756" spans="1:6" ht="37.5" customHeight="1" x14ac:dyDescent="0.25">
      <c r="A756" s="127"/>
      <c r="B756" s="127"/>
      <c r="C756" s="127"/>
      <c r="D756" s="127"/>
      <c r="E756" s="130"/>
      <c r="F756" s="127"/>
    </row>
    <row r="757" spans="1:6" ht="37.5" customHeight="1" x14ac:dyDescent="0.25">
      <c r="A757" s="127"/>
      <c r="B757" s="127"/>
      <c r="C757" s="127"/>
      <c r="D757" s="127"/>
      <c r="E757" s="130"/>
      <c r="F757" s="127"/>
    </row>
    <row r="758" spans="1:6" ht="37.5" customHeight="1" x14ac:dyDescent="0.25">
      <c r="A758" s="127"/>
      <c r="B758" s="127"/>
      <c r="C758" s="127"/>
      <c r="D758" s="127"/>
      <c r="E758" s="130"/>
      <c r="F758" s="127"/>
    </row>
    <row r="759" spans="1:6" ht="37.5" customHeight="1" x14ac:dyDescent="0.25">
      <c r="A759" s="127"/>
      <c r="B759" s="127"/>
      <c r="C759" s="127"/>
      <c r="D759" s="127"/>
      <c r="E759" s="130"/>
      <c r="F759" s="127"/>
    </row>
    <row r="760" spans="1:6" ht="37.5" customHeight="1" x14ac:dyDescent="0.25">
      <c r="A760" s="127"/>
      <c r="B760" s="127"/>
      <c r="C760" s="127"/>
      <c r="D760" s="127"/>
      <c r="E760" s="130"/>
      <c r="F760" s="127"/>
    </row>
    <row r="761" spans="1:6" ht="37.5" customHeight="1" x14ac:dyDescent="0.25">
      <c r="A761" s="127"/>
      <c r="B761" s="127"/>
      <c r="C761" s="127"/>
      <c r="D761" s="127"/>
      <c r="E761" s="130"/>
      <c r="F761" s="127"/>
    </row>
    <row r="762" spans="1:6" ht="37.5" customHeight="1" x14ac:dyDescent="0.25">
      <c r="A762" s="127"/>
      <c r="B762" s="127"/>
      <c r="C762" s="127"/>
      <c r="D762" s="127"/>
      <c r="E762" s="130"/>
      <c r="F762" s="127"/>
    </row>
    <row r="763" spans="1:6" ht="37.5" customHeight="1" x14ac:dyDescent="0.25">
      <c r="A763" s="127"/>
      <c r="B763" s="127"/>
      <c r="C763" s="127"/>
      <c r="D763" s="127"/>
      <c r="E763" s="130"/>
      <c r="F763" s="127"/>
    </row>
    <row r="764" spans="1:6" ht="37.5" customHeight="1" x14ac:dyDescent="0.25">
      <c r="A764" s="127"/>
      <c r="B764" s="127"/>
      <c r="C764" s="127"/>
      <c r="D764" s="127"/>
      <c r="E764" s="130"/>
      <c r="F764" s="127"/>
    </row>
    <row r="765" spans="1:6" ht="37.5" customHeight="1" x14ac:dyDescent="0.25">
      <c r="A765" s="127"/>
      <c r="B765" s="127"/>
      <c r="C765" s="127"/>
      <c r="D765" s="127"/>
      <c r="E765" s="130"/>
      <c r="F765" s="127"/>
    </row>
    <row r="766" spans="1:6" ht="37.5" customHeight="1" x14ac:dyDescent="0.25">
      <c r="A766" s="127"/>
      <c r="B766" s="127"/>
      <c r="C766" s="127"/>
      <c r="D766" s="127"/>
      <c r="E766" s="130"/>
      <c r="F766" s="127"/>
    </row>
    <row r="767" spans="1:6" ht="37.5" customHeight="1" x14ac:dyDescent="0.25">
      <c r="A767" s="127"/>
      <c r="B767" s="127"/>
      <c r="C767" s="127"/>
      <c r="D767" s="127"/>
      <c r="E767" s="130"/>
      <c r="F767" s="127"/>
    </row>
    <row r="768" spans="1:6" ht="37.5" customHeight="1" x14ac:dyDescent="0.25">
      <c r="A768" s="127"/>
      <c r="B768" s="127"/>
      <c r="C768" s="127"/>
      <c r="D768" s="127"/>
      <c r="E768" s="130"/>
      <c r="F768" s="127"/>
    </row>
    <row r="769" spans="1:6" ht="37.5" customHeight="1" x14ac:dyDescent="0.25">
      <c r="A769" s="127"/>
      <c r="B769" s="127"/>
      <c r="C769" s="127"/>
      <c r="D769" s="127"/>
      <c r="E769" s="130"/>
      <c r="F769" s="127"/>
    </row>
    <row r="770" spans="1:6" ht="37.5" customHeight="1" x14ac:dyDescent="0.25">
      <c r="A770" s="127"/>
      <c r="B770" s="127"/>
      <c r="C770" s="127"/>
      <c r="D770" s="127"/>
      <c r="E770" s="130"/>
      <c r="F770" s="127"/>
    </row>
    <row r="771" spans="1:6" ht="37.5" customHeight="1" x14ac:dyDescent="0.25">
      <c r="A771" s="127"/>
      <c r="B771" s="127"/>
      <c r="C771" s="127"/>
      <c r="D771" s="127"/>
      <c r="E771" s="130"/>
      <c r="F771" s="127"/>
    </row>
    <row r="772" spans="1:6" ht="37.5" customHeight="1" x14ac:dyDescent="0.25">
      <c r="A772" s="127"/>
      <c r="B772" s="127"/>
      <c r="C772" s="127"/>
      <c r="D772" s="127"/>
      <c r="E772" s="130"/>
      <c r="F772" s="127"/>
    </row>
    <row r="773" spans="1:6" ht="37.5" customHeight="1" x14ac:dyDescent="0.25">
      <c r="A773" s="127"/>
      <c r="B773" s="127"/>
      <c r="C773" s="127"/>
      <c r="D773" s="127"/>
      <c r="E773" s="130"/>
      <c r="F773" s="127"/>
    </row>
    <row r="774" spans="1:6" ht="37.5" customHeight="1" x14ac:dyDescent="0.25">
      <c r="A774" s="127"/>
      <c r="B774" s="127"/>
      <c r="C774" s="127"/>
      <c r="D774" s="127"/>
      <c r="E774" s="130"/>
      <c r="F774" s="127"/>
    </row>
    <row r="775" spans="1:6" ht="37.5" customHeight="1" x14ac:dyDescent="0.25">
      <c r="A775" s="127"/>
      <c r="B775" s="127"/>
      <c r="C775" s="127"/>
      <c r="D775" s="127"/>
      <c r="E775" s="130"/>
      <c r="F775" s="127"/>
    </row>
    <row r="776" spans="1:6" ht="37.5" customHeight="1" x14ac:dyDescent="0.25">
      <c r="A776" s="127"/>
      <c r="B776" s="127"/>
      <c r="C776" s="127"/>
      <c r="D776" s="127"/>
      <c r="E776" s="130"/>
      <c r="F776" s="127"/>
    </row>
    <row r="777" spans="1:6" ht="37.5" customHeight="1" x14ac:dyDescent="0.25">
      <c r="A777" s="127"/>
      <c r="B777" s="127"/>
      <c r="C777" s="127"/>
      <c r="D777" s="127"/>
      <c r="E777" s="130"/>
      <c r="F777" s="127"/>
    </row>
    <row r="778" spans="1:6" ht="37.5" customHeight="1" x14ac:dyDescent="0.25">
      <c r="A778" s="127"/>
      <c r="B778" s="127"/>
      <c r="C778" s="127"/>
      <c r="D778" s="127"/>
      <c r="E778" s="130"/>
      <c r="F778" s="127"/>
    </row>
    <row r="779" spans="1:6" ht="37.5" customHeight="1" x14ac:dyDescent="0.25">
      <c r="A779" s="127"/>
      <c r="B779" s="127"/>
      <c r="C779" s="127"/>
      <c r="D779" s="127"/>
      <c r="E779" s="130"/>
      <c r="F779" s="127"/>
    </row>
    <row r="780" spans="1:6" ht="37.5" customHeight="1" x14ac:dyDescent="0.25">
      <c r="A780" s="127"/>
      <c r="B780" s="127"/>
      <c r="C780" s="127"/>
      <c r="D780" s="127"/>
      <c r="E780" s="130"/>
      <c r="F780" s="127"/>
    </row>
    <row r="781" spans="1:6" ht="37.5" customHeight="1" x14ac:dyDescent="0.25">
      <c r="A781" s="127"/>
      <c r="B781" s="127"/>
      <c r="C781" s="127"/>
      <c r="D781" s="127"/>
      <c r="E781" s="130"/>
      <c r="F781" s="127"/>
    </row>
    <row r="782" spans="1:6" ht="37.5" customHeight="1" x14ac:dyDescent="0.25">
      <c r="A782" s="127"/>
      <c r="B782" s="127"/>
      <c r="C782" s="127"/>
      <c r="D782" s="127"/>
      <c r="E782" s="130"/>
      <c r="F782" s="127"/>
    </row>
    <row r="783" spans="1:6" ht="37.5" customHeight="1" x14ac:dyDescent="0.25">
      <c r="A783" s="127"/>
      <c r="B783" s="127"/>
      <c r="C783" s="127"/>
      <c r="D783" s="127"/>
      <c r="E783" s="130"/>
      <c r="F783" s="127"/>
    </row>
    <row r="784" spans="1:6" ht="37.5" customHeight="1" x14ac:dyDescent="0.25">
      <c r="A784" s="127"/>
      <c r="B784" s="127"/>
      <c r="C784" s="127"/>
      <c r="D784" s="127"/>
      <c r="E784" s="130"/>
      <c r="F784" s="127"/>
    </row>
    <row r="785" spans="1:6" ht="37.5" customHeight="1" x14ac:dyDescent="0.25">
      <c r="A785" s="127"/>
      <c r="B785" s="127"/>
      <c r="C785" s="127"/>
      <c r="D785" s="127"/>
      <c r="E785" s="130"/>
      <c r="F785" s="127"/>
    </row>
    <row r="786" spans="1:6" ht="37.5" customHeight="1" x14ac:dyDescent="0.25">
      <c r="A786" s="127"/>
      <c r="B786" s="127"/>
      <c r="C786" s="127"/>
      <c r="D786" s="127"/>
      <c r="E786" s="130"/>
      <c r="F786" s="127"/>
    </row>
    <row r="787" spans="1:6" ht="37.5" customHeight="1" x14ac:dyDescent="0.25">
      <c r="A787" s="127"/>
      <c r="B787" s="127"/>
      <c r="C787" s="127"/>
      <c r="D787" s="127"/>
      <c r="E787" s="130"/>
      <c r="F787" s="127"/>
    </row>
    <row r="788" spans="1:6" ht="37.5" customHeight="1" x14ac:dyDescent="0.25">
      <c r="A788" s="127"/>
      <c r="B788" s="127"/>
      <c r="C788" s="127"/>
      <c r="D788" s="127"/>
      <c r="E788" s="130"/>
      <c r="F788" s="127"/>
    </row>
    <row r="789" spans="1:6" ht="37.5" customHeight="1" x14ac:dyDescent="0.25">
      <c r="A789" s="127"/>
      <c r="B789" s="127"/>
      <c r="C789" s="127"/>
      <c r="D789" s="127"/>
      <c r="E789" s="130"/>
      <c r="F789" s="127"/>
    </row>
    <row r="790" spans="1:6" ht="37.5" customHeight="1" x14ac:dyDescent="0.25">
      <c r="A790" s="127"/>
      <c r="B790" s="127"/>
      <c r="C790" s="127"/>
      <c r="D790" s="127"/>
      <c r="E790" s="130"/>
      <c r="F790" s="127"/>
    </row>
    <row r="791" spans="1:6" ht="37.5" customHeight="1" x14ac:dyDescent="0.25">
      <c r="A791" s="127"/>
      <c r="B791" s="127"/>
      <c r="C791" s="127"/>
      <c r="D791" s="127"/>
      <c r="E791" s="130"/>
      <c r="F791" s="127"/>
    </row>
    <row r="792" spans="1:6" ht="37.5" customHeight="1" x14ac:dyDescent="0.25">
      <c r="A792" s="127"/>
      <c r="B792" s="127"/>
      <c r="C792" s="127"/>
      <c r="D792" s="127"/>
      <c r="E792" s="130"/>
      <c r="F792" s="127"/>
    </row>
    <row r="793" spans="1:6" ht="37.5" customHeight="1" x14ac:dyDescent="0.25">
      <c r="A793" s="127"/>
      <c r="B793" s="127"/>
      <c r="C793" s="127"/>
      <c r="D793" s="127"/>
      <c r="E793" s="130"/>
      <c r="F793" s="127"/>
    </row>
    <row r="794" spans="1:6" ht="37.5" customHeight="1" x14ac:dyDescent="0.25">
      <c r="A794" s="127"/>
      <c r="B794" s="127"/>
      <c r="C794" s="127"/>
      <c r="D794" s="127"/>
      <c r="E794" s="130"/>
      <c r="F794" s="127"/>
    </row>
    <row r="795" spans="1:6" ht="37.5" customHeight="1" x14ac:dyDescent="0.25">
      <c r="A795" s="127"/>
      <c r="B795" s="127"/>
      <c r="C795" s="127"/>
      <c r="D795" s="127"/>
      <c r="E795" s="130"/>
      <c r="F795" s="127"/>
    </row>
    <row r="796" spans="1:6" ht="37.5" customHeight="1" x14ac:dyDescent="0.25">
      <c r="A796" s="127"/>
      <c r="B796" s="127"/>
      <c r="C796" s="127"/>
      <c r="D796" s="127"/>
      <c r="E796" s="130"/>
      <c r="F796" s="127"/>
    </row>
    <row r="797" spans="1:6" ht="37.5" customHeight="1" x14ac:dyDescent="0.25">
      <c r="A797" s="127"/>
      <c r="B797" s="127"/>
      <c r="C797" s="127"/>
      <c r="D797" s="127"/>
      <c r="E797" s="130"/>
      <c r="F797" s="127"/>
    </row>
    <row r="798" spans="1:6" ht="37.5" customHeight="1" x14ac:dyDescent="0.25">
      <c r="A798" s="127"/>
      <c r="B798" s="127"/>
      <c r="C798" s="127"/>
      <c r="D798" s="127"/>
      <c r="E798" s="130"/>
      <c r="F798" s="127"/>
    </row>
    <row r="799" spans="1:6" ht="37.5" customHeight="1" x14ac:dyDescent="0.25">
      <c r="A799" s="127"/>
      <c r="B799" s="127"/>
      <c r="C799" s="127"/>
      <c r="D799" s="127"/>
      <c r="E799" s="130"/>
      <c r="F799" s="127"/>
    </row>
    <row r="800" spans="1:6" ht="37.5" customHeight="1" x14ac:dyDescent="0.25">
      <c r="A800" s="127"/>
      <c r="B800" s="127"/>
      <c r="C800" s="127"/>
      <c r="D800" s="127"/>
      <c r="E800" s="130"/>
      <c r="F800" s="127"/>
    </row>
    <row r="801" spans="1:6" ht="37.5" customHeight="1" x14ac:dyDescent="0.25">
      <c r="A801" s="127"/>
      <c r="B801" s="127"/>
      <c r="C801" s="127"/>
      <c r="D801" s="127"/>
      <c r="E801" s="130"/>
      <c r="F801" s="127"/>
    </row>
    <row r="802" spans="1:6" ht="37.5" customHeight="1" x14ac:dyDescent="0.25">
      <c r="A802" s="127"/>
      <c r="B802" s="127"/>
      <c r="C802" s="127"/>
      <c r="D802" s="127"/>
      <c r="E802" s="130"/>
      <c r="F802" s="127"/>
    </row>
    <row r="803" spans="1:6" ht="37.5" customHeight="1" x14ac:dyDescent="0.25">
      <c r="A803" s="127"/>
      <c r="B803" s="127"/>
      <c r="C803" s="127"/>
      <c r="D803" s="127"/>
      <c r="E803" s="130"/>
      <c r="F803" s="127"/>
    </row>
    <row r="804" spans="1:6" ht="37.5" customHeight="1" x14ac:dyDescent="0.25">
      <c r="A804" s="127"/>
      <c r="B804" s="127"/>
      <c r="C804" s="127"/>
      <c r="D804" s="127"/>
      <c r="E804" s="130"/>
      <c r="F804" s="127"/>
    </row>
    <row r="805" spans="1:6" ht="37.5" customHeight="1" x14ac:dyDescent="0.25">
      <c r="A805" s="127"/>
      <c r="B805" s="127"/>
      <c r="C805" s="127"/>
      <c r="D805" s="127"/>
      <c r="E805" s="130"/>
      <c r="F805" s="127"/>
    </row>
    <row r="806" spans="1:6" ht="37.5" customHeight="1" x14ac:dyDescent="0.25">
      <c r="A806" s="127"/>
      <c r="B806" s="127"/>
      <c r="C806" s="127"/>
      <c r="D806" s="127"/>
      <c r="E806" s="130"/>
      <c r="F806" s="127"/>
    </row>
    <row r="807" spans="1:6" ht="37.5" customHeight="1" x14ac:dyDescent="0.25">
      <c r="A807" s="127"/>
      <c r="B807" s="127"/>
      <c r="C807" s="127"/>
      <c r="D807" s="127"/>
      <c r="E807" s="130"/>
      <c r="F807" s="127"/>
    </row>
    <row r="808" spans="1:6" ht="37.5" customHeight="1" x14ac:dyDescent="0.25">
      <c r="A808" s="127"/>
      <c r="B808" s="127"/>
      <c r="C808" s="127"/>
      <c r="D808" s="127"/>
      <c r="E808" s="130"/>
      <c r="F808" s="127"/>
    </row>
    <row r="809" spans="1:6" ht="37.5" customHeight="1" x14ac:dyDescent="0.25">
      <c r="A809" s="127"/>
      <c r="B809" s="127"/>
      <c r="C809" s="127"/>
      <c r="D809" s="127"/>
      <c r="E809" s="130"/>
      <c r="F809" s="127"/>
    </row>
    <row r="810" spans="1:6" ht="37.5" customHeight="1" x14ac:dyDescent="0.25">
      <c r="A810" s="127"/>
      <c r="B810" s="127"/>
      <c r="C810" s="127"/>
      <c r="D810" s="127"/>
      <c r="E810" s="130"/>
      <c r="F810" s="127"/>
    </row>
    <row r="811" spans="1:6" ht="37.5" customHeight="1" x14ac:dyDescent="0.25">
      <c r="A811" s="127"/>
      <c r="B811" s="127"/>
      <c r="C811" s="127"/>
      <c r="D811" s="127"/>
      <c r="E811" s="130"/>
      <c r="F811" s="127"/>
    </row>
    <row r="812" spans="1:6" ht="37.5" customHeight="1" x14ac:dyDescent="0.25">
      <c r="A812" s="127"/>
      <c r="B812" s="127"/>
      <c r="C812" s="127"/>
      <c r="D812" s="127"/>
      <c r="E812" s="130"/>
      <c r="F812" s="127"/>
    </row>
    <row r="813" spans="1:6" ht="37.5" customHeight="1" x14ac:dyDescent="0.25">
      <c r="A813" s="127"/>
      <c r="B813" s="127"/>
      <c r="C813" s="127"/>
      <c r="D813" s="127"/>
      <c r="E813" s="130"/>
      <c r="F813" s="127"/>
    </row>
    <row r="814" spans="1:6" ht="37.5" customHeight="1" x14ac:dyDescent="0.25">
      <c r="A814" s="127"/>
      <c r="B814" s="127"/>
      <c r="C814" s="127"/>
      <c r="D814" s="127"/>
      <c r="E814" s="130"/>
      <c r="F814" s="127"/>
    </row>
    <row r="815" spans="1:6" ht="37.5" customHeight="1" x14ac:dyDescent="0.25">
      <c r="A815" s="127"/>
      <c r="B815" s="127"/>
      <c r="C815" s="127"/>
      <c r="D815" s="127"/>
      <c r="E815" s="130"/>
      <c r="F815" s="127"/>
    </row>
    <row r="816" spans="1:6" ht="37.5" customHeight="1" x14ac:dyDescent="0.25">
      <c r="A816" s="127"/>
      <c r="B816" s="127"/>
      <c r="C816" s="127"/>
      <c r="D816" s="127"/>
      <c r="E816" s="130"/>
      <c r="F816" s="127"/>
    </row>
    <row r="817" spans="1:6" ht="37.5" customHeight="1" x14ac:dyDescent="0.25">
      <c r="A817" s="127"/>
      <c r="B817" s="127"/>
      <c r="C817" s="127"/>
      <c r="D817" s="127"/>
      <c r="E817" s="130"/>
      <c r="F817" s="127"/>
    </row>
    <row r="818" spans="1:6" ht="37.5" customHeight="1" x14ac:dyDescent="0.25">
      <c r="A818" s="127"/>
      <c r="B818" s="127"/>
      <c r="C818" s="127"/>
      <c r="D818" s="127"/>
      <c r="E818" s="130"/>
      <c r="F818" s="127"/>
    </row>
    <row r="819" spans="1:6" ht="37.5" customHeight="1" x14ac:dyDescent="0.25">
      <c r="A819" s="127"/>
      <c r="B819" s="127"/>
      <c r="C819" s="127"/>
      <c r="D819" s="127"/>
      <c r="E819" s="130"/>
      <c r="F819" s="127"/>
    </row>
    <row r="820" spans="1:6" ht="37.5" customHeight="1" x14ac:dyDescent="0.25">
      <c r="A820" s="127"/>
      <c r="B820" s="127"/>
      <c r="C820" s="127"/>
      <c r="D820" s="127"/>
      <c r="E820" s="130"/>
      <c r="F820" s="127"/>
    </row>
    <row r="821" spans="1:6" ht="37.5" customHeight="1" x14ac:dyDescent="0.25">
      <c r="A821" s="127"/>
      <c r="B821" s="127"/>
      <c r="C821" s="127"/>
      <c r="D821" s="127"/>
      <c r="E821" s="130"/>
      <c r="F821" s="127"/>
    </row>
    <row r="822" spans="1:6" ht="37.5" customHeight="1" x14ac:dyDescent="0.25">
      <c r="A822" s="127"/>
      <c r="B822" s="127"/>
      <c r="C822" s="127"/>
      <c r="D822" s="127"/>
      <c r="E822" s="130"/>
      <c r="F822" s="127"/>
    </row>
    <row r="823" spans="1:6" ht="37.5" customHeight="1" x14ac:dyDescent="0.25">
      <c r="A823" s="127"/>
      <c r="B823" s="127"/>
      <c r="C823" s="127"/>
      <c r="D823" s="127"/>
      <c r="E823" s="130"/>
      <c r="F823" s="127"/>
    </row>
    <row r="824" spans="1:6" ht="37.5" customHeight="1" x14ac:dyDescent="0.25">
      <c r="A824" s="127"/>
      <c r="B824" s="127"/>
      <c r="C824" s="127"/>
      <c r="D824" s="127"/>
      <c r="E824" s="130"/>
      <c r="F824" s="127"/>
    </row>
    <row r="825" spans="1:6" ht="37.5" customHeight="1" x14ac:dyDescent="0.25">
      <c r="A825" s="127"/>
      <c r="B825" s="127"/>
      <c r="C825" s="127"/>
      <c r="D825" s="127"/>
      <c r="E825" s="130"/>
      <c r="F825" s="127"/>
    </row>
    <row r="826" spans="1:6" ht="37.5" customHeight="1" x14ac:dyDescent="0.25">
      <c r="A826" s="127"/>
      <c r="B826" s="127"/>
      <c r="C826" s="127"/>
      <c r="D826" s="127"/>
      <c r="E826" s="130"/>
      <c r="F826" s="127"/>
    </row>
    <row r="827" spans="1:6" ht="37.5" customHeight="1" x14ac:dyDescent="0.25">
      <c r="A827" s="127"/>
      <c r="B827" s="127"/>
      <c r="C827" s="127"/>
      <c r="D827" s="127"/>
      <c r="E827" s="130"/>
      <c r="F827" s="127"/>
    </row>
    <row r="828" spans="1:6" ht="37.5" customHeight="1" x14ac:dyDescent="0.25">
      <c r="A828" s="127"/>
      <c r="B828" s="127"/>
      <c r="C828" s="127"/>
      <c r="D828" s="127"/>
      <c r="E828" s="130"/>
      <c r="F828" s="127"/>
    </row>
    <row r="829" spans="1:6" ht="37.5" customHeight="1" x14ac:dyDescent="0.25">
      <c r="A829" s="127"/>
      <c r="B829" s="127"/>
      <c r="C829" s="127"/>
      <c r="D829" s="127"/>
      <c r="E829" s="130"/>
      <c r="F829" s="127"/>
    </row>
    <row r="830" spans="1:6" ht="37.5" customHeight="1" x14ac:dyDescent="0.25">
      <c r="A830" s="127"/>
      <c r="B830" s="127"/>
      <c r="C830" s="127"/>
      <c r="D830" s="127"/>
      <c r="E830" s="130"/>
      <c r="F830" s="127"/>
    </row>
    <row r="831" spans="1:6" ht="37.5" customHeight="1" x14ac:dyDescent="0.25">
      <c r="A831" s="127"/>
      <c r="B831" s="127"/>
      <c r="C831" s="127"/>
      <c r="D831" s="127"/>
      <c r="E831" s="130"/>
      <c r="F831" s="127"/>
    </row>
    <row r="832" spans="1:6" ht="37.5" customHeight="1" x14ac:dyDescent="0.25">
      <c r="A832" s="127"/>
      <c r="B832" s="127"/>
      <c r="C832" s="127"/>
      <c r="D832" s="127"/>
      <c r="E832" s="130"/>
      <c r="F832" s="127"/>
    </row>
    <row r="833" spans="1:6" ht="37.5" customHeight="1" x14ac:dyDescent="0.25">
      <c r="A833" s="127"/>
      <c r="B833" s="127"/>
      <c r="C833" s="127"/>
      <c r="D833" s="127"/>
      <c r="E833" s="130"/>
      <c r="F833" s="127"/>
    </row>
    <row r="834" spans="1:6" ht="37.5" customHeight="1" x14ac:dyDescent="0.25">
      <c r="A834" s="127"/>
      <c r="B834" s="127"/>
      <c r="C834" s="127"/>
      <c r="D834" s="127"/>
      <c r="E834" s="130"/>
      <c r="F834" s="127"/>
    </row>
    <row r="835" spans="1:6" ht="37.5" customHeight="1" x14ac:dyDescent="0.25">
      <c r="A835" s="127"/>
      <c r="B835" s="127"/>
      <c r="C835" s="127"/>
      <c r="D835" s="127"/>
      <c r="E835" s="130"/>
      <c r="F835" s="127"/>
    </row>
    <row r="836" spans="1:6" ht="37.5" customHeight="1" x14ac:dyDescent="0.25">
      <c r="A836" s="127"/>
      <c r="B836" s="127"/>
      <c r="C836" s="127"/>
      <c r="D836" s="127"/>
      <c r="E836" s="130"/>
      <c r="F836" s="127"/>
    </row>
    <row r="837" spans="1:6" ht="37.5" customHeight="1" x14ac:dyDescent="0.25">
      <c r="A837" s="127"/>
      <c r="B837" s="127"/>
      <c r="C837" s="127"/>
      <c r="D837" s="127"/>
      <c r="E837" s="130"/>
      <c r="F837" s="127"/>
    </row>
    <row r="838" spans="1:6" ht="37.5" customHeight="1" x14ac:dyDescent="0.25">
      <c r="A838" s="127"/>
      <c r="B838" s="127"/>
      <c r="C838" s="127"/>
      <c r="D838" s="127"/>
      <c r="E838" s="130"/>
      <c r="F838" s="127"/>
    </row>
    <row r="839" spans="1:6" ht="37.5" customHeight="1" x14ac:dyDescent="0.25">
      <c r="A839" s="127"/>
      <c r="B839" s="127"/>
      <c r="C839" s="127"/>
      <c r="D839" s="127"/>
      <c r="E839" s="130"/>
      <c r="F839" s="127"/>
    </row>
    <row r="840" spans="1:6" ht="37.5" customHeight="1" x14ac:dyDescent="0.25">
      <c r="A840" s="127"/>
      <c r="B840" s="127"/>
      <c r="C840" s="127"/>
      <c r="D840" s="127"/>
      <c r="E840" s="130"/>
      <c r="F840" s="127"/>
    </row>
    <row r="841" spans="1:6" ht="37.5" customHeight="1" x14ac:dyDescent="0.25">
      <c r="A841" s="127"/>
      <c r="B841" s="127"/>
      <c r="C841" s="127"/>
      <c r="D841" s="127"/>
      <c r="E841" s="130"/>
      <c r="F841" s="127"/>
    </row>
    <row r="842" spans="1:6" ht="37.5" customHeight="1" x14ac:dyDescent="0.25">
      <c r="A842" s="127"/>
      <c r="B842" s="127"/>
      <c r="C842" s="127"/>
      <c r="D842" s="127"/>
      <c r="E842" s="130"/>
      <c r="F842" s="127"/>
    </row>
    <row r="843" spans="1:6" ht="37.5" customHeight="1" x14ac:dyDescent="0.25">
      <c r="A843" s="127"/>
      <c r="B843" s="127"/>
      <c r="C843" s="127"/>
      <c r="D843" s="127"/>
      <c r="E843" s="130"/>
      <c r="F843" s="127"/>
    </row>
    <row r="844" spans="1:6" ht="37.5" customHeight="1" x14ac:dyDescent="0.25">
      <c r="A844" s="127"/>
      <c r="B844" s="127"/>
      <c r="C844" s="127"/>
      <c r="D844" s="127"/>
      <c r="E844" s="130"/>
      <c r="F844" s="127"/>
    </row>
    <row r="845" spans="1:6" ht="37.5" customHeight="1" x14ac:dyDescent="0.25">
      <c r="A845" s="127"/>
      <c r="B845" s="127"/>
      <c r="C845" s="127"/>
      <c r="D845" s="127"/>
      <c r="E845" s="130"/>
      <c r="F845" s="127"/>
    </row>
    <row r="846" spans="1:6" ht="37.5" customHeight="1" x14ac:dyDescent="0.25">
      <c r="A846" s="127"/>
      <c r="B846" s="127"/>
      <c r="C846" s="127"/>
      <c r="D846" s="127"/>
      <c r="E846" s="130"/>
      <c r="F846" s="127"/>
    </row>
    <row r="847" spans="1:6" ht="37.5" customHeight="1" x14ac:dyDescent="0.25">
      <c r="A847" s="127"/>
      <c r="B847" s="127"/>
      <c r="C847" s="127"/>
      <c r="D847" s="127"/>
      <c r="E847" s="130"/>
      <c r="F847" s="127"/>
    </row>
    <row r="848" spans="1:6" ht="37.5" customHeight="1" x14ac:dyDescent="0.25">
      <c r="A848" s="127"/>
      <c r="B848" s="127"/>
      <c r="C848" s="127"/>
      <c r="D848" s="127"/>
      <c r="E848" s="130"/>
      <c r="F848" s="127"/>
    </row>
    <row r="849" spans="1:6" ht="37.5" customHeight="1" x14ac:dyDescent="0.25">
      <c r="A849" s="127"/>
      <c r="B849" s="127"/>
      <c r="C849" s="127"/>
      <c r="D849" s="127"/>
      <c r="E849" s="130"/>
      <c r="F849" s="127"/>
    </row>
    <row r="850" spans="1:6" ht="37.5" customHeight="1" x14ac:dyDescent="0.25">
      <c r="A850" s="127"/>
      <c r="B850" s="127"/>
      <c r="C850" s="127"/>
      <c r="D850" s="127"/>
      <c r="E850" s="130"/>
      <c r="F850" s="127"/>
    </row>
    <row r="851" spans="1:6" ht="37.5" customHeight="1" x14ac:dyDescent="0.25">
      <c r="A851" s="127"/>
      <c r="B851" s="127"/>
      <c r="C851" s="127"/>
      <c r="D851" s="127"/>
      <c r="E851" s="130"/>
      <c r="F851" s="127"/>
    </row>
    <row r="852" spans="1:6" ht="37.5" customHeight="1" x14ac:dyDescent="0.25">
      <c r="A852" s="127"/>
      <c r="B852" s="127"/>
      <c r="C852" s="127"/>
      <c r="D852" s="127"/>
      <c r="E852" s="130"/>
      <c r="F852" s="127"/>
    </row>
    <row r="853" spans="1:6" ht="37.5" customHeight="1" x14ac:dyDescent="0.25">
      <c r="A853" s="127"/>
      <c r="B853" s="127"/>
      <c r="C853" s="127"/>
      <c r="D853" s="127"/>
      <c r="E853" s="130"/>
      <c r="F853" s="127"/>
    </row>
    <row r="854" spans="1:6" ht="37.5" customHeight="1" x14ac:dyDescent="0.25">
      <c r="A854" s="127"/>
      <c r="B854" s="127"/>
      <c r="C854" s="127"/>
      <c r="D854" s="127"/>
      <c r="E854" s="130"/>
      <c r="F854" s="127"/>
    </row>
    <row r="855" spans="1:6" ht="37.5" customHeight="1" x14ac:dyDescent="0.25">
      <c r="A855" s="127"/>
      <c r="B855" s="127"/>
      <c r="C855" s="127"/>
      <c r="D855" s="127"/>
      <c r="E855" s="130"/>
      <c r="F855" s="127"/>
    </row>
    <row r="856" spans="1:6" ht="37.5" customHeight="1" x14ac:dyDescent="0.25">
      <c r="A856" s="127"/>
      <c r="B856" s="127"/>
      <c r="C856" s="127"/>
      <c r="D856" s="127"/>
      <c r="E856" s="130"/>
      <c r="F856" s="127"/>
    </row>
    <row r="857" spans="1:6" ht="37.5" customHeight="1" x14ac:dyDescent="0.25">
      <c r="A857" s="127"/>
      <c r="B857" s="127"/>
      <c r="C857" s="127"/>
      <c r="D857" s="127"/>
      <c r="E857" s="130"/>
      <c r="F857" s="127"/>
    </row>
    <row r="858" spans="1:6" ht="37.5" customHeight="1" x14ac:dyDescent="0.25">
      <c r="A858" s="127"/>
      <c r="B858" s="127"/>
      <c r="C858" s="127"/>
      <c r="D858" s="127"/>
      <c r="E858" s="130"/>
      <c r="F858" s="127"/>
    </row>
    <row r="859" spans="1:6" ht="37.5" customHeight="1" x14ac:dyDescent="0.25">
      <c r="A859" s="127"/>
      <c r="B859" s="127"/>
      <c r="C859" s="127"/>
      <c r="D859" s="127"/>
      <c r="E859" s="130"/>
      <c r="F859" s="127"/>
    </row>
    <row r="860" spans="1:6" ht="37.5" customHeight="1" x14ac:dyDescent="0.25">
      <c r="A860" s="127"/>
      <c r="B860" s="127"/>
      <c r="C860" s="127"/>
      <c r="D860" s="127"/>
      <c r="E860" s="130"/>
      <c r="F860" s="127"/>
    </row>
    <row r="861" spans="1:6" ht="37.5" customHeight="1" x14ac:dyDescent="0.25">
      <c r="A861" s="127"/>
      <c r="B861" s="127"/>
      <c r="C861" s="127"/>
      <c r="D861" s="127"/>
      <c r="E861" s="130"/>
      <c r="F861" s="127"/>
    </row>
    <row r="862" spans="1:6" ht="37.5" customHeight="1" x14ac:dyDescent="0.25">
      <c r="A862" s="127"/>
      <c r="B862" s="127"/>
      <c r="C862" s="127"/>
      <c r="D862" s="127"/>
      <c r="E862" s="130"/>
      <c r="F862" s="127"/>
    </row>
    <row r="863" spans="1:6" ht="37.5" customHeight="1" x14ac:dyDescent="0.25">
      <c r="A863" s="127"/>
      <c r="B863" s="127"/>
      <c r="C863" s="127"/>
      <c r="D863" s="127"/>
      <c r="E863" s="130"/>
      <c r="F863" s="127"/>
    </row>
    <row r="864" spans="1:6" ht="37.5" customHeight="1" x14ac:dyDescent="0.25">
      <c r="A864" s="127"/>
      <c r="B864" s="127"/>
      <c r="C864" s="127"/>
      <c r="D864" s="127"/>
      <c r="E864" s="130"/>
      <c r="F864" s="127"/>
    </row>
    <row r="865" spans="1:6" ht="37.5" customHeight="1" x14ac:dyDescent="0.25">
      <c r="A865" s="127"/>
      <c r="B865" s="127"/>
      <c r="C865" s="127"/>
      <c r="D865" s="127"/>
      <c r="E865" s="130"/>
      <c r="F865" s="127"/>
    </row>
    <row r="866" spans="1:6" ht="37.5" customHeight="1" x14ac:dyDescent="0.25">
      <c r="A866" s="127"/>
      <c r="B866" s="127"/>
      <c r="C866" s="127"/>
      <c r="D866" s="127"/>
      <c r="E866" s="130"/>
      <c r="F866" s="127"/>
    </row>
    <row r="867" spans="1:6" ht="37.5" customHeight="1" x14ac:dyDescent="0.25">
      <c r="A867" s="127"/>
      <c r="B867" s="127"/>
      <c r="C867" s="127"/>
      <c r="D867" s="127"/>
      <c r="E867" s="130"/>
      <c r="F867" s="127"/>
    </row>
    <row r="868" spans="1:6" ht="37.5" customHeight="1" x14ac:dyDescent="0.25">
      <c r="A868" s="127"/>
      <c r="B868" s="127"/>
      <c r="C868" s="127"/>
      <c r="D868" s="127"/>
      <c r="E868" s="130"/>
      <c r="F868" s="127"/>
    </row>
    <row r="869" spans="1:6" ht="37.5" customHeight="1" x14ac:dyDescent="0.25">
      <c r="A869" s="127"/>
      <c r="B869" s="127"/>
      <c r="C869" s="127"/>
      <c r="D869" s="127"/>
      <c r="E869" s="130"/>
      <c r="F869" s="127"/>
    </row>
    <row r="870" spans="1:6" ht="37.5" customHeight="1" x14ac:dyDescent="0.25">
      <c r="A870" s="127"/>
      <c r="B870" s="127"/>
      <c r="C870" s="127"/>
      <c r="D870" s="127"/>
      <c r="E870" s="130"/>
      <c r="F870" s="127"/>
    </row>
    <row r="871" spans="1:6" ht="37.5" customHeight="1" x14ac:dyDescent="0.25">
      <c r="A871" s="127"/>
      <c r="B871" s="127"/>
      <c r="C871" s="127"/>
      <c r="D871" s="127"/>
      <c r="E871" s="130"/>
      <c r="F871" s="127"/>
    </row>
    <row r="872" spans="1:6" ht="37.5" customHeight="1" x14ac:dyDescent="0.25">
      <c r="A872" s="127"/>
      <c r="B872" s="127"/>
      <c r="C872" s="127"/>
      <c r="D872" s="127"/>
      <c r="E872" s="130"/>
      <c r="F872" s="127"/>
    </row>
    <row r="873" spans="1:6" ht="37.5" customHeight="1" x14ac:dyDescent="0.25">
      <c r="A873" s="127"/>
      <c r="B873" s="127"/>
      <c r="C873" s="127"/>
      <c r="D873" s="127"/>
      <c r="E873" s="130"/>
      <c r="F873" s="127"/>
    </row>
    <row r="874" spans="1:6" ht="37.5" customHeight="1" x14ac:dyDescent="0.25">
      <c r="A874" s="127"/>
      <c r="B874" s="127"/>
      <c r="C874" s="127"/>
      <c r="D874" s="127"/>
      <c r="E874" s="130"/>
      <c r="F874" s="127"/>
    </row>
    <row r="875" spans="1:6" ht="37.5" customHeight="1" x14ac:dyDescent="0.25">
      <c r="A875" s="127"/>
      <c r="B875" s="127"/>
      <c r="C875" s="127"/>
      <c r="D875" s="127"/>
      <c r="E875" s="130"/>
      <c r="F875" s="127"/>
    </row>
    <row r="876" spans="1:6" ht="37.5" customHeight="1" x14ac:dyDescent="0.25">
      <c r="A876" s="127"/>
      <c r="B876" s="127"/>
      <c r="C876" s="127"/>
      <c r="D876" s="127"/>
      <c r="E876" s="130"/>
      <c r="F876" s="127"/>
    </row>
    <row r="877" spans="1:6" ht="37.5" customHeight="1" x14ac:dyDescent="0.25">
      <c r="A877" s="127"/>
      <c r="B877" s="127"/>
      <c r="C877" s="127"/>
      <c r="D877" s="127"/>
      <c r="E877" s="130"/>
      <c r="F877" s="127"/>
    </row>
    <row r="878" spans="1:6" ht="37.5" customHeight="1" x14ac:dyDescent="0.25">
      <c r="A878" s="127"/>
      <c r="B878" s="127"/>
      <c r="C878" s="127"/>
      <c r="D878" s="127"/>
      <c r="E878" s="130"/>
      <c r="F878" s="127"/>
    </row>
    <row r="879" spans="1:6" ht="37.5" customHeight="1" x14ac:dyDescent="0.25">
      <c r="A879" s="127"/>
      <c r="B879" s="127"/>
      <c r="C879" s="127"/>
      <c r="D879" s="127"/>
      <c r="E879" s="130"/>
      <c r="F879" s="127"/>
    </row>
    <row r="880" spans="1:6" ht="37.5" customHeight="1" x14ac:dyDescent="0.25">
      <c r="A880" s="127"/>
      <c r="B880" s="127"/>
      <c r="C880" s="127"/>
      <c r="D880" s="127"/>
      <c r="E880" s="130"/>
      <c r="F880" s="127"/>
    </row>
    <row r="881" spans="1:6" ht="37.5" customHeight="1" x14ac:dyDescent="0.25">
      <c r="A881" s="127"/>
      <c r="B881" s="127"/>
      <c r="C881" s="127"/>
      <c r="D881" s="127"/>
      <c r="E881" s="130"/>
      <c r="F881" s="127"/>
    </row>
    <row r="882" spans="1:6" ht="37.5" customHeight="1" x14ac:dyDescent="0.25">
      <c r="A882" s="127"/>
      <c r="B882" s="127"/>
      <c r="C882" s="127"/>
      <c r="D882" s="127"/>
      <c r="E882" s="130"/>
      <c r="F882" s="127"/>
    </row>
    <row r="883" spans="1:6" ht="37.5" customHeight="1" x14ac:dyDescent="0.25">
      <c r="A883" s="127"/>
      <c r="B883" s="127"/>
      <c r="C883" s="127"/>
      <c r="D883" s="127"/>
      <c r="E883" s="130"/>
      <c r="F883" s="127"/>
    </row>
    <row r="884" spans="1:6" ht="37.5" customHeight="1" x14ac:dyDescent="0.25">
      <c r="A884" s="127"/>
      <c r="B884" s="127"/>
      <c r="C884" s="127"/>
      <c r="D884" s="127"/>
      <c r="E884" s="130"/>
      <c r="F884" s="127"/>
    </row>
    <row r="885" spans="1:6" ht="37.5" customHeight="1" x14ac:dyDescent="0.25">
      <c r="A885" s="127"/>
      <c r="B885" s="127"/>
      <c r="C885" s="127"/>
      <c r="D885" s="127"/>
      <c r="E885" s="130"/>
      <c r="F885" s="127"/>
    </row>
    <row r="886" spans="1:6" ht="37.5" customHeight="1" x14ac:dyDescent="0.25">
      <c r="A886" s="127"/>
      <c r="B886" s="127"/>
      <c r="C886" s="127"/>
      <c r="D886" s="127"/>
      <c r="E886" s="130"/>
      <c r="F886" s="127"/>
    </row>
    <row r="887" spans="1:6" ht="37.5" customHeight="1" x14ac:dyDescent="0.25">
      <c r="A887" s="127"/>
      <c r="B887" s="127"/>
      <c r="C887" s="127"/>
      <c r="D887" s="127"/>
      <c r="E887" s="130"/>
      <c r="F887" s="127"/>
    </row>
    <row r="888" spans="1:6" ht="37.5" customHeight="1" x14ac:dyDescent="0.25">
      <c r="A888" s="127"/>
      <c r="B888" s="127"/>
      <c r="C888" s="127"/>
      <c r="D888" s="127"/>
      <c r="E888" s="130"/>
      <c r="F888" s="127"/>
    </row>
    <row r="889" spans="1:6" ht="37.5" customHeight="1" x14ac:dyDescent="0.25">
      <c r="A889" s="127"/>
      <c r="B889" s="127"/>
      <c r="C889" s="127"/>
      <c r="D889" s="127"/>
      <c r="E889" s="130"/>
      <c r="F889" s="127"/>
    </row>
    <row r="890" spans="1:6" ht="37.5" customHeight="1" x14ac:dyDescent="0.25">
      <c r="A890" s="127"/>
      <c r="B890" s="127"/>
      <c r="C890" s="127"/>
      <c r="D890" s="127"/>
      <c r="E890" s="130"/>
      <c r="F890" s="127"/>
    </row>
    <row r="891" spans="1:6" ht="37.5" customHeight="1" x14ac:dyDescent="0.25">
      <c r="A891" s="127"/>
      <c r="B891" s="127"/>
      <c r="C891" s="127"/>
      <c r="D891" s="127"/>
      <c r="E891" s="130"/>
      <c r="F891" s="127"/>
    </row>
    <row r="892" spans="1:6" ht="37.5" customHeight="1" x14ac:dyDescent="0.25">
      <c r="A892" s="127"/>
      <c r="B892" s="127"/>
      <c r="C892" s="127"/>
      <c r="D892" s="127"/>
      <c r="E892" s="130"/>
      <c r="F892" s="127"/>
    </row>
    <row r="893" spans="1:6" ht="37.5" customHeight="1" x14ac:dyDescent="0.25">
      <c r="A893" s="127"/>
      <c r="B893" s="127"/>
      <c r="C893" s="127"/>
      <c r="D893" s="127"/>
      <c r="E893" s="130"/>
      <c r="F893" s="127"/>
    </row>
    <row r="894" spans="1:6" ht="37.5" customHeight="1" x14ac:dyDescent="0.25">
      <c r="A894" s="127"/>
      <c r="B894" s="127"/>
      <c r="C894" s="127"/>
      <c r="D894" s="127"/>
      <c r="E894" s="130"/>
      <c r="F894" s="127"/>
    </row>
    <row r="895" spans="1:6" ht="37.5" customHeight="1" x14ac:dyDescent="0.25">
      <c r="A895" s="127"/>
      <c r="B895" s="127"/>
      <c r="C895" s="127"/>
      <c r="D895" s="127"/>
      <c r="E895" s="130"/>
      <c r="F895" s="127"/>
    </row>
    <row r="896" spans="1:6" ht="37.5" customHeight="1" x14ac:dyDescent="0.25">
      <c r="A896" s="127"/>
      <c r="B896" s="127"/>
      <c r="C896" s="127"/>
      <c r="D896" s="127"/>
      <c r="E896" s="130"/>
      <c r="F896" s="127"/>
    </row>
    <row r="897" spans="1:6" ht="37.5" customHeight="1" x14ac:dyDescent="0.25">
      <c r="A897" s="127"/>
      <c r="B897" s="127"/>
      <c r="C897" s="127"/>
      <c r="D897" s="127"/>
      <c r="E897" s="130"/>
      <c r="F897" s="127"/>
    </row>
    <row r="898" spans="1:6" ht="37.5" customHeight="1" x14ac:dyDescent="0.25">
      <c r="A898" s="127"/>
      <c r="B898" s="127"/>
      <c r="C898" s="127"/>
      <c r="D898" s="127"/>
      <c r="E898" s="130"/>
      <c r="F898" s="127"/>
    </row>
    <row r="899" spans="1:6" ht="37.5" customHeight="1" x14ac:dyDescent="0.25">
      <c r="A899" s="127"/>
      <c r="B899" s="127"/>
      <c r="C899" s="127"/>
      <c r="D899" s="127"/>
      <c r="E899" s="130"/>
      <c r="F899" s="127"/>
    </row>
    <row r="900" spans="1:6" ht="37.5" customHeight="1" x14ac:dyDescent="0.25">
      <c r="A900" s="127"/>
      <c r="B900" s="127"/>
      <c r="C900" s="127"/>
      <c r="D900" s="127"/>
      <c r="E900" s="130"/>
      <c r="F900" s="127"/>
    </row>
    <row r="901" spans="1:6" ht="37.5" customHeight="1" x14ac:dyDescent="0.25">
      <c r="A901" s="127"/>
      <c r="B901" s="127"/>
      <c r="C901" s="127"/>
      <c r="D901" s="127"/>
      <c r="E901" s="130"/>
      <c r="F901" s="127"/>
    </row>
    <row r="902" spans="1:6" ht="37.5" customHeight="1" x14ac:dyDescent="0.25">
      <c r="A902" s="127"/>
      <c r="B902" s="127"/>
      <c r="C902" s="127"/>
      <c r="D902" s="127"/>
      <c r="E902" s="130"/>
      <c r="F902" s="127"/>
    </row>
    <row r="903" spans="1:6" ht="37.5" customHeight="1" x14ac:dyDescent="0.25">
      <c r="A903" s="127"/>
      <c r="B903" s="127"/>
      <c r="C903" s="127"/>
      <c r="D903" s="127"/>
      <c r="E903" s="130"/>
      <c r="F903" s="127"/>
    </row>
    <row r="904" spans="1:6" ht="37.5" customHeight="1" x14ac:dyDescent="0.25">
      <c r="A904" s="127"/>
      <c r="B904" s="127"/>
      <c r="C904" s="127"/>
      <c r="D904" s="127"/>
      <c r="E904" s="130"/>
      <c r="F904" s="127"/>
    </row>
    <row r="905" spans="1:6" ht="37.5" customHeight="1" x14ac:dyDescent="0.25">
      <c r="A905" s="127"/>
      <c r="B905" s="127"/>
      <c r="C905" s="127"/>
      <c r="D905" s="127"/>
      <c r="E905" s="130"/>
      <c r="F905" s="127"/>
    </row>
    <row r="906" spans="1:6" ht="37.5" customHeight="1" x14ac:dyDescent="0.25">
      <c r="A906" s="127"/>
      <c r="B906" s="127"/>
      <c r="C906" s="127"/>
      <c r="D906" s="127"/>
      <c r="E906" s="130"/>
      <c r="F906" s="127"/>
    </row>
    <row r="907" spans="1:6" ht="37.5" customHeight="1" x14ac:dyDescent="0.25">
      <c r="A907" s="127"/>
      <c r="B907" s="127"/>
      <c r="C907" s="127"/>
      <c r="D907" s="127"/>
      <c r="E907" s="130"/>
      <c r="F907" s="127"/>
    </row>
    <row r="908" spans="1:6" ht="37.5" customHeight="1" x14ac:dyDescent="0.25">
      <c r="A908" s="127"/>
      <c r="B908" s="127"/>
      <c r="C908" s="127"/>
      <c r="D908" s="127"/>
      <c r="E908" s="130"/>
      <c r="F908" s="127"/>
    </row>
    <row r="909" spans="1:6" ht="37.5" customHeight="1" x14ac:dyDescent="0.25">
      <c r="A909" s="127"/>
      <c r="B909" s="127"/>
      <c r="C909" s="127"/>
      <c r="D909" s="127"/>
      <c r="E909" s="130"/>
      <c r="F909" s="127"/>
    </row>
    <row r="910" spans="1:6" ht="37.5" customHeight="1" x14ac:dyDescent="0.25">
      <c r="A910" s="127"/>
      <c r="B910" s="127"/>
      <c r="C910" s="127"/>
      <c r="D910" s="127"/>
      <c r="E910" s="130"/>
      <c r="F910" s="127"/>
    </row>
    <row r="911" spans="1:6" ht="37.5" customHeight="1" x14ac:dyDescent="0.25">
      <c r="A911" s="127"/>
      <c r="B911" s="127"/>
      <c r="C911" s="127"/>
      <c r="D911" s="127"/>
      <c r="E911" s="130"/>
      <c r="F911" s="127"/>
    </row>
    <row r="912" spans="1:6" ht="37.5" customHeight="1" x14ac:dyDescent="0.25">
      <c r="A912" s="127"/>
      <c r="B912" s="127"/>
      <c r="C912" s="127"/>
      <c r="D912" s="127"/>
      <c r="E912" s="130"/>
      <c r="F912" s="127"/>
    </row>
    <row r="913" spans="1:6" ht="37.5" customHeight="1" x14ac:dyDescent="0.25">
      <c r="A913" s="127"/>
      <c r="B913" s="127"/>
      <c r="C913" s="127"/>
      <c r="D913" s="127"/>
      <c r="E913" s="130"/>
      <c r="F913" s="127"/>
    </row>
    <row r="914" spans="1:6" ht="37.5" customHeight="1" x14ac:dyDescent="0.25">
      <c r="A914" s="127"/>
      <c r="B914" s="127"/>
      <c r="C914" s="127"/>
      <c r="D914" s="127"/>
      <c r="E914" s="130"/>
      <c r="F914" s="127"/>
    </row>
    <row r="915" spans="1:6" ht="37.5" customHeight="1" x14ac:dyDescent="0.25">
      <c r="A915" s="127"/>
      <c r="B915" s="127"/>
      <c r="C915" s="127"/>
      <c r="D915" s="127"/>
      <c r="E915" s="130"/>
      <c r="F915" s="127"/>
    </row>
    <row r="916" spans="1:6" ht="37.5" customHeight="1" x14ac:dyDescent="0.25">
      <c r="A916" s="127"/>
      <c r="B916" s="127"/>
      <c r="C916" s="127"/>
      <c r="D916" s="127"/>
      <c r="E916" s="130"/>
      <c r="F916" s="127"/>
    </row>
    <row r="917" spans="1:6" ht="37.5" customHeight="1" x14ac:dyDescent="0.25">
      <c r="A917" s="127"/>
      <c r="B917" s="127"/>
      <c r="C917" s="127"/>
      <c r="D917" s="127"/>
      <c r="E917" s="130"/>
      <c r="F917" s="127"/>
    </row>
    <row r="918" spans="1:6" ht="37.5" customHeight="1" x14ac:dyDescent="0.25">
      <c r="A918" s="127"/>
      <c r="B918" s="127"/>
      <c r="C918" s="127"/>
      <c r="D918" s="127"/>
      <c r="E918" s="130"/>
      <c r="F918" s="127"/>
    </row>
    <row r="919" spans="1:6" ht="37.5" customHeight="1" x14ac:dyDescent="0.25">
      <c r="A919" s="127"/>
      <c r="B919" s="127"/>
      <c r="C919" s="127"/>
      <c r="D919" s="127"/>
      <c r="E919" s="130"/>
      <c r="F919" s="127"/>
    </row>
    <row r="920" spans="1:6" ht="37.5" customHeight="1" x14ac:dyDescent="0.25">
      <c r="A920" s="127"/>
      <c r="B920" s="127"/>
      <c r="C920" s="127"/>
      <c r="D920" s="127"/>
      <c r="E920" s="130"/>
      <c r="F920" s="127"/>
    </row>
    <row r="921" spans="1:6" ht="37.5" customHeight="1" x14ac:dyDescent="0.25">
      <c r="A921" s="127"/>
      <c r="B921" s="127"/>
      <c r="C921" s="127"/>
      <c r="D921" s="127"/>
      <c r="E921" s="130"/>
      <c r="F921" s="127"/>
    </row>
    <row r="922" spans="1:6" ht="37.5" customHeight="1" x14ac:dyDescent="0.25">
      <c r="A922" s="127"/>
      <c r="B922" s="127"/>
      <c r="C922" s="127"/>
      <c r="D922" s="127"/>
      <c r="E922" s="130"/>
      <c r="F922" s="127"/>
    </row>
    <row r="923" spans="1:6" ht="37.5" customHeight="1" x14ac:dyDescent="0.25">
      <c r="A923" s="127"/>
      <c r="B923" s="127"/>
      <c r="C923" s="127"/>
      <c r="D923" s="127"/>
      <c r="E923" s="130"/>
      <c r="F923" s="127"/>
    </row>
    <row r="924" spans="1:6" ht="37.5" customHeight="1" x14ac:dyDescent="0.25">
      <c r="A924" s="127"/>
      <c r="B924" s="127"/>
      <c r="C924" s="127"/>
      <c r="D924" s="127"/>
      <c r="E924" s="130"/>
      <c r="F924" s="127"/>
    </row>
    <row r="925" spans="1:6" ht="37.5" customHeight="1" x14ac:dyDescent="0.25">
      <c r="A925" s="127"/>
      <c r="B925" s="127"/>
      <c r="C925" s="127"/>
      <c r="D925" s="127"/>
      <c r="E925" s="130"/>
      <c r="F925" s="127"/>
    </row>
    <row r="926" spans="1:6" ht="37.5" customHeight="1" x14ac:dyDescent="0.25">
      <c r="A926" s="127"/>
      <c r="B926" s="127"/>
      <c r="C926" s="127"/>
      <c r="D926" s="127"/>
      <c r="E926" s="130"/>
      <c r="F926" s="127"/>
    </row>
    <row r="927" spans="1:6" ht="37.5" customHeight="1" x14ac:dyDescent="0.25">
      <c r="A927" s="127"/>
      <c r="B927" s="127"/>
      <c r="C927" s="127"/>
      <c r="D927" s="127"/>
      <c r="E927" s="130"/>
      <c r="F927" s="127"/>
    </row>
    <row r="928" spans="1:6" ht="37.5" customHeight="1" x14ac:dyDescent="0.25">
      <c r="A928" s="127"/>
      <c r="B928" s="127"/>
      <c r="C928" s="127"/>
      <c r="D928" s="127"/>
      <c r="E928" s="130"/>
      <c r="F928" s="127"/>
    </row>
    <row r="929" spans="1:6" ht="37.5" customHeight="1" x14ac:dyDescent="0.25">
      <c r="A929" s="127"/>
      <c r="B929" s="127"/>
      <c r="C929" s="127"/>
      <c r="D929" s="127"/>
      <c r="E929" s="130"/>
      <c r="F929" s="127"/>
    </row>
    <row r="930" spans="1:6" ht="37.5" customHeight="1" x14ac:dyDescent="0.25">
      <c r="A930" s="127"/>
      <c r="B930" s="127"/>
      <c r="C930" s="127"/>
      <c r="D930" s="127"/>
      <c r="E930" s="130"/>
      <c r="F930" s="127"/>
    </row>
    <row r="931" spans="1:6" ht="37.5" customHeight="1" x14ac:dyDescent="0.25">
      <c r="A931" s="127"/>
      <c r="B931" s="127"/>
      <c r="C931" s="127"/>
      <c r="D931" s="127"/>
      <c r="E931" s="130"/>
      <c r="F931" s="127"/>
    </row>
    <row r="932" spans="1:6" ht="37.5" customHeight="1" x14ac:dyDescent="0.25">
      <c r="A932" s="127"/>
      <c r="B932" s="127"/>
      <c r="C932" s="127"/>
      <c r="D932" s="127"/>
      <c r="E932" s="130"/>
      <c r="F932" s="127"/>
    </row>
    <row r="933" spans="1:6" ht="37.5" customHeight="1" x14ac:dyDescent="0.25">
      <c r="A933" s="127"/>
      <c r="B933" s="127"/>
      <c r="C933" s="127"/>
      <c r="D933" s="127"/>
      <c r="E933" s="130"/>
      <c r="F933" s="127"/>
    </row>
    <row r="934" spans="1:6" ht="37.5" customHeight="1" x14ac:dyDescent="0.25">
      <c r="A934" s="127"/>
      <c r="B934" s="127"/>
      <c r="C934" s="127"/>
      <c r="D934" s="127"/>
      <c r="E934" s="130"/>
      <c r="F934" s="127"/>
    </row>
    <row r="935" spans="1:6" ht="37.5" customHeight="1" x14ac:dyDescent="0.25">
      <c r="A935" s="127"/>
      <c r="B935" s="127"/>
      <c r="C935" s="127"/>
      <c r="D935" s="127"/>
      <c r="E935" s="130"/>
      <c r="F935" s="127"/>
    </row>
    <row r="936" spans="1:6" ht="37.5" customHeight="1" x14ac:dyDescent="0.25">
      <c r="A936" s="127"/>
      <c r="B936" s="127"/>
      <c r="C936" s="127"/>
      <c r="D936" s="127"/>
      <c r="E936" s="130"/>
      <c r="F936" s="127"/>
    </row>
    <row r="937" spans="1:6" ht="37.5" customHeight="1" x14ac:dyDescent="0.25">
      <c r="A937" s="127"/>
      <c r="B937" s="127"/>
      <c r="C937" s="127"/>
      <c r="D937" s="127"/>
      <c r="E937" s="130"/>
      <c r="F937" s="127"/>
    </row>
    <row r="938" spans="1:6" ht="37.5" customHeight="1" x14ac:dyDescent="0.25">
      <c r="A938" s="127"/>
      <c r="B938" s="127"/>
      <c r="C938" s="127"/>
      <c r="D938" s="127"/>
      <c r="E938" s="130"/>
      <c r="F938" s="127"/>
    </row>
    <row r="939" spans="1:6" ht="37.5" customHeight="1" x14ac:dyDescent="0.25">
      <c r="A939" s="127"/>
      <c r="B939" s="127"/>
      <c r="C939" s="127"/>
      <c r="D939" s="127"/>
      <c r="E939" s="130"/>
      <c r="F939" s="127"/>
    </row>
    <row r="940" spans="1:6" ht="37.5" customHeight="1" x14ac:dyDescent="0.25">
      <c r="A940" s="127"/>
      <c r="B940" s="127"/>
      <c r="C940" s="127"/>
      <c r="D940" s="127"/>
      <c r="E940" s="130"/>
      <c r="F940" s="127"/>
    </row>
    <row r="941" spans="1:6" ht="37.5" customHeight="1" x14ac:dyDescent="0.25">
      <c r="A941" s="127"/>
      <c r="B941" s="127"/>
      <c r="C941" s="127"/>
      <c r="D941" s="127"/>
      <c r="E941" s="130"/>
      <c r="F941" s="127"/>
    </row>
    <row r="942" spans="1:6" ht="37.5" customHeight="1" x14ac:dyDescent="0.25">
      <c r="A942" s="127"/>
      <c r="B942" s="127"/>
      <c r="C942" s="127"/>
      <c r="D942" s="127"/>
      <c r="E942" s="130"/>
      <c r="F942" s="127"/>
    </row>
    <row r="943" spans="1:6" ht="37.5" customHeight="1" x14ac:dyDescent="0.25">
      <c r="A943" s="127"/>
      <c r="B943" s="127"/>
      <c r="C943" s="127"/>
      <c r="D943" s="127"/>
      <c r="E943" s="130"/>
      <c r="F943" s="127"/>
    </row>
    <row r="944" spans="1:6" ht="37.5" customHeight="1" x14ac:dyDescent="0.25">
      <c r="A944" s="127"/>
      <c r="B944" s="127"/>
      <c r="C944" s="127"/>
      <c r="D944" s="127"/>
      <c r="E944" s="130"/>
      <c r="F944" s="127"/>
    </row>
    <row r="945" spans="1:6" ht="37.5" customHeight="1" x14ac:dyDescent="0.25">
      <c r="A945" s="127"/>
      <c r="B945" s="127"/>
      <c r="C945" s="127"/>
      <c r="D945" s="127"/>
      <c r="E945" s="130"/>
      <c r="F945" s="127"/>
    </row>
    <row r="946" spans="1:6" ht="37.5" customHeight="1" x14ac:dyDescent="0.25">
      <c r="A946" s="127"/>
      <c r="B946" s="127"/>
      <c r="C946" s="127"/>
      <c r="D946" s="127"/>
      <c r="E946" s="130"/>
      <c r="F946" s="127"/>
    </row>
    <row r="947" spans="1:6" ht="37.5" customHeight="1" x14ac:dyDescent="0.25">
      <c r="A947" s="127"/>
      <c r="B947" s="127"/>
      <c r="C947" s="127"/>
      <c r="D947" s="127"/>
      <c r="E947" s="130"/>
      <c r="F947" s="127"/>
    </row>
    <row r="948" spans="1:6" ht="37.5" customHeight="1" x14ac:dyDescent="0.25">
      <c r="A948" s="127"/>
      <c r="B948" s="127"/>
      <c r="C948" s="127"/>
      <c r="D948" s="127"/>
      <c r="E948" s="130"/>
      <c r="F948" s="127"/>
    </row>
    <row r="949" spans="1:6" ht="37.5" customHeight="1" x14ac:dyDescent="0.25">
      <c r="A949" s="127"/>
      <c r="B949" s="127"/>
      <c r="C949" s="127"/>
      <c r="D949" s="127"/>
      <c r="E949" s="130"/>
      <c r="F949" s="127"/>
    </row>
    <row r="950" spans="1:6" ht="37.5" customHeight="1" x14ac:dyDescent="0.25">
      <c r="A950" s="127"/>
      <c r="B950" s="127"/>
      <c r="C950" s="127"/>
      <c r="D950" s="127"/>
      <c r="E950" s="130"/>
      <c r="F950" s="127"/>
    </row>
    <row r="951" spans="1:6" ht="37.5" customHeight="1" x14ac:dyDescent="0.25">
      <c r="A951" s="127"/>
      <c r="B951" s="127"/>
      <c r="C951" s="127"/>
      <c r="D951" s="127"/>
      <c r="E951" s="130"/>
      <c r="F951" s="127"/>
    </row>
    <row r="952" spans="1:6" ht="37.5" customHeight="1" x14ac:dyDescent="0.25">
      <c r="A952" s="127"/>
      <c r="B952" s="127"/>
      <c r="C952" s="127"/>
      <c r="D952" s="127"/>
      <c r="E952" s="130"/>
      <c r="F952" s="127"/>
    </row>
    <row r="953" spans="1:6" ht="37.5" customHeight="1" x14ac:dyDescent="0.25">
      <c r="A953" s="127"/>
      <c r="B953" s="127"/>
      <c r="C953" s="127"/>
      <c r="D953" s="127"/>
      <c r="E953" s="130"/>
      <c r="F953" s="127"/>
    </row>
    <row r="954" spans="1:6" ht="37.5" customHeight="1" x14ac:dyDescent="0.25">
      <c r="A954" s="127"/>
      <c r="B954" s="127"/>
      <c r="C954" s="127"/>
      <c r="D954" s="127"/>
      <c r="E954" s="130"/>
      <c r="F954" s="127"/>
    </row>
    <row r="955" spans="1:6" ht="37.5" customHeight="1" x14ac:dyDescent="0.25">
      <c r="A955" s="127"/>
      <c r="B955" s="127"/>
      <c r="C955" s="127"/>
      <c r="D955" s="127"/>
      <c r="E955" s="130"/>
      <c r="F955" s="127"/>
    </row>
    <row r="956" spans="1:6" ht="37.5" customHeight="1" x14ac:dyDescent="0.25">
      <c r="A956" s="127"/>
      <c r="B956" s="127"/>
      <c r="C956" s="127"/>
      <c r="D956" s="127"/>
      <c r="E956" s="130"/>
      <c r="F956" s="127"/>
    </row>
    <row r="957" spans="1:6" ht="37.5" customHeight="1" x14ac:dyDescent="0.25">
      <c r="A957" s="127"/>
      <c r="B957" s="127"/>
      <c r="C957" s="127"/>
      <c r="D957" s="127"/>
      <c r="E957" s="130"/>
      <c r="F957" s="127"/>
    </row>
    <row r="958" spans="1:6" ht="37.5" customHeight="1" x14ac:dyDescent="0.25">
      <c r="A958" s="127"/>
      <c r="B958" s="127"/>
      <c r="C958" s="127"/>
      <c r="D958" s="127"/>
      <c r="E958" s="130"/>
      <c r="F958" s="127"/>
    </row>
    <row r="959" spans="1:6" ht="37.5" customHeight="1" x14ac:dyDescent="0.25">
      <c r="A959" s="127"/>
      <c r="B959" s="127"/>
      <c r="C959" s="127"/>
      <c r="D959" s="127"/>
      <c r="E959" s="130"/>
      <c r="F959" s="127"/>
    </row>
    <row r="960" spans="1:6" ht="37.5" customHeight="1" x14ac:dyDescent="0.25">
      <c r="A960" s="127"/>
      <c r="B960" s="127"/>
      <c r="C960" s="127"/>
      <c r="D960" s="127"/>
      <c r="E960" s="130"/>
      <c r="F960" s="127"/>
    </row>
    <row r="961" spans="1:6" ht="37.5" customHeight="1" x14ac:dyDescent="0.25">
      <c r="A961" s="127"/>
      <c r="B961" s="127"/>
      <c r="C961" s="127"/>
      <c r="D961" s="127"/>
      <c r="E961" s="130"/>
      <c r="F961" s="127"/>
    </row>
    <row r="962" spans="1:6" ht="37.5" customHeight="1" x14ac:dyDescent="0.25">
      <c r="A962" s="127"/>
      <c r="B962" s="127"/>
      <c r="C962" s="127"/>
      <c r="D962" s="127"/>
      <c r="E962" s="130"/>
      <c r="F962" s="127"/>
    </row>
    <row r="963" spans="1:6" ht="37.5" customHeight="1" x14ac:dyDescent="0.25">
      <c r="A963" s="127"/>
      <c r="B963" s="127"/>
      <c r="C963" s="127"/>
      <c r="D963" s="127"/>
      <c r="E963" s="130"/>
      <c r="F963" s="127"/>
    </row>
    <row r="964" spans="1:6" ht="37.5" customHeight="1" x14ac:dyDescent="0.25">
      <c r="A964" s="127"/>
      <c r="B964" s="127"/>
      <c r="C964" s="127"/>
      <c r="D964" s="127"/>
      <c r="E964" s="130"/>
      <c r="F964" s="127"/>
    </row>
    <row r="965" spans="1:6" ht="37.5" customHeight="1" x14ac:dyDescent="0.25">
      <c r="A965" s="127"/>
      <c r="B965" s="127"/>
      <c r="C965" s="127"/>
      <c r="D965" s="127"/>
      <c r="E965" s="130"/>
      <c r="F965" s="127"/>
    </row>
    <row r="966" spans="1:6" ht="37.5" customHeight="1" x14ac:dyDescent="0.25">
      <c r="A966" s="127"/>
      <c r="B966" s="127"/>
      <c r="C966" s="127"/>
      <c r="D966" s="127"/>
      <c r="E966" s="130"/>
      <c r="F966" s="127"/>
    </row>
    <row r="967" spans="1:6" ht="37.5" customHeight="1" x14ac:dyDescent="0.25">
      <c r="A967" s="127"/>
      <c r="B967" s="127"/>
      <c r="C967" s="127"/>
      <c r="D967" s="127"/>
      <c r="E967" s="130"/>
      <c r="F967" s="127"/>
    </row>
    <row r="968" spans="1:6" ht="37.5" customHeight="1" x14ac:dyDescent="0.25">
      <c r="A968" s="127"/>
      <c r="B968" s="127"/>
      <c r="C968" s="127"/>
      <c r="D968" s="127"/>
      <c r="E968" s="130"/>
      <c r="F968" s="127"/>
    </row>
    <row r="969" spans="1:6" ht="37.5" customHeight="1" x14ac:dyDescent="0.25">
      <c r="A969" s="127"/>
      <c r="B969" s="127"/>
      <c r="C969" s="127"/>
      <c r="D969" s="127"/>
      <c r="E969" s="130"/>
      <c r="F969" s="127"/>
    </row>
    <row r="970" spans="1:6" ht="37.5" customHeight="1" x14ac:dyDescent="0.25">
      <c r="A970" s="127"/>
      <c r="B970" s="127"/>
      <c r="C970" s="127"/>
      <c r="D970" s="127"/>
      <c r="E970" s="130"/>
      <c r="F970" s="127"/>
    </row>
    <row r="971" spans="1:6" ht="37.5" customHeight="1" x14ac:dyDescent="0.25">
      <c r="A971" s="127"/>
      <c r="B971" s="127"/>
      <c r="C971" s="127"/>
      <c r="D971" s="127"/>
      <c r="E971" s="130"/>
      <c r="F971" s="127"/>
    </row>
    <row r="972" spans="1:6" ht="37.5" customHeight="1" x14ac:dyDescent="0.25">
      <c r="A972" s="127"/>
      <c r="B972" s="127"/>
      <c r="C972" s="127"/>
      <c r="D972" s="127"/>
      <c r="E972" s="130"/>
      <c r="F972" s="127"/>
    </row>
    <row r="973" spans="1:6" ht="37.5" customHeight="1" x14ac:dyDescent="0.25">
      <c r="A973" s="127"/>
      <c r="B973" s="127"/>
      <c r="C973" s="127"/>
      <c r="D973" s="127"/>
      <c r="E973" s="130"/>
      <c r="F973" s="127"/>
    </row>
    <row r="974" spans="1:6" ht="37.5" customHeight="1" x14ac:dyDescent="0.25">
      <c r="A974" s="127"/>
      <c r="B974" s="127"/>
      <c r="C974" s="127"/>
      <c r="D974" s="127"/>
      <c r="E974" s="130"/>
      <c r="F974" s="127"/>
    </row>
    <row r="975" spans="1:6" ht="37.5" customHeight="1" x14ac:dyDescent="0.25">
      <c r="A975" s="127"/>
      <c r="B975" s="127"/>
      <c r="C975" s="127"/>
      <c r="D975" s="127"/>
      <c r="E975" s="130"/>
      <c r="F975" s="127"/>
    </row>
    <row r="976" spans="1:6" ht="37.5" customHeight="1" x14ac:dyDescent="0.25">
      <c r="A976" s="127"/>
      <c r="B976" s="127"/>
      <c r="C976" s="127"/>
      <c r="D976" s="127"/>
      <c r="E976" s="130"/>
      <c r="F976" s="127"/>
    </row>
    <row r="977" spans="1:6" ht="37.5" customHeight="1" x14ac:dyDescent="0.25">
      <c r="A977" s="127"/>
      <c r="B977" s="127"/>
      <c r="C977" s="127"/>
      <c r="D977" s="127"/>
      <c r="E977" s="130"/>
      <c r="F977" s="127"/>
    </row>
    <row r="978" spans="1:6" ht="37.5" customHeight="1" x14ac:dyDescent="0.25">
      <c r="A978" s="127"/>
      <c r="B978" s="127"/>
      <c r="C978" s="127"/>
      <c r="D978" s="127"/>
      <c r="E978" s="130"/>
      <c r="F978" s="127"/>
    </row>
    <row r="979" spans="1:6" ht="37.5" customHeight="1" x14ac:dyDescent="0.25">
      <c r="A979" s="127"/>
      <c r="B979" s="127"/>
      <c r="C979" s="127"/>
      <c r="D979" s="127"/>
      <c r="E979" s="130"/>
      <c r="F979" s="127"/>
    </row>
    <row r="980" spans="1:6" ht="37.5" customHeight="1" x14ac:dyDescent="0.25">
      <c r="A980" s="127"/>
      <c r="B980" s="127"/>
      <c r="C980" s="127"/>
      <c r="D980" s="127"/>
      <c r="E980" s="130"/>
      <c r="F980" s="127"/>
    </row>
    <row r="981" spans="1:6" ht="37.5" customHeight="1" x14ac:dyDescent="0.25">
      <c r="A981" s="127"/>
      <c r="B981" s="127"/>
      <c r="C981" s="127"/>
      <c r="D981" s="127"/>
      <c r="E981" s="130"/>
      <c r="F981" s="127"/>
    </row>
    <row r="982" spans="1:6" ht="37.5" customHeight="1" x14ac:dyDescent="0.25">
      <c r="A982" s="127"/>
      <c r="B982" s="127"/>
      <c r="C982" s="127"/>
      <c r="D982" s="127"/>
      <c r="E982" s="130"/>
      <c r="F982" s="127"/>
    </row>
    <row r="983" spans="1:6" ht="37.5" customHeight="1" x14ac:dyDescent="0.25">
      <c r="A983" s="127"/>
      <c r="B983" s="127"/>
      <c r="C983" s="127"/>
      <c r="D983" s="127"/>
      <c r="E983" s="130"/>
      <c r="F983" s="127"/>
    </row>
    <row r="984" spans="1:6" ht="37.5" customHeight="1" x14ac:dyDescent="0.25">
      <c r="A984" s="127"/>
      <c r="B984" s="127"/>
      <c r="C984" s="127"/>
      <c r="D984" s="127"/>
      <c r="E984" s="130"/>
      <c r="F984" s="127"/>
    </row>
    <row r="985" spans="1:6" ht="37.5" customHeight="1" x14ac:dyDescent="0.25">
      <c r="A985" s="127"/>
      <c r="B985" s="127"/>
      <c r="C985" s="127"/>
      <c r="D985" s="127"/>
      <c r="E985" s="130"/>
      <c r="F985" s="127"/>
    </row>
    <row r="986" spans="1:6" ht="37.5" customHeight="1" x14ac:dyDescent="0.25">
      <c r="A986" s="127"/>
      <c r="B986" s="127"/>
      <c r="C986" s="127"/>
      <c r="D986" s="127"/>
      <c r="E986" s="130"/>
      <c r="F986" s="127"/>
    </row>
    <row r="987" spans="1:6" ht="37.5" customHeight="1" x14ac:dyDescent="0.25">
      <c r="A987" s="127"/>
      <c r="B987" s="127"/>
      <c r="C987" s="127"/>
      <c r="D987" s="127"/>
      <c r="E987" s="130"/>
      <c r="F987" s="127"/>
    </row>
    <row r="988" spans="1:6" ht="37.5" customHeight="1" x14ac:dyDescent="0.25">
      <c r="A988" s="127"/>
      <c r="B988" s="127"/>
      <c r="C988" s="127"/>
      <c r="D988" s="127"/>
      <c r="E988" s="130"/>
      <c r="F988" s="127"/>
    </row>
    <row r="989" spans="1:6" ht="37.5" customHeight="1" x14ac:dyDescent="0.25">
      <c r="A989" s="127"/>
      <c r="B989" s="127"/>
      <c r="C989" s="127"/>
      <c r="D989" s="127"/>
      <c r="E989" s="130"/>
      <c r="F989" s="127"/>
    </row>
    <row r="990" spans="1:6" ht="37.5" customHeight="1" x14ac:dyDescent="0.25">
      <c r="A990" s="127"/>
      <c r="B990" s="127"/>
      <c r="C990" s="127"/>
      <c r="D990" s="127"/>
      <c r="E990" s="130"/>
      <c r="F990" s="127"/>
    </row>
    <row r="991" spans="1:6" ht="37.5" customHeight="1" x14ac:dyDescent="0.25">
      <c r="A991" s="127"/>
      <c r="B991" s="127"/>
      <c r="C991" s="127"/>
      <c r="D991" s="127"/>
      <c r="E991" s="130"/>
      <c r="F991" s="127"/>
    </row>
    <row r="992" spans="1:6" ht="37.5" customHeight="1" x14ac:dyDescent="0.25">
      <c r="A992" s="127"/>
      <c r="B992" s="127"/>
      <c r="C992" s="127"/>
      <c r="D992" s="127"/>
      <c r="E992" s="130"/>
      <c r="F992" s="127"/>
    </row>
    <row r="993" spans="1:6" ht="37.5" customHeight="1" x14ac:dyDescent="0.25">
      <c r="A993" s="127"/>
      <c r="B993" s="127"/>
      <c r="C993" s="127"/>
      <c r="D993" s="127"/>
      <c r="E993" s="130"/>
      <c r="F993" s="127"/>
    </row>
    <row r="994" spans="1:6" ht="37.5" customHeight="1" x14ac:dyDescent="0.25">
      <c r="A994" s="127"/>
      <c r="B994" s="127"/>
      <c r="C994" s="127"/>
      <c r="D994" s="127"/>
      <c r="E994" s="130"/>
      <c r="F994" s="127"/>
    </row>
    <row r="995" spans="1:6" ht="37.5" customHeight="1" x14ac:dyDescent="0.25">
      <c r="A995" s="127"/>
      <c r="B995" s="127"/>
      <c r="C995" s="127"/>
      <c r="D995" s="127"/>
      <c r="E995" s="130"/>
      <c r="F995" s="127"/>
    </row>
    <row r="996" spans="1:6" ht="37.5" customHeight="1" x14ac:dyDescent="0.25">
      <c r="A996" s="127"/>
      <c r="B996" s="127"/>
      <c r="C996" s="127"/>
      <c r="D996" s="127"/>
      <c r="E996" s="130"/>
      <c r="F996" s="127"/>
    </row>
    <row r="997" spans="1:6" ht="37.5" customHeight="1" x14ac:dyDescent="0.25">
      <c r="A997" s="127"/>
      <c r="B997" s="127"/>
      <c r="C997" s="127"/>
      <c r="D997" s="127"/>
      <c r="E997" s="130"/>
      <c r="F997" s="127"/>
    </row>
    <row r="998" spans="1:6" ht="37.5" customHeight="1" x14ac:dyDescent="0.25">
      <c r="A998" s="127"/>
      <c r="B998" s="127"/>
      <c r="C998" s="127"/>
      <c r="D998" s="127"/>
      <c r="E998" s="130"/>
      <c r="F998" s="127"/>
    </row>
    <row r="999" spans="1:6" ht="37.5" customHeight="1" x14ac:dyDescent="0.25">
      <c r="A999" s="127"/>
      <c r="B999" s="127"/>
      <c r="C999" s="127"/>
      <c r="D999" s="127"/>
      <c r="E999" s="130"/>
      <c r="F999" s="127"/>
    </row>
    <row r="1000" spans="1:6" ht="37.5" customHeight="1" x14ac:dyDescent="0.25">
      <c r="A1000" s="127"/>
      <c r="B1000" s="127"/>
      <c r="C1000" s="127"/>
      <c r="D1000" s="127"/>
      <c r="E1000" s="130"/>
      <c r="F1000" s="127"/>
    </row>
    <row r="1001" spans="1:6" ht="37.5" customHeight="1" x14ac:dyDescent="0.25">
      <c r="A1001" s="127"/>
      <c r="B1001" s="127"/>
      <c r="C1001" s="127"/>
      <c r="D1001" s="127"/>
      <c r="E1001" s="130"/>
      <c r="F1001" s="127"/>
    </row>
    <row r="1002" spans="1:6" ht="37.5" customHeight="1" x14ac:dyDescent="0.25">
      <c r="A1002" s="127"/>
      <c r="B1002" s="127"/>
      <c r="C1002" s="127"/>
      <c r="D1002" s="127"/>
      <c r="E1002" s="130"/>
      <c r="F1002" s="127"/>
    </row>
    <row r="1003" spans="1:6" ht="37.5" customHeight="1" x14ac:dyDescent="0.25">
      <c r="A1003" s="127"/>
      <c r="B1003" s="127"/>
      <c r="C1003" s="127"/>
      <c r="D1003" s="127"/>
      <c r="E1003" s="130"/>
      <c r="F1003" s="127"/>
    </row>
    <row r="1004" spans="1:6" ht="37.5" customHeight="1" x14ac:dyDescent="0.25">
      <c r="A1004" s="127"/>
      <c r="B1004" s="127"/>
      <c r="C1004" s="127"/>
      <c r="D1004" s="127"/>
      <c r="E1004" s="130"/>
      <c r="F1004" s="127"/>
    </row>
    <row r="1005" spans="1:6" ht="37.5" customHeight="1" x14ac:dyDescent="0.25">
      <c r="A1005" s="127"/>
      <c r="B1005" s="127"/>
      <c r="C1005" s="127"/>
      <c r="D1005" s="127"/>
      <c r="E1005" s="130"/>
      <c r="F1005" s="127"/>
    </row>
    <row r="1006" spans="1:6" ht="37.5" customHeight="1" x14ac:dyDescent="0.25">
      <c r="A1006" s="127"/>
      <c r="B1006" s="127"/>
      <c r="C1006" s="127"/>
      <c r="D1006" s="127"/>
      <c r="E1006" s="130"/>
      <c r="F1006" s="127"/>
    </row>
    <row r="1007" spans="1:6" ht="37.5" customHeight="1" x14ac:dyDescent="0.25">
      <c r="A1007" s="127"/>
      <c r="B1007" s="127"/>
      <c r="C1007" s="127"/>
      <c r="D1007" s="127"/>
      <c r="E1007" s="130"/>
      <c r="F1007" s="127"/>
    </row>
    <row r="1008" spans="1:6" ht="37.5" customHeight="1" x14ac:dyDescent="0.25">
      <c r="A1008" s="127"/>
      <c r="B1008" s="127"/>
      <c r="C1008" s="127"/>
      <c r="D1008" s="127"/>
      <c r="E1008" s="130"/>
      <c r="F1008" s="127"/>
    </row>
    <row r="1009" spans="1:16" ht="37.5" customHeight="1" x14ac:dyDescent="0.25">
      <c r="A1009" s="127"/>
      <c r="B1009" s="127"/>
      <c r="C1009" s="127"/>
      <c r="D1009" s="127"/>
      <c r="E1009" s="130"/>
      <c r="F1009" s="127"/>
    </row>
    <row r="1010" spans="1:16" ht="37.5" customHeight="1" x14ac:dyDescent="0.25">
      <c r="A1010" s="127"/>
      <c r="B1010" s="127"/>
      <c r="C1010" s="127"/>
      <c r="D1010" s="127"/>
      <c r="E1010" s="130"/>
      <c r="F1010" s="127"/>
    </row>
    <row r="1011" spans="1:16" ht="37.5" customHeight="1" x14ac:dyDescent="0.25">
      <c r="A1011" s="127"/>
      <c r="B1011" s="127"/>
      <c r="C1011" s="127"/>
      <c r="D1011" s="127"/>
      <c r="E1011" s="130"/>
      <c r="F1011" s="127"/>
    </row>
    <row r="1012" spans="1:16" ht="37.5" customHeight="1" x14ac:dyDescent="0.25">
      <c r="A1012" s="127"/>
      <c r="B1012" s="127"/>
      <c r="C1012" s="127"/>
      <c r="D1012" s="127"/>
      <c r="E1012" s="130"/>
      <c r="F1012" s="127"/>
    </row>
    <row r="1013" spans="1:16" ht="37.5" customHeight="1" x14ac:dyDescent="0.25">
      <c r="A1013" s="127"/>
      <c r="B1013" s="127"/>
      <c r="C1013" s="127"/>
      <c r="D1013" s="127"/>
      <c r="E1013" s="130"/>
      <c r="F1013" s="127"/>
    </row>
    <row r="1014" spans="1:16" ht="37.5" customHeight="1" x14ac:dyDescent="0.25">
      <c r="A1014" s="127"/>
      <c r="B1014" s="127"/>
      <c r="C1014" s="127"/>
      <c r="D1014" s="127"/>
      <c r="E1014" s="130"/>
      <c r="F1014" s="127"/>
    </row>
    <row r="1015" spans="1:16" ht="37.5" customHeight="1" x14ac:dyDescent="0.25">
      <c r="A1015" s="127"/>
      <c r="B1015" s="127"/>
      <c r="C1015" s="127"/>
      <c r="D1015" s="127"/>
      <c r="E1015" s="130"/>
      <c r="F1015" s="127"/>
    </row>
    <row r="1016" spans="1:16" ht="37.5" customHeight="1" x14ac:dyDescent="0.25">
      <c r="A1016" s="127"/>
      <c r="B1016" s="127"/>
      <c r="C1016" s="127"/>
      <c r="D1016" s="127"/>
      <c r="E1016" s="130"/>
      <c r="F1016" s="127"/>
    </row>
    <row r="1017" spans="1:16" ht="37.5" customHeight="1" x14ac:dyDescent="0.25">
      <c r="A1017" s="127"/>
      <c r="B1017" s="127"/>
      <c r="C1017" s="127"/>
      <c r="D1017" s="127"/>
      <c r="E1017" s="130"/>
      <c r="F1017" s="127"/>
    </row>
    <row r="1018" spans="1:16" ht="37.5" customHeight="1" x14ac:dyDescent="0.25">
      <c r="A1018" s="127"/>
      <c r="B1018" s="127"/>
      <c r="C1018" s="127"/>
      <c r="D1018" s="127"/>
      <c r="E1018" s="130"/>
      <c r="F1018" s="127"/>
    </row>
    <row r="1019" spans="1:16" ht="37.5" customHeight="1" x14ac:dyDescent="0.25">
      <c r="A1019" s="127"/>
      <c r="B1019" s="127"/>
      <c r="C1019" s="127"/>
      <c r="D1019" s="127"/>
      <c r="E1019" s="130"/>
      <c r="F1019" s="127"/>
    </row>
    <row r="1023" spans="1:16" ht="27.75" customHeight="1" x14ac:dyDescent="0.25">
      <c r="A1023" s="120" t="s">
        <v>270</v>
      </c>
      <c r="B1023" s="116"/>
      <c r="C1023" s="116"/>
      <c r="D1023" s="116"/>
      <c r="E1023" s="116"/>
      <c r="F1023" s="116"/>
      <c r="G1023" s="116"/>
      <c r="H1023" s="116"/>
      <c r="I1023" s="116"/>
      <c r="J1023" s="116"/>
      <c r="K1023" s="116"/>
      <c r="L1023" s="116"/>
      <c r="M1023" s="116"/>
      <c r="N1023" s="116"/>
      <c r="O1023" s="116"/>
      <c r="P1023" s="117"/>
    </row>
    <row r="1024" spans="1:16" ht="15" customHeight="1" x14ac:dyDescent="0.25">
      <c r="A1024" s="131" t="s">
        <v>271</v>
      </c>
      <c r="B1024" s="95"/>
      <c r="C1024" s="95"/>
      <c r="D1024" s="95"/>
      <c r="E1024" s="95"/>
      <c r="F1024" s="95"/>
      <c r="G1024" s="95"/>
      <c r="H1024" s="95"/>
      <c r="I1024" s="95"/>
      <c r="J1024" s="95"/>
      <c r="K1024" s="95"/>
      <c r="L1024" s="95"/>
      <c r="M1024" s="95"/>
      <c r="N1024" s="95"/>
      <c r="O1024" s="95"/>
      <c r="P1024" s="95"/>
    </row>
    <row r="1025" spans="1:16" ht="45.75" customHeight="1" x14ac:dyDescent="0.25">
      <c r="A1025" s="124" t="s">
        <v>272</v>
      </c>
      <c r="B1025" s="124" t="s">
        <v>56</v>
      </c>
      <c r="C1025" s="124" t="s">
        <v>273</v>
      </c>
      <c r="D1025" s="124" t="s">
        <v>274</v>
      </c>
      <c r="E1025" s="124" t="s">
        <v>37</v>
      </c>
      <c r="F1025" s="124" t="s">
        <v>275</v>
      </c>
      <c r="G1025" s="124" t="s">
        <v>276</v>
      </c>
      <c r="H1025" s="124" t="s">
        <v>277</v>
      </c>
      <c r="I1025" s="124" t="s">
        <v>278</v>
      </c>
      <c r="J1025" s="124" t="s">
        <v>279</v>
      </c>
      <c r="K1025" s="124" t="s">
        <v>280</v>
      </c>
      <c r="L1025" s="124" t="s">
        <v>281</v>
      </c>
      <c r="M1025" s="124" t="s">
        <v>282</v>
      </c>
      <c r="N1025" s="124" t="s">
        <v>283</v>
      </c>
      <c r="O1025" s="124" t="s">
        <v>284</v>
      </c>
      <c r="P1025" s="124" t="s">
        <v>91</v>
      </c>
    </row>
    <row r="1026" spans="1:16" ht="49.5" customHeight="1" x14ac:dyDescent="0.25">
      <c r="A1026" s="127" t="s">
        <v>285</v>
      </c>
      <c r="B1026" s="127" t="s">
        <v>92</v>
      </c>
      <c r="C1026" s="127" t="s">
        <v>286</v>
      </c>
      <c r="D1026" s="128">
        <v>46296</v>
      </c>
      <c r="E1026" s="127" t="s">
        <v>38</v>
      </c>
      <c r="F1026" s="128">
        <v>46296</v>
      </c>
      <c r="G1026" s="127" t="s">
        <v>287</v>
      </c>
      <c r="H1026" s="127" t="s">
        <v>288</v>
      </c>
      <c r="I1026" s="127" t="s">
        <v>289</v>
      </c>
      <c r="J1026" s="127" t="s">
        <v>290</v>
      </c>
      <c r="K1026" s="127" t="s">
        <v>291</v>
      </c>
      <c r="L1026" s="127" t="s">
        <v>292</v>
      </c>
      <c r="M1026" s="127"/>
      <c r="N1026" s="127"/>
      <c r="O1026" s="127"/>
      <c r="P1026" s="127" t="s">
        <v>293</v>
      </c>
    </row>
    <row r="1027" spans="1:16" ht="49.5" customHeight="1" x14ac:dyDescent="0.25">
      <c r="A1027" s="127" t="s">
        <v>294</v>
      </c>
      <c r="B1027" s="127" t="s">
        <v>108</v>
      </c>
      <c r="C1027" s="127" t="s">
        <v>295</v>
      </c>
      <c r="D1027" s="128">
        <v>46327</v>
      </c>
      <c r="E1027" s="127" t="s">
        <v>38</v>
      </c>
      <c r="F1027" s="128">
        <v>46327</v>
      </c>
      <c r="G1027" s="127" t="s">
        <v>296</v>
      </c>
      <c r="H1027" s="127" t="s">
        <v>297</v>
      </c>
      <c r="I1027" s="127" t="s">
        <v>298</v>
      </c>
      <c r="J1027" s="127"/>
      <c r="K1027" s="127"/>
      <c r="L1027" s="127"/>
      <c r="M1027" s="127"/>
      <c r="N1027" s="127"/>
      <c r="O1027" s="127"/>
      <c r="P1027" s="127" t="s">
        <v>293</v>
      </c>
    </row>
    <row r="1028" spans="1:16" ht="49.5" customHeight="1" x14ac:dyDescent="0.25">
      <c r="A1028" s="127"/>
      <c r="B1028" s="127"/>
      <c r="C1028" s="127"/>
      <c r="D1028" s="128"/>
      <c r="E1028" s="127"/>
      <c r="F1028" s="128"/>
      <c r="G1028" s="127"/>
      <c r="H1028" s="127"/>
      <c r="I1028" s="127"/>
      <c r="J1028" s="127"/>
      <c r="K1028" s="127"/>
      <c r="L1028" s="127"/>
      <c r="M1028" s="127"/>
      <c r="N1028" s="127"/>
      <c r="O1028" s="127"/>
      <c r="P1028" s="127"/>
    </row>
    <row r="1029" spans="1:16" ht="49.5" customHeight="1" x14ac:dyDescent="0.25">
      <c r="A1029" s="127"/>
      <c r="B1029" s="127"/>
      <c r="C1029" s="127"/>
      <c r="D1029" s="128"/>
      <c r="E1029" s="127"/>
      <c r="F1029" s="128"/>
      <c r="G1029" s="127"/>
      <c r="H1029" s="127"/>
      <c r="I1029" s="127"/>
      <c r="J1029" s="127"/>
      <c r="K1029" s="127"/>
      <c r="L1029" s="127"/>
      <c r="M1029" s="127"/>
      <c r="N1029" s="127"/>
      <c r="O1029" s="127"/>
      <c r="P1029" s="127"/>
    </row>
    <row r="1030" spans="1:16" ht="49.5" customHeight="1" x14ac:dyDescent="0.25">
      <c r="A1030" s="127"/>
      <c r="B1030" s="127"/>
      <c r="C1030" s="127"/>
      <c r="D1030" s="128"/>
      <c r="E1030" s="127"/>
      <c r="F1030" s="128"/>
      <c r="G1030" s="127"/>
      <c r="H1030" s="127"/>
      <c r="I1030" s="127"/>
      <c r="J1030" s="127"/>
      <c r="K1030" s="127"/>
      <c r="L1030" s="127"/>
      <c r="M1030" s="127"/>
      <c r="N1030" s="127"/>
      <c r="O1030" s="127"/>
      <c r="P1030" s="127"/>
    </row>
    <row r="1031" spans="1:16" ht="49.5" customHeight="1" x14ac:dyDescent="0.25">
      <c r="A1031" s="127"/>
      <c r="B1031" s="127"/>
      <c r="C1031" s="127"/>
      <c r="D1031" s="128"/>
      <c r="E1031" s="127"/>
      <c r="F1031" s="128"/>
      <c r="G1031" s="127"/>
      <c r="H1031" s="127"/>
      <c r="I1031" s="127"/>
      <c r="J1031" s="127"/>
      <c r="K1031" s="127"/>
      <c r="L1031" s="127"/>
      <c r="M1031" s="127"/>
      <c r="N1031" s="127"/>
      <c r="O1031" s="127"/>
      <c r="P1031" s="127"/>
    </row>
    <row r="1032" spans="1:16" ht="49.5" customHeight="1" x14ac:dyDescent="0.25">
      <c r="A1032" s="127"/>
      <c r="B1032" s="127"/>
      <c r="C1032" s="127"/>
      <c r="D1032" s="128"/>
      <c r="E1032" s="127"/>
      <c r="F1032" s="128"/>
      <c r="G1032" s="127"/>
      <c r="H1032" s="127"/>
      <c r="I1032" s="127"/>
      <c r="J1032" s="127"/>
      <c r="K1032" s="127"/>
      <c r="L1032" s="127"/>
      <c r="M1032" s="127"/>
      <c r="N1032" s="127"/>
      <c r="O1032" s="127"/>
      <c r="P1032" s="127"/>
    </row>
    <row r="1033" spans="1:16" ht="49.5" customHeight="1" x14ac:dyDescent="0.25">
      <c r="A1033" s="127"/>
      <c r="B1033" s="127"/>
      <c r="C1033" s="127"/>
      <c r="D1033" s="128"/>
      <c r="E1033" s="127"/>
      <c r="F1033" s="128"/>
      <c r="G1033" s="127"/>
      <c r="H1033" s="127"/>
      <c r="I1033" s="127"/>
      <c r="J1033" s="127"/>
      <c r="K1033" s="127"/>
      <c r="L1033" s="127"/>
      <c r="M1033" s="127"/>
      <c r="N1033" s="127"/>
      <c r="O1033" s="127"/>
      <c r="P1033" s="127"/>
    </row>
    <row r="1034" spans="1:16" ht="49.5" customHeight="1" x14ac:dyDescent="0.25">
      <c r="A1034" s="127"/>
      <c r="B1034" s="127"/>
      <c r="C1034" s="127"/>
      <c r="D1034" s="128"/>
      <c r="E1034" s="127"/>
      <c r="F1034" s="128"/>
      <c r="G1034" s="127"/>
      <c r="H1034" s="127"/>
      <c r="I1034" s="127"/>
      <c r="J1034" s="127"/>
      <c r="K1034" s="127"/>
      <c r="L1034" s="127"/>
      <c r="M1034" s="127"/>
      <c r="N1034" s="127"/>
      <c r="O1034" s="127"/>
      <c r="P1034" s="127"/>
    </row>
    <row r="1035" spans="1:16" ht="49.5" customHeight="1" x14ac:dyDescent="0.25">
      <c r="A1035" s="127"/>
      <c r="B1035" s="127"/>
      <c r="C1035" s="127"/>
      <c r="D1035" s="128"/>
      <c r="E1035" s="127"/>
      <c r="F1035" s="128"/>
      <c r="G1035" s="127"/>
      <c r="H1035" s="127"/>
      <c r="I1035" s="127"/>
      <c r="J1035" s="127"/>
      <c r="K1035" s="127"/>
      <c r="L1035" s="127"/>
      <c r="M1035" s="127"/>
      <c r="N1035" s="127"/>
      <c r="O1035" s="127"/>
      <c r="P1035" s="127"/>
    </row>
    <row r="1036" spans="1:16" ht="49.5" customHeight="1" x14ac:dyDescent="0.25">
      <c r="A1036" s="127"/>
      <c r="B1036" s="127"/>
      <c r="C1036" s="127"/>
      <c r="D1036" s="128"/>
      <c r="E1036" s="127"/>
      <c r="F1036" s="128"/>
      <c r="G1036" s="127"/>
      <c r="H1036" s="127"/>
      <c r="I1036" s="127"/>
      <c r="J1036" s="127"/>
      <c r="K1036" s="127"/>
      <c r="L1036" s="127"/>
      <c r="M1036" s="127"/>
      <c r="N1036" s="127"/>
      <c r="O1036" s="127"/>
      <c r="P1036" s="127"/>
    </row>
    <row r="1037" spans="1:16" ht="49.5" customHeight="1" x14ac:dyDescent="0.25">
      <c r="A1037" s="127"/>
      <c r="B1037" s="127"/>
      <c r="C1037" s="127"/>
      <c r="D1037" s="128"/>
      <c r="E1037" s="127"/>
      <c r="F1037" s="128"/>
      <c r="G1037" s="127"/>
      <c r="H1037" s="127"/>
      <c r="I1037" s="127"/>
      <c r="J1037" s="127"/>
      <c r="K1037" s="127"/>
      <c r="L1037" s="127"/>
      <c r="M1037" s="127"/>
      <c r="N1037" s="127"/>
      <c r="O1037" s="127"/>
      <c r="P1037" s="127"/>
    </row>
    <row r="1038" spans="1:16" ht="49.5" customHeight="1" x14ac:dyDescent="0.25">
      <c r="A1038" s="127"/>
      <c r="B1038" s="127"/>
      <c r="C1038" s="127"/>
      <c r="D1038" s="128"/>
      <c r="E1038" s="127"/>
      <c r="F1038" s="128"/>
      <c r="G1038" s="127"/>
      <c r="H1038" s="127"/>
      <c r="I1038" s="127"/>
      <c r="J1038" s="127"/>
      <c r="K1038" s="127"/>
      <c r="L1038" s="127"/>
      <c r="M1038" s="127"/>
      <c r="N1038" s="127"/>
      <c r="O1038" s="127"/>
      <c r="P1038" s="127"/>
    </row>
    <row r="1039" spans="1:16" ht="49.5" customHeight="1" x14ac:dyDescent="0.25">
      <c r="A1039" s="127"/>
      <c r="B1039" s="127"/>
      <c r="C1039" s="127"/>
      <c r="D1039" s="128"/>
      <c r="E1039" s="127"/>
      <c r="F1039" s="128"/>
      <c r="G1039" s="127"/>
      <c r="H1039" s="127"/>
      <c r="I1039" s="127"/>
      <c r="J1039" s="127"/>
      <c r="K1039" s="127"/>
      <c r="L1039" s="127"/>
      <c r="M1039" s="127"/>
      <c r="N1039" s="127"/>
      <c r="O1039" s="127"/>
      <c r="P1039" s="127"/>
    </row>
    <row r="1040" spans="1:16" ht="49.5" customHeight="1" x14ac:dyDescent="0.25">
      <c r="A1040" s="127"/>
      <c r="B1040" s="127"/>
      <c r="C1040" s="127"/>
      <c r="D1040" s="128"/>
      <c r="E1040" s="127"/>
      <c r="F1040" s="128"/>
      <c r="G1040" s="127"/>
      <c r="H1040" s="127"/>
      <c r="I1040" s="127"/>
      <c r="J1040" s="127"/>
      <c r="K1040" s="127"/>
      <c r="L1040" s="127"/>
      <c r="M1040" s="127"/>
      <c r="N1040" s="127"/>
      <c r="O1040" s="127"/>
      <c r="P1040" s="127"/>
    </row>
    <row r="1041" spans="1:16" ht="49.5" customHeight="1" x14ac:dyDescent="0.25">
      <c r="A1041" s="127"/>
      <c r="B1041" s="127"/>
      <c r="C1041" s="127"/>
      <c r="D1041" s="128"/>
      <c r="E1041" s="127"/>
      <c r="F1041" s="128"/>
      <c r="G1041" s="127"/>
      <c r="H1041" s="127"/>
      <c r="I1041" s="127"/>
      <c r="J1041" s="127"/>
      <c r="K1041" s="127"/>
      <c r="L1041" s="127"/>
      <c r="M1041" s="127"/>
      <c r="N1041" s="127"/>
      <c r="O1041" s="127"/>
      <c r="P1041" s="127"/>
    </row>
    <row r="1042" spans="1:16" ht="49.5" customHeight="1" x14ac:dyDescent="0.25">
      <c r="A1042" s="127"/>
      <c r="B1042" s="127"/>
      <c r="C1042" s="127"/>
      <c r="D1042" s="128"/>
      <c r="E1042" s="127"/>
      <c r="F1042" s="128"/>
      <c r="G1042" s="127"/>
      <c r="H1042" s="127"/>
      <c r="I1042" s="127"/>
      <c r="J1042" s="127"/>
      <c r="K1042" s="127"/>
      <c r="L1042" s="127"/>
      <c r="M1042" s="127"/>
      <c r="N1042" s="127"/>
      <c r="O1042" s="127"/>
      <c r="P1042" s="127"/>
    </row>
    <row r="1043" spans="1:16" ht="49.5" customHeight="1" x14ac:dyDescent="0.25">
      <c r="A1043" s="127"/>
      <c r="B1043" s="127"/>
      <c r="C1043" s="127"/>
      <c r="D1043" s="128"/>
      <c r="E1043" s="127"/>
      <c r="F1043" s="128"/>
      <c r="G1043" s="127"/>
      <c r="H1043" s="127"/>
      <c r="I1043" s="127"/>
      <c r="J1043" s="127"/>
      <c r="K1043" s="127"/>
      <c r="L1043" s="127"/>
      <c r="M1043" s="127"/>
      <c r="N1043" s="127"/>
      <c r="O1043" s="127"/>
      <c r="P1043" s="127"/>
    </row>
    <row r="1044" spans="1:16" ht="49.5" customHeight="1" x14ac:dyDescent="0.25">
      <c r="A1044" s="127"/>
      <c r="B1044" s="127"/>
      <c r="C1044" s="127"/>
      <c r="D1044" s="128"/>
      <c r="E1044" s="127"/>
      <c r="F1044" s="128"/>
      <c r="G1044" s="127"/>
      <c r="H1044" s="127"/>
      <c r="I1044" s="127"/>
      <c r="J1044" s="127"/>
      <c r="K1044" s="127"/>
      <c r="L1044" s="127"/>
      <c r="M1044" s="127"/>
      <c r="N1044" s="127"/>
      <c r="O1044" s="127"/>
      <c r="P1044" s="127"/>
    </row>
    <row r="1045" spans="1:16" ht="49.5" customHeight="1" x14ac:dyDescent="0.25">
      <c r="A1045" s="127"/>
      <c r="B1045" s="127"/>
      <c r="C1045" s="127"/>
      <c r="D1045" s="128"/>
      <c r="E1045" s="127"/>
      <c r="F1045" s="128"/>
      <c r="G1045" s="127"/>
      <c r="H1045" s="127"/>
      <c r="I1045" s="127"/>
      <c r="J1045" s="127"/>
      <c r="K1045" s="127"/>
      <c r="L1045" s="127"/>
      <c r="M1045" s="127"/>
      <c r="N1045" s="127"/>
      <c r="O1045" s="127"/>
      <c r="P1045" s="127"/>
    </row>
    <row r="1046" spans="1:16" ht="49.5" customHeight="1" x14ac:dyDescent="0.25">
      <c r="A1046" s="127"/>
      <c r="B1046" s="127"/>
      <c r="C1046" s="127"/>
      <c r="D1046" s="128"/>
      <c r="E1046" s="127"/>
      <c r="F1046" s="128"/>
      <c r="G1046" s="127"/>
      <c r="H1046" s="127"/>
      <c r="I1046" s="127"/>
      <c r="J1046" s="127"/>
      <c r="K1046" s="127"/>
      <c r="L1046" s="127"/>
      <c r="M1046" s="127"/>
      <c r="N1046" s="127"/>
      <c r="O1046" s="127"/>
      <c r="P1046" s="127"/>
    </row>
    <row r="1047" spans="1:16" ht="49.5" customHeight="1" x14ac:dyDescent="0.25">
      <c r="A1047" s="127"/>
      <c r="B1047" s="127"/>
      <c r="C1047" s="127"/>
      <c r="D1047" s="128"/>
      <c r="E1047" s="127"/>
      <c r="F1047" s="128"/>
      <c r="G1047" s="127"/>
      <c r="H1047" s="127"/>
      <c r="I1047" s="127"/>
      <c r="J1047" s="127"/>
      <c r="K1047" s="127"/>
      <c r="L1047" s="127"/>
      <c r="M1047" s="127"/>
      <c r="N1047" s="127"/>
      <c r="O1047" s="127"/>
      <c r="P1047" s="127"/>
    </row>
    <row r="1048" spans="1:16" ht="49.5" customHeight="1" x14ac:dyDescent="0.25">
      <c r="A1048" s="127"/>
      <c r="B1048" s="127"/>
      <c r="C1048" s="127"/>
      <c r="D1048" s="128"/>
      <c r="E1048" s="127"/>
      <c r="F1048" s="128"/>
      <c r="G1048" s="127"/>
      <c r="H1048" s="127"/>
      <c r="I1048" s="127"/>
      <c r="J1048" s="127"/>
      <c r="K1048" s="127"/>
      <c r="L1048" s="127"/>
      <c r="M1048" s="127"/>
      <c r="N1048" s="127"/>
      <c r="O1048" s="127"/>
      <c r="P1048" s="127"/>
    </row>
    <row r="1049" spans="1:16" ht="49.5" customHeight="1" x14ac:dyDescent="0.25">
      <c r="A1049" s="127"/>
      <c r="B1049" s="127"/>
      <c r="C1049" s="127"/>
      <c r="D1049" s="128"/>
      <c r="E1049" s="127"/>
      <c r="F1049" s="128"/>
      <c r="G1049" s="127"/>
      <c r="H1049" s="127"/>
      <c r="I1049" s="127"/>
      <c r="J1049" s="127"/>
      <c r="K1049" s="127"/>
      <c r="L1049" s="127"/>
      <c r="M1049" s="127"/>
      <c r="N1049" s="127"/>
      <c r="O1049" s="127"/>
      <c r="P1049" s="127"/>
    </row>
    <row r="1050" spans="1:16" ht="49.5" customHeight="1" x14ac:dyDescent="0.25">
      <c r="A1050" s="127"/>
      <c r="B1050" s="127"/>
      <c r="C1050" s="127"/>
      <c r="D1050" s="128"/>
      <c r="E1050" s="127"/>
      <c r="F1050" s="128"/>
      <c r="G1050" s="127"/>
      <c r="H1050" s="127"/>
      <c r="I1050" s="127"/>
      <c r="J1050" s="127"/>
      <c r="K1050" s="127"/>
      <c r="L1050" s="127"/>
      <c r="M1050" s="127"/>
      <c r="N1050" s="127"/>
      <c r="O1050" s="127"/>
      <c r="P1050" s="127"/>
    </row>
    <row r="1051" spans="1:16" ht="49.5" customHeight="1" x14ac:dyDescent="0.25">
      <c r="A1051" s="127"/>
      <c r="B1051" s="127"/>
      <c r="C1051" s="127"/>
      <c r="D1051" s="128"/>
      <c r="E1051" s="127"/>
      <c r="F1051" s="128"/>
      <c r="G1051" s="127"/>
      <c r="H1051" s="127"/>
      <c r="I1051" s="127"/>
      <c r="J1051" s="127"/>
      <c r="K1051" s="127"/>
      <c r="L1051" s="127"/>
      <c r="M1051" s="127"/>
      <c r="N1051" s="127"/>
      <c r="O1051" s="127"/>
      <c r="P1051" s="127"/>
    </row>
    <row r="1052" spans="1:16" ht="49.5" customHeight="1" x14ac:dyDescent="0.25">
      <c r="A1052" s="127"/>
      <c r="B1052" s="127"/>
      <c r="C1052" s="127"/>
      <c r="D1052" s="128"/>
      <c r="E1052" s="127"/>
      <c r="F1052" s="128"/>
      <c r="G1052" s="127"/>
      <c r="H1052" s="127"/>
      <c r="I1052" s="127"/>
      <c r="J1052" s="127"/>
      <c r="K1052" s="127"/>
      <c r="L1052" s="127"/>
      <c r="M1052" s="127"/>
      <c r="N1052" s="127"/>
      <c r="O1052" s="127"/>
      <c r="P1052" s="127"/>
    </row>
    <row r="1053" spans="1:16" ht="49.5" customHeight="1" x14ac:dyDescent="0.25">
      <c r="A1053" s="127"/>
      <c r="B1053" s="127"/>
      <c r="C1053" s="127"/>
      <c r="D1053" s="128"/>
      <c r="E1053" s="127"/>
      <c r="F1053" s="128"/>
      <c r="G1053" s="127"/>
      <c r="H1053" s="127"/>
      <c r="I1053" s="127"/>
      <c r="J1053" s="127"/>
      <c r="K1053" s="127"/>
      <c r="L1053" s="127"/>
      <c r="M1053" s="127"/>
      <c r="N1053" s="127"/>
      <c r="O1053" s="127"/>
      <c r="P1053" s="127"/>
    </row>
    <row r="1054" spans="1:16" ht="49.5" customHeight="1" x14ac:dyDescent="0.25">
      <c r="A1054" s="127"/>
      <c r="B1054" s="127"/>
      <c r="C1054" s="127"/>
      <c r="D1054" s="128"/>
      <c r="E1054" s="127"/>
      <c r="F1054" s="128"/>
      <c r="G1054" s="127"/>
      <c r="H1054" s="127"/>
      <c r="I1054" s="127"/>
      <c r="J1054" s="127"/>
      <c r="K1054" s="127"/>
      <c r="L1054" s="127"/>
      <c r="M1054" s="127"/>
      <c r="N1054" s="127"/>
      <c r="O1054" s="127"/>
      <c r="P1054" s="127"/>
    </row>
    <row r="1055" spans="1:16" ht="49.5" customHeight="1" x14ac:dyDescent="0.25">
      <c r="A1055" s="127"/>
      <c r="B1055" s="127"/>
      <c r="C1055" s="127"/>
      <c r="D1055" s="128"/>
      <c r="E1055" s="127"/>
      <c r="F1055" s="128"/>
      <c r="G1055" s="127"/>
      <c r="H1055" s="127"/>
      <c r="I1055" s="127"/>
      <c r="J1055" s="127"/>
      <c r="K1055" s="127"/>
      <c r="L1055" s="127"/>
      <c r="M1055" s="127"/>
      <c r="N1055" s="127"/>
      <c r="O1055" s="127"/>
      <c r="P1055" s="127"/>
    </row>
    <row r="1056" spans="1:16" ht="49.5" customHeight="1" x14ac:dyDescent="0.25">
      <c r="A1056" s="127"/>
      <c r="B1056" s="127"/>
      <c r="C1056" s="127"/>
      <c r="D1056" s="128"/>
      <c r="E1056" s="127"/>
      <c r="F1056" s="128"/>
      <c r="G1056" s="127"/>
      <c r="H1056" s="127"/>
      <c r="I1056" s="127"/>
      <c r="J1056" s="127"/>
      <c r="K1056" s="127"/>
      <c r="L1056" s="127"/>
      <c r="M1056" s="127"/>
      <c r="N1056" s="127"/>
      <c r="O1056" s="127"/>
      <c r="P1056" s="127"/>
    </row>
    <row r="1057" spans="1:16" ht="49.5" customHeight="1" x14ac:dyDescent="0.25">
      <c r="A1057" s="127"/>
      <c r="B1057" s="127"/>
      <c r="C1057" s="127"/>
      <c r="D1057" s="128"/>
      <c r="E1057" s="127"/>
      <c r="F1057" s="128"/>
      <c r="G1057" s="127"/>
      <c r="H1057" s="127"/>
      <c r="I1057" s="127"/>
      <c r="J1057" s="127"/>
      <c r="K1057" s="127"/>
      <c r="L1057" s="127"/>
      <c r="M1057" s="127"/>
      <c r="N1057" s="127"/>
      <c r="O1057" s="127"/>
      <c r="P1057" s="127"/>
    </row>
    <row r="1058" spans="1:16" ht="49.5" customHeight="1" x14ac:dyDescent="0.25">
      <c r="A1058" s="127"/>
      <c r="B1058" s="127"/>
      <c r="C1058" s="127"/>
      <c r="D1058" s="128"/>
      <c r="E1058" s="127"/>
      <c r="F1058" s="128"/>
      <c r="G1058" s="127"/>
      <c r="H1058" s="127"/>
      <c r="I1058" s="127"/>
      <c r="J1058" s="127"/>
      <c r="K1058" s="127"/>
      <c r="L1058" s="127"/>
      <c r="M1058" s="127"/>
      <c r="N1058" s="127"/>
      <c r="O1058" s="127"/>
      <c r="P1058" s="127"/>
    </row>
    <row r="1059" spans="1:16" ht="49.5" customHeight="1" x14ac:dyDescent="0.25">
      <c r="A1059" s="127"/>
      <c r="B1059" s="127"/>
      <c r="C1059" s="127"/>
      <c r="D1059" s="128"/>
      <c r="E1059" s="127"/>
      <c r="F1059" s="128"/>
      <c r="G1059" s="127"/>
      <c r="H1059" s="127"/>
      <c r="I1059" s="127"/>
      <c r="J1059" s="127"/>
      <c r="K1059" s="127"/>
      <c r="L1059" s="127"/>
      <c r="M1059" s="127"/>
      <c r="N1059" s="127"/>
      <c r="O1059" s="127"/>
      <c r="P1059" s="127"/>
    </row>
    <row r="1060" spans="1:16" ht="49.5" customHeight="1" x14ac:dyDescent="0.25">
      <c r="A1060" s="127"/>
      <c r="B1060" s="127"/>
      <c r="C1060" s="127"/>
      <c r="D1060" s="128"/>
      <c r="E1060" s="127"/>
      <c r="F1060" s="128"/>
      <c r="G1060" s="127"/>
      <c r="H1060" s="127"/>
      <c r="I1060" s="127"/>
      <c r="J1060" s="127"/>
      <c r="K1060" s="127"/>
      <c r="L1060" s="127"/>
      <c r="M1060" s="127"/>
      <c r="N1060" s="127"/>
      <c r="O1060" s="127"/>
      <c r="P1060" s="127"/>
    </row>
    <row r="1061" spans="1:16" ht="49.5" customHeight="1" x14ac:dyDescent="0.25">
      <c r="A1061" s="127"/>
      <c r="B1061" s="127"/>
      <c r="C1061" s="127"/>
      <c r="D1061" s="128"/>
      <c r="E1061" s="127"/>
      <c r="F1061" s="128"/>
      <c r="G1061" s="127"/>
      <c r="H1061" s="127"/>
      <c r="I1061" s="127"/>
      <c r="J1061" s="127"/>
      <c r="K1061" s="127"/>
      <c r="L1061" s="127"/>
      <c r="M1061" s="127"/>
      <c r="N1061" s="127"/>
      <c r="O1061" s="127"/>
      <c r="P1061" s="127"/>
    </row>
    <row r="1062" spans="1:16" ht="49.5" customHeight="1" x14ac:dyDescent="0.25">
      <c r="A1062" s="127"/>
      <c r="B1062" s="127"/>
      <c r="C1062" s="127"/>
      <c r="D1062" s="128"/>
      <c r="E1062" s="127"/>
      <c r="F1062" s="128"/>
      <c r="G1062" s="127"/>
      <c r="H1062" s="127"/>
      <c r="I1062" s="127"/>
      <c r="J1062" s="127"/>
      <c r="K1062" s="127"/>
      <c r="L1062" s="127"/>
      <c r="M1062" s="127"/>
      <c r="N1062" s="127"/>
      <c r="O1062" s="127"/>
      <c r="P1062" s="127"/>
    </row>
    <row r="1063" spans="1:16" ht="49.5" customHeight="1" x14ac:dyDescent="0.25">
      <c r="A1063" s="127"/>
      <c r="B1063" s="127"/>
      <c r="C1063" s="127"/>
      <c r="D1063" s="128"/>
      <c r="E1063" s="127"/>
      <c r="F1063" s="128"/>
      <c r="G1063" s="127"/>
      <c r="H1063" s="127"/>
      <c r="I1063" s="127"/>
      <c r="J1063" s="127"/>
      <c r="K1063" s="127"/>
      <c r="L1063" s="127"/>
      <c r="M1063" s="127"/>
      <c r="N1063" s="127"/>
      <c r="O1063" s="127"/>
      <c r="P1063" s="127"/>
    </row>
    <row r="1064" spans="1:16" ht="49.5" customHeight="1" x14ac:dyDescent="0.25">
      <c r="A1064" s="127"/>
      <c r="B1064" s="127"/>
      <c r="C1064" s="127"/>
      <c r="D1064" s="128"/>
      <c r="E1064" s="127"/>
      <c r="F1064" s="128"/>
      <c r="G1064" s="127"/>
      <c r="H1064" s="127"/>
      <c r="I1064" s="127"/>
      <c r="J1064" s="127"/>
      <c r="K1064" s="127"/>
      <c r="L1064" s="127"/>
      <c r="M1064" s="127"/>
      <c r="N1064" s="127"/>
      <c r="O1064" s="127"/>
      <c r="P1064" s="127"/>
    </row>
    <row r="1065" spans="1:16" ht="49.5" customHeight="1" x14ac:dyDescent="0.25">
      <c r="A1065" s="127"/>
      <c r="B1065" s="127"/>
      <c r="C1065" s="127"/>
      <c r="D1065" s="128"/>
      <c r="E1065" s="127"/>
      <c r="F1065" s="128"/>
      <c r="G1065" s="127"/>
      <c r="H1065" s="127"/>
      <c r="I1065" s="127"/>
      <c r="J1065" s="127"/>
      <c r="K1065" s="127"/>
      <c r="L1065" s="127"/>
      <c r="M1065" s="127"/>
      <c r="N1065" s="127"/>
      <c r="O1065" s="127"/>
      <c r="P1065" s="127"/>
    </row>
    <row r="1066" spans="1:16" ht="49.5" customHeight="1" x14ac:dyDescent="0.25">
      <c r="A1066" s="127"/>
      <c r="B1066" s="127"/>
      <c r="C1066" s="127"/>
      <c r="D1066" s="128"/>
      <c r="E1066" s="127"/>
      <c r="F1066" s="128"/>
      <c r="G1066" s="127"/>
      <c r="H1066" s="127"/>
      <c r="I1066" s="127"/>
      <c r="J1066" s="127"/>
      <c r="K1066" s="127"/>
      <c r="L1066" s="127"/>
      <c r="M1066" s="127"/>
      <c r="N1066" s="127"/>
      <c r="O1066" s="127"/>
      <c r="P1066" s="127"/>
    </row>
    <row r="1067" spans="1:16" ht="49.5" customHeight="1" x14ac:dyDescent="0.25">
      <c r="A1067" s="127"/>
      <c r="B1067" s="127"/>
      <c r="C1067" s="127"/>
      <c r="D1067" s="128"/>
      <c r="E1067" s="127"/>
      <c r="F1067" s="128"/>
      <c r="G1067" s="127"/>
      <c r="H1067" s="127"/>
      <c r="I1067" s="127"/>
      <c r="J1067" s="127"/>
      <c r="K1067" s="127"/>
      <c r="L1067" s="127"/>
      <c r="M1067" s="127"/>
      <c r="N1067" s="127"/>
      <c r="O1067" s="127"/>
      <c r="P1067" s="127"/>
    </row>
    <row r="1068" spans="1:16" ht="49.5" customHeight="1" x14ac:dyDescent="0.25">
      <c r="A1068" s="127"/>
      <c r="B1068" s="127"/>
      <c r="C1068" s="127"/>
      <c r="D1068" s="128"/>
      <c r="E1068" s="127"/>
      <c r="F1068" s="128"/>
      <c r="G1068" s="127"/>
      <c r="H1068" s="127"/>
      <c r="I1068" s="127"/>
      <c r="J1068" s="127"/>
      <c r="K1068" s="127"/>
      <c r="L1068" s="127"/>
      <c r="M1068" s="127"/>
      <c r="N1068" s="127"/>
      <c r="O1068" s="127"/>
      <c r="P1068" s="127"/>
    </row>
    <row r="1069" spans="1:16" ht="49.5" customHeight="1" x14ac:dyDescent="0.25">
      <c r="A1069" s="127"/>
      <c r="B1069" s="127"/>
      <c r="C1069" s="127"/>
      <c r="D1069" s="128"/>
      <c r="E1069" s="127"/>
      <c r="F1069" s="128"/>
      <c r="G1069" s="127"/>
      <c r="H1069" s="127"/>
      <c r="I1069" s="127"/>
      <c r="J1069" s="127"/>
      <c r="K1069" s="127"/>
      <c r="L1069" s="127"/>
      <c r="M1069" s="127"/>
      <c r="N1069" s="127"/>
      <c r="O1069" s="127"/>
      <c r="P1069" s="127"/>
    </row>
    <row r="1070" spans="1:16" ht="49.5" customHeight="1" x14ac:dyDescent="0.25">
      <c r="A1070" s="127"/>
      <c r="B1070" s="127"/>
      <c r="C1070" s="127"/>
      <c r="D1070" s="128"/>
      <c r="E1070" s="127"/>
      <c r="F1070" s="128"/>
      <c r="G1070" s="127"/>
      <c r="H1070" s="127"/>
      <c r="I1070" s="127"/>
      <c r="J1070" s="127"/>
      <c r="K1070" s="127"/>
      <c r="L1070" s="127"/>
      <c r="M1070" s="127"/>
      <c r="N1070" s="127"/>
      <c r="O1070" s="127"/>
      <c r="P1070" s="127"/>
    </row>
    <row r="1071" spans="1:16" ht="49.5" customHeight="1" x14ac:dyDescent="0.25">
      <c r="A1071" s="127"/>
      <c r="B1071" s="127"/>
      <c r="C1071" s="127"/>
      <c r="D1071" s="128"/>
      <c r="E1071" s="127"/>
      <c r="F1071" s="128"/>
      <c r="G1071" s="127"/>
      <c r="H1071" s="127"/>
      <c r="I1071" s="127"/>
      <c r="J1071" s="127"/>
      <c r="K1071" s="127"/>
      <c r="L1071" s="127"/>
      <c r="M1071" s="127"/>
      <c r="N1071" s="127"/>
      <c r="O1071" s="127"/>
      <c r="P1071" s="127"/>
    </row>
    <row r="1072" spans="1:16" ht="49.5" customHeight="1" x14ac:dyDescent="0.25">
      <c r="A1072" s="127"/>
      <c r="B1072" s="127"/>
      <c r="C1072" s="127"/>
      <c r="D1072" s="128"/>
      <c r="E1072" s="127"/>
      <c r="F1072" s="128"/>
      <c r="G1072" s="127"/>
      <c r="H1072" s="127"/>
      <c r="I1072" s="127"/>
      <c r="J1072" s="127"/>
      <c r="K1072" s="127"/>
      <c r="L1072" s="127"/>
      <c r="M1072" s="127"/>
      <c r="N1072" s="127"/>
      <c r="O1072" s="127"/>
      <c r="P1072" s="127"/>
    </row>
    <row r="1073" spans="1:16" ht="49.5" customHeight="1" x14ac:dyDescent="0.25">
      <c r="A1073" s="127"/>
      <c r="B1073" s="127"/>
      <c r="C1073" s="127"/>
      <c r="D1073" s="128"/>
      <c r="E1073" s="127"/>
      <c r="F1073" s="128"/>
      <c r="G1073" s="127"/>
      <c r="H1073" s="127"/>
      <c r="I1073" s="127"/>
      <c r="J1073" s="127"/>
      <c r="K1073" s="127"/>
      <c r="L1073" s="127"/>
      <c r="M1073" s="127"/>
      <c r="N1073" s="127"/>
      <c r="O1073" s="127"/>
      <c r="P1073" s="127"/>
    </row>
    <row r="1074" spans="1:16" ht="49.5" customHeight="1" x14ac:dyDescent="0.25">
      <c r="A1074" s="127"/>
      <c r="B1074" s="127"/>
      <c r="C1074" s="127"/>
      <c r="D1074" s="128"/>
      <c r="E1074" s="127"/>
      <c r="F1074" s="128"/>
      <c r="G1074" s="127"/>
      <c r="H1074" s="127"/>
      <c r="I1074" s="127"/>
      <c r="J1074" s="127"/>
      <c r="K1074" s="127"/>
      <c r="L1074" s="127"/>
      <c r="M1074" s="127"/>
      <c r="N1074" s="127"/>
      <c r="O1074" s="127"/>
      <c r="P1074" s="127"/>
    </row>
    <row r="1075" spans="1:16" ht="49.5" customHeight="1" x14ac:dyDescent="0.25">
      <c r="A1075" s="127"/>
      <c r="B1075" s="127"/>
      <c r="C1075" s="127"/>
      <c r="D1075" s="128"/>
      <c r="E1075" s="127"/>
      <c r="F1075" s="128"/>
      <c r="G1075" s="127"/>
      <c r="H1075" s="127"/>
      <c r="I1075" s="127"/>
      <c r="J1075" s="127"/>
      <c r="K1075" s="127"/>
      <c r="L1075" s="127"/>
      <c r="M1075" s="127"/>
      <c r="N1075" s="127"/>
      <c r="O1075" s="127"/>
      <c r="P1075" s="127"/>
    </row>
    <row r="1076" spans="1:16" ht="49.5" customHeight="1" x14ac:dyDescent="0.25">
      <c r="A1076" s="127"/>
      <c r="B1076" s="127"/>
      <c r="C1076" s="127"/>
      <c r="D1076" s="128"/>
      <c r="E1076" s="127"/>
      <c r="F1076" s="128"/>
      <c r="G1076" s="127"/>
      <c r="H1076" s="127"/>
      <c r="I1076" s="127"/>
      <c r="J1076" s="127"/>
      <c r="K1076" s="127"/>
      <c r="L1076" s="127"/>
      <c r="M1076" s="127"/>
      <c r="N1076" s="127"/>
      <c r="O1076" s="127"/>
      <c r="P1076" s="127"/>
    </row>
    <row r="1077" spans="1:16" ht="49.5" customHeight="1" x14ac:dyDescent="0.25">
      <c r="A1077" s="127"/>
      <c r="B1077" s="127"/>
      <c r="C1077" s="127"/>
      <c r="D1077" s="128"/>
      <c r="E1077" s="127"/>
      <c r="F1077" s="128"/>
      <c r="G1077" s="127"/>
      <c r="H1077" s="127"/>
      <c r="I1077" s="127"/>
      <c r="J1077" s="127"/>
      <c r="K1077" s="127"/>
      <c r="L1077" s="127"/>
      <c r="M1077" s="127"/>
      <c r="N1077" s="127"/>
      <c r="O1077" s="127"/>
      <c r="P1077" s="127"/>
    </row>
    <row r="1078" spans="1:16" ht="49.5" customHeight="1" x14ac:dyDescent="0.25">
      <c r="A1078" s="127"/>
      <c r="B1078" s="127"/>
      <c r="C1078" s="127"/>
      <c r="D1078" s="128"/>
      <c r="E1078" s="127"/>
      <c r="F1078" s="128"/>
      <c r="G1078" s="127"/>
      <c r="H1078" s="127"/>
      <c r="I1078" s="127"/>
      <c r="J1078" s="127"/>
      <c r="K1078" s="127"/>
      <c r="L1078" s="127"/>
      <c r="M1078" s="127"/>
      <c r="N1078" s="127"/>
      <c r="O1078" s="127"/>
      <c r="P1078" s="127"/>
    </row>
    <row r="1079" spans="1:16" ht="49.5" customHeight="1" x14ac:dyDescent="0.25">
      <c r="A1079" s="127"/>
      <c r="B1079" s="127"/>
      <c r="C1079" s="127"/>
      <c r="D1079" s="128"/>
      <c r="E1079" s="127"/>
      <c r="F1079" s="128"/>
      <c r="G1079" s="127"/>
      <c r="H1079" s="127"/>
      <c r="I1079" s="127"/>
      <c r="J1079" s="127"/>
      <c r="K1079" s="127"/>
      <c r="L1079" s="127"/>
      <c r="M1079" s="127"/>
      <c r="N1079" s="127"/>
      <c r="O1079" s="127"/>
      <c r="P1079" s="127"/>
    </row>
    <row r="1080" spans="1:16" ht="49.5" customHeight="1" x14ac:dyDescent="0.25">
      <c r="A1080" s="127"/>
      <c r="B1080" s="127"/>
      <c r="C1080" s="127"/>
      <c r="D1080" s="128"/>
      <c r="E1080" s="127"/>
      <c r="F1080" s="128"/>
      <c r="G1080" s="127"/>
      <c r="H1080" s="127"/>
      <c r="I1080" s="127"/>
      <c r="J1080" s="127"/>
      <c r="K1080" s="127"/>
      <c r="L1080" s="127"/>
      <c r="M1080" s="127"/>
      <c r="N1080" s="127"/>
      <c r="O1080" s="127"/>
      <c r="P1080" s="127"/>
    </row>
    <row r="1081" spans="1:16" ht="49.5" customHeight="1" x14ac:dyDescent="0.25">
      <c r="A1081" s="127"/>
      <c r="B1081" s="127"/>
      <c r="C1081" s="127"/>
      <c r="D1081" s="128"/>
      <c r="E1081" s="127"/>
      <c r="F1081" s="128"/>
      <c r="G1081" s="127"/>
      <c r="H1081" s="127"/>
      <c r="I1081" s="127"/>
      <c r="J1081" s="127"/>
      <c r="K1081" s="127"/>
      <c r="L1081" s="127"/>
      <c r="M1081" s="127"/>
      <c r="N1081" s="127"/>
      <c r="O1081" s="127"/>
      <c r="P1081" s="127"/>
    </row>
    <row r="1082" spans="1:16" ht="49.5" customHeight="1" x14ac:dyDescent="0.25">
      <c r="A1082" s="127"/>
      <c r="B1082" s="127"/>
      <c r="C1082" s="127"/>
      <c r="D1082" s="128"/>
      <c r="E1082" s="127"/>
      <c r="F1082" s="128"/>
      <c r="G1082" s="127"/>
      <c r="H1082" s="127"/>
      <c r="I1082" s="127"/>
      <c r="J1082" s="127"/>
      <c r="K1082" s="127"/>
      <c r="L1082" s="127"/>
      <c r="M1082" s="127"/>
      <c r="N1082" s="127"/>
      <c r="O1082" s="127"/>
      <c r="P1082" s="127"/>
    </row>
    <row r="1083" spans="1:16" ht="49.5" customHeight="1" x14ac:dyDescent="0.25">
      <c r="A1083" s="127"/>
      <c r="B1083" s="127"/>
      <c r="C1083" s="127"/>
      <c r="D1083" s="128"/>
      <c r="E1083" s="127"/>
      <c r="F1083" s="128"/>
      <c r="G1083" s="127"/>
      <c r="H1083" s="127"/>
      <c r="I1083" s="127"/>
      <c r="J1083" s="127"/>
      <c r="K1083" s="127"/>
      <c r="L1083" s="127"/>
      <c r="M1083" s="127"/>
      <c r="N1083" s="127"/>
      <c r="O1083" s="127"/>
      <c r="P1083" s="127"/>
    </row>
    <row r="1084" spans="1:16" ht="49.5" customHeight="1" x14ac:dyDescent="0.25">
      <c r="A1084" s="127"/>
      <c r="B1084" s="127"/>
      <c r="C1084" s="127"/>
      <c r="D1084" s="128"/>
      <c r="E1084" s="127"/>
      <c r="F1084" s="128"/>
      <c r="G1084" s="127"/>
      <c r="H1084" s="127"/>
      <c r="I1084" s="127"/>
      <c r="J1084" s="127"/>
      <c r="K1084" s="127"/>
      <c r="L1084" s="127"/>
      <c r="M1084" s="127"/>
      <c r="N1084" s="127"/>
      <c r="O1084" s="127"/>
      <c r="P1084" s="127"/>
    </row>
    <row r="1085" spans="1:16" ht="49.5" customHeight="1" x14ac:dyDescent="0.25">
      <c r="A1085" s="127"/>
      <c r="B1085" s="127"/>
      <c r="C1085" s="127"/>
      <c r="D1085" s="128"/>
      <c r="E1085" s="127"/>
      <c r="F1085" s="128"/>
      <c r="G1085" s="127"/>
      <c r="H1085" s="127"/>
      <c r="I1085" s="127"/>
      <c r="J1085" s="127"/>
      <c r="K1085" s="127"/>
      <c r="L1085" s="127"/>
      <c r="M1085" s="127"/>
      <c r="N1085" s="127"/>
      <c r="O1085" s="127"/>
      <c r="P1085" s="127"/>
    </row>
    <row r="1086" spans="1:16" ht="49.5" customHeight="1" x14ac:dyDescent="0.25">
      <c r="A1086" s="127"/>
      <c r="B1086" s="127"/>
      <c r="C1086" s="127"/>
      <c r="D1086" s="128"/>
      <c r="E1086" s="127"/>
      <c r="F1086" s="128"/>
      <c r="G1086" s="127"/>
      <c r="H1086" s="127"/>
      <c r="I1086" s="127"/>
      <c r="J1086" s="127"/>
      <c r="K1086" s="127"/>
      <c r="L1086" s="127"/>
      <c r="M1086" s="127"/>
      <c r="N1086" s="127"/>
      <c r="O1086" s="127"/>
      <c r="P1086" s="127"/>
    </row>
    <row r="1087" spans="1:16" ht="49.5" customHeight="1" x14ac:dyDescent="0.25">
      <c r="A1087" s="127"/>
      <c r="B1087" s="127"/>
      <c r="C1087" s="127"/>
      <c r="D1087" s="128"/>
      <c r="E1087" s="127"/>
      <c r="F1087" s="128"/>
      <c r="G1087" s="127"/>
      <c r="H1087" s="127"/>
      <c r="I1087" s="127"/>
      <c r="J1087" s="127"/>
      <c r="K1087" s="127"/>
      <c r="L1087" s="127"/>
      <c r="M1087" s="127"/>
      <c r="N1087" s="127"/>
      <c r="O1087" s="127"/>
      <c r="P1087" s="127"/>
    </row>
    <row r="1088" spans="1:16" ht="49.5" customHeight="1" x14ac:dyDescent="0.25">
      <c r="A1088" s="127"/>
      <c r="B1088" s="127"/>
      <c r="C1088" s="127"/>
      <c r="D1088" s="128"/>
      <c r="E1088" s="127"/>
      <c r="F1088" s="128"/>
      <c r="G1088" s="127"/>
      <c r="H1088" s="127"/>
      <c r="I1088" s="127"/>
      <c r="J1088" s="127"/>
      <c r="K1088" s="127"/>
      <c r="L1088" s="127"/>
      <c r="M1088" s="127"/>
      <c r="N1088" s="127"/>
      <c r="O1088" s="127"/>
      <c r="P1088" s="127"/>
    </row>
    <row r="1089" spans="1:16" ht="49.5" customHeight="1" x14ac:dyDescent="0.25">
      <c r="A1089" s="127"/>
      <c r="B1089" s="127"/>
      <c r="C1089" s="127"/>
      <c r="D1089" s="128"/>
      <c r="E1089" s="127"/>
      <c r="F1089" s="128"/>
      <c r="G1089" s="127"/>
      <c r="H1089" s="127"/>
      <c r="I1089" s="127"/>
      <c r="J1089" s="127"/>
      <c r="K1089" s="127"/>
      <c r="L1089" s="127"/>
      <c r="M1089" s="127"/>
      <c r="N1089" s="127"/>
      <c r="O1089" s="127"/>
      <c r="P1089" s="127"/>
    </row>
    <row r="1090" spans="1:16" ht="49.5" customHeight="1" x14ac:dyDescent="0.25">
      <c r="A1090" s="127"/>
      <c r="B1090" s="127"/>
      <c r="C1090" s="127"/>
      <c r="D1090" s="128"/>
      <c r="E1090" s="127"/>
      <c r="F1090" s="128"/>
      <c r="G1090" s="127"/>
      <c r="H1090" s="127"/>
      <c r="I1090" s="127"/>
      <c r="J1090" s="127"/>
      <c r="K1090" s="127"/>
      <c r="L1090" s="127"/>
      <c r="M1090" s="127"/>
      <c r="N1090" s="127"/>
      <c r="O1090" s="127"/>
      <c r="P1090" s="127"/>
    </row>
    <row r="1091" spans="1:16" ht="49.5" customHeight="1" x14ac:dyDescent="0.25">
      <c r="A1091" s="127"/>
      <c r="B1091" s="127"/>
      <c r="C1091" s="127"/>
      <c r="D1091" s="128"/>
      <c r="E1091" s="127"/>
      <c r="F1091" s="128"/>
      <c r="G1091" s="127"/>
      <c r="H1091" s="127"/>
      <c r="I1091" s="127"/>
      <c r="J1091" s="127"/>
      <c r="K1091" s="127"/>
      <c r="L1091" s="127"/>
      <c r="M1091" s="127"/>
      <c r="N1091" s="127"/>
      <c r="O1091" s="127"/>
      <c r="P1091" s="127"/>
    </row>
    <row r="1092" spans="1:16" ht="49.5" customHeight="1" x14ac:dyDescent="0.25">
      <c r="A1092" s="127"/>
      <c r="B1092" s="127"/>
      <c r="C1092" s="127"/>
      <c r="D1092" s="128"/>
      <c r="E1092" s="127"/>
      <c r="F1092" s="128"/>
      <c r="G1092" s="127"/>
      <c r="H1092" s="127"/>
      <c r="I1092" s="127"/>
      <c r="J1092" s="127"/>
      <c r="K1092" s="127"/>
      <c r="L1092" s="127"/>
      <c r="M1092" s="127"/>
      <c r="N1092" s="127"/>
      <c r="O1092" s="127"/>
      <c r="P1092" s="127"/>
    </row>
    <row r="1093" spans="1:16" ht="49.5" customHeight="1" x14ac:dyDescent="0.25">
      <c r="A1093" s="127"/>
      <c r="B1093" s="127"/>
      <c r="C1093" s="127"/>
      <c r="D1093" s="128"/>
      <c r="E1093" s="127"/>
      <c r="F1093" s="128"/>
      <c r="G1093" s="127"/>
      <c r="H1093" s="127"/>
      <c r="I1093" s="127"/>
      <c r="J1093" s="127"/>
      <c r="K1093" s="127"/>
      <c r="L1093" s="127"/>
      <c r="M1093" s="127"/>
      <c r="N1093" s="127"/>
      <c r="O1093" s="127"/>
      <c r="P1093" s="127"/>
    </row>
    <row r="1094" spans="1:16" ht="49.5" customHeight="1" x14ac:dyDescent="0.25">
      <c r="A1094" s="127"/>
      <c r="B1094" s="127"/>
      <c r="C1094" s="127"/>
      <c r="D1094" s="128"/>
      <c r="E1094" s="127"/>
      <c r="F1094" s="128"/>
      <c r="G1094" s="127"/>
      <c r="H1094" s="127"/>
      <c r="I1094" s="127"/>
      <c r="J1094" s="127"/>
      <c r="K1094" s="127"/>
      <c r="L1094" s="127"/>
      <c r="M1094" s="127"/>
      <c r="N1094" s="127"/>
      <c r="O1094" s="127"/>
      <c r="P1094" s="127"/>
    </row>
    <row r="1095" spans="1:16" ht="49.5" customHeight="1" x14ac:dyDescent="0.25">
      <c r="A1095" s="127"/>
      <c r="B1095" s="127"/>
      <c r="C1095" s="127"/>
      <c r="D1095" s="128"/>
      <c r="E1095" s="127"/>
      <c r="F1095" s="128"/>
      <c r="G1095" s="127"/>
      <c r="H1095" s="127"/>
      <c r="I1095" s="127"/>
      <c r="J1095" s="127"/>
      <c r="K1095" s="127"/>
      <c r="L1095" s="127"/>
      <c r="M1095" s="127"/>
      <c r="N1095" s="127"/>
      <c r="O1095" s="127"/>
      <c r="P1095" s="127"/>
    </row>
    <row r="1096" spans="1:16" ht="49.5" customHeight="1" x14ac:dyDescent="0.25">
      <c r="A1096" s="127"/>
      <c r="B1096" s="127"/>
      <c r="C1096" s="127"/>
      <c r="D1096" s="128"/>
      <c r="E1096" s="127"/>
      <c r="F1096" s="128"/>
      <c r="G1096" s="127"/>
      <c r="H1096" s="127"/>
      <c r="I1096" s="127"/>
      <c r="J1096" s="127"/>
      <c r="K1096" s="127"/>
      <c r="L1096" s="127"/>
      <c r="M1096" s="127"/>
      <c r="N1096" s="127"/>
      <c r="O1096" s="127"/>
      <c r="P1096" s="127"/>
    </row>
    <row r="1097" spans="1:16" ht="49.5" customHeight="1" x14ac:dyDescent="0.25">
      <c r="A1097" s="127"/>
      <c r="B1097" s="127"/>
      <c r="C1097" s="127"/>
      <c r="D1097" s="128"/>
      <c r="E1097" s="127"/>
      <c r="F1097" s="128"/>
      <c r="G1097" s="127"/>
      <c r="H1097" s="127"/>
      <c r="I1097" s="127"/>
      <c r="J1097" s="127"/>
      <c r="K1097" s="127"/>
      <c r="L1097" s="127"/>
      <c r="M1097" s="127"/>
      <c r="N1097" s="127"/>
      <c r="O1097" s="127"/>
      <c r="P1097" s="127"/>
    </row>
    <row r="1098" spans="1:16" ht="49.5" customHeight="1" x14ac:dyDescent="0.25">
      <c r="A1098" s="127"/>
      <c r="B1098" s="127"/>
      <c r="C1098" s="127"/>
      <c r="D1098" s="128"/>
      <c r="E1098" s="127"/>
      <c r="F1098" s="128"/>
      <c r="G1098" s="127"/>
      <c r="H1098" s="127"/>
      <c r="I1098" s="127"/>
      <c r="J1098" s="127"/>
      <c r="K1098" s="127"/>
      <c r="L1098" s="127"/>
      <c r="M1098" s="127"/>
      <c r="N1098" s="127"/>
      <c r="O1098" s="127"/>
      <c r="P1098" s="127"/>
    </row>
    <row r="1099" spans="1:16" ht="49.5" customHeight="1" x14ac:dyDescent="0.25">
      <c r="A1099" s="127"/>
      <c r="B1099" s="127"/>
      <c r="C1099" s="127"/>
      <c r="D1099" s="128"/>
      <c r="E1099" s="127"/>
      <c r="F1099" s="128"/>
      <c r="G1099" s="127"/>
      <c r="H1099" s="127"/>
      <c r="I1099" s="127"/>
      <c r="J1099" s="127"/>
      <c r="K1099" s="127"/>
      <c r="L1099" s="127"/>
      <c r="M1099" s="127"/>
      <c r="N1099" s="127"/>
      <c r="O1099" s="127"/>
      <c r="P1099" s="127"/>
    </row>
    <row r="1100" spans="1:16" ht="49.5" customHeight="1" x14ac:dyDescent="0.25">
      <c r="A1100" s="127"/>
      <c r="B1100" s="127"/>
      <c r="C1100" s="127"/>
      <c r="D1100" s="128"/>
      <c r="E1100" s="127"/>
      <c r="F1100" s="128"/>
      <c r="G1100" s="127"/>
      <c r="H1100" s="127"/>
      <c r="I1100" s="127"/>
      <c r="J1100" s="127"/>
      <c r="K1100" s="127"/>
      <c r="L1100" s="127"/>
      <c r="M1100" s="127"/>
      <c r="N1100" s="127"/>
      <c r="O1100" s="127"/>
      <c r="P1100" s="127"/>
    </row>
    <row r="1101" spans="1:16" ht="49.5" customHeight="1" x14ac:dyDescent="0.25">
      <c r="A1101" s="127"/>
      <c r="B1101" s="127"/>
      <c r="C1101" s="127"/>
      <c r="D1101" s="128"/>
      <c r="E1101" s="127"/>
      <c r="F1101" s="128"/>
      <c r="G1101" s="127"/>
      <c r="H1101" s="127"/>
      <c r="I1101" s="127"/>
      <c r="J1101" s="127"/>
      <c r="K1101" s="127"/>
      <c r="L1101" s="127"/>
      <c r="M1101" s="127"/>
      <c r="N1101" s="127"/>
      <c r="O1101" s="127"/>
      <c r="P1101" s="127"/>
    </row>
    <row r="1102" spans="1:16" ht="49.5" customHeight="1" x14ac:dyDescent="0.25">
      <c r="A1102" s="127"/>
      <c r="B1102" s="127"/>
      <c r="C1102" s="127"/>
      <c r="D1102" s="128"/>
      <c r="E1102" s="127"/>
      <c r="F1102" s="128"/>
      <c r="G1102" s="127"/>
      <c r="H1102" s="127"/>
      <c r="I1102" s="127"/>
      <c r="J1102" s="127"/>
      <c r="K1102" s="127"/>
      <c r="L1102" s="127"/>
      <c r="M1102" s="127"/>
      <c r="N1102" s="127"/>
      <c r="O1102" s="127"/>
      <c r="P1102" s="127"/>
    </row>
    <row r="1103" spans="1:16" ht="49.5" customHeight="1" x14ac:dyDescent="0.25">
      <c r="A1103" s="127"/>
      <c r="B1103" s="127"/>
      <c r="C1103" s="127"/>
      <c r="D1103" s="128"/>
      <c r="E1103" s="127"/>
      <c r="F1103" s="128"/>
      <c r="G1103" s="127"/>
      <c r="H1103" s="127"/>
      <c r="I1103" s="127"/>
      <c r="J1103" s="127"/>
      <c r="K1103" s="127"/>
      <c r="L1103" s="127"/>
      <c r="M1103" s="127"/>
      <c r="N1103" s="127"/>
      <c r="O1103" s="127"/>
      <c r="P1103" s="127"/>
    </row>
    <row r="1104" spans="1:16" ht="49.5" customHeight="1" x14ac:dyDescent="0.25">
      <c r="A1104" s="127"/>
      <c r="B1104" s="127"/>
      <c r="C1104" s="127"/>
      <c r="D1104" s="128"/>
      <c r="E1104" s="127"/>
      <c r="F1104" s="128"/>
      <c r="G1104" s="127"/>
      <c r="H1104" s="127"/>
      <c r="I1104" s="127"/>
      <c r="J1104" s="127"/>
      <c r="K1104" s="127"/>
      <c r="L1104" s="127"/>
      <c r="M1104" s="127"/>
      <c r="N1104" s="127"/>
      <c r="O1104" s="127"/>
      <c r="P1104" s="127"/>
    </row>
    <row r="1105" spans="1:16" ht="49.5" customHeight="1" x14ac:dyDescent="0.25">
      <c r="A1105" s="127"/>
      <c r="B1105" s="127"/>
      <c r="C1105" s="127"/>
      <c r="D1105" s="128"/>
      <c r="E1105" s="127"/>
      <c r="F1105" s="128"/>
      <c r="G1105" s="127"/>
      <c r="H1105" s="127"/>
      <c r="I1105" s="127"/>
      <c r="J1105" s="127"/>
      <c r="K1105" s="127"/>
      <c r="L1105" s="127"/>
      <c r="M1105" s="127"/>
      <c r="N1105" s="127"/>
      <c r="O1105" s="127"/>
      <c r="P1105" s="127"/>
    </row>
    <row r="1106" spans="1:16" ht="49.5" customHeight="1" x14ac:dyDescent="0.25">
      <c r="A1106" s="127"/>
      <c r="B1106" s="127"/>
      <c r="C1106" s="127"/>
      <c r="D1106" s="128"/>
      <c r="E1106" s="127"/>
      <c r="F1106" s="128"/>
      <c r="G1106" s="127"/>
      <c r="H1106" s="127"/>
      <c r="I1106" s="127"/>
      <c r="J1106" s="127"/>
      <c r="K1106" s="127"/>
      <c r="L1106" s="127"/>
      <c r="M1106" s="127"/>
      <c r="N1106" s="127"/>
      <c r="O1106" s="127"/>
      <c r="P1106" s="127"/>
    </row>
    <row r="1107" spans="1:16" ht="49.5" customHeight="1" x14ac:dyDescent="0.25">
      <c r="A1107" s="127"/>
      <c r="B1107" s="127"/>
      <c r="C1107" s="127"/>
      <c r="D1107" s="128"/>
      <c r="E1107" s="127"/>
      <c r="F1107" s="128"/>
      <c r="G1107" s="127"/>
      <c r="H1107" s="127"/>
      <c r="I1107" s="127"/>
      <c r="J1107" s="127"/>
      <c r="K1107" s="127"/>
      <c r="L1107" s="127"/>
      <c r="M1107" s="127"/>
      <c r="N1107" s="127"/>
      <c r="O1107" s="127"/>
      <c r="P1107" s="127"/>
    </row>
    <row r="1108" spans="1:16" ht="49.5" customHeight="1" x14ac:dyDescent="0.25">
      <c r="A1108" s="127"/>
      <c r="B1108" s="127"/>
      <c r="C1108" s="127"/>
      <c r="D1108" s="128"/>
      <c r="E1108" s="127"/>
      <c r="F1108" s="128"/>
      <c r="G1108" s="127"/>
      <c r="H1108" s="127"/>
      <c r="I1108" s="127"/>
      <c r="J1108" s="127"/>
      <c r="K1108" s="127"/>
      <c r="L1108" s="127"/>
      <c r="M1108" s="127"/>
      <c r="N1108" s="127"/>
      <c r="O1108" s="127"/>
      <c r="P1108" s="127"/>
    </row>
    <row r="1109" spans="1:16" ht="49.5" customHeight="1" x14ac:dyDescent="0.25">
      <c r="A1109" s="127"/>
      <c r="B1109" s="127"/>
      <c r="C1109" s="127"/>
      <c r="D1109" s="128"/>
      <c r="E1109" s="127"/>
      <c r="F1109" s="128"/>
      <c r="G1109" s="127"/>
      <c r="H1109" s="127"/>
      <c r="I1109" s="127"/>
      <c r="J1109" s="127"/>
      <c r="K1109" s="127"/>
      <c r="L1109" s="127"/>
      <c r="M1109" s="127"/>
      <c r="N1109" s="127"/>
      <c r="O1109" s="127"/>
      <c r="P1109" s="127"/>
    </row>
    <row r="1110" spans="1:16" ht="49.5" customHeight="1" x14ac:dyDescent="0.25">
      <c r="A1110" s="127"/>
      <c r="B1110" s="127"/>
      <c r="C1110" s="127"/>
      <c r="D1110" s="128"/>
      <c r="E1110" s="127"/>
      <c r="F1110" s="128"/>
      <c r="G1110" s="127"/>
      <c r="H1110" s="127"/>
      <c r="I1110" s="127"/>
      <c r="J1110" s="127"/>
      <c r="K1110" s="127"/>
      <c r="L1110" s="127"/>
      <c r="M1110" s="127"/>
      <c r="N1110" s="127"/>
      <c r="O1110" s="127"/>
      <c r="P1110" s="127"/>
    </row>
    <row r="1111" spans="1:16" ht="49.5" customHeight="1" x14ac:dyDescent="0.25">
      <c r="A1111" s="127"/>
      <c r="B1111" s="127"/>
      <c r="C1111" s="127"/>
      <c r="D1111" s="128"/>
      <c r="E1111" s="127"/>
      <c r="F1111" s="128"/>
      <c r="G1111" s="127"/>
      <c r="H1111" s="127"/>
      <c r="I1111" s="127"/>
      <c r="J1111" s="127"/>
      <c r="K1111" s="127"/>
      <c r="L1111" s="127"/>
      <c r="M1111" s="127"/>
      <c r="N1111" s="127"/>
      <c r="O1111" s="127"/>
      <c r="P1111" s="127"/>
    </row>
    <row r="1112" spans="1:16" ht="49.5" customHeight="1" x14ac:dyDescent="0.25">
      <c r="A1112" s="127"/>
      <c r="B1112" s="127"/>
      <c r="C1112" s="127"/>
      <c r="D1112" s="128"/>
      <c r="E1112" s="127"/>
      <c r="F1112" s="128"/>
      <c r="G1112" s="127"/>
      <c r="H1112" s="127"/>
      <c r="I1112" s="127"/>
      <c r="J1112" s="127"/>
      <c r="K1112" s="127"/>
      <c r="L1112" s="127"/>
      <c r="M1112" s="127"/>
      <c r="N1112" s="127"/>
      <c r="O1112" s="127"/>
      <c r="P1112" s="127"/>
    </row>
    <row r="1113" spans="1:16" ht="49.5" customHeight="1" x14ac:dyDescent="0.25">
      <c r="A1113" s="127"/>
      <c r="B1113" s="127"/>
      <c r="C1113" s="127"/>
      <c r="D1113" s="128"/>
      <c r="E1113" s="127"/>
      <c r="F1113" s="128"/>
      <c r="G1113" s="127"/>
      <c r="H1113" s="127"/>
      <c r="I1113" s="127"/>
      <c r="J1113" s="127"/>
      <c r="K1113" s="127"/>
      <c r="L1113" s="127"/>
      <c r="M1113" s="127"/>
      <c r="N1113" s="127"/>
      <c r="O1113" s="127"/>
      <c r="P1113" s="127"/>
    </row>
    <row r="1114" spans="1:16" ht="49.5" customHeight="1" x14ac:dyDescent="0.25">
      <c r="A1114" s="127"/>
      <c r="B1114" s="127"/>
      <c r="C1114" s="127"/>
      <c r="D1114" s="128"/>
      <c r="E1114" s="127"/>
      <c r="F1114" s="128"/>
      <c r="G1114" s="127"/>
      <c r="H1114" s="127"/>
      <c r="I1114" s="127"/>
      <c r="J1114" s="127"/>
      <c r="K1114" s="127"/>
      <c r="L1114" s="127"/>
      <c r="M1114" s="127"/>
      <c r="N1114" s="127"/>
      <c r="O1114" s="127"/>
      <c r="P1114" s="127"/>
    </row>
    <row r="1115" spans="1:16" ht="49.5" customHeight="1" x14ac:dyDescent="0.25">
      <c r="A1115" s="127"/>
      <c r="B1115" s="127"/>
      <c r="C1115" s="127"/>
      <c r="D1115" s="128"/>
      <c r="E1115" s="127"/>
      <c r="F1115" s="128"/>
      <c r="G1115" s="127"/>
      <c r="H1115" s="127"/>
      <c r="I1115" s="127"/>
      <c r="J1115" s="127"/>
      <c r="K1115" s="127"/>
      <c r="L1115" s="127"/>
      <c r="M1115" s="127"/>
      <c r="N1115" s="127"/>
      <c r="O1115" s="127"/>
      <c r="P1115" s="127"/>
    </row>
    <row r="1116" spans="1:16" ht="49.5" customHeight="1" x14ac:dyDescent="0.25">
      <c r="A1116" s="127"/>
      <c r="B1116" s="127"/>
      <c r="C1116" s="127"/>
      <c r="D1116" s="128"/>
      <c r="E1116" s="127"/>
      <c r="F1116" s="128"/>
      <c r="G1116" s="127"/>
      <c r="H1116" s="127"/>
      <c r="I1116" s="127"/>
      <c r="J1116" s="127"/>
      <c r="K1116" s="127"/>
      <c r="L1116" s="127"/>
      <c r="M1116" s="127"/>
      <c r="N1116" s="127"/>
      <c r="O1116" s="127"/>
      <c r="P1116" s="127"/>
    </row>
    <row r="1117" spans="1:16" ht="49.5" customHeight="1" x14ac:dyDescent="0.25">
      <c r="A1117" s="127"/>
      <c r="B1117" s="127"/>
      <c r="C1117" s="127"/>
      <c r="D1117" s="128"/>
      <c r="E1117" s="127"/>
      <c r="F1117" s="128"/>
      <c r="G1117" s="127"/>
      <c r="H1117" s="127"/>
      <c r="I1117" s="127"/>
      <c r="J1117" s="127"/>
      <c r="K1117" s="127"/>
      <c r="L1117" s="127"/>
      <c r="M1117" s="127"/>
      <c r="N1117" s="127"/>
      <c r="O1117" s="127"/>
      <c r="P1117" s="127"/>
    </row>
    <row r="1118" spans="1:16" ht="49.5" customHeight="1" x14ac:dyDescent="0.25">
      <c r="A1118" s="127"/>
      <c r="B1118" s="127"/>
      <c r="C1118" s="127"/>
      <c r="D1118" s="128"/>
      <c r="E1118" s="127"/>
      <c r="F1118" s="128"/>
      <c r="G1118" s="127"/>
      <c r="H1118" s="127"/>
      <c r="I1118" s="127"/>
      <c r="J1118" s="127"/>
      <c r="K1118" s="127"/>
      <c r="L1118" s="127"/>
      <c r="M1118" s="127"/>
      <c r="N1118" s="127"/>
      <c r="O1118" s="127"/>
      <c r="P1118" s="127"/>
    </row>
    <row r="1119" spans="1:16" ht="49.5" customHeight="1" x14ac:dyDescent="0.25">
      <c r="A1119" s="127"/>
      <c r="B1119" s="127"/>
      <c r="C1119" s="127"/>
      <c r="D1119" s="128"/>
      <c r="E1119" s="127"/>
      <c r="F1119" s="128"/>
      <c r="G1119" s="127"/>
      <c r="H1119" s="127"/>
      <c r="I1119" s="127"/>
      <c r="J1119" s="127"/>
      <c r="K1119" s="127"/>
      <c r="L1119" s="127"/>
      <c r="M1119" s="127"/>
      <c r="N1119" s="127"/>
      <c r="O1119" s="127"/>
      <c r="P1119" s="127"/>
    </row>
    <row r="1120" spans="1:16" ht="49.5" customHeight="1" x14ac:dyDescent="0.25">
      <c r="A1120" s="127"/>
      <c r="B1120" s="127"/>
      <c r="C1120" s="127"/>
      <c r="D1120" s="128"/>
      <c r="E1120" s="127"/>
      <c r="F1120" s="128"/>
      <c r="G1120" s="127"/>
      <c r="H1120" s="127"/>
      <c r="I1120" s="127"/>
      <c r="J1120" s="127"/>
      <c r="K1120" s="127"/>
      <c r="L1120" s="127"/>
      <c r="M1120" s="127"/>
      <c r="N1120" s="127"/>
      <c r="O1120" s="127"/>
      <c r="P1120" s="127"/>
    </row>
    <row r="1121" spans="1:16" ht="49.5" customHeight="1" x14ac:dyDescent="0.25">
      <c r="A1121" s="127"/>
      <c r="B1121" s="127"/>
      <c r="C1121" s="127"/>
      <c r="D1121" s="128"/>
      <c r="E1121" s="127"/>
      <c r="F1121" s="128"/>
      <c r="G1121" s="127"/>
      <c r="H1121" s="127"/>
      <c r="I1121" s="127"/>
      <c r="J1121" s="127"/>
      <c r="K1121" s="127"/>
      <c r="L1121" s="127"/>
      <c r="M1121" s="127"/>
      <c r="N1121" s="127"/>
      <c r="O1121" s="127"/>
      <c r="P1121" s="127"/>
    </row>
    <row r="1122" spans="1:16" ht="49.5" customHeight="1" x14ac:dyDescent="0.25">
      <c r="A1122" s="127"/>
      <c r="B1122" s="127"/>
      <c r="C1122" s="127"/>
      <c r="D1122" s="128"/>
      <c r="E1122" s="127"/>
      <c r="F1122" s="128"/>
      <c r="G1122" s="127"/>
      <c r="H1122" s="127"/>
      <c r="I1122" s="127"/>
      <c r="J1122" s="127"/>
      <c r="K1122" s="127"/>
      <c r="L1122" s="127"/>
      <c r="M1122" s="127"/>
      <c r="N1122" s="127"/>
      <c r="O1122" s="127"/>
      <c r="P1122" s="127"/>
    </row>
    <row r="1123" spans="1:16" ht="49.5" customHeight="1" x14ac:dyDescent="0.25">
      <c r="A1123" s="127"/>
      <c r="B1123" s="127"/>
      <c r="C1123" s="127"/>
      <c r="D1123" s="128"/>
      <c r="E1123" s="127"/>
      <c r="F1123" s="128"/>
      <c r="G1123" s="127"/>
      <c r="H1123" s="127"/>
      <c r="I1123" s="127"/>
      <c r="J1123" s="127"/>
      <c r="K1123" s="127"/>
      <c r="L1123" s="127"/>
      <c r="M1123" s="127"/>
      <c r="N1123" s="127"/>
      <c r="O1123" s="127"/>
      <c r="P1123" s="127"/>
    </row>
    <row r="1124" spans="1:16" ht="49.5" customHeight="1" x14ac:dyDescent="0.25">
      <c r="A1124" s="127"/>
      <c r="B1124" s="127"/>
      <c r="C1124" s="127"/>
      <c r="D1124" s="128"/>
      <c r="E1124" s="127"/>
      <c r="F1124" s="128"/>
      <c r="G1124" s="127"/>
      <c r="H1124" s="127"/>
      <c r="I1124" s="127"/>
      <c r="J1124" s="127"/>
      <c r="K1124" s="127"/>
      <c r="L1124" s="127"/>
      <c r="M1124" s="127"/>
      <c r="N1124" s="127"/>
      <c r="O1124" s="127"/>
      <c r="P1124" s="127"/>
    </row>
    <row r="1125" spans="1:16" ht="49.5" customHeight="1" x14ac:dyDescent="0.25">
      <c r="A1125" s="127"/>
      <c r="B1125" s="127"/>
      <c r="C1125" s="127"/>
      <c r="D1125" s="128"/>
      <c r="E1125" s="127"/>
      <c r="F1125" s="128"/>
      <c r="G1125" s="127"/>
      <c r="H1125" s="127"/>
      <c r="I1125" s="127"/>
      <c r="J1125" s="127"/>
      <c r="K1125" s="127"/>
      <c r="L1125" s="127"/>
      <c r="M1125" s="127"/>
      <c r="N1125" s="127"/>
      <c r="O1125" s="127"/>
      <c r="P1125" s="127"/>
    </row>
    <row r="1126" spans="1:16" ht="49.5" customHeight="1" x14ac:dyDescent="0.25">
      <c r="A1126" s="127"/>
      <c r="B1126" s="127"/>
      <c r="C1126" s="127"/>
      <c r="D1126" s="128"/>
      <c r="E1126" s="127"/>
      <c r="F1126" s="128"/>
      <c r="G1126" s="127"/>
      <c r="H1126" s="127"/>
      <c r="I1126" s="127"/>
      <c r="J1126" s="127"/>
      <c r="K1126" s="127"/>
      <c r="L1126" s="127"/>
      <c r="M1126" s="127"/>
      <c r="N1126" s="127"/>
      <c r="O1126" s="127"/>
      <c r="P1126" s="127"/>
    </row>
    <row r="1127" spans="1:16" ht="49.5" customHeight="1" x14ac:dyDescent="0.25">
      <c r="A1127" s="127"/>
      <c r="B1127" s="127"/>
      <c r="C1127" s="127"/>
      <c r="D1127" s="128"/>
      <c r="E1127" s="127"/>
      <c r="F1127" s="128"/>
      <c r="G1127" s="127"/>
      <c r="H1127" s="127"/>
      <c r="I1127" s="127"/>
      <c r="J1127" s="127"/>
      <c r="K1127" s="127"/>
      <c r="L1127" s="127"/>
      <c r="M1127" s="127"/>
      <c r="N1127" s="127"/>
      <c r="O1127" s="127"/>
      <c r="P1127" s="127"/>
    </row>
    <row r="1128" spans="1:16" ht="49.5" customHeight="1" x14ac:dyDescent="0.25">
      <c r="A1128" s="127"/>
      <c r="B1128" s="127"/>
      <c r="C1128" s="127"/>
      <c r="D1128" s="128"/>
      <c r="E1128" s="127"/>
      <c r="F1128" s="128"/>
      <c r="G1128" s="127"/>
      <c r="H1128" s="127"/>
      <c r="I1128" s="127"/>
      <c r="J1128" s="127"/>
      <c r="K1128" s="127"/>
      <c r="L1128" s="127"/>
      <c r="M1128" s="127"/>
      <c r="N1128" s="127"/>
      <c r="O1128" s="127"/>
      <c r="P1128" s="127"/>
    </row>
    <row r="1129" spans="1:16" ht="49.5" customHeight="1" x14ac:dyDescent="0.25">
      <c r="A1129" s="127"/>
      <c r="B1129" s="127"/>
      <c r="C1129" s="127"/>
      <c r="D1129" s="128"/>
      <c r="E1129" s="127"/>
      <c r="F1129" s="128"/>
      <c r="G1129" s="127"/>
      <c r="H1129" s="127"/>
      <c r="I1129" s="127"/>
      <c r="J1129" s="127"/>
      <c r="K1129" s="127"/>
      <c r="L1129" s="127"/>
      <c r="M1129" s="127"/>
      <c r="N1129" s="127"/>
      <c r="O1129" s="127"/>
      <c r="P1129" s="127"/>
    </row>
    <row r="1130" spans="1:16" ht="49.5" customHeight="1" x14ac:dyDescent="0.25">
      <c r="A1130" s="127"/>
      <c r="B1130" s="127"/>
      <c r="C1130" s="127"/>
      <c r="D1130" s="128"/>
      <c r="E1130" s="127"/>
      <c r="F1130" s="128"/>
      <c r="G1130" s="127"/>
      <c r="H1130" s="127"/>
      <c r="I1130" s="127"/>
      <c r="J1130" s="127"/>
      <c r="K1130" s="127"/>
      <c r="L1130" s="127"/>
      <c r="M1130" s="127"/>
      <c r="N1130" s="127"/>
      <c r="O1130" s="127"/>
      <c r="P1130" s="127"/>
    </row>
    <row r="1131" spans="1:16" ht="49.5" customHeight="1" x14ac:dyDescent="0.25">
      <c r="A1131" s="127"/>
      <c r="B1131" s="127"/>
      <c r="C1131" s="127"/>
      <c r="D1131" s="128"/>
      <c r="E1131" s="127"/>
      <c r="F1131" s="128"/>
      <c r="G1131" s="127"/>
      <c r="H1131" s="127"/>
      <c r="I1131" s="127"/>
      <c r="J1131" s="127"/>
      <c r="K1131" s="127"/>
      <c r="L1131" s="127"/>
      <c r="M1131" s="127"/>
      <c r="N1131" s="127"/>
      <c r="O1131" s="127"/>
      <c r="P1131" s="127"/>
    </row>
    <row r="1132" spans="1:16" ht="49.5" customHeight="1" x14ac:dyDescent="0.25">
      <c r="A1132" s="127"/>
      <c r="B1132" s="127"/>
      <c r="C1132" s="127"/>
      <c r="D1132" s="128"/>
      <c r="E1132" s="127"/>
      <c r="F1132" s="128"/>
      <c r="G1132" s="127"/>
      <c r="H1132" s="127"/>
      <c r="I1132" s="127"/>
      <c r="J1132" s="127"/>
      <c r="K1132" s="127"/>
      <c r="L1132" s="127"/>
      <c r="M1132" s="127"/>
      <c r="N1132" s="127"/>
      <c r="O1132" s="127"/>
      <c r="P1132" s="127"/>
    </row>
    <row r="1133" spans="1:16" ht="49.5" customHeight="1" x14ac:dyDescent="0.25">
      <c r="A1133" s="127"/>
      <c r="B1133" s="127"/>
      <c r="C1133" s="127"/>
      <c r="D1133" s="128"/>
      <c r="E1133" s="127"/>
      <c r="F1133" s="128"/>
      <c r="G1133" s="127"/>
      <c r="H1133" s="127"/>
      <c r="I1133" s="127"/>
      <c r="J1133" s="127"/>
      <c r="K1133" s="127"/>
      <c r="L1133" s="127"/>
      <c r="M1133" s="127"/>
      <c r="N1133" s="127"/>
      <c r="O1133" s="127"/>
      <c r="P1133" s="127"/>
    </row>
    <row r="1134" spans="1:16" ht="49.5" customHeight="1" x14ac:dyDescent="0.25">
      <c r="A1134" s="127"/>
      <c r="B1134" s="127"/>
      <c r="C1134" s="127"/>
      <c r="D1134" s="128"/>
      <c r="E1134" s="127"/>
      <c r="F1134" s="128"/>
      <c r="G1134" s="127"/>
      <c r="H1134" s="127"/>
      <c r="I1134" s="127"/>
      <c r="J1134" s="127"/>
      <c r="K1134" s="127"/>
      <c r="L1134" s="127"/>
      <c r="M1134" s="127"/>
      <c r="N1134" s="127"/>
      <c r="O1134" s="127"/>
      <c r="P1134" s="127"/>
    </row>
    <row r="1135" spans="1:16" ht="49.5" customHeight="1" x14ac:dyDescent="0.25">
      <c r="A1135" s="127"/>
      <c r="B1135" s="127"/>
      <c r="C1135" s="127"/>
      <c r="D1135" s="128"/>
      <c r="E1135" s="127"/>
      <c r="F1135" s="128"/>
      <c r="G1135" s="127"/>
      <c r="H1135" s="127"/>
      <c r="I1135" s="127"/>
      <c r="J1135" s="127"/>
      <c r="K1135" s="127"/>
      <c r="L1135" s="127"/>
      <c r="M1135" s="127"/>
      <c r="N1135" s="127"/>
      <c r="O1135" s="127"/>
      <c r="P1135" s="127"/>
    </row>
    <row r="1136" spans="1:16" ht="49.5" customHeight="1" x14ac:dyDescent="0.25">
      <c r="A1136" s="127"/>
      <c r="B1136" s="127"/>
      <c r="C1136" s="127"/>
      <c r="D1136" s="128"/>
      <c r="E1136" s="127"/>
      <c r="F1136" s="128"/>
      <c r="G1136" s="127"/>
      <c r="H1136" s="127"/>
      <c r="I1136" s="127"/>
      <c r="J1136" s="127"/>
      <c r="K1136" s="127"/>
      <c r="L1136" s="127"/>
      <c r="M1136" s="127"/>
      <c r="N1136" s="127"/>
      <c r="O1136" s="127"/>
      <c r="P1136" s="127"/>
    </row>
    <row r="1137" spans="1:16" ht="49.5" customHeight="1" x14ac:dyDescent="0.25">
      <c r="A1137" s="127"/>
      <c r="B1137" s="127"/>
      <c r="C1137" s="127"/>
      <c r="D1137" s="128"/>
      <c r="E1137" s="127"/>
      <c r="F1137" s="128"/>
      <c r="G1137" s="127"/>
      <c r="H1137" s="127"/>
      <c r="I1137" s="127"/>
      <c r="J1137" s="127"/>
      <c r="K1137" s="127"/>
      <c r="L1137" s="127"/>
      <c r="M1137" s="127"/>
      <c r="N1137" s="127"/>
      <c r="O1137" s="127"/>
      <c r="P1137" s="127"/>
    </row>
    <row r="1138" spans="1:16" ht="49.5" customHeight="1" x14ac:dyDescent="0.25">
      <c r="A1138" s="127"/>
      <c r="B1138" s="127"/>
      <c r="C1138" s="127"/>
      <c r="D1138" s="128"/>
      <c r="E1138" s="127"/>
      <c r="F1138" s="128"/>
      <c r="G1138" s="127"/>
      <c r="H1138" s="127"/>
      <c r="I1138" s="127"/>
      <c r="J1138" s="127"/>
      <c r="K1138" s="127"/>
      <c r="L1138" s="127"/>
      <c r="M1138" s="127"/>
      <c r="N1138" s="127"/>
      <c r="O1138" s="127"/>
      <c r="P1138" s="127"/>
    </row>
    <row r="1139" spans="1:16" ht="49.5" customHeight="1" x14ac:dyDescent="0.25">
      <c r="A1139" s="127"/>
      <c r="B1139" s="127"/>
      <c r="C1139" s="127"/>
      <c r="D1139" s="128"/>
      <c r="E1139" s="127"/>
      <c r="F1139" s="128"/>
      <c r="G1139" s="127"/>
      <c r="H1139" s="127"/>
      <c r="I1139" s="127"/>
      <c r="J1139" s="127"/>
      <c r="K1139" s="127"/>
      <c r="L1139" s="127"/>
      <c r="M1139" s="127"/>
      <c r="N1139" s="127"/>
      <c r="O1139" s="127"/>
      <c r="P1139" s="127"/>
    </row>
    <row r="1140" spans="1:16" ht="49.5" customHeight="1" x14ac:dyDescent="0.25">
      <c r="A1140" s="127"/>
      <c r="B1140" s="127"/>
      <c r="C1140" s="127"/>
      <c r="D1140" s="128"/>
      <c r="E1140" s="127"/>
      <c r="F1140" s="128"/>
      <c r="G1140" s="127"/>
      <c r="H1140" s="127"/>
      <c r="I1140" s="127"/>
      <c r="J1140" s="127"/>
      <c r="K1140" s="127"/>
      <c r="L1140" s="127"/>
      <c r="M1140" s="127"/>
      <c r="N1140" s="127"/>
      <c r="O1140" s="127"/>
      <c r="P1140" s="127"/>
    </row>
    <row r="1141" spans="1:16" ht="49.5" customHeight="1" x14ac:dyDescent="0.25">
      <c r="A1141" s="127"/>
      <c r="B1141" s="127"/>
      <c r="C1141" s="127"/>
      <c r="D1141" s="128"/>
      <c r="E1141" s="127"/>
      <c r="F1141" s="128"/>
      <c r="G1141" s="127"/>
      <c r="H1141" s="127"/>
      <c r="I1141" s="127"/>
      <c r="J1141" s="127"/>
      <c r="K1141" s="127"/>
      <c r="L1141" s="127"/>
      <c r="M1141" s="127"/>
      <c r="N1141" s="127"/>
      <c r="O1141" s="127"/>
      <c r="P1141" s="127"/>
    </row>
    <row r="1142" spans="1:16" ht="49.5" customHeight="1" x14ac:dyDescent="0.25">
      <c r="A1142" s="127"/>
      <c r="B1142" s="127"/>
      <c r="C1142" s="127"/>
      <c r="D1142" s="128"/>
      <c r="E1142" s="127"/>
      <c r="F1142" s="128"/>
      <c r="G1142" s="127"/>
      <c r="H1142" s="127"/>
      <c r="I1142" s="127"/>
      <c r="J1142" s="127"/>
      <c r="K1142" s="127"/>
      <c r="L1142" s="127"/>
      <c r="M1142" s="127"/>
      <c r="N1142" s="127"/>
      <c r="O1142" s="127"/>
      <c r="P1142" s="127"/>
    </row>
    <row r="1143" spans="1:16" ht="49.5" customHeight="1" x14ac:dyDescent="0.25">
      <c r="A1143" s="127"/>
      <c r="B1143" s="127"/>
      <c r="C1143" s="127"/>
      <c r="D1143" s="128"/>
      <c r="E1143" s="127"/>
      <c r="F1143" s="128"/>
      <c r="G1143" s="127"/>
      <c r="H1143" s="127"/>
      <c r="I1143" s="127"/>
      <c r="J1143" s="127"/>
      <c r="K1143" s="127"/>
      <c r="L1143" s="127"/>
      <c r="M1143" s="127"/>
      <c r="N1143" s="127"/>
      <c r="O1143" s="127"/>
      <c r="P1143" s="127"/>
    </row>
    <row r="1144" spans="1:16" ht="49.5" customHeight="1" x14ac:dyDescent="0.25">
      <c r="A1144" s="127"/>
      <c r="B1144" s="127"/>
      <c r="C1144" s="127"/>
      <c r="D1144" s="128"/>
      <c r="E1144" s="127"/>
      <c r="F1144" s="128"/>
      <c r="G1144" s="127"/>
      <c r="H1144" s="127"/>
      <c r="I1144" s="127"/>
      <c r="J1144" s="127"/>
      <c r="K1144" s="127"/>
      <c r="L1144" s="127"/>
      <c r="M1144" s="127"/>
      <c r="N1144" s="127"/>
      <c r="O1144" s="127"/>
      <c r="P1144" s="127"/>
    </row>
    <row r="1145" spans="1:16" ht="49.5" customHeight="1" x14ac:dyDescent="0.25">
      <c r="A1145" s="127"/>
      <c r="B1145" s="127"/>
      <c r="C1145" s="127"/>
      <c r="D1145" s="128"/>
      <c r="E1145" s="127"/>
      <c r="F1145" s="128"/>
      <c r="G1145" s="127"/>
      <c r="H1145" s="127"/>
      <c r="I1145" s="127"/>
      <c r="J1145" s="127"/>
      <c r="K1145" s="127"/>
      <c r="L1145" s="127"/>
      <c r="M1145" s="127"/>
      <c r="N1145" s="127"/>
      <c r="O1145" s="127"/>
      <c r="P1145" s="127"/>
    </row>
    <row r="1146" spans="1:16" ht="49.5" customHeight="1" x14ac:dyDescent="0.25">
      <c r="A1146" s="127"/>
      <c r="B1146" s="127"/>
      <c r="C1146" s="127"/>
      <c r="D1146" s="128"/>
      <c r="E1146" s="127"/>
      <c r="F1146" s="128"/>
      <c r="G1146" s="127"/>
      <c r="H1146" s="127"/>
      <c r="I1146" s="127"/>
      <c r="J1146" s="127"/>
      <c r="K1146" s="127"/>
      <c r="L1146" s="127"/>
      <c r="M1146" s="127"/>
      <c r="N1146" s="127"/>
      <c r="O1146" s="127"/>
      <c r="P1146" s="127"/>
    </row>
    <row r="1147" spans="1:16" ht="49.5" customHeight="1" x14ac:dyDescent="0.25">
      <c r="A1147" s="127"/>
      <c r="B1147" s="127"/>
      <c r="C1147" s="127"/>
      <c r="D1147" s="128"/>
      <c r="E1147" s="127"/>
      <c r="F1147" s="128"/>
      <c r="G1147" s="127"/>
      <c r="H1147" s="127"/>
      <c r="I1147" s="127"/>
      <c r="J1147" s="127"/>
      <c r="K1147" s="127"/>
      <c r="L1147" s="127"/>
      <c r="M1147" s="127"/>
      <c r="N1147" s="127"/>
      <c r="O1147" s="127"/>
      <c r="P1147" s="127"/>
    </row>
    <row r="1148" spans="1:16" ht="49.5" customHeight="1" x14ac:dyDescent="0.25">
      <c r="A1148" s="127"/>
      <c r="B1148" s="127"/>
      <c r="C1148" s="127"/>
      <c r="D1148" s="128"/>
      <c r="E1148" s="127"/>
      <c r="F1148" s="128"/>
      <c r="G1148" s="127"/>
      <c r="H1148" s="127"/>
      <c r="I1148" s="127"/>
      <c r="J1148" s="127"/>
      <c r="K1148" s="127"/>
      <c r="L1148" s="127"/>
      <c r="M1148" s="127"/>
      <c r="N1148" s="127"/>
      <c r="O1148" s="127"/>
      <c r="P1148" s="127"/>
    </row>
    <row r="1149" spans="1:16" ht="49.5" customHeight="1" x14ac:dyDescent="0.25">
      <c r="A1149" s="127"/>
      <c r="B1149" s="127"/>
      <c r="C1149" s="127"/>
      <c r="D1149" s="128"/>
      <c r="E1149" s="127"/>
      <c r="F1149" s="128"/>
      <c r="G1149" s="127"/>
      <c r="H1149" s="127"/>
      <c r="I1149" s="127"/>
      <c r="J1149" s="127"/>
      <c r="K1149" s="127"/>
      <c r="L1149" s="127"/>
      <c r="M1149" s="127"/>
      <c r="N1149" s="127"/>
      <c r="O1149" s="127"/>
      <c r="P1149" s="127"/>
    </row>
    <row r="1150" spans="1:16" ht="49.5" customHeight="1" x14ac:dyDescent="0.25">
      <c r="A1150" s="127"/>
      <c r="B1150" s="127"/>
      <c r="C1150" s="127"/>
      <c r="D1150" s="128"/>
      <c r="E1150" s="127"/>
      <c r="F1150" s="128"/>
      <c r="G1150" s="127"/>
      <c r="H1150" s="127"/>
      <c r="I1150" s="127"/>
      <c r="J1150" s="127"/>
      <c r="K1150" s="127"/>
      <c r="L1150" s="127"/>
      <c r="M1150" s="127"/>
      <c r="N1150" s="127"/>
      <c r="O1150" s="127"/>
      <c r="P1150" s="127"/>
    </row>
    <row r="1151" spans="1:16" ht="49.5" customHeight="1" x14ac:dyDescent="0.25">
      <c r="A1151" s="127"/>
      <c r="B1151" s="127"/>
      <c r="C1151" s="127"/>
      <c r="D1151" s="128"/>
      <c r="E1151" s="127"/>
      <c r="F1151" s="128"/>
      <c r="G1151" s="127"/>
      <c r="H1151" s="127"/>
      <c r="I1151" s="127"/>
      <c r="J1151" s="127"/>
      <c r="K1151" s="127"/>
      <c r="L1151" s="127"/>
      <c r="M1151" s="127"/>
      <c r="N1151" s="127"/>
      <c r="O1151" s="127"/>
      <c r="P1151" s="127"/>
    </row>
    <row r="1152" spans="1:16" ht="49.5" customHeight="1" x14ac:dyDescent="0.25">
      <c r="A1152" s="127"/>
      <c r="B1152" s="127"/>
      <c r="C1152" s="127"/>
      <c r="D1152" s="128"/>
      <c r="E1152" s="127"/>
      <c r="F1152" s="128"/>
      <c r="G1152" s="127"/>
      <c r="H1152" s="127"/>
      <c r="I1152" s="127"/>
      <c r="J1152" s="127"/>
      <c r="K1152" s="127"/>
      <c r="L1152" s="127"/>
      <c r="M1152" s="127"/>
      <c r="N1152" s="127"/>
      <c r="O1152" s="127"/>
      <c r="P1152" s="127"/>
    </row>
    <row r="1153" spans="1:16" ht="49.5" customHeight="1" x14ac:dyDescent="0.25">
      <c r="A1153" s="127"/>
      <c r="B1153" s="127"/>
      <c r="C1153" s="127"/>
      <c r="D1153" s="128"/>
      <c r="E1153" s="127"/>
      <c r="F1153" s="128"/>
      <c r="G1153" s="127"/>
      <c r="H1153" s="127"/>
      <c r="I1153" s="127"/>
      <c r="J1153" s="127"/>
      <c r="K1153" s="127"/>
      <c r="L1153" s="127"/>
      <c r="M1153" s="127"/>
      <c r="N1153" s="127"/>
      <c r="O1153" s="127"/>
      <c r="P1153" s="127"/>
    </row>
    <row r="1154" spans="1:16" ht="49.5" customHeight="1" x14ac:dyDescent="0.25">
      <c r="A1154" s="127"/>
      <c r="B1154" s="127"/>
      <c r="C1154" s="127"/>
      <c r="D1154" s="128"/>
      <c r="E1154" s="127"/>
      <c r="F1154" s="128"/>
      <c r="G1154" s="127"/>
      <c r="H1154" s="127"/>
      <c r="I1154" s="127"/>
      <c r="J1154" s="127"/>
      <c r="K1154" s="127"/>
      <c r="L1154" s="127"/>
      <c r="M1154" s="127"/>
      <c r="N1154" s="127"/>
      <c r="O1154" s="127"/>
      <c r="P1154" s="127"/>
    </row>
    <row r="1155" spans="1:16" ht="49.5" customHeight="1" x14ac:dyDescent="0.25">
      <c r="A1155" s="127"/>
      <c r="B1155" s="127"/>
      <c r="C1155" s="127"/>
      <c r="D1155" s="128"/>
      <c r="E1155" s="127"/>
      <c r="F1155" s="128"/>
      <c r="G1155" s="127"/>
      <c r="H1155" s="127"/>
      <c r="I1155" s="127"/>
      <c r="J1155" s="127"/>
      <c r="K1155" s="127"/>
      <c r="L1155" s="127"/>
      <c r="M1155" s="127"/>
      <c r="N1155" s="127"/>
      <c r="O1155" s="127"/>
      <c r="P1155" s="127"/>
    </row>
    <row r="1156" spans="1:16" ht="49.5" customHeight="1" x14ac:dyDescent="0.25">
      <c r="A1156" s="127"/>
      <c r="B1156" s="127"/>
      <c r="C1156" s="127"/>
      <c r="D1156" s="128"/>
      <c r="E1156" s="127"/>
      <c r="F1156" s="128"/>
      <c r="G1156" s="127"/>
      <c r="H1156" s="127"/>
      <c r="I1156" s="127"/>
      <c r="J1156" s="127"/>
      <c r="K1156" s="127"/>
      <c r="L1156" s="127"/>
      <c r="M1156" s="127"/>
      <c r="N1156" s="127"/>
      <c r="O1156" s="127"/>
      <c r="P1156" s="127"/>
    </row>
    <row r="1157" spans="1:16" ht="49.5" customHeight="1" x14ac:dyDescent="0.25">
      <c r="A1157" s="127"/>
      <c r="B1157" s="127"/>
      <c r="C1157" s="127"/>
      <c r="D1157" s="128"/>
      <c r="E1157" s="127"/>
      <c r="F1157" s="128"/>
      <c r="G1157" s="127"/>
      <c r="H1157" s="127"/>
      <c r="I1157" s="127"/>
      <c r="J1157" s="127"/>
      <c r="K1157" s="127"/>
      <c r="L1157" s="127"/>
      <c r="M1157" s="127"/>
      <c r="N1157" s="127"/>
      <c r="O1157" s="127"/>
      <c r="P1157" s="127"/>
    </row>
    <row r="1158" spans="1:16" ht="49.5" customHeight="1" x14ac:dyDescent="0.25">
      <c r="A1158" s="127"/>
      <c r="B1158" s="127"/>
      <c r="C1158" s="127"/>
      <c r="D1158" s="128"/>
      <c r="E1158" s="127"/>
      <c r="F1158" s="128"/>
      <c r="G1158" s="127"/>
      <c r="H1158" s="127"/>
      <c r="I1158" s="127"/>
      <c r="J1158" s="127"/>
      <c r="K1158" s="127"/>
      <c r="L1158" s="127"/>
      <c r="M1158" s="127"/>
      <c r="N1158" s="127"/>
      <c r="O1158" s="127"/>
      <c r="P1158" s="127"/>
    </row>
    <row r="1159" spans="1:16" ht="49.5" customHeight="1" x14ac:dyDescent="0.25">
      <c r="A1159" s="127"/>
      <c r="B1159" s="127"/>
      <c r="C1159" s="127"/>
      <c r="D1159" s="128"/>
      <c r="E1159" s="127"/>
      <c r="F1159" s="128"/>
      <c r="G1159" s="127"/>
      <c r="H1159" s="127"/>
      <c r="I1159" s="127"/>
      <c r="J1159" s="127"/>
      <c r="K1159" s="127"/>
      <c r="L1159" s="127"/>
      <c r="M1159" s="127"/>
      <c r="N1159" s="127"/>
      <c r="O1159" s="127"/>
      <c r="P1159" s="127"/>
    </row>
    <row r="1160" spans="1:16" ht="49.5" customHeight="1" x14ac:dyDescent="0.25">
      <c r="A1160" s="127"/>
      <c r="B1160" s="127"/>
      <c r="C1160" s="127"/>
      <c r="D1160" s="128"/>
      <c r="E1160" s="127"/>
      <c r="F1160" s="128"/>
      <c r="G1160" s="127"/>
      <c r="H1160" s="127"/>
      <c r="I1160" s="127"/>
      <c r="J1160" s="127"/>
      <c r="K1160" s="127"/>
      <c r="L1160" s="127"/>
      <c r="M1160" s="127"/>
      <c r="N1160" s="127"/>
      <c r="O1160" s="127"/>
      <c r="P1160" s="127"/>
    </row>
    <row r="1161" spans="1:16" ht="49.5" customHeight="1" x14ac:dyDescent="0.25">
      <c r="A1161" s="127"/>
      <c r="B1161" s="127"/>
      <c r="C1161" s="127"/>
      <c r="D1161" s="128"/>
      <c r="E1161" s="127"/>
      <c r="F1161" s="128"/>
      <c r="G1161" s="127"/>
      <c r="H1161" s="127"/>
      <c r="I1161" s="127"/>
      <c r="J1161" s="127"/>
      <c r="K1161" s="127"/>
      <c r="L1161" s="127"/>
      <c r="M1161" s="127"/>
      <c r="N1161" s="127"/>
      <c r="O1161" s="127"/>
      <c r="P1161" s="127"/>
    </row>
    <row r="1162" spans="1:16" ht="49.5" customHeight="1" x14ac:dyDescent="0.25">
      <c r="A1162" s="127"/>
      <c r="B1162" s="127"/>
      <c r="C1162" s="127"/>
      <c r="D1162" s="128"/>
      <c r="E1162" s="127"/>
      <c r="F1162" s="128"/>
      <c r="G1162" s="127"/>
      <c r="H1162" s="127"/>
      <c r="I1162" s="127"/>
      <c r="J1162" s="127"/>
      <c r="K1162" s="127"/>
      <c r="L1162" s="127"/>
      <c r="M1162" s="127"/>
      <c r="N1162" s="127"/>
      <c r="O1162" s="127"/>
      <c r="P1162" s="127"/>
    </row>
    <row r="1163" spans="1:16" ht="49.5" customHeight="1" x14ac:dyDescent="0.25">
      <c r="A1163" s="127"/>
      <c r="B1163" s="127"/>
      <c r="C1163" s="127"/>
      <c r="D1163" s="128"/>
      <c r="E1163" s="127"/>
      <c r="F1163" s="128"/>
      <c r="G1163" s="127"/>
      <c r="H1163" s="127"/>
      <c r="I1163" s="127"/>
      <c r="J1163" s="127"/>
      <c r="K1163" s="127"/>
      <c r="L1163" s="127"/>
      <c r="M1163" s="127"/>
      <c r="N1163" s="127"/>
      <c r="O1163" s="127"/>
      <c r="P1163" s="127"/>
    </row>
    <row r="1164" spans="1:16" ht="49.5" customHeight="1" x14ac:dyDescent="0.25">
      <c r="A1164" s="127"/>
      <c r="B1164" s="127"/>
      <c r="C1164" s="127"/>
      <c r="D1164" s="128"/>
      <c r="E1164" s="127"/>
      <c r="F1164" s="128"/>
      <c r="G1164" s="127"/>
      <c r="H1164" s="127"/>
      <c r="I1164" s="127"/>
      <c r="J1164" s="127"/>
      <c r="K1164" s="127"/>
      <c r="L1164" s="127"/>
      <c r="M1164" s="127"/>
      <c r="N1164" s="127"/>
      <c r="O1164" s="127"/>
      <c r="P1164" s="127"/>
    </row>
    <row r="1165" spans="1:16" ht="49.5" customHeight="1" x14ac:dyDescent="0.25">
      <c r="A1165" s="127"/>
      <c r="B1165" s="127"/>
      <c r="C1165" s="127"/>
      <c r="D1165" s="128"/>
      <c r="E1165" s="127"/>
      <c r="F1165" s="128"/>
      <c r="G1165" s="127"/>
      <c r="H1165" s="127"/>
      <c r="I1165" s="127"/>
      <c r="J1165" s="127"/>
      <c r="K1165" s="127"/>
      <c r="L1165" s="127"/>
      <c r="M1165" s="127"/>
      <c r="N1165" s="127"/>
      <c r="O1165" s="127"/>
      <c r="P1165" s="127"/>
    </row>
    <row r="1166" spans="1:16" ht="49.5" customHeight="1" x14ac:dyDescent="0.25">
      <c r="A1166" s="127"/>
      <c r="B1166" s="127"/>
      <c r="C1166" s="127"/>
      <c r="D1166" s="128"/>
      <c r="E1166" s="127"/>
      <c r="F1166" s="128"/>
      <c r="G1166" s="127"/>
      <c r="H1166" s="127"/>
      <c r="I1166" s="127"/>
      <c r="J1166" s="127"/>
      <c r="K1166" s="127"/>
      <c r="L1166" s="127"/>
      <c r="M1166" s="127"/>
      <c r="N1166" s="127"/>
      <c r="O1166" s="127"/>
      <c r="P1166" s="127"/>
    </row>
    <row r="1167" spans="1:16" ht="49.5" customHeight="1" x14ac:dyDescent="0.25">
      <c r="A1167" s="127"/>
      <c r="B1167" s="127"/>
      <c r="C1167" s="127"/>
      <c r="D1167" s="128"/>
      <c r="E1167" s="127"/>
      <c r="F1167" s="128"/>
      <c r="G1167" s="127"/>
      <c r="H1167" s="127"/>
      <c r="I1167" s="127"/>
      <c r="J1167" s="127"/>
      <c r="K1167" s="127"/>
      <c r="L1167" s="127"/>
      <c r="M1167" s="127"/>
      <c r="N1167" s="127"/>
      <c r="O1167" s="127"/>
      <c r="P1167" s="127"/>
    </row>
    <row r="1168" spans="1:16" ht="49.5" customHeight="1" x14ac:dyDescent="0.25">
      <c r="A1168" s="127"/>
      <c r="B1168" s="127"/>
      <c r="C1168" s="127"/>
      <c r="D1168" s="128"/>
      <c r="E1168" s="127"/>
      <c r="F1168" s="128"/>
      <c r="G1168" s="127"/>
      <c r="H1168" s="127"/>
      <c r="I1168" s="127"/>
      <c r="J1168" s="127"/>
      <c r="K1168" s="127"/>
      <c r="L1168" s="127"/>
      <c r="M1168" s="127"/>
      <c r="N1168" s="127"/>
      <c r="O1168" s="127"/>
      <c r="P1168" s="127"/>
    </row>
    <row r="1169" spans="1:16" ht="49.5" customHeight="1" x14ac:dyDescent="0.25">
      <c r="A1169" s="127"/>
      <c r="B1169" s="127"/>
      <c r="C1169" s="127"/>
      <c r="D1169" s="128"/>
      <c r="E1169" s="127"/>
      <c r="F1169" s="128"/>
      <c r="G1169" s="127"/>
      <c r="H1169" s="127"/>
      <c r="I1169" s="127"/>
      <c r="J1169" s="127"/>
      <c r="K1169" s="127"/>
      <c r="L1169" s="127"/>
      <c r="M1169" s="127"/>
      <c r="N1169" s="127"/>
      <c r="O1169" s="127"/>
      <c r="P1169" s="127"/>
    </row>
    <row r="1170" spans="1:16" ht="49.5" customHeight="1" x14ac:dyDescent="0.25">
      <c r="A1170" s="127"/>
      <c r="B1170" s="127"/>
      <c r="C1170" s="127"/>
      <c r="D1170" s="128"/>
      <c r="E1170" s="127"/>
      <c r="F1170" s="128"/>
      <c r="G1170" s="127"/>
      <c r="H1170" s="127"/>
      <c r="I1170" s="127"/>
      <c r="J1170" s="127"/>
      <c r="K1170" s="127"/>
      <c r="L1170" s="127"/>
      <c r="M1170" s="127"/>
      <c r="N1170" s="127"/>
      <c r="O1170" s="127"/>
      <c r="P1170" s="127"/>
    </row>
    <row r="1171" spans="1:16" ht="49.5" customHeight="1" x14ac:dyDescent="0.25">
      <c r="A1171" s="127"/>
      <c r="B1171" s="127"/>
      <c r="C1171" s="127"/>
      <c r="D1171" s="128"/>
      <c r="E1171" s="127"/>
      <c r="F1171" s="128"/>
      <c r="G1171" s="127"/>
      <c r="H1171" s="127"/>
      <c r="I1171" s="127"/>
      <c r="J1171" s="127"/>
      <c r="K1171" s="127"/>
      <c r="L1171" s="127"/>
      <c r="M1171" s="127"/>
      <c r="N1171" s="127"/>
      <c r="O1171" s="127"/>
      <c r="P1171" s="127"/>
    </row>
    <row r="1172" spans="1:16" ht="49.5" customHeight="1" x14ac:dyDescent="0.25">
      <c r="A1172" s="127"/>
      <c r="B1172" s="127"/>
      <c r="C1172" s="127"/>
      <c r="D1172" s="128"/>
      <c r="E1172" s="127"/>
      <c r="F1172" s="128"/>
      <c r="G1172" s="127"/>
      <c r="H1172" s="127"/>
      <c r="I1172" s="127"/>
      <c r="J1172" s="127"/>
      <c r="K1172" s="127"/>
      <c r="L1172" s="127"/>
      <c r="M1172" s="127"/>
      <c r="N1172" s="127"/>
      <c r="O1172" s="127"/>
      <c r="P1172" s="127"/>
    </row>
    <row r="1173" spans="1:16" ht="49.5" customHeight="1" x14ac:dyDescent="0.25">
      <c r="A1173" s="127"/>
      <c r="B1173" s="127"/>
      <c r="C1173" s="127"/>
      <c r="D1173" s="128"/>
      <c r="E1173" s="127"/>
      <c r="F1173" s="128"/>
      <c r="G1173" s="127"/>
      <c r="H1173" s="127"/>
      <c r="I1173" s="127"/>
      <c r="J1173" s="127"/>
      <c r="K1173" s="127"/>
      <c r="L1173" s="127"/>
      <c r="M1173" s="127"/>
      <c r="N1173" s="127"/>
      <c r="O1173" s="127"/>
      <c r="P1173" s="127"/>
    </row>
    <row r="1174" spans="1:16" ht="49.5" customHeight="1" x14ac:dyDescent="0.25">
      <c r="A1174" s="127"/>
      <c r="B1174" s="127"/>
      <c r="C1174" s="127"/>
      <c r="D1174" s="128"/>
      <c r="E1174" s="127"/>
      <c r="F1174" s="128"/>
      <c r="G1174" s="127"/>
      <c r="H1174" s="127"/>
      <c r="I1174" s="127"/>
      <c r="J1174" s="127"/>
      <c r="K1174" s="127"/>
      <c r="L1174" s="127"/>
      <c r="M1174" s="127"/>
      <c r="N1174" s="127"/>
      <c r="O1174" s="127"/>
      <c r="P1174" s="127"/>
    </row>
    <row r="1175" spans="1:16" ht="49.5" customHeight="1" x14ac:dyDescent="0.25">
      <c r="A1175" s="127"/>
      <c r="B1175" s="127"/>
      <c r="C1175" s="127"/>
      <c r="D1175" s="128"/>
      <c r="E1175" s="127"/>
      <c r="F1175" s="128"/>
      <c r="G1175" s="127"/>
      <c r="H1175" s="127"/>
      <c r="I1175" s="127"/>
      <c r="J1175" s="127"/>
      <c r="K1175" s="127"/>
      <c r="L1175" s="127"/>
      <c r="M1175" s="127"/>
      <c r="N1175" s="127"/>
      <c r="O1175" s="127"/>
      <c r="P1175" s="127"/>
    </row>
    <row r="1176" spans="1:16" ht="49.5" customHeight="1" x14ac:dyDescent="0.25">
      <c r="A1176" s="127"/>
      <c r="B1176" s="127"/>
      <c r="C1176" s="127"/>
      <c r="D1176" s="128"/>
      <c r="E1176" s="127"/>
      <c r="F1176" s="128"/>
      <c r="G1176" s="127"/>
      <c r="H1176" s="127"/>
      <c r="I1176" s="127"/>
      <c r="J1176" s="127"/>
      <c r="K1176" s="127"/>
      <c r="L1176" s="127"/>
      <c r="M1176" s="127"/>
      <c r="N1176" s="127"/>
      <c r="O1176" s="127"/>
      <c r="P1176" s="127"/>
    </row>
    <row r="1177" spans="1:16" ht="49.5" customHeight="1" x14ac:dyDescent="0.25">
      <c r="A1177" s="127"/>
      <c r="B1177" s="127"/>
      <c r="C1177" s="127"/>
      <c r="D1177" s="128"/>
      <c r="E1177" s="127"/>
      <c r="F1177" s="128"/>
      <c r="G1177" s="127"/>
      <c r="H1177" s="127"/>
      <c r="I1177" s="127"/>
      <c r="J1177" s="127"/>
      <c r="K1177" s="127"/>
      <c r="L1177" s="127"/>
      <c r="M1177" s="127"/>
      <c r="N1177" s="127"/>
      <c r="O1177" s="127"/>
      <c r="P1177" s="127"/>
    </row>
    <row r="1178" spans="1:16" ht="49.5" customHeight="1" x14ac:dyDescent="0.25">
      <c r="A1178" s="127"/>
      <c r="B1178" s="127"/>
      <c r="C1178" s="127"/>
      <c r="D1178" s="128"/>
      <c r="E1178" s="127"/>
      <c r="F1178" s="128"/>
      <c r="G1178" s="127"/>
      <c r="H1178" s="127"/>
      <c r="I1178" s="127"/>
      <c r="J1178" s="127"/>
      <c r="K1178" s="127"/>
      <c r="L1178" s="127"/>
      <c r="M1178" s="127"/>
      <c r="N1178" s="127"/>
      <c r="O1178" s="127"/>
      <c r="P1178" s="127"/>
    </row>
    <row r="1179" spans="1:16" ht="49.5" customHeight="1" x14ac:dyDescent="0.25">
      <c r="A1179" s="127"/>
      <c r="B1179" s="127"/>
      <c r="C1179" s="127"/>
      <c r="D1179" s="128"/>
      <c r="E1179" s="127"/>
      <c r="F1179" s="128"/>
      <c r="G1179" s="127"/>
      <c r="H1179" s="127"/>
      <c r="I1179" s="127"/>
      <c r="J1179" s="127"/>
      <c r="K1179" s="127"/>
      <c r="L1179" s="127"/>
      <c r="M1179" s="127"/>
      <c r="N1179" s="127"/>
      <c r="O1179" s="127"/>
      <c r="P1179" s="127"/>
    </row>
    <row r="1180" spans="1:16" ht="49.5" customHeight="1" x14ac:dyDescent="0.25">
      <c r="A1180" s="127"/>
      <c r="B1180" s="127"/>
      <c r="C1180" s="127"/>
      <c r="D1180" s="128"/>
      <c r="E1180" s="127"/>
      <c r="F1180" s="128"/>
      <c r="G1180" s="127"/>
      <c r="H1180" s="127"/>
      <c r="I1180" s="127"/>
      <c r="J1180" s="127"/>
      <c r="K1180" s="127"/>
      <c r="L1180" s="127"/>
      <c r="M1180" s="127"/>
      <c r="N1180" s="127"/>
      <c r="O1180" s="127"/>
      <c r="P1180" s="127"/>
    </row>
    <row r="1181" spans="1:16" ht="49.5" customHeight="1" x14ac:dyDescent="0.25">
      <c r="A1181" s="127"/>
      <c r="B1181" s="127"/>
      <c r="C1181" s="127"/>
      <c r="D1181" s="128"/>
      <c r="E1181" s="127"/>
      <c r="F1181" s="128"/>
      <c r="G1181" s="127"/>
      <c r="H1181" s="127"/>
      <c r="I1181" s="127"/>
      <c r="J1181" s="127"/>
      <c r="K1181" s="127"/>
      <c r="L1181" s="127"/>
      <c r="M1181" s="127"/>
      <c r="N1181" s="127"/>
      <c r="O1181" s="127"/>
      <c r="P1181" s="127"/>
    </row>
    <row r="1182" spans="1:16" ht="49.5" customHeight="1" x14ac:dyDescent="0.25">
      <c r="A1182" s="127"/>
      <c r="B1182" s="127"/>
      <c r="C1182" s="127"/>
      <c r="D1182" s="128"/>
      <c r="E1182" s="127"/>
      <c r="F1182" s="128"/>
      <c r="G1182" s="127"/>
      <c r="H1182" s="127"/>
      <c r="I1182" s="127"/>
      <c r="J1182" s="127"/>
      <c r="K1182" s="127"/>
      <c r="L1182" s="127"/>
      <c r="M1182" s="127"/>
      <c r="N1182" s="127"/>
      <c r="O1182" s="127"/>
      <c r="P1182" s="127"/>
    </row>
    <row r="1183" spans="1:16" ht="49.5" customHeight="1" x14ac:dyDescent="0.25">
      <c r="A1183" s="127"/>
      <c r="B1183" s="127"/>
      <c r="C1183" s="127"/>
      <c r="D1183" s="128"/>
      <c r="E1183" s="127"/>
      <c r="F1183" s="128"/>
      <c r="G1183" s="127"/>
      <c r="H1183" s="127"/>
      <c r="I1183" s="127"/>
      <c r="J1183" s="127"/>
      <c r="K1183" s="127"/>
      <c r="L1183" s="127"/>
      <c r="M1183" s="127"/>
      <c r="N1183" s="127"/>
      <c r="O1183" s="127"/>
      <c r="P1183" s="127"/>
    </row>
    <row r="1184" spans="1:16" ht="49.5" customHeight="1" x14ac:dyDescent="0.25">
      <c r="A1184" s="127"/>
      <c r="B1184" s="127"/>
      <c r="C1184" s="127"/>
      <c r="D1184" s="128"/>
      <c r="E1184" s="127"/>
      <c r="F1184" s="128"/>
      <c r="G1184" s="127"/>
      <c r="H1184" s="127"/>
      <c r="I1184" s="127"/>
      <c r="J1184" s="127"/>
      <c r="K1184" s="127"/>
      <c r="L1184" s="127"/>
      <c r="M1184" s="127"/>
      <c r="N1184" s="127"/>
      <c r="O1184" s="127"/>
      <c r="P1184" s="127"/>
    </row>
    <row r="1185" spans="1:16" ht="49.5" customHeight="1" x14ac:dyDescent="0.25">
      <c r="A1185" s="127"/>
      <c r="B1185" s="127"/>
      <c r="C1185" s="127"/>
      <c r="D1185" s="128"/>
      <c r="E1185" s="127"/>
      <c r="F1185" s="128"/>
      <c r="G1185" s="127"/>
      <c r="H1185" s="127"/>
      <c r="I1185" s="127"/>
      <c r="J1185" s="127"/>
      <c r="K1185" s="127"/>
      <c r="L1185" s="127"/>
      <c r="M1185" s="127"/>
      <c r="N1185" s="127"/>
      <c r="O1185" s="127"/>
      <c r="P1185" s="127"/>
    </row>
    <row r="1186" spans="1:16" ht="49.5" customHeight="1" x14ac:dyDescent="0.25">
      <c r="A1186" s="127"/>
      <c r="B1186" s="127"/>
      <c r="C1186" s="127"/>
      <c r="D1186" s="128"/>
      <c r="E1186" s="127"/>
      <c r="F1186" s="128"/>
      <c r="G1186" s="127"/>
      <c r="H1186" s="127"/>
      <c r="I1186" s="127"/>
      <c r="J1186" s="127"/>
      <c r="K1186" s="127"/>
      <c r="L1186" s="127"/>
      <c r="M1186" s="127"/>
      <c r="N1186" s="127"/>
      <c r="O1186" s="127"/>
      <c r="P1186" s="127"/>
    </row>
    <row r="1187" spans="1:16" ht="49.5" customHeight="1" x14ac:dyDescent="0.25">
      <c r="A1187" s="127"/>
      <c r="B1187" s="127"/>
      <c r="C1187" s="127"/>
      <c r="D1187" s="128"/>
      <c r="E1187" s="127"/>
      <c r="F1187" s="128"/>
      <c r="G1187" s="127"/>
      <c r="H1187" s="127"/>
      <c r="I1187" s="127"/>
      <c r="J1187" s="127"/>
      <c r="K1187" s="127"/>
      <c r="L1187" s="127"/>
      <c r="M1187" s="127"/>
      <c r="N1187" s="127"/>
      <c r="O1187" s="127"/>
      <c r="P1187" s="127"/>
    </row>
    <row r="1188" spans="1:16" ht="49.5" customHeight="1" x14ac:dyDescent="0.25">
      <c r="A1188" s="127"/>
      <c r="B1188" s="127"/>
      <c r="C1188" s="127"/>
      <c r="D1188" s="128"/>
      <c r="E1188" s="127"/>
      <c r="F1188" s="128"/>
      <c r="G1188" s="127"/>
      <c r="H1188" s="127"/>
      <c r="I1188" s="127"/>
      <c r="J1188" s="127"/>
      <c r="K1188" s="127"/>
      <c r="L1188" s="127"/>
      <c r="M1188" s="127"/>
      <c r="N1188" s="127"/>
      <c r="O1188" s="127"/>
      <c r="P1188" s="127"/>
    </row>
    <row r="1189" spans="1:16" ht="49.5" customHeight="1" x14ac:dyDescent="0.25">
      <c r="A1189" s="127"/>
      <c r="B1189" s="127"/>
      <c r="C1189" s="127"/>
      <c r="D1189" s="128"/>
      <c r="E1189" s="127"/>
      <c r="F1189" s="128"/>
      <c r="G1189" s="127"/>
      <c r="H1189" s="127"/>
      <c r="I1189" s="127"/>
      <c r="J1189" s="127"/>
      <c r="K1189" s="127"/>
      <c r="L1189" s="127"/>
      <c r="M1189" s="127"/>
      <c r="N1189" s="127"/>
      <c r="O1189" s="127"/>
      <c r="P1189" s="127"/>
    </row>
    <row r="1190" spans="1:16" ht="49.5" customHeight="1" x14ac:dyDescent="0.25">
      <c r="A1190" s="127"/>
      <c r="B1190" s="127"/>
      <c r="C1190" s="127"/>
      <c r="D1190" s="128"/>
      <c r="E1190" s="127"/>
      <c r="F1190" s="128"/>
      <c r="G1190" s="127"/>
      <c r="H1190" s="127"/>
      <c r="I1190" s="127"/>
      <c r="J1190" s="127"/>
      <c r="K1190" s="127"/>
      <c r="L1190" s="127"/>
      <c r="M1190" s="127"/>
      <c r="N1190" s="127"/>
      <c r="O1190" s="127"/>
      <c r="P1190" s="127"/>
    </row>
    <row r="1191" spans="1:16" ht="49.5" customHeight="1" x14ac:dyDescent="0.25">
      <c r="A1191" s="127"/>
      <c r="B1191" s="127"/>
      <c r="C1191" s="127"/>
      <c r="D1191" s="128"/>
      <c r="E1191" s="127"/>
      <c r="F1191" s="128"/>
      <c r="G1191" s="127"/>
      <c r="H1191" s="127"/>
      <c r="I1191" s="127"/>
      <c r="J1191" s="127"/>
      <c r="K1191" s="127"/>
      <c r="L1191" s="127"/>
      <c r="M1191" s="127"/>
      <c r="N1191" s="127"/>
      <c r="O1191" s="127"/>
      <c r="P1191" s="127"/>
    </row>
    <row r="1192" spans="1:16" ht="49.5" customHeight="1" x14ac:dyDescent="0.25">
      <c r="A1192" s="127"/>
      <c r="B1192" s="127"/>
      <c r="C1192" s="127"/>
      <c r="D1192" s="128"/>
      <c r="E1192" s="127"/>
      <c r="F1192" s="128"/>
      <c r="G1192" s="127"/>
      <c r="H1192" s="127"/>
      <c r="I1192" s="127"/>
      <c r="J1192" s="127"/>
      <c r="K1192" s="127"/>
      <c r="L1192" s="127"/>
      <c r="M1192" s="127"/>
      <c r="N1192" s="127"/>
      <c r="O1192" s="127"/>
      <c r="P1192" s="127"/>
    </row>
    <row r="1193" spans="1:16" ht="49.5" customHeight="1" x14ac:dyDescent="0.25">
      <c r="A1193" s="127"/>
      <c r="B1193" s="127"/>
      <c r="C1193" s="127"/>
      <c r="D1193" s="128"/>
      <c r="E1193" s="127"/>
      <c r="F1193" s="128"/>
      <c r="G1193" s="127"/>
      <c r="H1193" s="127"/>
      <c r="I1193" s="127"/>
      <c r="J1193" s="127"/>
      <c r="K1193" s="127"/>
      <c r="L1193" s="127"/>
      <c r="M1193" s="127"/>
      <c r="N1193" s="127"/>
      <c r="O1193" s="127"/>
      <c r="P1193" s="127"/>
    </row>
    <row r="1194" spans="1:16" ht="49.5" customHeight="1" x14ac:dyDescent="0.25">
      <c r="A1194" s="127"/>
      <c r="B1194" s="127"/>
      <c r="C1194" s="127"/>
      <c r="D1194" s="128"/>
      <c r="E1194" s="127"/>
      <c r="F1194" s="128"/>
      <c r="G1194" s="127"/>
      <c r="H1194" s="127"/>
      <c r="I1194" s="127"/>
      <c r="J1194" s="127"/>
      <c r="K1194" s="127"/>
      <c r="L1194" s="127"/>
      <c r="M1194" s="127"/>
      <c r="N1194" s="127"/>
      <c r="O1194" s="127"/>
      <c r="P1194" s="127"/>
    </row>
    <row r="1195" spans="1:16" ht="49.5" customHeight="1" x14ac:dyDescent="0.25">
      <c r="A1195" s="127"/>
      <c r="B1195" s="127"/>
      <c r="C1195" s="127"/>
      <c r="D1195" s="128"/>
      <c r="E1195" s="127"/>
      <c r="F1195" s="128"/>
      <c r="G1195" s="127"/>
      <c r="H1195" s="127"/>
      <c r="I1195" s="127"/>
      <c r="J1195" s="127"/>
      <c r="K1195" s="127"/>
      <c r="L1195" s="127"/>
      <c r="M1195" s="127"/>
      <c r="N1195" s="127"/>
      <c r="O1195" s="127"/>
      <c r="P1195" s="127"/>
    </row>
    <row r="1196" spans="1:16" ht="49.5" customHeight="1" x14ac:dyDescent="0.25">
      <c r="A1196" s="127"/>
      <c r="B1196" s="127"/>
      <c r="C1196" s="127"/>
      <c r="D1196" s="128"/>
      <c r="E1196" s="127"/>
      <c r="F1196" s="128"/>
      <c r="G1196" s="127"/>
      <c r="H1196" s="127"/>
      <c r="I1196" s="127"/>
      <c r="J1196" s="127"/>
      <c r="K1196" s="127"/>
      <c r="L1196" s="127"/>
      <c r="M1196" s="127"/>
      <c r="N1196" s="127"/>
      <c r="O1196" s="127"/>
      <c r="P1196" s="127"/>
    </row>
    <row r="1197" spans="1:16" ht="49.5" customHeight="1" x14ac:dyDescent="0.25">
      <c r="A1197" s="127"/>
      <c r="B1197" s="127"/>
      <c r="C1197" s="127"/>
      <c r="D1197" s="128"/>
      <c r="E1197" s="127"/>
      <c r="F1197" s="128"/>
      <c r="G1197" s="127"/>
      <c r="H1197" s="127"/>
      <c r="I1197" s="127"/>
      <c r="J1197" s="127"/>
      <c r="K1197" s="127"/>
      <c r="L1197" s="127"/>
      <c r="M1197" s="127"/>
      <c r="N1197" s="127"/>
      <c r="O1197" s="127"/>
      <c r="P1197" s="127"/>
    </row>
    <row r="1198" spans="1:16" ht="49.5" customHeight="1" x14ac:dyDescent="0.25">
      <c r="A1198" s="127"/>
      <c r="B1198" s="127"/>
      <c r="C1198" s="127"/>
      <c r="D1198" s="128"/>
      <c r="E1198" s="127"/>
      <c r="F1198" s="128"/>
      <c r="G1198" s="127"/>
      <c r="H1198" s="127"/>
      <c r="I1198" s="127"/>
      <c r="J1198" s="127"/>
      <c r="K1198" s="127"/>
      <c r="L1198" s="127"/>
      <c r="M1198" s="127"/>
      <c r="N1198" s="127"/>
      <c r="O1198" s="127"/>
      <c r="P1198" s="127"/>
    </row>
    <row r="1199" spans="1:16" ht="49.5" customHeight="1" x14ac:dyDescent="0.25">
      <c r="A1199" s="127"/>
      <c r="B1199" s="127"/>
      <c r="C1199" s="127"/>
      <c r="D1199" s="128"/>
      <c r="E1199" s="127"/>
      <c r="F1199" s="128"/>
      <c r="G1199" s="127"/>
      <c r="H1199" s="127"/>
      <c r="I1199" s="127"/>
      <c r="J1199" s="127"/>
      <c r="K1199" s="127"/>
      <c r="L1199" s="127"/>
      <c r="M1199" s="127"/>
      <c r="N1199" s="127"/>
      <c r="O1199" s="127"/>
      <c r="P1199" s="127"/>
    </row>
    <row r="1200" spans="1:16" ht="49.5" customHeight="1" x14ac:dyDescent="0.25">
      <c r="A1200" s="127"/>
      <c r="B1200" s="127"/>
      <c r="C1200" s="127"/>
      <c r="D1200" s="128"/>
      <c r="E1200" s="127"/>
      <c r="F1200" s="128"/>
      <c r="G1200" s="127"/>
      <c r="H1200" s="127"/>
      <c r="I1200" s="127"/>
      <c r="J1200" s="127"/>
      <c r="K1200" s="127"/>
      <c r="L1200" s="127"/>
      <c r="M1200" s="127"/>
      <c r="N1200" s="127"/>
      <c r="O1200" s="127"/>
      <c r="P1200" s="127"/>
    </row>
    <row r="1201" spans="1:16" ht="49.5" customHeight="1" x14ac:dyDescent="0.25">
      <c r="A1201" s="127"/>
      <c r="B1201" s="127"/>
      <c r="C1201" s="127"/>
      <c r="D1201" s="128"/>
      <c r="E1201" s="127"/>
      <c r="F1201" s="128"/>
      <c r="G1201" s="127"/>
      <c r="H1201" s="127"/>
      <c r="I1201" s="127"/>
      <c r="J1201" s="127"/>
      <c r="K1201" s="127"/>
      <c r="L1201" s="127"/>
      <c r="M1201" s="127"/>
      <c r="N1201" s="127"/>
      <c r="O1201" s="127"/>
      <c r="P1201" s="127"/>
    </row>
    <row r="1202" spans="1:16" ht="49.5" customHeight="1" x14ac:dyDescent="0.25">
      <c r="A1202" s="127"/>
      <c r="B1202" s="127"/>
      <c r="C1202" s="127"/>
      <c r="D1202" s="128"/>
      <c r="E1202" s="127"/>
      <c r="F1202" s="128"/>
      <c r="G1202" s="127"/>
      <c r="H1202" s="127"/>
      <c r="I1202" s="127"/>
      <c r="J1202" s="127"/>
      <c r="K1202" s="127"/>
      <c r="L1202" s="127"/>
      <c r="M1202" s="127"/>
      <c r="N1202" s="127"/>
      <c r="O1202" s="127"/>
      <c r="P1202" s="127"/>
    </row>
    <row r="1203" spans="1:16" ht="49.5" customHeight="1" x14ac:dyDescent="0.25">
      <c r="A1203" s="127"/>
      <c r="B1203" s="127"/>
      <c r="C1203" s="127"/>
      <c r="D1203" s="128"/>
      <c r="E1203" s="127"/>
      <c r="F1203" s="128"/>
      <c r="G1203" s="127"/>
      <c r="H1203" s="127"/>
      <c r="I1203" s="127"/>
      <c r="J1203" s="127"/>
      <c r="K1203" s="127"/>
      <c r="L1203" s="127"/>
      <c r="M1203" s="127"/>
      <c r="N1203" s="127"/>
      <c r="O1203" s="127"/>
      <c r="P1203" s="127"/>
    </row>
    <row r="1204" spans="1:16" ht="49.5" customHeight="1" x14ac:dyDescent="0.25">
      <c r="A1204" s="127"/>
      <c r="B1204" s="127"/>
      <c r="C1204" s="127"/>
      <c r="D1204" s="128"/>
      <c r="E1204" s="127"/>
      <c r="F1204" s="128"/>
      <c r="G1204" s="127"/>
      <c r="H1204" s="127"/>
      <c r="I1204" s="127"/>
      <c r="J1204" s="127"/>
      <c r="K1204" s="127"/>
      <c r="L1204" s="127"/>
      <c r="M1204" s="127"/>
      <c r="N1204" s="127"/>
      <c r="O1204" s="127"/>
      <c r="P1204" s="127"/>
    </row>
    <row r="1205" spans="1:16" ht="49.5" customHeight="1" x14ac:dyDescent="0.25">
      <c r="A1205" s="127"/>
      <c r="B1205" s="127"/>
      <c r="C1205" s="127"/>
      <c r="D1205" s="128"/>
      <c r="E1205" s="127"/>
      <c r="F1205" s="128"/>
      <c r="G1205" s="127"/>
      <c r="H1205" s="127"/>
      <c r="I1205" s="127"/>
      <c r="J1205" s="127"/>
      <c r="K1205" s="127"/>
      <c r="L1205" s="127"/>
      <c r="M1205" s="127"/>
      <c r="N1205" s="127"/>
      <c r="O1205" s="127"/>
      <c r="P1205" s="127"/>
    </row>
    <row r="1206" spans="1:16" ht="49.5" customHeight="1" x14ac:dyDescent="0.25">
      <c r="A1206" s="127"/>
      <c r="B1206" s="127"/>
      <c r="C1206" s="127"/>
      <c r="D1206" s="128"/>
      <c r="E1206" s="127"/>
      <c r="F1206" s="128"/>
      <c r="G1206" s="127"/>
      <c r="H1206" s="127"/>
      <c r="I1206" s="127"/>
      <c r="J1206" s="127"/>
      <c r="K1206" s="127"/>
      <c r="L1206" s="127"/>
      <c r="M1206" s="127"/>
      <c r="N1206" s="127"/>
      <c r="O1206" s="127"/>
      <c r="P1206" s="127"/>
    </row>
    <row r="1207" spans="1:16" ht="49.5" customHeight="1" x14ac:dyDescent="0.25">
      <c r="A1207" s="127"/>
      <c r="B1207" s="127"/>
      <c r="C1207" s="127"/>
      <c r="D1207" s="128"/>
      <c r="E1207" s="127"/>
      <c r="F1207" s="128"/>
      <c r="G1207" s="127"/>
      <c r="H1207" s="127"/>
      <c r="I1207" s="127"/>
      <c r="J1207" s="127"/>
      <c r="K1207" s="127"/>
      <c r="L1207" s="127"/>
      <c r="M1207" s="127"/>
      <c r="N1207" s="127"/>
      <c r="O1207" s="127"/>
      <c r="P1207" s="127"/>
    </row>
    <row r="1208" spans="1:16" ht="49.5" customHeight="1" x14ac:dyDescent="0.25">
      <c r="A1208" s="127"/>
      <c r="B1208" s="127"/>
      <c r="C1208" s="127"/>
      <c r="D1208" s="128"/>
      <c r="E1208" s="127"/>
      <c r="F1208" s="128"/>
      <c r="G1208" s="127"/>
      <c r="H1208" s="127"/>
      <c r="I1208" s="127"/>
      <c r="J1208" s="127"/>
      <c r="K1208" s="127"/>
      <c r="L1208" s="127"/>
      <c r="M1208" s="127"/>
      <c r="N1208" s="127"/>
      <c r="O1208" s="127"/>
      <c r="P1208" s="127"/>
    </row>
    <row r="1209" spans="1:16" ht="49.5" customHeight="1" x14ac:dyDescent="0.25">
      <c r="A1209" s="127"/>
      <c r="B1209" s="127"/>
      <c r="C1209" s="127"/>
      <c r="D1209" s="128"/>
      <c r="E1209" s="127"/>
      <c r="F1209" s="128"/>
      <c r="G1209" s="127"/>
      <c r="H1209" s="127"/>
      <c r="I1209" s="127"/>
      <c r="J1209" s="127"/>
      <c r="K1209" s="127"/>
      <c r="L1209" s="127"/>
      <c r="M1209" s="127"/>
      <c r="N1209" s="127"/>
      <c r="O1209" s="127"/>
      <c r="P1209" s="127"/>
    </row>
    <row r="1210" spans="1:16" ht="49.5" customHeight="1" x14ac:dyDescent="0.25">
      <c r="A1210" s="127"/>
      <c r="B1210" s="127"/>
      <c r="C1210" s="127"/>
      <c r="D1210" s="128"/>
      <c r="E1210" s="127"/>
      <c r="F1210" s="128"/>
      <c r="G1210" s="127"/>
      <c r="H1210" s="127"/>
      <c r="I1210" s="127"/>
      <c r="J1210" s="127"/>
      <c r="K1210" s="127"/>
      <c r="L1210" s="127"/>
      <c r="M1210" s="127"/>
      <c r="N1210" s="127"/>
      <c r="O1210" s="127"/>
      <c r="P1210" s="127"/>
    </row>
    <row r="1211" spans="1:16" ht="49.5" customHeight="1" x14ac:dyDescent="0.25">
      <c r="A1211" s="127"/>
      <c r="B1211" s="127"/>
      <c r="C1211" s="127"/>
      <c r="D1211" s="128"/>
      <c r="E1211" s="127"/>
      <c r="F1211" s="128"/>
      <c r="G1211" s="127"/>
      <c r="H1211" s="127"/>
      <c r="I1211" s="127"/>
      <c r="J1211" s="127"/>
      <c r="K1211" s="127"/>
      <c r="L1211" s="127"/>
      <c r="M1211" s="127"/>
      <c r="N1211" s="127"/>
      <c r="O1211" s="127"/>
      <c r="P1211" s="127"/>
    </row>
    <row r="1212" spans="1:16" ht="49.5" customHeight="1" x14ac:dyDescent="0.25">
      <c r="A1212" s="127"/>
      <c r="B1212" s="127"/>
      <c r="C1212" s="127"/>
      <c r="D1212" s="128"/>
      <c r="E1212" s="127"/>
      <c r="F1212" s="128"/>
      <c r="G1212" s="127"/>
      <c r="H1212" s="127"/>
      <c r="I1212" s="127"/>
      <c r="J1212" s="127"/>
      <c r="K1212" s="127"/>
      <c r="L1212" s="127"/>
      <c r="M1212" s="127"/>
      <c r="N1212" s="127"/>
      <c r="O1212" s="127"/>
      <c r="P1212" s="127"/>
    </row>
    <row r="1213" spans="1:16" ht="49.5" customHeight="1" x14ac:dyDescent="0.25">
      <c r="A1213" s="127"/>
      <c r="B1213" s="127"/>
      <c r="C1213" s="127"/>
      <c r="D1213" s="128"/>
      <c r="E1213" s="127"/>
      <c r="F1213" s="128"/>
      <c r="G1213" s="127"/>
      <c r="H1213" s="127"/>
      <c r="I1213" s="127"/>
      <c r="J1213" s="127"/>
      <c r="K1213" s="127"/>
      <c r="L1213" s="127"/>
      <c r="M1213" s="127"/>
      <c r="N1213" s="127"/>
      <c r="O1213" s="127"/>
      <c r="P1213" s="127"/>
    </row>
    <row r="1214" spans="1:16" ht="49.5" customHeight="1" x14ac:dyDescent="0.25">
      <c r="A1214" s="127"/>
      <c r="B1214" s="127"/>
      <c r="C1214" s="127"/>
      <c r="D1214" s="128"/>
      <c r="E1214" s="127"/>
      <c r="F1214" s="128"/>
      <c r="G1214" s="127"/>
      <c r="H1214" s="127"/>
      <c r="I1214" s="127"/>
      <c r="J1214" s="127"/>
      <c r="K1214" s="127"/>
      <c r="L1214" s="127"/>
      <c r="M1214" s="127"/>
      <c r="N1214" s="127"/>
      <c r="O1214" s="127"/>
      <c r="P1214" s="127"/>
    </row>
    <row r="1215" spans="1:16" ht="49.5" customHeight="1" x14ac:dyDescent="0.25">
      <c r="A1215" s="127"/>
      <c r="B1215" s="127"/>
      <c r="C1215" s="127"/>
      <c r="D1215" s="128"/>
      <c r="E1215" s="127"/>
      <c r="F1215" s="128"/>
      <c r="G1215" s="127"/>
      <c r="H1215" s="127"/>
      <c r="I1215" s="127"/>
      <c r="J1215" s="127"/>
      <c r="K1215" s="127"/>
      <c r="L1215" s="127"/>
      <c r="M1215" s="127"/>
      <c r="N1215" s="127"/>
      <c r="O1215" s="127"/>
      <c r="P1215" s="127"/>
    </row>
    <row r="1216" spans="1:16" ht="49.5" customHeight="1" x14ac:dyDescent="0.25">
      <c r="A1216" s="127"/>
      <c r="B1216" s="127"/>
      <c r="C1216" s="127"/>
      <c r="D1216" s="128"/>
      <c r="E1216" s="127"/>
      <c r="F1216" s="128"/>
      <c r="G1216" s="127"/>
      <c r="H1216" s="127"/>
      <c r="I1216" s="127"/>
      <c r="J1216" s="127"/>
      <c r="K1216" s="127"/>
      <c r="L1216" s="127"/>
      <c r="M1216" s="127"/>
      <c r="N1216" s="127"/>
      <c r="O1216" s="127"/>
      <c r="P1216" s="127"/>
    </row>
    <row r="1217" spans="1:16" ht="49.5" customHeight="1" x14ac:dyDescent="0.25">
      <c r="A1217" s="127"/>
      <c r="B1217" s="127"/>
      <c r="C1217" s="127"/>
      <c r="D1217" s="128"/>
      <c r="E1217" s="127"/>
      <c r="F1217" s="128"/>
      <c r="G1217" s="127"/>
      <c r="H1217" s="127"/>
      <c r="I1217" s="127"/>
      <c r="J1217" s="127"/>
      <c r="K1217" s="127"/>
      <c r="L1217" s="127"/>
      <c r="M1217" s="127"/>
      <c r="N1217" s="127"/>
      <c r="O1217" s="127"/>
      <c r="P1217" s="127"/>
    </row>
    <row r="1218" spans="1:16" ht="49.5" customHeight="1" x14ac:dyDescent="0.25">
      <c r="A1218" s="127"/>
      <c r="B1218" s="127"/>
      <c r="C1218" s="127"/>
      <c r="D1218" s="128"/>
      <c r="E1218" s="127"/>
      <c r="F1218" s="128"/>
      <c r="G1218" s="127"/>
      <c r="H1218" s="127"/>
      <c r="I1218" s="127"/>
      <c r="J1218" s="127"/>
      <c r="K1218" s="127"/>
      <c r="L1218" s="127"/>
      <c r="M1218" s="127"/>
      <c r="N1218" s="127"/>
      <c r="O1218" s="127"/>
      <c r="P1218" s="127"/>
    </row>
    <row r="1219" spans="1:16" ht="49.5" customHeight="1" x14ac:dyDescent="0.25">
      <c r="A1219" s="127"/>
      <c r="B1219" s="127"/>
      <c r="C1219" s="127"/>
      <c r="D1219" s="128"/>
      <c r="E1219" s="127"/>
      <c r="F1219" s="128"/>
      <c r="G1219" s="127"/>
      <c r="H1219" s="127"/>
      <c r="I1219" s="127"/>
      <c r="J1219" s="127"/>
      <c r="K1219" s="127"/>
      <c r="L1219" s="127"/>
      <c r="M1219" s="127"/>
      <c r="N1219" s="127"/>
      <c r="O1219" s="127"/>
      <c r="P1219" s="127"/>
    </row>
    <row r="1220" spans="1:16" ht="49.5" customHeight="1" x14ac:dyDescent="0.25">
      <c r="A1220" s="127"/>
      <c r="B1220" s="127"/>
      <c r="C1220" s="127"/>
      <c r="D1220" s="128"/>
      <c r="E1220" s="127"/>
      <c r="F1220" s="128"/>
      <c r="G1220" s="127"/>
      <c r="H1220" s="127"/>
      <c r="I1220" s="127"/>
      <c r="J1220" s="127"/>
      <c r="K1220" s="127"/>
      <c r="L1220" s="127"/>
      <c r="M1220" s="127"/>
      <c r="N1220" s="127"/>
      <c r="O1220" s="127"/>
      <c r="P1220" s="127"/>
    </row>
    <row r="1221" spans="1:16" ht="49.5" customHeight="1" x14ac:dyDescent="0.25">
      <c r="A1221" s="127"/>
      <c r="B1221" s="127"/>
      <c r="C1221" s="127"/>
      <c r="D1221" s="128"/>
      <c r="E1221" s="127"/>
      <c r="F1221" s="128"/>
      <c r="G1221" s="127"/>
      <c r="H1221" s="127"/>
      <c r="I1221" s="127"/>
      <c r="J1221" s="127"/>
      <c r="K1221" s="127"/>
      <c r="L1221" s="127"/>
      <c r="M1221" s="127"/>
      <c r="N1221" s="127"/>
      <c r="O1221" s="127"/>
      <c r="P1221" s="127"/>
    </row>
    <row r="1222" spans="1:16" ht="49.5" customHeight="1" x14ac:dyDescent="0.25">
      <c r="A1222" s="127"/>
      <c r="B1222" s="127"/>
      <c r="C1222" s="127"/>
      <c r="D1222" s="128"/>
      <c r="E1222" s="127"/>
      <c r="F1222" s="128"/>
      <c r="G1222" s="127"/>
      <c r="H1222" s="127"/>
      <c r="I1222" s="127"/>
      <c r="J1222" s="127"/>
      <c r="K1222" s="127"/>
      <c r="L1222" s="127"/>
      <c r="M1222" s="127"/>
      <c r="N1222" s="127"/>
      <c r="O1222" s="127"/>
      <c r="P1222" s="127"/>
    </row>
    <row r="1223" spans="1:16" ht="49.5" customHeight="1" x14ac:dyDescent="0.25">
      <c r="A1223" s="127"/>
      <c r="B1223" s="127"/>
      <c r="C1223" s="127"/>
      <c r="D1223" s="128"/>
      <c r="E1223" s="127"/>
      <c r="F1223" s="128"/>
      <c r="G1223" s="127"/>
      <c r="H1223" s="127"/>
      <c r="I1223" s="127"/>
      <c r="J1223" s="127"/>
      <c r="K1223" s="127"/>
      <c r="L1223" s="127"/>
      <c r="M1223" s="127"/>
      <c r="N1223" s="127"/>
      <c r="O1223" s="127"/>
      <c r="P1223" s="127"/>
    </row>
    <row r="1224" spans="1:16" ht="49.5" customHeight="1" x14ac:dyDescent="0.25">
      <c r="A1224" s="127"/>
      <c r="B1224" s="127"/>
      <c r="C1224" s="127"/>
      <c r="D1224" s="128"/>
      <c r="E1224" s="127"/>
      <c r="F1224" s="128"/>
      <c r="G1224" s="127"/>
      <c r="H1224" s="127"/>
      <c r="I1224" s="127"/>
      <c r="J1224" s="127"/>
      <c r="K1224" s="127"/>
      <c r="L1224" s="127"/>
      <c r="M1224" s="127"/>
      <c r="N1224" s="127"/>
      <c r="O1224" s="127"/>
      <c r="P1224" s="127"/>
    </row>
    <row r="1225" spans="1:16" ht="49.5" customHeight="1" x14ac:dyDescent="0.25">
      <c r="A1225" s="127"/>
      <c r="B1225" s="127"/>
      <c r="C1225" s="127"/>
      <c r="D1225" s="128"/>
      <c r="E1225" s="127"/>
      <c r="F1225" s="128"/>
      <c r="G1225" s="127"/>
      <c r="H1225" s="127"/>
      <c r="I1225" s="127"/>
      <c r="J1225" s="127"/>
      <c r="K1225" s="127"/>
      <c r="L1225" s="127"/>
      <c r="M1225" s="127"/>
      <c r="N1225" s="127"/>
      <c r="O1225" s="127"/>
      <c r="P1225" s="127"/>
    </row>
    <row r="1226" spans="1:16" ht="49.5" customHeight="1" x14ac:dyDescent="0.25">
      <c r="A1226" s="127"/>
      <c r="B1226" s="127"/>
      <c r="C1226" s="127"/>
      <c r="D1226" s="128"/>
      <c r="E1226" s="127"/>
      <c r="F1226" s="128"/>
      <c r="G1226" s="127"/>
      <c r="H1226" s="127"/>
      <c r="I1226" s="127"/>
      <c r="J1226" s="127"/>
      <c r="K1226" s="127"/>
      <c r="L1226" s="127"/>
      <c r="M1226" s="127"/>
      <c r="N1226" s="127"/>
      <c r="O1226" s="127"/>
      <c r="P1226" s="127"/>
    </row>
    <row r="1227" spans="1:16" ht="49.5" customHeight="1" x14ac:dyDescent="0.25">
      <c r="A1227" s="127"/>
      <c r="B1227" s="127"/>
      <c r="C1227" s="127"/>
      <c r="D1227" s="128"/>
      <c r="E1227" s="127"/>
      <c r="F1227" s="128"/>
      <c r="G1227" s="127"/>
      <c r="H1227" s="127"/>
      <c r="I1227" s="127"/>
      <c r="J1227" s="127"/>
      <c r="K1227" s="127"/>
      <c r="L1227" s="127"/>
      <c r="M1227" s="127"/>
      <c r="N1227" s="127"/>
      <c r="O1227" s="127"/>
      <c r="P1227" s="127"/>
    </row>
    <row r="1228" spans="1:16" ht="49.5" customHeight="1" x14ac:dyDescent="0.25">
      <c r="A1228" s="127"/>
      <c r="B1228" s="127"/>
      <c r="C1228" s="127"/>
      <c r="D1228" s="128"/>
      <c r="E1228" s="127"/>
      <c r="F1228" s="128"/>
      <c r="G1228" s="127"/>
      <c r="H1228" s="127"/>
      <c r="I1228" s="127"/>
      <c r="J1228" s="127"/>
      <c r="K1228" s="127"/>
      <c r="L1228" s="127"/>
      <c r="M1228" s="127"/>
      <c r="N1228" s="127"/>
      <c r="O1228" s="127"/>
      <c r="P1228" s="127"/>
    </row>
    <row r="1229" spans="1:16" ht="49.5" customHeight="1" x14ac:dyDescent="0.25">
      <c r="A1229" s="127"/>
      <c r="B1229" s="127"/>
      <c r="C1229" s="127"/>
      <c r="D1229" s="128"/>
      <c r="E1229" s="127"/>
      <c r="F1229" s="128"/>
      <c r="G1229" s="127"/>
      <c r="H1229" s="127"/>
      <c r="I1229" s="127"/>
      <c r="J1229" s="127"/>
      <c r="K1229" s="127"/>
      <c r="L1229" s="127"/>
      <c r="M1229" s="127"/>
      <c r="N1229" s="127"/>
      <c r="O1229" s="127"/>
      <c r="P1229" s="127"/>
    </row>
    <row r="1230" spans="1:16" ht="49.5" customHeight="1" x14ac:dyDescent="0.25">
      <c r="A1230" s="127"/>
      <c r="B1230" s="127"/>
      <c r="C1230" s="127"/>
      <c r="D1230" s="128"/>
      <c r="E1230" s="127"/>
      <c r="F1230" s="128"/>
      <c r="G1230" s="127"/>
      <c r="H1230" s="127"/>
      <c r="I1230" s="127"/>
      <c r="J1230" s="127"/>
      <c r="K1230" s="127"/>
      <c r="L1230" s="127"/>
      <c r="M1230" s="127"/>
      <c r="N1230" s="127"/>
      <c r="O1230" s="127"/>
      <c r="P1230" s="127"/>
    </row>
    <row r="1231" spans="1:16" ht="49.5" customHeight="1" x14ac:dyDescent="0.25">
      <c r="A1231" s="127"/>
      <c r="B1231" s="127"/>
      <c r="C1231" s="127"/>
      <c r="D1231" s="128"/>
      <c r="E1231" s="127"/>
      <c r="F1231" s="128"/>
      <c r="G1231" s="127"/>
      <c r="H1231" s="127"/>
      <c r="I1231" s="127"/>
      <c r="J1231" s="127"/>
      <c r="K1231" s="127"/>
      <c r="L1231" s="127"/>
      <c r="M1231" s="127"/>
      <c r="N1231" s="127"/>
      <c r="O1231" s="127"/>
      <c r="P1231" s="127"/>
    </row>
    <row r="1232" spans="1:16" ht="49.5" customHeight="1" x14ac:dyDescent="0.25">
      <c r="A1232" s="127"/>
      <c r="B1232" s="127"/>
      <c r="C1232" s="127"/>
      <c r="D1232" s="128"/>
      <c r="E1232" s="127"/>
      <c r="F1232" s="128"/>
      <c r="G1232" s="127"/>
      <c r="H1232" s="127"/>
      <c r="I1232" s="127"/>
      <c r="J1232" s="127"/>
      <c r="K1232" s="127"/>
      <c r="L1232" s="127"/>
      <c r="M1232" s="127"/>
      <c r="N1232" s="127"/>
      <c r="O1232" s="127"/>
      <c r="P1232" s="127"/>
    </row>
    <row r="1233" spans="1:16" ht="49.5" customHeight="1" x14ac:dyDescent="0.25">
      <c r="A1233" s="127"/>
      <c r="B1233" s="127"/>
      <c r="C1233" s="127"/>
      <c r="D1233" s="128"/>
      <c r="E1233" s="127"/>
      <c r="F1233" s="128"/>
      <c r="G1233" s="127"/>
      <c r="H1233" s="127"/>
      <c r="I1233" s="127"/>
      <c r="J1233" s="127"/>
      <c r="K1233" s="127"/>
      <c r="L1233" s="127"/>
      <c r="M1233" s="127"/>
      <c r="N1233" s="127"/>
      <c r="O1233" s="127"/>
      <c r="P1233" s="127"/>
    </row>
    <row r="1234" spans="1:16" ht="49.5" customHeight="1" x14ac:dyDescent="0.25">
      <c r="A1234" s="127"/>
      <c r="B1234" s="127"/>
      <c r="C1234" s="127"/>
      <c r="D1234" s="128"/>
      <c r="E1234" s="127"/>
      <c r="F1234" s="128"/>
      <c r="G1234" s="127"/>
      <c r="H1234" s="127"/>
      <c r="I1234" s="127"/>
      <c r="J1234" s="127"/>
      <c r="K1234" s="127"/>
      <c r="L1234" s="127"/>
      <c r="M1234" s="127"/>
      <c r="N1234" s="127"/>
      <c r="O1234" s="127"/>
      <c r="P1234" s="127"/>
    </row>
    <row r="1235" spans="1:16" ht="49.5" customHeight="1" x14ac:dyDescent="0.25">
      <c r="A1235" s="127"/>
      <c r="B1235" s="127"/>
      <c r="C1235" s="127"/>
      <c r="D1235" s="128"/>
      <c r="E1235" s="127"/>
      <c r="F1235" s="128"/>
      <c r="G1235" s="127"/>
      <c r="H1235" s="127"/>
      <c r="I1235" s="127"/>
      <c r="J1235" s="127"/>
      <c r="K1235" s="127"/>
      <c r="L1235" s="127"/>
      <c r="M1235" s="127"/>
      <c r="N1235" s="127"/>
      <c r="O1235" s="127"/>
      <c r="P1235" s="127"/>
    </row>
    <row r="1236" spans="1:16" ht="49.5" customHeight="1" x14ac:dyDescent="0.25">
      <c r="A1236" s="127"/>
      <c r="B1236" s="127"/>
      <c r="C1236" s="127"/>
      <c r="D1236" s="128"/>
      <c r="E1236" s="127"/>
      <c r="F1236" s="128"/>
      <c r="G1236" s="127"/>
      <c r="H1236" s="127"/>
      <c r="I1236" s="127"/>
      <c r="J1236" s="127"/>
      <c r="K1236" s="127"/>
      <c r="L1236" s="127"/>
      <c r="M1236" s="127"/>
      <c r="N1236" s="127"/>
      <c r="O1236" s="127"/>
      <c r="P1236" s="127"/>
    </row>
    <row r="1237" spans="1:16" ht="49.5" customHeight="1" x14ac:dyDescent="0.25">
      <c r="A1237" s="127"/>
      <c r="B1237" s="127"/>
      <c r="C1237" s="127"/>
      <c r="D1237" s="128"/>
      <c r="E1237" s="127"/>
      <c r="F1237" s="128"/>
      <c r="G1237" s="127"/>
      <c r="H1237" s="127"/>
      <c r="I1237" s="127"/>
      <c r="J1237" s="127"/>
      <c r="K1237" s="127"/>
      <c r="L1237" s="127"/>
      <c r="M1237" s="127"/>
      <c r="N1237" s="127"/>
      <c r="O1237" s="127"/>
      <c r="P1237" s="127"/>
    </row>
    <row r="1238" spans="1:16" ht="49.5" customHeight="1" x14ac:dyDescent="0.25">
      <c r="A1238" s="127"/>
      <c r="B1238" s="127"/>
      <c r="C1238" s="127"/>
      <c r="D1238" s="128"/>
      <c r="E1238" s="127"/>
      <c r="F1238" s="128"/>
      <c r="G1238" s="127"/>
      <c r="H1238" s="127"/>
      <c r="I1238" s="127"/>
      <c r="J1238" s="127"/>
      <c r="K1238" s="127"/>
      <c r="L1238" s="127"/>
      <c r="M1238" s="127"/>
      <c r="N1238" s="127"/>
      <c r="O1238" s="127"/>
      <c r="P1238" s="127"/>
    </row>
    <row r="1239" spans="1:16" ht="49.5" customHeight="1" x14ac:dyDescent="0.25">
      <c r="A1239" s="127"/>
      <c r="B1239" s="127"/>
      <c r="C1239" s="127"/>
      <c r="D1239" s="128"/>
      <c r="E1239" s="127"/>
      <c r="F1239" s="128"/>
      <c r="G1239" s="127"/>
      <c r="H1239" s="127"/>
      <c r="I1239" s="127"/>
      <c r="J1239" s="127"/>
      <c r="K1239" s="127"/>
      <c r="L1239" s="127"/>
      <c r="M1239" s="127"/>
      <c r="N1239" s="127"/>
      <c r="O1239" s="127"/>
      <c r="P1239" s="127"/>
    </row>
    <row r="1240" spans="1:16" ht="49.5" customHeight="1" x14ac:dyDescent="0.25">
      <c r="A1240" s="127"/>
      <c r="B1240" s="127"/>
      <c r="C1240" s="127"/>
      <c r="D1240" s="128"/>
      <c r="E1240" s="127"/>
      <c r="F1240" s="128"/>
      <c r="G1240" s="127"/>
      <c r="H1240" s="127"/>
      <c r="I1240" s="127"/>
      <c r="J1240" s="127"/>
      <c r="K1240" s="127"/>
      <c r="L1240" s="127"/>
      <c r="M1240" s="127"/>
      <c r="N1240" s="127"/>
      <c r="O1240" s="127"/>
      <c r="P1240" s="127"/>
    </row>
    <row r="1241" spans="1:16" ht="49.5" customHeight="1" x14ac:dyDescent="0.25">
      <c r="A1241" s="127"/>
      <c r="B1241" s="127"/>
      <c r="C1241" s="127"/>
      <c r="D1241" s="128"/>
      <c r="E1241" s="127"/>
      <c r="F1241" s="128"/>
      <c r="G1241" s="127"/>
      <c r="H1241" s="127"/>
      <c r="I1241" s="127"/>
      <c r="J1241" s="127"/>
      <c r="K1241" s="127"/>
      <c r="L1241" s="127"/>
      <c r="M1241" s="127"/>
      <c r="N1241" s="127"/>
      <c r="O1241" s="127"/>
      <c r="P1241" s="127"/>
    </row>
    <row r="1242" spans="1:16" ht="49.5" customHeight="1" x14ac:dyDescent="0.25">
      <c r="A1242" s="127"/>
      <c r="B1242" s="127"/>
      <c r="C1242" s="127"/>
      <c r="D1242" s="128"/>
      <c r="E1242" s="127"/>
      <c r="F1242" s="128"/>
      <c r="G1242" s="127"/>
      <c r="H1242" s="127"/>
      <c r="I1242" s="127"/>
      <c r="J1242" s="127"/>
      <c r="K1242" s="127"/>
      <c r="L1242" s="127"/>
      <c r="M1242" s="127"/>
      <c r="N1242" s="127"/>
      <c r="O1242" s="127"/>
      <c r="P1242" s="127"/>
    </row>
    <row r="1243" spans="1:16" ht="49.5" customHeight="1" x14ac:dyDescent="0.25">
      <c r="A1243" s="127"/>
      <c r="B1243" s="127"/>
      <c r="C1243" s="127"/>
      <c r="D1243" s="128"/>
      <c r="E1243" s="127"/>
      <c r="F1243" s="128"/>
      <c r="G1243" s="127"/>
      <c r="H1243" s="127"/>
      <c r="I1243" s="127"/>
      <c r="J1243" s="127"/>
      <c r="K1243" s="127"/>
      <c r="L1243" s="127"/>
      <c r="M1243" s="127"/>
      <c r="N1243" s="127"/>
      <c r="O1243" s="127"/>
      <c r="P1243" s="127"/>
    </row>
    <row r="1244" spans="1:16" ht="49.5" customHeight="1" x14ac:dyDescent="0.25">
      <c r="A1244" s="127"/>
      <c r="B1244" s="127"/>
      <c r="C1244" s="127"/>
      <c r="D1244" s="128"/>
      <c r="E1244" s="127"/>
      <c r="F1244" s="128"/>
      <c r="G1244" s="127"/>
      <c r="H1244" s="127"/>
      <c r="I1244" s="127"/>
      <c r="J1244" s="127"/>
      <c r="K1244" s="127"/>
      <c r="L1244" s="127"/>
      <c r="M1244" s="127"/>
      <c r="N1244" s="127"/>
      <c r="O1244" s="127"/>
      <c r="P1244" s="127"/>
    </row>
    <row r="1245" spans="1:16" ht="49.5" customHeight="1" x14ac:dyDescent="0.25">
      <c r="A1245" s="127"/>
      <c r="B1245" s="127"/>
      <c r="C1245" s="127"/>
      <c r="D1245" s="128"/>
      <c r="E1245" s="127"/>
      <c r="F1245" s="128"/>
      <c r="G1245" s="127"/>
      <c r="H1245" s="127"/>
      <c r="I1245" s="127"/>
      <c r="J1245" s="127"/>
      <c r="K1245" s="127"/>
      <c r="L1245" s="127"/>
      <c r="M1245" s="127"/>
      <c r="N1245" s="127"/>
      <c r="O1245" s="127"/>
      <c r="P1245" s="127"/>
    </row>
    <row r="1246" spans="1:16" ht="49.5" customHeight="1" x14ac:dyDescent="0.25">
      <c r="A1246" s="127"/>
      <c r="B1246" s="127"/>
      <c r="C1246" s="127"/>
      <c r="D1246" s="128"/>
      <c r="E1246" s="127"/>
      <c r="F1246" s="128"/>
      <c r="G1246" s="127"/>
      <c r="H1246" s="127"/>
      <c r="I1246" s="127"/>
      <c r="J1246" s="127"/>
      <c r="K1246" s="127"/>
      <c r="L1246" s="127"/>
      <c r="M1246" s="127"/>
      <c r="N1246" s="127"/>
      <c r="O1246" s="127"/>
      <c r="P1246" s="127"/>
    </row>
    <row r="1247" spans="1:16" ht="49.5" customHeight="1" x14ac:dyDescent="0.25">
      <c r="A1247" s="127"/>
      <c r="B1247" s="127"/>
      <c r="C1247" s="127"/>
      <c r="D1247" s="128"/>
      <c r="E1247" s="127"/>
      <c r="F1247" s="128"/>
      <c r="G1247" s="127"/>
      <c r="H1247" s="127"/>
      <c r="I1247" s="127"/>
      <c r="J1247" s="127"/>
      <c r="K1247" s="127"/>
      <c r="L1247" s="127"/>
      <c r="M1247" s="127"/>
      <c r="N1247" s="127"/>
      <c r="O1247" s="127"/>
      <c r="P1247" s="127"/>
    </row>
    <row r="1248" spans="1:16" ht="49.5" customHeight="1" x14ac:dyDescent="0.25">
      <c r="A1248" s="127"/>
      <c r="B1248" s="127"/>
      <c r="C1248" s="127"/>
      <c r="D1248" s="128"/>
      <c r="E1248" s="127"/>
      <c r="F1248" s="128"/>
      <c r="G1248" s="127"/>
      <c r="H1248" s="127"/>
      <c r="I1248" s="127"/>
      <c r="J1248" s="127"/>
      <c r="K1248" s="127"/>
      <c r="L1248" s="127"/>
      <c r="M1248" s="127"/>
      <c r="N1248" s="127"/>
      <c r="O1248" s="127"/>
      <c r="P1248" s="127"/>
    </row>
    <row r="1249" spans="1:16" ht="49.5" customHeight="1" x14ac:dyDescent="0.25">
      <c r="A1249" s="127"/>
      <c r="B1249" s="127"/>
      <c r="C1249" s="127"/>
      <c r="D1249" s="128"/>
      <c r="E1249" s="127"/>
      <c r="F1249" s="128"/>
      <c r="G1249" s="127"/>
      <c r="H1249" s="127"/>
      <c r="I1249" s="127"/>
      <c r="J1249" s="127"/>
      <c r="K1249" s="127"/>
      <c r="L1249" s="127"/>
      <c r="M1249" s="127"/>
      <c r="N1249" s="127"/>
      <c r="O1249" s="127"/>
      <c r="P1249" s="127"/>
    </row>
    <row r="1250" spans="1:16" ht="49.5" customHeight="1" x14ac:dyDescent="0.25">
      <c r="A1250" s="127"/>
      <c r="B1250" s="127"/>
      <c r="C1250" s="127"/>
      <c r="D1250" s="128"/>
      <c r="E1250" s="127"/>
      <c r="F1250" s="128"/>
      <c r="G1250" s="127"/>
      <c r="H1250" s="127"/>
      <c r="I1250" s="127"/>
      <c r="J1250" s="127"/>
      <c r="K1250" s="127"/>
      <c r="L1250" s="127"/>
      <c r="M1250" s="127"/>
      <c r="N1250" s="127"/>
      <c r="O1250" s="127"/>
      <c r="P1250" s="127"/>
    </row>
    <row r="1251" spans="1:16" ht="49.5" customHeight="1" x14ac:dyDescent="0.25">
      <c r="A1251" s="127"/>
      <c r="B1251" s="127"/>
      <c r="C1251" s="127"/>
      <c r="D1251" s="128"/>
      <c r="E1251" s="127"/>
      <c r="F1251" s="128"/>
      <c r="G1251" s="127"/>
      <c r="H1251" s="127"/>
      <c r="I1251" s="127"/>
      <c r="J1251" s="127"/>
      <c r="K1251" s="127"/>
      <c r="L1251" s="127"/>
      <c r="M1251" s="127"/>
      <c r="N1251" s="127"/>
      <c r="O1251" s="127"/>
      <c r="P1251" s="127"/>
    </row>
    <row r="1252" spans="1:16" ht="49.5" customHeight="1" x14ac:dyDescent="0.25">
      <c r="A1252" s="127"/>
      <c r="B1252" s="127"/>
      <c r="C1252" s="127"/>
      <c r="D1252" s="128"/>
      <c r="E1252" s="127"/>
      <c r="F1252" s="128"/>
      <c r="G1252" s="127"/>
      <c r="H1252" s="127"/>
      <c r="I1252" s="127"/>
      <c r="J1252" s="127"/>
      <c r="K1252" s="127"/>
      <c r="L1252" s="127"/>
      <c r="M1252" s="127"/>
      <c r="N1252" s="127"/>
      <c r="O1252" s="127"/>
      <c r="P1252" s="127"/>
    </row>
    <row r="1253" spans="1:16" ht="49.5" customHeight="1" x14ac:dyDescent="0.25">
      <c r="A1253" s="127"/>
      <c r="B1253" s="127"/>
      <c r="C1253" s="127"/>
      <c r="D1253" s="128"/>
      <c r="E1253" s="127"/>
      <c r="F1253" s="128"/>
      <c r="G1253" s="127"/>
      <c r="H1253" s="127"/>
      <c r="I1253" s="127"/>
      <c r="J1253" s="127"/>
      <c r="K1253" s="127"/>
      <c r="L1253" s="127"/>
      <c r="M1253" s="127"/>
      <c r="N1253" s="127"/>
      <c r="O1253" s="127"/>
      <c r="P1253" s="127"/>
    </row>
    <row r="1254" spans="1:16" ht="49.5" customHeight="1" x14ac:dyDescent="0.25">
      <c r="A1254" s="127"/>
      <c r="B1254" s="127"/>
      <c r="C1254" s="127"/>
      <c r="D1254" s="128"/>
      <c r="E1254" s="127"/>
      <c r="F1254" s="128"/>
      <c r="G1254" s="127"/>
      <c r="H1254" s="127"/>
      <c r="I1254" s="127"/>
      <c r="J1254" s="127"/>
      <c r="K1254" s="127"/>
      <c r="L1254" s="127"/>
      <c r="M1254" s="127"/>
      <c r="N1254" s="127"/>
      <c r="O1254" s="127"/>
      <c r="P1254" s="127"/>
    </row>
    <row r="1255" spans="1:16" ht="49.5" customHeight="1" x14ac:dyDescent="0.25">
      <c r="A1255" s="127"/>
      <c r="B1255" s="127"/>
      <c r="C1255" s="127"/>
      <c r="D1255" s="128"/>
      <c r="E1255" s="127"/>
      <c r="F1255" s="128"/>
      <c r="G1255" s="127"/>
      <c r="H1255" s="127"/>
      <c r="I1255" s="127"/>
      <c r="J1255" s="127"/>
      <c r="K1255" s="127"/>
      <c r="L1255" s="127"/>
      <c r="M1255" s="127"/>
      <c r="N1255" s="127"/>
      <c r="O1255" s="127"/>
      <c r="P1255" s="127"/>
    </row>
    <row r="1256" spans="1:16" ht="49.5" customHeight="1" x14ac:dyDescent="0.25">
      <c r="A1256" s="127"/>
      <c r="B1256" s="127"/>
      <c r="C1256" s="127"/>
      <c r="D1256" s="128"/>
      <c r="E1256" s="127"/>
      <c r="F1256" s="128"/>
      <c r="G1256" s="127"/>
      <c r="H1256" s="127"/>
      <c r="I1256" s="127"/>
      <c r="J1256" s="127"/>
      <c r="K1256" s="127"/>
      <c r="L1256" s="127"/>
      <c r="M1256" s="127"/>
      <c r="N1256" s="127"/>
      <c r="O1256" s="127"/>
      <c r="P1256" s="127"/>
    </row>
    <row r="1257" spans="1:16" ht="49.5" customHeight="1" x14ac:dyDescent="0.25">
      <c r="A1257" s="127"/>
      <c r="B1257" s="127"/>
      <c r="C1257" s="127"/>
      <c r="D1257" s="128"/>
      <c r="E1257" s="127"/>
      <c r="F1257" s="128"/>
      <c r="G1257" s="127"/>
      <c r="H1257" s="127"/>
      <c r="I1257" s="127"/>
      <c r="J1257" s="127"/>
      <c r="K1257" s="127"/>
      <c r="L1257" s="127"/>
      <c r="M1257" s="127"/>
      <c r="N1257" s="127"/>
      <c r="O1257" s="127"/>
      <c r="P1257" s="127"/>
    </row>
    <row r="1258" spans="1:16" ht="49.5" customHeight="1" x14ac:dyDescent="0.25">
      <c r="A1258" s="127"/>
      <c r="B1258" s="127"/>
      <c r="C1258" s="127"/>
      <c r="D1258" s="128"/>
      <c r="E1258" s="127"/>
      <c r="F1258" s="128"/>
      <c r="G1258" s="127"/>
      <c r="H1258" s="127"/>
      <c r="I1258" s="127"/>
      <c r="J1258" s="127"/>
      <c r="K1258" s="127"/>
      <c r="L1258" s="127"/>
      <c r="M1258" s="127"/>
      <c r="N1258" s="127"/>
      <c r="O1258" s="127"/>
      <c r="P1258" s="127"/>
    </row>
    <row r="1259" spans="1:16" ht="49.5" customHeight="1" x14ac:dyDescent="0.25">
      <c r="A1259" s="127"/>
      <c r="B1259" s="127"/>
      <c r="C1259" s="127"/>
      <c r="D1259" s="128"/>
      <c r="E1259" s="127"/>
      <c r="F1259" s="128"/>
      <c r="G1259" s="127"/>
      <c r="H1259" s="127"/>
      <c r="I1259" s="127"/>
      <c r="J1259" s="127"/>
      <c r="K1259" s="127"/>
      <c r="L1259" s="127"/>
      <c r="M1259" s="127"/>
      <c r="N1259" s="127"/>
      <c r="O1259" s="127"/>
      <c r="P1259" s="127"/>
    </row>
    <row r="1260" spans="1:16" ht="49.5" customHeight="1" x14ac:dyDescent="0.25">
      <c r="A1260" s="127"/>
      <c r="B1260" s="127"/>
      <c r="C1260" s="127"/>
      <c r="D1260" s="128"/>
      <c r="E1260" s="127"/>
      <c r="F1260" s="128"/>
      <c r="G1260" s="127"/>
      <c r="H1260" s="127"/>
      <c r="I1260" s="127"/>
      <c r="J1260" s="127"/>
      <c r="K1260" s="127"/>
      <c r="L1260" s="127"/>
      <c r="M1260" s="127"/>
      <c r="N1260" s="127"/>
      <c r="O1260" s="127"/>
      <c r="P1260" s="127"/>
    </row>
    <row r="1261" spans="1:16" ht="49.5" customHeight="1" x14ac:dyDescent="0.25">
      <c r="A1261" s="127"/>
      <c r="B1261" s="127"/>
      <c r="C1261" s="127"/>
      <c r="D1261" s="128"/>
      <c r="E1261" s="127"/>
      <c r="F1261" s="128"/>
      <c r="G1261" s="127"/>
      <c r="H1261" s="127"/>
      <c r="I1261" s="127"/>
      <c r="J1261" s="127"/>
      <c r="K1261" s="127"/>
      <c r="L1261" s="127"/>
      <c r="M1261" s="127"/>
      <c r="N1261" s="127"/>
      <c r="O1261" s="127"/>
      <c r="P1261" s="127"/>
    </row>
    <row r="1262" spans="1:16" ht="49.5" customHeight="1" x14ac:dyDescent="0.25">
      <c r="A1262" s="127"/>
      <c r="B1262" s="127"/>
      <c r="C1262" s="127"/>
      <c r="D1262" s="128"/>
      <c r="E1262" s="127"/>
      <c r="F1262" s="128"/>
      <c r="G1262" s="127"/>
      <c r="H1262" s="127"/>
      <c r="I1262" s="127"/>
      <c r="J1262" s="127"/>
      <c r="K1262" s="127"/>
      <c r="L1262" s="127"/>
      <c r="M1262" s="127"/>
      <c r="N1262" s="127"/>
      <c r="O1262" s="127"/>
      <c r="P1262" s="127"/>
    </row>
    <row r="1263" spans="1:16" ht="49.5" customHeight="1" x14ac:dyDescent="0.25">
      <c r="A1263" s="127"/>
      <c r="B1263" s="127"/>
      <c r="C1263" s="127"/>
      <c r="D1263" s="128"/>
      <c r="E1263" s="127"/>
      <c r="F1263" s="128"/>
      <c r="G1263" s="127"/>
      <c r="H1263" s="127"/>
      <c r="I1263" s="127"/>
      <c r="J1263" s="127"/>
      <c r="K1263" s="127"/>
      <c r="L1263" s="127"/>
      <c r="M1263" s="127"/>
      <c r="N1263" s="127"/>
      <c r="O1263" s="127"/>
      <c r="P1263" s="127"/>
    </row>
    <row r="1264" spans="1:16" ht="49.5" customHeight="1" x14ac:dyDescent="0.25">
      <c r="A1264" s="127"/>
      <c r="B1264" s="127"/>
      <c r="C1264" s="127"/>
      <c r="D1264" s="128"/>
      <c r="E1264" s="127"/>
      <c r="F1264" s="128"/>
      <c r="G1264" s="127"/>
      <c r="H1264" s="127"/>
      <c r="I1264" s="127"/>
      <c r="J1264" s="127"/>
      <c r="K1264" s="127"/>
      <c r="L1264" s="127"/>
      <c r="M1264" s="127"/>
      <c r="N1264" s="127"/>
      <c r="O1264" s="127"/>
      <c r="P1264" s="127"/>
    </row>
    <row r="1265" spans="1:16" ht="49.5" customHeight="1" x14ac:dyDescent="0.25">
      <c r="A1265" s="127"/>
      <c r="B1265" s="127"/>
      <c r="C1265" s="127"/>
      <c r="D1265" s="128"/>
      <c r="E1265" s="127"/>
      <c r="F1265" s="128"/>
      <c r="G1265" s="127"/>
      <c r="H1265" s="127"/>
      <c r="I1265" s="127"/>
      <c r="J1265" s="127"/>
      <c r="K1265" s="127"/>
      <c r="L1265" s="127"/>
      <c r="M1265" s="127"/>
      <c r="N1265" s="127"/>
      <c r="O1265" s="127"/>
      <c r="P1265" s="127"/>
    </row>
    <row r="1266" spans="1:16" ht="49.5" customHeight="1" x14ac:dyDescent="0.25">
      <c r="A1266" s="127"/>
      <c r="B1266" s="127"/>
      <c r="C1266" s="127"/>
      <c r="D1266" s="128"/>
      <c r="E1266" s="127"/>
      <c r="F1266" s="128"/>
      <c r="G1266" s="127"/>
      <c r="H1266" s="127"/>
      <c r="I1266" s="127"/>
      <c r="J1266" s="127"/>
      <c r="K1266" s="127"/>
      <c r="L1266" s="127"/>
      <c r="M1266" s="127"/>
      <c r="N1266" s="127"/>
      <c r="O1266" s="127"/>
      <c r="P1266" s="127"/>
    </row>
    <row r="1267" spans="1:16" ht="49.5" customHeight="1" x14ac:dyDescent="0.25">
      <c r="A1267" s="127"/>
      <c r="B1267" s="127"/>
      <c r="C1267" s="127"/>
      <c r="D1267" s="128"/>
      <c r="E1267" s="127"/>
      <c r="F1267" s="128"/>
      <c r="G1267" s="127"/>
      <c r="H1267" s="127"/>
      <c r="I1267" s="127"/>
      <c r="J1267" s="127"/>
      <c r="K1267" s="127"/>
      <c r="L1267" s="127"/>
      <c r="M1267" s="127"/>
      <c r="N1267" s="127"/>
      <c r="O1267" s="127"/>
      <c r="P1267" s="127"/>
    </row>
    <row r="1268" spans="1:16" ht="49.5" customHeight="1" x14ac:dyDescent="0.25">
      <c r="A1268" s="127"/>
      <c r="B1268" s="127"/>
      <c r="C1268" s="127"/>
      <c r="D1268" s="128"/>
      <c r="E1268" s="127"/>
      <c r="F1268" s="128"/>
      <c r="G1268" s="127"/>
      <c r="H1268" s="127"/>
      <c r="I1268" s="127"/>
      <c r="J1268" s="127"/>
      <c r="K1268" s="127"/>
      <c r="L1268" s="127"/>
      <c r="M1268" s="127"/>
      <c r="N1268" s="127"/>
      <c r="O1268" s="127"/>
      <c r="P1268" s="127"/>
    </row>
    <row r="1269" spans="1:16" ht="49.5" customHeight="1" x14ac:dyDescent="0.25">
      <c r="A1269" s="127"/>
      <c r="B1269" s="127"/>
      <c r="C1269" s="127"/>
      <c r="D1269" s="128"/>
      <c r="E1269" s="127"/>
      <c r="F1269" s="128"/>
      <c r="G1269" s="127"/>
      <c r="H1269" s="127"/>
      <c r="I1269" s="127"/>
      <c r="J1269" s="127"/>
      <c r="K1269" s="127"/>
      <c r="L1269" s="127"/>
      <c r="M1269" s="127"/>
      <c r="N1269" s="127"/>
      <c r="O1269" s="127"/>
      <c r="P1269" s="127"/>
    </row>
    <row r="1270" spans="1:16" ht="49.5" customHeight="1" x14ac:dyDescent="0.25">
      <c r="A1270" s="127"/>
      <c r="B1270" s="127"/>
      <c r="C1270" s="127"/>
      <c r="D1270" s="128"/>
      <c r="E1270" s="127"/>
      <c r="F1270" s="128"/>
      <c r="G1270" s="127"/>
      <c r="H1270" s="127"/>
      <c r="I1270" s="127"/>
      <c r="J1270" s="127"/>
      <c r="K1270" s="127"/>
      <c r="L1270" s="127"/>
      <c r="M1270" s="127"/>
      <c r="N1270" s="127"/>
      <c r="O1270" s="127"/>
      <c r="P1270" s="127"/>
    </row>
    <row r="1271" spans="1:16" ht="49.5" customHeight="1" x14ac:dyDescent="0.25">
      <c r="A1271" s="127"/>
      <c r="B1271" s="127"/>
      <c r="C1271" s="127"/>
      <c r="D1271" s="128"/>
      <c r="E1271" s="127"/>
      <c r="F1271" s="128"/>
      <c r="G1271" s="127"/>
      <c r="H1271" s="127"/>
      <c r="I1271" s="127"/>
      <c r="J1271" s="127"/>
      <c r="K1271" s="127"/>
      <c r="L1271" s="127"/>
      <c r="M1271" s="127"/>
      <c r="N1271" s="127"/>
      <c r="O1271" s="127"/>
      <c r="P1271" s="127"/>
    </row>
    <row r="1272" spans="1:16" ht="49.5" customHeight="1" x14ac:dyDescent="0.25">
      <c r="A1272" s="127"/>
      <c r="B1272" s="127"/>
      <c r="C1272" s="127"/>
      <c r="D1272" s="128"/>
      <c r="E1272" s="127"/>
      <c r="F1272" s="128"/>
      <c r="G1272" s="127"/>
      <c r="H1272" s="127"/>
      <c r="I1272" s="127"/>
      <c r="J1272" s="127"/>
      <c r="K1272" s="127"/>
      <c r="L1272" s="127"/>
      <c r="M1272" s="127"/>
      <c r="N1272" s="127"/>
      <c r="O1272" s="127"/>
      <c r="P1272" s="127"/>
    </row>
    <row r="1273" spans="1:16" ht="49.5" customHeight="1" x14ac:dyDescent="0.25">
      <c r="A1273" s="127"/>
      <c r="B1273" s="127"/>
      <c r="C1273" s="127"/>
      <c r="D1273" s="128"/>
      <c r="E1273" s="127"/>
      <c r="F1273" s="128"/>
      <c r="G1273" s="127"/>
      <c r="H1273" s="127"/>
      <c r="I1273" s="127"/>
      <c r="J1273" s="127"/>
      <c r="K1273" s="127"/>
      <c r="L1273" s="127"/>
      <c r="M1273" s="127"/>
      <c r="N1273" s="127"/>
      <c r="O1273" s="127"/>
      <c r="P1273" s="127"/>
    </row>
    <row r="1274" spans="1:16" ht="49.5" customHeight="1" x14ac:dyDescent="0.25">
      <c r="A1274" s="127"/>
      <c r="B1274" s="127"/>
      <c r="C1274" s="127"/>
      <c r="D1274" s="128"/>
      <c r="E1274" s="127"/>
      <c r="F1274" s="128"/>
      <c r="G1274" s="127"/>
      <c r="H1274" s="127"/>
      <c r="I1274" s="127"/>
      <c r="J1274" s="127"/>
      <c r="K1274" s="127"/>
      <c r="L1274" s="127"/>
      <c r="M1274" s="127"/>
      <c r="N1274" s="127"/>
      <c r="O1274" s="127"/>
      <c r="P1274" s="127"/>
    </row>
    <row r="1275" spans="1:16" ht="49.5" customHeight="1" x14ac:dyDescent="0.25">
      <c r="A1275" s="127"/>
      <c r="B1275" s="127"/>
      <c r="C1275" s="127"/>
      <c r="D1275" s="128"/>
      <c r="E1275" s="127"/>
      <c r="F1275" s="128"/>
      <c r="G1275" s="127"/>
      <c r="H1275" s="127"/>
      <c r="I1275" s="127"/>
      <c r="J1275" s="127"/>
      <c r="K1275" s="127"/>
      <c r="L1275" s="127"/>
      <c r="M1275" s="127"/>
      <c r="N1275" s="127"/>
      <c r="O1275" s="127"/>
      <c r="P1275" s="127"/>
    </row>
    <row r="1276" spans="1:16" ht="49.5" customHeight="1" x14ac:dyDescent="0.25">
      <c r="A1276" s="127"/>
      <c r="B1276" s="127"/>
      <c r="C1276" s="127"/>
      <c r="D1276" s="128"/>
      <c r="E1276" s="127"/>
      <c r="F1276" s="128"/>
      <c r="G1276" s="127"/>
      <c r="H1276" s="127"/>
      <c r="I1276" s="127"/>
      <c r="J1276" s="127"/>
      <c r="K1276" s="127"/>
      <c r="L1276" s="127"/>
      <c r="M1276" s="127"/>
      <c r="N1276" s="127"/>
      <c r="O1276" s="127"/>
      <c r="P1276" s="127"/>
    </row>
    <row r="1277" spans="1:16" ht="49.5" customHeight="1" x14ac:dyDescent="0.25">
      <c r="A1277" s="127"/>
      <c r="B1277" s="127"/>
      <c r="C1277" s="127"/>
      <c r="D1277" s="128"/>
      <c r="E1277" s="127"/>
      <c r="F1277" s="128"/>
      <c r="G1277" s="127"/>
      <c r="H1277" s="127"/>
      <c r="I1277" s="127"/>
      <c r="J1277" s="127"/>
      <c r="K1277" s="127"/>
      <c r="L1277" s="127"/>
      <c r="M1277" s="127"/>
      <c r="N1277" s="127"/>
      <c r="O1277" s="127"/>
      <c r="P1277" s="127"/>
    </row>
    <row r="1278" spans="1:16" ht="49.5" customHeight="1" x14ac:dyDescent="0.25">
      <c r="A1278" s="127"/>
      <c r="B1278" s="127"/>
      <c r="C1278" s="127"/>
      <c r="D1278" s="128"/>
      <c r="E1278" s="127"/>
      <c r="F1278" s="128"/>
      <c r="G1278" s="127"/>
      <c r="H1278" s="127"/>
      <c r="I1278" s="127"/>
      <c r="J1278" s="127"/>
      <c r="K1278" s="127"/>
      <c r="L1278" s="127"/>
      <c r="M1278" s="127"/>
      <c r="N1278" s="127"/>
      <c r="O1278" s="127"/>
      <c r="P1278" s="127"/>
    </row>
    <row r="1279" spans="1:16" ht="49.5" customHeight="1" x14ac:dyDescent="0.25">
      <c r="A1279" s="127"/>
      <c r="B1279" s="127"/>
      <c r="C1279" s="127"/>
      <c r="D1279" s="128"/>
      <c r="E1279" s="127"/>
      <c r="F1279" s="128"/>
      <c r="G1279" s="127"/>
      <c r="H1279" s="127"/>
      <c r="I1279" s="127"/>
      <c r="J1279" s="127"/>
      <c r="K1279" s="127"/>
      <c r="L1279" s="127"/>
      <c r="M1279" s="127"/>
      <c r="N1279" s="127"/>
      <c r="O1279" s="127"/>
      <c r="P1279" s="127"/>
    </row>
    <row r="1280" spans="1:16" ht="49.5" customHeight="1" x14ac:dyDescent="0.25">
      <c r="A1280" s="127"/>
      <c r="B1280" s="127"/>
      <c r="C1280" s="127"/>
      <c r="D1280" s="128"/>
      <c r="E1280" s="127"/>
      <c r="F1280" s="128"/>
      <c r="G1280" s="127"/>
      <c r="H1280" s="127"/>
      <c r="I1280" s="127"/>
      <c r="J1280" s="127"/>
      <c r="K1280" s="127"/>
      <c r="L1280" s="127"/>
      <c r="M1280" s="127"/>
      <c r="N1280" s="127"/>
      <c r="O1280" s="127"/>
      <c r="P1280" s="127"/>
    </row>
    <row r="1281" spans="1:16" ht="49.5" customHeight="1" x14ac:dyDescent="0.25">
      <c r="A1281" s="127"/>
      <c r="B1281" s="127"/>
      <c r="C1281" s="127"/>
      <c r="D1281" s="128"/>
      <c r="E1281" s="127"/>
      <c r="F1281" s="128"/>
      <c r="G1281" s="127"/>
      <c r="H1281" s="127"/>
      <c r="I1281" s="127"/>
      <c r="J1281" s="127"/>
      <c r="K1281" s="127"/>
      <c r="L1281" s="127"/>
      <c r="M1281" s="127"/>
      <c r="N1281" s="127"/>
      <c r="O1281" s="127"/>
      <c r="P1281" s="127"/>
    </row>
    <row r="1282" spans="1:16" ht="49.5" customHeight="1" x14ac:dyDescent="0.25">
      <c r="A1282" s="127"/>
      <c r="B1282" s="127"/>
      <c r="C1282" s="127"/>
      <c r="D1282" s="128"/>
      <c r="E1282" s="127"/>
      <c r="F1282" s="128"/>
      <c r="G1282" s="127"/>
      <c r="H1282" s="127"/>
      <c r="I1282" s="127"/>
      <c r="J1282" s="127"/>
      <c r="K1282" s="127"/>
      <c r="L1282" s="127"/>
      <c r="M1282" s="127"/>
      <c r="N1282" s="127"/>
      <c r="O1282" s="127"/>
      <c r="P1282" s="127"/>
    </row>
    <row r="1283" spans="1:16" ht="49.5" customHeight="1" x14ac:dyDescent="0.25">
      <c r="A1283" s="127"/>
      <c r="B1283" s="127"/>
      <c r="C1283" s="127"/>
      <c r="D1283" s="128"/>
      <c r="E1283" s="127"/>
      <c r="F1283" s="128"/>
      <c r="G1283" s="127"/>
      <c r="H1283" s="127"/>
      <c r="I1283" s="127"/>
      <c r="J1283" s="127"/>
      <c r="K1283" s="127"/>
      <c r="L1283" s="127"/>
      <c r="M1283" s="127"/>
      <c r="N1283" s="127"/>
      <c r="O1283" s="127"/>
      <c r="P1283" s="127"/>
    </row>
    <row r="1284" spans="1:16" ht="49.5" customHeight="1" x14ac:dyDescent="0.25">
      <c r="A1284" s="127"/>
      <c r="B1284" s="127"/>
      <c r="C1284" s="127"/>
      <c r="D1284" s="128"/>
      <c r="E1284" s="127"/>
      <c r="F1284" s="128"/>
      <c r="G1284" s="127"/>
      <c r="H1284" s="127"/>
      <c r="I1284" s="127"/>
      <c r="J1284" s="127"/>
      <c r="K1284" s="127"/>
      <c r="L1284" s="127"/>
      <c r="M1284" s="127"/>
      <c r="N1284" s="127"/>
      <c r="O1284" s="127"/>
      <c r="P1284" s="127"/>
    </row>
    <row r="1285" spans="1:16" ht="49.5" customHeight="1" x14ac:dyDescent="0.25">
      <c r="A1285" s="127"/>
      <c r="B1285" s="127"/>
      <c r="C1285" s="127"/>
      <c r="D1285" s="128"/>
      <c r="E1285" s="127"/>
      <c r="F1285" s="128"/>
      <c r="G1285" s="127"/>
      <c r="H1285" s="127"/>
      <c r="I1285" s="127"/>
      <c r="J1285" s="127"/>
      <c r="K1285" s="127"/>
      <c r="L1285" s="127"/>
      <c r="M1285" s="127"/>
      <c r="N1285" s="127"/>
      <c r="O1285" s="127"/>
      <c r="P1285" s="127"/>
    </row>
    <row r="1286" spans="1:16" ht="49.5" customHeight="1" x14ac:dyDescent="0.25">
      <c r="A1286" s="127"/>
      <c r="B1286" s="127"/>
      <c r="C1286" s="127"/>
      <c r="D1286" s="128"/>
      <c r="E1286" s="127"/>
      <c r="F1286" s="128"/>
      <c r="G1286" s="127"/>
      <c r="H1286" s="127"/>
      <c r="I1286" s="127"/>
      <c r="J1286" s="127"/>
      <c r="K1286" s="127"/>
      <c r="L1286" s="127"/>
      <c r="M1286" s="127"/>
      <c r="N1286" s="127"/>
      <c r="O1286" s="127"/>
      <c r="P1286" s="127"/>
    </row>
    <row r="1287" spans="1:16" ht="49.5" customHeight="1" x14ac:dyDescent="0.25">
      <c r="A1287" s="127"/>
      <c r="B1287" s="127"/>
      <c r="C1287" s="127"/>
      <c r="D1287" s="128"/>
      <c r="E1287" s="127"/>
      <c r="F1287" s="128"/>
      <c r="G1287" s="127"/>
      <c r="H1287" s="127"/>
      <c r="I1287" s="127"/>
      <c r="J1287" s="127"/>
      <c r="K1287" s="127"/>
      <c r="L1287" s="127"/>
      <c r="M1287" s="127"/>
      <c r="N1287" s="127"/>
      <c r="O1287" s="127"/>
      <c r="P1287" s="127"/>
    </row>
    <row r="1288" spans="1:16" ht="49.5" customHeight="1" x14ac:dyDescent="0.25">
      <c r="A1288" s="127"/>
      <c r="B1288" s="127"/>
      <c r="C1288" s="127"/>
      <c r="D1288" s="128"/>
      <c r="E1288" s="127"/>
      <c r="F1288" s="128"/>
      <c r="G1288" s="127"/>
      <c r="H1288" s="127"/>
      <c r="I1288" s="127"/>
      <c r="J1288" s="127"/>
      <c r="K1288" s="127"/>
      <c r="L1288" s="127"/>
      <c r="M1288" s="127"/>
      <c r="N1288" s="127"/>
      <c r="O1288" s="127"/>
      <c r="P1288" s="127"/>
    </row>
    <row r="1289" spans="1:16" ht="49.5" customHeight="1" x14ac:dyDescent="0.25">
      <c r="A1289" s="127"/>
      <c r="B1289" s="127"/>
      <c r="C1289" s="127"/>
      <c r="D1289" s="128"/>
      <c r="E1289" s="127"/>
      <c r="F1289" s="128"/>
      <c r="G1289" s="127"/>
      <c r="H1289" s="127"/>
      <c r="I1289" s="127"/>
      <c r="J1289" s="127"/>
      <c r="K1289" s="127"/>
      <c r="L1289" s="127"/>
      <c r="M1289" s="127"/>
      <c r="N1289" s="127"/>
      <c r="O1289" s="127"/>
      <c r="P1289" s="127"/>
    </row>
    <row r="1290" spans="1:16" ht="49.5" customHeight="1" x14ac:dyDescent="0.25">
      <c r="A1290" s="127"/>
      <c r="B1290" s="127"/>
      <c r="C1290" s="127"/>
      <c r="D1290" s="128"/>
      <c r="E1290" s="127"/>
      <c r="F1290" s="128"/>
      <c r="G1290" s="127"/>
      <c r="H1290" s="127"/>
      <c r="I1290" s="127"/>
      <c r="J1290" s="127"/>
      <c r="K1290" s="127"/>
      <c r="L1290" s="127"/>
      <c r="M1290" s="127"/>
      <c r="N1290" s="127"/>
      <c r="O1290" s="127"/>
      <c r="P1290" s="127"/>
    </row>
    <row r="1291" spans="1:16" ht="49.5" customHeight="1" x14ac:dyDescent="0.25">
      <c r="A1291" s="127"/>
      <c r="B1291" s="127"/>
      <c r="C1291" s="127"/>
      <c r="D1291" s="128"/>
      <c r="E1291" s="127"/>
      <c r="F1291" s="128"/>
      <c r="G1291" s="127"/>
      <c r="H1291" s="127"/>
      <c r="I1291" s="127"/>
      <c r="J1291" s="127"/>
      <c r="K1291" s="127"/>
      <c r="L1291" s="127"/>
      <c r="M1291" s="127"/>
      <c r="N1291" s="127"/>
      <c r="O1291" s="127"/>
      <c r="P1291" s="127"/>
    </row>
    <row r="1292" spans="1:16" ht="49.5" customHeight="1" x14ac:dyDescent="0.25">
      <c r="A1292" s="127"/>
      <c r="B1292" s="127"/>
      <c r="C1292" s="127"/>
      <c r="D1292" s="128"/>
      <c r="E1292" s="127"/>
      <c r="F1292" s="128"/>
      <c r="G1292" s="127"/>
      <c r="H1292" s="127"/>
      <c r="I1292" s="127"/>
      <c r="J1292" s="127"/>
      <c r="K1292" s="127"/>
      <c r="L1292" s="127"/>
      <c r="M1292" s="127"/>
      <c r="N1292" s="127"/>
      <c r="O1292" s="127"/>
      <c r="P1292" s="127"/>
    </row>
    <row r="1293" spans="1:16" ht="49.5" customHeight="1" x14ac:dyDescent="0.25">
      <c r="A1293" s="127"/>
      <c r="B1293" s="127"/>
      <c r="C1293" s="127"/>
      <c r="D1293" s="128"/>
      <c r="E1293" s="127"/>
      <c r="F1293" s="128"/>
      <c r="G1293" s="127"/>
      <c r="H1293" s="127"/>
      <c r="I1293" s="127"/>
      <c r="J1293" s="127"/>
      <c r="K1293" s="127"/>
      <c r="L1293" s="127"/>
      <c r="M1293" s="127"/>
      <c r="N1293" s="127"/>
      <c r="O1293" s="127"/>
      <c r="P1293" s="127"/>
    </row>
    <row r="1294" spans="1:16" ht="49.5" customHeight="1" x14ac:dyDescent="0.25">
      <c r="A1294" s="127"/>
      <c r="B1294" s="127"/>
      <c r="C1294" s="127"/>
      <c r="D1294" s="128"/>
      <c r="E1294" s="127"/>
      <c r="F1294" s="128"/>
      <c r="G1294" s="127"/>
      <c r="H1294" s="127"/>
      <c r="I1294" s="127"/>
      <c r="J1294" s="127"/>
      <c r="K1294" s="127"/>
      <c r="L1294" s="127"/>
      <c r="M1294" s="127"/>
      <c r="N1294" s="127"/>
      <c r="O1294" s="127"/>
      <c r="P1294" s="127"/>
    </row>
    <row r="1295" spans="1:16" ht="49.5" customHeight="1" x14ac:dyDescent="0.25">
      <c r="A1295" s="127"/>
      <c r="B1295" s="127"/>
      <c r="C1295" s="127"/>
      <c r="D1295" s="128"/>
      <c r="E1295" s="127"/>
      <c r="F1295" s="128"/>
      <c r="G1295" s="127"/>
      <c r="H1295" s="127"/>
      <c r="I1295" s="127"/>
      <c r="J1295" s="127"/>
      <c r="K1295" s="127"/>
      <c r="L1295" s="127"/>
      <c r="M1295" s="127"/>
      <c r="N1295" s="127"/>
      <c r="O1295" s="127"/>
      <c r="P1295" s="127"/>
    </row>
    <row r="1296" spans="1:16" ht="49.5" customHeight="1" x14ac:dyDescent="0.25">
      <c r="A1296" s="127"/>
      <c r="B1296" s="127"/>
      <c r="C1296" s="127"/>
      <c r="D1296" s="128"/>
      <c r="E1296" s="127"/>
      <c r="F1296" s="128"/>
      <c r="G1296" s="127"/>
      <c r="H1296" s="127"/>
      <c r="I1296" s="127"/>
      <c r="J1296" s="127"/>
      <c r="K1296" s="127"/>
      <c r="L1296" s="127"/>
      <c r="M1296" s="127"/>
      <c r="N1296" s="127"/>
      <c r="O1296" s="127"/>
      <c r="P1296" s="127"/>
    </row>
    <row r="1297" spans="1:16" ht="49.5" customHeight="1" x14ac:dyDescent="0.25">
      <c r="A1297" s="127"/>
      <c r="B1297" s="127"/>
      <c r="C1297" s="127"/>
      <c r="D1297" s="128"/>
      <c r="E1297" s="127"/>
      <c r="F1297" s="128"/>
      <c r="G1297" s="127"/>
      <c r="H1297" s="127"/>
      <c r="I1297" s="127"/>
      <c r="J1297" s="127"/>
      <c r="K1297" s="127"/>
      <c r="L1297" s="127"/>
      <c r="M1297" s="127"/>
      <c r="N1297" s="127"/>
      <c r="O1297" s="127"/>
      <c r="P1297" s="127"/>
    </row>
    <row r="1298" spans="1:16" ht="49.5" customHeight="1" x14ac:dyDescent="0.25">
      <c r="A1298" s="127"/>
      <c r="B1298" s="127"/>
      <c r="C1298" s="127"/>
      <c r="D1298" s="128"/>
      <c r="E1298" s="127"/>
      <c r="F1298" s="128"/>
      <c r="G1298" s="127"/>
      <c r="H1298" s="127"/>
      <c r="I1298" s="127"/>
      <c r="J1298" s="127"/>
      <c r="K1298" s="127"/>
      <c r="L1298" s="127"/>
      <c r="M1298" s="127"/>
      <c r="N1298" s="127"/>
      <c r="O1298" s="127"/>
      <c r="P1298" s="127"/>
    </row>
    <row r="1299" spans="1:16" ht="49.5" customHeight="1" x14ac:dyDescent="0.25">
      <c r="A1299" s="127"/>
      <c r="B1299" s="127"/>
      <c r="C1299" s="127"/>
      <c r="D1299" s="128"/>
      <c r="E1299" s="127"/>
      <c r="F1299" s="128"/>
      <c r="G1299" s="127"/>
      <c r="H1299" s="127"/>
      <c r="I1299" s="127"/>
      <c r="J1299" s="127"/>
      <c r="K1299" s="127"/>
      <c r="L1299" s="127"/>
      <c r="M1299" s="127"/>
      <c r="N1299" s="127"/>
      <c r="O1299" s="127"/>
      <c r="P1299" s="127"/>
    </row>
    <row r="1300" spans="1:16" ht="49.5" customHeight="1" x14ac:dyDescent="0.25">
      <c r="A1300" s="127"/>
      <c r="B1300" s="127"/>
      <c r="C1300" s="127"/>
      <c r="D1300" s="128"/>
      <c r="E1300" s="127"/>
      <c r="F1300" s="128"/>
      <c r="G1300" s="127"/>
      <c r="H1300" s="127"/>
      <c r="I1300" s="127"/>
      <c r="J1300" s="127"/>
      <c r="K1300" s="127"/>
      <c r="L1300" s="127"/>
      <c r="M1300" s="127"/>
      <c r="N1300" s="127"/>
      <c r="O1300" s="127"/>
      <c r="P1300" s="127"/>
    </row>
    <row r="1301" spans="1:16" ht="49.5" customHeight="1" x14ac:dyDescent="0.25">
      <c r="A1301" s="127"/>
      <c r="B1301" s="127"/>
      <c r="C1301" s="127"/>
      <c r="D1301" s="128"/>
      <c r="E1301" s="127"/>
      <c r="F1301" s="128"/>
      <c r="G1301" s="127"/>
      <c r="H1301" s="127"/>
      <c r="I1301" s="127"/>
      <c r="J1301" s="127"/>
      <c r="K1301" s="127"/>
      <c r="L1301" s="127"/>
      <c r="M1301" s="127"/>
      <c r="N1301" s="127"/>
      <c r="O1301" s="127"/>
      <c r="P1301" s="127"/>
    </row>
    <row r="1302" spans="1:16" ht="49.5" customHeight="1" x14ac:dyDescent="0.25">
      <c r="A1302" s="127"/>
      <c r="B1302" s="127"/>
      <c r="C1302" s="127"/>
      <c r="D1302" s="128"/>
      <c r="E1302" s="127"/>
      <c r="F1302" s="128"/>
      <c r="G1302" s="127"/>
      <c r="H1302" s="127"/>
      <c r="I1302" s="127"/>
      <c r="J1302" s="127"/>
      <c r="K1302" s="127"/>
      <c r="L1302" s="127"/>
      <c r="M1302" s="127"/>
      <c r="N1302" s="127"/>
      <c r="O1302" s="127"/>
      <c r="P1302" s="127"/>
    </row>
    <row r="1303" spans="1:16" ht="49.5" customHeight="1" x14ac:dyDescent="0.25">
      <c r="A1303" s="127"/>
      <c r="B1303" s="127"/>
      <c r="C1303" s="127"/>
      <c r="D1303" s="128"/>
      <c r="E1303" s="127"/>
      <c r="F1303" s="128"/>
      <c r="G1303" s="127"/>
      <c r="H1303" s="127"/>
      <c r="I1303" s="127"/>
      <c r="J1303" s="127"/>
      <c r="K1303" s="127"/>
      <c r="L1303" s="127"/>
      <c r="M1303" s="127"/>
      <c r="N1303" s="127"/>
      <c r="O1303" s="127"/>
      <c r="P1303" s="127"/>
    </row>
    <row r="1304" spans="1:16" ht="49.5" customHeight="1" x14ac:dyDescent="0.25">
      <c r="A1304" s="127"/>
      <c r="B1304" s="127"/>
      <c r="C1304" s="127"/>
      <c r="D1304" s="128"/>
      <c r="E1304" s="127"/>
      <c r="F1304" s="128"/>
      <c r="G1304" s="127"/>
      <c r="H1304" s="127"/>
      <c r="I1304" s="127"/>
      <c r="J1304" s="127"/>
      <c r="K1304" s="127"/>
      <c r="L1304" s="127"/>
      <c r="M1304" s="127"/>
      <c r="N1304" s="127"/>
      <c r="O1304" s="127"/>
      <c r="P1304" s="127"/>
    </row>
    <row r="1305" spans="1:16" ht="49.5" customHeight="1" x14ac:dyDescent="0.25">
      <c r="A1305" s="127"/>
      <c r="B1305" s="127"/>
      <c r="C1305" s="127"/>
      <c r="D1305" s="128"/>
      <c r="E1305" s="127"/>
      <c r="F1305" s="128"/>
      <c r="G1305" s="127"/>
      <c r="H1305" s="127"/>
      <c r="I1305" s="127"/>
      <c r="J1305" s="127"/>
      <c r="K1305" s="127"/>
      <c r="L1305" s="127"/>
      <c r="M1305" s="127"/>
      <c r="N1305" s="127"/>
      <c r="O1305" s="127"/>
      <c r="P1305" s="127"/>
    </row>
    <row r="1306" spans="1:16" ht="49.5" customHeight="1" x14ac:dyDescent="0.25">
      <c r="A1306" s="127"/>
      <c r="B1306" s="127"/>
      <c r="C1306" s="127"/>
      <c r="D1306" s="128"/>
      <c r="E1306" s="127"/>
      <c r="F1306" s="128"/>
      <c r="G1306" s="127"/>
      <c r="H1306" s="127"/>
      <c r="I1306" s="127"/>
      <c r="J1306" s="127"/>
      <c r="K1306" s="127"/>
      <c r="L1306" s="127"/>
      <c r="M1306" s="127"/>
      <c r="N1306" s="127"/>
      <c r="O1306" s="127"/>
      <c r="P1306" s="127"/>
    </row>
    <row r="1307" spans="1:16" ht="49.5" customHeight="1" x14ac:dyDescent="0.25">
      <c r="A1307" s="127"/>
      <c r="B1307" s="127"/>
      <c r="C1307" s="127"/>
      <c r="D1307" s="128"/>
      <c r="E1307" s="127"/>
      <c r="F1307" s="128"/>
      <c r="G1307" s="127"/>
      <c r="H1307" s="127"/>
      <c r="I1307" s="127"/>
      <c r="J1307" s="127"/>
      <c r="K1307" s="127"/>
      <c r="L1307" s="127"/>
      <c r="M1307" s="127"/>
      <c r="N1307" s="127"/>
      <c r="O1307" s="127"/>
      <c r="P1307" s="127"/>
    </row>
    <row r="1308" spans="1:16" ht="49.5" customHeight="1" x14ac:dyDescent="0.25">
      <c r="A1308" s="127"/>
      <c r="B1308" s="127"/>
      <c r="C1308" s="127"/>
      <c r="D1308" s="128"/>
      <c r="E1308" s="127"/>
      <c r="F1308" s="128"/>
      <c r="G1308" s="127"/>
      <c r="H1308" s="127"/>
      <c r="I1308" s="127"/>
      <c r="J1308" s="127"/>
      <c r="K1308" s="127"/>
      <c r="L1308" s="127"/>
      <c r="M1308" s="127"/>
      <c r="N1308" s="127"/>
      <c r="O1308" s="127"/>
      <c r="P1308" s="127"/>
    </row>
    <row r="1309" spans="1:16" ht="49.5" customHeight="1" x14ac:dyDescent="0.25">
      <c r="A1309" s="127"/>
      <c r="B1309" s="127"/>
      <c r="C1309" s="127"/>
      <c r="D1309" s="128"/>
      <c r="E1309" s="127"/>
      <c r="F1309" s="128"/>
      <c r="G1309" s="127"/>
      <c r="H1309" s="127"/>
      <c r="I1309" s="127"/>
      <c r="J1309" s="127"/>
      <c r="K1309" s="127"/>
      <c r="L1309" s="127"/>
      <c r="M1309" s="127"/>
      <c r="N1309" s="127"/>
      <c r="O1309" s="127"/>
      <c r="P1309" s="127"/>
    </row>
    <row r="1310" spans="1:16" ht="49.5" customHeight="1" x14ac:dyDescent="0.25">
      <c r="A1310" s="127"/>
      <c r="B1310" s="127"/>
      <c r="C1310" s="127"/>
      <c r="D1310" s="128"/>
      <c r="E1310" s="127"/>
      <c r="F1310" s="128"/>
      <c r="G1310" s="127"/>
      <c r="H1310" s="127"/>
      <c r="I1310" s="127"/>
      <c r="J1310" s="127"/>
      <c r="K1310" s="127"/>
      <c r="L1310" s="127"/>
      <c r="M1310" s="127"/>
      <c r="N1310" s="127"/>
      <c r="O1310" s="127"/>
      <c r="P1310" s="127"/>
    </row>
    <row r="1311" spans="1:16" ht="49.5" customHeight="1" x14ac:dyDescent="0.25">
      <c r="A1311" s="127"/>
      <c r="B1311" s="127"/>
      <c r="C1311" s="127"/>
      <c r="D1311" s="128"/>
      <c r="E1311" s="127"/>
      <c r="F1311" s="128"/>
      <c r="G1311" s="127"/>
      <c r="H1311" s="127"/>
      <c r="I1311" s="127"/>
      <c r="J1311" s="127"/>
      <c r="K1311" s="127"/>
      <c r="L1311" s="127"/>
      <c r="M1311" s="127"/>
      <c r="N1311" s="127"/>
      <c r="O1311" s="127"/>
      <c r="P1311" s="127"/>
    </row>
    <row r="1312" spans="1:16" ht="49.5" customHeight="1" x14ac:dyDescent="0.25">
      <c r="A1312" s="127"/>
      <c r="B1312" s="127"/>
      <c r="C1312" s="127"/>
      <c r="D1312" s="128"/>
      <c r="E1312" s="127"/>
      <c r="F1312" s="128"/>
      <c r="G1312" s="127"/>
      <c r="H1312" s="127"/>
      <c r="I1312" s="127"/>
      <c r="J1312" s="127"/>
      <c r="K1312" s="127"/>
      <c r="L1312" s="127"/>
      <c r="M1312" s="127"/>
      <c r="N1312" s="127"/>
      <c r="O1312" s="127"/>
      <c r="P1312" s="127"/>
    </row>
    <row r="1313" spans="1:16" ht="49.5" customHeight="1" x14ac:dyDescent="0.25">
      <c r="A1313" s="127"/>
      <c r="B1313" s="127"/>
      <c r="C1313" s="127"/>
      <c r="D1313" s="128"/>
      <c r="E1313" s="127"/>
      <c r="F1313" s="128"/>
      <c r="G1313" s="127"/>
      <c r="H1313" s="127"/>
      <c r="I1313" s="127"/>
      <c r="J1313" s="127"/>
      <c r="K1313" s="127"/>
      <c r="L1313" s="127"/>
      <c r="M1313" s="127"/>
      <c r="N1313" s="127"/>
      <c r="O1313" s="127"/>
      <c r="P1313" s="127"/>
    </row>
    <row r="1314" spans="1:16" ht="49.5" customHeight="1" x14ac:dyDescent="0.25">
      <c r="A1314" s="127"/>
      <c r="B1314" s="127"/>
      <c r="C1314" s="127"/>
      <c r="D1314" s="128"/>
      <c r="E1314" s="127"/>
      <c r="F1314" s="128"/>
      <c r="G1314" s="127"/>
      <c r="H1314" s="127"/>
      <c r="I1314" s="127"/>
      <c r="J1314" s="127"/>
      <c r="K1314" s="127"/>
      <c r="L1314" s="127"/>
      <c r="M1314" s="127"/>
      <c r="N1314" s="127"/>
      <c r="O1314" s="127"/>
      <c r="P1314" s="127"/>
    </row>
    <row r="1315" spans="1:16" ht="49.5" customHeight="1" x14ac:dyDescent="0.25">
      <c r="A1315" s="127"/>
      <c r="B1315" s="127"/>
      <c r="C1315" s="127"/>
      <c r="D1315" s="128"/>
      <c r="E1315" s="127"/>
      <c r="F1315" s="128"/>
      <c r="G1315" s="127"/>
      <c r="H1315" s="127"/>
      <c r="I1315" s="127"/>
      <c r="J1315" s="127"/>
      <c r="K1315" s="127"/>
      <c r="L1315" s="127"/>
      <c r="M1315" s="127"/>
      <c r="N1315" s="127"/>
      <c r="O1315" s="127"/>
      <c r="P1315" s="127"/>
    </row>
    <row r="1316" spans="1:16" ht="49.5" customHeight="1" x14ac:dyDescent="0.25">
      <c r="A1316" s="127"/>
      <c r="B1316" s="127"/>
      <c r="C1316" s="127"/>
      <c r="D1316" s="128"/>
      <c r="E1316" s="127"/>
      <c r="F1316" s="128"/>
      <c r="G1316" s="127"/>
      <c r="H1316" s="127"/>
      <c r="I1316" s="127"/>
      <c r="J1316" s="127"/>
      <c r="K1316" s="127"/>
      <c r="L1316" s="127"/>
      <c r="M1316" s="127"/>
      <c r="N1316" s="127"/>
      <c r="O1316" s="127"/>
      <c r="P1316" s="127"/>
    </row>
    <row r="1317" spans="1:16" ht="49.5" customHeight="1" x14ac:dyDescent="0.25">
      <c r="A1317" s="127"/>
      <c r="B1317" s="127"/>
      <c r="C1317" s="127"/>
      <c r="D1317" s="128"/>
      <c r="E1317" s="127"/>
      <c r="F1317" s="128"/>
      <c r="G1317" s="127"/>
      <c r="H1317" s="127"/>
      <c r="I1317" s="127"/>
      <c r="J1317" s="127"/>
      <c r="K1317" s="127"/>
      <c r="L1317" s="127"/>
      <c r="M1317" s="127"/>
      <c r="N1317" s="127"/>
      <c r="O1317" s="127"/>
      <c r="P1317" s="127"/>
    </row>
    <row r="1318" spans="1:16" ht="49.5" customHeight="1" x14ac:dyDescent="0.25">
      <c r="A1318" s="127"/>
      <c r="B1318" s="127"/>
      <c r="C1318" s="127"/>
      <c r="D1318" s="128"/>
      <c r="E1318" s="127"/>
      <c r="F1318" s="128"/>
      <c r="G1318" s="127"/>
      <c r="H1318" s="127"/>
      <c r="I1318" s="127"/>
      <c r="J1318" s="127"/>
      <c r="K1318" s="127"/>
      <c r="L1318" s="127"/>
      <c r="M1318" s="127"/>
      <c r="N1318" s="127"/>
      <c r="O1318" s="127"/>
      <c r="P1318" s="127"/>
    </row>
    <row r="1319" spans="1:16" ht="49.5" customHeight="1" x14ac:dyDescent="0.25">
      <c r="A1319" s="127"/>
      <c r="B1319" s="127"/>
      <c r="C1319" s="127"/>
      <c r="D1319" s="128"/>
      <c r="E1319" s="127"/>
      <c r="F1319" s="128"/>
      <c r="G1319" s="127"/>
      <c r="H1319" s="127"/>
      <c r="I1319" s="127"/>
      <c r="J1319" s="127"/>
      <c r="K1319" s="127"/>
      <c r="L1319" s="127"/>
      <c r="M1319" s="127"/>
      <c r="N1319" s="127"/>
      <c r="O1319" s="127"/>
      <c r="P1319" s="127"/>
    </row>
    <row r="1320" spans="1:16" ht="49.5" customHeight="1" x14ac:dyDescent="0.25">
      <c r="A1320" s="127"/>
      <c r="B1320" s="127"/>
      <c r="C1320" s="127"/>
      <c r="D1320" s="128"/>
      <c r="E1320" s="127"/>
      <c r="F1320" s="128"/>
      <c r="G1320" s="127"/>
      <c r="H1320" s="127"/>
      <c r="I1320" s="127"/>
      <c r="J1320" s="127"/>
      <c r="K1320" s="127"/>
      <c r="L1320" s="127"/>
      <c r="M1320" s="127"/>
      <c r="N1320" s="127"/>
      <c r="O1320" s="127"/>
      <c r="P1320" s="127"/>
    </row>
    <row r="1321" spans="1:16" ht="49.5" customHeight="1" x14ac:dyDescent="0.25">
      <c r="A1321" s="127"/>
      <c r="B1321" s="127"/>
      <c r="C1321" s="127"/>
      <c r="D1321" s="128"/>
      <c r="E1321" s="127"/>
      <c r="F1321" s="128"/>
      <c r="G1321" s="127"/>
      <c r="H1321" s="127"/>
      <c r="I1321" s="127"/>
      <c r="J1321" s="127"/>
      <c r="K1321" s="127"/>
      <c r="L1321" s="127"/>
      <c r="M1321" s="127"/>
      <c r="N1321" s="127"/>
      <c r="O1321" s="127"/>
      <c r="P1321" s="127"/>
    </row>
    <row r="1322" spans="1:16" ht="49.5" customHeight="1" x14ac:dyDescent="0.25">
      <c r="A1322" s="127"/>
      <c r="B1322" s="127"/>
      <c r="C1322" s="127"/>
      <c r="D1322" s="128"/>
      <c r="E1322" s="127"/>
      <c r="F1322" s="128"/>
      <c r="G1322" s="127"/>
      <c r="H1322" s="127"/>
      <c r="I1322" s="127"/>
      <c r="J1322" s="127"/>
      <c r="K1322" s="127"/>
      <c r="L1322" s="127"/>
      <c r="M1322" s="127"/>
      <c r="N1322" s="127"/>
      <c r="O1322" s="127"/>
      <c r="P1322" s="127"/>
    </row>
    <row r="1323" spans="1:16" ht="49.5" customHeight="1" x14ac:dyDescent="0.25">
      <c r="A1323" s="127"/>
      <c r="B1323" s="127"/>
      <c r="C1323" s="127"/>
      <c r="D1323" s="128"/>
      <c r="E1323" s="127"/>
      <c r="F1323" s="128"/>
      <c r="G1323" s="127"/>
      <c r="H1323" s="127"/>
      <c r="I1323" s="127"/>
      <c r="J1323" s="127"/>
      <c r="K1323" s="127"/>
      <c r="L1323" s="127"/>
      <c r="M1323" s="127"/>
      <c r="N1323" s="127"/>
      <c r="O1323" s="127"/>
      <c r="P1323" s="127"/>
    </row>
    <row r="1324" spans="1:16" ht="49.5" customHeight="1" x14ac:dyDescent="0.25">
      <c r="A1324" s="127"/>
      <c r="B1324" s="127"/>
      <c r="C1324" s="127"/>
      <c r="D1324" s="128"/>
      <c r="E1324" s="127"/>
      <c r="F1324" s="128"/>
      <c r="G1324" s="127"/>
      <c r="H1324" s="127"/>
      <c r="I1324" s="127"/>
      <c r="J1324" s="127"/>
      <c r="K1324" s="127"/>
      <c r="L1324" s="127"/>
      <c r="M1324" s="127"/>
      <c r="N1324" s="127"/>
      <c r="O1324" s="127"/>
      <c r="P1324" s="127"/>
    </row>
    <row r="1325" spans="1:16" ht="49.5" customHeight="1" x14ac:dyDescent="0.25">
      <c r="A1325" s="127"/>
      <c r="B1325" s="127"/>
      <c r="C1325" s="127"/>
      <c r="D1325" s="128"/>
      <c r="E1325" s="127"/>
      <c r="F1325" s="128"/>
      <c r="G1325" s="127"/>
      <c r="H1325" s="127"/>
      <c r="I1325" s="127"/>
      <c r="J1325" s="127"/>
      <c r="K1325" s="127"/>
      <c r="L1325" s="127"/>
      <c r="M1325" s="127"/>
      <c r="N1325" s="127"/>
      <c r="O1325" s="127"/>
      <c r="P1325" s="127"/>
    </row>
    <row r="1326" spans="1:16" ht="49.5" customHeight="1" x14ac:dyDescent="0.25">
      <c r="A1326" s="127"/>
      <c r="B1326" s="127"/>
      <c r="C1326" s="127"/>
      <c r="D1326" s="128"/>
      <c r="E1326" s="127"/>
      <c r="F1326" s="128"/>
      <c r="G1326" s="127"/>
      <c r="H1326" s="127"/>
      <c r="I1326" s="127"/>
      <c r="J1326" s="127"/>
      <c r="K1326" s="127"/>
      <c r="L1326" s="127"/>
      <c r="M1326" s="127"/>
      <c r="N1326" s="127"/>
      <c r="O1326" s="127"/>
      <c r="P1326" s="127"/>
    </row>
    <row r="1327" spans="1:16" ht="49.5" customHeight="1" x14ac:dyDescent="0.25">
      <c r="A1327" s="127"/>
      <c r="B1327" s="127"/>
      <c r="C1327" s="127"/>
      <c r="D1327" s="128"/>
      <c r="E1327" s="127"/>
      <c r="F1327" s="128"/>
      <c r="G1327" s="127"/>
      <c r="H1327" s="127"/>
      <c r="I1327" s="127"/>
      <c r="J1327" s="127"/>
      <c r="K1327" s="127"/>
      <c r="L1327" s="127"/>
      <c r="M1327" s="127"/>
      <c r="N1327" s="127"/>
      <c r="O1327" s="127"/>
      <c r="P1327" s="127"/>
    </row>
    <row r="1328" spans="1:16" ht="49.5" customHeight="1" x14ac:dyDescent="0.25">
      <c r="A1328" s="127"/>
      <c r="B1328" s="127"/>
      <c r="C1328" s="127"/>
      <c r="D1328" s="128"/>
      <c r="E1328" s="127"/>
      <c r="F1328" s="128"/>
      <c r="G1328" s="127"/>
      <c r="H1328" s="127"/>
      <c r="I1328" s="127"/>
      <c r="J1328" s="127"/>
      <c r="K1328" s="127"/>
      <c r="L1328" s="127"/>
      <c r="M1328" s="127"/>
      <c r="N1328" s="127"/>
      <c r="O1328" s="127"/>
      <c r="P1328" s="127"/>
    </row>
    <row r="1329" spans="1:16" ht="49.5" customHeight="1" x14ac:dyDescent="0.25">
      <c r="A1329" s="127"/>
      <c r="B1329" s="127"/>
      <c r="C1329" s="127"/>
      <c r="D1329" s="128"/>
      <c r="E1329" s="127"/>
      <c r="F1329" s="128"/>
      <c r="G1329" s="127"/>
      <c r="H1329" s="127"/>
      <c r="I1329" s="127"/>
      <c r="J1329" s="127"/>
      <c r="K1329" s="127"/>
      <c r="L1329" s="127"/>
      <c r="M1329" s="127"/>
      <c r="N1329" s="127"/>
      <c r="O1329" s="127"/>
      <c r="P1329" s="127"/>
    </row>
    <row r="1330" spans="1:16" ht="49.5" customHeight="1" x14ac:dyDescent="0.25">
      <c r="A1330" s="127"/>
      <c r="B1330" s="127"/>
      <c r="C1330" s="127"/>
      <c r="D1330" s="128"/>
      <c r="E1330" s="127"/>
      <c r="F1330" s="128"/>
      <c r="G1330" s="127"/>
      <c r="H1330" s="127"/>
      <c r="I1330" s="127"/>
      <c r="J1330" s="127"/>
      <c r="K1330" s="127"/>
      <c r="L1330" s="127"/>
      <c r="M1330" s="127"/>
      <c r="N1330" s="127"/>
      <c r="O1330" s="127"/>
      <c r="P1330" s="127"/>
    </row>
    <row r="1331" spans="1:16" ht="49.5" customHeight="1" x14ac:dyDescent="0.25">
      <c r="A1331" s="127"/>
      <c r="B1331" s="127"/>
      <c r="C1331" s="127"/>
      <c r="D1331" s="128"/>
      <c r="E1331" s="127"/>
      <c r="F1331" s="128"/>
      <c r="G1331" s="127"/>
      <c r="H1331" s="127"/>
      <c r="I1331" s="127"/>
      <c r="J1331" s="127"/>
      <c r="K1331" s="127"/>
      <c r="L1331" s="127"/>
      <c r="M1331" s="127"/>
      <c r="N1331" s="127"/>
      <c r="O1331" s="127"/>
      <c r="P1331" s="127"/>
    </row>
    <row r="1332" spans="1:16" ht="49.5" customHeight="1" x14ac:dyDescent="0.25">
      <c r="A1332" s="127"/>
      <c r="B1332" s="127"/>
      <c r="C1332" s="127"/>
      <c r="D1332" s="128"/>
      <c r="E1332" s="127"/>
      <c r="F1332" s="128"/>
      <c r="G1332" s="127"/>
      <c r="H1332" s="127"/>
      <c r="I1332" s="127"/>
      <c r="J1332" s="127"/>
      <c r="K1332" s="127"/>
      <c r="L1332" s="127"/>
      <c r="M1332" s="127"/>
      <c r="N1332" s="127"/>
      <c r="O1332" s="127"/>
      <c r="P1332" s="127"/>
    </row>
    <row r="1333" spans="1:16" ht="49.5" customHeight="1" x14ac:dyDescent="0.25">
      <c r="A1333" s="127"/>
      <c r="B1333" s="127"/>
      <c r="C1333" s="127"/>
      <c r="D1333" s="128"/>
      <c r="E1333" s="127"/>
      <c r="F1333" s="128"/>
      <c r="G1333" s="127"/>
      <c r="H1333" s="127"/>
      <c r="I1333" s="127"/>
      <c r="J1333" s="127"/>
      <c r="K1333" s="127"/>
      <c r="L1333" s="127"/>
      <c r="M1333" s="127"/>
      <c r="N1333" s="127"/>
      <c r="O1333" s="127"/>
      <c r="P1333" s="127"/>
    </row>
    <row r="1334" spans="1:16" ht="49.5" customHeight="1" x14ac:dyDescent="0.25">
      <c r="A1334" s="127"/>
      <c r="B1334" s="127"/>
      <c r="C1334" s="127"/>
      <c r="D1334" s="128"/>
      <c r="E1334" s="127"/>
      <c r="F1334" s="128"/>
      <c r="G1334" s="127"/>
      <c r="H1334" s="127"/>
      <c r="I1334" s="127"/>
      <c r="J1334" s="127"/>
      <c r="K1334" s="127"/>
      <c r="L1334" s="127"/>
      <c r="M1334" s="127"/>
      <c r="N1334" s="127"/>
      <c r="O1334" s="127"/>
      <c r="P1334" s="127"/>
    </row>
    <row r="1335" spans="1:16" ht="49.5" customHeight="1" x14ac:dyDescent="0.25">
      <c r="A1335" s="127"/>
      <c r="B1335" s="127"/>
      <c r="C1335" s="127"/>
      <c r="D1335" s="128"/>
      <c r="E1335" s="127"/>
      <c r="F1335" s="128"/>
      <c r="G1335" s="127"/>
      <c r="H1335" s="127"/>
      <c r="I1335" s="127"/>
      <c r="J1335" s="127"/>
      <c r="K1335" s="127"/>
      <c r="L1335" s="127"/>
      <c r="M1335" s="127"/>
      <c r="N1335" s="127"/>
      <c r="O1335" s="127"/>
      <c r="P1335" s="127"/>
    </row>
    <row r="1336" spans="1:16" ht="49.5" customHeight="1" x14ac:dyDescent="0.25">
      <c r="A1336" s="127"/>
      <c r="B1336" s="127"/>
      <c r="C1336" s="127"/>
      <c r="D1336" s="128"/>
      <c r="E1336" s="127"/>
      <c r="F1336" s="128"/>
      <c r="G1336" s="127"/>
      <c r="H1336" s="127"/>
      <c r="I1336" s="127"/>
      <c r="J1336" s="127"/>
      <c r="K1336" s="127"/>
      <c r="L1336" s="127"/>
      <c r="M1336" s="127"/>
      <c r="N1336" s="127"/>
      <c r="O1336" s="127"/>
      <c r="P1336" s="127"/>
    </row>
    <row r="1337" spans="1:16" ht="49.5" customHeight="1" x14ac:dyDescent="0.25">
      <c r="A1337" s="127"/>
      <c r="B1337" s="127"/>
      <c r="C1337" s="127"/>
      <c r="D1337" s="128"/>
      <c r="E1337" s="127"/>
      <c r="F1337" s="128"/>
      <c r="G1337" s="127"/>
      <c r="H1337" s="127"/>
      <c r="I1337" s="127"/>
      <c r="J1337" s="127"/>
      <c r="K1337" s="127"/>
      <c r="L1337" s="127"/>
      <c r="M1337" s="127"/>
      <c r="N1337" s="127"/>
      <c r="O1337" s="127"/>
      <c r="P1337" s="127"/>
    </row>
    <row r="1338" spans="1:16" ht="49.5" customHeight="1" x14ac:dyDescent="0.25">
      <c r="A1338" s="127"/>
      <c r="B1338" s="127"/>
      <c r="C1338" s="127"/>
      <c r="D1338" s="128"/>
      <c r="E1338" s="127"/>
      <c r="F1338" s="128"/>
      <c r="G1338" s="127"/>
      <c r="H1338" s="127"/>
      <c r="I1338" s="127"/>
      <c r="J1338" s="127"/>
      <c r="K1338" s="127"/>
      <c r="L1338" s="127"/>
      <c r="M1338" s="127"/>
      <c r="N1338" s="127"/>
      <c r="O1338" s="127"/>
      <c r="P1338" s="127"/>
    </row>
    <row r="1339" spans="1:16" ht="49.5" customHeight="1" x14ac:dyDescent="0.25">
      <c r="A1339" s="127"/>
      <c r="B1339" s="127"/>
      <c r="C1339" s="127"/>
      <c r="D1339" s="128"/>
      <c r="E1339" s="127"/>
      <c r="F1339" s="128"/>
      <c r="G1339" s="127"/>
      <c r="H1339" s="127"/>
      <c r="I1339" s="127"/>
      <c r="J1339" s="127"/>
      <c r="K1339" s="127"/>
      <c r="L1339" s="127"/>
      <c r="M1339" s="127"/>
      <c r="N1339" s="127"/>
      <c r="O1339" s="127"/>
      <c r="P1339" s="127"/>
    </row>
    <row r="1340" spans="1:16" ht="49.5" customHeight="1" x14ac:dyDescent="0.25">
      <c r="A1340" s="127"/>
      <c r="B1340" s="127"/>
      <c r="C1340" s="127"/>
      <c r="D1340" s="128"/>
      <c r="E1340" s="127"/>
      <c r="F1340" s="128"/>
      <c r="G1340" s="127"/>
      <c r="H1340" s="127"/>
      <c r="I1340" s="127"/>
      <c r="J1340" s="127"/>
      <c r="K1340" s="127"/>
      <c r="L1340" s="127"/>
      <c r="M1340" s="127"/>
      <c r="N1340" s="127"/>
      <c r="O1340" s="127"/>
      <c r="P1340" s="127"/>
    </row>
    <row r="1341" spans="1:16" ht="49.5" customHeight="1" x14ac:dyDescent="0.25">
      <c r="A1341" s="127"/>
      <c r="B1341" s="127"/>
      <c r="C1341" s="127"/>
      <c r="D1341" s="128"/>
      <c r="E1341" s="127"/>
      <c r="F1341" s="128"/>
      <c r="G1341" s="127"/>
      <c r="H1341" s="127"/>
      <c r="I1341" s="127"/>
      <c r="J1341" s="127"/>
      <c r="K1341" s="127"/>
      <c r="L1341" s="127"/>
      <c r="M1341" s="127"/>
      <c r="N1341" s="127"/>
      <c r="O1341" s="127"/>
      <c r="P1341" s="127"/>
    </row>
    <row r="1342" spans="1:16" ht="49.5" customHeight="1" x14ac:dyDescent="0.25">
      <c r="A1342" s="127"/>
      <c r="B1342" s="127"/>
      <c r="C1342" s="127"/>
      <c r="D1342" s="128"/>
      <c r="E1342" s="127"/>
      <c r="F1342" s="128"/>
      <c r="G1342" s="127"/>
      <c r="H1342" s="127"/>
      <c r="I1342" s="127"/>
      <c r="J1342" s="127"/>
      <c r="K1342" s="127"/>
      <c r="L1342" s="127"/>
      <c r="M1342" s="127"/>
      <c r="N1342" s="127"/>
      <c r="O1342" s="127"/>
      <c r="P1342" s="127"/>
    </row>
    <row r="1343" spans="1:16" ht="49.5" customHeight="1" x14ac:dyDescent="0.25">
      <c r="A1343" s="127"/>
      <c r="B1343" s="127"/>
      <c r="C1343" s="127"/>
      <c r="D1343" s="128"/>
      <c r="E1343" s="127"/>
      <c r="F1343" s="128"/>
      <c r="G1343" s="127"/>
      <c r="H1343" s="127"/>
      <c r="I1343" s="127"/>
      <c r="J1343" s="127"/>
      <c r="K1343" s="127"/>
      <c r="L1343" s="127"/>
      <c r="M1343" s="127"/>
      <c r="N1343" s="127"/>
      <c r="O1343" s="127"/>
      <c r="P1343" s="127"/>
    </row>
    <row r="1344" spans="1:16" ht="49.5" customHeight="1" x14ac:dyDescent="0.25">
      <c r="A1344" s="127"/>
      <c r="B1344" s="127"/>
      <c r="C1344" s="127"/>
      <c r="D1344" s="128"/>
      <c r="E1344" s="127"/>
      <c r="F1344" s="128"/>
      <c r="G1344" s="127"/>
      <c r="H1344" s="127"/>
      <c r="I1344" s="127"/>
      <c r="J1344" s="127"/>
      <c r="K1344" s="127"/>
      <c r="L1344" s="127"/>
      <c r="M1344" s="127"/>
      <c r="N1344" s="127"/>
      <c r="O1344" s="127"/>
      <c r="P1344" s="127"/>
    </row>
    <row r="1345" spans="1:16" ht="49.5" customHeight="1" x14ac:dyDescent="0.25">
      <c r="A1345" s="127"/>
      <c r="B1345" s="127"/>
      <c r="C1345" s="127"/>
      <c r="D1345" s="128"/>
      <c r="E1345" s="127"/>
      <c r="F1345" s="128"/>
      <c r="G1345" s="127"/>
      <c r="H1345" s="127"/>
      <c r="I1345" s="127"/>
      <c r="J1345" s="127"/>
      <c r="K1345" s="127"/>
      <c r="L1345" s="127"/>
      <c r="M1345" s="127"/>
      <c r="N1345" s="127"/>
      <c r="O1345" s="127"/>
      <c r="P1345" s="127"/>
    </row>
    <row r="1346" spans="1:16" ht="49.5" customHeight="1" x14ac:dyDescent="0.25">
      <c r="A1346" s="127"/>
      <c r="B1346" s="127"/>
      <c r="C1346" s="127"/>
      <c r="D1346" s="128"/>
      <c r="E1346" s="127"/>
      <c r="F1346" s="128"/>
      <c r="G1346" s="127"/>
      <c r="H1346" s="127"/>
      <c r="I1346" s="127"/>
      <c r="J1346" s="127"/>
      <c r="K1346" s="127"/>
      <c r="L1346" s="127"/>
      <c r="M1346" s="127"/>
      <c r="N1346" s="127"/>
      <c r="O1346" s="127"/>
      <c r="P1346" s="127"/>
    </row>
    <row r="1347" spans="1:16" ht="49.5" customHeight="1" x14ac:dyDescent="0.25">
      <c r="A1347" s="127"/>
      <c r="B1347" s="127"/>
      <c r="C1347" s="127"/>
      <c r="D1347" s="128"/>
      <c r="E1347" s="127"/>
      <c r="F1347" s="128"/>
      <c r="G1347" s="127"/>
      <c r="H1347" s="127"/>
      <c r="I1347" s="127"/>
      <c r="J1347" s="127"/>
      <c r="K1347" s="127"/>
      <c r="L1347" s="127"/>
      <c r="M1347" s="127"/>
      <c r="N1347" s="127"/>
      <c r="O1347" s="127"/>
      <c r="P1347" s="127"/>
    </row>
    <row r="1348" spans="1:16" ht="49.5" customHeight="1" x14ac:dyDescent="0.25">
      <c r="A1348" s="127"/>
      <c r="B1348" s="127"/>
      <c r="C1348" s="127"/>
      <c r="D1348" s="128"/>
      <c r="E1348" s="127"/>
      <c r="F1348" s="128"/>
      <c r="G1348" s="127"/>
      <c r="H1348" s="127"/>
      <c r="I1348" s="127"/>
      <c r="J1348" s="127"/>
      <c r="K1348" s="127"/>
      <c r="L1348" s="127"/>
      <c r="M1348" s="127"/>
      <c r="N1348" s="127"/>
      <c r="O1348" s="127"/>
      <c r="P1348" s="127"/>
    </row>
    <row r="1349" spans="1:16" ht="49.5" customHeight="1" x14ac:dyDescent="0.25">
      <c r="A1349" s="127"/>
      <c r="B1349" s="127"/>
      <c r="C1349" s="127"/>
      <c r="D1349" s="128"/>
      <c r="E1349" s="127"/>
      <c r="F1349" s="128"/>
      <c r="G1349" s="127"/>
      <c r="H1349" s="127"/>
      <c r="I1349" s="127"/>
      <c r="J1349" s="127"/>
      <c r="K1349" s="127"/>
      <c r="L1349" s="127"/>
      <c r="M1349" s="127"/>
      <c r="N1349" s="127"/>
      <c r="O1349" s="127"/>
      <c r="P1349" s="127"/>
    </row>
    <row r="1350" spans="1:16" ht="49.5" customHeight="1" x14ac:dyDescent="0.25">
      <c r="A1350" s="127"/>
      <c r="B1350" s="127"/>
      <c r="C1350" s="127"/>
      <c r="D1350" s="128"/>
      <c r="E1350" s="127"/>
      <c r="F1350" s="128"/>
      <c r="G1350" s="127"/>
      <c r="H1350" s="127"/>
      <c r="I1350" s="127"/>
      <c r="J1350" s="127"/>
      <c r="K1350" s="127"/>
      <c r="L1350" s="127"/>
      <c r="M1350" s="127"/>
      <c r="N1350" s="127"/>
      <c r="O1350" s="127"/>
      <c r="P1350" s="127"/>
    </row>
    <row r="1351" spans="1:16" ht="49.5" customHeight="1" x14ac:dyDescent="0.25">
      <c r="A1351" s="127"/>
      <c r="B1351" s="127"/>
      <c r="C1351" s="127"/>
      <c r="D1351" s="128"/>
      <c r="E1351" s="127"/>
      <c r="F1351" s="128"/>
      <c r="G1351" s="127"/>
      <c r="H1351" s="127"/>
      <c r="I1351" s="127"/>
      <c r="J1351" s="127"/>
      <c r="K1351" s="127"/>
      <c r="L1351" s="127"/>
      <c r="M1351" s="127"/>
      <c r="N1351" s="127"/>
      <c r="O1351" s="127"/>
      <c r="P1351" s="127"/>
    </row>
    <row r="1352" spans="1:16" ht="49.5" customHeight="1" x14ac:dyDescent="0.25">
      <c r="A1352" s="127"/>
      <c r="B1352" s="127"/>
      <c r="C1352" s="127"/>
      <c r="D1352" s="128"/>
      <c r="E1352" s="127"/>
      <c r="F1352" s="128"/>
      <c r="G1352" s="127"/>
      <c r="H1352" s="127"/>
      <c r="I1352" s="127"/>
      <c r="J1352" s="127"/>
      <c r="K1352" s="127"/>
      <c r="L1352" s="127"/>
      <c r="M1352" s="127"/>
      <c r="N1352" s="127"/>
      <c r="O1352" s="127"/>
      <c r="P1352" s="127"/>
    </row>
    <row r="1353" spans="1:16" ht="49.5" customHeight="1" x14ac:dyDescent="0.25">
      <c r="A1353" s="127"/>
      <c r="B1353" s="127"/>
      <c r="C1353" s="127"/>
      <c r="D1353" s="128"/>
      <c r="E1353" s="127"/>
      <c r="F1353" s="128"/>
      <c r="G1353" s="127"/>
      <c r="H1353" s="127"/>
      <c r="I1353" s="127"/>
      <c r="J1353" s="127"/>
      <c r="K1353" s="127"/>
      <c r="L1353" s="127"/>
      <c r="M1353" s="127"/>
      <c r="N1353" s="127"/>
      <c r="O1353" s="127"/>
      <c r="P1353" s="127"/>
    </row>
    <row r="1354" spans="1:16" ht="49.5" customHeight="1" x14ac:dyDescent="0.25">
      <c r="A1354" s="127"/>
      <c r="B1354" s="127"/>
      <c r="C1354" s="127"/>
      <c r="D1354" s="128"/>
      <c r="E1354" s="127"/>
      <c r="F1354" s="128"/>
      <c r="G1354" s="127"/>
      <c r="H1354" s="127"/>
      <c r="I1354" s="127"/>
      <c r="J1354" s="127"/>
      <c r="K1354" s="127"/>
      <c r="L1354" s="127"/>
      <c r="M1354" s="127"/>
      <c r="N1354" s="127"/>
      <c r="O1354" s="127"/>
      <c r="P1354" s="127"/>
    </row>
    <row r="1355" spans="1:16" ht="49.5" customHeight="1" x14ac:dyDescent="0.25">
      <c r="A1355" s="127"/>
      <c r="B1355" s="127"/>
      <c r="C1355" s="127"/>
      <c r="D1355" s="128"/>
      <c r="E1355" s="127"/>
      <c r="F1355" s="128"/>
      <c r="G1355" s="127"/>
      <c r="H1355" s="127"/>
      <c r="I1355" s="127"/>
      <c r="J1355" s="127"/>
      <c r="K1355" s="127"/>
      <c r="L1355" s="127"/>
      <c r="M1355" s="127"/>
      <c r="N1355" s="127"/>
      <c r="O1355" s="127"/>
      <c r="P1355" s="127"/>
    </row>
    <row r="1356" spans="1:16" ht="49.5" customHeight="1" x14ac:dyDescent="0.25">
      <c r="A1356" s="127"/>
      <c r="B1356" s="127"/>
      <c r="C1356" s="127"/>
      <c r="D1356" s="128"/>
      <c r="E1356" s="127"/>
      <c r="F1356" s="128"/>
      <c r="G1356" s="127"/>
      <c r="H1356" s="127"/>
      <c r="I1356" s="127"/>
      <c r="J1356" s="127"/>
      <c r="K1356" s="127"/>
      <c r="L1356" s="127"/>
      <c r="M1356" s="127"/>
      <c r="N1356" s="127"/>
      <c r="O1356" s="127"/>
      <c r="P1356" s="127"/>
    </row>
    <row r="1357" spans="1:16" ht="49.5" customHeight="1" x14ac:dyDescent="0.25">
      <c r="A1357" s="127"/>
      <c r="B1357" s="127"/>
      <c r="C1357" s="127"/>
      <c r="D1357" s="128"/>
      <c r="E1357" s="127"/>
      <c r="F1357" s="128"/>
      <c r="G1357" s="127"/>
      <c r="H1357" s="127"/>
      <c r="I1357" s="127"/>
      <c r="J1357" s="127"/>
      <c r="K1357" s="127"/>
      <c r="L1357" s="127"/>
      <c r="M1357" s="127"/>
      <c r="N1357" s="127"/>
      <c r="O1357" s="127"/>
      <c r="P1357" s="127"/>
    </row>
    <row r="1358" spans="1:16" ht="49.5" customHeight="1" x14ac:dyDescent="0.25">
      <c r="A1358" s="127"/>
      <c r="B1358" s="127"/>
      <c r="C1358" s="127"/>
      <c r="D1358" s="128"/>
      <c r="E1358" s="127"/>
      <c r="F1358" s="128"/>
      <c r="G1358" s="127"/>
      <c r="H1358" s="127"/>
      <c r="I1358" s="127"/>
      <c r="J1358" s="127"/>
      <c r="K1358" s="127"/>
      <c r="L1358" s="127"/>
      <c r="M1358" s="127"/>
      <c r="N1358" s="127"/>
      <c r="O1358" s="127"/>
      <c r="P1358" s="127"/>
    </row>
    <row r="1359" spans="1:16" ht="49.5" customHeight="1" x14ac:dyDescent="0.25">
      <c r="A1359" s="127"/>
      <c r="B1359" s="127"/>
      <c r="C1359" s="127"/>
      <c r="D1359" s="128"/>
      <c r="E1359" s="127"/>
      <c r="F1359" s="128"/>
      <c r="G1359" s="127"/>
      <c r="H1359" s="127"/>
      <c r="I1359" s="127"/>
      <c r="J1359" s="127"/>
      <c r="K1359" s="127"/>
      <c r="L1359" s="127"/>
      <c r="M1359" s="127"/>
      <c r="N1359" s="127"/>
      <c r="O1359" s="127"/>
      <c r="P1359" s="127"/>
    </row>
    <row r="1360" spans="1:16" ht="49.5" customHeight="1" x14ac:dyDescent="0.25">
      <c r="A1360" s="127"/>
      <c r="B1360" s="127"/>
      <c r="C1360" s="127"/>
      <c r="D1360" s="128"/>
      <c r="E1360" s="127"/>
      <c r="F1360" s="128"/>
      <c r="G1360" s="127"/>
      <c r="H1360" s="127"/>
      <c r="I1360" s="127"/>
      <c r="J1360" s="127"/>
      <c r="K1360" s="127"/>
      <c r="L1360" s="127"/>
      <c r="M1360" s="127"/>
      <c r="N1360" s="127"/>
      <c r="O1360" s="127"/>
      <c r="P1360" s="127"/>
    </row>
    <row r="1361" spans="1:16" ht="49.5" customHeight="1" x14ac:dyDescent="0.25">
      <c r="A1361" s="127"/>
      <c r="B1361" s="127"/>
      <c r="C1361" s="127"/>
      <c r="D1361" s="128"/>
      <c r="E1361" s="127"/>
      <c r="F1361" s="128"/>
      <c r="G1361" s="127"/>
      <c r="H1361" s="127"/>
      <c r="I1361" s="127"/>
      <c r="J1361" s="127"/>
      <c r="K1361" s="127"/>
      <c r="L1361" s="127"/>
      <c r="M1361" s="127"/>
      <c r="N1361" s="127"/>
      <c r="O1361" s="127"/>
      <c r="P1361" s="127"/>
    </row>
    <row r="1362" spans="1:16" ht="49.5" customHeight="1" x14ac:dyDescent="0.25">
      <c r="A1362" s="127"/>
      <c r="B1362" s="127"/>
      <c r="C1362" s="127"/>
      <c r="D1362" s="128"/>
      <c r="E1362" s="127"/>
      <c r="F1362" s="128"/>
      <c r="G1362" s="127"/>
      <c r="H1362" s="127"/>
      <c r="I1362" s="127"/>
      <c r="J1362" s="127"/>
      <c r="K1362" s="127"/>
      <c r="L1362" s="127"/>
      <c r="M1362" s="127"/>
      <c r="N1362" s="127"/>
      <c r="O1362" s="127"/>
      <c r="P1362" s="127"/>
    </row>
    <row r="1363" spans="1:16" ht="49.5" customHeight="1" x14ac:dyDescent="0.25">
      <c r="A1363" s="127"/>
      <c r="B1363" s="127"/>
      <c r="C1363" s="127"/>
      <c r="D1363" s="128"/>
      <c r="E1363" s="127"/>
      <c r="F1363" s="128"/>
      <c r="G1363" s="127"/>
      <c r="H1363" s="127"/>
      <c r="I1363" s="127"/>
      <c r="J1363" s="127"/>
      <c r="K1363" s="127"/>
      <c r="L1363" s="127"/>
      <c r="M1363" s="127"/>
      <c r="N1363" s="127"/>
      <c r="O1363" s="127"/>
      <c r="P1363" s="127"/>
    </row>
    <row r="1364" spans="1:16" ht="49.5" customHeight="1" x14ac:dyDescent="0.25">
      <c r="A1364" s="127"/>
      <c r="B1364" s="127"/>
      <c r="C1364" s="127"/>
      <c r="D1364" s="128"/>
      <c r="E1364" s="127"/>
      <c r="F1364" s="128"/>
      <c r="G1364" s="127"/>
      <c r="H1364" s="127"/>
      <c r="I1364" s="127"/>
      <c r="J1364" s="127"/>
      <c r="K1364" s="127"/>
      <c r="L1364" s="127"/>
      <c r="M1364" s="127"/>
      <c r="N1364" s="127"/>
      <c r="O1364" s="127"/>
      <c r="P1364" s="127"/>
    </row>
    <row r="1365" spans="1:16" ht="49.5" customHeight="1" x14ac:dyDescent="0.25">
      <c r="A1365" s="127"/>
      <c r="B1365" s="127"/>
      <c r="C1365" s="127"/>
      <c r="D1365" s="128"/>
      <c r="E1365" s="127"/>
      <c r="F1365" s="128"/>
      <c r="G1365" s="127"/>
      <c r="H1365" s="127"/>
      <c r="I1365" s="127"/>
      <c r="J1365" s="127"/>
      <c r="K1365" s="127"/>
      <c r="L1365" s="127"/>
      <c r="M1365" s="127"/>
      <c r="N1365" s="127"/>
      <c r="O1365" s="127"/>
      <c r="P1365" s="127"/>
    </row>
    <row r="1366" spans="1:16" ht="49.5" customHeight="1" x14ac:dyDescent="0.25">
      <c r="A1366" s="127"/>
      <c r="B1366" s="127"/>
      <c r="C1366" s="127"/>
      <c r="D1366" s="128"/>
      <c r="E1366" s="127"/>
      <c r="F1366" s="128"/>
      <c r="G1366" s="127"/>
      <c r="H1366" s="127"/>
      <c r="I1366" s="127"/>
      <c r="J1366" s="127"/>
      <c r="K1366" s="127"/>
      <c r="L1366" s="127"/>
      <c r="M1366" s="127"/>
      <c r="N1366" s="127"/>
      <c r="O1366" s="127"/>
      <c r="P1366" s="127"/>
    </row>
    <row r="1367" spans="1:16" ht="49.5" customHeight="1" x14ac:dyDescent="0.25">
      <c r="A1367" s="127"/>
      <c r="B1367" s="127"/>
      <c r="C1367" s="127"/>
      <c r="D1367" s="128"/>
      <c r="E1367" s="127"/>
      <c r="F1367" s="128"/>
      <c r="G1367" s="127"/>
      <c r="H1367" s="127"/>
      <c r="I1367" s="127"/>
      <c r="J1367" s="127"/>
      <c r="K1367" s="127"/>
      <c r="L1367" s="127"/>
      <c r="M1367" s="127"/>
      <c r="N1367" s="127"/>
      <c r="O1367" s="127"/>
      <c r="P1367" s="127"/>
    </row>
    <row r="1368" spans="1:16" ht="49.5" customHeight="1" x14ac:dyDescent="0.25">
      <c r="A1368" s="127"/>
      <c r="B1368" s="127"/>
      <c r="C1368" s="127"/>
      <c r="D1368" s="128"/>
      <c r="E1368" s="127"/>
      <c r="F1368" s="128"/>
      <c r="G1368" s="127"/>
      <c r="H1368" s="127"/>
      <c r="I1368" s="127"/>
      <c r="J1368" s="127"/>
      <c r="K1368" s="127"/>
      <c r="L1368" s="127"/>
      <c r="M1368" s="127"/>
      <c r="N1368" s="127"/>
      <c r="O1368" s="127"/>
      <c r="P1368" s="127"/>
    </row>
    <row r="1369" spans="1:16" ht="49.5" customHeight="1" x14ac:dyDescent="0.25">
      <c r="A1369" s="127"/>
      <c r="B1369" s="127"/>
      <c r="C1369" s="127"/>
      <c r="D1369" s="128"/>
      <c r="E1369" s="127"/>
      <c r="F1369" s="128"/>
      <c r="G1369" s="127"/>
      <c r="H1369" s="127"/>
      <c r="I1369" s="127"/>
      <c r="J1369" s="127"/>
      <c r="K1369" s="127"/>
      <c r="L1369" s="127"/>
      <c r="M1369" s="127"/>
      <c r="N1369" s="127"/>
      <c r="O1369" s="127"/>
      <c r="P1369" s="127"/>
    </row>
    <row r="1370" spans="1:16" ht="49.5" customHeight="1" x14ac:dyDescent="0.25">
      <c r="A1370" s="127"/>
      <c r="B1370" s="127"/>
      <c r="C1370" s="127"/>
      <c r="D1370" s="128"/>
      <c r="E1370" s="127"/>
      <c r="F1370" s="128"/>
      <c r="G1370" s="127"/>
      <c r="H1370" s="127"/>
      <c r="I1370" s="127"/>
      <c r="J1370" s="127"/>
      <c r="K1370" s="127"/>
      <c r="L1370" s="127"/>
      <c r="M1370" s="127"/>
      <c r="N1370" s="127"/>
      <c r="O1370" s="127"/>
      <c r="P1370" s="127"/>
    </row>
    <row r="1371" spans="1:16" ht="49.5" customHeight="1" x14ac:dyDescent="0.25">
      <c r="A1371" s="127"/>
      <c r="B1371" s="127"/>
      <c r="C1371" s="127"/>
      <c r="D1371" s="128"/>
      <c r="E1371" s="127"/>
      <c r="F1371" s="128"/>
      <c r="G1371" s="127"/>
      <c r="H1371" s="127"/>
      <c r="I1371" s="127"/>
      <c r="J1371" s="127"/>
      <c r="K1371" s="127"/>
      <c r="L1371" s="127"/>
      <c r="M1371" s="127"/>
      <c r="N1371" s="127"/>
      <c r="O1371" s="127"/>
      <c r="P1371" s="127"/>
    </row>
    <row r="1372" spans="1:16" ht="49.5" customHeight="1" x14ac:dyDescent="0.25">
      <c r="A1372" s="127"/>
      <c r="B1372" s="127"/>
      <c r="C1372" s="127"/>
      <c r="D1372" s="128"/>
      <c r="E1372" s="127"/>
      <c r="F1372" s="128"/>
      <c r="G1372" s="127"/>
      <c r="H1372" s="127"/>
      <c r="I1372" s="127"/>
      <c r="J1372" s="127"/>
      <c r="K1372" s="127"/>
      <c r="L1372" s="127"/>
      <c r="M1372" s="127"/>
      <c r="N1372" s="127"/>
      <c r="O1372" s="127"/>
      <c r="P1372" s="127"/>
    </row>
    <row r="1373" spans="1:16" ht="49.5" customHeight="1" x14ac:dyDescent="0.25">
      <c r="A1373" s="127"/>
      <c r="B1373" s="127"/>
      <c r="C1373" s="127"/>
      <c r="D1373" s="128"/>
      <c r="E1373" s="127"/>
      <c r="F1373" s="128"/>
      <c r="G1373" s="127"/>
      <c r="H1373" s="127"/>
      <c r="I1373" s="127"/>
      <c r="J1373" s="127"/>
      <c r="K1373" s="127"/>
      <c r="L1373" s="127"/>
      <c r="M1373" s="127"/>
      <c r="N1373" s="127"/>
      <c r="O1373" s="127"/>
      <c r="P1373" s="127"/>
    </row>
    <row r="1374" spans="1:16" ht="49.5" customHeight="1" x14ac:dyDescent="0.25">
      <c r="A1374" s="127"/>
      <c r="B1374" s="127"/>
      <c r="C1374" s="127"/>
      <c r="D1374" s="128"/>
      <c r="E1374" s="127"/>
      <c r="F1374" s="128"/>
      <c r="G1374" s="127"/>
      <c r="H1374" s="127"/>
      <c r="I1374" s="127"/>
      <c r="J1374" s="127"/>
      <c r="K1374" s="127"/>
      <c r="L1374" s="127"/>
      <c r="M1374" s="127"/>
      <c r="N1374" s="127"/>
      <c r="O1374" s="127"/>
      <c r="P1374" s="127"/>
    </row>
    <row r="1375" spans="1:16" ht="49.5" customHeight="1" x14ac:dyDescent="0.25">
      <c r="A1375" s="127"/>
      <c r="B1375" s="127"/>
      <c r="C1375" s="127"/>
      <c r="D1375" s="128"/>
      <c r="E1375" s="127"/>
      <c r="F1375" s="128"/>
      <c r="G1375" s="127"/>
      <c r="H1375" s="127"/>
      <c r="I1375" s="127"/>
      <c r="J1375" s="127"/>
      <c r="K1375" s="127"/>
      <c r="L1375" s="127"/>
      <c r="M1375" s="127"/>
      <c r="N1375" s="127"/>
      <c r="O1375" s="127"/>
      <c r="P1375" s="127"/>
    </row>
    <row r="1376" spans="1:16" ht="49.5" customHeight="1" x14ac:dyDescent="0.25">
      <c r="A1376" s="127"/>
      <c r="B1376" s="127"/>
      <c r="C1376" s="127"/>
      <c r="D1376" s="128"/>
      <c r="E1376" s="127"/>
      <c r="F1376" s="128"/>
      <c r="G1376" s="127"/>
      <c r="H1376" s="127"/>
      <c r="I1376" s="127"/>
      <c r="J1376" s="127"/>
      <c r="K1376" s="127"/>
      <c r="L1376" s="127"/>
      <c r="M1376" s="127"/>
      <c r="N1376" s="127"/>
      <c r="O1376" s="127"/>
      <c r="P1376" s="127"/>
    </row>
    <row r="1377" spans="1:16" ht="49.5" customHeight="1" x14ac:dyDescent="0.25">
      <c r="A1377" s="127"/>
      <c r="B1377" s="127"/>
      <c r="C1377" s="127"/>
      <c r="D1377" s="128"/>
      <c r="E1377" s="127"/>
      <c r="F1377" s="128"/>
      <c r="G1377" s="127"/>
      <c r="H1377" s="127"/>
      <c r="I1377" s="127"/>
      <c r="J1377" s="127"/>
      <c r="K1377" s="127"/>
      <c r="L1377" s="127"/>
      <c r="M1377" s="127"/>
      <c r="N1377" s="127"/>
      <c r="O1377" s="127"/>
      <c r="P1377" s="127"/>
    </row>
    <row r="1378" spans="1:16" ht="49.5" customHeight="1" x14ac:dyDescent="0.25">
      <c r="A1378" s="127"/>
      <c r="B1378" s="127"/>
      <c r="C1378" s="127"/>
      <c r="D1378" s="128"/>
      <c r="E1378" s="127"/>
      <c r="F1378" s="128"/>
      <c r="G1378" s="127"/>
      <c r="H1378" s="127"/>
      <c r="I1378" s="127"/>
      <c r="J1378" s="127"/>
      <c r="K1378" s="127"/>
      <c r="L1378" s="127"/>
      <c r="M1378" s="127"/>
      <c r="N1378" s="127"/>
      <c r="O1378" s="127"/>
      <c r="P1378" s="127"/>
    </row>
    <row r="1379" spans="1:16" ht="49.5" customHeight="1" x14ac:dyDescent="0.25">
      <c r="A1379" s="127"/>
      <c r="B1379" s="127"/>
      <c r="C1379" s="127"/>
      <c r="D1379" s="128"/>
      <c r="E1379" s="127"/>
      <c r="F1379" s="128"/>
      <c r="G1379" s="127"/>
      <c r="H1379" s="127"/>
      <c r="I1379" s="127"/>
      <c r="J1379" s="127"/>
      <c r="K1379" s="127"/>
      <c r="L1379" s="127"/>
      <c r="M1379" s="127"/>
      <c r="N1379" s="127"/>
      <c r="O1379" s="127"/>
      <c r="P1379" s="127"/>
    </row>
    <row r="1380" spans="1:16" ht="49.5" customHeight="1" x14ac:dyDescent="0.25">
      <c r="A1380" s="127"/>
      <c r="B1380" s="127"/>
      <c r="C1380" s="127"/>
      <c r="D1380" s="128"/>
      <c r="E1380" s="127"/>
      <c r="F1380" s="128"/>
      <c r="G1380" s="127"/>
      <c r="H1380" s="127"/>
      <c r="I1380" s="127"/>
      <c r="J1380" s="127"/>
      <c r="K1380" s="127"/>
      <c r="L1380" s="127"/>
      <c r="M1380" s="127"/>
      <c r="N1380" s="127"/>
      <c r="O1380" s="127"/>
      <c r="P1380" s="127"/>
    </row>
    <row r="1381" spans="1:16" ht="49.5" customHeight="1" x14ac:dyDescent="0.25">
      <c r="A1381" s="127"/>
      <c r="B1381" s="127"/>
      <c r="C1381" s="127"/>
      <c r="D1381" s="128"/>
      <c r="E1381" s="127"/>
      <c r="F1381" s="128"/>
      <c r="G1381" s="127"/>
      <c r="H1381" s="127"/>
      <c r="I1381" s="127"/>
      <c r="J1381" s="127"/>
      <c r="K1381" s="127"/>
      <c r="L1381" s="127"/>
      <c r="M1381" s="127"/>
      <c r="N1381" s="127"/>
      <c r="O1381" s="127"/>
      <c r="P1381" s="127"/>
    </row>
    <row r="1382" spans="1:16" ht="49.5" customHeight="1" x14ac:dyDescent="0.25">
      <c r="A1382" s="127"/>
      <c r="B1382" s="127"/>
      <c r="C1382" s="127"/>
      <c r="D1382" s="128"/>
      <c r="E1382" s="127"/>
      <c r="F1382" s="128"/>
      <c r="G1382" s="127"/>
      <c r="H1382" s="127"/>
      <c r="I1382" s="127"/>
      <c r="J1382" s="127"/>
      <c r="K1382" s="127"/>
      <c r="L1382" s="127"/>
      <c r="M1382" s="127"/>
      <c r="N1382" s="127"/>
      <c r="O1382" s="127"/>
      <c r="P1382" s="127"/>
    </row>
    <row r="1383" spans="1:16" ht="49.5" customHeight="1" x14ac:dyDescent="0.25">
      <c r="A1383" s="127"/>
      <c r="B1383" s="127"/>
      <c r="C1383" s="127"/>
      <c r="D1383" s="128"/>
      <c r="E1383" s="127"/>
      <c r="F1383" s="128"/>
      <c r="G1383" s="127"/>
      <c r="H1383" s="127"/>
      <c r="I1383" s="127"/>
      <c r="J1383" s="127"/>
      <c r="K1383" s="127"/>
      <c r="L1383" s="127"/>
      <c r="M1383" s="127"/>
      <c r="N1383" s="127"/>
      <c r="O1383" s="127"/>
      <c r="P1383" s="127"/>
    </row>
    <row r="1384" spans="1:16" ht="49.5" customHeight="1" x14ac:dyDescent="0.25">
      <c r="A1384" s="127"/>
      <c r="B1384" s="127"/>
      <c r="C1384" s="127"/>
      <c r="D1384" s="128"/>
      <c r="E1384" s="127"/>
      <c r="F1384" s="128"/>
      <c r="G1384" s="127"/>
      <c r="H1384" s="127"/>
      <c r="I1384" s="127"/>
      <c r="J1384" s="127"/>
      <c r="K1384" s="127"/>
      <c r="L1384" s="127"/>
      <c r="M1384" s="127"/>
      <c r="N1384" s="127"/>
      <c r="O1384" s="127"/>
      <c r="P1384" s="127"/>
    </row>
    <row r="1385" spans="1:16" ht="49.5" customHeight="1" x14ac:dyDescent="0.25">
      <c r="A1385" s="127"/>
      <c r="B1385" s="127"/>
      <c r="C1385" s="127"/>
      <c r="D1385" s="128"/>
      <c r="E1385" s="127"/>
      <c r="F1385" s="128"/>
      <c r="G1385" s="127"/>
      <c r="H1385" s="127"/>
      <c r="I1385" s="127"/>
      <c r="J1385" s="127"/>
      <c r="K1385" s="127"/>
      <c r="L1385" s="127"/>
      <c r="M1385" s="127"/>
      <c r="N1385" s="127"/>
      <c r="O1385" s="127"/>
      <c r="P1385" s="127"/>
    </row>
    <row r="1386" spans="1:16" ht="49.5" customHeight="1" x14ac:dyDescent="0.25">
      <c r="A1386" s="127"/>
      <c r="B1386" s="127"/>
      <c r="C1386" s="127"/>
      <c r="D1386" s="128"/>
      <c r="E1386" s="127"/>
      <c r="F1386" s="128"/>
      <c r="G1386" s="127"/>
      <c r="H1386" s="127"/>
      <c r="I1386" s="127"/>
      <c r="J1386" s="127"/>
      <c r="K1386" s="127"/>
      <c r="L1386" s="127"/>
      <c r="M1386" s="127"/>
      <c r="N1386" s="127"/>
      <c r="O1386" s="127"/>
      <c r="P1386" s="127"/>
    </row>
    <row r="1387" spans="1:16" ht="49.5" customHeight="1" x14ac:dyDescent="0.25">
      <c r="A1387" s="127"/>
      <c r="B1387" s="127"/>
      <c r="C1387" s="127"/>
      <c r="D1387" s="128"/>
      <c r="E1387" s="127"/>
      <c r="F1387" s="128"/>
      <c r="G1387" s="127"/>
      <c r="H1387" s="127"/>
      <c r="I1387" s="127"/>
      <c r="J1387" s="127"/>
      <c r="K1387" s="127"/>
      <c r="L1387" s="127"/>
      <c r="M1387" s="127"/>
      <c r="N1387" s="127"/>
      <c r="O1387" s="127"/>
      <c r="P1387" s="127"/>
    </row>
    <row r="1388" spans="1:16" ht="49.5" customHeight="1" x14ac:dyDescent="0.25">
      <c r="A1388" s="127"/>
      <c r="B1388" s="127"/>
      <c r="C1388" s="127"/>
      <c r="D1388" s="128"/>
      <c r="E1388" s="127"/>
      <c r="F1388" s="128"/>
      <c r="G1388" s="127"/>
      <c r="H1388" s="127"/>
      <c r="I1388" s="127"/>
      <c r="J1388" s="127"/>
      <c r="K1388" s="127"/>
      <c r="L1388" s="127"/>
      <c r="M1388" s="127"/>
      <c r="N1388" s="127"/>
      <c r="O1388" s="127"/>
      <c r="P1388" s="127"/>
    </row>
    <row r="1389" spans="1:16" ht="49.5" customHeight="1" x14ac:dyDescent="0.25">
      <c r="A1389" s="127"/>
      <c r="B1389" s="127"/>
      <c r="C1389" s="127"/>
      <c r="D1389" s="128"/>
      <c r="E1389" s="127"/>
      <c r="F1389" s="128"/>
      <c r="G1389" s="127"/>
      <c r="H1389" s="127"/>
      <c r="I1389" s="127"/>
      <c r="J1389" s="127"/>
      <c r="K1389" s="127"/>
      <c r="L1389" s="127"/>
      <c r="M1389" s="127"/>
      <c r="N1389" s="127"/>
      <c r="O1389" s="127"/>
      <c r="P1389" s="127"/>
    </row>
    <row r="1390" spans="1:16" ht="49.5" customHeight="1" x14ac:dyDescent="0.25">
      <c r="A1390" s="127"/>
      <c r="B1390" s="127"/>
      <c r="C1390" s="127"/>
      <c r="D1390" s="128"/>
      <c r="E1390" s="127"/>
      <c r="F1390" s="128"/>
      <c r="G1390" s="127"/>
      <c r="H1390" s="127"/>
      <c r="I1390" s="127"/>
      <c r="J1390" s="127"/>
      <c r="K1390" s="127"/>
      <c r="L1390" s="127"/>
      <c r="M1390" s="127"/>
      <c r="N1390" s="127"/>
      <c r="O1390" s="127"/>
      <c r="P1390" s="127"/>
    </row>
    <row r="1391" spans="1:16" ht="49.5" customHeight="1" x14ac:dyDescent="0.25">
      <c r="A1391" s="127"/>
      <c r="B1391" s="127"/>
      <c r="C1391" s="127"/>
      <c r="D1391" s="128"/>
      <c r="E1391" s="127"/>
      <c r="F1391" s="128"/>
      <c r="G1391" s="127"/>
      <c r="H1391" s="127"/>
      <c r="I1391" s="127"/>
      <c r="J1391" s="127"/>
      <c r="K1391" s="127"/>
      <c r="L1391" s="127"/>
      <c r="M1391" s="127"/>
      <c r="N1391" s="127"/>
      <c r="O1391" s="127"/>
      <c r="P1391" s="127"/>
    </row>
    <row r="1392" spans="1:16" ht="49.5" customHeight="1" x14ac:dyDescent="0.25">
      <c r="A1392" s="127"/>
      <c r="B1392" s="127"/>
      <c r="C1392" s="127"/>
      <c r="D1392" s="128"/>
      <c r="E1392" s="127"/>
      <c r="F1392" s="128"/>
      <c r="G1392" s="127"/>
      <c r="H1392" s="127"/>
      <c r="I1392" s="127"/>
      <c r="J1392" s="127"/>
      <c r="K1392" s="127"/>
      <c r="L1392" s="127"/>
      <c r="M1392" s="127"/>
      <c r="N1392" s="127"/>
      <c r="O1392" s="127"/>
      <c r="P1392" s="127"/>
    </row>
    <row r="1393" spans="1:16" ht="49.5" customHeight="1" x14ac:dyDescent="0.25">
      <c r="A1393" s="127"/>
      <c r="B1393" s="127"/>
      <c r="C1393" s="127"/>
      <c r="D1393" s="128"/>
      <c r="E1393" s="127"/>
      <c r="F1393" s="128"/>
      <c r="G1393" s="127"/>
      <c r="H1393" s="127"/>
      <c r="I1393" s="127"/>
      <c r="J1393" s="127"/>
      <c r="K1393" s="127"/>
      <c r="L1393" s="127"/>
      <c r="M1393" s="127"/>
      <c r="N1393" s="127"/>
      <c r="O1393" s="127"/>
      <c r="P1393" s="127"/>
    </row>
    <row r="1394" spans="1:16" ht="49.5" customHeight="1" x14ac:dyDescent="0.25">
      <c r="A1394" s="127"/>
      <c r="B1394" s="127"/>
      <c r="C1394" s="127"/>
      <c r="D1394" s="128"/>
      <c r="E1394" s="127"/>
      <c r="F1394" s="128"/>
      <c r="G1394" s="127"/>
      <c r="H1394" s="127"/>
      <c r="I1394" s="127"/>
      <c r="J1394" s="127"/>
      <c r="K1394" s="127"/>
      <c r="L1394" s="127"/>
      <c r="M1394" s="127"/>
      <c r="N1394" s="127"/>
      <c r="O1394" s="127"/>
      <c r="P1394" s="127"/>
    </row>
    <row r="1395" spans="1:16" ht="49.5" customHeight="1" x14ac:dyDescent="0.25">
      <c r="A1395" s="127"/>
      <c r="B1395" s="127"/>
      <c r="C1395" s="127"/>
      <c r="D1395" s="128"/>
      <c r="E1395" s="127"/>
      <c r="F1395" s="128"/>
      <c r="G1395" s="127"/>
      <c r="H1395" s="127"/>
      <c r="I1395" s="127"/>
      <c r="J1395" s="127"/>
      <c r="K1395" s="127"/>
      <c r="L1395" s="127"/>
      <c r="M1395" s="127"/>
      <c r="N1395" s="127"/>
      <c r="O1395" s="127"/>
      <c r="P1395" s="127"/>
    </row>
    <row r="1396" spans="1:16" ht="49.5" customHeight="1" x14ac:dyDescent="0.25">
      <c r="A1396" s="127"/>
      <c r="B1396" s="127"/>
      <c r="C1396" s="127"/>
      <c r="D1396" s="128"/>
      <c r="E1396" s="127"/>
      <c r="F1396" s="128"/>
      <c r="G1396" s="127"/>
      <c r="H1396" s="127"/>
      <c r="I1396" s="127"/>
      <c r="J1396" s="127"/>
      <c r="K1396" s="127"/>
      <c r="L1396" s="127"/>
      <c r="M1396" s="127"/>
      <c r="N1396" s="127"/>
      <c r="O1396" s="127"/>
      <c r="P1396" s="127"/>
    </row>
    <row r="1397" spans="1:16" ht="49.5" customHeight="1" x14ac:dyDescent="0.25">
      <c r="A1397" s="127"/>
      <c r="B1397" s="127"/>
      <c r="C1397" s="127"/>
      <c r="D1397" s="128"/>
      <c r="E1397" s="127"/>
      <c r="F1397" s="128"/>
      <c r="G1397" s="127"/>
      <c r="H1397" s="127"/>
      <c r="I1397" s="127"/>
      <c r="J1397" s="127"/>
      <c r="K1397" s="127"/>
      <c r="L1397" s="127"/>
      <c r="M1397" s="127"/>
      <c r="N1397" s="127"/>
      <c r="O1397" s="127"/>
      <c r="P1397" s="127"/>
    </row>
    <row r="1398" spans="1:16" ht="49.5" customHeight="1" x14ac:dyDescent="0.25">
      <c r="A1398" s="127"/>
      <c r="B1398" s="127"/>
      <c r="C1398" s="127"/>
      <c r="D1398" s="128"/>
      <c r="E1398" s="127"/>
      <c r="F1398" s="128"/>
      <c r="G1398" s="127"/>
      <c r="H1398" s="127"/>
      <c r="I1398" s="127"/>
      <c r="J1398" s="127"/>
      <c r="K1398" s="127"/>
      <c r="L1398" s="127"/>
      <c r="M1398" s="127"/>
      <c r="N1398" s="127"/>
      <c r="O1398" s="127"/>
      <c r="P1398" s="127"/>
    </row>
    <row r="1399" spans="1:16" ht="49.5" customHeight="1" x14ac:dyDescent="0.25">
      <c r="A1399" s="127"/>
      <c r="B1399" s="127"/>
      <c r="C1399" s="127"/>
      <c r="D1399" s="128"/>
      <c r="E1399" s="127"/>
      <c r="F1399" s="128"/>
      <c r="G1399" s="127"/>
      <c r="H1399" s="127"/>
      <c r="I1399" s="127"/>
      <c r="J1399" s="127"/>
      <c r="K1399" s="127"/>
      <c r="L1399" s="127"/>
      <c r="M1399" s="127"/>
      <c r="N1399" s="127"/>
      <c r="O1399" s="127"/>
      <c r="P1399" s="127"/>
    </row>
    <row r="1400" spans="1:16" ht="49.5" customHeight="1" x14ac:dyDescent="0.25">
      <c r="A1400" s="127"/>
      <c r="B1400" s="127"/>
      <c r="C1400" s="127"/>
      <c r="D1400" s="128"/>
      <c r="E1400" s="127"/>
      <c r="F1400" s="128"/>
      <c r="G1400" s="127"/>
      <c r="H1400" s="127"/>
      <c r="I1400" s="127"/>
      <c r="J1400" s="127"/>
      <c r="K1400" s="127"/>
      <c r="L1400" s="127"/>
      <c r="M1400" s="127"/>
      <c r="N1400" s="127"/>
      <c r="O1400" s="127"/>
      <c r="P1400" s="127"/>
    </row>
    <row r="1401" spans="1:16" ht="49.5" customHeight="1" x14ac:dyDescent="0.25">
      <c r="A1401" s="127"/>
      <c r="B1401" s="127"/>
      <c r="C1401" s="127"/>
      <c r="D1401" s="128"/>
      <c r="E1401" s="127"/>
      <c r="F1401" s="128"/>
      <c r="G1401" s="127"/>
      <c r="H1401" s="127"/>
      <c r="I1401" s="127"/>
      <c r="J1401" s="127"/>
      <c r="K1401" s="127"/>
      <c r="L1401" s="127"/>
      <c r="M1401" s="127"/>
      <c r="N1401" s="127"/>
      <c r="O1401" s="127"/>
      <c r="P1401" s="127"/>
    </row>
    <row r="1402" spans="1:16" ht="49.5" customHeight="1" x14ac:dyDescent="0.25">
      <c r="A1402" s="127"/>
      <c r="B1402" s="127"/>
      <c r="C1402" s="127"/>
      <c r="D1402" s="128"/>
      <c r="E1402" s="127"/>
      <c r="F1402" s="128"/>
      <c r="G1402" s="127"/>
      <c r="H1402" s="127"/>
      <c r="I1402" s="127"/>
      <c r="J1402" s="127"/>
      <c r="K1402" s="127"/>
      <c r="L1402" s="127"/>
      <c r="M1402" s="127"/>
      <c r="N1402" s="127"/>
      <c r="O1402" s="127"/>
      <c r="P1402" s="127"/>
    </row>
    <row r="1403" spans="1:16" ht="49.5" customHeight="1" x14ac:dyDescent="0.25">
      <c r="A1403" s="127"/>
      <c r="B1403" s="127"/>
      <c r="C1403" s="127"/>
      <c r="D1403" s="128"/>
      <c r="E1403" s="127"/>
      <c r="F1403" s="128"/>
      <c r="G1403" s="127"/>
      <c r="H1403" s="127"/>
      <c r="I1403" s="127"/>
      <c r="J1403" s="127"/>
      <c r="K1403" s="127"/>
      <c r="L1403" s="127"/>
      <c r="M1403" s="127"/>
      <c r="N1403" s="127"/>
      <c r="O1403" s="127"/>
      <c r="P1403" s="127"/>
    </row>
    <row r="1404" spans="1:16" ht="49.5" customHeight="1" x14ac:dyDescent="0.25">
      <c r="A1404" s="127"/>
      <c r="B1404" s="127"/>
      <c r="C1404" s="127"/>
      <c r="D1404" s="128"/>
      <c r="E1404" s="127"/>
      <c r="F1404" s="128"/>
      <c r="G1404" s="127"/>
      <c r="H1404" s="127"/>
      <c r="I1404" s="127"/>
      <c r="J1404" s="127"/>
      <c r="K1404" s="127"/>
      <c r="L1404" s="127"/>
      <c r="M1404" s="127"/>
      <c r="N1404" s="127"/>
      <c r="O1404" s="127"/>
      <c r="P1404" s="127"/>
    </row>
    <row r="1405" spans="1:16" ht="49.5" customHeight="1" x14ac:dyDescent="0.25">
      <c r="A1405" s="127"/>
      <c r="B1405" s="127"/>
      <c r="C1405" s="127"/>
      <c r="D1405" s="128"/>
      <c r="E1405" s="127"/>
      <c r="F1405" s="128"/>
      <c r="G1405" s="127"/>
      <c r="H1405" s="127"/>
      <c r="I1405" s="127"/>
      <c r="J1405" s="127"/>
      <c r="K1405" s="127"/>
      <c r="L1405" s="127"/>
      <c r="M1405" s="127"/>
      <c r="N1405" s="127"/>
      <c r="O1405" s="127"/>
      <c r="P1405" s="127"/>
    </row>
    <row r="1406" spans="1:16" ht="49.5" customHeight="1" x14ac:dyDescent="0.25">
      <c r="A1406" s="127"/>
      <c r="B1406" s="127"/>
      <c r="C1406" s="127"/>
      <c r="D1406" s="128"/>
      <c r="E1406" s="127"/>
      <c r="F1406" s="128"/>
      <c r="G1406" s="127"/>
      <c r="H1406" s="127"/>
      <c r="I1406" s="127"/>
      <c r="J1406" s="127"/>
      <c r="K1406" s="127"/>
      <c r="L1406" s="127"/>
      <c r="M1406" s="127"/>
      <c r="N1406" s="127"/>
      <c r="O1406" s="127"/>
      <c r="P1406" s="127"/>
    </row>
    <row r="1407" spans="1:16" ht="49.5" customHeight="1" x14ac:dyDescent="0.25">
      <c r="A1407" s="127"/>
      <c r="B1407" s="127"/>
      <c r="C1407" s="127"/>
      <c r="D1407" s="128"/>
      <c r="E1407" s="127"/>
      <c r="F1407" s="128"/>
      <c r="G1407" s="127"/>
      <c r="H1407" s="127"/>
      <c r="I1407" s="127"/>
      <c r="J1407" s="127"/>
      <c r="K1407" s="127"/>
      <c r="L1407" s="127"/>
      <c r="M1407" s="127"/>
      <c r="N1407" s="127"/>
      <c r="O1407" s="127"/>
      <c r="P1407" s="127"/>
    </row>
    <row r="1408" spans="1:16" ht="49.5" customHeight="1" x14ac:dyDescent="0.25">
      <c r="A1408" s="127"/>
      <c r="B1408" s="127"/>
      <c r="C1408" s="127"/>
      <c r="D1408" s="128"/>
      <c r="E1408" s="127"/>
      <c r="F1408" s="128"/>
      <c r="G1408" s="127"/>
      <c r="H1408" s="127"/>
      <c r="I1408" s="127"/>
      <c r="J1408" s="127"/>
      <c r="K1408" s="127"/>
      <c r="L1408" s="127"/>
      <c r="M1408" s="127"/>
      <c r="N1408" s="127"/>
      <c r="O1408" s="127"/>
      <c r="P1408" s="127"/>
    </row>
    <row r="1409" spans="1:16" ht="49.5" customHeight="1" x14ac:dyDescent="0.25">
      <c r="A1409" s="127"/>
      <c r="B1409" s="127"/>
      <c r="C1409" s="127"/>
      <c r="D1409" s="128"/>
      <c r="E1409" s="127"/>
      <c r="F1409" s="128"/>
      <c r="G1409" s="127"/>
      <c r="H1409" s="127"/>
      <c r="I1409" s="127"/>
      <c r="J1409" s="127"/>
      <c r="K1409" s="127"/>
      <c r="L1409" s="127"/>
      <c r="M1409" s="127"/>
      <c r="N1409" s="127"/>
      <c r="O1409" s="127"/>
      <c r="P1409" s="127"/>
    </row>
    <row r="1410" spans="1:16" ht="49.5" customHeight="1" x14ac:dyDescent="0.25">
      <c r="A1410" s="127"/>
      <c r="B1410" s="127"/>
      <c r="C1410" s="127"/>
      <c r="D1410" s="128"/>
      <c r="E1410" s="127"/>
      <c r="F1410" s="128"/>
      <c r="G1410" s="127"/>
      <c r="H1410" s="127"/>
      <c r="I1410" s="127"/>
      <c r="J1410" s="127"/>
      <c r="K1410" s="127"/>
      <c r="L1410" s="127"/>
      <c r="M1410" s="127"/>
      <c r="N1410" s="127"/>
      <c r="O1410" s="127"/>
      <c r="P1410" s="127"/>
    </row>
    <row r="1411" spans="1:16" ht="49.5" customHeight="1" x14ac:dyDescent="0.25">
      <c r="A1411" s="127"/>
      <c r="B1411" s="127"/>
      <c r="C1411" s="127"/>
      <c r="D1411" s="128"/>
      <c r="E1411" s="127"/>
      <c r="F1411" s="128"/>
      <c r="G1411" s="127"/>
      <c r="H1411" s="127"/>
      <c r="I1411" s="127"/>
      <c r="J1411" s="127"/>
      <c r="K1411" s="127"/>
      <c r="L1411" s="127"/>
      <c r="M1411" s="127"/>
      <c r="N1411" s="127"/>
      <c r="O1411" s="127"/>
      <c r="P1411" s="127"/>
    </row>
    <row r="1412" spans="1:16" ht="49.5" customHeight="1" x14ac:dyDescent="0.25">
      <c r="A1412" s="127"/>
      <c r="B1412" s="127"/>
      <c r="C1412" s="127"/>
      <c r="D1412" s="128"/>
      <c r="E1412" s="127"/>
      <c r="F1412" s="128"/>
      <c r="G1412" s="127"/>
      <c r="H1412" s="127"/>
      <c r="I1412" s="127"/>
      <c r="J1412" s="127"/>
      <c r="K1412" s="127"/>
      <c r="L1412" s="127"/>
      <c r="M1412" s="127"/>
      <c r="N1412" s="127"/>
      <c r="O1412" s="127"/>
      <c r="P1412" s="127"/>
    </row>
    <row r="1413" spans="1:16" ht="49.5" customHeight="1" x14ac:dyDescent="0.25">
      <c r="A1413" s="127"/>
      <c r="B1413" s="127"/>
      <c r="C1413" s="127"/>
      <c r="D1413" s="128"/>
      <c r="E1413" s="127"/>
      <c r="F1413" s="128"/>
      <c r="G1413" s="127"/>
      <c r="H1413" s="127"/>
      <c r="I1413" s="127"/>
      <c r="J1413" s="127"/>
      <c r="K1413" s="127"/>
      <c r="L1413" s="127"/>
      <c r="M1413" s="127"/>
      <c r="N1413" s="127"/>
      <c r="O1413" s="127"/>
      <c r="P1413" s="127"/>
    </row>
    <row r="1414" spans="1:16" ht="49.5" customHeight="1" x14ac:dyDescent="0.25">
      <c r="A1414" s="127"/>
      <c r="B1414" s="127"/>
      <c r="C1414" s="127"/>
      <c r="D1414" s="128"/>
      <c r="E1414" s="127"/>
      <c r="F1414" s="128"/>
      <c r="G1414" s="127"/>
      <c r="H1414" s="127"/>
      <c r="I1414" s="127"/>
      <c r="J1414" s="127"/>
      <c r="K1414" s="127"/>
      <c r="L1414" s="127"/>
      <c r="M1414" s="127"/>
      <c r="N1414" s="127"/>
      <c r="O1414" s="127"/>
      <c r="P1414" s="127"/>
    </row>
    <row r="1415" spans="1:16" ht="49.5" customHeight="1" x14ac:dyDescent="0.25">
      <c r="A1415" s="127"/>
      <c r="B1415" s="127"/>
      <c r="C1415" s="127"/>
      <c r="D1415" s="128"/>
      <c r="E1415" s="127"/>
      <c r="F1415" s="128"/>
      <c r="G1415" s="127"/>
      <c r="H1415" s="127"/>
      <c r="I1415" s="127"/>
      <c r="J1415" s="127"/>
      <c r="K1415" s="127"/>
      <c r="L1415" s="127"/>
      <c r="M1415" s="127"/>
      <c r="N1415" s="127"/>
      <c r="O1415" s="127"/>
      <c r="P1415" s="127"/>
    </row>
    <row r="1416" spans="1:16" ht="49.5" customHeight="1" x14ac:dyDescent="0.25">
      <c r="A1416" s="127"/>
      <c r="B1416" s="127"/>
      <c r="C1416" s="127"/>
      <c r="D1416" s="128"/>
      <c r="E1416" s="127"/>
      <c r="F1416" s="128"/>
      <c r="G1416" s="127"/>
      <c r="H1416" s="127"/>
      <c r="I1416" s="127"/>
      <c r="J1416" s="127"/>
      <c r="K1416" s="127"/>
      <c r="L1416" s="127"/>
      <c r="M1416" s="127"/>
      <c r="N1416" s="127"/>
      <c r="O1416" s="127"/>
      <c r="P1416" s="127"/>
    </row>
    <row r="1417" spans="1:16" ht="49.5" customHeight="1" x14ac:dyDescent="0.25">
      <c r="A1417" s="127"/>
      <c r="B1417" s="127"/>
      <c r="C1417" s="127"/>
      <c r="D1417" s="128"/>
      <c r="E1417" s="127"/>
      <c r="F1417" s="128"/>
      <c r="G1417" s="127"/>
      <c r="H1417" s="127"/>
      <c r="I1417" s="127"/>
      <c r="J1417" s="127"/>
      <c r="K1417" s="127"/>
      <c r="L1417" s="127"/>
      <c r="M1417" s="127"/>
      <c r="N1417" s="127"/>
      <c r="O1417" s="127"/>
      <c r="P1417" s="127"/>
    </row>
    <row r="1418" spans="1:16" ht="49.5" customHeight="1" x14ac:dyDescent="0.25">
      <c r="A1418" s="127"/>
      <c r="B1418" s="127"/>
      <c r="C1418" s="127"/>
      <c r="D1418" s="128"/>
      <c r="E1418" s="127"/>
      <c r="F1418" s="128"/>
      <c r="G1418" s="127"/>
      <c r="H1418" s="127"/>
      <c r="I1418" s="127"/>
      <c r="J1418" s="127"/>
      <c r="K1418" s="127"/>
      <c r="L1418" s="127"/>
      <c r="M1418" s="127"/>
      <c r="N1418" s="127"/>
      <c r="O1418" s="127"/>
      <c r="P1418" s="127"/>
    </row>
    <row r="1419" spans="1:16" ht="49.5" customHeight="1" x14ac:dyDescent="0.25">
      <c r="A1419" s="127"/>
      <c r="B1419" s="127"/>
      <c r="C1419" s="127"/>
      <c r="D1419" s="128"/>
      <c r="E1419" s="127"/>
      <c r="F1419" s="128"/>
      <c r="G1419" s="127"/>
      <c r="H1419" s="127"/>
      <c r="I1419" s="127"/>
      <c r="J1419" s="127"/>
      <c r="K1419" s="127"/>
      <c r="L1419" s="127"/>
      <c r="M1419" s="127"/>
      <c r="N1419" s="127"/>
      <c r="O1419" s="127"/>
      <c r="P1419" s="127"/>
    </row>
    <row r="1420" spans="1:16" ht="49.5" customHeight="1" x14ac:dyDescent="0.25">
      <c r="A1420" s="127"/>
      <c r="B1420" s="127"/>
      <c r="C1420" s="127"/>
      <c r="D1420" s="128"/>
      <c r="E1420" s="127"/>
      <c r="F1420" s="128"/>
      <c r="G1420" s="127"/>
      <c r="H1420" s="127"/>
      <c r="I1420" s="127"/>
      <c r="J1420" s="127"/>
      <c r="K1420" s="127"/>
      <c r="L1420" s="127"/>
      <c r="M1420" s="127"/>
      <c r="N1420" s="127"/>
      <c r="O1420" s="127"/>
      <c r="P1420" s="127"/>
    </row>
    <row r="1421" spans="1:16" ht="49.5" customHeight="1" x14ac:dyDescent="0.25">
      <c r="A1421" s="127"/>
      <c r="B1421" s="127"/>
      <c r="C1421" s="127"/>
      <c r="D1421" s="128"/>
      <c r="E1421" s="127"/>
      <c r="F1421" s="128"/>
      <c r="G1421" s="127"/>
      <c r="H1421" s="127"/>
      <c r="I1421" s="127"/>
      <c r="J1421" s="127"/>
      <c r="K1421" s="127"/>
      <c r="L1421" s="127"/>
      <c r="M1421" s="127"/>
      <c r="N1421" s="127"/>
      <c r="O1421" s="127"/>
      <c r="P1421" s="127"/>
    </row>
    <row r="1422" spans="1:16" ht="49.5" customHeight="1" x14ac:dyDescent="0.25">
      <c r="A1422" s="127"/>
      <c r="B1422" s="127"/>
      <c r="C1422" s="127"/>
      <c r="D1422" s="128"/>
      <c r="E1422" s="127"/>
      <c r="F1422" s="128"/>
      <c r="G1422" s="127"/>
      <c r="H1422" s="127"/>
      <c r="I1422" s="127"/>
      <c r="J1422" s="127"/>
      <c r="K1422" s="127"/>
      <c r="L1422" s="127"/>
      <c r="M1422" s="127"/>
      <c r="N1422" s="127"/>
      <c r="O1422" s="127"/>
      <c r="P1422" s="127"/>
    </row>
    <row r="1423" spans="1:16" ht="49.5" customHeight="1" x14ac:dyDescent="0.25">
      <c r="A1423" s="127"/>
      <c r="B1423" s="127"/>
      <c r="C1423" s="127"/>
      <c r="D1423" s="128"/>
      <c r="E1423" s="127"/>
      <c r="F1423" s="128"/>
      <c r="G1423" s="127"/>
      <c r="H1423" s="127"/>
      <c r="I1423" s="127"/>
      <c r="J1423" s="127"/>
      <c r="K1423" s="127"/>
      <c r="L1423" s="127"/>
      <c r="M1423" s="127"/>
      <c r="N1423" s="127"/>
      <c r="O1423" s="127"/>
      <c r="P1423" s="127"/>
    </row>
    <row r="1424" spans="1:16" ht="49.5" customHeight="1" x14ac:dyDescent="0.25">
      <c r="A1424" s="127"/>
      <c r="B1424" s="127"/>
      <c r="C1424" s="127"/>
      <c r="D1424" s="128"/>
      <c r="E1424" s="127"/>
      <c r="F1424" s="128"/>
      <c r="G1424" s="127"/>
      <c r="H1424" s="127"/>
      <c r="I1424" s="127"/>
      <c r="J1424" s="127"/>
      <c r="K1424" s="127"/>
      <c r="L1424" s="127"/>
      <c r="M1424" s="127"/>
      <c r="N1424" s="127"/>
      <c r="O1424" s="127"/>
      <c r="P1424" s="127"/>
    </row>
    <row r="1425" spans="1:16" ht="49.5" customHeight="1" x14ac:dyDescent="0.25">
      <c r="A1425" s="127"/>
      <c r="B1425" s="127"/>
      <c r="C1425" s="127"/>
      <c r="D1425" s="128"/>
      <c r="E1425" s="127"/>
      <c r="F1425" s="128"/>
      <c r="G1425" s="127"/>
      <c r="H1425" s="127"/>
      <c r="I1425" s="127"/>
      <c r="J1425" s="127"/>
      <c r="K1425" s="127"/>
      <c r="L1425" s="127"/>
      <c r="M1425" s="127"/>
      <c r="N1425" s="127"/>
      <c r="O1425" s="127"/>
      <c r="P1425" s="127"/>
    </row>
    <row r="1426" spans="1:16" ht="49.5" customHeight="1" x14ac:dyDescent="0.25">
      <c r="A1426" s="127"/>
      <c r="B1426" s="127"/>
      <c r="C1426" s="127"/>
      <c r="D1426" s="128"/>
      <c r="E1426" s="127"/>
      <c r="F1426" s="128"/>
      <c r="G1426" s="127"/>
      <c r="H1426" s="127"/>
      <c r="I1426" s="127"/>
      <c r="J1426" s="127"/>
      <c r="K1426" s="127"/>
      <c r="L1426" s="127"/>
      <c r="M1426" s="127"/>
      <c r="N1426" s="127"/>
      <c r="O1426" s="127"/>
      <c r="P1426" s="127"/>
    </row>
    <row r="1427" spans="1:16" ht="49.5" customHeight="1" x14ac:dyDescent="0.25">
      <c r="A1427" s="127"/>
      <c r="B1427" s="127"/>
      <c r="C1427" s="127"/>
      <c r="D1427" s="128"/>
      <c r="E1427" s="127"/>
      <c r="F1427" s="128"/>
      <c r="G1427" s="127"/>
      <c r="H1427" s="127"/>
      <c r="I1427" s="127"/>
      <c r="J1427" s="127"/>
      <c r="K1427" s="127"/>
      <c r="L1427" s="127"/>
      <c r="M1427" s="127"/>
      <c r="N1427" s="127"/>
      <c r="O1427" s="127"/>
      <c r="P1427" s="127"/>
    </row>
    <row r="1428" spans="1:16" ht="49.5" customHeight="1" x14ac:dyDescent="0.25">
      <c r="A1428" s="127"/>
      <c r="B1428" s="127"/>
      <c r="C1428" s="127"/>
      <c r="D1428" s="128"/>
      <c r="E1428" s="127"/>
      <c r="F1428" s="128"/>
      <c r="G1428" s="127"/>
      <c r="H1428" s="127"/>
      <c r="I1428" s="127"/>
      <c r="J1428" s="127"/>
      <c r="K1428" s="127"/>
      <c r="L1428" s="127"/>
      <c r="M1428" s="127"/>
      <c r="N1428" s="127"/>
      <c r="O1428" s="127"/>
      <c r="P1428" s="127"/>
    </row>
    <row r="1429" spans="1:16" ht="49.5" customHeight="1" x14ac:dyDescent="0.25">
      <c r="A1429" s="127"/>
      <c r="B1429" s="127"/>
      <c r="C1429" s="127"/>
      <c r="D1429" s="128"/>
      <c r="E1429" s="127"/>
      <c r="F1429" s="128"/>
      <c r="G1429" s="127"/>
      <c r="H1429" s="127"/>
      <c r="I1429" s="127"/>
      <c r="J1429" s="127"/>
      <c r="K1429" s="127"/>
      <c r="L1429" s="127"/>
      <c r="M1429" s="127"/>
      <c r="N1429" s="127"/>
      <c r="O1429" s="127"/>
      <c r="P1429" s="127"/>
    </row>
    <row r="1430" spans="1:16" ht="49.5" customHeight="1" x14ac:dyDescent="0.25">
      <c r="A1430" s="127"/>
      <c r="B1430" s="127"/>
      <c r="C1430" s="127"/>
      <c r="D1430" s="128"/>
      <c r="E1430" s="127"/>
      <c r="F1430" s="128"/>
      <c r="G1430" s="127"/>
      <c r="H1430" s="127"/>
      <c r="I1430" s="127"/>
      <c r="J1430" s="127"/>
      <c r="K1430" s="127"/>
      <c r="L1430" s="127"/>
      <c r="M1430" s="127"/>
      <c r="N1430" s="127"/>
      <c r="O1430" s="127"/>
      <c r="P1430" s="127"/>
    </row>
    <row r="1431" spans="1:16" ht="49.5" customHeight="1" x14ac:dyDescent="0.25">
      <c r="A1431" s="127"/>
      <c r="B1431" s="127"/>
      <c r="C1431" s="127"/>
      <c r="D1431" s="128"/>
      <c r="E1431" s="127"/>
      <c r="F1431" s="128"/>
      <c r="G1431" s="127"/>
      <c r="H1431" s="127"/>
      <c r="I1431" s="127"/>
      <c r="J1431" s="127"/>
      <c r="K1431" s="127"/>
      <c r="L1431" s="127"/>
      <c r="M1431" s="127"/>
      <c r="N1431" s="127"/>
      <c r="O1431" s="127"/>
      <c r="P1431" s="127"/>
    </row>
    <row r="1432" spans="1:16" ht="49.5" customHeight="1" x14ac:dyDescent="0.25">
      <c r="A1432" s="127"/>
      <c r="B1432" s="127"/>
      <c r="C1432" s="127"/>
      <c r="D1432" s="128"/>
      <c r="E1432" s="127"/>
      <c r="F1432" s="128"/>
      <c r="G1432" s="127"/>
      <c r="H1432" s="127"/>
      <c r="I1432" s="127"/>
      <c r="J1432" s="127"/>
      <c r="K1432" s="127"/>
      <c r="L1432" s="127"/>
      <c r="M1432" s="127"/>
      <c r="N1432" s="127"/>
      <c r="O1432" s="127"/>
      <c r="P1432" s="127"/>
    </row>
    <row r="1433" spans="1:16" ht="49.5" customHeight="1" x14ac:dyDescent="0.25">
      <c r="A1433" s="127"/>
      <c r="B1433" s="127"/>
      <c r="C1433" s="127"/>
      <c r="D1433" s="128"/>
      <c r="E1433" s="127"/>
      <c r="F1433" s="128"/>
      <c r="G1433" s="127"/>
      <c r="H1433" s="127"/>
      <c r="I1433" s="127"/>
      <c r="J1433" s="127"/>
      <c r="K1433" s="127"/>
      <c r="L1433" s="127"/>
      <c r="M1433" s="127"/>
      <c r="N1433" s="127"/>
      <c r="O1433" s="127"/>
      <c r="P1433" s="127"/>
    </row>
    <row r="1434" spans="1:16" ht="49.5" customHeight="1" x14ac:dyDescent="0.25">
      <c r="A1434" s="127"/>
      <c r="B1434" s="127"/>
      <c r="C1434" s="127"/>
      <c r="D1434" s="128"/>
      <c r="E1434" s="127"/>
      <c r="F1434" s="128"/>
      <c r="G1434" s="127"/>
      <c r="H1434" s="127"/>
      <c r="I1434" s="127"/>
      <c r="J1434" s="127"/>
      <c r="K1434" s="127"/>
      <c r="L1434" s="127"/>
      <c r="M1434" s="127"/>
      <c r="N1434" s="127"/>
      <c r="O1434" s="127"/>
      <c r="P1434" s="127"/>
    </row>
    <row r="1435" spans="1:16" ht="49.5" customHeight="1" x14ac:dyDescent="0.25">
      <c r="A1435" s="127"/>
      <c r="B1435" s="127"/>
      <c r="C1435" s="127"/>
      <c r="D1435" s="128"/>
      <c r="E1435" s="127"/>
      <c r="F1435" s="128"/>
      <c r="G1435" s="127"/>
      <c r="H1435" s="127"/>
      <c r="I1435" s="127"/>
      <c r="J1435" s="127"/>
      <c r="K1435" s="127"/>
      <c r="L1435" s="127"/>
      <c r="M1435" s="127"/>
      <c r="N1435" s="127"/>
      <c r="O1435" s="127"/>
      <c r="P1435" s="127"/>
    </row>
    <row r="1436" spans="1:16" ht="49.5" customHeight="1" x14ac:dyDescent="0.25">
      <c r="A1436" s="127"/>
      <c r="B1436" s="127"/>
      <c r="C1436" s="127"/>
      <c r="D1436" s="128"/>
      <c r="E1436" s="127"/>
      <c r="F1436" s="128"/>
      <c r="G1436" s="127"/>
      <c r="H1436" s="127"/>
      <c r="I1436" s="127"/>
      <c r="J1436" s="127"/>
      <c r="K1436" s="127"/>
      <c r="L1436" s="127"/>
      <c r="M1436" s="127"/>
      <c r="N1436" s="127"/>
      <c r="O1436" s="127"/>
      <c r="P1436" s="127"/>
    </row>
    <row r="1437" spans="1:16" ht="49.5" customHeight="1" x14ac:dyDescent="0.25">
      <c r="A1437" s="127"/>
      <c r="B1437" s="127"/>
      <c r="C1437" s="127"/>
      <c r="D1437" s="128"/>
      <c r="E1437" s="127"/>
      <c r="F1437" s="128"/>
      <c r="G1437" s="127"/>
      <c r="H1437" s="127"/>
      <c r="I1437" s="127"/>
      <c r="J1437" s="127"/>
      <c r="K1437" s="127"/>
      <c r="L1437" s="127"/>
      <c r="M1437" s="127"/>
      <c r="N1437" s="127"/>
      <c r="O1437" s="127"/>
      <c r="P1437" s="127"/>
    </row>
    <row r="1438" spans="1:16" ht="49.5" customHeight="1" x14ac:dyDescent="0.25">
      <c r="A1438" s="127"/>
      <c r="B1438" s="127"/>
      <c r="C1438" s="127"/>
      <c r="D1438" s="128"/>
      <c r="E1438" s="127"/>
      <c r="F1438" s="128"/>
      <c r="G1438" s="127"/>
      <c r="H1438" s="127"/>
      <c r="I1438" s="127"/>
      <c r="J1438" s="127"/>
      <c r="K1438" s="127"/>
      <c r="L1438" s="127"/>
      <c r="M1438" s="127"/>
      <c r="N1438" s="127"/>
      <c r="O1438" s="127"/>
      <c r="P1438" s="127"/>
    </row>
    <row r="1439" spans="1:16" ht="49.5" customHeight="1" x14ac:dyDescent="0.25">
      <c r="A1439" s="127"/>
      <c r="B1439" s="127"/>
      <c r="C1439" s="127"/>
      <c r="D1439" s="128"/>
      <c r="E1439" s="127"/>
      <c r="F1439" s="128"/>
      <c r="G1439" s="127"/>
      <c r="H1439" s="127"/>
      <c r="I1439" s="127"/>
      <c r="J1439" s="127"/>
      <c r="K1439" s="127"/>
      <c r="L1439" s="127"/>
      <c r="M1439" s="127"/>
      <c r="N1439" s="127"/>
      <c r="O1439" s="127"/>
      <c r="P1439" s="127"/>
    </row>
    <row r="1440" spans="1:16" ht="49.5" customHeight="1" x14ac:dyDescent="0.25">
      <c r="A1440" s="127"/>
      <c r="B1440" s="127"/>
      <c r="C1440" s="127"/>
      <c r="D1440" s="128"/>
      <c r="E1440" s="127"/>
      <c r="F1440" s="128"/>
      <c r="G1440" s="127"/>
      <c r="H1440" s="127"/>
      <c r="I1440" s="127"/>
      <c r="J1440" s="127"/>
      <c r="K1440" s="127"/>
      <c r="L1440" s="127"/>
      <c r="M1440" s="127"/>
      <c r="N1440" s="127"/>
      <c r="O1440" s="127"/>
      <c r="P1440" s="127"/>
    </row>
    <row r="1441" spans="1:16" ht="49.5" customHeight="1" x14ac:dyDescent="0.25">
      <c r="A1441" s="127"/>
      <c r="B1441" s="127"/>
      <c r="C1441" s="127"/>
      <c r="D1441" s="128"/>
      <c r="E1441" s="127"/>
      <c r="F1441" s="128"/>
      <c r="G1441" s="127"/>
      <c r="H1441" s="127"/>
      <c r="I1441" s="127"/>
      <c r="J1441" s="127"/>
      <c r="K1441" s="127"/>
      <c r="L1441" s="127"/>
      <c r="M1441" s="127"/>
      <c r="N1441" s="127"/>
      <c r="O1441" s="127"/>
      <c r="P1441" s="127"/>
    </row>
    <row r="1442" spans="1:16" ht="49.5" customHeight="1" x14ac:dyDescent="0.25">
      <c r="A1442" s="127"/>
      <c r="B1442" s="127"/>
      <c r="C1442" s="127"/>
      <c r="D1442" s="128"/>
      <c r="E1442" s="127"/>
      <c r="F1442" s="128"/>
      <c r="G1442" s="127"/>
      <c r="H1442" s="127"/>
      <c r="I1442" s="127"/>
      <c r="J1442" s="127"/>
      <c r="K1442" s="127"/>
      <c r="L1442" s="127"/>
      <c r="M1442" s="127"/>
      <c r="N1442" s="127"/>
      <c r="O1442" s="127"/>
      <c r="P1442" s="127"/>
    </row>
    <row r="1443" spans="1:16" ht="49.5" customHeight="1" x14ac:dyDescent="0.25">
      <c r="A1443" s="127"/>
      <c r="B1443" s="127"/>
      <c r="C1443" s="127"/>
      <c r="D1443" s="128"/>
      <c r="E1443" s="127"/>
      <c r="F1443" s="128"/>
      <c r="G1443" s="127"/>
      <c r="H1443" s="127"/>
      <c r="I1443" s="127"/>
      <c r="J1443" s="127"/>
      <c r="K1443" s="127"/>
      <c r="L1443" s="127"/>
      <c r="M1443" s="127"/>
      <c r="N1443" s="127"/>
      <c r="O1443" s="127"/>
      <c r="P1443" s="127"/>
    </row>
    <row r="1444" spans="1:16" ht="49.5" customHeight="1" x14ac:dyDescent="0.25">
      <c r="A1444" s="127"/>
      <c r="B1444" s="127"/>
      <c r="C1444" s="127"/>
      <c r="D1444" s="128"/>
      <c r="E1444" s="127"/>
      <c r="F1444" s="128"/>
      <c r="G1444" s="127"/>
      <c r="H1444" s="127"/>
      <c r="I1444" s="127"/>
      <c r="J1444" s="127"/>
      <c r="K1444" s="127"/>
      <c r="L1444" s="127"/>
      <c r="M1444" s="127"/>
      <c r="N1444" s="127"/>
      <c r="O1444" s="127"/>
      <c r="P1444" s="127"/>
    </row>
    <row r="1445" spans="1:16" ht="49.5" customHeight="1" x14ac:dyDescent="0.25">
      <c r="A1445" s="127"/>
      <c r="B1445" s="127"/>
      <c r="C1445" s="127"/>
      <c r="D1445" s="128"/>
      <c r="E1445" s="127"/>
      <c r="F1445" s="128"/>
      <c r="G1445" s="127"/>
      <c r="H1445" s="127"/>
      <c r="I1445" s="127"/>
      <c r="J1445" s="127"/>
      <c r="K1445" s="127"/>
      <c r="L1445" s="127"/>
      <c r="M1445" s="127"/>
      <c r="N1445" s="127"/>
      <c r="O1445" s="127"/>
      <c r="P1445" s="127"/>
    </row>
    <row r="1446" spans="1:16" ht="49.5" customHeight="1" x14ac:dyDescent="0.25">
      <c r="A1446" s="127"/>
      <c r="B1446" s="127"/>
      <c r="C1446" s="127"/>
      <c r="D1446" s="128"/>
      <c r="E1446" s="127"/>
      <c r="F1446" s="128"/>
      <c r="G1446" s="127"/>
      <c r="H1446" s="127"/>
      <c r="I1446" s="127"/>
      <c r="J1446" s="127"/>
      <c r="K1446" s="127"/>
      <c r="L1446" s="127"/>
      <c r="M1446" s="127"/>
      <c r="N1446" s="127"/>
      <c r="O1446" s="127"/>
      <c r="P1446" s="127"/>
    </row>
    <row r="1447" spans="1:16" ht="49.5" customHeight="1" x14ac:dyDescent="0.25">
      <c r="A1447" s="127"/>
      <c r="B1447" s="127"/>
      <c r="C1447" s="127"/>
      <c r="D1447" s="128"/>
      <c r="E1447" s="127"/>
      <c r="F1447" s="128"/>
      <c r="G1447" s="127"/>
      <c r="H1447" s="127"/>
      <c r="I1447" s="127"/>
      <c r="J1447" s="127"/>
      <c r="K1447" s="127"/>
      <c r="L1447" s="127"/>
      <c r="M1447" s="127"/>
      <c r="N1447" s="127"/>
      <c r="O1447" s="127"/>
      <c r="P1447" s="127"/>
    </row>
    <row r="1448" spans="1:16" ht="49.5" customHeight="1" x14ac:dyDescent="0.25">
      <c r="A1448" s="127"/>
      <c r="B1448" s="127"/>
      <c r="C1448" s="127"/>
      <c r="D1448" s="128"/>
      <c r="E1448" s="127"/>
      <c r="F1448" s="128"/>
      <c r="G1448" s="127"/>
      <c r="H1448" s="127"/>
      <c r="I1448" s="127"/>
      <c r="J1448" s="127"/>
      <c r="K1448" s="127"/>
      <c r="L1448" s="127"/>
      <c r="M1448" s="127"/>
      <c r="N1448" s="127"/>
      <c r="O1448" s="127"/>
      <c r="P1448" s="127"/>
    </row>
    <row r="1449" spans="1:16" ht="49.5" customHeight="1" x14ac:dyDescent="0.25">
      <c r="A1449" s="127"/>
      <c r="B1449" s="127"/>
      <c r="C1449" s="127"/>
      <c r="D1449" s="128"/>
      <c r="E1449" s="127"/>
      <c r="F1449" s="128"/>
      <c r="G1449" s="127"/>
      <c r="H1449" s="127"/>
      <c r="I1449" s="127"/>
      <c r="J1449" s="127"/>
      <c r="K1449" s="127"/>
      <c r="L1449" s="127"/>
      <c r="M1449" s="127"/>
      <c r="N1449" s="127"/>
      <c r="O1449" s="127"/>
      <c r="P1449" s="127"/>
    </row>
    <row r="1450" spans="1:16" ht="49.5" customHeight="1" x14ac:dyDescent="0.25">
      <c r="A1450" s="127"/>
      <c r="B1450" s="127"/>
      <c r="C1450" s="127"/>
      <c r="D1450" s="128"/>
      <c r="E1450" s="127"/>
      <c r="F1450" s="128"/>
      <c r="G1450" s="127"/>
      <c r="H1450" s="127"/>
      <c r="I1450" s="127"/>
      <c r="J1450" s="127"/>
      <c r="K1450" s="127"/>
      <c r="L1450" s="127"/>
      <c r="M1450" s="127"/>
      <c r="N1450" s="127"/>
      <c r="O1450" s="127"/>
      <c r="P1450" s="127"/>
    </row>
    <row r="1451" spans="1:16" ht="49.5" customHeight="1" x14ac:dyDescent="0.25">
      <c r="A1451" s="127"/>
      <c r="B1451" s="127"/>
      <c r="C1451" s="127"/>
      <c r="D1451" s="128"/>
      <c r="E1451" s="127"/>
      <c r="F1451" s="128"/>
      <c r="G1451" s="127"/>
      <c r="H1451" s="127"/>
      <c r="I1451" s="127"/>
      <c r="J1451" s="127"/>
      <c r="K1451" s="127"/>
      <c r="L1451" s="127"/>
      <c r="M1451" s="127"/>
      <c r="N1451" s="127"/>
      <c r="O1451" s="127"/>
      <c r="P1451" s="127"/>
    </row>
    <row r="1452" spans="1:16" ht="49.5" customHeight="1" x14ac:dyDescent="0.25">
      <c r="A1452" s="127"/>
      <c r="B1452" s="127"/>
      <c r="C1452" s="127"/>
      <c r="D1452" s="128"/>
      <c r="E1452" s="127"/>
      <c r="F1452" s="128"/>
      <c r="G1452" s="127"/>
      <c r="H1452" s="127"/>
      <c r="I1452" s="127"/>
      <c r="J1452" s="127"/>
      <c r="K1452" s="127"/>
      <c r="L1452" s="127"/>
      <c r="M1452" s="127"/>
      <c r="N1452" s="127"/>
      <c r="O1452" s="127"/>
      <c r="P1452" s="127"/>
    </row>
    <row r="1453" spans="1:16" ht="49.5" customHeight="1" x14ac:dyDescent="0.25">
      <c r="A1453" s="127"/>
      <c r="B1453" s="127"/>
      <c r="C1453" s="127"/>
      <c r="D1453" s="128"/>
      <c r="E1453" s="127"/>
      <c r="F1453" s="128"/>
      <c r="G1453" s="127"/>
      <c r="H1453" s="127"/>
      <c r="I1453" s="127"/>
      <c r="J1453" s="127"/>
      <c r="K1453" s="127"/>
      <c r="L1453" s="127"/>
      <c r="M1453" s="127"/>
      <c r="N1453" s="127"/>
      <c r="O1453" s="127"/>
      <c r="P1453" s="127"/>
    </row>
    <row r="1454" spans="1:16" ht="49.5" customHeight="1" x14ac:dyDescent="0.25">
      <c r="A1454" s="127"/>
      <c r="B1454" s="127"/>
      <c r="C1454" s="127"/>
      <c r="D1454" s="128"/>
      <c r="E1454" s="127"/>
      <c r="F1454" s="128"/>
      <c r="G1454" s="127"/>
      <c r="H1454" s="127"/>
      <c r="I1454" s="127"/>
      <c r="J1454" s="127"/>
      <c r="K1454" s="127"/>
      <c r="L1454" s="127"/>
      <c r="M1454" s="127"/>
      <c r="N1454" s="127"/>
      <c r="O1454" s="127"/>
      <c r="P1454" s="127"/>
    </row>
    <row r="1455" spans="1:16" ht="49.5" customHeight="1" x14ac:dyDescent="0.25">
      <c r="A1455" s="127"/>
      <c r="B1455" s="127"/>
      <c r="C1455" s="127"/>
      <c r="D1455" s="128"/>
      <c r="E1455" s="127"/>
      <c r="F1455" s="128"/>
      <c r="G1455" s="127"/>
      <c r="H1455" s="127"/>
      <c r="I1455" s="127"/>
      <c r="J1455" s="127"/>
      <c r="K1455" s="127"/>
      <c r="L1455" s="127"/>
      <c r="M1455" s="127"/>
      <c r="N1455" s="127"/>
      <c r="O1455" s="127"/>
      <c r="P1455" s="127"/>
    </row>
    <row r="1456" spans="1:16" ht="49.5" customHeight="1" x14ac:dyDescent="0.25">
      <c r="A1456" s="127"/>
      <c r="B1456" s="127"/>
      <c r="C1456" s="127"/>
      <c r="D1456" s="128"/>
      <c r="E1456" s="127"/>
      <c r="F1456" s="128"/>
      <c r="G1456" s="127"/>
      <c r="H1456" s="127"/>
      <c r="I1456" s="127"/>
      <c r="J1456" s="127"/>
      <c r="K1456" s="127"/>
      <c r="L1456" s="127"/>
      <c r="M1456" s="127"/>
      <c r="N1456" s="127"/>
      <c r="O1456" s="127"/>
      <c r="P1456" s="127"/>
    </row>
    <row r="1457" spans="1:16" ht="49.5" customHeight="1" x14ac:dyDescent="0.25">
      <c r="A1457" s="127"/>
      <c r="B1457" s="127"/>
      <c r="C1457" s="127"/>
      <c r="D1457" s="128"/>
      <c r="E1457" s="127"/>
      <c r="F1457" s="128"/>
      <c r="G1457" s="127"/>
      <c r="H1457" s="127"/>
      <c r="I1457" s="127"/>
      <c r="J1457" s="127"/>
      <c r="K1457" s="127"/>
      <c r="L1457" s="127"/>
      <c r="M1457" s="127"/>
      <c r="N1457" s="127"/>
      <c r="O1457" s="127"/>
      <c r="P1457" s="127"/>
    </row>
    <row r="1458" spans="1:16" ht="49.5" customHeight="1" x14ac:dyDescent="0.25">
      <c r="A1458" s="127"/>
      <c r="B1458" s="127"/>
      <c r="C1458" s="127"/>
      <c r="D1458" s="128"/>
      <c r="E1458" s="127"/>
      <c r="F1458" s="128"/>
      <c r="G1458" s="127"/>
      <c r="H1458" s="127"/>
      <c r="I1458" s="127"/>
      <c r="J1458" s="127"/>
      <c r="K1458" s="127"/>
      <c r="L1458" s="127"/>
      <c r="M1458" s="127"/>
      <c r="N1458" s="127"/>
      <c r="O1458" s="127"/>
      <c r="P1458" s="127"/>
    </row>
    <row r="1459" spans="1:16" ht="49.5" customHeight="1" x14ac:dyDescent="0.25">
      <c r="A1459" s="127"/>
      <c r="B1459" s="127"/>
      <c r="C1459" s="127"/>
      <c r="D1459" s="128"/>
      <c r="E1459" s="127"/>
      <c r="F1459" s="128"/>
      <c r="G1459" s="127"/>
      <c r="H1459" s="127"/>
      <c r="I1459" s="127"/>
      <c r="J1459" s="127"/>
      <c r="K1459" s="127"/>
      <c r="L1459" s="127"/>
      <c r="M1459" s="127"/>
      <c r="N1459" s="127"/>
      <c r="O1459" s="127"/>
      <c r="P1459" s="127"/>
    </row>
    <row r="1460" spans="1:16" ht="49.5" customHeight="1" x14ac:dyDescent="0.25">
      <c r="A1460" s="127"/>
      <c r="B1460" s="127"/>
      <c r="C1460" s="127"/>
      <c r="D1460" s="128"/>
      <c r="E1460" s="127"/>
      <c r="F1460" s="128"/>
      <c r="G1460" s="127"/>
      <c r="H1460" s="127"/>
      <c r="I1460" s="127"/>
      <c r="J1460" s="127"/>
      <c r="K1460" s="127"/>
      <c r="L1460" s="127"/>
      <c r="M1460" s="127"/>
      <c r="N1460" s="127"/>
      <c r="O1460" s="127"/>
      <c r="P1460" s="127"/>
    </row>
    <row r="1461" spans="1:16" ht="49.5" customHeight="1" x14ac:dyDescent="0.25">
      <c r="A1461" s="127"/>
      <c r="B1461" s="127"/>
      <c r="C1461" s="127"/>
      <c r="D1461" s="128"/>
      <c r="E1461" s="127"/>
      <c r="F1461" s="128"/>
      <c r="G1461" s="127"/>
      <c r="H1461" s="127"/>
      <c r="I1461" s="127"/>
      <c r="J1461" s="127"/>
      <c r="K1461" s="127"/>
      <c r="L1461" s="127"/>
      <c r="M1461" s="127"/>
      <c r="N1461" s="127"/>
      <c r="O1461" s="127"/>
      <c r="P1461" s="127"/>
    </row>
    <row r="1462" spans="1:16" ht="49.5" customHeight="1" x14ac:dyDescent="0.25">
      <c r="A1462" s="127"/>
      <c r="B1462" s="127"/>
      <c r="C1462" s="127"/>
      <c r="D1462" s="128"/>
      <c r="E1462" s="127"/>
      <c r="F1462" s="128"/>
      <c r="G1462" s="127"/>
      <c r="H1462" s="127"/>
      <c r="I1462" s="127"/>
      <c r="J1462" s="127"/>
      <c r="K1462" s="127"/>
      <c r="L1462" s="127"/>
      <c r="M1462" s="127"/>
      <c r="N1462" s="127"/>
      <c r="O1462" s="127"/>
      <c r="P1462" s="127"/>
    </row>
    <row r="1463" spans="1:16" ht="49.5" customHeight="1" x14ac:dyDescent="0.25">
      <c r="A1463" s="127"/>
      <c r="B1463" s="127"/>
      <c r="C1463" s="127"/>
      <c r="D1463" s="128"/>
      <c r="E1463" s="127"/>
      <c r="F1463" s="128"/>
      <c r="G1463" s="127"/>
      <c r="H1463" s="127"/>
      <c r="I1463" s="127"/>
      <c r="J1463" s="127"/>
      <c r="K1463" s="127"/>
      <c r="L1463" s="127"/>
      <c r="M1463" s="127"/>
      <c r="N1463" s="127"/>
      <c r="O1463" s="127"/>
      <c r="P1463" s="127"/>
    </row>
    <row r="1464" spans="1:16" ht="49.5" customHeight="1" x14ac:dyDescent="0.25">
      <c r="A1464" s="127"/>
      <c r="B1464" s="127"/>
      <c r="C1464" s="127"/>
      <c r="D1464" s="128"/>
      <c r="E1464" s="127"/>
      <c r="F1464" s="128"/>
      <c r="G1464" s="127"/>
      <c r="H1464" s="127"/>
      <c r="I1464" s="127"/>
      <c r="J1464" s="127"/>
      <c r="K1464" s="127"/>
      <c r="L1464" s="127"/>
      <c r="M1464" s="127"/>
      <c r="N1464" s="127"/>
      <c r="O1464" s="127"/>
      <c r="P1464" s="127"/>
    </row>
    <row r="1465" spans="1:16" ht="49.5" customHeight="1" x14ac:dyDescent="0.25">
      <c r="A1465" s="127"/>
      <c r="B1465" s="127"/>
      <c r="C1465" s="127"/>
      <c r="D1465" s="128"/>
      <c r="E1465" s="127"/>
      <c r="F1465" s="128"/>
      <c r="G1465" s="127"/>
      <c r="H1465" s="127"/>
      <c r="I1465" s="127"/>
      <c r="J1465" s="127"/>
      <c r="K1465" s="127"/>
      <c r="L1465" s="127"/>
      <c r="M1465" s="127"/>
      <c r="N1465" s="127"/>
      <c r="O1465" s="127"/>
      <c r="P1465" s="127"/>
    </row>
    <row r="1466" spans="1:16" ht="49.5" customHeight="1" x14ac:dyDescent="0.25">
      <c r="A1466" s="127"/>
      <c r="B1466" s="127"/>
      <c r="C1466" s="127"/>
      <c r="D1466" s="128"/>
      <c r="E1466" s="127"/>
      <c r="F1466" s="128"/>
      <c r="G1466" s="127"/>
      <c r="H1466" s="127"/>
      <c r="I1466" s="127"/>
      <c r="J1466" s="127"/>
      <c r="K1466" s="127"/>
      <c r="L1466" s="127"/>
      <c r="M1466" s="127"/>
      <c r="N1466" s="127"/>
      <c r="O1466" s="127"/>
      <c r="P1466" s="127"/>
    </row>
    <row r="1467" spans="1:16" ht="49.5" customHeight="1" x14ac:dyDescent="0.25">
      <c r="A1467" s="127"/>
      <c r="B1467" s="127"/>
      <c r="C1467" s="127"/>
      <c r="D1467" s="128"/>
      <c r="E1467" s="127"/>
      <c r="F1467" s="128"/>
      <c r="G1467" s="127"/>
      <c r="H1467" s="127"/>
      <c r="I1467" s="127"/>
      <c r="J1467" s="127"/>
      <c r="K1467" s="127"/>
      <c r="L1467" s="127"/>
      <c r="M1467" s="127"/>
      <c r="N1467" s="127"/>
      <c r="O1467" s="127"/>
      <c r="P1467" s="127"/>
    </row>
    <row r="1468" spans="1:16" ht="49.5" customHeight="1" x14ac:dyDescent="0.25">
      <c r="A1468" s="127"/>
      <c r="B1468" s="127"/>
      <c r="C1468" s="127"/>
      <c r="D1468" s="128"/>
      <c r="E1468" s="127"/>
      <c r="F1468" s="128"/>
      <c r="G1468" s="127"/>
      <c r="H1468" s="127"/>
      <c r="I1468" s="127"/>
      <c r="J1468" s="127"/>
      <c r="K1468" s="127"/>
      <c r="L1468" s="127"/>
      <c r="M1468" s="127"/>
      <c r="N1468" s="127"/>
      <c r="O1468" s="127"/>
      <c r="P1468" s="127"/>
    </row>
    <row r="1469" spans="1:16" ht="49.5" customHeight="1" x14ac:dyDescent="0.25">
      <c r="A1469" s="127"/>
      <c r="B1469" s="127"/>
      <c r="C1469" s="127"/>
      <c r="D1469" s="128"/>
      <c r="E1469" s="127"/>
      <c r="F1469" s="128"/>
      <c r="G1469" s="127"/>
      <c r="H1469" s="127"/>
      <c r="I1469" s="127"/>
      <c r="J1469" s="127"/>
      <c r="K1469" s="127"/>
      <c r="L1469" s="127"/>
      <c r="M1469" s="127"/>
      <c r="N1469" s="127"/>
      <c r="O1469" s="127"/>
      <c r="P1469" s="127"/>
    </row>
    <row r="1470" spans="1:16" ht="49.5" customHeight="1" x14ac:dyDescent="0.25">
      <c r="A1470" s="127"/>
      <c r="B1470" s="127"/>
      <c r="C1470" s="127"/>
      <c r="D1470" s="128"/>
      <c r="E1470" s="127"/>
      <c r="F1470" s="128"/>
      <c r="G1470" s="127"/>
      <c r="H1470" s="127"/>
      <c r="I1470" s="127"/>
      <c r="J1470" s="127"/>
      <c r="K1470" s="127"/>
      <c r="L1470" s="127"/>
      <c r="M1470" s="127"/>
      <c r="N1470" s="127"/>
      <c r="O1470" s="127"/>
      <c r="P1470" s="127"/>
    </row>
    <row r="1471" spans="1:16" ht="49.5" customHeight="1" x14ac:dyDescent="0.25">
      <c r="A1471" s="127"/>
      <c r="B1471" s="127"/>
      <c r="C1471" s="127"/>
      <c r="D1471" s="128"/>
      <c r="E1471" s="127"/>
      <c r="F1471" s="128"/>
      <c r="G1471" s="127"/>
      <c r="H1471" s="127"/>
      <c r="I1471" s="127"/>
      <c r="J1471" s="127"/>
      <c r="K1471" s="127"/>
      <c r="L1471" s="127"/>
      <c r="M1471" s="127"/>
      <c r="N1471" s="127"/>
      <c r="O1471" s="127"/>
      <c r="P1471" s="127"/>
    </row>
    <row r="1472" spans="1:16" ht="49.5" customHeight="1" x14ac:dyDescent="0.25">
      <c r="A1472" s="127"/>
      <c r="B1472" s="127"/>
      <c r="C1472" s="127"/>
      <c r="D1472" s="128"/>
      <c r="E1472" s="127"/>
      <c r="F1472" s="128"/>
      <c r="G1472" s="127"/>
      <c r="H1472" s="127"/>
      <c r="I1472" s="127"/>
      <c r="J1472" s="127"/>
      <c r="K1472" s="127"/>
      <c r="L1472" s="127"/>
      <c r="M1472" s="127"/>
      <c r="N1472" s="127"/>
      <c r="O1472" s="127"/>
      <c r="P1472" s="127"/>
    </row>
    <row r="1473" spans="1:16" ht="49.5" customHeight="1" x14ac:dyDescent="0.25">
      <c r="A1473" s="127"/>
      <c r="B1473" s="127"/>
      <c r="C1473" s="127"/>
      <c r="D1473" s="128"/>
      <c r="E1473" s="127"/>
      <c r="F1473" s="128"/>
      <c r="G1473" s="127"/>
      <c r="H1473" s="127"/>
      <c r="I1473" s="127"/>
      <c r="J1473" s="127"/>
      <c r="K1473" s="127"/>
      <c r="L1473" s="127"/>
      <c r="M1473" s="127"/>
      <c r="N1473" s="127"/>
      <c r="O1473" s="127"/>
      <c r="P1473" s="127"/>
    </row>
    <row r="1474" spans="1:16" ht="49.5" customHeight="1" x14ac:dyDescent="0.25">
      <c r="A1474" s="127"/>
      <c r="B1474" s="127"/>
      <c r="C1474" s="127"/>
      <c r="D1474" s="128"/>
      <c r="E1474" s="127"/>
      <c r="F1474" s="128"/>
      <c r="G1474" s="127"/>
      <c r="H1474" s="127"/>
      <c r="I1474" s="127"/>
      <c r="J1474" s="127"/>
      <c r="K1474" s="127"/>
      <c r="L1474" s="127"/>
      <c r="M1474" s="127"/>
      <c r="N1474" s="127"/>
      <c r="O1474" s="127"/>
      <c r="P1474" s="127"/>
    </row>
    <row r="1475" spans="1:16" ht="49.5" customHeight="1" x14ac:dyDescent="0.25">
      <c r="A1475" s="127"/>
      <c r="B1475" s="127"/>
      <c r="C1475" s="127"/>
      <c r="D1475" s="128"/>
      <c r="E1475" s="127"/>
      <c r="F1475" s="128"/>
      <c r="G1475" s="127"/>
      <c r="H1475" s="127"/>
      <c r="I1475" s="127"/>
      <c r="J1475" s="127"/>
      <c r="K1475" s="127"/>
      <c r="L1475" s="127"/>
      <c r="M1475" s="127"/>
      <c r="N1475" s="127"/>
      <c r="O1475" s="127"/>
      <c r="P1475" s="127"/>
    </row>
    <row r="1476" spans="1:16" ht="49.5" customHeight="1" x14ac:dyDescent="0.25">
      <c r="A1476" s="127"/>
      <c r="B1476" s="127"/>
      <c r="C1476" s="127"/>
      <c r="D1476" s="128"/>
      <c r="E1476" s="127"/>
      <c r="F1476" s="128"/>
      <c r="G1476" s="127"/>
      <c r="H1476" s="127"/>
      <c r="I1476" s="127"/>
      <c r="J1476" s="127"/>
      <c r="K1476" s="127"/>
      <c r="L1476" s="127"/>
      <c r="M1476" s="127"/>
      <c r="N1476" s="127"/>
      <c r="O1476" s="127"/>
      <c r="P1476" s="127"/>
    </row>
    <row r="1477" spans="1:16" ht="49.5" customHeight="1" x14ac:dyDescent="0.25">
      <c r="A1477" s="127"/>
      <c r="B1477" s="127"/>
      <c r="C1477" s="127"/>
      <c r="D1477" s="128"/>
      <c r="E1477" s="127"/>
      <c r="F1477" s="128"/>
      <c r="G1477" s="127"/>
      <c r="H1477" s="127"/>
      <c r="I1477" s="127"/>
      <c r="J1477" s="127"/>
      <c r="K1477" s="127"/>
      <c r="L1477" s="127"/>
      <c r="M1477" s="127"/>
      <c r="N1477" s="127"/>
      <c r="O1477" s="127"/>
      <c r="P1477" s="127"/>
    </row>
    <row r="1478" spans="1:16" ht="49.5" customHeight="1" x14ac:dyDescent="0.25">
      <c r="A1478" s="127"/>
      <c r="B1478" s="127"/>
      <c r="C1478" s="127"/>
      <c r="D1478" s="128"/>
      <c r="E1478" s="127"/>
      <c r="F1478" s="128"/>
      <c r="G1478" s="127"/>
      <c r="H1478" s="127"/>
      <c r="I1478" s="127"/>
      <c r="J1478" s="127"/>
      <c r="K1478" s="127"/>
      <c r="L1478" s="127"/>
      <c r="M1478" s="127"/>
      <c r="N1478" s="127"/>
      <c r="O1478" s="127"/>
      <c r="P1478" s="127"/>
    </row>
    <row r="1479" spans="1:16" ht="49.5" customHeight="1" x14ac:dyDescent="0.25">
      <c r="A1479" s="127"/>
      <c r="B1479" s="127"/>
      <c r="C1479" s="127"/>
      <c r="D1479" s="128"/>
      <c r="E1479" s="127"/>
      <c r="F1479" s="128"/>
      <c r="G1479" s="127"/>
      <c r="H1479" s="127"/>
      <c r="I1479" s="127"/>
      <c r="J1479" s="127"/>
      <c r="K1479" s="127"/>
      <c r="L1479" s="127"/>
      <c r="M1479" s="127"/>
      <c r="N1479" s="127"/>
      <c r="O1479" s="127"/>
      <c r="P1479" s="127"/>
    </row>
    <row r="1480" spans="1:16" ht="49.5" customHeight="1" x14ac:dyDescent="0.25">
      <c r="A1480" s="127"/>
      <c r="B1480" s="127"/>
      <c r="C1480" s="127"/>
      <c r="D1480" s="128"/>
      <c r="E1480" s="127"/>
      <c r="F1480" s="128"/>
      <c r="G1480" s="127"/>
      <c r="H1480" s="127"/>
      <c r="I1480" s="127"/>
      <c r="J1480" s="127"/>
      <c r="K1480" s="127"/>
      <c r="L1480" s="127"/>
      <c r="M1480" s="127"/>
      <c r="N1480" s="127"/>
      <c r="O1480" s="127"/>
      <c r="P1480" s="127"/>
    </row>
    <row r="1481" spans="1:16" ht="49.5" customHeight="1" x14ac:dyDescent="0.25">
      <c r="A1481" s="127"/>
      <c r="B1481" s="127"/>
      <c r="C1481" s="127"/>
      <c r="D1481" s="128"/>
      <c r="E1481" s="127"/>
      <c r="F1481" s="128"/>
      <c r="G1481" s="127"/>
      <c r="H1481" s="127"/>
      <c r="I1481" s="127"/>
      <c r="J1481" s="127"/>
      <c r="K1481" s="127"/>
      <c r="L1481" s="127"/>
      <c r="M1481" s="127"/>
      <c r="N1481" s="127"/>
      <c r="O1481" s="127"/>
      <c r="P1481" s="127"/>
    </row>
    <row r="1482" spans="1:16" ht="49.5" customHeight="1" x14ac:dyDescent="0.25">
      <c r="A1482" s="127"/>
      <c r="B1482" s="127"/>
      <c r="C1482" s="127"/>
      <c r="D1482" s="128"/>
      <c r="E1482" s="127"/>
      <c r="F1482" s="128"/>
      <c r="G1482" s="127"/>
      <c r="H1482" s="127"/>
      <c r="I1482" s="127"/>
      <c r="J1482" s="127"/>
      <c r="K1482" s="127"/>
      <c r="L1482" s="127"/>
      <c r="M1482" s="127"/>
      <c r="N1482" s="127"/>
      <c r="O1482" s="127"/>
      <c r="P1482" s="127"/>
    </row>
    <row r="1483" spans="1:16" ht="49.5" customHeight="1" x14ac:dyDescent="0.25">
      <c r="A1483" s="127"/>
      <c r="B1483" s="127"/>
      <c r="C1483" s="127"/>
      <c r="D1483" s="128"/>
      <c r="E1483" s="127"/>
      <c r="F1483" s="128"/>
      <c r="G1483" s="127"/>
      <c r="H1483" s="127"/>
      <c r="I1483" s="127"/>
      <c r="J1483" s="127"/>
      <c r="K1483" s="127"/>
      <c r="L1483" s="127"/>
      <c r="M1483" s="127"/>
      <c r="N1483" s="127"/>
      <c r="O1483" s="127"/>
      <c r="P1483" s="127"/>
    </row>
    <row r="1484" spans="1:16" ht="49.5" customHeight="1" x14ac:dyDescent="0.25">
      <c r="A1484" s="127"/>
      <c r="B1484" s="127"/>
      <c r="C1484" s="127"/>
      <c r="D1484" s="128"/>
      <c r="E1484" s="127"/>
      <c r="F1484" s="128"/>
      <c r="G1484" s="127"/>
      <c r="H1484" s="127"/>
      <c r="I1484" s="127"/>
      <c r="J1484" s="127"/>
      <c r="K1484" s="127"/>
      <c r="L1484" s="127"/>
      <c r="M1484" s="127"/>
      <c r="N1484" s="127"/>
      <c r="O1484" s="127"/>
      <c r="P1484" s="127"/>
    </row>
    <row r="1485" spans="1:16" ht="49.5" customHeight="1" x14ac:dyDescent="0.25">
      <c r="A1485" s="127"/>
      <c r="B1485" s="127"/>
      <c r="C1485" s="127"/>
      <c r="D1485" s="128"/>
      <c r="E1485" s="127"/>
      <c r="F1485" s="128"/>
      <c r="G1485" s="127"/>
      <c r="H1485" s="127"/>
      <c r="I1485" s="127"/>
      <c r="J1485" s="127"/>
      <c r="K1485" s="127"/>
      <c r="L1485" s="127"/>
      <c r="M1485" s="127"/>
      <c r="N1485" s="127"/>
      <c r="O1485" s="127"/>
      <c r="P1485" s="127"/>
    </row>
    <row r="1486" spans="1:16" ht="49.5" customHeight="1" x14ac:dyDescent="0.25">
      <c r="A1486" s="127"/>
      <c r="B1486" s="127"/>
      <c r="C1486" s="127"/>
      <c r="D1486" s="128"/>
      <c r="E1486" s="127"/>
      <c r="F1486" s="128"/>
      <c r="G1486" s="127"/>
      <c r="H1486" s="127"/>
      <c r="I1486" s="127"/>
      <c r="J1486" s="127"/>
      <c r="K1486" s="127"/>
      <c r="L1486" s="127"/>
      <c r="M1486" s="127"/>
      <c r="N1486" s="127"/>
      <c r="O1486" s="127"/>
      <c r="P1486" s="127"/>
    </row>
    <row r="1487" spans="1:16" ht="49.5" customHeight="1" x14ac:dyDescent="0.25">
      <c r="A1487" s="127"/>
      <c r="B1487" s="127"/>
      <c r="C1487" s="127"/>
      <c r="D1487" s="128"/>
      <c r="E1487" s="127"/>
      <c r="F1487" s="128"/>
      <c r="G1487" s="127"/>
      <c r="H1487" s="127"/>
      <c r="I1487" s="127"/>
      <c r="J1487" s="127"/>
      <c r="K1487" s="127"/>
      <c r="L1487" s="127"/>
      <c r="M1487" s="127"/>
      <c r="N1487" s="127"/>
      <c r="O1487" s="127"/>
      <c r="P1487" s="127"/>
    </row>
    <row r="1488" spans="1:16" ht="49.5" customHeight="1" x14ac:dyDescent="0.25">
      <c r="A1488" s="127"/>
      <c r="B1488" s="127"/>
      <c r="C1488" s="127"/>
      <c r="D1488" s="128"/>
      <c r="E1488" s="127"/>
      <c r="F1488" s="128"/>
      <c r="G1488" s="127"/>
      <c r="H1488" s="127"/>
      <c r="I1488" s="127"/>
      <c r="J1488" s="127"/>
      <c r="K1488" s="127"/>
      <c r="L1488" s="127"/>
      <c r="M1488" s="127"/>
      <c r="N1488" s="127"/>
      <c r="O1488" s="127"/>
      <c r="P1488" s="127"/>
    </row>
    <row r="1489" spans="1:16" ht="49.5" customHeight="1" x14ac:dyDescent="0.25">
      <c r="A1489" s="127"/>
      <c r="B1489" s="127"/>
      <c r="C1489" s="127"/>
      <c r="D1489" s="128"/>
      <c r="E1489" s="127"/>
      <c r="F1489" s="128"/>
      <c r="G1489" s="127"/>
      <c r="H1489" s="127"/>
      <c r="I1489" s="127"/>
      <c r="J1489" s="127"/>
      <c r="K1489" s="127"/>
      <c r="L1489" s="127"/>
      <c r="M1489" s="127"/>
      <c r="N1489" s="127"/>
      <c r="O1489" s="127"/>
      <c r="P1489" s="127"/>
    </row>
    <row r="1490" spans="1:16" ht="49.5" customHeight="1" x14ac:dyDescent="0.25">
      <c r="A1490" s="127"/>
      <c r="B1490" s="127"/>
      <c r="C1490" s="127"/>
      <c r="D1490" s="128"/>
      <c r="E1490" s="127"/>
      <c r="F1490" s="128"/>
      <c r="G1490" s="127"/>
      <c r="H1490" s="127"/>
      <c r="I1490" s="127"/>
      <c r="J1490" s="127"/>
      <c r="K1490" s="127"/>
      <c r="L1490" s="127"/>
      <c r="M1490" s="127"/>
      <c r="N1490" s="127"/>
      <c r="O1490" s="127"/>
      <c r="P1490" s="127"/>
    </row>
    <row r="1491" spans="1:16" ht="49.5" customHeight="1" x14ac:dyDescent="0.25">
      <c r="A1491" s="127"/>
      <c r="B1491" s="127"/>
      <c r="C1491" s="127"/>
      <c r="D1491" s="128"/>
      <c r="E1491" s="127"/>
      <c r="F1491" s="128"/>
      <c r="G1491" s="127"/>
      <c r="H1491" s="127"/>
      <c r="I1491" s="127"/>
      <c r="J1491" s="127"/>
      <c r="K1491" s="127"/>
      <c r="L1491" s="127"/>
      <c r="M1491" s="127"/>
      <c r="N1491" s="127"/>
      <c r="O1491" s="127"/>
      <c r="P1491" s="127"/>
    </row>
    <row r="1492" spans="1:16" ht="49.5" customHeight="1" x14ac:dyDescent="0.25">
      <c r="A1492" s="127"/>
      <c r="B1492" s="127"/>
      <c r="C1492" s="127"/>
      <c r="D1492" s="128"/>
      <c r="E1492" s="127"/>
      <c r="F1492" s="128"/>
      <c r="G1492" s="127"/>
      <c r="H1492" s="127"/>
      <c r="I1492" s="127"/>
      <c r="J1492" s="127"/>
      <c r="K1492" s="127"/>
      <c r="L1492" s="127"/>
      <c r="M1492" s="127"/>
      <c r="N1492" s="127"/>
      <c r="O1492" s="127"/>
      <c r="P1492" s="127"/>
    </row>
    <row r="1493" spans="1:16" ht="49.5" customHeight="1" x14ac:dyDescent="0.25">
      <c r="A1493" s="127"/>
      <c r="B1493" s="127"/>
      <c r="C1493" s="127"/>
      <c r="D1493" s="128"/>
      <c r="E1493" s="127"/>
      <c r="F1493" s="128"/>
      <c r="G1493" s="127"/>
      <c r="H1493" s="127"/>
      <c r="I1493" s="127"/>
      <c r="J1493" s="127"/>
      <c r="K1493" s="127"/>
      <c r="L1493" s="127"/>
      <c r="M1493" s="127"/>
      <c r="N1493" s="127"/>
      <c r="O1493" s="127"/>
      <c r="P1493" s="127"/>
    </row>
    <row r="1494" spans="1:16" ht="49.5" customHeight="1" x14ac:dyDescent="0.25">
      <c r="A1494" s="127"/>
      <c r="B1494" s="127"/>
      <c r="C1494" s="127"/>
      <c r="D1494" s="128"/>
      <c r="E1494" s="127"/>
      <c r="F1494" s="128"/>
      <c r="G1494" s="127"/>
      <c r="H1494" s="127"/>
      <c r="I1494" s="127"/>
      <c r="J1494" s="127"/>
      <c r="K1494" s="127"/>
      <c r="L1494" s="127"/>
      <c r="M1494" s="127"/>
      <c r="N1494" s="127"/>
      <c r="O1494" s="127"/>
      <c r="P1494" s="127"/>
    </row>
    <row r="1495" spans="1:16" ht="49.5" customHeight="1" x14ac:dyDescent="0.25">
      <c r="A1495" s="127"/>
      <c r="B1495" s="127"/>
      <c r="C1495" s="127"/>
      <c r="D1495" s="128"/>
      <c r="E1495" s="127"/>
      <c r="F1495" s="128"/>
      <c r="G1495" s="127"/>
      <c r="H1495" s="127"/>
      <c r="I1495" s="127"/>
      <c r="J1495" s="127"/>
      <c r="K1495" s="127"/>
      <c r="L1495" s="127"/>
      <c r="M1495" s="127"/>
      <c r="N1495" s="127"/>
      <c r="O1495" s="127"/>
      <c r="P1495" s="127"/>
    </row>
    <row r="1496" spans="1:16" ht="49.5" customHeight="1" x14ac:dyDescent="0.25">
      <c r="A1496" s="127"/>
      <c r="B1496" s="127"/>
      <c r="C1496" s="127"/>
      <c r="D1496" s="128"/>
      <c r="E1496" s="127"/>
      <c r="F1496" s="128"/>
      <c r="G1496" s="127"/>
      <c r="H1496" s="127"/>
      <c r="I1496" s="127"/>
      <c r="J1496" s="127"/>
      <c r="K1496" s="127"/>
      <c r="L1496" s="127"/>
      <c r="M1496" s="127"/>
      <c r="N1496" s="127"/>
      <c r="O1496" s="127"/>
      <c r="P1496" s="127"/>
    </row>
    <row r="1497" spans="1:16" ht="49.5" customHeight="1" x14ac:dyDescent="0.25">
      <c r="A1497" s="127"/>
      <c r="B1497" s="127"/>
      <c r="C1497" s="127"/>
      <c r="D1497" s="128"/>
      <c r="E1497" s="127"/>
      <c r="F1497" s="128"/>
      <c r="G1497" s="127"/>
      <c r="H1497" s="127"/>
      <c r="I1497" s="127"/>
      <c r="J1497" s="127"/>
      <c r="K1497" s="127"/>
      <c r="L1497" s="127"/>
      <c r="M1497" s="127"/>
      <c r="N1497" s="127"/>
      <c r="O1497" s="127"/>
      <c r="P1497" s="127"/>
    </row>
    <row r="1498" spans="1:16" ht="49.5" customHeight="1" x14ac:dyDescent="0.25">
      <c r="A1498" s="127"/>
      <c r="B1498" s="127"/>
      <c r="C1498" s="127"/>
      <c r="D1498" s="128"/>
      <c r="E1498" s="127"/>
      <c r="F1498" s="128"/>
      <c r="G1498" s="127"/>
      <c r="H1498" s="127"/>
      <c r="I1498" s="127"/>
      <c r="J1498" s="127"/>
      <c r="K1498" s="127"/>
      <c r="L1498" s="127"/>
      <c r="M1498" s="127"/>
      <c r="N1498" s="127"/>
      <c r="O1498" s="127"/>
      <c r="P1498" s="127"/>
    </row>
    <row r="1499" spans="1:16" ht="49.5" customHeight="1" x14ac:dyDescent="0.25">
      <c r="A1499" s="127"/>
      <c r="B1499" s="127"/>
      <c r="C1499" s="127"/>
      <c r="D1499" s="128"/>
      <c r="E1499" s="127"/>
      <c r="F1499" s="128"/>
      <c r="G1499" s="127"/>
      <c r="H1499" s="127"/>
      <c r="I1499" s="127"/>
      <c r="J1499" s="127"/>
      <c r="K1499" s="127"/>
      <c r="L1499" s="127"/>
      <c r="M1499" s="127"/>
      <c r="N1499" s="127"/>
      <c r="O1499" s="127"/>
      <c r="P1499" s="127"/>
    </row>
    <row r="1500" spans="1:16" ht="49.5" customHeight="1" x14ac:dyDescent="0.25">
      <c r="A1500" s="127"/>
      <c r="B1500" s="127"/>
      <c r="C1500" s="127"/>
      <c r="D1500" s="128"/>
      <c r="E1500" s="127"/>
      <c r="F1500" s="128"/>
      <c r="G1500" s="127"/>
      <c r="H1500" s="127"/>
      <c r="I1500" s="127"/>
      <c r="J1500" s="127"/>
      <c r="K1500" s="127"/>
      <c r="L1500" s="127"/>
      <c r="M1500" s="127"/>
      <c r="N1500" s="127"/>
      <c r="O1500" s="127"/>
      <c r="P1500" s="127"/>
    </row>
    <row r="1501" spans="1:16" ht="49.5" customHeight="1" x14ac:dyDescent="0.25">
      <c r="A1501" s="127"/>
      <c r="B1501" s="127"/>
      <c r="C1501" s="127"/>
      <c r="D1501" s="128"/>
      <c r="E1501" s="127"/>
      <c r="F1501" s="128"/>
      <c r="G1501" s="127"/>
      <c r="H1501" s="127"/>
      <c r="I1501" s="127"/>
      <c r="J1501" s="127"/>
      <c r="K1501" s="127"/>
      <c r="L1501" s="127"/>
      <c r="M1501" s="127"/>
      <c r="N1501" s="127"/>
      <c r="O1501" s="127"/>
      <c r="P1501" s="127"/>
    </row>
    <row r="1502" spans="1:16" ht="49.5" customHeight="1" x14ac:dyDescent="0.25">
      <c r="A1502" s="127"/>
      <c r="B1502" s="127"/>
      <c r="C1502" s="127"/>
      <c r="D1502" s="128"/>
      <c r="E1502" s="127"/>
      <c r="F1502" s="128"/>
      <c r="G1502" s="127"/>
      <c r="H1502" s="127"/>
      <c r="I1502" s="127"/>
      <c r="J1502" s="127"/>
      <c r="K1502" s="127"/>
      <c r="L1502" s="127"/>
      <c r="M1502" s="127"/>
      <c r="N1502" s="127"/>
      <c r="O1502" s="127"/>
      <c r="P1502" s="127"/>
    </row>
    <row r="1503" spans="1:16" ht="49.5" customHeight="1" x14ac:dyDescent="0.25">
      <c r="A1503" s="127"/>
      <c r="B1503" s="127"/>
      <c r="C1503" s="127"/>
      <c r="D1503" s="128"/>
      <c r="E1503" s="127"/>
      <c r="F1503" s="128"/>
      <c r="G1503" s="127"/>
      <c r="H1503" s="127"/>
      <c r="I1503" s="127"/>
      <c r="J1503" s="127"/>
      <c r="K1503" s="127"/>
      <c r="L1503" s="127"/>
      <c r="M1503" s="127"/>
      <c r="N1503" s="127"/>
      <c r="O1503" s="127"/>
      <c r="P1503" s="127"/>
    </row>
    <row r="1504" spans="1:16" ht="49.5" customHeight="1" x14ac:dyDescent="0.25">
      <c r="A1504" s="127"/>
      <c r="B1504" s="127"/>
      <c r="C1504" s="127"/>
      <c r="D1504" s="128"/>
      <c r="E1504" s="127"/>
      <c r="F1504" s="128"/>
      <c r="G1504" s="127"/>
      <c r="H1504" s="127"/>
      <c r="I1504" s="127"/>
      <c r="J1504" s="127"/>
      <c r="K1504" s="127"/>
      <c r="L1504" s="127"/>
      <c r="M1504" s="127"/>
      <c r="N1504" s="127"/>
      <c r="O1504" s="127"/>
      <c r="P1504" s="127"/>
    </row>
    <row r="1505" spans="1:16" ht="49.5" customHeight="1" x14ac:dyDescent="0.25">
      <c r="A1505" s="127"/>
      <c r="B1505" s="127"/>
      <c r="C1505" s="127"/>
      <c r="D1505" s="128"/>
      <c r="E1505" s="127"/>
      <c r="F1505" s="128"/>
      <c r="G1505" s="127"/>
      <c r="H1505" s="127"/>
      <c r="I1505" s="127"/>
      <c r="J1505" s="127"/>
      <c r="K1505" s="127"/>
      <c r="L1505" s="127"/>
      <c r="M1505" s="127"/>
      <c r="N1505" s="127"/>
      <c r="O1505" s="127"/>
      <c r="P1505" s="127"/>
    </row>
    <row r="1506" spans="1:16" ht="49.5" customHeight="1" x14ac:dyDescent="0.25">
      <c r="A1506" s="127"/>
      <c r="B1506" s="127"/>
      <c r="C1506" s="127"/>
      <c r="D1506" s="128"/>
      <c r="E1506" s="127"/>
      <c r="F1506" s="128"/>
      <c r="G1506" s="127"/>
      <c r="H1506" s="127"/>
      <c r="I1506" s="127"/>
      <c r="J1506" s="127"/>
      <c r="K1506" s="127"/>
      <c r="L1506" s="127"/>
      <c r="M1506" s="127"/>
      <c r="N1506" s="127"/>
      <c r="O1506" s="127"/>
      <c r="P1506" s="127"/>
    </row>
    <row r="1507" spans="1:16" ht="49.5" customHeight="1" x14ac:dyDescent="0.25">
      <c r="A1507" s="127"/>
      <c r="B1507" s="127"/>
      <c r="C1507" s="127"/>
      <c r="D1507" s="128"/>
      <c r="E1507" s="127"/>
      <c r="F1507" s="128"/>
      <c r="G1507" s="127"/>
      <c r="H1507" s="127"/>
      <c r="I1507" s="127"/>
      <c r="J1507" s="127"/>
      <c r="K1507" s="127"/>
      <c r="L1507" s="127"/>
      <c r="M1507" s="127"/>
      <c r="N1507" s="127"/>
      <c r="O1507" s="127"/>
      <c r="P1507" s="127"/>
    </row>
    <row r="1508" spans="1:16" ht="49.5" customHeight="1" x14ac:dyDescent="0.25">
      <c r="A1508" s="127"/>
      <c r="B1508" s="127"/>
      <c r="C1508" s="127"/>
      <c r="D1508" s="128"/>
      <c r="E1508" s="127"/>
      <c r="F1508" s="128"/>
      <c r="G1508" s="127"/>
      <c r="H1508" s="127"/>
      <c r="I1508" s="127"/>
      <c r="J1508" s="127"/>
      <c r="K1508" s="127"/>
      <c r="L1508" s="127"/>
      <c r="M1508" s="127"/>
      <c r="N1508" s="127"/>
      <c r="O1508" s="127"/>
      <c r="P1508" s="127"/>
    </row>
    <row r="1509" spans="1:16" ht="49.5" customHeight="1" x14ac:dyDescent="0.25">
      <c r="A1509" s="127"/>
      <c r="B1509" s="127"/>
      <c r="C1509" s="127"/>
      <c r="D1509" s="128"/>
      <c r="E1509" s="127"/>
      <c r="F1509" s="128"/>
      <c r="G1509" s="127"/>
      <c r="H1509" s="127"/>
      <c r="I1509" s="127"/>
      <c r="J1509" s="127"/>
      <c r="K1509" s="127"/>
      <c r="L1509" s="127"/>
      <c r="M1509" s="127"/>
      <c r="N1509" s="127"/>
      <c r="O1509" s="127"/>
      <c r="P1509" s="127"/>
    </row>
    <row r="1510" spans="1:16" ht="49.5" customHeight="1" x14ac:dyDescent="0.25">
      <c r="A1510" s="127"/>
      <c r="B1510" s="127"/>
      <c r="C1510" s="127"/>
      <c r="D1510" s="128"/>
      <c r="E1510" s="127"/>
      <c r="F1510" s="128"/>
      <c r="G1510" s="127"/>
      <c r="H1510" s="127"/>
      <c r="I1510" s="127"/>
      <c r="J1510" s="127"/>
      <c r="K1510" s="127"/>
      <c r="L1510" s="127"/>
      <c r="M1510" s="127"/>
      <c r="N1510" s="127"/>
      <c r="O1510" s="127"/>
      <c r="P1510" s="127"/>
    </row>
    <row r="1511" spans="1:16" ht="49.5" customHeight="1" x14ac:dyDescent="0.25">
      <c r="A1511" s="127"/>
      <c r="B1511" s="127"/>
      <c r="C1511" s="127"/>
      <c r="D1511" s="128"/>
      <c r="E1511" s="127"/>
      <c r="F1511" s="128"/>
      <c r="G1511" s="127"/>
      <c r="H1511" s="127"/>
      <c r="I1511" s="127"/>
      <c r="J1511" s="127"/>
      <c r="K1511" s="127"/>
      <c r="L1511" s="127"/>
      <c r="M1511" s="127"/>
      <c r="N1511" s="127"/>
      <c r="O1511" s="127"/>
      <c r="P1511" s="127"/>
    </row>
    <row r="1512" spans="1:16" ht="49.5" customHeight="1" x14ac:dyDescent="0.25">
      <c r="A1512" s="127"/>
      <c r="B1512" s="127"/>
      <c r="C1512" s="127"/>
      <c r="D1512" s="128"/>
      <c r="E1512" s="127"/>
      <c r="F1512" s="128"/>
      <c r="G1512" s="127"/>
      <c r="H1512" s="127"/>
      <c r="I1512" s="127"/>
      <c r="J1512" s="127"/>
      <c r="K1512" s="127"/>
      <c r="L1512" s="127"/>
      <c r="M1512" s="127"/>
      <c r="N1512" s="127"/>
      <c r="O1512" s="127"/>
      <c r="P1512" s="127"/>
    </row>
    <row r="1513" spans="1:16" ht="49.5" customHeight="1" x14ac:dyDescent="0.25">
      <c r="A1513" s="127"/>
      <c r="B1513" s="127"/>
      <c r="C1513" s="127"/>
      <c r="D1513" s="128"/>
      <c r="E1513" s="127"/>
      <c r="F1513" s="128"/>
      <c r="G1513" s="127"/>
      <c r="H1513" s="127"/>
      <c r="I1513" s="127"/>
      <c r="J1513" s="127"/>
      <c r="K1513" s="127"/>
      <c r="L1513" s="127"/>
      <c r="M1513" s="127"/>
      <c r="N1513" s="127"/>
      <c r="O1513" s="127"/>
      <c r="P1513" s="127"/>
    </row>
    <row r="1514" spans="1:16" ht="49.5" customHeight="1" x14ac:dyDescent="0.25">
      <c r="A1514" s="127"/>
      <c r="B1514" s="127"/>
      <c r="C1514" s="127"/>
      <c r="D1514" s="128"/>
      <c r="E1514" s="127"/>
      <c r="F1514" s="128"/>
      <c r="G1514" s="127"/>
      <c r="H1514" s="127"/>
      <c r="I1514" s="127"/>
      <c r="J1514" s="127"/>
      <c r="K1514" s="127"/>
      <c r="L1514" s="127"/>
      <c r="M1514" s="127"/>
      <c r="N1514" s="127"/>
      <c r="O1514" s="127"/>
      <c r="P1514" s="127"/>
    </row>
    <row r="1515" spans="1:16" ht="49.5" customHeight="1" x14ac:dyDescent="0.25">
      <c r="A1515" s="127"/>
      <c r="B1515" s="127"/>
      <c r="C1515" s="127"/>
      <c r="D1515" s="128"/>
      <c r="E1515" s="127"/>
      <c r="F1515" s="128"/>
      <c r="G1515" s="127"/>
      <c r="H1515" s="127"/>
      <c r="I1515" s="127"/>
      <c r="J1515" s="127"/>
      <c r="K1515" s="127"/>
      <c r="L1515" s="127"/>
      <c r="M1515" s="127"/>
      <c r="N1515" s="127"/>
      <c r="O1515" s="127"/>
      <c r="P1515" s="127"/>
    </row>
    <row r="1516" spans="1:16" ht="49.5" customHeight="1" x14ac:dyDescent="0.25">
      <c r="A1516" s="127"/>
      <c r="B1516" s="127"/>
      <c r="C1516" s="127"/>
      <c r="D1516" s="128"/>
      <c r="E1516" s="127"/>
      <c r="F1516" s="128"/>
      <c r="G1516" s="127"/>
      <c r="H1516" s="127"/>
      <c r="I1516" s="127"/>
      <c r="J1516" s="127"/>
      <c r="K1516" s="127"/>
      <c r="L1516" s="127"/>
      <c r="M1516" s="127"/>
      <c r="N1516" s="127"/>
      <c r="O1516" s="127"/>
      <c r="P1516" s="127"/>
    </row>
    <row r="1517" spans="1:16" ht="49.5" customHeight="1" x14ac:dyDescent="0.25">
      <c r="A1517" s="127"/>
      <c r="B1517" s="127"/>
      <c r="C1517" s="127"/>
      <c r="D1517" s="128"/>
      <c r="E1517" s="127"/>
      <c r="F1517" s="128"/>
      <c r="G1517" s="127"/>
      <c r="H1517" s="127"/>
      <c r="I1517" s="127"/>
      <c r="J1517" s="127"/>
      <c r="K1517" s="127"/>
      <c r="L1517" s="127"/>
      <c r="M1517" s="127"/>
      <c r="N1517" s="127"/>
      <c r="O1517" s="127"/>
      <c r="P1517" s="127"/>
    </row>
    <row r="1518" spans="1:16" ht="49.5" customHeight="1" x14ac:dyDescent="0.25">
      <c r="A1518" s="127"/>
      <c r="B1518" s="127"/>
      <c r="C1518" s="127"/>
      <c r="D1518" s="128"/>
      <c r="E1518" s="127"/>
      <c r="F1518" s="128"/>
      <c r="G1518" s="127"/>
      <c r="H1518" s="127"/>
      <c r="I1518" s="127"/>
      <c r="J1518" s="127"/>
      <c r="K1518" s="127"/>
      <c r="L1518" s="127"/>
      <c r="M1518" s="127"/>
      <c r="N1518" s="127"/>
      <c r="O1518" s="127"/>
      <c r="P1518" s="127"/>
    </row>
    <row r="1519" spans="1:16" ht="49.5" customHeight="1" x14ac:dyDescent="0.25">
      <c r="A1519" s="127"/>
      <c r="B1519" s="127"/>
      <c r="C1519" s="127"/>
      <c r="D1519" s="128"/>
      <c r="E1519" s="127"/>
      <c r="F1519" s="128"/>
      <c r="G1519" s="127"/>
      <c r="H1519" s="127"/>
      <c r="I1519" s="127"/>
      <c r="J1519" s="127"/>
      <c r="K1519" s="127"/>
      <c r="L1519" s="127"/>
      <c r="M1519" s="127"/>
      <c r="N1519" s="127"/>
      <c r="O1519" s="127"/>
      <c r="P1519" s="127"/>
    </row>
    <row r="1520" spans="1:16" ht="49.5" customHeight="1" x14ac:dyDescent="0.25">
      <c r="A1520" s="127"/>
      <c r="B1520" s="127"/>
      <c r="C1520" s="127"/>
      <c r="D1520" s="128"/>
      <c r="E1520" s="127"/>
      <c r="F1520" s="128"/>
      <c r="G1520" s="127"/>
      <c r="H1520" s="127"/>
      <c r="I1520" s="127"/>
      <c r="J1520" s="127"/>
      <c r="K1520" s="127"/>
      <c r="L1520" s="127"/>
      <c r="M1520" s="127"/>
      <c r="N1520" s="127"/>
      <c r="O1520" s="127"/>
      <c r="P1520" s="127"/>
    </row>
    <row r="1521" spans="1:16" ht="49.5" customHeight="1" x14ac:dyDescent="0.25">
      <c r="A1521" s="127"/>
      <c r="B1521" s="127"/>
      <c r="C1521" s="127"/>
      <c r="D1521" s="128"/>
      <c r="E1521" s="127"/>
      <c r="F1521" s="128"/>
      <c r="G1521" s="127"/>
      <c r="H1521" s="127"/>
      <c r="I1521" s="127"/>
      <c r="J1521" s="127"/>
      <c r="K1521" s="127"/>
      <c r="L1521" s="127"/>
      <c r="M1521" s="127"/>
      <c r="N1521" s="127"/>
      <c r="O1521" s="127"/>
      <c r="P1521" s="127"/>
    </row>
    <row r="1522" spans="1:16" ht="49.5" customHeight="1" x14ac:dyDescent="0.25">
      <c r="A1522" s="127"/>
      <c r="B1522" s="127"/>
      <c r="C1522" s="127"/>
      <c r="D1522" s="128"/>
      <c r="E1522" s="127"/>
      <c r="F1522" s="128"/>
      <c r="G1522" s="127"/>
      <c r="H1522" s="127"/>
      <c r="I1522" s="127"/>
      <c r="J1522" s="127"/>
      <c r="K1522" s="127"/>
      <c r="L1522" s="127"/>
      <c r="M1522" s="127"/>
      <c r="N1522" s="127"/>
      <c r="O1522" s="127"/>
      <c r="P1522" s="127"/>
    </row>
    <row r="1523" spans="1:16" ht="49.5" customHeight="1" x14ac:dyDescent="0.25">
      <c r="A1523" s="127"/>
      <c r="B1523" s="127"/>
      <c r="C1523" s="127"/>
      <c r="D1523" s="128"/>
      <c r="E1523" s="127"/>
      <c r="F1523" s="128"/>
      <c r="G1523" s="127"/>
      <c r="H1523" s="127"/>
      <c r="I1523" s="127"/>
      <c r="J1523" s="127"/>
      <c r="K1523" s="127"/>
      <c r="L1523" s="127"/>
      <c r="M1523" s="127"/>
      <c r="N1523" s="127"/>
      <c r="O1523" s="127"/>
      <c r="P1523" s="127"/>
    </row>
    <row r="1524" spans="1:16" ht="49.5" customHeight="1" x14ac:dyDescent="0.25">
      <c r="A1524" s="127"/>
      <c r="B1524" s="127"/>
      <c r="C1524" s="127"/>
      <c r="D1524" s="128"/>
      <c r="E1524" s="127"/>
      <c r="F1524" s="128"/>
      <c r="G1524" s="127"/>
      <c r="H1524" s="127"/>
      <c r="I1524" s="127"/>
      <c r="J1524" s="127"/>
      <c r="K1524" s="127"/>
      <c r="L1524" s="127"/>
      <c r="M1524" s="127"/>
      <c r="N1524" s="127"/>
      <c r="O1524" s="127"/>
      <c r="P1524" s="127"/>
    </row>
    <row r="1525" spans="1:16" ht="49.5" customHeight="1" x14ac:dyDescent="0.25">
      <c r="A1525" s="127"/>
      <c r="B1525" s="127"/>
      <c r="C1525" s="127"/>
      <c r="D1525" s="128"/>
      <c r="E1525" s="127"/>
      <c r="F1525" s="128"/>
      <c r="G1525" s="127"/>
      <c r="H1525" s="127"/>
      <c r="I1525" s="127"/>
      <c r="J1525" s="127"/>
      <c r="K1525" s="127"/>
      <c r="L1525" s="127"/>
      <c r="M1525" s="127"/>
      <c r="N1525" s="127"/>
      <c r="O1525" s="127"/>
      <c r="P1525" s="127"/>
    </row>
  </sheetData>
  <mergeCells count="11">
    <mergeCell ref="A1024:P1024"/>
    <mergeCell ref="AJ12:AK12"/>
    <mergeCell ref="A1023:P1023"/>
    <mergeCell ref="A517:F517"/>
    <mergeCell ref="A518:F518"/>
    <mergeCell ref="T12:Z12"/>
    <mergeCell ref="A10:K10"/>
    <mergeCell ref="L1:AK1"/>
    <mergeCell ref="P12:S12"/>
    <mergeCell ref="A12:O12"/>
    <mergeCell ref="AA12:AI12"/>
  </mergeCells>
  <phoneticPr fontId="51" type="noConversion"/>
  <conditionalFormatting sqref="A14:A513">
    <cfRule type="duplicateValues" dxfId="12" priority="3"/>
  </conditionalFormatting>
  <conditionalFormatting sqref="A1026:A1525">
    <cfRule type="duplicateValues" dxfId="11" priority="12"/>
  </conditionalFormatting>
  <conditionalFormatting sqref="B14:C513">
    <cfRule type="expression" dxfId="9" priority="4">
      <formula>AND($A14&lt;&gt;"",B14="")</formula>
    </cfRule>
  </conditionalFormatting>
  <conditionalFormatting sqref="G14:G513">
    <cfRule type="expression" dxfId="8" priority="6">
      <formula>AND($A14&lt;&gt;"",G14="")</formula>
    </cfRule>
  </conditionalFormatting>
  <conditionalFormatting sqref="P14:P513">
    <cfRule type="expression" dxfId="7" priority="7">
      <formula>AND($A14&lt;&gt;"",P14="")</formula>
    </cfRule>
  </conditionalFormatting>
  <conditionalFormatting sqref="T14:T513">
    <cfRule type="expression" dxfId="6" priority="8">
      <formula>AND($A14&lt;&gt;"",T14="")</formula>
    </cfRule>
  </conditionalFormatting>
  <conditionalFormatting sqref="W14:W513">
    <cfRule type="expression" dxfId="5" priority="9">
      <formula>AND($A14&lt;&gt;"",W14="")</formula>
    </cfRule>
  </conditionalFormatting>
  <conditionalFormatting sqref="X14:X513">
    <cfRule type="expression" dxfId="4" priority="11">
      <formula>AND($A14&lt;&gt;"",$T14="Xác định thời hạn",X14="")</formula>
    </cfRule>
  </conditionalFormatting>
  <conditionalFormatting sqref="AA14:AA513">
    <cfRule type="expression" dxfId="3" priority="10">
      <formula>AND($A14&lt;&gt;"",AA14="")</formula>
    </cfRule>
  </conditionalFormatting>
  <dataValidations count="1">
    <dataValidation type="list" sqref="A520:A1019 B1026:B1525" xr:uid="{00000000-0002-0000-0100-000000000000}">
      <formula1>$A$14:$A$513</formula1>
      <formula2>0</formula2>
    </dataValidation>
  </dataValidations>
  <hyperlinks>
    <hyperlink ref="B8" r:id="rId1" xr:uid="{A84EC522-6686-42E4-A788-0F402F94AA3F}"/>
  </hyperlinks>
  <pageMargins left="0.7" right="0.7" top="0.75" bottom="0.75" header="0.511811023622047" footer="0.3"/>
  <pageSetup paperSize="9" orientation="portrait" horizontalDpi="300" verticalDpi="300" r:id="rId2"/>
  <headerFooter>
    <oddFooter>&amp;R&amp;"Times New Roman,Regular"&amp;8 Trang &amp;P/&amp;N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5"/>
  <sheetViews>
    <sheetView showGridLines="0" zoomScaleNormal="100" workbookViewId="0">
      <selection activeCell="A23" sqref="A23"/>
    </sheetView>
  </sheetViews>
  <sheetFormatPr defaultColWidth="8.6328125" defaultRowHeight="12.5" x14ac:dyDescent="0.25"/>
  <cols>
    <col min="1" max="1" width="24" customWidth="1"/>
    <col min="2" max="2" width="19.1796875" customWidth="1"/>
    <col min="3" max="3" width="22" customWidth="1"/>
    <col min="4" max="4" width="20" customWidth="1"/>
    <col min="5" max="5" width="24" customWidth="1"/>
    <col min="6" max="6" width="2.6328125" customWidth="1"/>
    <col min="7" max="7" width="24" customWidth="1"/>
    <col min="8" max="8" width="2.08984375" customWidth="1"/>
    <col min="9" max="9" width="28" customWidth="1"/>
    <col min="10" max="10" width="0.6328125" customWidth="1"/>
    <col min="11" max="11" width="24" customWidth="1"/>
    <col min="12" max="12" width="1.6328125" customWidth="1"/>
    <col min="13" max="13" width="24" customWidth="1"/>
    <col min="14" max="14" width="1.6328125" customWidth="1"/>
    <col min="15" max="15" width="26" customWidth="1"/>
    <col min="17" max="17" width="26" customWidth="1"/>
    <col min="19" max="19" width="26" customWidth="1"/>
    <col min="21" max="21" width="26" customWidth="1"/>
  </cols>
  <sheetData>
    <row r="1" spans="1:21" ht="36" customHeight="1" x14ac:dyDescent="0.25">
      <c r="A1" s="50" t="s">
        <v>299</v>
      </c>
      <c r="B1" s="38"/>
      <c r="C1" s="38"/>
      <c r="D1" s="38"/>
      <c r="E1" s="38"/>
      <c r="F1" s="38"/>
      <c r="G1" s="38"/>
      <c r="H1" s="38"/>
      <c r="I1" s="38"/>
      <c r="J1" s="38"/>
      <c r="K1" s="38"/>
      <c r="L1" s="38"/>
      <c r="M1" s="38"/>
      <c r="N1" s="38"/>
      <c r="O1" s="38"/>
    </row>
    <row r="4" spans="1:21" ht="15" customHeight="1" x14ac:dyDescent="0.3">
      <c r="A4" s="3" t="s">
        <v>75</v>
      </c>
      <c r="C4" s="3" t="s">
        <v>39</v>
      </c>
      <c r="E4" s="3" t="s">
        <v>31</v>
      </c>
      <c r="G4" s="3" t="s">
        <v>300</v>
      </c>
      <c r="I4" s="3" t="s">
        <v>47</v>
      </c>
      <c r="K4" s="3" t="s">
        <v>59</v>
      </c>
      <c r="M4" s="3" t="s">
        <v>301</v>
      </c>
      <c r="O4" s="4" t="s">
        <v>66</v>
      </c>
      <c r="Q4" s="4" t="s">
        <v>74</v>
      </c>
      <c r="S4" s="4" t="s">
        <v>302</v>
      </c>
      <c r="U4" s="4" t="s">
        <v>61</v>
      </c>
    </row>
    <row r="5" spans="1:21" ht="15" customHeight="1" x14ac:dyDescent="0.3">
      <c r="A5" s="5" t="s">
        <v>106</v>
      </c>
      <c r="C5" s="5" t="s">
        <v>40</v>
      </c>
      <c r="E5" s="5" t="s">
        <v>32</v>
      </c>
      <c r="G5" s="5" t="s">
        <v>266</v>
      </c>
      <c r="I5" s="5" t="s">
        <v>48</v>
      </c>
      <c r="K5" s="5" t="s">
        <v>94</v>
      </c>
      <c r="M5" s="5" t="s">
        <v>303</v>
      </c>
      <c r="O5" t="s">
        <v>304</v>
      </c>
      <c r="Q5" t="s">
        <v>105</v>
      </c>
      <c r="S5" t="s">
        <v>96</v>
      </c>
      <c r="U5" t="s">
        <v>95</v>
      </c>
    </row>
    <row r="6" spans="1:21" ht="15" customHeight="1" x14ac:dyDescent="0.3">
      <c r="A6" s="5" t="s">
        <v>117</v>
      </c>
      <c r="C6" s="5" t="s">
        <v>305</v>
      </c>
      <c r="E6" s="5" t="s">
        <v>306</v>
      </c>
      <c r="G6" s="5" t="s">
        <v>269</v>
      </c>
      <c r="I6" s="5" t="s">
        <v>307</v>
      </c>
      <c r="K6" s="5" t="s">
        <v>110</v>
      </c>
      <c r="M6" s="5" t="s">
        <v>308</v>
      </c>
      <c r="O6" t="s">
        <v>98</v>
      </c>
      <c r="Q6" t="s">
        <v>157</v>
      </c>
      <c r="S6" t="s">
        <v>309</v>
      </c>
    </row>
    <row r="7" spans="1:21" ht="15" customHeight="1" x14ac:dyDescent="0.3">
      <c r="I7" s="5" t="s">
        <v>310</v>
      </c>
      <c r="K7" s="5" t="s">
        <v>311</v>
      </c>
      <c r="O7" t="s">
        <v>128</v>
      </c>
      <c r="Q7" t="s">
        <v>312</v>
      </c>
      <c r="S7" t="s">
        <v>313</v>
      </c>
    </row>
    <row r="8" spans="1:21" ht="15" customHeight="1" x14ac:dyDescent="0.25">
      <c r="O8" t="s">
        <v>160</v>
      </c>
      <c r="Q8" t="s">
        <v>314</v>
      </c>
    </row>
    <row r="9" spans="1:21" ht="15" customHeight="1" x14ac:dyDescent="0.25">
      <c r="O9" t="s">
        <v>185</v>
      </c>
      <c r="Q9" t="s">
        <v>315</v>
      </c>
    </row>
    <row r="10" spans="1:21" ht="15" customHeight="1" x14ac:dyDescent="0.35">
      <c r="A10" s="51" t="s">
        <v>316</v>
      </c>
      <c r="B10" s="42"/>
      <c r="C10" s="42"/>
      <c r="D10" s="43"/>
      <c r="O10" t="s">
        <v>317</v>
      </c>
    </row>
    <row r="11" spans="1:21" ht="15" customHeight="1" x14ac:dyDescent="0.3">
      <c r="A11" s="6" t="s">
        <v>318</v>
      </c>
      <c r="B11" s="6" t="s">
        <v>319</v>
      </c>
      <c r="C11" s="6" t="s">
        <v>320</v>
      </c>
      <c r="D11" s="6" t="s">
        <v>321</v>
      </c>
      <c r="O11" t="s">
        <v>322</v>
      </c>
    </row>
    <row r="12" spans="1:21" ht="15" customHeight="1" x14ac:dyDescent="0.3">
      <c r="A12" s="7" t="s">
        <v>25</v>
      </c>
      <c r="B12" s="8">
        <v>5310000</v>
      </c>
      <c r="C12" s="8">
        <v>25500</v>
      </c>
      <c r="D12" s="8">
        <v>350000</v>
      </c>
    </row>
    <row r="13" spans="1:21" ht="15" customHeight="1" x14ac:dyDescent="0.3">
      <c r="A13" s="7" t="s">
        <v>192</v>
      </c>
      <c r="B13" s="8">
        <v>4730000</v>
      </c>
      <c r="C13" s="8">
        <v>22700</v>
      </c>
      <c r="D13" s="8">
        <v>320000</v>
      </c>
    </row>
    <row r="14" spans="1:21" ht="15" customHeight="1" x14ac:dyDescent="0.3">
      <c r="A14" s="7" t="s">
        <v>323</v>
      </c>
      <c r="B14" s="8">
        <v>4140000</v>
      </c>
      <c r="C14" s="8">
        <v>20000</v>
      </c>
      <c r="D14" s="8">
        <v>280000</v>
      </c>
    </row>
    <row r="15" spans="1:21" ht="15" customHeight="1" x14ac:dyDescent="0.3">
      <c r="A15" s="7" t="s">
        <v>324</v>
      </c>
      <c r="B15" s="8">
        <v>3700000</v>
      </c>
      <c r="C15" s="8">
        <v>17800</v>
      </c>
      <c r="D15" s="8">
        <v>250000</v>
      </c>
    </row>
  </sheetData>
  <mergeCells count="2">
    <mergeCell ref="A1:O1"/>
    <mergeCell ref="A10:D10"/>
  </mergeCells>
  <pageMargins left="0.7" right="0.7" top="0.75" bottom="0.75" header="0.511811023622047" footer="0.3"/>
  <pageSetup paperSize="9" orientation="portrait" horizontalDpi="300" verticalDpi="300"/>
  <headerFooter>
    <oddFooter>&amp;L&amp;"Times New Roman,Regular"&amp;8 Mr Wick Kiểm toán · Kiểm toán · Kế toán · Tư vấn Thuế&amp;R&amp;"Times New Roman,Regular"&amp;8 Trang &amp;P/&amp;N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2"/>
  <sheetViews>
    <sheetView showGridLines="0" zoomScaleNormal="100" workbookViewId="0">
      <selection activeCell="C17" sqref="C17"/>
    </sheetView>
  </sheetViews>
  <sheetFormatPr defaultColWidth="8.6328125" defaultRowHeight="12.5" x14ac:dyDescent="0.25"/>
  <cols>
    <col min="1" max="1" width="34" customWidth="1"/>
    <col min="2" max="2" width="40" customWidth="1"/>
    <col min="3" max="3" width="38" customWidth="1"/>
    <col min="4" max="4" width="20" customWidth="1"/>
  </cols>
  <sheetData>
    <row r="1" spans="1:4" ht="37.5" customHeight="1" x14ac:dyDescent="0.25">
      <c r="A1" s="44" t="s">
        <v>325</v>
      </c>
      <c r="B1" s="42"/>
      <c r="C1" s="42"/>
      <c r="D1" s="43"/>
    </row>
    <row r="3" spans="1:4" ht="15" customHeight="1" x14ac:dyDescent="0.3">
      <c r="A3" s="54" t="s">
        <v>326</v>
      </c>
      <c r="B3" s="40"/>
      <c r="C3" s="40"/>
      <c r="D3" s="41"/>
    </row>
    <row r="4" spans="1:4" ht="15" customHeight="1" x14ac:dyDescent="0.3">
      <c r="A4" s="6" t="s">
        <v>327</v>
      </c>
      <c r="B4" s="6" t="s">
        <v>328</v>
      </c>
      <c r="C4" s="6" t="s">
        <v>329</v>
      </c>
      <c r="D4" s="6" t="s">
        <v>330</v>
      </c>
    </row>
    <row r="5" spans="1:4" ht="27.75" customHeight="1" x14ac:dyDescent="0.3">
      <c r="A5" s="9" t="s">
        <v>14</v>
      </c>
      <c r="B5" s="1" t="s">
        <v>15</v>
      </c>
      <c r="C5" s="10" t="s">
        <v>331</v>
      </c>
      <c r="D5" s="10" t="s">
        <v>332</v>
      </c>
    </row>
    <row r="6" spans="1:4" ht="27.75" customHeight="1" x14ac:dyDescent="0.3">
      <c r="A6" s="9" t="s">
        <v>333</v>
      </c>
      <c r="B6" s="11" t="s">
        <v>21</v>
      </c>
      <c r="C6" s="10" t="s">
        <v>334</v>
      </c>
      <c r="D6" s="10" t="s">
        <v>332</v>
      </c>
    </row>
    <row r="7" spans="1:4" ht="27.75" customHeight="1" x14ac:dyDescent="0.3">
      <c r="A7" s="9" t="s">
        <v>335</v>
      </c>
      <c r="B7" s="1" t="s">
        <v>28</v>
      </c>
      <c r="C7" s="10"/>
      <c r="D7" s="10" t="s">
        <v>332</v>
      </c>
    </row>
    <row r="8" spans="1:4" ht="27.75" customHeight="1" x14ac:dyDescent="0.3">
      <c r="A8" s="9" t="s">
        <v>35</v>
      </c>
      <c r="B8" s="1" t="s">
        <v>36</v>
      </c>
      <c r="C8" s="10"/>
      <c r="D8" s="10" t="s">
        <v>332</v>
      </c>
    </row>
    <row r="9" spans="1:4" ht="27.75" customHeight="1" x14ac:dyDescent="0.3">
      <c r="A9" s="9" t="s">
        <v>43</v>
      </c>
      <c r="B9" s="1" t="s">
        <v>44</v>
      </c>
      <c r="C9" s="10"/>
      <c r="D9" s="10" t="s">
        <v>332</v>
      </c>
    </row>
    <row r="10" spans="1:4" ht="27.75" customHeight="1" x14ac:dyDescent="0.3">
      <c r="A10" s="9" t="s">
        <v>16</v>
      </c>
      <c r="B10" s="1" t="s">
        <v>17</v>
      </c>
      <c r="C10" s="10" t="s">
        <v>336</v>
      </c>
      <c r="D10" s="10" t="s">
        <v>332</v>
      </c>
    </row>
    <row r="11" spans="1:4" ht="27.75" customHeight="1" x14ac:dyDescent="0.3">
      <c r="A11" s="9" t="s">
        <v>22</v>
      </c>
      <c r="B11" s="1" t="s">
        <v>23</v>
      </c>
      <c r="C11" s="10" t="s">
        <v>337</v>
      </c>
      <c r="D11" s="10" t="s">
        <v>332</v>
      </c>
    </row>
    <row r="12" spans="1:4" ht="27.75" customHeight="1" x14ac:dyDescent="0.3">
      <c r="A12" s="9" t="s">
        <v>338</v>
      </c>
      <c r="B12" s="1" t="s">
        <v>30</v>
      </c>
      <c r="C12" s="10"/>
      <c r="D12" s="10" t="s">
        <v>332</v>
      </c>
    </row>
    <row r="13" spans="1:4" ht="27.75" customHeight="1" x14ac:dyDescent="0.3">
      <c r="A13" s="9" t="s">
        <v>339</v>
      </c>
      <c r="B13" s="1" t="s">
        <v>95</v>
      </c>
      <c r="C13" s="10"/>
      <c r="D13" s="10" t="s">
        <v>332</v>
      </c>
    </row>
    <row r="14" spans="1:4" ht="27.75" customHeight="1" x14ac:dyDescent="0.3">
      <c r="A14" s="9" t="s">
        <v>340</v>
      </c>
      <c r="B14" s="1"/>
      <c r="C14" s="10" t="s">
        <v>341</v>
      </c>
      <c r="D14" s="10" t="s">
        <v>332</v>
      </c>
    </row>
    <row r="15" spans="1:4" ht="27.75" customHeight="1" x14ac:dyDescent="0.3">
      <c r="A15" s="9" t="s">
        <v>342</v>
      </c>
      <c r="B15" s="12"/>
      <c r="C15" s="10" t="s">
        <v>341</v>
      </c>
      <c r="D15" s="10" t="s">
        <v>332</v>
      </c>
    </row>
    <row r="16" spans="1:4" ht="27.75" customHeight="1" x14ac:dyDescent="0.3">
      <c r="A16" s="9" t="s">
        <v>343</v>
      </c>
      <c r="B16" s="1" t="s">
        <v>38</v>
      </c>
      <c r="C16" s="10" t="s">
        <v>344</v>
      </c>
      <c r="D16" s="10" t="s">
        <v>345</v>
      </c>
    </row>
    <row r="17" spans="1:4" ht="27.75" customHeight="1" x14ac:dyDescent="0.3">
      <c r="A17" s="9" t="s">
        <v>346</v>
      </c>
      <c r="B17" s="1" t="s">
        <v>46</v>
      </c>
      <c r="C17" s="10" t="s">
        <v>347</v>
      </c>
      <c r="D17" s="10" t="s">
        <v>332</v>
      </c>
    </row>
    <row r="18" spans="1:4" ht="27.75" customHeight="1" x14ac:dyDescent="0.3">
      <c r="A18" s="9" t="s">
        <v>348</v>
      </c>
      <c r="B18" s="1">
        <v>5</v>
      </c>
      <c r="C18" s="10" t="s">
        <v>349</v>
      </c>
      <c r="D18" s="10" t="s">
        <v>345</v>
      </c>
    </row>
    <row r="19" spans="1:4" ht="27.75" customHeight="1" x14ac:dyDescent="0.3">
      <c r="A19" s="9" t="s">
        <v>350</v>
      </c>
      <c r="B19" s="1">
        <v>1</v>
      </c>
      <c r="C19" s="10"/>
      <c r="D19" s="10" t="s">
        <v>345</v>
      </c>
    </row>
    <row r="20" spans="1:4" ht="27.75" customHeight="1" x14ac:dyDescent="0.3">
      <c r="A20" s="9" t="s">
        <v>351</v>
      </c>
      <c r="B20" s="1">
        <v>8</v>
      </c>
      <c r="C20" s="10"/>
      <c r="D20" s="10" t="s">
        <v>345</v>
      </c>
    </row>
    <row r="21" spans="1:4" ht="27.75" customHeight="1" x14ac:dyDescent="0.3">
      <c r="A21" s="9" t="s">
        <v>352</v>
      </c>
      <c r="B21" s="1">
        <v>40</v>
      </c>
      <c r="C21" s="10"/>
      <c r="D21" s="10" t="s">
        <v>345</v>
      </c>
    </row>
    <row r="22" spans="1:4" ht="27.75" customHeight="1" x14ac:dyDescent="0.3">
      <c r="A22" s="9" t="s">
        <v>33</v>
      </c>
      <c r="B22" s="1" t="s">
        <v>34</v>
      </c>
      <c r="C22" s="10" t="s">
        <v>353</v>
      </c>
      <c r="D22" s="10" t="s">
        <v>332</v>
      </c>
    </row>
    <row r="23" spans="1:4" ht="27.75" customHeight="1" x14ac:dyDescent="0.3">
      <c r="A23" s="9" t="s">
        <v>41</v>
      </c>
      <c r="B23" s="1" t="s">
        <v>42</v>
      </c>
      <c r="C23" s="10" t="s">
        <v>354</v>
      </c>
      <c r="D23" s="10" t="s">
        <v>332</v>
      </c>
    </row>
    <row r="24" spans="1:4" ht="27.75" customHeight="1" x14ac:dyDescent="0.3">
      <c r="A24" s="9" t="s">
        <v>49</v>
      </c>
      <c r="B24" s="1">
        <v>60</v>
      </c>
      <c r="C24" s="10"/>
      <c r="D24" s="10" t="s">
        <v>345</v>
      </c>
    </row>
    <row r="25" spans="1:4" ht="27.75" customHeight="1" x14ac:dyDescent="0.3">
      <c r="A25" s="9" t="s">
        <v>47</v>
      </c>
      <c r="B25" s="1" t="s">
        <v>48</v>
      </c>
      <c r="C25" s="10"/>
      <c r="D25" s="10" t="s">
        <v>332</v>
      </c>
    </row>
    <row r="26" spans="1:4" ht="27.75" customHeight="1" x14ac:dyDescent="0.3">
      <c r="A26" s="9" t="s">
        <v>39</v>
      </c>
      <c r="B26" s="1" t="s">
        <v>40</v>
      </c>
      <c r="C26" s="10"/>
      <c r="D26" s="10" t="s">
        <v>332</v>
      </c>
    </row>
    <row r="27" spans="1:4" ht="27.75" customHeight="1" x14ac:dyDescent="0.3">
      <c r="A27" s="9" t="s">
        <v>31</v>
      </c>
      <c r="B27" s="1" t="s">
        <v>32</v>
      </c>
      <c r="C27" s="10"/>
      <c r="D27" s="10" t="s">
        <v>345</v>
      </c>
    </row>
    <row r="28" spans="1:4" ht="27.75" customHeight="1" x14ac:dyDescent="0.3">
      <c r="A28" s="9" t="s">
        <v>355</v>
      </c>
      <c r="B28" s="1" t="s">
        <v>269</v>
      </c>
      <c r="C28" s="10"/>
      <c r="D28" s="10" t="s">
        <v>332</v>
      </c>
    </row>
    <row r="29" spans="1:4" ht="27.75" customHeight="1" x14ac:dyDescent="0.3">
      <c r="A29" s="9" t="s">
        <v>24</v>
      </c>
      <c r="B29" s="1" t="s">
        <v>25</v>
      </c>
      <c r="C29" s="10"/>
      <c r="D29" s="10" t="s">
        <v>345</v>
      </c>
    </row>
    <row r="30" spans="1:4" ht="27.75" customHeight="1" x14ac:dyDescent="0.3">
      <c r="A30" s="9" t="s">
        <v>356</v>
      </c>
      <c r="B30" s="1" t="s">
        <v>357</v>
      </c>
      <c r="C30" s="10"/>
      <c r="D30" s="10" t="s">
        <v>345</v>
      </c>
    </row>
    <row r="31" spans="1:4" ht="27.75" customHeight="1" x14ac:dyDescent="0.3">
      <c r="A31" s="9" t="s">
        <v>358</v>
      </c>
      <c r="B31" s="1">
        <v>2</v>
      </c>
      <c r="C31" s="10" t="s">
        <v>359</v>
      </c>
      <c r="D31" s="10" t="s">
        <v>345</v>
      </c>
    </row>
    <row r="32" spans="1:4" ht="27.75" customHeight="1" x14ac:dyDescent="0.3">
      <c r="A32" s="9" t="s">
        <v>360</v>
      </c>
      <c r="B32" s="1">
        <v>30</v>
      </c>
      <c r="C32" s="10"/>
      <c r="D32" s="10" t="s">
        <v>345</v>
      </c>
    </row>
  </sheetData>
  <mergeCells count="2">
    <mergeCell ref="A1:D1"/>
    <mergeCell ref="A3:D3"/>
  </mergeCells>
  <pageMargins left="0.7" right="0.7" top="0.75" bottom="0.75"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O505"/>
  <sheetViews>
    <sheetView showGridLines="0" topLeftCell="BH1" zoomScaleNormal="100" workbookViewId="0">
      <selection activeCell="BX6" sqref="BX6"/>
    </sheetView>
  </sheetViews>
  <sheetFormatPr defaultColWidth="8.6328125" defaultRowHeight="12.5" x14ac:dyDescent="0.25"/>
  <cols>
    <col min="1" max="1" width="13" customWidth="1"/>
    <col min="2" max="2" width="20" customWidth="1"/>
    <col min="3" max="4" width="13" customWidth="1"/>
    <col min="5" max="9" width="20" customWidth="1"/>
    <col min="10" max="10" width="30" customWidth="1"/>
    <col min="11" max="14" width="20" customWidth="1"/>
    <col min="15" max="15" width="30" customWidth="1"/>
    <col min="16" max="17" width="20" customWidth="1"/>
    <col min="18" max="18" width="30" customWidth="1"/>
    <col min="19" max="22" width="20" customWidth="1"/>
    <col min="23" max="23" width="13" customWidth="1"/>
    <col min="24" max="25" width="20" customWidth="1"/>
    <col min="26" max="26" width="13" customWidth="1"/>
    <col min="27" max="28" width="20" customWidth="1"/>
    <col min="29" max="29" width="13" customWidth="1"/>
    <col min="30" max="31" width="20" customWidth="1"/>
    <col min="32" max="32" width="30" customWidth="1"/>
    <col min="33" max="33" width="20" customWidth="1"/>
    <col min="34" max="34" width="30" customWidth="1"/>
    <col min="35" max="35" width="20" customWidth="1"/>
    <col min="36" max="36" width="30" customWidth="1"/>
    <col min="37" max="37" width="20" customWidth="1"/>
    <col min="38" max="38" width="30" customWidth="1"/>
    <col min="39" max="39" width="20" customWidth="1"/>
    <col min="40" max="40" width="30" customWidth="1"/>
    <col min="41" max="42" width="20" customWidth="1"/>
    <col min="43" max="43" width="30" customWidth="1"/>
    <col min="44" max="44" width="20" customWidth="1"/>
    <col min="45" max="48" width="13" customWidth="1"/>
    <col min="49" max="50" width="20" customWidth="1"/>
    <col min="51" max="51" width="13" customWidth="1"/>
    <col min="52" max="53" width="20" customWidth="1"/>
    <col min="54" max="54" width="13" customWidth="1"/>
    <col min="55" max="58" width="20" customWidth="1"/>
    <col min="59" max="59" width="30" customWidth="1"/>
    <col min="60" max="61" width="20" customWidth="1"/>
    <col min="62" max="62" width="30" customWidth="1"/>
    <col min="63" max="65" width="20" customWidth="1"/>
    <col min="66" max="66" width="13" customWidth="1"/>
    <col min="67" max="67" width="30" customWidth="1"/>
  </cols>
  <sheetData>
    <row r="1" spans="1:67" ht="18" customHeight="1" x14ac:dyDescent="0.25">
      <c r="A1" s="50" t="s">
        <v>325</v>
      </c>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8"/>
      <c r="AN1" s="38"/>
      <c r="AO1" s="38"/>
      <c r="AP1" s="38"/>
      <c r="AQ1" s="38"/>
      <c r="AR1" s="38"/>
      <c r="AS1" s="38"/>
      <c r="AT1" s="38"/>
      <c r="AU1" s="38"/>
      <c r="AV1" s="38"/>
      <c r="AW1" s="38"/>
      <c r="AX1" s="38"/>
      <c r="AY1" s="38"/>
      <c r="AZ1" s="38"/>
      <c r="BA1" s="38"/>
      <c r="BB1" s="38"/>
      <c r="BC1" s="38"/>
      <c r="BD1" s="38"/>
      <c r="BE1" s="38"/>
      <c r="BF1" s="38"/>
      <c r="BG1" s="38"/>
      <c r="BH1" s="38"/>
      <c r="BI1" s="38"/>
      <c r="BJ1" s="38"/>
      <c r="BK1" s="38"/>
      <c r="BL1" s="38"/>
      <c r="BM1" s="38"/>
      <c r="BN1" s="38"/>
      <c r="BO1" s="38"/>
    </row>
    <row r="2" spans="1:67" ht="15" customHeight="1" x14ac:dyDescent="0.3">
      <c r="A2" s="54" t="s">
        <v>361</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1"/>
    </row>
    <row r="4" spans="1:67" ht="15" customHeight="1" x14ac:dyDescent="0.25">
      <c r="A4" s="56" t="s">
        <v>51</v>
      </c>
      <c r="B4" s="40"/>
      <c r="C4" s="40"/>
      <c r="D4" s="40"/>
      <c r="E4" s="40"/>
      <c r="F4" s="40"/>
      <c r="G4" s="40"/>
      <c r="H4" s="40"/>
      <c r="I4" s="40"/>
      <c r="J4" s="40"/>
      <c r="K4" s="40"/>
      <c r="L4" s="40"/>
      <c r="M4" s="40"/>
      <c r="N4" s="40"/>
      <c r="O4" s="41"/>
      <c r="P4" s="55" t="s">
        <v>52</v>
      </c>
      <c r="Q4" s="40"/>
      <c r="R4" s="40"/>
      <c r="S4" s="40"/>
      <c r="T4" s="40"/>
      <c r="U4" s="41"/>
      <c r="V4" s="55" t="s">
        <v>53</v>
      </c>
      <c r="W4" s="40"/>
      <c r="X4" s="40"/>
      <c r="Y4" s="40"/>
      <c r="Z4" s="40"/>
      <c r="AA4" s="40"/>
      <c r="AB4" s="40"/>
      <c r="AC4" s="41"/>
      <c r="AD4" s="55" t="s">
        <v>362</v>
      </c>
      <c r="AE4" s="40"/>
      <c r="AF4" s="40"/>
      <c r="AG4" s="40"/>
      <c r="AH4" s="40"/>
      <c r="AI4" s="40"/>
      <c r="AJ4" s="40"/>
      <c r="AK4" s="40"/>
      <c r="AL4" s="40"/>
      <c r="AM4" s="40"/>
      <c r="AN4" s="40"/>
      <c r="AO4" s="40"/>
      <c r="AP4" s="40"/>
      <c r="AQ4" s="41"/>
      <c r="AR4" s="55" t="s">
        <v>363</v>
      </c>
      <c r="AS4" s="40"/>
      <c r="AT4" s="40"/>
      <c r="AU4" s="40"/>
      <c r="AV4" s="40"/>
      <c r="AW4" s="40"/>
      <c r="AX4" s="40"/>
      <c r="AY4" s="40"/>
      <c r="AZ4" s="41"/>
      <c r="BA4" s="56" t="s">
        <v>364</v>
      </c>
      <c r="BB4" s="40"/>
      <c r="BC4" s="40"/>
      <c r="BD4" s="40"/>
      <c r="BE4" s="40"/>
      <c r="BF4" s="41"/>
      <c r="BG4" s="56" t="s">
        <v>365</v>
      </c>
      <c r="BH4" s="40"/>
      <c r="BI4" s="40"/>
      <c r="BJ4" s="40"/>
      <c r="BK4" s="40"/>
      <c r="BL4" s="40"/>
      <c r="BM4" s="40"/>
      <c r="BN4" s="41"/>
      <c r="BO4" s="13" t="s">
        <v>366</v>
      </c>
    </row>
    <row r="5" spans="1:67" ht="57.75" customHeight="1" x14ac:dyDescent="0.25">
      <c r="A5" s="2" t="s">
        <v>56</v>
      </c>
      <c r="B5" s="2" t="s">
        <v>58</v>
      </c>
      <c r="C5" s="2" t="s">
        <v>301</v>
      </c>
      <c r="D5" s="2" t="s">
        <v>59</v>
      </c>
      <c r="E5" s="2" t="s">
        <v>60</v>
      </c>
      <c r="F5" s="2" t="s">
        <v>61</v>
      </c>
      <c r="G5" s="2" t="s">
        <v>62</v>
      </c>
      <c r="H5" s="2" t="s">
        <v>63</v>
      </c>
      <c r="I5" s="2" t="s">
        <v>64</v>
      </c>
      <c r="J5" s="2" t="s">
        <v>65</v>
      </c>
      <c r="K5" s="2" t="s">
        <v>66</v>
      </c>
      <c r="L5" s="2" t="s">
        <v>67</v>
      </c>
      <c r="M5" s="2" t="s">
        <v>68</v>
      </c>
      <c r="N5" s="2" t="s">
        <v>69</v>
      </c>
      <c r="O5" s="2" t="s">
        <v>70</v>
      </c>
      <c r="P5" s="2" t="s">
        <v>71</v>
      </c>
      <c r="Q5" s="2" t="s">
        <v>72</v>
      </c>
      <c r="R5" s="2" t="s">
        <v>73</v>
      </c>
      <c r="S5" s="2" t="s">
        <v>74</v>
      </c>
      <c r="T5" s="2" t="s">
        <v>367</v>
      </c>
      <c r="U5" s="2" t="s">
        <v>39</v>
      </c>
      <c r="V5" s="2" t="s">
        <v>75</v>
      </c>
      <c r="W5" s="2" t="s">
        <v>76</v>
      </c>
      <c r="X5" s="2" t="s">
        <v>78</v>
      </c>
      <c r="Y5" s="2" t="s">
        <v>368</v>
      </c>
      <c r="Z5" s="2" t="s">
        <v>80</v>
      </c>
      <c r="AA5" s="2" t="s">
        <v>81</v>
      </c>
      <c r="AB5" s="2" t="s">
        <v>369</v>
      </c>
      <c r="AC5" s="2" t="s">
        <v>370</v>
      </c>
      <c r="AD5" s="2" t="s">
        <v>82</v>
      </c>
      <c r="AE5" s="2" t="s">
        <v>83</v>
      </c>
      <c r="AF5" s="2" t="s">
        <v>371</v>
      </c>
      <c r="AG5" s="2" t="s">
        <v>84</v>
      </c>
      <c r="AH5" s="2" t="s">
        <v>372</v>
      </c>
      <c r="AI5" s="2" t="s">
        <v>85</v>
      </c>
      <c r="AJ5" s="2" t="s">
        <v>373</v>
      </c>
      <c r="AK5" s="2" t="s">
        <v>86</v>
      </c>
      <c r="AL5" s="2" t="s">
        <v>374</v>
      </c>
      <c r="AM5" s="2" t="s">
        <v>87</v>
      </c>
      <c r="AN5" s="2" t="s">
        <v>375</v>
      </c>
      <c r="AO5" s="2" t="s">
        <v>88</v>
      </c>
      <c r="AP5" s="2" t="s">
        <v>89</v>
      </c>
      <c r="AQ5" s="2" t="s">
        <v>376</v>
      </c>
      <c r="AR5" s="2" t="s">
        <v>31</v>
      </c>
      <c r="AS5" s="2" t="s">
        <v>18</v>
      </c>
      <c r="AT5" s="2" t="s">
        <v>350</v>
      </c>
      <c r="AU5" s="2" t="s">
        <v>19</v>
      </c>
      <c r="AV5" s="2" t="s">
        <v>26</v>
      </c>
      <c r="AW5" s="2" t="s">
        <v>33</v>
      </c>
      <c r="AX5" s="2" t="s">
        <v>41</v>
      </c>
      <c r="AY5" s="2" t="s">
        <v>49</v>
      </c>
      <c r="AZ5" s="2" t="s">
        <v>47</v>
      </c>
      <c r="BA5" s="2" t="s">
        <v>377</v>
      </c>
      <c r="BB5" s="2" t="s">
        <v>24</v>
      </c>
      <c r="BC5" s="2" t="s">
        <v>378</v>
      </c>
      <c r="BD5" s="2" t="s">
        <v>77</v>
      </c>
      <c r="BE5" s="2" t="s">
        <v>37</v>
      </c>
      <c r="BF5" s="2" t="s">
        <v>275</v>
      </c>
      <c r="BG5" s="2" t="s">
        <v>90</v>
      </c>
      <c r="BH5" s="2" t="s">
        <v>358</v>
      </c>
      <c r="BI5" s="2" t="s">
        <v>262</v>
      </c>
      <c r="BJ5" s="2" t="s">
        <v>263</v>
      </c>
      <c r="BK5" s="2" t="s">
        <v>264</v>
      </c>
      <c r="BL5" s="2" t="s">
        <v>265</v>
      </c>
      <c r="BM5" s="2" t="s">
        <v>379</v>
      </c>
      <c r="BN5" s="2" t="s">
        <v>261</v>
      </c>
      <c r="BO5" s="2" t="s">
        <v>91</v>
      </c>
    </row>
    <row r="6" spans="1:67" ht="37.5" customHeight="1" x14ac:dyDescent="0.25">
      <c r="A6" s="14" t="s">
        <v>92</v>
      </c>
      <c r="B6" s="15" t="s">
        <v>380</v>
      </c>
      <c r="C6" s="15" t="s">
        <v>303</v>
      </c>
      <c r="D6" s="15" t="s">
        <v>94</v>
      </c>
      <c r="E6" s="16">
        <v>34714</v>
      </c>
      <c r="F6" s="15" t="s">
        <v>95</v>
      </c>
      <c r="G6" s="14" t="s">
        <v>381</v>
      </c>
      <c r="H6" s="16">
        <v>44306</v>
      </c>
      <c r="I6" s="15" t="s">
        <v>382</v>
      </c>
      <c r="J6" s="15" t="s">
        <v>383</v>
      </c>
      <c r="K6" s="15" t="s">
        <v>384</v>
      </c>
      <c r="L6" s="14" t="s">
        <v>385</v>
      </c>
      <c r="M6" s="14" t="s">
        <v>386</v>
      </c>
      <c r="N6" s="14"/>
      <c r="O6" s="15" t="s">
        <v>387</v>
      </c>
      <c r="P6" s="15" t="s">
        <v>115</v>
      </c>
      <c r="Q6" s="15" t="s">
        <v>103</v>
      </c>
      <c r="R6" s="15" t="s">
        <v>388</v>
      </c>
      <c r="S6" s="15" t="s">
        <v>105</v>
      </c>
      <c r="T6" s="15"/>
      <c r="U6" s="15"/>
      <c r="V6" s="15" t="s">
        <v>106</v>
      </c>
      <c r="W6" s="15"/>
      <c r="X6" s="16">
        <v>46235</v>
      </c>
      <c r="Y6" s="16"/>
      <c r="Z6" s="15">
        <v>30</v>
      </c>
      <c r="AA6" s="16">
        <v>46204</v>
      </c>
      <c r="AB6" s="16">
        <v>46233</v>
      </c>
      <c r="AC6" s="17">
        <v>85</v>
      </c>
      <c r="AD6" s="18">
        <v>12000000</v>
      </c>
      <c r="AE6" s="18">
        <v>1000000</v>
      </c>
      <c r="AF6" s="15" t="s">
        <v>389</v>
      </c>
      <c r="AG6" s="18">
        <v>730000</v>
      </c>
      <c r="AH6" s="15" t="s">
        <v>390</v>
      </c>
      <c r="AI6" s="18">
        <v>300000</v>
      </c>
      <c r="AJ6" s="15" t="s">
        <v>391</v>
      </c>
      <c r="AK6" s="18">
        <v>500000</v>
      </c>
      <c r="AL6" s="15" t="s">
        <v>391</v>
      </c>
      <c r="AM6" s="18"/>
      <c r="AN6" s="15"/>
      <c r="AO6" s="15"/>
      <c r="AP6" s="18"/>
      <c r="AQ6" s="15"/>
      <c r="AR6" s="15"/>
      <c r="AS6" s="15"/>
      <c r="AT6" s="15"/>
      <c r="AU6" s="15"/>
      <c r="AV6" s="15"/>
      <c r="AW6" s="15"/>
      <c r="AX6" s="15"/>
      <c r="AY6" s="15"/>
      <c r="AZ6" s="15"/>
      <c r="BA6" s="15"/>
      <c r="BB6" s="15"/>
      <c r="BC6" s="14" t="s">
        <v>392</v>
      </c>
      <c r="BD6" s="16">
        <v>46235</v>
      </c>
      <c r="BE6" s="15"/>
      <c r="BF6" s="16">
        <v>46235</v>
      </c>
      <c r="BG6" s="15" t="s">
        <v>393</v>
      </c>
      <c r="BH6" s="15"/>
      <c r="BI6" s="15" t="s">
        <v>267</v>
      </c>
      <c r="BJ6" s="15" t="s">
        <v>268</v>
      </c>
      <c r="BK6" s="18">
        <v>15000000</v>
      </c>
      <c r="BL6" s="15">
        <v>18</v>
      </c>
      <c r="BM6" s="15"/>
      <c r="BN6" s="15" t="s">
        <v>266</v>
      </c>
      <c r="BO6" s="15" t="s">
        <v>293</v>
      </c>
    </row>
    <row r="7" spans="1:67" ht="37.5" customHeight="1" x14ac:dyDescent="0.25">
      <c r="A7" s="14" t="s">
        <v>108</v>
      </c>
      <c r="B7" s="15" t="s">
        <v>394</v>
      </c>
      <c r="C7" s="15" t="s">
        <v>308</v>
      </c>
      <c r="D7" s="15" t="s">
        <v>110</v>
      </c>
      <c r="E7" s="16">
        <v>35966</v>
      </c>
      <c r="F7" s="15" t="s">
        <v>95</v>
      </c>
      <c r="G7" s="14" t="s">
        <v>395</v>
      </c>
      <c r="H7" s="16">
        <v>44691</v>
      </c>
      <c r="I7" s="15" t="s">
        <v>382</v>
      </c>
      <c r="J7" s="15" t="s">
        <v>383</v>
      </c>
      <c r="K7" s="15" t="s">
        <v>128</v>
      </c>
      <c r="L7" s="14" t="s">
        <v>396</v>
      </c>
      <c r="M7" s="14" t="s">
        <v>397</v>
      </c>
      <c r="N7" s="14"/>
      <c r="O7" s="15" t="s">
        <v>398</v>
      </c>
      <c r="P7" s="15" t="s">
        <v>399</v>
      </c>
      <c r="Q7" s="15" t="s">
        <v>124</v>
      </c>
      <c r="R7" s="15" t="s">
        <v>400</v>
      </c>
      <c r="S7" s="15" t="s">
        <v>157</v>
      </c>
      <c r="T7" s="15" t="s">
        <v>266</v>
      </c>
      <c r="U7" s="15" t="s">
        <v>40</v>
      </c>
      <c r="V7" s="15" t="s">
        <v>117</v>
      </c>
      <c r="W7" s="15">
        <v>12</v>
      </c>
      <c r="X7" s="16">
        <v>46235</v>
      </c>
      <c r="Y7" s="16">
        <v>46599</v>
      </c>
      <c r="Z7" s="15">
        <v>30</v>
      </c>
      <c r="AA7" s="16">
        <v>46204</v>
      </c>
      <c r="AB7" s="16">
        <v>46233</v>
      </c>
      <c r="AC7" s="17">
        <v>85</v>
      </c>
      <c r="AD7" s="18">
        <v>8500000</v>
      </c>
      <c r="AE7" s="18"/>
      <c r="AF7" s="15"/>
      <c r="AG7" s="18">
        <v>730000</v>
      </c>
      <c r="AH7" s="15" t="s">
        <v>390</v>
      </c>
      <c r="AI7" s="18">
        <v>200000</v>
      </c>
      <c r="AJ7" s="15" t="s">
        <v>391</v>
      </c>
      <c r="AK7" s="18">
        <v>400000</v>
      </c>
      <c r="AL7" s="15" t="s">
        <v>391</v>
      </c>
      <c r="AM7" s="18"/>
      <c r="AN7" s="15"/>
      <c r="AO7" s="15"/>
      <c r="AP7" s="18"/>
      <c r="AQ7" s="15"/>
      <c r="AR7" s="15" t="s">
        <v>32</v>
      </c>
      <c r="AS7" s="15">
        <v>5</v>
      </c>
      <c r="AT7" s="15">
        <v>1</v>
      </c>
      <c r="AU7" s="15">
        <v>8</v>
      </c>
      <c r="AV7" s="15">
        <v>48</v>
      </c>
      <c r="AW7" s="15" t="s">
        <v>34</v>
      </c>
      <c r="AX7" s="15" t="s">
        <v>42</v>
      </c>
      <c r="AY7" s="15">
        <v>60</v>
      </c>
      <c r="AZ7" s="15" t="s">
        <v>307</v>
      </c>
      <c r="BA7" s="15" t="s">
        <v>401</v>
      </c>
      <c r="BB7" s="15" t="s">
        <v>192</v>
      </c>
      <c r="BC7" s="14" t="s">
        <v>402</v>
      </c>
      <c r="BD7" s="16">
        <v>46235</v>
      </c>
      <c r="BE7" s="15" t="s">
        <v>38</v>
      </c>
      <c r="BF7" s="16">
        <v>46235</v>
      </c>
      <c r="BG7" s="15" t="s">
        <v>403</v>
      </c>
      <c r="BH7" s="15">
        <v>2</v>
      </c>
      <c r="BI7" s="15"/>
      <c r="BJ7" s="15"/>
      <c r="BK7" s="18"/>
      <c r="BL7" s="15"/>
      <c r="BM7" s="15"/>
      <c r="BN7" s="15" t="s">
        <v>269</v>
      </c>
      <c r="BO7" s="15" t="s">
        <v>293</v>
      </c>
    </row>
    <row r="8" spans="1:67" ht="15" customHeight="1" x14ac:dyDescent="0.35">
      <c r="A8" s="19"/>
      <c r="E8" s="20"/>
      <c r="G8" s="19"/>
      <c r="H8" s="20"/>
      <c r="L8" s="19"/>
      <c r="M8" s="19"/>
      <c r="N8" s="19"/>
      <c r="X8" s="20"/>
      <c r="Y8" s="20"/>
      <c r="AA8" s="20"/>
      <c r="AB8" s="20"/>
      <c r="AC8" s="21"/>
      <c r="AD8" s="22"/>
      <c r="AE8" s="22"/>
      <c r="AG8" s="22"/>
      <c r="AI8" s="22"/>
      <c r="AK8" s="22"/>
      <c r="AM8" s="22"/>
      <c r="AP8" s="22"/>
      <c r="BC8" s="19"/>
      <c r="BD8" s="20"/>
      <c r="BF8" s="20"/>
      <c r="BK8" s="22"/>
    </row>
    <row r="9" spans="1:67" ht="15" customHeight="1" x14ac:dyDescent="0.35">
      <c r="A9" s="19"/>
      <c r="E9" s="20"/>
      <c r="G9" s="19"/>
      <c r="H9" s="20"/>
      <c r="L9" s="19"/>
      <c r="M9" s="19"/>
      <c r="N9" s="19"/>
      <c r="X9" s="20"/>
      <c r="Y9" s="20"/>
      <c r="AA9" s="20"/>
      <c r="AB9" s="20"/>
      <c r="AC9" s="21"/>
      <c r="AD9" s="22"/>
      <c r="AE9" s="22"/>
      <c r="AG9" s="22"/>
      <c r="AI9" s="22"/>
      <c r="AK9" s="22"/>
      <c r="AM9" s="22"/>
      <c r="AP9" s="22"/>
      <c r="BC9" s="19"/>
      <c r="BD9" s="20"/>
      <c r="BF9" s="20"/>
      <c r="BK9" s="22"/>
    </row>
    <row r="10" spans="1:67" ht="15" customHeight="1" x14ac:dyDescent="0.35">
      <c r="A10" s="19"/>
      <c r="E10" s="20"/>
      <c r="G10" s="19"/>
      <c r="H10" s="20"/>
      <c r="L10" s="19"/>
      <c r="M10" s="19"/>
      <c r="N10" s="19"/>
      <c r="X10" s="20"/>
      <c r="Y10" s="20"/>
      <c r="AA10" s="20"/>
      <c r="AB10" s="20"/>
      <c r="AC10" s="21"/>
      <c r="AD10" s="22"/>
      <c r="AE10" s="22"/>
      <c r="AG10" s="22"/>
      <c r="AI10" s="22"/>
      <c r="AK10" s="22"/>
      <c r="AM10" s="22"/>
      <c r="AP10" s="22"/>
      <c r="BC10" s="19"/>
      <c r="BD10" s="20"/>
      <c r="BF10" s="20"/>
      <c r="BK10" s="22"/>
    </row>
    <row r="11" spans="1:67" ht="15" customHeight="1" x14ac:dyDescent="0.35">
      <c r="A11" s="19"/>
      <c r="E11" s="20"/>
      <c r="G11" s="19"/>
      <c r="H11" s="20"/>
      <c r="L11" s="19"/>
      <c r="M11" s="19"/>
      <c r="N11" s="19"/>
      <c r="X11" s="20"/>
      <c r="Y11" s="20"/>
      <c r="AA11" s="20"/>
      <c r="AB11" s="20"/>
      <c r="AC11" s="21"/>
      <c r="AD11" s="22"/>
      <c r="AE11" s="22"/>
      <c r="AG11" s="22"/>
      <c r="AI11" s="22"/>
      <c r="AK11" s="22"/>
      <c r="AM11" s="22"/>
      <c r="AP11" s="22"/>
      <c r="BC11" s="19"/>
      <c r="BD11" s="20"/>
      <c r="BF11" s="20"/>
      <c r="BK11" s="22"/>
    </row>
    <row r="12" spans="1:67" ht="15" customHeight="1" x14ac:dyDescent="0.35">
      <c r="A12" s="19"/>
      <c r="E12" s="20"/>
      <c r="G12" s="19"/>
      <c r="H12" s="20"/>
      <c r="L12" s="19"/>
      <c r="M12" s="19"/>
      <c r="N12" s="19"/>
      <c r="X12" s="20"/>
      <c r="Y12" s="20"/>
      <c r="AA12" s="20"/>
      <c r="AB12" s="20"/>
      <c r="AC12" s="21"/>
      <c r="AD12" s="22"/>
      <c r="AE12" s="22"/>
      <c r="AG12" s="22"/>
      <c r="AI12" s="22"/>
      <c r="AK12" s="22"/>
      <c r="AM12" s="22"/>
      <c r="AP12" s="22"/>
      <c r="BC12" s="19"/>
      <c r="BD12" s="20"/>
      <c r="BF12" s="20"/>
      <c r="BK12" s="22"/>
    </row>
    <row r="13" spans="1:67" ht="15" customHeight="1" x14ac:dyDescent="0.35">
      <c r="A13" s="19"/>
      <c r="E13" s="20"/>
      <c r="G13" s="19"/>
      <c r="H13" s="20"/>
      <c r="L13" s="19"/>
      <c r="M13" s="19"/>
      <c r="N13" s="19"/>
      <c r="X13" s="20"/>
      <c r="Y13" s="20"/>
      <c r="AA13" s="20"/>
      <c r="AB13" s="20"/>
      <c r="AC13" s="21"/>
      <c r="AD13" s="22"/>
      <c r="AE13" s="22"/>
      <c r="AG13" s="22"/>
      <c r="AI13" s="22"/>
      <c r="AK13" s="22"/>
      <c r="AM13" s="22"/>
      <c r="AP13" s="22"/>
      <c r="BC13" s="19"/>
      <c r="BD13" s="20"/>
      <c r="BF13" s="20"/>
      <c r="BK13" s="22"/>
    </row>
    <row r="14" spans="1:67" ht="15" customHeight="1" x14ac:dyDescent="0.35">
      <c r="A14" s="19"/>
      <c r="E14" s="20"/>
      <c r="G14" s="19"/>
      <c r="H14" s="20"/>
      <c r="L14" s="19"/>
      <c r="M14" s="19"/>
      <c r="N14" s="19"/>
      <c r="X14" s="20"/>
      <c r="Y14" s="20"/>
      <c r="AA14" s="20"/>
      <c r="AB14" s="20"/>
      <c r="AC14" s="21"/>
      <c r="AD14" s="22"/>
      <c r="AE14" s="22"/>
      <c r="AG14" s="22"/>
      <c r="AI14" s="22"/>
      <c r="AK14" s="22"/>
      <c r="AM14" s="22"/>
      <c r="AP14" s="22"/>
      <c r="BC14" s="19"/>
      <c r="BD14" s="20"/>
      <c r="BF14" s="20"/>
      <c r="BK14" s="22"/>
    </row>
    <row r="15" spans="1:67" ht="15" customHeight="1" x14ac:dyDescent="0.35">
      <c r="A15" s="19"/>
      <c r="E15" s="20"/>
      <c r="G15" s="19"/>
      <c r="H15" s="20"/>
      <c r="L15" s="19"/>
      <c r="M15" s="19"/>
      <c r="N15" s="19"/>
      <c r="X15" s="20"/>
      <c r="Y15" s="20"/>
      <c r="AA15" s="20"/>
      <c r="AB15" s="20"/>
      <c r="AC15" s="21"/>
      <c r="AD15" s="22"/>
      <c r="AE15" s="22"/>
      <c r="AG15" s="22"/>
      <c r="AI15" s="22"/>
      <c r="AK15" s="22"/>
      <c r="AM15" s="22"/>
      <c r="AP15" s="22"/>
      <c r="BC15" s="19"/>
      <c r="BD15" s="20"/>
      <c r="BF15" s="20"/>
      <c r="BK15" s="22"/>
    </row>
    <row r="16" spans="1:67" ht="15" customHeight="1" x14ac:dyDescent="0.35">
      <c r="A16" s="19"/>
      <c r="E16" s="20"/>
      <c r="G16" s="19"/>
      <c r="H16" s="20"/>
      <c r="L16" s="19"/>
      <c r="M16" s="19"/>
      <c r="N16" s="19"/>
      <c r="X16" s="20"/>
      <c r="Y16" s="20"/>
      <c r="AA16" s="20"/>
      <c r="AB16" s="20"/>
      <c r="AC16" s="21"/>
      <c r="AD16" s="22"/>
      <c r="AE16" s="22"/>
      <c r="AG16" s="22"/>
      <c r="AI16" s="22"/>
      <c r="AK16" s="22"/>
      <c r="AM16" s="22"/>
      <c r="AP16" s="22"/>
      <c r="BC16" s="19"/>
      <c r="BD16" s="20"/>
      <c r="BF16" s="20"/>
      <c r="BK16" s="22"/>
    </row>
    <row r="17" spans="1:63" ht="15" customHeight="1" x14ac:dyDescent="0.35">
      <c r="A17" s="19"/>
      <c r="E17" s="20"/>
      <c r="G17" s="19"/>
      <c r="H17" s="20"/>
      <c r="L17" s="19"/>
      <c r="M17" s="19"/>
      <c r="N17" s="19"/>
      <c r="X17" s="20"/>
      <c r="Y17" s="20"/>
      <c r="AA17" s="20"/>
      <c r="AB17" s="20"/>
      <c r="AC17" s="21"/>
      <c r="AD17" s="22"/>
      <c r="AE17" s="22"/>
      <c r="AG17" s="22"/>
      <c r="AI17" s="22"/>
      <c r="AK17" s="22"/>
      <c r="AM17" s="22"/>
      <c r="AP17" s="22"/>
      <c r="BC17" s="19"/>
      <c r="BD17" s="20"/>
      <c r="BF17" s="20"/>
      <c r="BK17" s="22"/>
    </row>
    <row r="18" spans="1:63" ht="15" customHeight="1" x14ac:dyDescent="0.35">
      <c r="A18" s="19"/>
      <c r="E18" s="20"/>
      <c r="G18" s="19"/>
      <c r="H18" s="20"/>
      <c r="L18" s="19"/>
      <c r="M18" s="19"/>
      <c r="N18" s="19"/>
      <c r="X18" s="20"/>
      <c r="Y18" s="20"/>
      <c r="AA18" s="20"/>
      <c r="AB18" s="20"/>
      <c r="AC18" s="21"/>
      <c r="AD18" s="22"/>
      <c r="AE18" s="22"/>
      <c r="AG18" s="22"/>
      <c r="AI18" s="22"/>
      <c r="AK18" s="22"/>
      <c r="AM18" s="22"/>
      <c r="AP18" s="22"/>
      <c r="BC18" s="19"/>
      <c r="BD18" s="20"/>
      <c r="BF18" s="20"/>
      <c r="BK18" s="22"/>
    </row>
    <row r="19" spans="1:63" ht="15" customHeight="1" x14ac:dyDescent="0.35">
      <c r="A19" s="19"/>
      <c r="E19" s="20"/>
      <c r="G19" s="19"/>
      <c r="H19" s="20"/>
      <c r="L19" s="19"/>
      <c r="M19" s="19"/>
      <c r="N19" s="19"/>
      <c r="X19" s="20"/>
      <c r="Y19" s="20"/>
      <c r="AA19" s="20"/>
      <c r="AB19" s="20"/>
      <c r="AC19" s="21"/>
      <c r="AD19" s="22"/>
      <c r="AE19" s="22"/>
      <c r="AG19" s="22"/>
      <c r="AI19" s="22"/>
      <c r="AK19" s="22"/>
      <c r="AM19" s="22"/>
      <c r="AP19" s="22"/>
      <c r="BC19" s="19"/>
      <c r="BD19" s="20"/>
      <c r="BF19" s="20"/>
      <c r="BK19" s="22"/>
    </row>
    <row r="20" spans="1:63" ht="15" customHeight="1" x14ac:dyDescent="0.35">
      <c r="A20" s="19"/>
      <c r="E20" s="20"/>
      <c r="G20" s="19"/>
      <c r="H20" s="20"/>
      <c r="L20" s="19"/>
      <c r="M20" s="19"/>
      <c r="N20" s="19"/>
      <c r="X20" s="20"/>
      <c r="Y20" s="20"/>
      <c r="AA20" s="20"/>
      <c r="AB20" s="20"/>
      <c r="AC20" s="21"/>
      <c r="AD20" s="22"/>
      <c r="AE20" s="22"/>
      <c r="AG20" s="22"/>
      <c r="AI20" s="22"/>
      <c r="AK20" s="22"/>
      <c r="AM20" s="22"/>
      <c r="AP20" s="22"/>
      <c r="BC20" s="19"/>
      <c r="BD20" s="20"/>
      <c r="BF20" s="20"/>
      <c r="BK20" s="22"/>
    </row>
    <row r="21" spans="1:63" ht="15" customHeight="1" x14ac:dyDescent="0.35">
      <c r="A21" s="19"/>
      <c r="E21" s="20"/>
      <c r="G21" s="19"/>
      <c r="H21" s="20"/>
      <c r="L21" s="19"/>
      <c r="M21" s="19"/>
      <c r="N21" s="19"/>
      <c r="X21" s="20"/>
      <c r="Y21" s="20"/>
      <c r="AA21" s="20"/>
      <c r="AB21" s="20"/>
      <c r="AC21" s="21"/>
      <c r="AD21" s="22"/>
      <c r="AE21" s="22"/>
      <c r="AG21" s="22"/>
      <c r="AI21" s="22"/>
      <c r="AK21" s="22"/>
      <c r="AM21" s="22"/>
      <c r="AP21" s="22"/>
      <c r="BC21" s="19"/>
      <c r="BD21" s="20"/>
      <c r="BF21" s="20"/>
      <c r="BK21" s="22"/>
    </row>
    <row r="22" spans="1:63" ht="15" customHeight="1" x14ac:dyDescent="0.35">
      <c r="A22" s="19"/>
      <c r="E22" s="20"/>
      <c r="G22" s="19"/>
      <c r="H22" s="20"/>
      <c r="L22" s="19"/>
      <c r="M22" s="19"/>
      <c r="N22" s="19"/>
      <c r="X22" s="20"/>
      <c r="Y22" s="20"/>
      <c r="AA22" s="20"/>
      <c r="AB22" s="20"/>
      <c r="AC22" s="21"/>
      <c r="AD22" s="22"/>
      <c r="AE22" s="22"/>
      <c r="AG22" s="22"/>
      <c r="AI22" s="22"/>
      <c r="AK22" s="22"/>
      <c r="AM22" s="22"/>
      <c r="AP22" s="22"/>
      <c r="BC22" s="19"/>
      <c r="BD22" s="20"/>
      <c r="BF22" s="20"/>
      <c r="BK22" s="22"/>
    </row>
    <row r="23" spans="1:63" ht="15" customHeight="1" x14ac:dyDescent="0.35">
      <c r="A23" s="19"/>
      <c r="E23" s="20"/>
      <c r="G23" s="19"/>
      <c r="H23" s="20"/>
      <c r="L23" s="19"/>
      <c r="M23" s="19"/>
      <c r="N23" s="19"/>
      <c r="X23" s="20"/>
      <c r="Y23" s="20"/>
      <c r="AA23" s="20"/>
      <c r="AB23" s="20"/>
      <c r="AC23" s="21"/>
      <c r="AD23" s="22"/>
      <c r="AE23" s="22"/>
      <c r="AG23" s="22"/>
      <c r="AI23" s="22"/>
      <c r="AK23" s="22"/>
      <c r="AM23" s="22"/>
      <c r="AP23" s="22"/>
      <c r="BC23" s="19"/>
      <c r="BD23" s="20"/>
      <c r="BF23" s="20"/>
      <c r="BK23" s="22"/>
    </row>
    <row r="24" spans="1:63" ht="15" customHeight="1" x14ac:dyDescent="0.35">
      <c r="A24" s="19"/>
      <c r="E24" s="20"/>
      <c r="G24" s="19"/>
      <c r="H24" s="20"/>
      <c r="L24" s="19"/>
      <c r="M24" s="19"/>
      <c r="N24" s="19"/>
      <c r="X24" s="20"/>
      <c r="Y24" s="20"/>
      <c r="AA24" s="20"/>
      <c r="AB24" s="20"/>
      <c r="AC24" s="21"/>
      <c r="AD24" s="22"/>
      <c r="AE24" s="22"/>
      <c r="AG24" s="22"/>
      <c r="AI24" s="22"/>
      <c r="AK24" s="22"/>
      <c r="AM24" s="22"/>
      <c r="AP24" s="22"/>
      <c r="BC24" s="19"/>
      <c r="BD24" s="20"/>
      <c r="BF24" s="20"/>
      <c r="BK24" s="22"/>
    </row>
    <row r="25" spans="1:63" ht="15" customHeight="1" x14ac:dyDescent="0.35">
      <c r="A25" s="19"/>
      <c r="E25" s="20"/>
      <c r="G25" s="19"/>
      <c r="H25" s="20"/>
      <c r="L25" s="19"/>
      <c r="M25" s="19"/>
      <c r="N25" s="19"/>
      <c r="X25" s="20"/>
      <c r="Y25" s="20"/>
      <c r="AA25" s="20"/>
      <c r="AB25" s="20"/>
      <c r="AC25" s="21"/>
      <c r="AD25" s="22"/>
      <c r="AE25" s="22"/>
      <c r="AG25" s="22"/>
      <c r="AI25" s="22"/>
      <c r="AK25" s="22"/>
      <c r="AM25" s="22"/>
      <c r="AP25" s="22"/>
      <c r="BC25" s="19"/>
      <c r="BD25" s="20"/>
      <c r="BF25" s="20"/>
      <c r="BK25" s="22"/>
    </row>
    <row r="26" spans="1:63" ht="15" customHeight="1" x14ac:dyDescent="0.35">
      <c r="A26" s="19"/>
      <c r="E26" s="20"/>
      <c r="G26" s="19"/>
      <c r="H26" s="20"/>
      <c r="L26" s="19"/>
      <c r="M26" s="19"/>
      <c r="N26" s="19"/>
      <c r="X26" s="20"/>
      <c r="Y26" s="20"/>
      <c r="AA26" s="20"/>
      <c r="AB26" s="20"/>
      <c r="AC26" s="21"/>
      <c r="AD26" s="22"/>
      <c r="AE26" s="22"/>
      <c r="AG26" s="22"/>
      <c r="AI26" s="22"/>
      <c r="AK26" s="22"/>
      <c r="AM26" s="22"/>
      <c r="AP26" s="22"/>
      <c r="BC26" s="19"/>
      <c r="BD26" s="20"/>
      <c r="BF26" s="20"/>
      <c r="BK26" s="22"/>
    </row>
    <row r="27" spans="1:63" ht="15" customHeight="1" x14ac:dyDescent="0.35">
      <c r="A27" s="19"/>
      <c r="E27" s="20"/>
      <c r="G27" s="19"/>
      <c r="H27" s="20"/>
      <c r="L27" s="19"/>
      <c r="M27" s="19"/>
      <c r="N27" s="19"/>
      <c r="X27" s="20"/>
      <c r="Y27" s="20"/>
      <c r="AA27" s="20"/>
      <c r="AB27" s="20"/>
      <c r="AC27" s="21"/>
      <c r="AD27" s="22"/>
      <c r="AE27" s="22"/>
      <c r="AG27" s="22"/>
      <c r="AI27" s="22"/>
      <c r="AK27" s="22"/>
      <c r="AM27" s="22"/>
      <c r="AP27" s="22"/>
      <c r="BC27" s="19"/>
      <c r="BD27" s="20"/>
      <c r="BF27" s="20"/>
      <c r="BK27" s="22"/>
    </row>
    <row r="28" spans="1:63" ht="15" customHeight="1" x14ac:dyDescent="0.35">
      <c r="A28" s="19"/>
      <c r="E28" s="20"/>
      <c r="G28" s="19"/>
      <c r="H28" s="20"/>
      <c r="L28" s="19"/>
      <c r="M28" s="19"/>
      <c r="N28" s="19"/>
      <c r="X28" s="20"/>
      <c r="Y28" s="20"/>
      <c r="AA28" s="20"/>
      <c r="AB28" s="20"/>
      <c r="AC28" s="21"/>
      <c r="AD28" s="22"/>
      <c r="AE28" s="22"/>
      <c r="AG28" s="22"/>
      <c r="AI28" s="22"/>
      <c r="AK28" s="22"/>
      <c r="AM28" s="22"/>
      <c r="AP28" s="22"/>
      <c r="BC28" s="19"/>
      <c r="BD28" s="20"/>
      <c r="BF28" s="20"/>
      <c r="BK28" s="22"/>
    </row>
    <row r="29" spans="1:63" ht="15" customHeight="1" x14ac:dyDescent="0.35">
      <c r="A29" s="19"/>
      <c r="E29" s="20"/>
      <c r="G29" s="19"/>
      <c r="H29" s="20"/>
      <c r="L29" s="19"/>
      <c r="M29" s="19"/>
      <c r="N29" s="19"/>
      <c r="X29" s="20"/>
      <c r="Y29" s="20"/>
      <c r="AA29" s="20"/>
      <c r="AB29" s="20"/>
      <c r="AC29" s="21"/>
      <c r="AD29" s="22"/>
      <c r="AE29" s="22"/>
      <c r="AG29" s="22"/>
      <c r="AI29" s="22"/>
      <c r="AK29" s="22"/>
      <c r="AM29" s="22"/>
      <c r="AP29" s="22"/>
      <c r="BC29" s="19"/>
      <c r="BD29" s="20"/>
      <c r="BF29" s="20"/>
      <c r="BK29" s="22"/>
    </row>
    <row r="30" spans="1:63" ht="15" customHeight="1" x14ac:dyDescent="0.35">
      <c r="A30" s="19"/>
      <c r="E30" s="20"/>
      <c r="G30" s="19"/>
      <c r="H30" s="20"/>
      <c r="L30" s="19"/>
      <c r="M30" s="19"/>
      <c r="N30" s="19"/>
      <c r="X30" s="20"/>
      <c r="Y30" s="20"/>
      <c r="AA30" s="20"/>
      <c r="AB30" s="20"/>
      <c r="AC30" s="21"/>
      <c r="AD30" s="22"/>
      <c r="AE30" s="22"/>
      <c r="AG30" s="22"/>
      <c r="AI30" s="22"/>
      <c r="AK30" s="22"/>
      <c r="AM30" s="22"/>
      <c r="AP30" s="22"/>
      <c r="BC30" s="19"/>
      <c r="BD30" s="20"/>
      <c r="BF30" s="20"/>
      <c r="BK30" s="22"/>
    </row>
    <row r="31" spans="1:63" ht="15" customHeight="1" x14ac:dyDescent="0.35">
      <c r="A31" s="19"/>
      <c r="E31" s="20"/>
      <c r="G31" s="19"/>
      <c r="H31" s="20"/>
      <c r="L31" s="19"/>
      <c r="M31" s="19"/>
      <c r="N31" s="19"/>
      <c r="X31" s="20"/>
      <c r="Y31" s="20"/>
      <c r="AA31" s="20"/>
      <c r="AB31" s="20"/>
      <c r="AC31" s="21"/>
      <c r="AD31" s="22"/>
      <c r="AE31" s="22"/>
      <c r="AG31" s="22"/>
      <c r="AI31" s="22"/>
      <c r="AK31" s="22"/>
      <c r="AM31" s="22"/>
      <c r="AP31" s="22"/>
      <c r="BC31" s="19"/>
      <c r="BD31" s="20"/>
      <c r="BF31" s="20"/>
      <c r="BK31" s="22"/>
    </row>
    <row r="32" spans="1:63" ht="15" customHeight="1" x14ac:dyDescent="0.35">
      <c r="A32" s="19"/>
      <c r="E32" s="20"/>
      <c r="G32" s="19"/>
      <c r="H32" s="20"/>
      <c r="L32" s="19"/>
      <c r="M32" s="19"/>
      <c r="N32" s="19"/>
      <c r="X32" s="20"/>
      <c r="Y32" s="20"/>
      <c r="AA32" s="20"/>
      <c r="AB32" s="20"/>
      <c r="AC32" s="21"/>
      <c r="AD32" s="22"/>
      <c r="AE32" s="22"/>
      <c r="AG32" s="22"/>
      <c r="AI32" s="22"/>
      <c r="AK32" s="22"/>
      <c r="AM32" s="22"/>
      <c r="AP32" s="22"/>
      <c r="BC32" s="19"/>
      <c r="BD32" s="20"/>
      <c r="BF32" s="20"/>
      <c r="BK32" s="22"/>
    </row>
    <row r="33" spans="1:63" ht="15" customHeight="1" x14ac:dyDescent="0.35">
      <c r="A33" s="19"/>
      <c r="E33" s="20"/>
      <c r="G33" s="19"/>
      <c r="H33" s="20"/>
      <c r="L33" s="19"/>
      <c r="M33" s="19"/>
      <c r="N33" s="19"/>
      <c r="X33" s="20"/>
      <c r="Y33" s="20"/>
      <c r="AA33" s="20"/>
      <c r="AB33" s="20"/>
      <c r="AC33" s="21"/>
      <c r="AD33" s="22"/>
      <c r="AE33" s="22"/>
      <c r="AG33" s="22"/>
      <c r="AI33" s="22"/>
      <c r="AK33" s="22"/>
      <c r="AM33" s="22"/>
      <c r="AP33" s="22"/>
      <c r="BC33" s="19"/>
      <c r="BD33" s="20"/>
      <c r="BF33" s="20"/>
      <c r="BK33" s="22"/>
    </row>
    <row r="34" spans="1:63" ht="15" customHeight="1" x14ac:dyDescent="0.35">
      <c r="A34" s="19"/>
      <c r="E34" s="20"/>
      <c r="G34" s="19"/>
      <c r="H34" s="20"/>
      <c r="L34" s="19"/>
      <c r="M34" s="19"/>
      <c r="N34" s="19"/>
      <c r="X34" s="20"/>
      <c r="Y34" s="20"/>
      <c r="AA34" s="20"/>
      <c r="AB34" s="20"/>
      <c r="AC34" s="21"/>
      <c r="AD34" s="22"/>
      <c r="AE34" s="22"/>
      <c r="AG34" s="22"/>
      <c r="AI34" s="22"/>
      <c r="AK34" s="22"/>
      <c r="AM34" s="22"/>
      <c r="AP34" s="22"/>
      <c r="BC34" s="19"/>
      <c r="BD34" s="20"/>
      <c r="BF34" s="20"/>
      <c r="BK34" s="22"/>
    </row>
    <row r="35" spans="1:63" ht="15" customHeight="1" x14ac:dyDescent="0.35">
      <c r="A35" s="19"/>
      <c r="E35" s="20"/>
      <c r="G35" s="19"/>
      <c r="H35" s="20"/>
      <c r="L35" s="19"/>
      <c r="M35" s="19"/>
      <c r="N35" s="19"/>
      <c r="X35" s="20"/>
      <c r="Y35" s="20"/>
      <c r="AA35" s="20"/>
      <c r="AB35" s="20"/>
      <c r="AC35" s="21"/>
      <c r="AD35" s="22"/>
      <c r="AE35" s="22"/>
      <c r="AG35" s="22"/>
      <c r="AI35" s="22"/>
      <c r="AK35" s="22"/>
      <c r="AM35" s="22"/>
      <c r="AP35" s="22"/>
      <c r="BC35" s="19"/>
      <c r="BD35" s="20"/>
      <c r="BF35" s="20"/>
      <c r="BK35" s="22"/>
    </row>
    <row r="36" spans="1:63" ht="15" customHeight="1" x14ac:dyDescent="0.35">
      <c r="A36" s="19"/>
      <c r="E36" s="20"/>
      <c r="G36" s="19"/>
      <c r="H36" s="20"/>
      <c r="L36" s="19"/>
      <c r="M36" s="19"/>
      <c r="N36" s="19"/>
      <c r="X36" s="20"/>
      <c r="Y36" s="20"/>
      <c r="AA36" s="20"/>
      <c r="AB36" s="20"/>
      <c r="AC36" s="21"/>
      <c r="AD36" s="22"/>
      <c r="AE36" s="22"/>
      <c r="AG36" s="22"/>
      <c r="AI36" s="22"/>
      <c r="AK36" s="22"/>
      <c r="AM36" s="22"/>
      <c r="AP36" s="22"/>
      <c r="BC36" s="19"/>
      <c r="BD36" s="20"/>
      <c r="BF36" s="20"/>
      <c r="BK36" s="22"/>
    </row>
    <row r="37" spans="1:63" ht="15" customHeight="1" x14ac:dyDescent="0.35">
      <c r="A37" s="19"/>
      <c r="E37" s="20"/>
      <c r="G37" s="19"/>
      <c r="H37" s="20"/>
      <c r="L37" s="19"/>
      <c r="M37" s="19"/>
      <c r="N37" s="19"/>
      <c r="X37" s="20"/>
      <c r="Y37" s="20"/>
      <c r="AA37" s="20"/>
      <c r="AB37" s="20"/>
      <c r="AC37" s="21"/>
      <c r="AD37" s="22"/>
      <c r="AE37" s="22"/>
      <c r="AG37" s="22"/>
      <c r="AI37" s="22"/>
      <c r="AK37" s="22"/>
      <c r="AM37" s="22"/>
      <c r="AP37" s="22"/>
      <c r="BC37" s="19"/>
      <c r="BD37" s="20"/>
      <c r="BF37" s="20"/>
      <c r="BK37" s="22"/>
    </row>
    <row r="38" spans="1:63" ht="15" customHeight="1" x14ac:dyDescent="0.35">
      <c r="A38" s="19"/>
      <c r="E38" s="20"/>
      <c r="G38" s="19"/>
      <c r="H38" s="20"/>
      <c r="L38" s="19"/>
      <c r="M38" s="19"/>
      <c r="N38" s="19"/>
      <c r="X38" s="20"/>
      <c r="Y38" s="20"/>
      <c r="AA38" s="20"/>
      <c r="AB38" s="20"/>
      <c r="AC38" s="21"/>
      <c r="AD38" s="22"/>
      <c r="AE38" s="22"/>
      <c r="AG38" s="22"/>
      <c r="AI38" s="22"/>
      <c r="AK38" s="22"/>
      <c r="AM38" s="22"/>
      <c r="AP38" s="22"/>
      <c r="BC38" s="19"/>
      <c r="BD38" s="20"/>
      <c r="BF38" s="20"/>
      <c r="BK38" s="22"/>
    </row>
    <row r="39" spans="1:63" ht="15" customHeight="1" x14ac:dyDescent="0.35">
      <c r="A39" s="19"/>
      <c r="E39" s="20"/>
      <c r="G39" s="19"/>
      <c r="H39" s="20"/>
      <c r="L39" s="19"/>
      <c r="M39" s="19"/>
      <c r="N39" s="19"/>
      <c r="X39" s="20"/>
      <c r="Y39" s="20"/>
      <c r="AA39" s="20"/>
      <c r="AB39" s="20"/>
      <c r="AC39" s="21"/>
      <c r="AD39" s="22"/>
      <c r="AE39" s="22"/>
      <c r="AG39" s="22"/>
      <c r="AI39" s="22"/>
      <c r="AK39" s="22"/>
      <c r="AM39" s="22"/>
      <c r="AP39" s="22"/>
      <c r="BC39" s="19"/>
      <c r="BD39" s="20"/>
      <c r="BF39" s="20"/>
      <c r="BK39" s="22"/>
    </row>
    <row r="40" spans="1:63" ht="15" customHeight="1" x14ac:dyDescent="0.35">
      <c r="A40" s="19"/>
      <c r="E40" s="20"/>
      <c r="G40" s="19"/>
      <c r="H40" s="20"/>
      <c r="L40" s="19"/>
      <c r="M40" s="19"/>
      <c r="N40" s="19"/>
      <c r="X40" s="20"/>
      <c r="Y40" s="20"/>
      <c r="AA40" s="20"/>
      <c r="AB40" s="20"/>
      <c r="AC40" s="21"/>
      <c r="AD40" s="22"/>
      <c r="AE40" s="22"/>
      <c r="AG40" s="22"/>
      <c r="AI40" s="22"/>
      <c r="AK40" s="22"/>
      <c r="AM40" s="22"/>
      <c r="AP40" s="22"/>
      <c r="BC40" s="19"/>
      <c r="BD40" s="20"/>
      <c r="BF40" s="20"/>
      <c r="BK40" s="22"/>
    </row>
    <row r="41" spans="1:63" ht="15" customHeight="1" x14ac:dyDescent="0.35">
      <c r="A41" s="19"/>
      <c r="E41" s="20"/>
      <c r="G41" s="19"/>
      <c r="H41" s="20"/>
      <c r="L41" s="19"/>
      <c r="M41" s="19"/>
      <c r="N41" s="19"/>
      <c r="X41" s="20"/>
      <c r="Y41" s="20"/>
      <c r="AA41" s="20"/>
      <c r="AB41" s="20"/>
      <c r="AC41" s="21"/>
      <c r="AD41" s="22"/>
      <c r="AE41" s="22"/>
      <c r="AG41" s="22"/>
      <c r="AI41" s="22"/>
      <c r="AK41" s="22"/>
      <c r="AM41" s="22"/>
      <c r="AP41" s="22"/>
      <c r="BC41" s="19"/>
      <c r="BD41" s="20"/>
      <c r="BF41" s="20"/>
      <c r="BK41" s="22"/>
    </row>
    <row r="42" spans="1:63" ht="15" customHeight="1" x14ac:dyDescent="0.35">
      <c r="A42" s="19"/>
      <c r="E42" s="20"/>
      <c r="G42" s="19"/>
      <c r="H42" s="20"/>
      <c r="L42" s="19"/>
      <c r="M42" s="19"/>
      <c r="N42" s="19"/>
      <c r="X42" s="20"/>
      <c r="Y42" s="20"/>
      <c r="AA42" s="20"/>
      <c r="AB42" s="20"/>
      <c r="AC42" s="21"/>
      <c r="AD42" s="22"/>
      <c r="AE42" s="22"/>
      <c r="AG42" s="22"/>
      <c r="AI42" s="22"/>
      <c r="AK42" s="22"/>
      <c r="AM42" s="22"/>
      <c r="AP42" s="22"/>
      <c r="BC42" s="19"/>
      <c r="BD42" s="20"/>
      <c r="BF42" s="20"/>
      <c r="BK42" s="22"/>
    </row>
    <row r="43" spans="1:63" ht="15" customHeight="1" x14ac:dyDescent="0.35">
      <c r="A43" s="19"/>
      <c r="E43" s="20"/>
      <c r="G43" s="19"/>
      <c r="H43" s="20"/>
      <c r="L43" s="19"/>
      <c r="M43" s="19"/>
      <c r="N43" s="19"/>
      <c r="X43" s="20"/>
      <c r="Y43" s="20"/>
      <c r="AA43" s="20"/>
      <c r="AB43" s="20"/>
      <c r="AC43" s="21"/>
      <c r="AD43" s="22"/>
      <c r="AE43" s="22"/>
      <c r="AG43" s="22"/>
      <c r="AI43" s="22"/>
      <c r="AK43" s="22"/>
      <c r="AM43" s="22"/>
      <c r="AP43" s="22"/>
      <c r="BC43" s="19"/>
      <c r="BD43" s="20"/>
      <c r="BF43" s="20"/>
      <c r="BK43" s="22"/>
    </row>
    <row r="44" spans="1:63" ht="15" customHeight="1" x14ac:dyDescent="0.35">
      <c r="A44" s="19"/>
      <c r="E44" s="20"/>
      <c r="G44" s="19"/>
      <c r="H44" s="20"/>
      <c r="L44" s="19"/>
      <c r="M44" s="19"/>
      <c r="N44" s="19"/>
      <c r="X44" s="20"/>
      <c r="Y44" s="20"/>
      <c r="AA44" s="20"/>
      <c r="AB44" s="20"/>
      <c r="AC44" s="21"/>
      <c r="AD44" s="22"/>
      <c r="AE44" s="22"/>
      <c r="AG44" s="22"/>
      <c r="AI44" s="22"/>
      <c r="AK44" s="22"/>
      <c r="AM44" s="22"/>
      <c r="AP44" s="22"/>
      <c r="BC44" s="19"/>
      <c r="BD44" s="20"/>
      <c r="BF44" s="20"/>
      <c r="BK44" s="22"/>
    </row>
    <row r="45" spans="1:63" ht="15" customHeight="1" x14ac:dyDescent="0.35">
      <c r="A45" s="19"/>
      <c r="E45" s="20"/>
      <c r="G45" s="19"/>
      <c r="H45" s="20"/>
      <c r="L45" s="19"/>
      <c r="M45" s="19"/>
      <c r="N45" s="19"/>
      <c r="X45" s="20"/>
      <c r="Y45" s="20"/>
      <c r="AA45" s="20"/>
      <c r="AB45" s="20"/>
      <c r="AC45" s="21"/>
      <c r="AD45" s="22"/>
      <c r="AE45" s="22"/>
      <c r="AG45" s="22"/>
      <c r="AI45" s="22"/>
      <c r="AK45" s="22"/>
      <c r="AM45" s="22"/>
      <c r="AP45" s="22"/>
      <c r="BC45" s="19"/>
      <c r="BD45" s="20"/>
      <c r="BF45" s="20"/>
      <c r="BK45" s="22"/>
    </row>
    <row r="46" spans="1:63" ht="15" customHeight="1" x14ac:dyDescent="0.35">
      <c r="A46" s="19"/>
      <c r="E46" s="20"/>
      <c r="G46" s="19"/>
      <c r="H46" s="20"/>
      <c r="L46" s="19"/>
      <c r="M46" s="19"/>
      <c r="N46" s="19"/>
      <c r="X46" s="20"/>
      <c r="Y46" s="20"/>
      <c r="AA46" s="20"/>
      <c r="AB46" s="20"/>
      <c r="AC46" s="21"/>
      <c r="AD46" s="22"/>
      <c r="AE46" s="22"/>
      <c r="AG46" s="22"/>
      <c r="AI46" s="22"/>
      <c r="AK46" s="22"/>
      <c r="AM46" s="22"/>
      <c r="AP46" s="22"/>
      <c r="BC46" s="19"/>
      <c r="BD46" s="20"/>
      <c r="BF46" s="20"/>
      <c r="BK46" s="22"/>
    </row>
    <row r="47" spans="1:63" ht="15" customHeight="1" x14ac:dyDescent="0.35">
      <c r="A47" s="19"/>
      <c r="E47" s="20"/>
      <c r="G47" s="19"/>
      <c r="H47" s="20"/>
      <c r="L47" s="19"/>
      <c r="M47" s="19"/>
      <c r="N47" s="19"/>
      <c r="X47" s="20"/>
      <c r="Y47" s="20"/>
      <c r="AA47" s="20"/>
      <c r="AB47" s="20"/>
      <c r="AC47" s="21"/>
      <c r="AD47" s="22"/>
      <c r="AE47" s="22"/>
      <c r="AG47" s="22"/>
      <c r="AI47" s="22"/>
      <c r="AK47" s="22"/>
      <c r="AM47" s="22"/>
      <c r="AP47" s="22"/>
      <c r="BC47" s="19"/>
      <c r="BD47" s="20"/>
      <c r="BF47" s="20"/>
      <c r="BK47" s="22"/>
    </row>
    <row r="48" spans="1:63" ht="15" customHeight="1" x14ac:dyDescent="0.35">
      <c r="A48" s="19"/>
      <c r="E48" s="20"/>
      <c r="G48" s="19"/>
      <c r="H48" s="20"/>
      <c r="L48" s="19"/>
      <c r="M48" s="19"/>
      <c r="N48" s="19"/>
      <c r="X48" s="20"/>
      <c r="Y48" s="20"/>
      <c r="AA48" s="20"/>
      <c r="AB48" s="20"/>
      <c r="AC48" s="21"/>
      <c r="AD48" s="22"/>
      <c r="AE48" s="22"/>
      <c r="AG48" s="22"/>
      <c r="AI48" s="22"/>
      <c r="AK48" s="22"/>
      <c r="AM48" s="22"/>
      <c r="AP48" s="22"/>
      <c r="BC48" s="19"/>
      <c r="BD48" s="20"/>
      <c r="BF48" s="20"/>
      <c r="BK48" s="22"/>
    </row>
    <row r="49" spans="1:63" ht="15" customHeight="1" x14ac:dyDescent="0.35">
      <c r="A49" s="19"/>
      <c r="E49" s="20"/>
      <c r="G49" s="19"/>
      <c r="H49" s="20"/>
      <c r="L49" s="19"/>
      <c r="M49" s="19"/>
      <c r="N49" s="19"/>
      <c r="X49" s="20"/>
      <c r="Y49" s="20"/>
      <c r="AA49" s="20"/>
      <c r="AB49" s="20"/>
      <c r="AC49" s="21"/>
      <c r="AD49" s="22"/>
      <c r="AE49" s="22"/>
      <c r="AG49" s="22"/>
      <c r="AI49" s="22"/>
      <c r="AK49" s="22"/>
      <c r="AM49" s="22"/>
      <c r="AP49" s="22"/>
      <c r="BC49" s="19"/>
      <c r="BD49" s="20"/>
      <c r="BF49" s="20"/>
      <c r="BK49" s="22"/>
    </row>
    <row r="50" spans="1:63" ht="15" customHeight="1" x14ac:dyDescent="0.35">
      <c r="A50" s="19"/>
      <c r="E50" s="20"/>
      <c r="G50" s="19"/>
      <c r="H50" s="20"/>
      <c r="L50" s="19"/>
      <c r="M50" s="19"/>
      <c r="N50" s="19"/>
      <c r="X50" s="20"/>
      <c r="Y50" s="20"/>
      <c r="AA50" s="20"/>
      <c r="AB50" s="20"/>
      <c r="AC50" s="21"/>
      <c r="AD50" s="22"/>
      <c r="AE50" s="22"/>
      <c r="AG50" s="22"/>
      <c r="AI50" s="22"/>
      <c r="AK50" s="22"/>
      <c r="AM50" s="22"/>
      <c r="AP50" s="22"/>
      <c r="BC50" s="19"/>
      <c r="BD50" s="20"/>
      <c r="BF50" s="20"/>
      <c r="BK50" s="22"/>
    </row>
    <row r="51" spans="1:63" ht="15" customHeight="1" x14ac:dyDescent="0.35">
      <c r="A51" s="19"/>
      <c r="E51" s="20"/>
      <c r="G51" s="19"/>
      <c r="H51" s="20"/>
      <c r="L51" s="19"/>
      <c r="M51" s="19"/>
      <c r="N51" s="19"/>
      <c r="X51" s="20"/>
      <c r="Y51" s="20"/>
      <c r="AA51" s="20"/>
      <c r="AB51" s="20"/>
      <c r="AC51" s="21"/>
      <c r="AD51" s="22"/>
      <c r="AE51" s="22"/>
      <c r="AG51" s="22"/>
      <c r="AI51" s="22"/>
      <c r="AK51" s="22"/>
      <c r="AM51" s="22"/>
      <c r="AP51" s="22"/>
      <c r="BC51" s="19"/>
      <c r="BD51" s="20"/>
      <c r="BF51" s="20"/>
      <c r="BK51" s="22"/>
    </row>
    <row r="52" spans="1:63" ht="15" customHeight="1" x14ac:dyDescent="0.35">
      <c r="A52" s="19"/>
      <c r="E52" s="20"/>
      <c r="G52" s="19"/>
      <c r="H52" s="20"/>
      <c r="L52" s="19"/>
      <c r="M52" s="19"/>
      <c r="N52" s="19"/>
      <c r="X52" s="20"/>
      <c r="Y52" s="20"/>
      <c r="AA52" s="20"/>
      <c r="AB52" s="20"/>
      <c r="AC52" s="21"/>
      <c r="AD52" s="22"/>
      <c r="AE52" s="22"/>
      <c r="AG52" s="22"/>
      <c r="AI52" s="22"/>
      <c r="AK52" s="22"/>
      <c r="AM52" s="22"/>
      <c r="AP52" s="22"/>
      <c r="BC52" s="19"/>
      <c r="BD52" s="20"/>
      <c r="BF52" s="20"/>
      <c r="BK52" s="22"/>
    </row>
    <row r="53" spans="1:63" ht="15" customHeight="1" x14ac:dyDescent="0.35">
      <c r="A53" s="19"/>
      <c r="E53" s="20"/>
      <c r="G53" s="19"/>
      <c r="H53" s="20"/>
      <c r="L53" s="19"/>
      <c r="M53" s="19"/>
      <c r="N53" s="19"/>
      <c r="X53" s="20"/>
      <c r="Y53" s="20"/>
      <c r="AA53" s="20"/>
      <c r="AB53" s="20"/>
      <c r="AC53" s="21"/>
      <c r="AD53" s="22"/>
      <c r="AE53" s="22"/>
      <c r="AG53" s="22"/>
      <c r="AI53" s="22"/>
      <c r="AK53" s="22"/>
      <c r="AM53" s="22"/>
      <c r="AP53" s="22"/>
      <c r="BC53" s="19"/>
      <c r="BD53" s="20"/>
      <c r="BF53" s="20"/>
      <c r="BK53" s="22"/>
    </row>
    <row r="54" spans="1:63" ht="15" customHeight="1" x14ac:dyDescent="0.35">
      <c r="A54" s="19"/>
      <c r="E54" s="20"/>
      <c r="G54" s="19"/>
      <c r="H54" s="20"/>
      <c r="L54" s="19"/>
      <c r="M54" s="19"/>
      <c r="N54" s="19"/>
      <c r="X54" s="20"/>
      <c r="Y54" s="20"/>
      <c r="AA54" s="20"/>
      <c r="AB54" s="20"/>
      <c r="AC54" s="21"/>
      <c r="AD54" s="22"/>
      <c r="AE54" s="22"/>
      <c r="AG54" s="22"/>
      <c r="AI54" s="22"/>
      <c r="AK54" s="22"/>
      <c r="AM54" s="22"/>
      <c r="AP54" s="22"/>
      <c r="BC54" s="19"/>
      <c r="BD54" s="20"/>
      <c r="BF54" s="20"/>
      <c r="BK54" s="22"/>
    </row>
    <row r="55" spans="1:63" ht="15" customHeight="1" x14ac:dyDescent="0.35">
      <c r="A55" s="19"/>
      <c r="E55" s="20"/>
      <c r="G55" s="19"/>
      <c r="H55" s="20"/>
      <c r="L55" s="19"/>
      <c r="M55" s="19"/>
      <c r="N55" s="19"/>
      <c r="X55" s="20"/>
      <c r="Y55" s="20"/>
      <c r="AA55" s="20"/>
      <c r="AB55" s="20"/>
      <c r="AC55" s="21"/>
      <c r="AD55" s="22"/>
      <c r="AE55" s="22"/>
      <c r="AG55" s="22"/>
      <c r="AI55" s="22"/>
      <c r="AK55" s="22"/>
      <c r="AM55" s="22"/>
      <c r="AP55" s="22"/>
      <c r="BC55" s="19"/>
      <c r="BD55" s="20"/>
      <c r="BF55" s="20"/>
      <c r="BK55" s="22"/>
    </row>
    <row r="56" spans="1:63" ht="15" customHeight="1" x14ac:dyDescent="0.35">
      <c r="A56" s="19"/>
      <c r="E56" s="20"/>
      <c r="G56" s="19"/>
      <c r="H56" s="20"/>
      <c r="L56" s="19"/>
      <c r="M56" s="19"/>
      <c r="N56" s="19"/>
      <c r="X56" s="20"/>
      <c r="Y56" s="20"/>
      <c r="AA56" s="20"/>
      <c r="AB56" s="20"/>
      <c r="AC56" s="21"/>
      <c r="AD56" s="22"/>
      <c r="AE56" s="22"/>
      <c r="AG56" s="22"/>
      <c r="AI56" s="22"/>
      <c r="AK56" s="22"/>
      <c r="AM56" s="22"/>
      <c r="AP56" s="22"/>
      <c r="BC56" s="19"/>
      <c r="BD56" s="20"/>
      <c r="BF56" s="20"/>
      <c r="BK56" s="22"/>
    </row>
    <row r="57" spans="1:63" ht="15" customHeight="1" x14ac:dyDescent="0.35">
      <c r="A57" s="19"/>
      <c r="E57" s="20"/>
      <c r="G57" s="19"/>
      <c r="H57" s="20"/>
      <c r="L57" s="19"/>
      <c r="M57" s="19"/>
      <c r="N57" s="19"/>
      <c r="X57" s="20"/>
      <c r="Y57" s="20"/>
      <c r="AA57" s="20"/>
      <c r="AB57" s="20"/>
      <c r="AC57" s="21"/>
      <c r="AD57" s="22"/>
      <c r="AE57" s="22"/>
      <c r="AG57" s="22"/>
      <c r="AI57" s="22"/>
      <c r="AK57" s="22"/>
      <c r="AM57" s="22"/>
      <c r="AP57" s="22"/>
      <c r="BC57" s="19"/>
      <c r="BD57" s="20"/>
      <c r="BF57" s="20"/>
      <c r="BK57" s="22"/>
    </row>
    <row r="58" spans="1:63" ht="15" customHeight="1" x14ac:dyDescent="0.35">
      <c r="A58" s="19"/>
      <c r="E58" s="20"/>
      <c r="G58" s="19"/>
      <c r="H58" s="20"/>
      <c r="L58" s="19"/>
      <c r="M58" s="19"/>
      <c r="N58" s="19"/>
      <c r="X58" s="20"/>
      <c r="Y58" s="20"/>
      <c r="AA58" s="20"/>
      <c r="AB58" s="20"/>
      <c r="AC58" s="21"/>
      <c r="AD58" s="22"/>
      <c r="AE58" s="22"/>
      <c r="AG58" s="22"/>
      <c r="AI58" s="22"/>
      <c r="AK58" s="22"/>
      <c r="AM58" s="22"/>
      <c r="AP58" s="22"/>
      <c r="BC58" s="19"/>
      <c r="BD58" s="20"/>
      <c r="BF58" s="20"/>
      <c r="BK58" s="22"/>
    </row>
    <row r="59" spans="1:63" ht="15" customHeight="1" x14ac:dyDescent="0.35">
      <c r="A59" s="19"/>
      <c r="E59" s="20"/>
      <c r="G59" s="19"/>
      <c r="H59" s="20"/>
      <c r="L59" s="19"/>
      <c r="M59" s="19"/>
      <c r="N59" s="19"/>
      <c r="X59" s="20"/>
      <c r="Y59" s="20"/>
      <c r="AA59" s="20"/>
      <c r="AB59" s="20"/>
      <c r="AC59" s="21"/>
      <c r="AD59" s="22"/>
      <c r="AE59" s="22"/>
      <c r="AG59" s="22"/>
      <c r="AI59" s="22"/>
      <c r="AK59" s="22"/>
      <c r="AM59" s="22"/>
      <c r="AP59" s="22"/>
      <c r="BC59" s="19"/>
      <c r="BD59" s="20"/>
      <c r="BF59" s="20"/>
      <c r="BK59" s="22"/>
    </row>
    <row r="60" spans="1:63" ht="15" customHeight="1" x14ac:dyDescent="0.35">
      <c r="A60" s="19"/>
      <c r="E60" s="20"/>
      <c r="G60" s="19"/>
      <c r="H60" s="20"/>
      <c r="L60" s="19"/>
      <c r="M60" s="19"/>
      <c r="N60" s="19"/>
      <c r="X60" s="20"/>
      <c r="Y60" s="20"/>
      <c r="AA60" s="20"/>
      <c r="AB60" s="20"/>
      <c r="AC60" s="21"/>
      <c r="AD60" s="22"/>
      <c r="AE60" s="22"/>
      <c r="AG60" s="22"/>
      <c r="AI60" s="22"/>
      <c r="AK60" s="22"/>
      <c r="AM60" s="22"/>
      <c r="AP60" s="22"/>
      <c r="BC60" s="19"/>
      <c r="BD60" s="20"/>
      <c r="BF60" s="20"/>
      <c r="BK60" s="22"/>
    </row>
    <row r="61" spans="1:63" ht="15" customHeight="1" x14ac:dyDescent="0.35">
      <c r="A61" s="19"/>
      <c r="E61" s="20"/>
      <c r="G61" s="19"/>
      <c r="H61" s="20"/>
      <c r="L61" s="19"/>
      <c r="M61" s="19"/>
      <c r="N61" s="19"/>
      <c r="X61" s="20"/>
      <c r="Y61" s="20"/>
      <c r="AA61" s="20"/>
      <c r="AB61" s="20"/>
      <c r="AC61" s="21"/>
      <c r="AD61" s="22"/>
      <c r="AE61" s="22"/>
      <c r="AG61" s="22"/>
      <c r="AI61" s="22"/>
      <c r="AK61" s="22"/>
      <c r="AM61" s="22"/>
      <c r="AP61" s="22"/>
      <c r="BC61" s="19"/>
      <c r="BD61" s="20"/>
      <c r="BF61" s="20"/>
      <c r="BK61" s="22"/>
    </row>
    <row r="62" spans="1:63" ht="15" customHeight="1" x14ac:dyDescent="0.35">
      <c r="A62" s="19"/>
      <c r="E62" s="20"/>
      <c r="G62" s="19"/>
      <c r="H62" s="20"/>
      <c r="L62" s="19"/>
      <c r="M62" s="19"/>
      <c r="N62" s="19"/>
      <c r="X62" s="20"/>
      <c r="Y62" s="20"/>
      <c r="AA62" s="20"/>
      <c r="AB62" s="20"/>
      <c r="AC62" s="21"/>
      <c r="AD62" s="22"/>
      <c r="AE62" s="22"/>
      <c r="AG62" s="22"/>
      <c r="AI62" s="22"/>
      <c r="AK62" s="22"/>
      <c r="AM62" s="22"/>
      <c r="AP62" s="22"/>
      <c r="BC62" s="19"/>
      <c r="BD62" s="20"/>
      <c r="BF62" s="20"/>
      <c r="BK62" s="22"/>
    </row>
    <row r="63" spans="1:63" ht="15" customHeight="1" x14ac:dyDescent="0.35">
      <c r="A63" s="19"/>
      <c r="E63" s="20"/>
      <c r="G63" s="19"/>
      <c r="H63" s="20"/>
      <c r="L63" s="19"/>
      <c r="M63" s="19"/>
      <c r="N63" s="19"/>
      <c r="X63" s="20"/>
      <c r="Y63" s="20"/>
      <c r="AA63" s="20"/>
      <c r="AB63" s="20"/>
      <c r="AC63" s="21"/>
      <c r="AD63" s="22"/>
      <c r="AE63" s="22"/>
      <c r="AG63" s="22"/>
      <c r="AI63" s="22"/>
      <c r="AK63" s="22"/>
      <c r="AM63" s="22"/>
      <c r="AP63" s="22"/>
      <c r="BC63" s="19"/>
      <c r="BD63" s="20"/>
      <c r="BF63" s="20"/>
      <c r="BK63" s="22"/>
    </row>
    <row r="64" spans="1:63" ht="15" customHeight="1" x14ac:dyDescent="0.35">
      <c r="A64" s="19"/>
      <c r="E64" s="20"/>
      <c r="G64" s="19"/>
      <c r="H64" s="20"/>
      <c r="L64" s="19"/>
      <c r="M64" s="19"/>
      <c r="N64" s="19"/>
      <c r="X64" s="20"/>
      <c r="Y64" s="20"/>
      <c r="AA64" s="20"/>
      <c r="AB64" s="20"/>
      <c r="AC64" s="21"/>
      <c r="AD64" s="22"/>
      <c r="AE64" s="22"/>
      <c r="AG64" s="22"/>
      <c r="AI64" s="22"/>
      <c r="AK64" s="22"/>
      <c r="AM64" s="22"/>
      <c r="AP64" s="22"/>
      <c r="BC64" s="19"/>
      <c r="BD64" s="20"/>
      <c r="BF64" s="20"/>
      <c r="BK64" s="22"/>
    </row>
    <row r="65" spans="1:63" ht="15" customHeight="1" x14ac:dyDescent="0.35">
      <c r="A65" s="19"/>
      <c r="E65" s="20"/>
      <c r="G65" s="19"/>
      <c r="H65" s="20"/>
      <c r="L65" s="19"/>
      <c r="M65" s="19"/>
      <c r="N65" s="19"/>
      <c r="X65" s="20"/>
      <c r="Y65" s="20"/>
      <c r="AA65" s="20"/>
      <c r="AB65" s="20"/>
      <c r="AC65" s="21"/>
      <c r="AD65" s="22"/>
      <c r="AE65" s="22"/>
      <c r="AG65" s="22"/>
      <c r="AI65" s="22"/>
      <c r="AK65" s="22"/>
      <c r="AM65" s="22"/>
      <c r="AP65" s="22"/>
      <c r="BC65" s="19"/>
      <c r="BD65" s="20"/>
      <c r="BF65" s="20"/>
      <c r="BK65" s="22"/>
    </row>
    <row r="66" spans="1:63" ht="15" customHeight="1" x14ac:dyDescent="0.35">
      <c r="A66" s="19"/>
      <c r="E66" s="20"/>
      <c r="G66" s="19"/>
      <c r="H66" s="20"/>
      <c r="L66" s="19"/>
      <c r="M66" s="19"/>
      <c r="N66" s="19"/>
      <c r="X66" s="20"/>
      <c r="Y66" s="20"/>
      <c r="AA66" s="20"/>
      <c r="AB66" s="20"/>
      <c r="AC66" s="21"/>
      <c r="AD66" s="22"/>
      <c r="AE66" s="22"/>
      <c r="AG66" s="22"/>
      <c r="AI66" s="22"/>
      <c r="AK66" s="22"/>
      <c r="AM66" s="22"/>
      <c r="AP66" s="22"/>
      <c r="BC66" s="19"/>
      <c r="BD66" s="20"/>
      <c r="BF66" s="20"/>
      <c r="BK66" s="22"/>
    </row>
    <row r="67" spans="1:63" ht="15" customHeight="1" x14ac:dyDescent="0.35">
      <c r="A67" s="19"/>
      <c r="E67" s="20"/>
      <c r="G67" s="19"/>
      <c r="H67" s="20"/>
      <c r="L67" s="19"/>
      <c r="M67" s="19"/>
      <c r="N67" s="19"/>
      <c r="X67" s="20"/>
      <c r="Y67" s="20"/>
      <c r="AA67" s="20"/>
      <c r="AB67" s="20"/>
      <c r="AC67" s="21"/>
      <c r="AD67" s="22"/>
      <c r="AE67" s="22"/>
      <c r="AG67" s="22"/>
      <c r="AI67" s="22"/>
      <c r="AK67" s="22"/>
      <c r="AM67" s="22"/>
      <c r="AP67" s="22"/>
      <c r="BC67" s="19"/>
      <c r="BD67" s="20"/>
      <c r="BF67" s="20"/>
      <c r="BK67" s="22"/>
    </row>
    <row r="68" spans="1:63" ht="15" customHeight="1" x14ac:dyDescent="0.35">
      <c r="A68" s="19"/>
      <c r="E68" s="20"/>
      <c r="G68" s="19"/>
      <c r="H68" s="20"/>
      <c r="L68" s="19"/>
      <c r="M68" s="19"/>
      <c r="N68" s="19"/>
      <c r="X68" s="20"/>
      <c r="Y68" s="20"/>
      <c r="AA68" s="20"/>
      <c r="AB68" s="20"/>
      <c r="AC68" s="21"/>
      <c r="AD68" s="22"/>
      <c r="AE68" s="22"/>
      <c r="AG68" s="22"/>
      <c r="AI68" s="22"/>
      <c r="AK68" s="22"/>
      <c r="AM68" s="22"/>
      <c r="AP68" s="22"/>
      <c r="BC68" s="19"/>
      <c r="BD68" s="20"/>
      <c r="BF68" s="20"/>
      <c r="BK68" s="22"/>
    </row>
    <row r="69" spans="1:63" ht="15" customHeight="1" x14ac:dyDescent="0.35">
      <c r="A69" s="19"/>
      <c r="E69" s="20"/>
      <c r="G69" s="19"/>
      <c r="H69" s="20"/>
      <c r="L69" s="19"/>
      <c r="M69" s="19"/>
      <c r="N69" s="19"/>
      <c r="X69" s="20"/>
      <c r="Y69" s="20"/>
      <c r="AA69" s="20"/>
      <c r="AB69" s="20"/>
      <c r="AC69" s="21"/>
      <c r="AD69" s="22"/>
      <c r="AE69" s="22"/>
      <c r="AG69" s="22"/>
      <c r="AI69" s="22"/>
      <c r="AK69" s="22"/>
      <c r="AM69" s="22"/>
      <c r="AP69" s="22"/>
      <c r="BC69" s="19"/>
      <c r="BD69" s="20"/>
      <c r="BF69" s="20"/>
      <c r="BK69" s="22"/>
    </row>
    <row r="70" spans="1:63" ht="15" customHeight="1" x14ac:dyDescent="0.35">
      <c r="A70" s="19"/>
      <c r="E70" s="20"/>
      <c r="G70" s="19"/>
      <c r="H70" s="20"/>
      <c r="L70" s="19"/>
      <c r="M70" s="19"/>
      <c r="N70" s="19"/>
      <c r="X70" s="20"/>
      <c r="Y70" s="20"/>
      <c r="AA70" s="20"/>
      <c r="AB70" s="20"/>
      <c r="AC70" s="21"/>
      <c r="AD70" s="22"/>
      <c r="AE70" s="22"/>
      <c r="AG70" s="22"/>
      <c r="AI70" s="22"/>
      <c r="AK70" s="22"/>
      <c r="AM70" s="22"/>
      <c r="AP70" s="22"/>
      <c r="BC70" s="19"/>
      <c r="BD70" s="20"/>
      <c r="BF70" s="20"/>
      <c r="BK70" s="22"/>
    </row>
    <row r="71" spans="1:63" ht="15" customHeight="1" x14ac:dyDescent="0.35">
      <c r="A71" s="19"/>
      <c r="E71" s="20"/>
      <c r="G71" s="19"/>
      <c r="H71" s="20"/>
      <c r="L71" s="19"/>
      <c r="M71" s="19"/>
      <c r="N71" s="19"/>
      <c r="X71" s="20"/>
      <c r="Y71" s="20"/>
      <c r="AA71" s="20"/>
      <c r="AB71" s="20"/>
      <c r="AC71" s="21"/>
      <c r="AD71" s="22"/>
      <c r="AE71" s="22"/>
      <c r="AG71" s="22"/>
      <c r="AI71" s="22"/>
      <c r="AK71" s="22"/>
      <c r="AM71" s="22"/>
      <c r="AP71" s="22"/>
      <c r="BC71" s="19"/>
      <c r="BD71" s="20"/>
      <c r="BF71" s="20"/>
      <c r="BK71" s="22"/>
    </row>
    <row r="72" spans="1:63" ht="15" customHeight="1" x14ac:dyDescent="0.35">
      <c r="A72" s="19"/>
      <c r="E72" s="20"/>
      <c r="G72" s="19"/>
      <c r="H72" s="20"/>
      <c r="L72" s="19"/>
      <c r="M72" s="19"/>
      <c r="N72" s="19"/>
      <c r="X72" s="20"/>
      <c r="Y72" s="20"/>
      <c r="AA72" s="20"/>
      <c r="AB72" s="20"/>
      <c r="AC72" s="21"/>
      <c r="AD72" s="22"/>
      <c r="AE72" s="22"/>
      <c r="AG72" s="22"/>
      <c r="AI72" s="22"/>
      <c r="AK72" s="22"/>
      <c r="AM72" s="22"/>
      <c r="AP72" s="22"/>
      <c r="BC72" s="19"/>
      <c r="BD72" s="20"/>
      <c r="BF72" s="20"/>
      <c r="BK72" s="22"/>
    </row>
    <row r="73" spans="1:63" ht="15" customHeight="1" x14ac:dyDescent="0.35">
      <c r="A73" s="19"/>
      <c r="E73" s="20"/>
      <c r="G73" s="19"/>
      <c r="H73" s="20"/>
      <c r="L73" s="19"/>
      <c r="M73" s="19"/>
      <c r="N73" s="19"/>
      <c r="X73" s="20"/>
      <c r="Y73" s="20"/>
      <c r="AA73" s="20"/>
      <c r="AB73" s="20"/>
      <c r="AC73" s="21"/>
      <c r="AD73" s="22"/>
      <c r="AE73" s="22"/>
      <c r="AG73" s="22"/>
      <c r="AI73" s="22"/>
      <c r="AK73" s="22"/>
      <c r="AM73" s="22"/>
      <c r="AP73" s="22"/>
      <c r="BC73" s="19"/>
      <c r="BD73" s="20"/>
      <c r="BF73" s="20"/>
      <c r="BK73" s="22"/>
    </row>
    <row r="74" spans="1:63" ht="15" customHeight="1" x14ac:dyDescent="0.35">
      <c r="A74" s="19"/>
      <c r="E74" s="20"/>
      <c r="G74" s="19"/>
      <c r="H74" s="20"/>
      <c r="L74" s="19"/>
      <c r="M74" s="19"/>
      <c r="N74" s="19"/>
      <c r="X74" s="20"/>
      <c r="Y74" s="20"/>
      <c r="AA74" s="20"/>
      <c r="AB74" s="20"/>
      <c r="AC74" s="21"/>
      <c r="AD74" s="22"/>
      <c r="AE74" s="22"/>
      <c r="AG74" s="22"/>
      <c r="AI74" s="22"/>
      <c r="AK74" s="22"/>
      <c r="AM74" s="22"/>
      <c r="AP74" s="22"/>
      <c r="BC74" s="19"/>
      <c r="BD74" s="20"/>
      <c r="BF74" s="20"/>
      <c r="BK74" s="22"/>
    </row>
    <row r="75" spans="1:63" ht="15" customHeight="1" x14ac:dyDescent="0.35">
      <c r="A75" s="19"/>
      <c r="E75" s="20"/>
      <c r="G75" s="19"/>
      <c r="H75" s="20"/>
      <c r="L75" s="19"/>
      <c r="M75" s="19"/>
      <c r="N75" s="19"/>
      <c r="X75" s="20"/>
      <c r="Y75" s="20"/>
      <c r="AA75" s="20"/>
      <c r="AB75" s="20"/>
      <c r="AC75" s="21"/>
      <c r="AD75" s="22"/>
      <c r="AE75" s="22"/>
      <c r="AG75" s="22"/>
      <c r="AI75" s="22"/>
      <c r="AK75" s="22"/>
      <c r="AM75" s="22"/>
      <c r="AP75" s="22"/>
      <c r="BC75" s="19"/>
      <c r="BD75" s="20"/>
      <c r="BF75" s="20"/>
      <c r="BK75" s="22"/>
    </row>
    <row r="76" spans="1:63" ht="15" customHeight="1" x14ac:dyDescent="0.35">
      <c r="A76" s="19"/>
      <c r="E76" s="20"/>
      <c r="G76" s="19"/>
      <c r="H76" s="20"/>
      <c r="L76" s="19"/>
      <c r="M76" s="19"/>
      <c r="N76" s="19"/>
      <c r="X76" s="20"/>
      <c r="Y76" s="20"/>
      <c r="AA76" s="20"/>
      <c r="AB76" s="20"/>
      <c r="AC76" s="21"/>
      <c r="AD76" s="22"/>
      <c r="AE76" s="22"/>
      <c r="AG76" s="22"/>
      <c r="AI76" s="22"/>
      <c r="AK76" s="22"/>
      <c r="AM76" s="22"/>
      <c r="AP76" s="22"/>
      <c r="BC76" s="19"/>
      <c r="BD76" s="20"/>
      <c r="BF76" s="20"/>
      <c r="BK76" s="22"/>
    </row>
    <row r="77" spans="1:63" ht="15" customHeight="1" x14ac:dyDescent="0.35">
      <c r="A77" s="19"/>
      <c r="E77" s="20"/>
      <c r="G77" s="19"/>
      <c r="H77" s="20"/>
      <c r="L77" s="19"/>
      <c r="M77" s="19"/>
      <c r="N77" s="19"/>
      <c r="X77" s="20"/>
      <c r="Y77" s="20"/>
      <c r="AA77" s="20"/>
      <c r="AB77" s="20"/>
      <c r="AC77" s="21"/>
      <c r="AD77" s="22"/>
      <c r="AE77" s="22"/>
      <c r="AG77" s="22"/>
      <c r="AI77" s="22"/>
      <c r="AK77" s="22"/>
      <c r="AM77" s="22"/>
      <c r="AP77" s="22"/>
      <c r="BC77" s="19"/>
      <c r="BD77" s="20"/>
      <c r="BF77" s="20"/>
      <c r="BK77" s="22"/>
    </row>
    <row r="78" spans="1:63" ht="15" customHeight="1" x14ac:dyDescent="0.35">
      <c r="A78" s="19"/>
      <c r="E78" s="20"/>
      <c r="G78" s="19"/>
      <c r="H78" s="20"/>
      <c r="L78" s="19"/>
      <c r="M78" s="19"/>
      <c r="N78" s="19"/>
      <c r="X78" s="20"/>
      <c r="Y78" s="20"/>
      <c r="AA78" s="20"/>
      <c r="AB78" s="20"/>
      <c r="AC78" s="21"/>
      <c r="AD78" s="22"/>
      <c r="AE78" s="22"/>
      <c r="AG78" s="22"/>
      <c r="AI78" s="22"/>
      <c r="AK78" s="22"/>
      <c r="AM78" s="22"/>
      <c r="AP78" s="22"/>
      <c r="BC78" s="19"/>
      <c r="BD78" s="20"/>
      <c r="BF78" s="20"/>
      <c r="BK78" s="22"/>
    </row>
    <row r="79" spans="1:63" ht="15" customHeight="1" x14ac:dyDescent="0.35">
      <c r="A79" s="19"/>
      <c r="E79" s="20"/>
      <c r="G79" s="19"/>
      <c r="H79" s="20"/>
      <c r="L79" s="19"/>
      <c r="M79" s="19"/>
      <c r="N79" s="19"/>
      <c r="X79" s="20"/>
      <c r="Y79" s="20"/>
      <c r="AA79" s="20"/>
      <c r="AB79" s="20"/>
      <c r="AC79" s="21"/>
      <c r="AD79" s="22"/>
      <c r="AE79" s="22"/>
      <c r="AG79" s="22"/>
      <c r="AI79" s="22"/>
      <c r="AK79" s="22"/>
      <c r="AM79" s="22"/>
      <c r="AP79" s="22"/>
      <c r="BC79" s="19"/>
      <c r="BD79" s="20"/>
      <c r="BF79" s="20"/>
      <c r="BK79" s="22"/>
    </row>
    <row r="80" spans="1:63" ht="15" customHeight="1" x14ac:dyDescent="0.35">
      <c r="A80" s="19"/>
      <c r="E80" s="20"/>
      <c r="G80" s="19"/>
      <c r="H80" s="20"/>
      <c r="L80" s="19"/>
      <c r="M80" s="19"/>
      <c r="N80" s="19"/>
      <c r="X80" s="20"/>
      <c r="Y80" s="20"/>
      <c r="AA80" s="20"/>
      <c r="AB80" s="20"/>
      <c r="AC80" s="21"/>
      <c r="AD80" s="22"/>
      <c r="AE80" s="22"/>
      <c r="AG80" s="22"/>
      <c r="AI80" s="22"/>
      <c r="AK80" s="22"/>
      <c r="AM80" s="22"/>
      <c r="AP80" s="22"/>
      <c r="BC80" s="19"/>
      <c r="BD80" s="20"/>
      <c r="BF80" s="20"/>
      <c r="BK80" s="22"/>
    </row>
    <row r="81" spans="1:63" ht="15" customHeight="1" x14ac:dyDescent="0.35">
      <c r="A81" s="19"/>
      <c r="E81" s="20"/>
      <c r="G81" s="19"/>
      <c r="H81" s="20"/>
      <c r="L81" s="19"/>
      <c r="M81" s="19"/>
      <c r="N81" s="19"/>
      <c r="X81" s="20"/>
      <c r="Y81" s="20"/>
      <c r="AA81" s="20"/>
      <c r="AB81" s="20"/>
      <c r="AC81" s="21"/>
      <c r="AD81" s="22"/>
      <c r="AE81" s="22"/>
      <c r="AG81" s="22"/>
      <c r="AI81" s="22"/>
      <c r="AK81" s="22"/>
      <c r="AM81" s="22"/>
      <c r="AP81" s="22"/>
      <c r="BC81" s="19"/>
      <c r="BD81" s="20"/>
      <c r="BF81" s="20"/>
      <c r="BK81" s="22"/>
    </row>
    <row r="82" spans="1:63" ht="15" customHeight="1" x14ac:dyDescent="0.35">
      <c r="A82" s="19"/>
      <c r="E82" s="20"/>
      <c r="G82" s="19"/>
      <c r="H82" s="20"/>
      <c r="L82" s="19"/>
      <c r="M82" s="19"/>
      <c r="N82" s="19"/>
      <c r="X82" s="20"/>
      <c r="Y82" s="20"/>
      <c r="AA82" s="20"/>
      <c r="AB82" s="20"/>
      <c r="AC82" s="21"/>
      <c r="AD82" s="22"/>
      <c r="AE82" s="22"/>
      <c r="AG82" s="22"/>
      <c r="AI82" s="22"/>
      <c r="AK82" s="22"/>
      <c r="AM82" s="22"/>
      <c r="AP82" s="22"/>
      <c r="BC82" s="19"/>
      <c r="BD82" s="20"/>
      <c r="BF82" s="20"/>
      <c r="BK82" s="22"/>
    </row>
    <row r="83" spans="1:63" ht="15" customHeight="1" x14ac:dyDescent="0.35">
      <c r="A83" s="19"/>
      <c r="E83" s="20"/>
      <c r="G83" s="19"/>
      <c r="H83" s="20"/>
      <c r="L83" s="19"/>
      <c r="M83" s="19"/>
      <c r="N83" s="19"/>
      <c r="X83" s="20"/>
      <c r="Y83" s="20"/>
      <c r="AA83" s="20"/>
      <c r="AB83" s="20"/>
      <c r="AC83" s="21"/>
      <c r="AD83" s="22"/>
      <c r="AE83" s="22"/>
      <c r="AG83" s="22"/>
      <c r="AI83" s="22"/>
      <c r="AK83" s="22"/>
      <c r="AM83" s="22"/>
      <c r="AP83" s="22"/>
      <c r="BC83" s="19"/>
      <c r="BD83" s="20"/>
      <c r="BF83" s="20"/>
      <c r="BK83" s="22"/>
    </row>
    <row r="84" spans="1:63" ht="15" customHeight="1" x14ac:dyDescent="0.35">
      <c r="A84" s="19"/>
      <c r="E84" s="20"/>
      <c r="G84" s="19"/>
      <c r="H84" s="20"/>
      <c r="L84" s="19"/>
      <c r="M84" s="19"/>
      <c r="N84" s="19"/>
      <c r="X84" s="20"/>
      <c r="Y84" s="20"/>
      <c r="AA84" s="20"/>
      <c r="AB84" s="20"/>
      <c r="AC84" s="21"/>
      <c r="AD84" s="22"/>
      <c r="AE84" s="22"/>
      <c r="AG84" s="22"/>
      <c r="AI84" s="22"/>
      <c r="AK84" s="22"/>
      <c r="AM84" s="22"/>
      <c r="AP84" s="22"/>
      <c r="BC84" s="19"/>
      <c r="BD84" s="20"/>
      <c r="BF84" s="20"/>
      <c r="BK84" s="22"/>
    </row>
    <row r="85" spans="1:63" ht="15" customHeight="1" x14ac:dyDescent="0.35">
      <c r="A85" s="19"/>
      <c r="E85" s="20"/>
      <c r="G85" s="19"/>
      <c r="H85" s="20"/>
      <c r="L85" s="19"/>
      <c r="M85" s="19"/>
      <c r="N85" s="19"/>
      <c r="X85" s="20"/>
      <c r="Y85" s="20"/>
      <c r="AA85" s="20"/>
      <c r="AB85" s="20"/>
      <c r="AC85" s="21"/>
      <c r="AD85" s="22"/>
      <c r="AE85" s="22"/>
      <c r="AG85" s="22"/>
      <c r="AI85" s="22"/>
      <c r="AK85" s="22"/>
      <c r="AM85" s="22"/>
      <c r="AP85" s="22"/>
      <c r="BC85" s="19"/>
      <c r="BD85" s="20"/>
      <c r="BF85" s="20"/>
      <c r="BK85" s="22"/>
    </row>
    <row r="86" spans="1:63" ht="15" customHeight="1" x14ac:dyDescent="0.35">
      <c r="A86" s="19"/>
      <c r="E86" s="20"/>
      <c r="G86" s="19"/>
      <c r="H86" s="20"/>
      <c r="L86" s="19"/>
      <c r="M86" s="19"/>
      <c r="N86" s="19"/>
      <c r="X86" s="20"/>
      <c r="Y86" s="20"/>
      <c r="AA86" s="20"/>
      <c r="AB86" s="20"/>
      <c r="AC86" s="21"/>
      <c r="AD86" s="22"/>
      <c r="AE86" s="22"/>
      <c r="AG86" s="22"/>
      <c r="AI86" s="22"/>
      <c r="AK86" s="22"/>
      <c r="AM86" s="22"/>
      <c r="AP86" s="22"/>
      <c r="BC86" s="19"/>
      <c r="BD86" s="20"/>
      <c r="BF86" s="20"/>
      <c r="BK86" s="22"/>
    </row>
    <row r="87" spans="1:63" ht="15" customHeight="1" x14ac:dyDescent="0.35">
      <c r="A87" s="19"/>
      <c r="E87" s="20"/>
      <c r="G87" s="19"/>
      <c r="H87" s="20"/>
      <c r="L87" s="19"/>
      <c r="M87" s="19"/>
      <c r="N87" s="19"/>
      <c r="X87" s="20"/>
      <c r="Y87" s="20"/>
      <c r="AA87" s="20"/>
      <c r="AB87" s="20"/>
      <c r="AC87" s="21"/>
      <c r="AD87" s="22"/>
      <c r="AE87" s="22"/>
      <c r="AG87" s="22"/>
      <c r="AI87" s="22"/>
      <c r="AK87" s="22"/>
      <c r="AM87" s="22"/>
      <c r="AP87" s="22"/>
      <c r="BC87" s="19"/>
      <c r="BD87" s="20"/>
      <c r="BF87" s="20"/>
      <c r="BK87" s="22"/>
    </row>
    <row r="88" spans="1:63" ht="15" customHeight="1" x14ac:dyDescent="0.35">
      <c r="A88" s="19"/>
      <c r="E88" s="20"/>
      <c r="G88" s="19"/>
      <c r="H88" s="20"/>
      <c r="L88" s="19"/>
      <c r="M88" s="19"/>
      <c r="N88" s="19"/>
      <c r="X88" s="20"/>
      <c r="Y88" s="20"/>
      <c r="AA88" s="20"/>
      <c r="AB88" s="20"/>
      <c r="AC88" s="21"/>
      <c r="AD88" s="22"/>
      <c r="AE88" s="22"/>
      <c r="AG88" s="22"/>
      <c r="AI88" s="22"/>
      <c r="AK88" s="22"/>
      <c r="AM88" s="22"/>
      <c r="AP88" s="22"/>
      <c r="BC88" s="19"/>
      <c r="BD88" s="20"/>
      <c r="BF88" s="20"/>
      <c r="BK88" s="22"/>
    </row>
    <row r="89" spans="1:63" ht="15" customHeight="1" x14ac:dyDescent="0.35">
      <c r="A89" s="19"/>
      <c r="E89" s="20"/>
      <c r="G89" s="19"/>
      <c r="H89" s="20"/>
      <c r="L89" s="19"/>
      <c r="M89" s="19"/>
      <c r="N89" s="19"/>
      <c r="X89" s="20"/>
      <c r="Y89" s="20"/>
      <c r="AA89" s="20"/>
      <c r="AB89" s="20"/>
      <c r="AC89" s="21"/>
      <c r="AD89" s="22"/>
      <c r="AE89" s="22"/>
      <c r="AG89" s="22"/>
      <c r="AI89" s="22"/>
      <c r="AK89" s="22"/>
      <c r="AM89" s="22"/>
      <c r="AP89" s="22"/>
      <c r="BC89" s="19"/>
      <c r="BD89" s="20"/>
      <c r="BF89" s="20"/>
      <c r="BK89" s="22"/>
    </row>
    <row r="90" spans="1:63" ht="15" customHeight="1" x14ac:dyDescent="0.35">
      <c r="A90" s="19"/>
      <c r="E90" s="20"/>
      <c r="G90" s="19"/>
      <c r="H90" s="20"/>
      <c r="L90" s="19"/>
      <c r="M90" s="19"/>
      <c r="N90" s="19"/>
      <c r="X90" s="20"/>
      <c r="Y90" s="20"/>
      <c r="AA90" s="20"/>
      <c r="AB90" s="20"/>
      <c r="AC90" s="21"/>
      <c r="AD90" s="22"/>
      <c r="AE90" s="22"/>
      <c r="AG90" s="22"/>
      <c r="AI90" s="22"/>
      <c r="AK90" s="22"/>
      <c r="AM90" s="22"/>
      <c r="AP90" s="22"/>
      <c r="BC90" s="19"/>
      <c r="BD90" s="20"/>
      <c r="BF90" s="20"/>
      <c r="BK90" s="22"/>
    </row>
    <row r="91" spans="1:63" ht="15" customHeight="1" x14ac:dyDescent="0.35">
      <c r="A91" s="19"/>
      <c r="E91" s="20"/>
      <c r="G91" s="19"/>
      <c r="H91" s="20"/>
      <c r="L91" s="19"/>
      <c r="M91" s="19"/>
      <c r="N91" s="19"/>
      <c r="X91" s="20"/>
      <c r="Y91" s="20"/>
      <c r="AA91" s="20"/>
      <c r="AB91" s="20"/>
      <c r="AC91" s="21"/>
      <c r="AD91" s="22"/>
      <c r="AE91" s="22"/>
      <c r="AG91" s="22"/>
      <c r="AI91" s="22"/>
      <c r="AK91" s="22"/>
      <c r="AM91" s="22"/>
      <c r="AP91" s="22"/>
      <c r="BC91" s="19"/>
      <c r="BD91" s="20"/>
      <c r="BF91" s="20"/>
      <c r="BK91" s="22"/>
    </row>
    <row r="92" spans="1:63" ht="15" customHeight="1" x14ac:dyDescent="0.35">
      <c r="A92" s="19"/>
      <c r="E92" s="20"/>
      <c r="G92" s="19"/>
      <c r="H92" s="20"/>
      <c r="L92" s="19"/>
      <c r="M92" s="19"/>
      <c r="N92" s="19"/>
      <c r="X92" s="20"/>
      <c r="Y92" s="20"/>
      <c r="AA92" s="20"/>
      <c r="AB92" s="20"/>
      <c r="AC92" s="21"/>
      <c r="AD92" s="22"/>
      <c r="AE92" s="22"/>
      <c r="AG92" s="22"/>
      <c r="AI92" s="22"/>
      <c r="AK92" s="22"/>
      <c r="AM92" s="22"/>
      <c r="AP92" s="22"/>
      <c r="BC92" s="19"/>
      <c r="BD92" s="20"/>
      <c r="BF92" s="20"/>
      <c r="BK92" s="22"/>
    </row>
    <row r="93" spans="1:63" ht="15" customHeight="1" x14ac:dyDescent="0.35">
      <c r="A93" s="19"/>
      <c r="E93" s="20"/>
      <c r="G93" s="19"/>
      <c r="H93" s="20"/>
      <c r="L93" s="19"/>
      <c r="M93" s="19"/>
      <c r="N93" s="19"/>
      <c r="X93" s="20"/>
      <c r="Y93" s="20"/>
      <c r="AA93" s="20"/>
      <c r="AB93" s="20"/>
      <c r="AC93" s="21"/>
      <c r="AD93" s="22"/>
      <c r="AE93" s="22"/>
      <c r="AG93" s="22"/>
      <c r="AI93" s="22"/>
      <c r="AK93" s="22"/>
      <c r="AM93" s="22"/>
      <c r="AP93" s="22"/>
      <c r="BC93" s="19"/>
      <c r="BD93" s="20"/>
      <c r="BF93" s="20"/>
      <c r="BK93" s="22"/>
    </row>
    <row r="94" spans="1:63" ht="15" customHeight="1" x14ac:dyDescent="0.35">
      <c r="A94" s="19"/>
      <c r="E94" s="20"/>
      <c r="G94" s="19"/>
      <c r="H94" s="20"/>
      <c r="L94" s="19"/>
      <c r="M94" s="19"/>
      <c r="N94" s="19"/>
      <c r="X94" s="20"/>
      <c r="Y94" s="20"/>
      <c r="AA94" s="20"/>
      <c r="AB94" s="20"/>
      <c r="AC94" s="21"/>
      <c r="AD94" s="22"/>
      <c r="AE94" s="22"/>
      <c r="AG94" s="22"/>
      <c r="AI94" s="22"/>
      <c r="AK94" s="22"/>
      <c r="AM94" s="22"/>
      <c r="AP94" s="22"/>
      <c r="BC94" s="19"/>
      <c r="BD94" s="20"/>
      <c r="BF94" s="20"/>
      <c r="BK94" s="22"/>
    </row>
    <row r="95" spans="1:63" ht="15" customHeight="1" x14ac:dyDescent="0.35">
      <c r="A95" s="19"/>
      <c r="E95" s="20"/>
      <c r="G95" s="19"/>
      <c r="H95" s="20"/>
      <c r="L95" s="19"/>
      <c r="M95" s="19"/>
      <c r="N95" s="19"/>
      <c r="X95" s="20"/>
      <c r="Y95" s="20"/>
      <c r="AA95" s="20"/>
      <c r="AB95" s="20"/>
      <c r="AC95" s="21"/>
      <c r="AD95" s="22"/>
      <c r="AE95" s="22"/>
      <c r="AG95" s="22"/>
      <c r="AI95" s="22"/>
      <c r="AK95" s="22"/>
      <c r="AM95" s="22"/>
      <c r="AP95" s="22"/>
      <c r="BC95" s="19"/>
      <c r="BD95" s="20"/>
      <c r="BF95" s="20"/>
      <c r="BK95" s="22"/>
    </row>
    <row r="96" spans="1:63" ht="15" customHeight="1" x14ac:dyDescent="0.35">
      <c r="A96" s="19"/>
      <c r="E96" s="20"/>
      <c r="G96" s="19"/>
      <c r="H96" s="20"/>
      <c r="L96" s="19"/>
      <c r="M96" s="19"/>
      <c r="N96" s="19"/>
      <c r="X96" s="20"/>
      <c r="Y96" s="20"/>
      <c r="AA96" s="20"/>
      <c r="AB96" s="20"/>
      <c r="AC96" s="21"/>
      <c r="AD96" s="22"/>
      <c r="AE96" s="22"/>
      <c r="AG96" s="22"/>
      <c r="AI96" s="22"/>
      <c r="AK96" s="22"/>
      <c r="AM96" s="22"/>
      <c r="AP96" s="22"/>
      <c r="BC96" s="19"/>
      <c r="BD96" s="20"/>
      <c r="BF96" s="20"/>
      <c r="BK96" s="22"/>
    </row>
    <row r="97" spans="1:63" ht="15" customHeight="1" x14ac:dyDescent="0.35">
      <c r="A97" s="19"/>
      <c r="E97" s="20"/>
      <c r="G97" s="19"/>
      <c r="H97" s="20"/>
      <c r="L97" s="19"/>
      <c r="M97" s="19"/>
      <c r="N97" s="19"/>
      <c r="X97" s="20"/>
      <c r="Y97" s="20"/>
      <c r="AA97" s="20"/>
      <c r="AB97" s="20"/>
      <c r="AC97" s="21"/>
      <c r="AD97" s="22"/>
      <c r="AE97" s="22"/>
      <c r="AG97" s="22"/>
      <c r="AI97" s="22"/>
      <c r="AK97" s="22"/>
      <c r="AM97" s="22"/>
      <c r="AP97" s="22"/>
      <c r="BC97" s="19"/>
      <c r="BD97" s="20"/>
      <c r="BF97" s="20"/>
      <c r="BK97" s="22"/>
    </row>
    <row r="98" spans="1:63" ht="15" customHeight="1" x14ac:dyDescent="0.35">
      <c r="A98" s="19"/>
      <c r="E98" s="20"/>
      <c r="G98" s="19"/>
      <c r="H98" s="20"/>
      <c r="L98" s="19"/>
      <c r="M98" s="19"/>
      <c r="N98" s="19"/>
      <c r="X98" s="20"/>
      <c r="Y98" s="20"/>
      <c r="AA98" s="20"/>
      <c r="AB98" s="20"/>
      <c r="AC98" s="21"/>
      <c r="AD98" s="22"/>
      <c r="AE98" s="22"/>
      <c r="AG98" s="22"/>
      <c r="AI98" s="22"/>
      <c r="AK98" s="22"/>
      <c r="AM98" s="22"/>
      <c r="AP98" s="22"/>
      <c r="BC98" s="19"/>
      <c r="BD98" s="20"/>
      <c r="BF98" s="20"/>
      <c r="BK98" s="22"/>
    </row>
    <row r="99" spans="1:63" ht="15" customHeight="1" x14ac:dyDescent="0.35">
      <c r="A99" s="19"/>
      <c r="E99" s="20"/>
      <c r="G99" s="19"/>
      <c r="H99" s="20"/>
      <c r="L99" s="19"/>
      <c r="M99" s="19"/>
      <c r="N99" s="19"/>
      <c r="X99" s="20"/>
      <c r="Y99" s="20"/>
      <c r="AA99" s="20"/>
      <c r="AB99" s="20"/>
      <c r="AC99" s="21"/>
      <c r="AD99" s="22"/>
      <c r="AE99" s="22"/>
      <c r="AG99" s="22"/>
      <c r="AI99" s="22"/>
      <c r="AK99" s="22"/>
      <c r="AM99" s="22"/>
      <c r="AP99" s="22"/>
      <c r="BC99" s="19"/>
      <c r="BD99" s="20"/>
      <c r="BF99" s="20"/>
      <c r="BK99" s="22"/>
    </row>
    <row r="100" spans="1:63" ht="15" customHeight="1" x14ac:dyDescent="0.35">
      <c r="A100" s="19"/>
      <c r="E100" s="20"/>
      <c r="G100" s="19"/>
      <c r="H100" s="20"/>
      <c r="L100" s="19"/>
      <c r="M100" s="19"/>
      <c r="N100" s="19"/>
      <c r="X100" s="20"/>
      <c r="Y100" s="20"/>
      <c r="AA100" s="20"/>
      <c r="AB100" s="20"/>
      <c r="AC100" s="21"/>
      <c r="AD100" s="22"/>
      <c r="AE100" s="22"/>
      <c r="AG100" s="22"/>
      <c r="AI100" s="22"/>
      <c r="AK100" s="22"/>
      <c r="AM100" s="22"/>
      <c r="AP100" s="22"/>
      <c r="BC100" s="19"/>
      <c r="BD100" s="20"/>
      <c r="BF100" s="20"/>
      <c r="BK100" s="22"/>
    </row>
    <row r="101" spans="1:63" ht="15" customHeight="1" x14ac:dyDescent="0.35">
      <c r="A101" s="19"/>
      <c r="E101" s="20"/>
      <c r="G101" s="19"/>
      <c r="H101" s="20"/>
      <c r="L101" s="19"/>
      <c r="M101" s="19"/>
      <c r="N101" s="19"/>
      <c r="X101" s="20"/>
      <c r="Y101" s="20"/>
      <c r="AA101" s="20"/>
      <c r="AB101" s="20"/>
      <c r="AC101" s="21"/>
      <c r="AD101" s="22"/>
      <c r="AE101" s="22"/>
      <c r="AG101" s="22"/>
      <c r="AI101" s="22"/>
      <c r="AK101" s="22"/>
      <c r="AM101" s="22"/>
      <c r="AP101" s="22"/>
      <c r="BC101" s="19"/>
      <c r="BD101" s="20"/>
      <c r="BF101" s="20"/>
      <c r="BK101" s="22"/>
    </row>
    <row r="102" spans="1:63" ht="15" customHeight="1" x14ac:dyDescent="0.35">
      <c r="A102" s="19"/>
      <c r="E102" s="20"/>
      <c r="G102" s="19"/>
      <c r="H102" s="20"/>
      <c r="L102" s="19"/>
      <c r="M102" s="19"/>
      <c r="N102" s="19"/>
      <c r="X102" s="20"/>
      <c r="Y102" s="20"/>
      <c r="AA102" s="20"/>
      <c r="AB102" s="20"/>
      <c r="AC102" s="21"/>
      <c r="AD102" s="22"/>
      <c r="AE102" s="22"/>
      <c r="AG102" s="22"/>
      <c r="AI102" s="22"/>
      <c r="AK102" s="22"/>
      <c r="AM102" s="22"/>
      <c r="AP102" s="22"/>
      <c r="BC102" s="19"/>
      <c r="BD102" s="20"/>
      <c r="BF102" s="20"/>
      <c r="BK102" s="22"/>
    </row>
    <row r="103" spans="1:63" ht="15" customHeight="1" x14ac:dyDescent="0.35">
      <c r="A103" s="19"/>
      <c r="E103" s="20"/>
      <c r="G103" s="19"/>
      <c r="H103" s="20"/>
      <c r="L103" s="19"/>
      <c r="M103" s="19"/>
      <c r="N103" s="19"/>
      <c r="X103" s="20"/>
      <c r="Y103" s="20"/>
      <c r="AA103" s="20"/>
      <c r="AB103" s="20"/>
      <c r="AC103" s="21"/>
      <c r="AD103" s="22"/>
      <c r="AE103" s="22"/>
      <c r="AG103" s="22"/>
      <c r="AI103" s="22"/>
      <c r="AK103" s="22"/>
      <c r="AM103" s="22"/>
      <c r="AP103" s="22"/>
      <c r="BC103" s="19"/>
      <c r="BD103" s="20"/>
      <c r="BF103" s="20"/>
      <c r="BK103" s="22"/>
    </row>
    <row r="104" spans="1:63" ht="15" customHeight="1" x14ac:dyDescent="0.35">
      <c r="A104" s="19"/>
      <c r="E104" s="20"/>
      <c r="G104" s="19"/>
      <c r="H104" s="20"/>
      <c r="L104" s="19"/>
      <c r="M104" s="19"/>
      <c r="N104" s="19"/>
      <c r="X104" s="20"/>
      <c r="Y104" s="20"/>
      <c r="AA104" s="20"/>
      <c r="AB104" s="20"/>
      <c r="AC104" s="21"/>
      <c r="AD104" s="22"/>
      <c r="AE104" s="22"/>
      <c r="AG104" s="22"/>
      <c r="AI104" s="22"/>
      <c r="AK104" s="22"/>
      <c r="AM104" s="22"/>
      <c r="AP104" s="22"/>
      <c r="BC104" s="19"/>
      <c r="BD104" s="20"/>
      <c r="BF104" s="20"/>
      <c r="BK104" s="22"/>
    </row>
    <row r="105" spans="1:63" ht="15" customHeight="1" x14ac:dyDescent="0.35">
      <c r="A105" s="19"/>
      <c r="E105" s="20"/>
      <c r="G105" s="19"/>
      <c r="H105" s="20"/>
      <c r="L105" s="19"/>
      <c r="M105" s="19"/>
      <c r="N105" s="19"/>
      <c r="X105" s="20"/>
      <c r="Y105" s="20"/>
      <c r="AA105" s="20"/>
      <c r="AB105" s="20"/>
      <c r="AC105" s="21"/>
      <c r="AD105" s="22"/>
      <c r="AE105" s="22"/>
      <c r="AG105" s="22"/>
      <c r="AI105" s="22"/>
      <c r="AK105" s="22"/>
      <c r="AM105" s="22"/>
      <c r="AP105" s="22"/>
      <c r="BC105" s="19"/>
      <c r="BD105" s="20"/>
      <c r="BF105" s="20"/>
      <c r="BK105" s="22"/>
    </row>
    <row r="106" spans="1:63" ht="15" customHeight="1" x14ac:dyDescent="0.35">
      <c r="A106" s="19"/>
      <c r="E106" s="20"/>
      <c r="G106" s="19"/>
      <c r="H106" s="20"/>
      <c r="L106" s="19"/>
      <c r="M106" s="19"/>
      <c r="N106" s="19"/>
      <c r="X106" s="20"/>
      <c r="Y106" s="20"/>
      <c r="AA106" s="20"/>
      <c r="AB106" s="20"/>
      <c r="AC106" s="21"/>
      <c r="AD106" s="22"/>
      <c r="AE106" s="22"/>
      <c r="AG106" s="22"/>
      <c r="AI106" s="22"/>
      <c r="AK106" s="22"/>
      <c r="AM106" s="22"/>
      <c r="AP106" s="22"/>
      <c r="BC106" s="19"/>
      <c r="BD106" s="20"/>
      <c r="BF106" s="20"/>
      <c r="BK106" s="22"/>
    </row>
    <row r="107" spans="1:63" ht="15" customHeight="1" x14ac:dyDescent="0.35">
      <c r="A107" s="19"/>
      <c r="E107" s="20"/>
      <c r="G107" s="19"/>
      <c r="H107" s="20"/>
      <c r="L107" s="19"/>
      <c r="M107" s="19"/>
      <c r="N107" s="19"/>
      <c r="X107" s="20"/>
      <c r="Y107" s="20"/>
      <c r="AA107" s="20"/>
      <c r="AB107" s="20"/>
      <c r="AC107" s="21"/>
      <c r="AD107" s="22"/>
      <c r="AE107" s="22"/>
      <c r="AG107" s="22"/>
      <c r="AI107" s="22"/>
      <c r="AK107" s="22"/>
      <c r="AM107" s="22"/>
      <c r="AP107" s="22"/>
      <c r="BC107" s="19"/>
      <c r="BD107" s="20"/>
      <c r="BF107" s="20"/>
      <c r="BK107" s="22"/>
    </row>
    <row r="108" spans="1:63" ht="15" customHeight="1" x14ac:dyDescent="0.35">
      <c r="A108" s="19"/>
      <c r="E108" s="20"/>
      <c r="G108" s="19"/>
      <c r="H108" s="20"/>
      <c r="L108" s="19"/>
      <c r="M108" s="19"/>
      <c r="N108" s="19"/>
      <c r="X108" s="20"/>
      <c r="Y108" s="20"/>
      <c r="AA108" s="20"/>
      <c r="AB108" s="20"/>
      <c r="AC108" s="21"/>
      <c r="AD108" s="22"/>
      <c r="AE108" s="22"/>
      <c r="AG108" s="22"/>
      <c r="AI108" s="22"/>
      <c r="AK108" s="22"/>
      <c r="AM108" s="22"/>
      <c r="AP108" s="22"/>
      <c r="BC108" s="19"/>
      <c r="BD108" s="20"/>
      <c r="BF108" s="20"/>
      <c r="BK108" s="22"/>
    </row>
    <row r="109" spans="1:63" ht="15" customHeight="1" x14ac:dyDescent="0.35">
      <c r="A109" s="19"/>
      <c r="E109" s="20"/>
      <c r="G109" s="19"/>
      <c r="H109" s="20"/>
      <c r="L109" s="19"/>
      <c r="M109" s="19"/>
      <c r="N109" s="19"/>
      <c r="X109" s="20"/>
      <c r="Y109" s="20"/>
      <c r="AA109" s="20"/>
      <c r="AB109" s="20"/>
      <c r="AC109" s="21"/>
      <c r="AD109" s="22"/>
      <c r="AE109" s="22"/>
      <c r="AG109" s="22"/>
      <c r="AI109" s="22"/>
      <c r="AK109" s="22"/>
      <c r="AM109" s="22"/>
      <c r="AP109" s="22"/>
      <c r="BC109" s="19"/>
      <c r="BD109" s="20"/>
      <c r="BF109" s="20"/>
      <c r="BK109" s="22"/>
    </row>
    <row r="110" spans="1:63" ht="15" customHeight="1" x14ac:dyDescent="0.35">
      <c r="A110" s="19"/>
      <c r="E110" s="20"/>
      <c r="G110" s="19"/>
      <c r="H110" s="20"/>
      <c r="L110" s="19"/>
      <c r="M110" s="19"/>
      <c r="N110" s="19"/>
      <c r="X110" s="20"/>
      <c r="Y110" s="20"/>
      <c r="AA110" s="20"/>
      <c r="AB110" s="20"/>
      <c r="AC110" s="21"/>
      <c r="AD110" s="22"/>
      <c r="AE110" s="22"/>
      <c r="AG110" s="22"/>
      <c r="AI110" s="22"/>
      <c r="AK110" s="22"/>
      <c r="AM110" s="22"/>
      <c r="AP110" s="22"/>
      <c r="BC110" s="19"/>
      <c r="BD110" s="20"/>
      <c r="BF110" s="20"/>
      <c r="BK110" s="22"/>
    </row>
    <row r="111" spans="1:63" ht="15" customHeight="1" x14ac:dyDescent="0.35">
      <c r="A111" s="19"/>
      <c r="E111" s="20"/>
      <c r="G111" s="19"/>
      <c r="H111" s="20"/>
      <c r="L111" s="19"/>
      <c r="M111" s="19"/>
      <c r="N111" s="19"/>
      <c r="X111" s="20"/>
      <c r="Y111" s="20"/>
      <c r="AA111" s="20"/>
      <c r="AB111" s="20"/>
      <c r="AC111" s="21"/>
      <c r="AD111" s="22"/>
      <c r="AE111" s="22"/>
      <c r="AG111" s="22"/>
      <c r="AI111" s="22"/>
      <c r="AK111" s="22"/>
      <c r="AM111" s="22"/>
      <c r="AP111" s="22"/>
      <c r="BC111" s="19"/>
      <c r="BD111" s="20"/>
      <c r="BF111" s="20"/>
      <c r="BK111" s="22"/>
    </row>
    <row r="112" spans="1:63" ht="15" customHeight="1" x14ac:dyDescent="0.35">
      <c r="A112" s="19"/>
      <c r="E112" s="20"/>
      <c r="G112" s="19"/>
      <c r="H112" s="20"/>
      <c r="L112" s="19"/>
      <c r="M112" s="19"/>
      <c r="N112" s="19"/>
      <c r="X112" s="20"/>
      <c r="Y112" s="20"/>
      <c r="AA112" s="20"/>
      <c r="AB112" s="20"/>
      <c r="AC112" s="21"/>
      <c r="AD112" s="22"/>
      <c r="AE112" s="22"/>
      <c r="AG112" s="22"/>
      <c r="AI112" s="22"/>
      <c r="AK112" s="22"/>
      <c r="AM112" s="22"/>
      <c r="AP112" s="22"/>
      <c r="BC112" s="19"/>
      <c r="BD112" s="20"/>
      <c r="BF112" s="20"/>
      <c r="BK112" s="22"/>
    </row>
    <row r="113" spans="1:63" ht="15" customHeight="1" x14ac:dyDescent="0.35">
      <c r="A113" s="19"/>
      <c r="E113" s="20"/>
      <c r="G113" s="19"/>
      <c r="H113" s="20"/>
      <c r="L113" s="19"/>
      <c r="M113" s="19"/>
      <c r="N113" s="19"/>
      <c r="X113" s="20"/>
      <c r="Y113" s="20"/>
      <c r="AA113" s="20"/>
      <c r="AB113" s="20"/>
      <c r="AC113" s="21"/>
      <c r="AD113" s="22"/>
      <c r="AE113" s="22"/>
      <c r="AG113" s="22"/>
      <c r="AI113" s="22"/>
      <c r="AK113" s="22"/>
      <c r="AM113" s="22"/>
      <c r="AP113" s="22"/>
      <c r="BC113" s="19"/>
      <c r="BD113" s="20"/>
      <c r="BF113" s="20"/>
      <c r="BK113" s="22"/>
    </row>
    <row r="114" spans="1:63" ht="15" customHeight="1" x14ac:dyDescent="0.35">
      <c r="A114" s="19"/>
      <c r="E114" s="20"/>
      <c r="G114" s="19"/>
      <c r="H114" s="20"/>
      <c r="L114" s="19"/>
      <c r="M114" s="19"/>
      <c r="N114" s="19"/>
      <c r="X114" s="20"/>
      <c r="Y114" s="20"/>
      <c r="AA114" s="20"/>
      <c r="AB114" s="20"/>
      <c r="AC114" s="21"/>
      <c r="AD114" s="22"/>
      <c r="AE114" s="22"/>
      <c r="AG114" s="22"/>
      <c r="AI114" s="22"/>
      <c r="AK114" s="22"/>
      <c r="AM114" s="22"/>
      <c r="AP114" s="22"/>
      <c r="BC114" s="19"/>
      <c r="BD114" s="20"/>
      <c r="BF114" s="20"/>
      <c r="BK114" s="22"/>
    </row>
    <row r="115" spans="1:63" ht="15" customHeight="1" x14ac:dyDescent="0.35">
      <c r="A115" s="19"/>
      <c r="E115" s="20"/>
      <c r="G115" s="19"/>
      <c r="H115" s="20"/>
      <c r="L115" s="19"/>
      <c r="M115" s="19"/>
      <c r="N115" s="19"/>
      <c r="X115" s="20"/>
      <c r="Y115" s="20"/>
      <c r="AA115" s="20"/>
      <c r="AB115" s="20"/>
      <c r="AC115" s="21"/>
      <c r="AD115" s="22"/>
      <c r="AE115" s="22"/>
      <c r="AG115" s="22"/>
      <c r="AI115" s="22"/>
      <c r="AK115" s="22"/>
      <c r="AM115" s="22"/>
      <c r="AP115" s="22"/>
      <c r="BC115" s="19"/>
      <c r="BD115" s="20"/>
      <c r="BF115" s="20"/>
      <c r="BK115" s="22"/>
    </row>
    <row r="116" spans="1:63" ht="15" customHeight="1" x14ac:dyDescent="0.35">
      <c r="A116" s="19"/>
      <c r="E116" s="20"/>
      <c r="G116" s="19"/>
      <c r="H116" s="20"/>
      <c r="L116" s="19"/>
      <c r="M116" s="19"/>
      <c r="N116" s="19"/>
      <c r="X116" s="20"/>
      <c r="Y116" s="20"/>
      <c r="AA116" s="20"/>
      <c r="AB116" s="20"/>
      <c r="AC116" s="21"/>
      <c r="AD116" s="22"/>
      <c r="AE116" s="22"/>
      <c r="AG116" s="22"/>
      <c r="AI116" s="22"/>
      <c r="AK116" s="22"/>
      <c r="AM116" s="22"/>
      <c r="AP116" s="22"/>
      <c r="BC116" s="19"/>
      <c r="BD116" s="20"/>
      <c r="BF116" s="20"/>
      <c r="BK116" s="22"/>
    </row>
    <row r="117" spans="1:63" ht="15" customHeight="1" x14ac:dyDescent="0.35">
      <c r="A117" s="19"/>
      <c r="E117" s="20"/>
      <c r="G117" s="19"/>
      <c r="H117" s="20"/>
      <c r="L117" s="19"/>
      <c r="M117" s="19"/>
      <c r="N117" s="19"/>
      <c r="X117" s="20"/>
      <c r="Y117" s="20"/>
      <c r="AA117" s="20"/>
      <c r="AB117" s="20"/>
      <c r="AC117" s="21"/>
      <c r="AD117" s="22"/>
      <c r="AE117" s="22"/>
      <c r="AG117" s="22"/>
      <c r="AI117" s="22"/>
      <c r="AK117" s="22"/>
      <c r="AM117" s="22"/>
      <c r="AP117" s="22"/>
      <c r="BC117" s="19"/>
      <c r="BD117" s="20"/>
      <c r="BF117" s="20"/>
      <c r="BK117" s="22"/>
    </row>
    <row r="118" spans="1:63" ht="15" customHeight="1" x14ac:dyDescent="0.35">
      <c r="A118" s="19"/>
      <c r="E118" s="20"/>
      <c r="G118" s="19"/>
      <c r="H118" s="20"/>
      <c r="L118" s="19"/>
      <c r="M118" s="19"/>
      <c r="N118" s="19"/>
      <c r="X118" s="20"/>
      <c r="Y118" s="20"/>
      <c r="AA118" s="20"/>
      <c r="AB118" s="20"/>
      <c r="AC118" s="21"/>
      <c r="AD118" s="22"/>
      <c r="AE118" s="22"/>
      <c r="AG118" s="22"/>
      <c r="AI118" s="22"/>
      <c r="AK118" s="22"/>
      <c r="AM118" s="22"/>
      <c r="AP118" s="22"/>
      <c r="BC118" s="19"/>
      <c r="BD118" s="20"/>
      <c r="BF118" s="20"/>
      <c r="BK118" s="22"/>
    </row>
    <row r="119" spans="1:63" ht="15" customHeight="1" x14ac:dyDescent="0.35">
      <c r="A119" s="19"/>
      <c r="E119" s="20"/>
      <c r="G119" s="19"/>
      <c r="H119" s="20"/>
      <c r="L119" s="19"/>
      <c r="M119" s="19"/>
      <c r="N119" s="19"/>
      <c r="X119" s="20"/>
      <c r="Y119" s="20"/>
      <c r="AA119" s="20"/>
      <c r="AB119" s="20"/>
      <c r="AC119" s="21"/>
      <c r="AD119" s="22"/>
      <c r="AE119" s="22"/>
      <c r="AG119" s="22"/>
      <c r="AI119" s="22"/>
      <c r="AK119" s="22"/>
      <c r="AM119" s="22"/>
      <c r="AP119" s="22"/>
      <c r="BC119" s="19"/>
      <c r="BD119" s="20"/>
      <c r="BF119" s="20"/>
      <c r="BK119" s="22"/>
    </row>
    <row r="120" spans="1:63" ht="15" customHeight="1" x14ac:dyDescent="0.35">
      <c r="A120" s="19"/>
      <c r="E120" s="20"/>
      <c r="G120" s="19"/>
      <c r="H120" s="20"/>
      <c r="L120" s="19"/>
      <c r="M120" s="19"/>
      <c r="N120" s="19"/>
      <c r="X120" s="20"/>
      <c r="Y120" s="20"/>
      <c r="AA120" s="20"/>
      <c r="AB120" s="20"/>
      <c r="AC120" s="21"/>
      <c r="AD120" s="22"/>
      <c r="AE120" s="22"/>
      <c r="AG120" s="22"/>
      <c r="AI120" s="22"/>
      <c r="AK120" s="22"/>
      <c r="AM120" s="22"/>
      <c r="AP120" s="22"/>
      <c r="BC120" s="19"/>
      <c r="BD120" s="20"/>
      <c r="BF120" s="20"/>
      <c r="BK120" s="22"/>
    </row>
    <row r="121" spans="1:63" ht="15" customHeight="1" x14ac:dyDescent="0.35">
      <c r="A121" s="19"/>
      <c r="E121" s="20"/>
      <c r="G121" s="19"/>
      <c r="H121" s="20"/>
      <c r="L121" s="19"/>
      <c r="M121" s="19"/>
      <c r="N121" s="19"/>
      <c r="X121" s="20"/>
      <c r="Y121" s="20"/>
      <c r="AA121" s="20"/>
      <c r="AB121" s="20"/>
      <c r="AC121" s="21"/>
      <c r="AD121" s="22"/>
      <c r="AE121" s="22"/>
      <c r="AG121" s="22"/>
      <c r="AI121" s="22"/>
      <c r="AK121" s="22"/>
      <c r="AM121" s="22"/>
      <c r="AP121" s="22"/>
      <c r="BC121" s="19"/>
      <c r="BD121" s="20"/>
      <c r="BF121" s="20"/>
      <c r="BK121" s="22"/>
    </row>
    <row r="122" spans="1:63" ht="15" customHeight="1" x14ac:dyDescent="0.35">
      <c r="A122" s="19"/>
      <c r="E122" s="20"/>
      <c r="G122" s="19"/>
      <c r="H122" s="20"/>
      <c r="L122" s="19"/>
      <c r="M122" s="19"/>
      <c r="N122" s="19"/>
      <c r="X122" s="20"/>
      <c r="Y122" s="20"/>
      <c r="AA122" s="20"/>
      <c r="AB122" s="20"/>
      <c r="AC122" s="21"/>
      <c r="AD122" s="22"/>
      <c r="AE122" s="22"/>
      <c r="AG122" s="22"/>
      <c r="AI122" s="22"/>
      <c r="AK122" s="22"/>
      <c r="AM122" s="22"/>
      <c r="AP122" s="22"/>
      <c r="BC122" s="19"/>
      <c r="BD122" s="20"/>
      <c r="BF122" s="20"/>
      <c r="BK122" s="22"/>
    </row>
    <row r="123" spans="1:63" ht="15" customHeight="1" x14ac:dyDescent="0.35">
      <c r="A123" s="19"/>
      <c r="E123" s="20"/>
      <c r="G123" s="19"/>
      <c r="H123" s="20"/>
      <c r="L123" s="19"/>
      <c r="M123" s="19"/>
      <c r="N123" s="19"/>
      <c r="X123" s="20"/>
      <c r="Y123" s="20"/>
      <c r="AA123" s="20"/>
      <c r="AB123" s="20"/>
      <c r="AC123" s="21"/>
      <c r="AD123" s="22"/>
      <c r="AE123" s="22"/>
      <c r="AG123" s="22"/>
      <c r="AI123" s="22"/>
      <c r="AK123" s="22"/>
      <c r="AM123" s="22"/>
      <c r="AP123" s="22"/>
      <c r="BC123" s="19"/>
      <c r="BD123" s="20"/>
      <c r="BF123" s="20"/>
      <c r="BK123" s="22"/>
    </row>
    <row r="124" spans="1:63" ht="15" customHeight="1" x14ac:dyDescent="0.35">
      <c r="A124" s="19"/>
      <c r="E124" s="20"/>
      <c r="G124" s="19"/>
      <c r="H124" s="20"/>
      <c r="L124" s="19"/>
      <c r="M124" s="19"/>
      <c r="N124" s="19"/>
      <c r="X124" s="20"/>
      <c r="Y124" s="20"/>
      <c r="AA124" s="20"/>
      <c r="AB124" s="20"/>
      <c r="AC124" s="21"/>
      <c r="AD124" s="22"/>
      <c r="AE124" s="22"/>
      <c r="AG124" s="22"/>
      <c r="AI124" s="22"/>
      <c r="AK124" s="22"/>
      <c r="AM124" s="22"/>
      <c r="AP124" s="22"/>
      <c r="BC124" s="19"/>
      <c r="BD124" s="20"/>
      <c r="BF124" s="20"/>
      <c r="BK124" s="22"/>
    </row>
    <row r="125" spans="1:63" ht="15" customHeight="1" x14ac:dyDescent="0.35">
      <c r="A125" s="19"/>
      <c r="E125" s="20"/>
      <c r="G125" s="19"/>
      <c r="H125" s="20"/>
      <c r="L125" s="19"/>
      <c r="M125" s="19"/>
      <c r="N125" s="19"/>
      <c r="X125" s="20"/>
      <c r="Y125" s="20"/>
      <c r="AA125" s="20"/>
      <c r="AB125" s="20"/>
      <c r="AC125" s="21"/>
      <c r="AD125" s="22"/>
      <c r="AE125" s="22"/>
      <c r="AG125" s="22"/>
      <c r="AI125" s="22"/>
      <c r="AK125" s="22"/>
      <c r="AM125" s="22"/>
      <c r="AP125" s="22"/>
      <c r="BC125" s="19"/>
      <c r="BD125" s="20"/>
      <c r="BF125" s="20"/>
      <c r="BK125" s="22"/>
    </row>
    <row r="126" spans="1:63" ht="15" customHeight="1" x14ac:dyDescent="0.35">
      <c r="A126" s="19"/>
      <c r="E126" s="20"/>
      <c r="G126" s="19"/>
      <c r="H126" s="20"/>
      <c r="L126" s="19"/>
      <c r="M126" s="19"/>
      <c r="N126" s="19"/>
      <c r="X126" s="20"/>
      <c r="Y126" s="20"/>
      <c r="AA126" s="20"/>
      <c r="AB126" s="20"/>
      <c r="AC126" s="21"/>
      <c r="AD126" s="22"/>
      <c r="AE126" s="22"/>
      <c r="AG126" s="22"/>
      <c r="AI126" s="22"/>
      <c r="AK126" s="22"/>
      <c r="AM126" s="22"/>
      <c r="AP126" s="22"/>
      <c r="BC126" s="19"/>
      <c r="BD126" s="20"/>
      <c r="BF126" s="20"/>
      <c r="BK126" s="22"/>
    </row>
    <row r="127" spans="1:63" ht="15" customHeight="1" x14ac:dyDescent="0.35">
      <c r="A127" s="19"/>
      <c r="E127" s="20"/>
      <c r="G127" s="19"/>
      <c r="H127" s="20"/>
      <c r="L127" s="19"/>
      <c r="M127" s="19"/>
      <c r="N127" s="19"/>
      <c r="X127" s="20"/>
      <c r="Y127" s="20"/>
      <c r="AA127" s="20"/>
      <c r="AB127" s="20"/>
      <c r="AC127" s="21"/>
      <c r="AD127" s="22"/>
      <c r="AE127" s="22"/>
      <c r="AG127" s="22"/>
      <c r="AI127" s="22"/>
      <c r="AK127" s="22"/>
      <c r="AM127" s="22"/>
      <c r="AP127" s="22"/>
      <c r="BC127" s="19"/>
      <c r="BD127" s="20"/>
      <c r="BF127" s="20"/>
      <c r="BK127" s="22"/>
    </row>
    <row r="128" spans="1:63" ht="15" customHeight="1" x14ac:dyDescent="0.35">
      <c r="A128" s="19"/>
      <c r="E128" s="20"/>
      <c r="G128" s="19"/>
      <c r="H128" s="20"/>
      <c r="L128" s="19"/>
      <c r="M128" s="19"/>
      <c r="N128" s="19"/>
      <c r="X128" s="20"/>
      <c r="Y128" s="20"/>
      <c r="AA128" s="20"/>
      <c r="AB128" s="20"/>
      <c r="AC128" s="21"/>
      <c r="AD128" s="22"/>
      <c r="AE128" s="22"/>
      <c r="AG128" s="22"/>
      <c r="AI128" s="22"/>
      <c r="AK128" s="22"/>
      <c r="AM128" s="22"/>
      <c r="AP128" s="22"/>
      <c r="BC128" s="19"/>
      <c r="BD128" s="20"/>
      <c r="BF128" s="20"/>
      <c r="BK128" s="22"/>
    </row>
    <row r="129" spans="1:63" ht="15" customHeight="1" x14ac:dyDescent="0.35">
      <c r="A129" s="19"/>
      <c r="E129" s="20"/>
      <c r="G129" s="19"/>
      <c r="H129" s="20"/>
      <c r="L129" s="19"/>
      <c r="M129" s="19"/>
      <c r="N129" s="19"/>
      <c r="X129" s="20"/>
      <c r="Y129" s="20"/>
      <c r="AA129" s="20"/>
      <c r="AB129" s="20"/>
      <c r="AC129" s="21"/>
      <c r="AD129" s="22"/>
      <c r="AE129" s="22"/>
      <c r="AG129" s="22"/>
      <c r="AI129" s="22"/>
      <c r="AK129" s="22"/>
      <c r="AM129" s="22"/>
      <c r="AP129" s="22"/>
      <c r="BC129" s="19"/>
      <c r="BD129" s="20"/>
      <c r="BF129" s="20"/>
      <c r="BK129" s="22"/>
    </row>
    <row r="130" spans="1:63" ht="15" customHeight="1" x14ac:dyDescent="0.35">
      <c r="A130" s="19"/>
      <c r="E130" s="20"/>
      <c r="G130" s="19"/>
      <c r="H130" s="20"/>
      <c r="L130" s="19"/>
      <c r="M130" s="19"/>
      <c r="N130" s="19"/>
      <c r="X130" s="20"/>
      <c r="Y130" s="20"/>
      <c r="AA130" s="20"/>
      <c r="AB130" s="20"/>
      <c r="AC130" s="21"/>
      <c r="AD130" s="22"/>
      <c r="AE130" s="22"/>
      <c r="AG130" s="22"/>
      <c r="AI130" s="22"/>
      <c r="AK130" s="22"/>
      <c r="AM130" s="22"/>
      <c r="AP130" s="22"/>
      <c r="BC130" s="19"/>
      <c r="BD130" s="20"/>
      <c r="BF130" s="20"/>
      <c r="BK130" s="22"/>
    </row>
    <row r="131" spans="1:63" ht="15" customHeight="1" x14ac:dyDescent="0.35">
      <c r="A131" s="19"/>
      <c r="E131" s="20"/>
      <c r="G131" s="19"/>
      <c r="H131" s="20"/>
      <c r="L131" s="19"/>
      <c r="M131" s="19"/>
      <c r="N131" s="19"/>
      <c r="X131" s="20"/>
      <c r="Y131" s="20"/>
      <c r="AA131" s="20"/>
      <c r="AB131" s="20"/>
      <c r="AC131" s="21"/>
      <c r="AD131" s="22"/>
      <c r="AE131" s="22"/>
      <c r="AG131" s="22"/>
      <c r="AI131" s="22"/>
      <c r="AK131" s="22"/>
      <c r="AM131" s="22"/>
      <c r="AP131" s="22"/>
      <c r="BC131" s="19"/>
      <c r="BD131" s="20"/>
      <c r="BF131" s="20"/>
      <c r="BK131" s="22"/>
    </row>
    <row r="132" spans="1:63" ht="15" customHeight="1" x14ac:dyDescent="0.35">
      <c r="A132" s="19"/>
      <c r="E132" s="20"/>
      <c r="G132" s="19"/>
      <c r="H132" s="20"/>
      <c r="L132" s="19"/>
      <c r="M132" s="19"/>
      <c r="N132" s="19"/>
      <c r="X132" s="20"/>
      <c r="Y132" s="20"/>
      <c r="AA132" s="20"/>
      <c r="AB132" s="20"/>
      <c r="AC132" s="21"/>
      <c r="AD132" s="22"/>
      <c r="AE132" s="22"/>
      <c r="AG132" s="22"/>
      <c r="AI132" s="22"/>
      <c r="AK132" s="22"/>
      <c r="AM132" s="22"/>
      <c r="AP132" s="22"/>
      <c r="BC132" s="19"/>
      <c r="BD132" s="20"/>
      <c r="BF132" s="20"/>
      <c r="BK132" s="22"/>
    </row>
    <row r="133" spans="1:63" ht="15" customHeight="1" x14ac:dyDescent="0.35">
      <c r="A133" s="19"/>
      <c r="E133" s="20"/>
      <c r="G133" s="19"/>
      <c r="H133" s="20"/>
      <c r="L133" s="19"/>
      <c r="M133" s="19"/>
      <c r="N133" s="19"/>
      <c r="X133" s="20"/>
      <c r="Y133" s="20"/>
      <c r="AA133" s="20"/>
      <c r="AB133" s="20"/>
      <c r="AC133" s="21"/>
      <c r="AD133" s="22"/>
      <c r="AE133" s="22"/>
      <c r="AG133" s="22"/>
      <c r="AI133" s="22"/>
      <c r="AK133" s="22"/>
      <c r="AM133" s="22"/>
      <c r="AP133" s="22"/>
      <c r="BC133" s="19"/>
      <c r="BD133" s="20"/>
      <c r="BF133" s="20"/>
      <c r="BK133" s="22"/>
    </row>
    <row r="134" spans="1:63" ht="15" customHeight="1" x14ac:dyDescent="0.35">
      <c r="A134" s="19"/>
      <c r="E134" s="20"/>
      <c r="G134" s="19"/>
      <c r="H134" s="20"/>
      <c r="L134" s="19"/>
      <c r="M134" s="19"/>
      <c r="N134" s="19"/>
      <c r="X134" s="20"/>
      <c r="Y134" s="20"/>
      <c r="AA134" s="20"/>
      <c r="AB134" s="20"/>
      <c r="AC134" s="21"/>
      <c r="AD134" s="22"/>
      <c r="AE134" s="22"/>
      <c r="AG134" s="22"/>
      <c r="AI134" s="22"/>
      <c r="AK134" s="22"/>
      <c r="AM134" s="22"/>
      <c r="AP134" s="22"/>
      <c r="BC134" s="19"/>
      <c r="BD134" s="20"/>
      <c r="BF134" s="20"/>
      <c r="BK134" s="22"/>
    </row>
    <row r="135" spans="1:63" ht="15" customHeight="1" x14ac:dyDescent="0.35">
      <c r="A135" s="19"/>
      <c r="E135" s="20"/>
      <c r="G135" s="19"/>
      <c r="H135" s="20"/>
      <c r="L135" s="19"/>
      <c r="M135" s="19"/>
      <c r="N135" s="19"/>
      <c r="X135" s="20"/>
      <c r="Y135" s="20"/>
      <c r="AA135" s="20"/>
      <c r="AB135" s="20"/>
      <c r="AC135" s="21"/>
      <c r="AD135" s="22"/>
      <c r="AE135" s="22"/>
      <c r="AG135" s="22"/>
      <c r="AI135" s="22"/>
      <c r="AK135" s="22"/>
      <c r="AM135" s="22"/>
      <c r="AP135" s="22"/>
      <c r="BC135" s="19"/>
      <c r="BD135" s="20"/>
      <c r="BF135" s="20"/>
      <c r="BK135" s="22"/>
    </row>
    <row r="136" spans="1:63" ht="15" customHeight="1" x14ac:dyDescent="0.35">
      <c r="A136" s="19"/>
      <c r="E136" s="20"/>
      <c r="G136" s="19"/>
      <c r="H136" s="20"/>
      <c r="L136" s="19"/>
      <c r="M136" s="19"/>
      <c r="N136" s="19"/>
      <c r="X136" s="20"/>
      <c r="Y136" s="20"/>
      <c r="AA136" s="20"/>
      <c r="AB136" s="20"/>
      <c r="AC136" s="21"/>
      <c r="AD136" s="22"/>
      <c r="AE136" s="22"/>
      <c r="AG136" s="22"/>
      <c r="AI136" s="22"/>
      <c r="AK136" s="22"/>
      <c r="AM136" s="22"/>
      <c r="AP136" s="22"/>
      <c r="BC136" s="19"/>
      <c r="BD136" s="20"/>
      <c r="BF136" s="20"/>
      <c r="BK136" s="22"/>
    </row>
    <row r="137" spans="1:63" ht="15" customHeight="1" x14ac:dyDescent="0.35">
      <c r="A137" s="19"/>
      <c r="E137" s="20"/>
      <c r="G137" s="19"/>
      <c r="H137" s="20"/>
      <c r="L137" s="19"/>
      <c r="M137" s="19"/>
      <c r="N137" s="19"/>
      <c r="X137" s="20"/>
      <c r="Y137" s="20"/>
      <c r="AA137" s="20"/>
      <c r="AB137" s="20"/>
      <c r="AC137" s="21"/>
      <c r="AD137" s="22"/>
      <c r="AE137" s="22"/>
      <c r="AG137" s="22"/>
      <c r="AI137" s="22"/>
      <c r="AK137" s="22"/>
      <c r="AM137" s="22"/>
      <c r="AP137" s="22"/>
      <c r="BC137" s="19"/>
      <c r="BD137" s="20"/>
      <c r="BF137" s="20"/>
      <c r="BK137" s="22"/>
    </row>
    <row r="138" spans="1:63" ht="15" customHeight="1" x14ac:dyDescent="0.35">
      <c r="A138" s="19"/>
      <c r="E138" s="20"/>
      <c r="G138" s="19"/>
      <c r="H138" s="20"/>
      <c r="L138" s="19"/>
      <c r="M138" s="19"/>
      <c r="N138" s="19"/>
      <c r="X138" s="20"/>
      <c r="Y138" s="20"/>
      <c r="AA138" s="20"/>
      <c r="AB138" s="20"/>
      <c r="AC138" s="21"/>
      <c r="AD138" s="22"/>
      <c r="AE138" s="22"/>
      <c r="AG138" s="22"/>
      <c r="AI138" s="22"/>
      <c r="AK138" s="22"/>
      <c r="AM138" s="22"/>
      <c r="AP138" s="22"/>
      <c r="BC138" s="19"/>
      <c r="BD138" s="20"/>
      <c r="BF138" s="20"/>
      <c r="BK138" s="22"/>
    </row>
    <row r="139" spans="1:63" ht="15" customHeight="1" x14ac:dyDescent="0.35">
      <c r="A139" s="19"/>
      <c r="E139" s="20"/>
      <c r="G139" s="19"/>
      <c r="H139" s="20"/>
      <c r="L139" s="19"/>
      <c r="M139" s="19"/>
      <c r="N139" s="19"/>
      <c r="X139" s="20"/>
      <c r="Y139" s="20"/>
      <c r="AA139" s="20"/>
      <c r="AB139" s="20"/>
      <c r="AC139" s="21"/>
      <c r="AD139" s="22"/>
      <c r="AE139" s="22"/>
      <c r="AG139" s="22"/>
      <c r="AI139" s="22"/>
      <c r="AK139" s="22"/>
      <c r="AM139" s="22"/>
      <c r="AP139" s="22"/>
      <c r="BC139" s="19"/>
      <c r="BD139" s="20"/>
      <c r="BF139" s="20"/>
      <c r="BK139" s="22"/>
    </row>
    <row r="140" spans="1:63" ht="15" customHeight="1" x14ac:dyDescent="0.35">
      <c r="A140" s="19"/>
      <c r="E140" s="20"/>
      <c r="G140" s="19"/>
      <c r="H140" s="20"/>
      <c r="L140" s="19"/>
      <c r="M140" s="19"/>
      <c r="N140" s="19"/>
      <c r="X140" s="20"/>
      <c r="Y140" s="20"/>
      <c r="AA140" s="20"/>
      <c r="AB140" s="20"/>
      <c r="AC140" s="21"/>
      <c r="AD140" s="22"/>
      <c r="AE140" s="22"/>
      <c r="AG140" s="22"/>
      <c r="AI140" s="22"/>
      <c r="AK140" s="22"/>
      <c r="AM140" s="22"/>
      <c r="AP140" s="22"/>
      <c r="BC140" s="19"/>
      <c r="BD140" s="20"/>
      <c r="BF140" s="20"/>
      <c r="BK140" s="22"/>
    </row>
    <row r="141" spans="1:63" ht="15" customHeight="1" x14ac:dyDescent="0.35">
      <c r="A141" s="19"/>
      <c r="E141" s="20"/>
      <c r="G141" s="19"/>
      <c r="H141" s="20"/>
      <c r="L141" s="19"/>
      <c r="M141" s="19"/>
      <c r="N141" s="19"/>
      <c r="X141" s="20"/>
      <c r="Y141" s="20"/>
      <c r="AA141" s="20"/>
      <c r="AB141" s="20"/>
      <c r="AC141" s="21"/>
      <c r="AD141" s="22"/>
      <c r="AE141" s="22"/>
      <c r="AG141" s="22"/>
      <c r="AI141" s="22"/>
      <c r="AK141" s="22"/>
      <c r="AM141" s="22"/>
      <c r="AP141" s="22"/>
      <c r="BC141" s="19"/>
      <c r="BD141" s="20"/>
      <c r="BF141" s="20"/>
      <c r="BK141" s="22"/>
    </row>
    <row r="142" spans="1:63" ht="15" customHeight="1" x14ac:dyDescent="0.35">
      <c r="A142" s="19"/>
      <c r="E142" s="20"/>
      <c r="G142" s="19"/>
      <c r="H142" s="20"/>
      <c r="L142" s="19"/>
      <c r="M142" s="19"/>
      <c r="N142" s="19"/>
      <c r="X142" s="20"/>
      <c r="Y142" s="20"/>
      <c r="AA142" s="20"/>
      <c r="AB142" s="20"/>
      <c r="AC142" s="21"/>
      <c r="AD142" s="22"/>
      <c r="AE142" s="22"/>
      <c r="AG142" s="22"/>
      <c r="AI142" s="22"/>
      <c r="AK142" s="22"/>
      <c r="AM142" s="22"/>
      <c r="AP142" s="22"/>
      <c r="BC142" s="19"/>
      <c r="BD142" s="20"/>
      <c r="BF142" s="20"/>
      <c r="BK142" s="22"/>
    </row>
    <row r="143" spans="1:63" ht="15" customHeight="1" x14ac:dyDescent="0.35">
      <c r="A143" s="19"/>
      <c r="E143" s="20"/>
      <c r="G143" s="19"/>
      <c r="H143" s="20"/>
      <c r="L143" s="19"/>
      <c r="M143" s="19"/>
      <c r="N143" s="19"/>
      <c r="X143" s="20"/>
      <c r="Y143" s="20"/>
      <c r="AA143" s="20"/>
      <c r="AB143" s="20"/>
      <c r="AC143" s="21"/>
      <c r="AD143" s="22"/>
      <c r="AE143" s="22"/>
      <c r="AG143" s="22"/>
      <c r="AI143" s="22"/>
      <c r="AK143" s="22"/>
      <c r="AM143" s="22"/>
      <c r="AP143" s="22"/>
      <c r="BC143" s="19"/>
      <c r="BD143" s="20"/>
      <c r="BF143" s="20"/>
      <c r="BK143" s="22"/>
    </row>
    <row r="144" spans="1:63" ht="15" customHeight="1" x14ac:dyDescent="0.35">
      <c r="A144" s="19"/>
      <c r="E144" s="20"/>
      <c r="G144" s="19"/>
      <c r="H144" s="20"/>
      <c r="L144" s="19"/>
      <c r="M144" s="19"/>
      <c r="N144" s="19"/>
      <c r="X144" s="20"/>
      <c r="Y144" s="20"/>
      <c r="AA144" s="20"/>
      <c r="AB144" s="20"/>
      <c r="AC144" s="21"/>
      <c r="AD144" s="22"/>
      <c r="AE144" s="22"/>
      <c r="AG144" s="22"/>
      <c r="AI144" s="22"/>
      <c r="AK144" s="22"/>
      <c r="AM144" s="22"/>
      <c r="AP144" s="22"/>
      <c r="BC144" s="19"/>
      <c r="BD144" s="20"/>
      <c r="BF144" s="20"/>
      <c r="BK144" s="22"/>
    </row>
    <row r="145" spans="1:63" ht="15" customHeight="1" x14ac:dyDescent="0.35">
      <c r="A145" s="19"/>
      <c r="E145" s="20"/>
      <c r="G145" s="19"/>
      <c r="H145" s="20"/>
      <c r="L145" s="19"/>
      <c r="M145" s="19"/>
      <c r="N145" s="19"/>
      <c r="X145" s="20"/>
      <c r="Y145" s="20"/>
      <c r="AA145" s="20"/>
      <c r="AB145" s="20"/>
      <c r="AC145" s="21"/>
      <c r="AD145" s="22"/>
      <c r="AE145" s="22"/>
      <c r="AG145" s="22"/>
      <c r="AI145" s="22"/>
      <c r="AK145" s="22"/>
      <c r="AM145" s="22"/>
      <c r="AP145" s="22"/>
      <c r="BC145" s="19"/>
      <c r="BD145" s="20"/>
      <c r="BF145" s="20"/>
      <c r="BK145" s="22"/>
    </row>
    <row r="146" spans="1:63" ht="15" customHeight="1" x14ac:dyDescent="0.35">
      <c r="A146" s="19"/>
      <c r="E146" s="20"/>
      <c r="G146" s="19"/>
      <c r="H146" s="20"/>
      <c r="L146" s="19"/>
      <c r="M146" s="19"/>
      <c r="N146" s="19"/>
      <c r="X146" s="20"/>
      <c r="Y146" s="20"/>
      <c r="AA146" s="20"/>
      <c r="AB146" s="20"/>
      <c r="AC146" s="21"/>
      <c r="AD146" s="22"/>
      <c r="AE146" s="22"/>
      <c r="AG146" s="22"/>
      <c r="AI146" s="22"/>
      <c r="AK146" s="22"/>
      <c r="AM146" s="22"/>
      <c r="AP146" s="22"/>
      <c r="BC146" s="19"/>
      <c r="BD146" s="20"/>
      <c r="BF146" s="20"/>
      <c r="BK146" s="22"/>
    </row>
    <row r="147" spans="1:63" ht="15" customHeight="1" x14ac:dyDescent="0.35">
      <c r="A147" s="19"/>
      <c r="E147" s="20"/>
      <c r="G147" s="19"/>
      <c r="H147" s="20"/>
      <c r="L147" s="19"/>
      <c r="M147" s="19"/>
      <c r="N147" s="19"/>
      <c r="X147" s="20"/>
      <c r="Y147" s="20"/>
      <c r="AA147" s="20"/>
      <c r="AB147" s="20"/>
      <c r="AC147" s="21"/>
      <c r="AD147" s="22"/>
      <c r="AE147" s="22"/>
      <c r="AG147" s="22"/>
      <c r="AI147" s="22"/>
      <c r="AK147" s="22"/>
      <c r="AM147" s="22"/>
      <c r="AP147" s="22"/>
      <c r="BC147" s="19"/>
      <c r="BD147" s="20"/>
      <c r="BF147" s="20"/>
      <c r="BK147" s="22"/>
    </row>
    <row r="148" spans="1:63" ht="15" customHeight="1" x14ac:dyDescent="0.35">
      <c r="A148" s="19"/>
      <c r="E148" s="20"/>
      <c r="G148" s="19"/>
      <c r="H148" s="20"/>
      <c r="L148" s="19"/>
      <c r="M148" s="19"/>
      <c r="N148" s="19"/>
      <c r="X148" s="20"/>
      <c r="Y148" s="20"/>
      <c r="AA148" s="20"/>
      <c r="AB148" s="20"/>
      <c r="AC148" s="21"/>
      <c r="AD148" s="22"/>
      <c r="AE148" s="22"/>
      <c r="AG148" s="22"/>
      <c r="AI148" s="22"/>
      <c r="AK148" s="22"/>
      <c r="AM148" s="22"/>
      <c r="AP148" s="22"/>
      <c r="BC148" s="19"/>
      <c r="BD148" s="20"/>
      <c r="BF148" s="20"/>
      <c r="BK148" s="22"/>
    </row>
    <row r="149" spans="1:63" ht="15" customHeight="1" x14ac:dyDescent="0.35">
      <c r="A149" s="19"/>
      <c r="E149" s="20"/>
      <c r="G149" s="19"/>
      <c r="H149" s="20"/>
      <c r="L149" s="19"/>
      <c r="M149" s="19"/>
      <c r="N149" s="19"/>
      <c r="X149" s="20"/>
      <c r="Y149" s="20"/>
      <c r="AA149" s="20"/>
      <c r="AB149" s="20"/>
      <c r="AC149" s="21"/>
      <c r="AD149" s="22"/>
      <c r="AE149" s="22"/>
      <c r="AG149" s="22"/>
      <c r="AI149" s="22"/>
      <c r="AK149" s="22"/>
      <c r="AM149" s="22"/>
      <c r="AP149" s="22"/>
      <c r="BC149" s="19"/>
      <c r="BD149" s="20"/>
      <c r="BF149" s="20"/>
      <c r="BK149" s="22"/>
    </row>
    <row r="150" spans="1:63" ht="15" customHeight="1" x14ac:dyDescent="0.35">
      <c r="A150" s="19"/>
      <c r="E150" s="20"/>
      <c r="G150" s="19"/>
      <c r="H150" s="20"/>
      <c r="L150" s="19"/>
      <c r="M150" s="19"/>
      <c r="N150" s="19"/>
      <c r="X150" s="20"/>
      <c r="Y150" s="20"/>
      <c r="AA150" s="20"/>
      <c r="AB150" s="20"/>
      <c r="AC150" s="21"/>
      <c r="AD150" s="22"/>
      <c r="AE150" s="22"/>
      <c r="AG150" s="22"/>
      <c r="AI150" s="22"/>
      <c r="AK150" s="22"/>
      <c r="AM150" s="22"/>
      <c r="AP150" s="22"/>
      <c r="BC150" s="19"/>
      <c r="BD150" s="20"/>
      <c r="BF150" s="20"/>
      <c r="BK150" s="22"/>
    </row>
    <row r="151" spans="1:63" ht="15" customHeight="1" x14ac:dyDescent="0.35">
      <c r="A151" s="19"/>
      <c r="E151" s="20"/>
      <c r="G151" s="19"/>
      <c r="H151" s="20"/>
      <c r="L151" s="19"/>
      <c r="M151" s="19"/>
      <c r="N151" s="19"/>
      <c r="X151" s="20"/>
      <c r="Y151" s="20"/>
      <c r="AA151" s="20"/>
      <c r="AB151" s="20"/>
      <c r="AC151" s="21"/>
      <c r="AD151" s="22"/>
      <c r="AE151" s="22"/>
      <c r="AG151" s="22"/>
      <c r="AI151" s="22"/>
      <c r="AK151" s="22"/>
      <c r="AM151" s="22"/>
      <c r="AP151" s="22"/>
      <c r="BC151" s="19"/>
      <c r="BD151" s="20"/>
      <c r="BF151" s="20"/>
      <c r="BK151" s="22"/>
    </row>
    <row r="152" spans="1:63" ht="15" customHeight="1" x14ac:dyDescent="0.35">
      <c r="A152" s="19"/>
      <c r="E152" s="20"/>
      <c r="G152" s="19"/>
      <c r="H152" s="20"/>
      <c r="L152" s="19"/>
      <c r="M152" s="19"/>
      <c r="N152" s="19"/>
      <c r="X152" s="20"/>
      <c r="Y152" s="20"/>
      <c r="AA152" s="20"/>
      <c r="AB152" s="20"/>
      <c r="AC152" s="21"/>
      <c r="AD152" s="22"/>
      <c r="AE152" s="22"/>
      <c r="AG152" s="22"/>
      <c r="AI152" s="22"/>
      <c r="AK152" s="22"/>
      <c r="AM152" s="22"/>
      <c r="AP152" s="22"/>
      <c r="BC152" s="19"/>
      <c r="BD152" s="20"/>
      <c r="BF152" s="20"/>
      <c r="BK152" s="22"/>
    </row>
    <row r="153" spans="1:63" ht="15" customHeight="1" x14ac:dyDescent="0.35">
      <c r="A153" s="19"/>
      <c r="E153" s="20"/>
      <c r="G153" s="19"/>
      <c r="H153" s="20"/>
      <c r="L153" s="19"/>
      <c r="M153" s="19"/>
      <c r="N153" s="19"/>
      <c r="X153" s="20"/>
      <c r="Y153" s="20"/>
      <c r="AA153" s="20"/>
      <c r="AB153" s="20"/>
      <c r="AC153" s="21"/>
      <c r="AD153" s="22"/>
      <c r="AE153" s="22"/>
      <c r="AG153" s="22"/>
      <c r="AI153" s="22"/>
      <c r="AK153" s="22"/>
      <c r="AM153" s="22"/>
      <c r="AP153" s="22"/>
      <c r="BC153" s="19"/>
      <c r="BD153" s="20"/>
      <c r="BF153" s="20"/>
      <c r="BK153" s="22"/>
    </row>
    <row r="154" spans="1:63" ht="15" customHeight="1" x14ac:dyDescent="0.35">
      <c r="A154" s="19"/>
      <c r="E154" s="20"/>
      <c r="G154" s="19"/>
      <c r="H154" s="20"/>
      <c r="L154" s="19"/>
      <c r="M154" s="19"/>
      <c r="N154" s="19"/>
      <c r="X154" s="20"/>
      <c r="Y154" s="20"/>
      <c r="AA154" s="20"/>
      <c r="AB154" s="20"/>
      <c r="AC154" s="21"/>
      <c r="AD154" s="22"/>
      <c r="AE154" s="22"/>
      <c r="AG154" s="22"/>
      <c r="AI154" s="22"/>
      <c r="AK154" s="22"/>
      <c r="AM154" s="22"/>
      <c r="AP154" s="22"/>
      <c r="BC154" s="19"/>
      <c r="BD154" s="20"/>
      <c r="BF154" s="20"/>
      <c r="BK154" s="22"/>
    </row>
    <row r="155" spans="1:63" ht="15" customHeight="1" x14ac:dyDescent="0.35">
      <c r="A155" s="19"/>
      <c r="E155" s="20"/>
      <c r="G155" s="19"/>
      <c r="H155" s="20"/>
      <c r="L155" s="19"/>
      <c r="M155" s="19"/>
      <c r="N155" s="19"/>
      <c r="X155" s="20"/>
      <c r="Y155" s="20"/>
      <c r="AA155" s="20"/>
      <c r="AB155" s="20"/>
      <c r="AC155" s="21"/>
      <c r="AD155" s="22"/>
      <c r="AE155" s="22"/>
      <c r="AG155" s="22"/>
      <c r="AI155" s="22"/>
      <c r="AK155" s="22"/>
      <c r="AM155" s="22"/>
      <c r="AP155" s="22"/>
      <c r="BC155" s="19"/>
      <c r="BD155" s="20"/>
      <c r="BF155" s="20"/>
      <c r="BK155" s="22"/>
    </row>
    <row r="156" spans="1:63" ht="15" customHeight="1" x14ac:dyDescent="0.35">
      <c r="A156" s="19"/>
      <c r="E156" s="20"/>
      <c r="G156" s="19"/>
      <c r="H156" s="20"/>
      <c r="L156" s="19"/>
      <c r="M156" s="19"/>
      <c r="N156" s="19"/>
      <c r="X156" s="20"/>
      <c r="Y156" s="20"/>
      <c r="AA156" s="20"/>
      <c r="AB156" s="20"/>
      <c r="AC156" s="21"/>
      <c r="AD156" s="22"/>
      <c r="AE156" s="22"/>
      <c r="AG156" s="22"/>
      <c r="AI156" s="22"/>
      <c r="AK156" s="22"/>
      <c r="AM156" s="22"/>
      <c r="AP156" s="22"/>
      <c r="BC156" s="19"/>
      <c r="BD156" s="20"/>
      <c r="BF156" s="20"/>
      <c r="BK156" s="22"/>
    </row>
    <row r="157" spans="1:63" ht="15" customHeight="1" x14ac:dyDescent="0.35">
      <c r="A157" s="19"/>
      <c r="E157" s="20"/>
      <c r="G157" s="19"/>
      <c r="H157" s="20"/>
      <c r="L157" s="19"/>
      <c r="M157" s="19"/>
      <c r="N157" s="19"/>
      <c r="X157" s="20"/>
      <c r="Y157" s="20"/>
      <c r="AA157" s="20"/>
      <c r="AB157" s="20"/>
      <c r="AC157" s="21"/>
      <c r="AD157" s="22"/>
      <c r="AE157" s="22"/>
      <c r="AG157" s="22"/>
      <c r="AI157" s="22"/>
      <c r="AK157" s="22"/>
      <c r="AM157" s="22"/>
      <c r="AP157" s="22"/>
      <c r="BC157" s="19"/>
      <c r="BD157" s="20"/>
      <c r="BF157" s="20"/>
      <c r="BK157" s="22"/>
    </row>
    <row r="158" spans="1:63" ht="15" customHeight="1" x14ac:dyDescent="0.35">
      <c r="A158" s="19"/>
      <c r="E158" s="20"/>
      <c r="G158" s="19"/>
      <c r="H158" s="20"/>
      <c r="L158" s="19"/>
      <c r="M158" s="19"/>
      <c r="N158" s="19"/>
      <c r="X158" s="20"/>
      <c r="Y158" s="20"/>
      <c r="AA158" s="20"/>
      <c r="AB158" s="20"/>
      <c r="AC158" s="21"/>
      <c r="AD158" s="22"/>
      <c r="AE158" s="22"/>
      <c r="AG158" s="22"/>
      <c r="AI158" s="22"/>
      <c r="AK158" s="22"/>
      <c r="AM158" s="22"/>
      <c r="AP158" s="22"/>
      <c r="BC158" s="19"/>
      <c r="BD158" s="20"/>
      <c r="BF158" s="20"/>
      <c r="BK158" s="22"/>
    </row>
    <row r="159" spans="1:63" ht="15" customHeight="1" x14ac:dyDescent="0.35">
      <c r="A159" s="19"/>
      <c r="E159" s="20"/>
      <c r="G159" s="19"/>
      <c r="H159" s="20"/>
      <c r="L159" s="19"/>
      <c r="M159" s="19"/>
      <c r="N159" s="19"/>
      <c r="X159" s="20"/>
      <c r="Y159" s="20"/>
      <c r="AA159" s="20"/>
      <c r="AB159" s="20"/>
      <c r="AC159" s="21"/>
      <c r="AD159" s="22"/>
      <c r="AE159" s="22"/>
      <c r="AG159" s="22"/>
      <c r="AI159" s="22"/>
      <c r="AK159" s="22"/>
      <c r="AM159" s="22"/>
      <c r="AP159" s="22"/>
      <c r="BC159" s="19"/>
      <c r="BD159" s="20"/>
      <c r="BF159" s="20"/>
      <c r="BK159" s="22"/>
    </row>
    <row r="160" spans="1:63" ht="15" customHeight="1" x14ac:dyDescent="0.35">
      <c r="A160" s="19"/>
      <c r="E160" s="20"/>
      <c r="G160" s="19"/>
      <c r="H160" s="20"/>
      <c r="L160" s="19"/>
      <c r="M160" s="19"/>
      <c r="N160" s="19"/>
      <c r="X160" s="20"/>
      <c r="Y160" s="20"/>
      <c r="AA160" s="20"/>
      <c r="AB160" s="20"/>
      <c r="AC160" s="21"/>
      <c r="AD160" s="22"/>
      <c r="AE160" s="22"/>
      <c r="AG160" s="22"/>
      <c r="AI160" s="22"/>
      <c r="AK160" s="22"/>
      <c r="AM160" s="22"/>
      <c r="AP160" s="22"/>
      <c r="BC160" s="19"/>
      <c r="BD160" s="20"/>
      <c r="BF160" s="20"/>
      <c r="BK160" s="22"/>
    </row>
    <row r="161" spans="1:63" ht="15" customHeight="1" x14ac:dyDescent="0.35">
      <c r="A161" s="19"/>
      <c r="E161" s="20"/>
      <c r="G161" s="19"/>
      <c r="H161" s="20"/>
      <c r="L161" s="19"/>
      <c r="M161" s="19"/>
      <c r="N161" s="19"/>
      <c r="X161" s="20"/>
      <c r="Y161" s="20"/>
      <c r="AA161" s="20"/>
      <c r="AB161" s="20"/>
      <c r="AC161" s="21"/>
      <c r="AD161" s="22"/>
      <c r="AE161" s="22"/>
      <c r="AG161" s="22"/>
      <c r="AI161" s="22"/>
      <c r="AK161" s="22"/>
      <c r="AM161" s="22"/>
      <c r="AP161" s="22"/>
      <c r="BC161" s="19"/>
      <c r="BD161" s="20"/>
      <c r="BF161" s="20"/>
      <c r="BK161" s="22"/>
    </row>
    <row r="162" spans="1:63" ht="15" customHeight="1" x14ac:dyDescent="0.35">
      <c r="A162" s="19"/>
      <c r="E162" s="20"/>
      <c r="G162" s="19"/>
      <c r="H162" s="20"/>
      <c r="L162" s="19"/>
      <c r="M162" s="19"/>
      <c r="N162" s="19"/>
      <c r="X162" s="20"/>
      <c r="Y162" s="20"/>
      <c r="AA162" s="20"/>
      <c r="AB162" s="20"/>
      <c r="AC162" s="21"/>
      <c r="AD162" s="22"/>
      <c r="AE162" s="22"/>
      <c r="AG162" s="22"/>
      <c r="AI162" s="22"/>
      <c r="AK162" s="22"/>
      <c r="AM162" s="22"/>
      <c r="AP162" s="22"/>
      <c r="BC162" s="19"/>
      <c r="BD162" s="20"/>
      <c r="BF162" s="20"/>
      <c r="BK162" s="22"/>
    </row>
    <row r="163" spans="1:63" ht="15" customHeight="1" x14ac:dyDescent="0.35">
      <c r="A163" s="19"/>
      <c r="E163" s="20"/>
      <c r="G163" s="19"/>
      <c r="H163" s="20"/>
      <c r="L163" s="19"/>
      <c r="M163" s="19"/>
      <c r="N163" s="19"/>
      <c r="X163" s="20"/>
      <c r="Y163" s="20"/>
      <c r="AA163" s="20"/>
      <c r="AB163" s="20"/>
      <c r="AC163" s="21"/>
      <c r="AD163" s="22"/>
      <c r="AE163" s="22"/>
      <c r="AG163" s="22"/>
      <c r="AI163" s="22"/>
      <c r="AK163" s="22"/>
      <c r="AM163" s="22"/>
      <c r="AP163" s="22"/>
      <c r="BC163" s="19"/>
      <c r="BD163" s="20"/>
      <c r="BF163" s="20"/>
      <c r="BK163" s="22"/>
    </row>
    <row r="164" spans="1:63" ht="15" customHeight="1" x14ac:dyDescent="0.35">
      <c r="A164" s="19"/>
      <c r="E164" s="20"/>
      <c r="G164" s="19"/>
      <c r="H164" s="20"/>
      <c r="L164" s="19"/>
      <c r="M164" s="19"/>
      <c r="N164" s="19"/>
      <c r="X164" s="20"/>
      <c r="Y164" s="20"/>
      <c r="AA164" s="20"/>
      <c r="AB164" s="20"/>
      <c r="AC164" s="21"/>
      <c r="AD164" s="22"/>
      <c r="AE164" s="22"/>
      <c r="AG164" s="22"/>
      <c r="AI164" s="22"/>
      <c r="AK164" s="22"/>
      <c r="AM164" s="22"/>
      <c r="AP164" s="22"/>
      <c r="BC164" s="19"/>
      <c r="BD164" s="20"/>
      <c r="BF164" s="20"/>
      <c r="BK164" s="22"/>
    </row>
    <row r="165" spans="1:63" ht="15" customHeight="1" x14ac:dyDescent="0.35">
      <c r="A165" s="19"/>
      <c r="E165" s="20"/>
      <c r="G165" s="19"/>
      <c r="H165" s="20"/>
      <c r="L165" s="19"/>
      <c r="M165" s="19"/>
      <c r="N165" s="19"/>
      <c r="X165" s="20"/>
      <c r="Y165" s="20"/>
      <c r="AA165" s="20"/>
      <c r="AB165" s="20"/>
      <c r="AC165" s="21"/>
      <c r="AD165" s="22"/>
      <c r="AE165" s="22"/>
      <c r="AG165" s="22"/>
      <c r="AI165" s="22"/>
      <c r="AK165" s="22"/>
      <c r="AM165" s="22"/>
      <c r="AP165" s="22"/>
      <c r="BC165" s="19"/>
      <c r="BD165" s="20"/>
      <c r="BF165" s="20"/>
      <c r="BK165" s="22"/>
    </row>
    <row r="166" spans="1:63" ht="15" customHeight="1" x14ac:dyDescent="0.35">
      <c r="A166" s="19"/>
      <c r="E166" s="20"/>
      <c r="G166" s="19"/>
      <c r="H166" s="20"/>
      <c r="L166" s="19"/>
      <c r="M166" s="19"/>
      <c r="N166" s="19"/>
      <c r="X166" s="20"/>
      <c r="Y166" s="20"/>
      <c r="AA166" s="20"/>
      <c r="AB166" s="20"/>
      <c r="AC166" s="21"/>
      <c r="AD166" s="22"/>
      <c r="AE166" s="22"/>
      <c r="AG166" s="22"/>
      <c r="AI166" s="22"/>
      <c r="AK166" s="22"/>
      <c r="AM166" s="22"/>
      <c r="AP166" s="22"/>
      <c r="BC166" s="19"/>
      <c r="BD166" s="20"/>
      <c r="BF166" s="20"/>
      <c r="BK166" s="22"/>
    </row>
    <row r="167" spans="1:63" ht="15" customHeight="1" x14ac:dyDescent="0.35">
      <c r="A167" s="19"/>
      <c r="E167" s="20"/>
      <c r="G167" s="19"/>
      <c r="H167" s="20"/>
      <c r="L167" s="19"/>
      <c r="M167" s="19"/>
      <c r="N167" s="19"/>
      <c r="X167" s="20"/>
      <c r="Y167" s="20"/>
      <c r="AA167" s="20"/>
      <c r="AB167" s="20"/>
      <c r="AC167" s="21"/>
      <c r="AD167" s="22"/>
      <c r="AE167" s="22"/>
      <c r="AG167" s="22"/>
      <c r="AI167" s="22"/>
      <c r="AK167" s="22"/>
      <c r="AM167" s="22"/>
      <c r="AP167" s="22"/>
      <c r="BC167" s="19"/>
      <c r="BD167" s="20"/>
      <c r="BF167" s="20"/>
      <c r="BK167" s="22"/>
    </row>
    <row r="168" spans="1:63" ht="15" customHeight="1" x14ac:dyDescent="0.35">
      <c r="A168" s="19"/>
      <c r="E168" s="20"/>
      <c r="G168" s="19"/>
      <c r="H168" s="20"/>
      <c r="L168" s="19"/>
      <c r="M168" s="19"/>
      <c r="N168" s="19"/>
      <c r="X168" s="20"/>
      <c r="Y168" s="20"/>
      <c r="AA168" s="20"/>
      <c r="AB168" s="20"/>
      <c r="AC168" s="21"/>
      <c r="AD168" s="22"/>
      <c r="AE168" s="22"/>
      <c r="AG168" s="22"/>
      <c r="AI168" s="22"/>
      <c r="AK168" s="22"/>
      <c r="AM168" s="22"/>
      <c r="AP168" s="22"/>
      <c r="BC168" s="19"/>
      <c r="BD168" s="20"/>
      <c r="BF168" s="20"/>
      <c r="BK168" s="22"/>
    </row>
    <row r="169" spans="1:63" ht="15" customHeight="1" x14ac:dyDescent="0.35">
      <c r="A169" s="19"/>
      <c r="E169" s="20"/>
      <c r="G169" s="19"/>
      <c r="H169" s="20"/>
      <c r="L169" s="19"/>
      <c r="M169" s="19"/>
      <c r="N169" s="19"/>
      <c r="X169" s="20"/>
      <c r="Y169" s="20"/>
      <c r="AA169" s="20"/>
      <c r="AB169" s="20"/>
      <c r="AC169" s="21"/>
      <c r="AD169" s="22"/>
      <c r="AE169" s="22"/>
      <c r="AG169" s="22"/>
      <c r="AI169" s="22"/>
      <c r="AK169" s="22"/>
      <c r="AM169" s="22"/>
      <c r="AP169" s="22"/>
      <c r="BC169" s="19"/>
      <c r="BD169" s="20"/>
      <c r="BF169" s="20"/>
      <c r="BK169" s="22"/>
    </row>
    <row r="170" spans="1:63" ht="15" customHeight="1" x14ac:dyDescent="0.35">
      <c r="A170" s="19"/>
      <c r="E170" s="20"/>
      <c r="G170" s="19"/>
      <c r="H170" s="20"/>
      <c r="L170" s="19"/>
      <c r="M170" s="19"/>
      <c r="N170" s="19"/>
      <c r="X170" s="20"/>
      <c r="Y170" s="20"/>
      <c r="AA170" s="20"/>
      <c r="AB170" s="20"/>
      <c r="AC170" s="21"/>
      <c r="AD170" s="22"/>
      <c r="AE170" s="22"/>
      <c r="AG170" s="22"/>
      <c r="AI170" s="22"/>
      <c r="AK170" s="22"/>
      <c r="AM170" s="22"/>
      <c r="AP170" s="22"/>
      <c r="BC170" s="19"/>
      <c r="BD170" s="20"/>
      <c r="BF170" s="20"/>
      <c r="BK170" s="22"/>
    </row>
    <row r="171" spans="1:63" ht="15" customHeight="1" x14ac:dyDescent="0.35">
      <c r="A171" s="19"/>
      <c r="E171" s="20"/>
      <c r="G171" s="19"/>
      <c r="H171" s="20"/>
      <c r="L171" s="19"/>
      <c r="M171" s="19"/>
      <c r="N171" s="19"/>
      <c r="X171" s="20"/>
      <c r="Y171" s="20"/>
      <c r="AA171" s="20"/>
      <c r="AB171" s="20"/>
      <c r="AC171" s="21"/>
      <c r="AD171" s="22"/>
      <c r="AE171" s="22"/>
      <c r="AG171" s="22"/>
      <c r="AI171" s="22"/>
      <c r="AK171" s="22"/>
      <c r="AM171" s="22"/>
      <c r="AP171" s="22"/>
      <c r="BC171" s="19"/>
      <c r="BD171" s="20"/>
      <c r="BF171" s="20"/>
      <c r="BK171" s="22"/>
    </row>
    <row r="172" spans="1:63" ht="15" customHeight="1" x14ac:dyDescent="0.35">
      <c r="A172" s="19"/>
      <c r="E172" s="20"/>
      <c r="G172" s="19"/>
      <c r="H172" s="20"/>
      <c r="L172" s="19"/>
      <c r="M172" s="19"/>
      <c r="N172" s="19"/>
      <c r="X172" s="20"/>
      <c r="Y172" s="20"/>
      <c r="AA172" s="20"/>
      <c r="AB172" s="20"/>
      <c r="AC172" s="21"/>
      <c r="AD172" s="22"/>
      <c r="AE172" s="22"/>
      <c r="AG172" s="22"/>
      <c r="AI172" s="22"/>
      <c r="AK172" s="22"/>
      <c r="AM172" s="22"/>
      <c r="AP172" s="22"/>
      <c r="BC172" s="19"/>
      <c r="BD172" s="20"/>
      <c r="BF172" s="20"/>
      <c r="BK172" s="22"/>
    </row>
    <row r="173" spans="1:63" ht="15" customHeight="1" x14ac:dyDescent="0.35">
      <c r="A173" s="19"/>
      <c r="E173" s="20"/>
      <c r="G173" s="19"/>
      <c r="H173" s="20"/>
      <c r="L173" s="19"/>
      <c r="M173" s="19"/>
      <c r="N173" s="19"/>
      <c r="X173" s="20"/>
      <c r="Y173" s="20"/>
      <c r="AA173" s="20"/>
      <c r="AB173" s="20"/>
      <c r="AC173" s="21"/>
      <c r="AD173" s="22"/>
      <c r="AE173" s="22"/>
      <c r="AG173" s="22"/>
      <c r="AI173" s="22"/>
      <c r="AK173" s="22"/>
      <c r="AM173" s="22"/>
      <c r="AP173" s="22"/>
      <c r="BC173" s="19"/>
      <c r="BD173" s="20"/>
      <c r="BF173" s="20"/>
      <c r="BK173" s="22"/>
    </row>
    <row r="174" spans="1:63" ht="15" customHeight="1" x14ac:dyDescent="0.35">
      <c r="A174" s="19"/>
      <c r="E174" s="20"/>
      <c r="G174" s="19"/>
      <c r="H174" s="20"/>
      <c r="L174" s="19"/>
      <c r="M174" s="19"/>
      <c r="N174" s="19"/>
      <c r="X174" s="20"/>
      <c r="Y174" s="20"/>
      <c r="AA174" s="20"/>
      <c r="AB174" s="20"/>
      <c r="AC174" s="21"/>
      <c r="AD174" s="22"/>
      <c r="AE174" s="22"/>
      <c r="AG174" s="22"/>
      <c r="AI174" s="22"/>
      <c r="AK174" s="22"/>
      <c r="AM174" s="22"/>
      <c r="AP174" s="22"/>
      <c r="BC174" s="19"/>
      <c r="BD174" s="20"/>
      <c r="BF174" s="20"/>
      <c r="BK174" s="22"/>
    </row>
    <row r="175" spans="1:63" ht="15" customHeight="1" x14ac:dyDescent="0.35">
      <c r="A175" s="19"/>
      <c r="E175" s="20"/>
      <c r="G175" s="19"/>
      <c r="H175" s="20"/>
      <c r="L175" s="19"/>
      <c r="M175" s="19"/>
      <c r="N175" s="19"/>
      <c r="X175" s="20"/>
      <c r="Y175" s="20"/>
      <c r="AA175" s="20"/>
      <c r="AB175" s="20"/>
      <c r="AC175" s="21"/>
      <c r="AD175" s="22"/>
      <c r="AE175" s="22"/>
      <c r="AG175" s="22"/>
      <c r="AI175" s="22"/>
      <c r="AK175" s="22"/>
      <c r="AM175" s="22"/>
      <c r="AP175" s="22"/>
      <c r="BC175" s="19"/>
      <c r="BD175" s="20"/>
      <c r="BF175" s="20"/>
      <c r="BK175" s="22"/>
    </row>
    <row r="176" spans="1:63" ht="15" customHeight="1" x14ac:dyDescent="0.35">
      <c r="A176" s="19"/>
      <c r="E176" s="20"/>
      <c r="G176" s="19"/>
      <c r="H176" s="20"/>
      <c r="L176" s="19"/>
      <c r="M176" s="19"/>
      <c r="N176" s="19"/>
      <c r="X176" s="20"/>
      <c r="Y176" s="20"/>
      <c r="AA176" s="20"/>
      <c r="AB176" s="20"/>
      <c r="AC176" s="21"/>
      <c r="AD176" s="22"/>
      <c r="AE176" s="22"/>
      <c r="AG176" s="22"/>
      <c r="AI176" s="22"/>
      <c r="AK176" s="22"/>
      <c r="AM176" s="22"/>
      <c r="AP176" s="22"/>
      <c r="BC176" s="19"/>
      <c r="BD176" s="20"/>
      <c r="BF176" s="20"/>
      <c r="BK176" s="22"/>
    </row>
    <row r="177" spans="1:63" ht="15" customHeight="1" x14ac:dyDescent="0.35">
      <c r="A177" s="19"/>
      <c r="E177" s="20"/>
      <c r="G177" s="19"/>
      <c r="H177" s="20"/>
      <c r="L177" s="19"/>
      <c r="M177" s="19"/>
      <c r="N177" s="19"/>
      <c r="X177" s="20"/>
      <c r="Y177" s="20"/>
      <c r="AA177" s="20"/>
      <c r="AB177" s="20"/>
      <c r="AC177" s="21"/>
      <c r="AD177" s="22"/>
      <c r="AE177" s="22"/>
      <c r="AG177" s="22"/>
      <c r="AI177" s="22"/>
      <c r="AK177" s="22"/>
      <c r="AM177" s="22"/>
      <c r="AP177" s="22"/>
      <c r="BC177" s="19"/>
      <c r="BD177" s="20"/>
      <c r="BF177" s="20"/>
      <c r="BK177" s="22"/>
    </row>
    <row r="178" spans="1:63" ht="15" customHeight="1" x14ac:dyDescent="0.35">
      <c r="A178" s="19"/>
      <c r="E178" s="20"/>
      <c r="G178" s="19"/>
      <c r="H178" s="20"/>
      <c r="L178" s="19"/>
      <c r="M178" s="19"/>
      <c r="N178" s="19"/>
      <c r="X178" s="20"/>
      <c r="Y178" s="20"/>
      <c r="AA178" s="20"/>
      <c r="AB178" s="20"/>
      <c r="AC178" s="21"/>
      <c r="AD178" s="22"/>
      <c r="AE178" s="22"/>
      <c r="AG178" s="22"/>
      <c r="AI178" s="22"/>
      <c r="AK178" s="22"/>
      <c r="AM178" s="22"/>
      <c r="AP178" s="22"/>
      <c r="BC178" s="19"/>
      <c r="BD178" s="20"/>
      <c r="BF178" s="20"/>
      <c r="BK178" s="22"/>
    </row>
    <row r="179" spans="1:63" ht="15" customHeight="1" x14ac:dyDescent="0.35">
      <c r="A179" s="19"/>
      <c r="E179" s="20"/>
      <c r="G179" s="19"/>
      <c r="H179" s="20"/>
      <c r="L179" s="19"/>
      <c r="M179" s="19"/>
      <c r="N179" s="19"/>
      <c r="X179" s="20"/>
      <c r="Y179" s="20"/>
      <c r="AA179" s="20"/>
      <c r="AB179" s="20"/>
      <c r="AC179" s="21"/>
      <c r="AD179" s="22"/>
      <c r="AE179" s="22"/>
      <c r="AG179" s="22"/>
      <c r="AI179" s="22"/>
      <c r="AK179" s="22"/>
      <c r="AM179" s="22"/>
      <c r="AP179" s="22"/>
      <c r="BC179" s="19"/>
      <c r="BD179" s="20"/>
      <c r="BF179" s="20"/>
      <c r="BK179" s="22"/>
    </row>
    <row r="180" spans="1:63" ht="15" customHeight="1" x14ac:dyDescent="0.35">
      <c r="A180" s="19"/>
      <c r="E180" s="20"/>
      <c r="G180" s="19"/>
      <c r="H180" s="20"/>
      <c r="L180" s="19"/>
      <c r="M180" s="19"/>
      <c r="N180" s="19"/>
      <c r="X180" s="20"/>
      <c r="Y180" s="20"/>
      <c r="AA180" s="20"/>
      <c r="AB180" s="20"/>
      <c r="AC180" s="21"/>
      <c r="AD180" s="22"/>
      <c r="AE180" s="22"/>
      <c r="AG180" s="22"/>
      <c r="AI180" s="22"/>
      <c r="AK180" s="22"/>
      <c r="AM180" s="22"/>
      <c r="AP180" s="22"/>
      <c r="BC180" s="19"/>
      <c r="BD180" s="20"/>
      <c r="BF180" s="20"/>
      <c r="BK180" s="22"/>
    </row>
    <row r="181" spans="1:63" ht="15" customHeight="1" x14ac:dyDescent="0.35">
      <c r="A181" s="19"/>
      <c r="E181" s="20"/>
      <c r="G181" s="19"/>
      <c r="H181" s="20"/>
      <c r="L181" s="19"/>
      <c r="M181" s="19"/>
      <c r="N181" s="19"/>
      <c r="X181" s="20"/>
      <c r="Y181" s="20"/>
      <c r="AA181" s="20"/>
      <c r="AB181" s="20"/>
      <c r="AC181" s="21"/>
      <c r="AD181" s="22"/>
      <c r="AE181" s="22"/>
      <c r="AG181" s="22"/>
      <c r="AI181" s="22"/>
      <c r="AK181" s="22"/>
      <c r="AM181" s="22"/>
      <c r="AP181" s="22"/>
      <c r="BC181" s="19"/>
      <c r="BD181" s="20"/>
      <c r="BF181" s="20"/>
      <c r="BK181" s="22"/>
    </row>
    <row r="182" spans="1:63" ht="15" customHeight="1" x14ac:dyDescent="0.35">
      <c r="A182" s="19"/>
      <c r="E182" s="20"/>
      <c r="G182" s="19"/>
      <c r="H182" s="20"/>
      <c r="L182" s="19"/>
      <c r="M182" s="19"/>
      <c r="N182" s="19"/>
      <c r="X182" s="20"/>
      <c r="Y182" s="20"/>
      <c r="AA182" s="20"/>
      <c r="AB182" s="20"/>
      <c r="AC182" s="21"/>
      <c r="AD182" s="22"/>
      <c r="AE182" s="22"/>
      <c r="AG182" s="22"/>
      <c r="AI182" s="22"/>
      <c r="AK182" s="22"/>
      <c r="AM182" s="22"/>
      <c r="AP182" s="22"/>
      <c r="BC182" s="19"/>
      <c r="BD182" s="20"/>
      <c r="BF182" s="20"/>
      <c r="BK182" s="22"/>
    </row>
    <row r="183" spans="1:63" ht="15" customHeight="1" x14ac:dyDescent="0.35">
      <c r="A183" s="19"/>
      <c r="E183" s="20"/>
      <c r="G183" s="19"/>
      <c r="H183" s="20"/>
      <c r="L183" s="19"/>
      <c r="M183" s="19"/>
      <c r="N183" s="19"/>
      <c r="X183" s="20"/>
      <c r="Y183" s="20"/>
      <c r="AA183" s="20"/>
      <c r="AB183" s="20"/>
      <c r="AC183" s="21"/>
      <c r="AD183" s="22"/>
      <c r="AE183" s="22"/>
      <c r="AG183" s="22"/>
      <c r="AI183" s="22"/>
      <c r="AK183" s="22"/>
      <c r="AM183" s="22"/>
      <c r="AP183" s="22"/>
      <c r="BC183" s="19"/>
      <c r="BD183" s="20"/>
      <c r="BF183" s="20"/>
      <c r="BK183" s="22"/>
    </row>
    <row r="184" spans="1:63" ht="15" customHeight="1" x14ac:dyDescent="0.35">
      <c r="A184" s="19"/>
      <c r="E184" s="20"/>
      <c r="G184" s="19"/>
      <c r="H184" s="20"/>
      <c r="L184" s="19"/>
      <c r="M184" s="19"/>
      <c r="N184" s="19"/>
      <c r="X184" s="20"/>
      <c r="Y184" s="20"/>
      <c r="AA184" s="20"/>
      <c r="AB184" s="20"/>
      <c r="AC184" s="21"/>
      <c r="AD184" s="22"/>
      <c r="AE184" s="22"/>
      <c r="AG184" s="22"/>
      <c r="AI184" s="22"/>
      <c r="AK184" s="22"/>
      <c r="AM184" s="22"/>
      <c r="AP184" s="22"/>
      <c r="BC184" s="19"/>
      <c r="BD184" s="20"/>
      <c r="BF184" s="20"/>
      <c r="BK184" s="22"/>
    </row>
    <row r="185" spans="1:63" ht="15" customHeight="1" x14ac:dyDescent="0.35">
      <c r="A185" s="19"/>
      <c r="E185" s="20"/>
      <c r="G185" s="19"/>
      <c r="H185" s="20"/>
      <c r="L185" s="19"/>
      <c r="M185" s="19"/>
      <c r="N185" s="19"/>
      <c r="X185" s="20"/>
      <c r="Y185" s="20"/>
      <c r="AA185" s="20"/>
      <c r="AB185" s="20"/>
      <c r="AC185" s="21"/>
      <c r="AD185" s="22"/>
      <c r="AE185" s="22"/>
      <c r="AG185" s="22"/>
      <c r="AI185" s="22"/>
      <c r="AK185" s="22"/>
      <c r="AM185" s="22"/>
      <c r="AP185" s="22"/>
      <c r="BC185" s="19"/>
      <c r="BD185" s="20"/>
      <c r="BF185" s="20"/>
      <c r="BK185" s="22"/>
    </row>
    <row r="186" spans="1:63" ht="15" customHeight="1" x14ac:dyDescent="0.35">
      <c r="A186" s="19"/>
      <c r="E186" s="20"/>
      <c r="G186" s="19"/>
      <c r="H186" s="20"/>
      <c r="L186" s="19"/>
      <c r="M186" s="19"/>
      <c r="N186" s="19"/>
      <c r="X186" s="20"/>
      <c r="Y186" s="20"/>
      <c r="AA186" s="20"/>
      <c r="AB186" s="20"/>
      <c r="AC186" s="21"/>
      <c r="AD186" s="22"/>
      <c r="AE186" s="22"/>
      <c r="AG186" s="22"/>
      <c r="AI186" s="22"/>
      <c r="AK186" s="22"/>
      <c r="AM186" s="22"/>
      <c r="AP186" s="22"/>
      <c r="BC186" s="19"/>
      <c r="BD186" s="20"/>
      <c r="BF186" s="20"/>
      <c r="BK186" s="22"/>
    </row>
    <row r="187" spans="1:63" ht="15" customHeight="1" x14ac:dyDescent="0.35">
      <c r="A187" s="19"/>
      <c r="E187" s="20"/>
      <c r="G187" s="19"/>
      <c r="H187" s="20"/>
      <c r="L187" s="19"/>
      <c r="M187" s="19"/>
      <c r="N187" s="19"/>
      <c r="X187" s="20"/>
      <c r="Y187" s="20"/>
      <c r="AA187" s="20"/>
      <c r="AB187" s="20"/>
      <c r="AC187" s="21"/>
      <c r="AD187" s="22"/>
      <c r="AE187" s="22"/>
      <c r="AG187" s="22"/>
      <c r="AI187" s="22"/>
      <c r="AK187" s="22"/>
      <c r="AM187" s="22"/>
      <c r="AP187" s="22"/>
      <c r="BC187" s="19"/>
      <c r="BD187" s="20"/>
      <c r="BF187" s="20"/>
      <c r="BK187" s="22"/>
    </row>
    <row r="188" spans="1:63" ht="15" customHeight="1" x14ac:dyDescent="0.35">
      <c r="A188" s="19"/>
      <c r="E188" s="20"/>
      <c r="G188" s="19"/>
      <c r="H188" s="20"/>
      <c r="L188" s="19"/>
      <c r="M188" s="19"/>
      <c r="N188" s="19"/>
      <c r="X188" s="20"/>
      <c r="Y188" s="20"/>
      <c r="AA188" s="20"/>
      <c r="AB188" s="20"/>
      <c r="AC188" s="21"/>
      <c r="AD188" s="22"/>
      <c r="AE188" s="22"/>
      <c r="AG188" s="22"/>
      <c r="AI188" s="22"/>
      <c r="AK188" s="22"/>
      <c r="AM188" s="22"/>
      <c r="AP188" s="22"/>
      <c r="BC188" s="19"/>
      <c r="BD188" s="20"/>
      <c r="BF188" s="20"/>
      <c r="BK188" s="22"/>
    </row>
    <row r="189" spans="1:63" ht="15" customHeight="1" x14ac:dyDescent="0.35">
      <c r="A189" s="19"/>
      <c r="E189" s="20"/>
      <c r="G189" s="19"/>
      <c r="H189" s="20"/>
      <c r="L189" s="19"/>
      <c r="M189" s="19"/>
      <c r="N189" s="19"/>
      <c r="X189" s="20"/>
      <c r="Y189" s="20"/>
      <c r="AA189" s="20"/>
      <c r="AB189" s="20"/>
      <c r="AC189" s="21"/>
      <c r="AD189" s="22"/>
      <c r="AE189" s="22"/>
      <c r="AG189" s="22"/>
      <c r="AI189" s="22"/>
      <c r="AK189" s="22"/>
      <c r="AM189" s="22"/>
      <c r="AP189" s="22"/>
      <c r="BC189" s="19"/>
      <c r="BD189" s="20"/>
      <c r="BF189" s="20"/>
      <c r="BK189" s="22"/>
    </row>
    <row r="190" spans="1:63" ht="15" customHeight="1" x14ac:dyDescent="0.35">
      <c r="A190" s="19"/>
      <c r="E190" s="20"/>
      <c r="G190" s="19"/>
      <c r="H190" s="20"/>
      <c r="L190" s="19"/>
      <c r="M190" s="19"/>
      <c r="N190" s="19"/>
      <c r="X190" s="20"/>
      <c r="Y190" s="20"/>
      <c r="AA190" s="20"/>
      <c r="AB190" s="20"/>
      <c r="AC190" s="21"/>
      <c r="AD190" s="22"/>
      <c r="AE190" s="22"/>
      <c r="AG190" s="22"/>
      <c r="AI190" s="22"/>
      <c r="AK190" s="22"/>
      <c r="AM190" s="22"/>
      <c r="AP190" s="22"/>
      <c r="BC190" s="19"/>
      <c r="BD190" s="20"/>
      <c r="BF190" s="20"/>
      <c r="BK190" s="22"/>
    </row>
    <row r="191" spans="1:63" ht="15" customHeight="1" x14ac:dyDescent="0.35">
      <c r="A191" s="19"/>
      <c r="E191" s="20"/>
      <c r="G191" s="19"/>
      <c r="H191" s="20"/>
      <c r="L191" s="19"/>
      <c r="M191" s="19"/>
      <c r="N191" s="19"/>
      <c r="X191" s="20"/>
      <c r="Y191" s="20"/>
      <c r="AA191" s="20"/>
      <c r="AB191" s="20"/>
      <c r="AC191" s="21"/>
      <c r="AD191" s="22"/>
      <c r="AE191" s="22"/>
      <c r="AG191" s="22"/>
      <c r="AI191" s="22"/>
      <c r="AK191" s="22"/>
      <c r="AM191" s="22"/>
      <c r="AP191" s="22"/>
      <c r="BC191" s="19"/>
      <c r="BD191" s="20"/>
      <c r="BF191" s="20"/>
      <c r="BK191" s="22"/>
    </row>
    <row r="192" spans="1:63" ht="15" customHeight="1" x14ac:dyDescent="0.35">
      <c r="A192" s="19"/>
      <c r="E192" s="20"/>
      <c r="G192" s="19"/>
      <c r="H192" s="20"/>
      <c r="L192" s="19"/>
      <c r="M192" s="19"/>
      <c r="N192" s="19"/>
      <c r="X192" s="20"/>
      <c r="Y192" s="20"/>
      <c r="AA192" s="20"/>
      <c r="AB192" s="20"/>
      <c r="AC192" s="21"/>
      <c r="AD192" s="22"/>
      <c r="AE192" s="22"/>
      <c r="AG192" s="22"/>
      <c r="AI192" s="22"/>
      <c r="AK192" s="22"/>
      <c r="AM192" s="22"/>
      <c r="AP192" s="22"/>
      <c r="BC192" s="19"/>
      <c r="BD192" s="20"/>
      <c r="BF192" s="20"/>
      <c r="BK192" s="22"/>
    </row>
    <row r="193" spans="1:63" ht="15" customHeight="1" x14ac:dyDescent="0.35">
      <c r="A193" s="19"/>
      <c r="E193" s="20"/>
      <c r="G193" s="19"/>
      <c r="H193" s="20"/>
      <c r="L193" s="19"/>
      <c r="M193" s="19"/>
      <c r="N193" s="19"/>
      <c r="X193" s="20"/>
      <c r="Y193" s="20"/>
      <c r="AA193" s="20"/>
      <c r="AB193" s="20"/>
      <c r="AC193" s="21"/>
      <c r="AD193" s="22"/>
      <c r="AE193" s="22"/>
      <c r="AG193" s="22"/>
      <c r="AI193" s="22"/>
      <c r="AK193" s="22"/>
      <c r="AM193" s="22"/>
      <c r="AP193" s="22"/>
      <c r="BC193" s="19"/>
      <c r="BD193" s="20"/>
      <c r="BF193" s="20"/>
      <c r="BK193" s="22"/>
    </row>
    <row r="194" spans="1:63" ht="15" customHeight="1" x14ac:dyDescent="0.35">
      <c r="A194" s="19"/>
      <c r="E194" s="20"/>
      <c r="G194" s="19"/>
      <c r="H194" s="20"/>
      <c r="L194" s="19"/>
      <c r="M194" s="19"/>
      <c r="N194" s="19"/>
      <c r="X194" s="20"/>
      <c r="Y194" s="20"/>
      <c r="AA194" s="20"/>
      <c r="AB194" s="20"/>
      <c r="AC194" s="21"/>
      <c r="AD194" s="22"/>
      <c r="AE194" s="22"/>
      <c r="AG194" s="22"/>
      <c r="AI194" s="22"/>
      <c r="AK194" s="22"/>
      <c r="AM194" s="22"/>
      <c r="AP194" s="22"/>
      <c r="BC194" s="19"/>
      <c r="BD194" s="20"/>
      <c r="BF194" s="20"/>
      <c r="BK194" s="22"/>
    </row>
    <row r="195" spans="1:63" ht="15" customHeight="1" x14ac:dyDescent="0.35">
      <c r="A195" s="19"/>
      <c r="E195" s="20"/>
      <c r="G195" s="19"/>
      <c r="H195" s="20"/>
      <c r="L195" s="19"/>
      <c r="M195" s="19"/>
      <c r="N195" s="19"/>
      <c r="X195" s="20"/>
      <c r="Y195" s="20"/>
      <c r="AA195" s="20"/>
      <c r="AB195" s="20"/>
      <c r="AC195" s="21"/>
      <c r="AD195" s="22"/>
      <c r="AE195" s="22"/>
      <c r="AG195" s="22"/>
      <c r="AI195" s="22"/>
      <c r="AK195" s="22"/>
      <c r="AM195" s="22"/>
      <c r="AP195" s="22"/>
      <c r="BC195" s="19"/>
      <c r="BD195" s="20"/>
      <c r="BF195" s="20"/>
      <c r="BK195" s="22"/>
    </row>
    <row r="196" spans="1:63" ht="15" customHeight="1" x14ac:dyDescent="0.35">
      <c r="A196" s="19"/>
      <c r="E196" s="20"/>
      <c r="G196" s="19"/>
      <c r="H196" s="20"/>
      <c r="L196" s="19"/>
      <c r="M196" s="19"/>
      <c r="N196" s="19"/>
      <c r="X196" s="20"/>
      <c r="Y196" s="20"/>
      <c r="AA196" s="20"/>
      <c r="AB196" s="20"/>
      <c r="AC196" s="21"/>
      <c r="AD196" s="22"/>
      <c r="AE196" s="22"/>
      <c r="AG196" s="22"/>
      <c r="AI196" s="22"/>
      <c r="AK196" s="22"/>
      <c r="AM196" s="22"/>
      <c r="AP196" s="22"/>
      <c r="BC196" s="19"/>
      <c r="BD196" s="20"/>
      <c r="BF196" s="20"/>
      <c r="BK196" s="22"/>
    </row>
    <row r="197" spans="1:63" ht="15" customHeight="1" x14ac:dyDescent="0.35">
      <c r="A197" s="19"/>
      <c r="E197" s="20"/>
      <c r="G197" s="19"/>
      <c r="H197" s="20"/>
      <c r="L197" s="19"/>
      <c r="M197" s="19"/>
      <c r="N197" s="19"/>
      <c r="X197" s="20"/>
      <c r="Y197" s="20"/>
      <c r="AA197" s="20"/>
      <c r="AB197" s="20"/>
      <c r="AC197" s="21"/>
      <c r="AD197" s="22"/>
      <c r="AE197" s="22"/>
      <c r="AG197" s="22"/>
      <c r="AI197" s="22"/>
      <c r="AK197" s="22"/>
      <c r="AM197" s="22"/>
      <c r="AP197" s="22"/>
      <c r="BC197" s="19"/>
      <c r="BD197" s="20"/>
      <c r="BF197" s="20"/>
      <c r="BK197" s="22"/>
    </row>
    <row r="198" spans="1:63" ht="15" customHeight="1" x14ac:dyDescent="0.35">
      <c r="A198" s="19"/>
      <c r="E198" s="20"/>
      <c r="G198" s="19"/>
      <c r="H198" s="20"/>
      <c r="L198" s="19"/>
      <c r="M198" s="19"/>
      <c r="N198" s="19"/>
      <c r="X198" s="20"/>
      <c r="Y198" s="20"/>
      <c r="AA198" s="20"/>
      <c r="AB198" s="20"/>
      <c r="AC198" s="21"/>
      <c r="AD198" s="22"/>
      <c r="AE198" s="22"/>
      <c r="AG198" s="22"/>
      <c r="AI198" s="22"/>
      <c r="AK198" s="22"/>
      <c r="AM198" s="22"/>
      <c r="AP198" s="22"/>
      <c r="BC198" s="19"/>
      <c r="BD198" s="20"/>
      <c r="BF198" s="20"/>
      <c r="BK198" s="22"/>
    </row>
    <row r="199" spans="1:63" ht="15" customHeight="1" x14ac:dyDescent="0.35">
      <c r="A199" s="19"/>
      <c r="E199" s="20"/>
      <c r="G199" s="19"/>
      <c r="H199" s="20"/>
      <c r="L199" s="19"/>
      <c r="M199" s="19"/>
      <c r="N199" s="19"/>
      <c r="X199" s="20"/>
      <c r="Y199" s="20"/>
      <c r="AA199" s="20"/>
      <c r="AB199" s="20"/>
      <c r="AC199" s="21"/>
      <c r="AD199" s="22"/>
      <c r="AE199" s="22"/>
      <c r="AG199" s="22"/>
      <c r="AI199" s="22"/>
      <c r="AK199" s="22"/>
      <c r="AM199" s="22"/>
      <c r="AP199" s="22"/>
      <c r="BC199" s="19"/>
      <c r="BD199" s="20"/>
      <c r="BF199" s="20"/>
      <c r="BK199" s="22"/>
    </row>
    <row r="200" spans="1:63" ht="15" customHeight="1" x14ac:dyDescent="0.35">
      <c r="A200" s="19"/>
      <c r="E200" s="20"/>
      <c r="G200" s="19"/>
      <c r="H200" s="20"/>
      <c r="L200" s="19"/>
      <c r="M200" s="19"/>
      <c r="N200" s="19"/>
      <c r="X200" s="20"/>
      <c r="Y200" s="20"/>
      <c r="AA200" s="20"/>
      <c r="AB200" s="20"/>
      <c r="AC200" s="21"/>
      <c r="AD200" s="22"/>
      <c r="AE200" s="22"/>
      <c r="AG200" s="22"/>
      <c r="AI200" s="22"/>
      <c r="AK200" s="22"/>
      <c r="AM200" s="22"/>
      <c r="AP200" s="22"/>
      <c r="BC200" s="19"/>
      <c r="BD200" s="20"/>
      <c r="BF200" s="20"/>
      <c r="BK200" s="22"/>
    </row>
    <row r="201" spans="1:63" ht="15" customHeight="1" x14ac:dyDescent="0.35">
      <c r="A201" s="19"/>
      <c r="E201" s="20"/>
      <c r="G201" s="19"/>
      <c r="H201" s="20"/>
      <c r="L201" s="19"/>
      <c r="M201" s="19"/>
      <c r="N201" s="19"/>
      <c r="X201" s="20"/>
      <c r="Y201" s="20"/>
      <c r="AA201" s="20"/>
      <c r="AB201" s="20"/>
      <c r="AC201" s="21"/>
      <c r="AD201" s="22"/>
      <c r="AE201" s="22"/>
      <c r="AG201" s="22"/>
      <c r="AI201" s="22"/>
      <c r="AK201" s="22"/>
      <c r="AM201" s="22"/>
      <c r="AP201" s="22"/>
      <c r="BC201" s="19"/>
      <c r="BD201" s="20"/>
      <c r="BF201" s="20"/>
      <c r="BK201" s="22"/>
    </row>
    <row r="202" spans="1:63" ht="15" customHeight="1" x14ac:dyDescent="0.35">
      <c r="A202" s="19"/>
      <c r="E202" s="20"/>
      <c r="G202" s="19"/>
      <c r="H202" s="20"/>
      <c r="L202" s="19"/>
      <c r="M202" s="19"/>
      <c r="N202" s="19"/>
      <c r="X202" s="20"/>
      <c r="Y202" s="20"/>
      <c r="AA202" s="20"/>
      <c r="AB202" s="20"/>
      <c r="AC202" s="21"/>
      <c r="AD202" s="22"/>
      <c r="AE202" s="22"/>
      <c r="AG202" s="22"/>
      <c r="AI202" s="22"/>
      <c r="AK202" s="22"/>
      <c r="AM202" s="22"/>
      <c r="AP202" s="22"/>
      <c r="BC202" s="19"/>
      <c r="BD202" s="20"/>
      <c r="BF202" s="20"/>
      <c r="BK202" s="22"/>
    </row>
    <row r="203" spans="1:63" ht="15" customHeight="1" x14ac:dyDescent="0.35">
      <c r="A203" s="19"/>
      <c r="E203" s="20"/>
      <c r="G203" s="19"/>
      <c r="H203" s="20"/>
      <c r="L203" s="19"/>
      <c r="M203" s="19"/>
      <c r="N203" s="19"/>
      <c r="X203" s="20"/>
      <c r="Y203" s="20"/>
      <c r="AA203" s="20"/>
      <c r="AB203" s="20"/>
      <c r="AC203" s="21"/>
      <c r="AD203" s="22"/>
      <c r="AE203" s="22"/>
      <c r="AG203" s="22"/>
      <c r="AI203" s="22"/>
      <c r="AK203" s="22"/>
      <c r="AM203" s="22"/>
      <c r="AP203" s="22"/>
      <c r="BC203" s="19"/>
      <c r="BD203" s="20"/>
      <c r="BF203" s="20"/>
      <c r="BK203" s="22"/>
    </row>
    <row r="204" spans="1:63" ht="15" customHeight="1" x14ac:dyDescent="0.35">
      <c r="A204" s="19"/>
      <c r="E204" s="20"/>
      <c r="G204" s="19"/>
      <c r="H204" s="20"/>
      <c r="L204" s="19"/>
      <c r="M204" s="19"/>
      <c r="N204" s="19"/>
      <c r="X204" s="20"/>
      <c r="Y204" s="20"/>
      <c r="AA204" s="20"/>
      <c r="AB204" s="20"/>
      <c r="AC204" s="21"/>
      <c r="AD204" s="22"/>
      <c r="AE204" s="22"/>
      <c r="AG204" s="22"/>
      <c r="AI204" s="22"/>
      <c r="AK204" s="22"/>
      <c r="AM204" s="22"/>
      <c r="AP204" s="22"/>
      <c r="BC204" s="19"/>
      <c r="BD204" s="20"/>
      <c r="BF204" s="20"/>
      <c r="BK204" s="22"/>
    </row>
    <row r="205" spans="1:63" ht="15" customHeight="1" x14ac:dyDescent="0.35">
      <c r="A205" s="19"/>
      <c r="E205" s="20"/>
      <c r="G205" s="19"/>
      <c r="H205" s="20"/>
      <c r="L205" s="19"/>
      <c r="M205" s="19"/>
      <c r="N205" s="19"/>
      <c r="X205" s="20"/>
      <c r="Y205" s="20"/>
      <c r="AA205" s="20"/>
      <c r="AB205" s="20"/>
      <c r="AC205" s="21"/>
      <c r="AD205" s="22"/>
      <c r="AE205" s="22"/>
      <c r="AG205" s="22"/>
      <c r="AI205" s="22"/>
      <c r="AK205" s="22"/>
      <c r="AM205" s="22"/>
      <c r="AP205" s="22"/>
      <c r="BC205" s="19"/>
      <c r="BD205" s="20"/>
      <c r="BF205" s="20"/>
      <c r="BK205" s="22"/>
    </row>
    <row r="206" spans="1:63" ht="15" customHeight="1" x14ac:dyDescent="0.35">
      <c r="A206" s="19"/>
      <c r="E206" s="20"/>
      <c r="G206" s="19"/>
      <c r="H206" s="20"/>
      <c r="L206" s="19"/>
      <c r="M206" s="19"/>
      <c r="N206" s="19"/>
      <c r="X206" s="20"/>
      <c r="Y206" s="20"/>
      <c r="AA206" s="20"/>
      <c r="AB206" s="20"/>
      <c r="AC206" s="21"/>
      <c r="AD206" s="22"/>
      <c r="AE206" s="22"/>
      <c r="AG206" s="22"/>
      <c r="AI206" s="22"/>
      <c r="AK206" s="22"/>
      <c r="AM206" s="22"/>
      <c r="AP206" s="22"/>
      <c r="BC206" s="19"/>
      <c r="BD206" s="20"/>
      <c r="BF206" s="20"/>
      <c r="BK206" s="22"/>
    </row>
    <row r="207" spans="1:63" ht="15" customHeight="1" x14ac:dyDescent="0.35">
      <c r="A207" s="19"/>
      <c r="E207" s="20"/>
      <c r="G207" s="19"/>
      <c r="H207" s="20"/>
      <c r="L207" s="19"/>
      <c r="M207" s="19"/>
      <c r="N207" s="19"/>
      <c r="X207" s="20"/>
      <c r="Y207" s="20"/>
      <c r="AA207" s="20"/>
      <c r="AB207" s="20"/>
      <c r="AC207" s="21"/>
      <c r="AD207" s="22"/>
      <c r="AE207" s="22"/>
      <c r="AG207" s="22"/>
      <c r="AI207" s="22"/>
      <c r="AK207" s="22"/>
      <c r="AM207" s="22"/>
      <c r="AP207" s="22"/>
      <c r="BC207" s="19"/>
      <c r="BD207" s="20"/>
      <c r="BF207" s="20"/>
      <c r="BK207" s="22"/>
    </row>
    <row r="208" spans="1:63" ht="15" customHeight="1" x14ac:dyDescent="0.35">
      <c r="A208" s="19"/>
      <c r="E208" s="20"/>
      <c r="G208" s="19"/>
      <c r="H208" s="20"/>
      <c r="L208" s="19"/>
      <c r="M208" s="19"/>
      <c r="N208" s="19"/>
      <c r="X208" s="20"/>
      <c r="Y208" s="20"/>
      <c r="AA208" s="20"/>
      <c r="AB208" s="20"/>
      <c r="AC208" s="21"/>
      <c r="AD208" s="22"/>
      <c r="AE208" s="22"/>
      <c r="AG208" s="22"/>
      <c r="AI208" s="22"/>
      <c r="AK208" s="22"/>
      <c r="AM208" s="22"/>
      <c r="AP208" s="22"/>
      <c r="BC208" s="19"/>
      <c r="BD208" s="20"/>
      <c r="BF208" s="20"/>
      <c r="BK208" s="22"/>
    </row>
    <row r="209" spans="1:63" ht="15" customHeight="1" x14ac:dyDescent="0.35">
      <c r="A209" s="19"/>
      <c r="E209" s="20"/>
      <c r="G209" s="19"/>
      <c r="H209" s="20"/>
      <c r="L209" s="19"/>
      <c r="M209" s="19"/>
      <c r="N209" s="19"/>
      <c r="X209" s="20"/>
      <c r="Y209" s="20"/>
      <c r="AA209" s="20"/>
      <c r="AB209" s="20"/>
      <c r="AC209" s="21"/>
      <c r="AD209" s="22"/>
      <c r="AE209" s="22"/>
      <c r="AG209" s="22"/>
      <c r="AI209" s="22"/>
      <c r="AK209" s="22"/>
      <c r="AM209" s="22"/>
      <c r="AP209" s="22"/>
      <c r="BC209" s="19"/>
      <c r="BD209" s="20"/>
      <c r="BF209" s="20"/>
      <c r="BK209" s="22"/>
    </row>
    <row r="210" spans="1:63" ht="15" customHeight="1" x14ac:dyDescent="0.35">
      <c r="A210" s="19"/>
      <c r="E210" s="20"/>
      <c r="G210" s="19"/>
      <c r="H210" s="20"/>
      <c r="L210" s="19"/>
      <c r="M210" s="19"/>
      <c r="N210" s="19"/>
      <c r="X210" s="20"/>
      <c r="Y210" s="20"/>
      <c r="AA210" s="20"/>
      <c r="AB210" s="20"/>
      <c r="AC210" s="21"/>
      <c r="AD210" s="22"/>
      <c r="AE210" s="22"/>
      <c r="AG210" s="22"/>
      <c r="AI210" s="22"/>
      <c r="AK210" s="22"/>
      <c r="AM210" s="22"/>
      <c r="AP210" s="22"/>
      <c r="BC210" s="19"/>
      <c r="BD210" s="20"/>
      <c r="BF210" s="20"/>
      <c r="BK210" s="22"/>
    </row>
    <row r="211" spans="1:63" ht="15" customHeight="1" x14ac:dyDescent="0.35">
      <c r="A211" s="19"/>
      <c r="E211" s="20"/>
      <c r="G211" s="19"/>
      <c r="H211" s="20"/>
      <c r="L211" s="19"/>
      <c r="M211" s="19"/>
      <c r="N211" s="19"/>
      <c r="X211" s="20"/>
      <c r="Y211" s="20"/>
      <c r="AA211" s="20"/>
      <c r="AB211" s="20"/>
      <c r="AC211" s="21"/>
      <c r="AD211" s="22"/>
      <c r="AE211" s="22"/>
      <c r="AG211" s="22"/>
      <c r="AI211" s="22"/>
      <c r="AK211" s="22"/>
      <c r="AM211" s="22"/>
      <c r="AP211" s="22"/>
      <c r="BC211" s="19"/>
      <c r="BD211" s="20"/>
      <c r="BF211" s="20"/>
      <c r="BK211" s="22"/>
    </row>
    <row r="212" spans="1:63" ht="15" customHeight="1" x14ac:dyDescent="0.35">
      <c r="A212" s="19"/>
      <c r="E212" s="20"/>
      <c r="G212" s="19"/>
      <c r="H212" s="20"/>
      <c r="L212" s="19"/>
      <c r="M212" s="19"/>
      <c r="N212" s="19"/>
      <c r="X212" s="20"/>
      <c r="Y212" s="20"/>
      <c r="AA212" s="20"/>
      <c r="AB212" s="20"/>
      <c r="AC212" s="21"/>
      <c r="AD212" s="22"/>
      <c r="AE212" s="22"/>
      <c r="AG212" s="22"/>
      <c r="AI212" s="22"/>
      <c r="AK212" s="22"/>
      <c r="AM212" s="22"/>
      <c r="AP212" s="22"/>
      <c r="BC212" s="19"/>
      <c r="BD212" s="20"/>
      <c r="BF212" s="20"/>
      <c r="BK212" s="22"/>
    </row>
    <row r="213" spans="1:63" ht="15" customHeight="1" x14ac:dyDescent="0.35">
      <c r="A213" s="19"/>
      <c r="E213" s="20"/>
      <c r="G213" s="19"/>
      <c r="H213" s="20"/>
      <c r="L213" s="19"/>
      <c r="M213" s="19"/>
      <c r="N213" s="19"/>
      <c r="X213" s="20"/>
      <c r="Y213" s="20"/>
      <c r="AA213" s="20"/>
      <c r="AB213" s="20"/>
      <c r="AC213" s="21"/>
      <c r="AD213" s="22"/>
      <c r="AE213" s="22"/>
      <c r="AG213" s="22"/>
      <c r="AI213" s="22"/>
      <c r="AK213" s="22"/>
      <c r="AM213" s="22"/>
      <c r="AP213" s="22"/>
      <c r="BC213" s="19"/>
      <c r="BD213" s="20"/>
      <c r="BF213" s="20"/>
      <c r="BK213" s="22"/>
    </row>
    <row r="214" spans="1:63" ht="15" customHeight="1" x14ac:dyDescent="0.35">
      <c r="A214" s="19"/>
      <c r="E214" s="20"/>
      <c r="G214" s="19"/>
      <c r="H214" s="20"/>
      <c r="L214" s="19"/>
      <c r="M214" s="19"/>
      <c r="N214" s="19"/>
      <c r="X214" s="20"/>
      <c r="Y214" s="20"/>
      <c r="AA214" s="20"/>
      <c r="AB214" s="20"/>
      <c r="AC214" s="21"/>
      <c r="AD214" s="22"/>
      <c r="AE214" s="22"/>
      <c r="AG214" s="22"/>
      <c r="AI214" s="22"/>
      <c r="AK214" s="22"/>
      <c r="AM214" s="22"/>
      <c r="AP214" s="22"/>
      <c r="BC214" s="19"/>
      <c r="BD214" s="20"/>
      <c r="BF214" s="20"/>
      <c r="BK214" s="22"/>
    </row>
    <row r="215" spans="1:63" ht="15" customHeight="1" x14ac:dyDescent="0.35">
      <c r="A215" s="19"/>
      <c r="E215" s="20"/>
      <c r="G215" s="19"/>
      <c r="H215" s="20"/>
      <c r="L215" s="19"/>
      <c r="M215" s="19"/>
      <c r="N215" s="19"/>
      <c r="X215" s="20"/>
      <c r="Y215" s="20"/>
      <c r="AA215" s="20"/>
      <c r="AB215" s="20"/>
      <c r="AC215" s="21"/>
      <c r="AD215" s="22"/>
      <c r="AE215" s="22"/>
      <c r="AG215" s="22"/>
      <c r="AI215" s="22"/>
      <c r="AK215" s="22"/>
      <c r="AM215" s="22"/>
      <c r="AP215" s="22"/>
      <c r="BC215" s="19"/>
      <c r="BD215" s="20"/>
      <c r="BF215" s="20"/>
      <c r="BK215" s="22"/>
    </row>
    <row r="216" spans="1:63" ht="15" customHeight="1" x14ac:dyDescent="0.35">
      <c r="A216" s="19"/>
      <c r="E216" s="20"/>
      <c r="G216" s="19"/>
      <c r="H216" s="20"/>
      <c r="L216" s="19"/>
      <c r="M216" s="19"/>
      <c r="N216" s="19"/>
      <c r="X216" s="20"/>
      <c r="Y216" s="20"/>
      <c r="AA216" s="20"/>
      <c r="AB216" s="20"/>
      <c r="AC216" s="21"/>
      <c r="AD216" s="22"/>
      <c r="AE216" s="22"/>
      <c r="AG216" s="22"/>
      <c r="AI216" s="22"/>
      <c r="AK216" s="22"/>
      <c r="AM216" s="22"/>
      <c r="AP216" s="22"/>
      <c r="BC216" s="19"/>
      <c r="BD216" s="20"/>
      <c r="BF216" s="20"/>
      <c r="BK216" s="22"/>
    </row>
    <row r="217" spans="1:63" ht="15" customHeight="1" x14ac:dyDescent="0.35">
      <c r="A217" s="19"/>
      <c r="E217" s="20"/>
      <c r="G217" s="19"/>
      <c r="H217" s="20"/>
      <c r="L217" s="19"/>
      <c r="M217" s="19"/>
      <c r="N217" s="19"/>
      <c r="X217" s="20"/>
      <c r="Y217" s="20"/>
      <c r="AA217" s="20"/>
      <c r="AB217" s="20"/>
      <c r="AC217" s="21"/>
      <c r="AD217" s="22"/>
      <c r="AE217" s="22"/>
      <c r="AG217" s="22"/>
      <c r="AI217" s="22"/>
      <c r="AK217" s="22"/>
      <c r="AM217" s="22"/>
      <c r="AP217" s="22"/>
      <c r="BC217" s="19"/>
      <c r="BD217" s="20"/>
      <c r="BF217" s="20"/>
      <c r="BK217" s="22"/>
    </row>
    <row r="218" spans="1:63" ht="15" customHeight="1" x14ac:dyDescent="0.35">
      <c r="A218" s="19"/>
      <c r="E218" s="20"/>
      <c r="G218" s="19"/>
      <c r="H218" s="20"/>
      <c r="L218" s="19"/>
      <c r="M218" s="19"/>
      <c r="N218" s="19"/>
      <c r="X218" s="20"/>
      <c r="Y218" s="20"/>
      <c r="AA218" s="20"/>
      <c r="AB218" s="20"/>
      <c r="AC218" s="21"/>
      <c r="AD218" s="22"/>
      <c r="AE218" s="22"/>
      <c r="AG218" s="22"/>
      <c r="AI218" s="22"/>
      <c r="AK218" s="22"/>
      <c r="AM218" s="22"/>
      <c r="AP218" s="22"/>
      <c r="BC218" s="19"/>
      <c r="BD218" s="20"/>
      <c r="BF218" s="20"/>
      <c r="BK218" s="22"/>
    </row>
    <row r="219" spans="1:63" ht="15" customHeight="1" x14ac:dyDescent="0.35">
      <c r="A219" s="19"/>
      <c r="E219" s="20"/>
      <c r="G219" s="19"/>
      <c r="H219" s="20"/>
      <c r="L219" s="19"/>
      <c r="M219" s="19"/>
      <c r="N219" s="19"/>
      <c r="X219" s="20"/>
      <c r="Y219" s="20"/>
      <c r="AA219" s="20"/>
      <c r="AB219" s="20"/>
      <c r="AC219" s="21"/>
      <c r="AD219" s="22"/>
      <c r="AE219" s="22"/>
      <c r="AG219" s="22"/>
      <c r="AI219" s="22"/>
      <c r="AK219" s="22"/>
      <c r="AM219" s="22"/>
      <c r="AP219" s="22"/>
      <c r="BC219" s="19"/>
      <c r="BD219" s="20"/>
      <c r="BF219" s="20"/>
      <c r="BK219" s="22"/>
    </row>
    <row r="220" spans="1:63" ht="15" customHeight="1" x14ac:dyDescent="0.35">
      <c r="A220" s="19"/>
      <c r="E220" s="20"/>
      <c r="G220" s="19"/>
      <c r="H220" s="20"/>
      <c r="L220" s="19"/>
      <c r="M220" s="19"/>
      <c r="N220" s="19"/>
      <c r="X220" s="20"/>
      <c r="Y220" s="20"/>
      <c r="AA220" s="20"/>
      <c r="AB220" s="20"/>
      <c r="AC220" s="21"/>
      <c r="AD220" s="22"/>
      <c r="AE220" s="22"/>
      <c r="AG220" s="22"/>
      <c r="AI220" s="22"/>
      <c r="AK220" s="22"/>
      <c r="AM220" s="22"/>
      <c r="AP220" s="22"/>
      <c r="BC220" s="19"/>
      <c r="BD220" s="20"/>
      <c r="BF220" s="20"/>
      <c r="BK220" s="22"/>
    </row>
    <row r="221" spans="1:63" ht="15" customHeight="1" x14ac:dyDescent="0.35">
      <c r="A221" s="19"/>
      <c r="E221" s="20"/>
      <c r="G221" s="19"/>
      <c r="H221" s="20"/>
      <c r="L221" s="19"/>
      <c r="M221" s="19"/>
      <c r="N221" s="19"/>
      <c r="X221" s="20"/>
      <c r="Y221" s="20"/>
      <c r="AA221" s="20"/>
      <c r="AB221" s="20"/>
      <c r="AC221" s="21"/>
      <c r="AD221" s="22"/>
      <c r="AE221" s="22"/>
      <c r="AG221" s="22"/>
      <c r="AI221" s="22"/>
      <c r="AK221" s="22"/>
      <c r="AM221" s="22"/>
      <c r="AP221" s="22"/>
      <c r="BC221" s="19"/>
      <c r="BD221" s="20"/>
      <c r="BF221" s="20"/>
      <c r="BK221" s="22"/>
    </row>
    <row r="222" spans="1:63" ht="15" customHeight="1" x14ac:dyDescent="0.35">
      <c r="A222" s="19"/>
      <c r="E222" s="20"/>
      <c r="G222" s="19"/>
      <c r="H222" s="20"/>
      <c r="L222" s="19"/>
      <c r="M222" s="19"/>
      <c r="N222" s="19"/>
      <c r="X222" s="20"/>
      <c r="Y222" s="20"/>
      <c r="AA222" s="20"/>
      <c r="AB222" s="20"/>
      <c r="AC222" s="21"/>
      <c r="AD222" s="22"/>
      <c r="AE222" s="22"/>
      <c r="AG222" s="22"/>
      <c r="AI222" s="22"/>
      <c r="AK222" s="22"/>
      <c r="AM222" s="22"/>
      <c r="AP222" s="22"/>
      <c r="BC222" s="19"/>
      <c r="BD222" s="20"/>
      <c r="BF222" s="20"/>
      <c r="BK222" s="22"/>
    </row>
    <row r="223" spans="1:63" ht="15" customHeight="1" x14ac:dyDescent="0.35">
      <c r="A223" s="19"/>
      <c r="E223" s="20"/>
      <c r="G223" s="19"/>
      <c r="H223" s="20"/>
      <c r="L223" s="19"/>
      <c r="M223" s="19"/>
      <c r="N223" s="19"/>
      <c r="X223" s="20"/>
      <c r="Y223" s="20"/>
      <c r="AA223" s="20"/>
      <c r="AB223" s="20"/>
      <c r="AC223" s="21"/>
      <c r="AD223" s="22"/>
      <c r="AE223" s="22"/>
      <c r="AG223" s="22"/>
      <c r="AI223" s="22"/>
      <c r="AK223" s="22"/>
      <c r="AM223" s="22"/>
      <c r="AP223" s="22"/>
      <c r="BC223" s="19"/>
      <c r="BD223" s="20"/>
      <c r="BF223" s="20"/>
      <c r="BK223" s="22"/>
    </row>
    <row r="224" spans="1:63" ht="15" customHeight="1" x14ac:dyDescent="0.35">
      <c r="A224" s="19"/>
      <c r="E224" s="20"/>
      <c r="G224" s="19"/>
      <c r="H224" s="20"/>
      <c r="L224" s="19"/>
      <c r="M224" s="19"/>
      <c r="N224" s="19"/>
      <c r="X224" s="20"/>
      <c r="Y224" s="20"/>
      <c r="AA224" s="20"/>
      <c r="AB224" s="20"/>
      <c r="AC224" s="21"/>
      <c r="AD224" s="22"/>
      <c r="AE224" s="22"/>
      <c r="AG224" s="22"/>
      <c r="AI224" s="22"/>
      <c r="AK224" s="22"/>
      <c r="AM224" s="22"/>
      <c r="AP224" s="22"/>
      <c r="BC224" s="19"/>
      <c r="BD224" s="20"/>
      <c r="BF224" s="20"/>
      <c r="BK224" s="22"/>
    </row>
    <row r="225" spans="1:63" ht="15" customHeight="1" x14ac:dyDescent="0.35">
      <c r="A225" s="19"/>
      <c r="E225" s="20"/>
      <c r="G225" s="19"/>
      <c r="H225" s="20"/>
      <c r="L225" s="19"/>
      <c r="M225" s="19"/>
      <c r="N225" s="19"/>
      <c r="X225" s="20"/>
      <c r="Y225" s="20"/>
      <c r="AA225" s="20"/>
      <c r="AB225" s="20"/>
      <c r="AC225" s="21"/>
      <c r="AD225" s="22"/>
      <c r="AE225" s="22"/>
      <c r="AG225" s="22"/>
      <c r="AI225" s="22"/>
      <c r="AK225" s="22"/>
      <c r="AM225" s="22"/>
      <c r="AP225" s="22"/>
      <c r="BC225" s="19"/>
      <c r="BD225" s="20"/>
      <c r="BF225" s="20"/>
      <c r="BK225" s="22"/>
    </row>
    <row r="226" spans="1:63" ht="15" customHeight="1" x14ac:dyDescent="0.35">
      <c r="A226" s="19"/>
      <c r="E226" s="20"/>
      <c r="G226" s="19"/>
      <c r="H226" s="20"/>
      <c r="L226" s="19"/>
      <c r="M226" s="19"/>
      <c r="N226" s="19"/>
      <c r="X226" s="20"/>
      <c r="Y226" s="20"/>
      <c r="AA226" s="20"/>
      <c r="AB226" s="20"/>
      <c r="AC226" s="21"/>
      <c r="AD226" s="22"/>
      <c r="AE226" s="22"/>
      <c r="AG226" s="22"/>
      <c r="AI226" s="22"/>
      <c r="AK226" s="22"/>
      <c r="AM226" s="22"/>
      <c r="AP226" s="22"/>
      <c r="BC226" s="19"/>
      <c r="BD226" s="20"/>
      <c r="BF226" s="20"/>
      <c r="BK226" s="22"/>
    </row>
    <row r="227" spans="1:63" ht="15" customHeight="1" x14ac:dyDescent="0.35">
      <c r="A227" s="19"/>
      <c r="E227" s="20"/>
      <c r="G227" s="19"/>
      <c r="H227" s="20"/>
      <c r="L227" s="19"/>
      <c r="M227" s="19"/>
      <c r="N227" s="19"/>
      <c r="X227" s="20"/>
      <c r="Y227" s="20"/>
      <c r="AA227" s="20"/>
      <c r="AB227" s="20"/>
      <c r="AC227" s="21"/>
      <c r="AD227" s="22"/>
      <c r="AE227" s="22"/>
      <c r="AG227" s="22"/>
      <c r="AI227" s="22"/>
      <c r="AK227" s="22"/>
      <c r="AM227" s="22"/>
      <c r="AP227" s="22"/>
      <c r="BC227" s="19"/>
      <c r="BD227" s="20"/>
      <c r="BF227" s="20"/>
      <c r="BK227" s="22"/>
    </row>
    <row r="228" spans="1:63" ht="15" customHeight="1" x14ac:dyDescent="0.35">
      <c r="A228" s="19"/>
      <c r="E228" s="20"/>
      <c r="G228" s="19"/>
      <c r="H228" s="20"/>
      <c r="L228" s="19"/>
      <c r="M228" s="19"/>
      <c r="N228" s="19"/>
      <c r="X228" s="20"/>
      <c r="Y228" s="20"/>
      <c r="AA228" s="20"/>
      <c r="AB228" s="20"/>
      <c r="AC228" s="21"/>
      <c r="AD228" s="22"/>
      <c r="AE228" s="22"/>
      <c r="AG228" s="22"/>
      <c r="AI228" s="22"/>
      <c r="AK228" s="22"/>
      <c r="AM228" s="22"/>
      <c r="AP228" s="22"/>
      <c r="BC228" s="19"/>
      <c r="BD228" s="20"/>
      <c r="BF228" s="20"/>
      <c r="BK228" s="22"/>
    </row>
    <row r="229" spans="1:63" ht="15" customHeight="1" x14ac:dyDescent="0.35">
      <c r="A229" s="19"/>
      <c r="E229" s="20"/>
      <c r="G229" s="19"/>
      <c r="H229" s="20"/>
      <c r="L229" s="19"/>
      <c r="M229" s="19"/>
      <c r="N229" s="19"/>
      <c r="X229" s="20"/>
      <c r="Y229" s="20"/>
      <c r="AA229" s="20"/>
      <c r="AB229" s="20"/>
      <c r="AC229" s="21"/>
      <c r="AD229" s="22"/>
      <c r="AE229" s="22"/>
      <c r="AG229" s="22"/>
      <c r="AI229" s="22"/>
      <c r="AK229" s="22"/>
      <c r="AM229" s="22"/>
      <c r="AP229" s="22"/>
      <c r="BC229" s="19"/>
      <c r="BD229" s="20"/>
      <c r="BF229" s="20"/>
      <c r="BK229" s="22"/>
    </row>
    <row r="230" spans="1:63" ht="15" customHeight="1" x14ac:dyDescent="0.35">
      <c r="A230" s="19"/>
      <c r="E230" s="20"/>
      <c r="G230" s="19"/>
      <c r="H230" s="20"/>
      <c r="L230" s="19"/>
      <c r="M230" s="19"/>
      <c r="N230" s="19"/>
      <c r="X230" s="20"/>
      <c r="Y230" s="20"/>
      <c r="AA230" s="20"/>
      <c r="AB230" s="20"/>
      <c r="AC230" s="21"/>
      <c r="AD230" s="22"/>
      <c r="AE230" s="22"/>
      <c r="AG230" s="22"/>
      <c r="AI230" s="22"/>
      <c r="AK230" s="22"/>
      <c r="AM230" s="22"/>
      <c r="AP230" s="22"/>
      <c r="BC230" s="19"/>
      <c r="BD230" s="20"/>
      <c r="BF230" s="20"/>
      <c r="BK230" s="22"/>
    </row>
    <row r="231" spans="1:63" ht="15" customHeight="1" x14ac:dyDescent="0.35">
      <c r="A231" s="19"/>
      <c r="E231" s="20"/>
      <c r="G231" s="19"/>
      <c r="H231" s="20"/>
      <c r="L231" s="19"/>
      <c r="M231" s="19"/>
      <c r="N231" s="19"/>
      <c r="X231" s="20"/>
      <c r="Y231" s="20"/>
      <c r="AA231" s="20"/>
      <c r="AB231" s="20"/>
      <c r="AC231" s="21"/>
      <c r="AD231" s="22"/>
      <c r="AE231" s="22"/>
      <c r="AG231" s="22"/>
      <c r="AI231" s="22"/>
      <c r="AK231" s="22"/>
      <c r="AM231" s="22"/>
      <c r="AP231" s="22"/>
      <c r="BC231" s="19"/>
      <c r="BD231" s="20"/>
      <c r="BF231" s="20"/>
      <c r="BK231" s="22"/>
    </row>
    <row r="232" spans="1:63" ht="15" customHeight="1" x14ac:dyDescent="0.35">
      <c r="A232" s="19"/>
      <c r="E232" s="20"/>
      <c r="G232" s="19"/>
      <c r="H232" s="20"/>
      <c r="L232" s="19"/>
      <c r="M232" s="19"/>
      <c r="N232" s="19"/>
      <c r="X232" s="20"/>
      <c r="Y232" s="20"/>
      <c r="AA232" s="20"/>
      <c r="AB232" s="20"/>
      <c r="AC232" s="21"/>
      <c r="AD232" s="22"/>
      <c r="AE232" s="22"/>
      <c r="AG232" s="22"/>
      <c r="AI232" s="22"/>
      <c r="AK232" s="22"/>
      <c r="AM232" s="22"/>
      <c r="AP232" s="22"/>
      <c r="BC232" s="19"/>
      <c r="BD232" s="20"/>
      <c r="BF232" s="20"/>
      <c r="BK232" s="22"/>
    </row>
    <row r="233" spans="1:63" ht="15" customHeight="1" x14ac:dyDescent="0.35">
      <c r="A233" s="19"/>
      <c r="E233" s="20"/>
      <c r="G233" s="19"/>
      <c r="H233" s="20"/>
      <c r="L233" s="19"/>
      <c r="M233" s="19"/>
      <c r="N233" s="19"/>
      <c r="X233" s="20"/>
      <c r="Y233" s="20"/>
      <c r="AA233" s="20"/>
      <c r="AB233" s="20"/>
      <c r="AC233" s="21"/>
      <c r="AD233" s="22"/>
      <c r="AE233" s="22"/>
      <c r="AG233" s="22"/>
      <c r="AI233" s="22"/>
      <c r="AK233" s="22"/>
      <c r="AM233" s="22"/>
      <c r="AP233" s="22"/>
      <c r="BC233" s="19"/>
      <c r="BD233" s="20"/>
      <c r="BF233" s="20"/>
      <c r="BK233" s="22"/>
    </row>
    <row r="234" spans="1:63" ht="15" customHeight="1" x14ac:dyDescent="0.35">
      <c r="A234" s="19"/>
      <c r="E234" s="20"/>
      <c r="G234" s="19"/>
      <c r="H234" s="20"/>
      <c r="L234" s="19"/>
      <c r="M234" s="19"/>
      <c r="N234" s="19"/>
      <c r="X234" s="20"/>
      <c r="Y234" s="20"/>
      <c r="AA234" s="20"/>
      <c r="AB234" s="20"/>
      <c r="AC234" s="21"/>
      <c r="AD234" s="22"/>
      <c r="AE234" s="22"/>
      <c r="AG234" s="22"/>
      <c r="AI234" s="22"/>
      <c r="AK234" s="22"/>
      <c r="AM234" s="22"/>
      <c r="AP234" s="22"/>
      <c r="BC234" s="19"/>
      <c r="BD234" s="20"/>
      <c r="BF234" s="20"/>
      <c r="BK234" s="22"/>
    </row>
    <row r="235" spans="1:63" ht="15" customHeight="1" x14ac:dyDescent="0.35">
      <c r="A235" s="19"/>
      <c r="E235" s="20"/>
      <c r="G235" s="19"/>
      <c r="H235" s="20"/>
      <c r="L235" s="19"/>
      <c r="M235" s="19"/>
      <c r="N235" s="19"/>
      <c r="X235" s="20"/>
      <c r="Y235" s="20"/>
      <c r="AA235" s="20"/>
      <c r="AB235" s="20"/>
      <c r="AC235" s="21"/>
      <c r="AD235" s="22"/>
      <c r="AE235" s="22"/>
      <c r="AG235" s="22"/>
      <c r="AI235" s="22"/>
      <c r="AK235" s="22"/>
      <c r="AM235" s="22"/>
      <c r="AP235" s="22"/>
      <c r="BC235" s="19"/>
      <c r="BD235" s="20"/>
      <c r="BF235" s="20"/>
      <c r="BK235" s="22"/>
    </row>
    <row r="236" spans="1:63" ht="15" customHeight="1" x14ac:dyDescent="0.35">
      <c r="A236" s="19"/>
      <c r="E236" s="20"/>
      <c r="G236" s="19"/>
      <c r="H236" s="20"/>
      <c r="L236" s="19"/>
      <c r="M236" s="19"/>
      <c r="N236" s="19"/>
      <c r="X236" s="20"/>
      <c r="Y236" s="20"/>
      <c r="AA236" s="20"/>
      <c r="AB236" s="20"/>
      <c r="AC236" s="21"/>
      <c r="AD236" s="22"/>
      <c r="AE236" s="22"/>
      <c r="AG236" s="22"/>
      <c r="AI236" s="22"/>
      <c r="AK236" s="22"/>
      <c r="AM236" s="22"/>
      <c r="AP236" s="22"/>
      <c r="BC236" s="19"/>
      <c r="BD236" s="20"/>
      <c r="BF236" s="20"/>
      <c r="BK236" s="22"/>
    </row>
    <row r="237" spans="1:63" ht="15" customHeight="1" x14ac:dyDescent="0.35">
      <c r="A237" s="19"/>
      <c r="E237" s="20"/>
      <c r="G237" s="19"/>
      <c r="H237" s="20"/>
      <c r="L237" s="19"/>
      <c r="M237" s="19"/>
      <c r="N237" s="19"/>
      <c r="X237" s="20"/>
      <c r="Y237" s="20"/>
      <c r="AA237" s="20"/>
      <c r="AB237" s="20"/>
      <c r="AC237" s="21"/>
      <c r="AD237" s="22"/>
      <c r="AE237" s="22"/>
      <c r="AG237" s="22"/>
      <c r="AI237" s="22"/>
      <c r="AK237" s="22"/>
      <c r="AM237" s="22"/>
      <c r="AP237" s="22"/>
      <c r="BC237" s="19"/>
      <c r="BD237" s="20"/>
      <c r="BF237" s="20"/>
      <c r="BK237" s="22"/>
    </row>
    <row r="238" spans="1:63" ht="15" customHeight="1" x14ac:dyDescent="0.35">
      <c r="A238" s="19"/>
      <c r="E238" s="20"/>
      <c r="G238" s="19"/>
      <c r="H238" s="20"/>
      <c r="L238" s="19"/>
      <c r="M238" s="19"/>
      <c r="N238" s="19"/>
      <c r="X238" s="20"/>
      <c r="Y238" s="20"/>
      <c r="AA238" s="20"/>
      <c r="AB238" s="20"/>
      <c r="AC238" s="21"/>
      <c r="AD238" s="22"/>
      <c r="AE238" s="22"/>
      <c r="AG238" s="22"/>
      <c r="AI238" s="22"/>
      <c r="AK238" s="22"/>
      <c r="AM238" s="22"/>
      <c r="AP238" s="22"/>
      <c r="BC238" s="19"/>
      <c r="BD238" s="20"/>
      <c r="BF238" s="20"/>
      <c r="BK238" s="22"/>
    </row>
    <row r="239" spans="1:63" ht="15" customHeight="1" x14ac:dyDescent="0.35">
      <c r="A239" s="19"/>
      <c r="E239" s="20"/>
      <c r="G239" s="19"/>
      <c r="H239" s="20"/>
      <c r="L239" s="19"/>
      <c r="M239" s="19"/>
      <c r="N239" s="19"/>
      <c r="X239" s="20"/>
      <c r="Y239" s="20"/>
      <c r="AA239" s="20"/>
      <c r="AB239" s="20"/>
      <c r="AC239" s="21"/>
      <c r="AD239" s="22"/>
      <c r="AE239" s="22"/>
      <c r="AG239" s="22"/>
      <c r="AI239" s="22"/>
      <c r="AK239" s="22"/>
      <c r="AM239" s="22"/>
      <c r="AP239" s="22"/>
      <c r="BC239" s="19"/>
      <c r="BD239" s="20"/>
      <c r="BF239" s="20"/>
      <c r="BK239" s="22"/>
    </row>
    <row r="240" spans="1:63" ht="15" customHeight="1" x14ac:dyDescent="0.35">
      <c r="A240" s="19"/>
      <c r="E240" s="20"/>
      <c r="G240" s="19"/>
      <c r="H240" s="20"/>
      <c r="L240" s="19"/>
      <c r="M240" s="19"/>
      <c r="N240" s="19"/>
      <c r="X240" s="20"/>
      <c r="Y240" s="20"/>
      <c r="AA240" s="20"/>
      <c r="AB240" s="20"/>
      <c r="AC240" s="21"/>
      <c r="AD240" s="22"/>
      <c r="AE240" s="22"/>
      <c r="AG240" s="22"/>
      <c r="AI240" s="22"/>
      <c r="AK240" s="22"/>
      <c r="AM240" s="22"/>
      <c r="AP240" s="22"/>
      <c r="BC240" s="19"/>
      <c r="BD240" s="20"/>
      <c r="BF240" s="20"/>
      <c r="BK240" s="22"/>
    </row>
    <row r="241" spans="1:63" ht="15" customHeight="1" x14ac:dyDescent="0.35">
      <c r="A241" s="19"/>
      <c r="E241" s="20"/>
      <c r="G241" s="19"/>
      <c r="H241" s="20"/>
      <c r="L241" s="19"/>
      <c r="M241" s="19"/>
      <c r="N241" s="19"/>
      <c r="X241" s="20"/>
      <c r="Y241" s="20"/>
      <c r="AA241" s="20"/>
      <c r="AB241" s="20"/>
      <c r="AC241" s="21"/>
      <c r="AD241" s="22"/>
      <c r="AE241" s="22"/>
      <c r="AG241" s="22"/>
      <c r="AI241" s="22"/>
      <c r="AK241" s="22"/>
      <c r="AM241" s="22"/>
      <c r="AP241" s="22"/>
      <c r="BC241" s="19"/>
      <c r="BD241" s="20"/>
      <c r="BF241" s="20"/>
      <c r="BK241" s="22"/>
    </row>
    <row r="242" spans="1:63" ht="15" customHeight="1" x14ac:dyDescent="0.35">
      <c r="A242" s="19"/>
      <c r="E242" s="20"/>
      <c r="G242" s="19"/>
      <c r="H242" s="20"/>
      <c r="L242" s="19"/>
      <c r="M242" s="19"/>
      <c r="N242" s="19"/>
      <c r="X242" s="20"/>
      <c r="Y242" s="20"/>
      <c r="AA242" s="20"/>
      <c r="AB242" s="20"/>
      <c r="AC242" s="21"/>
      <c r="AD242" s="22"/>
      <c r="AE242" s="22"/>
      <c r="AG242" s="22"/>
      <c r="AI242" s="22"/>
      <c r="AK242" s="22"/>
      <c r="AM242" s="22"/>
      <c r="AP242" s="22"/>
      <c r="BC242" s="19"/>
      <c r="BD242" s="20"/>
      <c r="BF242" s="20"/>
      <c r="BK242" s="22"/>
    </row>
    <row r="243" spans="1:63" ht="15" customHeight="1" x14ac:dyDescent="0.35">
      <c r="A243" s="19"/>
      <c r="E243" s="20"/>
      <c r="G243" s="19"/>
      <c r="H243" s="20"/>
      <c r="L243" s="19"/>
      <c r="M243" s="19"/>
      <c r="N243" s="19"/>
      <c r="X243" s="20"/>
      <c r="Y243" s="20"/>
      <c r="AA243" s="20"/>
      <c r="AB243" s="20"/>
      <c r="AC243" s="21"/>
      <c r="AD243" s="22"/>
      <c r="AE243" s="22"/>
      <c r="AG243" s="22"/>
      <c r="AI243" s="22"/>
      <c r="AK243" s="22"/>
      <c r="AM243" s="22"/>
      <c r="AP243" s="22"/>
      <c r="BC243" s="19"/>
      <c r="BD243" s="20"/>
      <c r="BF243" s="20"/>
      <c r="BK243" s="22"/>
    </row>
    <row r="244" spans="1:63" ht="15" customHeight="1" x14ac:dyDescent="0.35">
      <c r="A244" s="19"/>
      <c r="E244" s="20"/>
      <c r="G244" s="19"/>
      <c r="H244" s="20"/>
      <c r="L244" s="19"/>
      <c r="M244" s="19"/>
      <c r="N244" s="19"/>
      <c r="X244" s="20"/>
      <c r="Y244" s="20"/>
      <c r="AA244" s="20"/>
      <c r="AB244" s="20"/>
      <c r="AC244" s="21"/>
      <c r="AD244" s="22"/>
      <c r="AE244" s="22"/>
      <c r="AG244" s="22"/>
      <c r="AI244" s="22"/>
      <c r="AK244" s="22"/>
      <c r="AM244" s="22"/>
      <c r="AP244" s="22"/>
      <c r="BC244" s="19"/>
      <c r="BD244" s="20"/>
      <c r="BF244" s="20"/>
      <c r="BK244" s="22"/>
    </row>
    <row r="245" spans="1:63" ht="15" customHeight="1" x14ac:dyDescent="0.35">
      <c r="A245" s="19"/>
      <c r="E245" s="20"/>
      <c r="G245" s="19"/>
      <c r="H245" s="20"/>
      <c r="L245" s="19"/>
      <c r="M245" s="19"/>
      <c r="N245" s="19"/>
      <c r="X245" s="20"/>
      <c r="Y245" s="20"/>
      <c r="AA245" s="20"/>
      <c r="AB245" s="20"/>
      <c r="AC245" s="21"/>
      <c r="AD245" s="22"/>
      <c r="AE245" s="22"/>
      <c r="AG245" s="22"/>
      <c r="AI245" s="22"/>
      <c r="AK245" s="22"/>
      <c r="AM245" s="22"/>
      <c r="AP245" s="22"/>
      <c r="BC245" s="19"/>
      <c r="BD245" s="20"/>
      <c r="BF245" s="20"/>
      <c r="BK245" s="22"/>
    </row>
    <row r="246" spans="1:63" ht="15" customHeight="1" x14ac:dyDescent="0.35">
      <c r="A246" s="19"/>
      <c r="E246" s="20"/>
      <c r="G246" s="19"/>
      <c r="H246" s="20"/>
      <c r="L246" s="19"/>
      <c r="M246" s="19"/>
      <c r="N246" s="19"/>
      <c r="X246" s="20"/>
      <c r="Y246" s="20"/>
      <c r="AA246" s="20"/>
      <c r="AB246" s="20"/>
      <c r="AC246" s="21"/>
      <c r="AD246" s="22"/>
      <c r="AE246" s="22"/>
      <c r="AG246" s="22"/>
      <c r="AI246" s="22"/>
      <c r="AK246" s="22"/>
      <c r="AM246" s="22"/>
      <c r="AP246" s="22"/>
      <c r="BC246" s="19"/>
      <c r="BD246" s="20"/>
      <c r="BF246" s="20"/>
      <c r="BK246" s="22"/>
    </row>
    <row r="247" spans="1:63" ht="15" customHeight="1" x14ac:dyDescent="0.35">
      <c r="A247" s="19"/>
      <c r="E247" s="20"/>
      <c r="G247" s="19"/>
      <c r="H247" s="20"/>
      <c r="L247" s="19"/>
      <c r="M247" s="19"/>
      <c r="N247" s="19"/>
      <c r="X247" s="20"/>
      <c r="Y247" s="20"/>
      <c r="AA247" s="20"/>
      <c r="AB247" s="20"/>
      <c r="AC247" s="21"/>
      <c r="AD247" s="22"/>
      <c r="AE247" s="22"/>
      <c r="AG247" s="22"/>
      <c r="AI247" s="22"/>
      <c r="AK247" s="22"/>
      <c r="AM247" s="22"/>
      <c r="AP247" s="22"/>
      <c r="BC247" s="19"/>
      <c r="BD247" s="20"/>
      <c r="BF247" s="20"/>
      <c r="BK247" s="22"/>
    </row>
    <row r="248" spans="1:63" ht="15" customHeight="1" x14ac:dyDescent="0.35">
      <c r="A248" s="19"/>
      <c r="E248" s="20"/>
      <c r="G248" s="19"/>
      <c r="H248" s="20"/>
      <c r="L248" s="19"/>
      <c r="M248" s="19"/>
      <c r="N248" s="19"/>
      <c r="X248" s="20"/>
      <c r="Y248" s="20"/>
      <c r="AA248" s="20"/>
      <c r="AB248" s="20"/>
      <c r="AC248" s="21"/>
      <c r="AD248" s="22"/>
      <c r="AE248" s="22"/>
      <c r="AG248" s="22"/>
      <c r="AI248" s="22"/>
      <c r="AK248" s="22"/>
      <c r="AM248" s="22"/>
      <c r="AP248" s="22"/>
      <c r="BC248" s="19"/>
      <c r="BD248" s="20"/>
      <c r="BF248" s="20"/>
      <c r="BK248" s="22"/>
    </row>
    <row r="249" spans="1:63" ht="15" customHeight="1" x14ac:dyDescent="0.35">
      <c r="A249" s="19"/>
      <c r="E249" s="20"/>
      <c r="G249" s="19"/>
      <c r="H249" s="20"/>
      <c r="L249" s="19"/>
      <c r="M249" s="19"/>
      <c r="N249" s="19"/>
      <c r="X249" s="20"/>
      <c r="Y249" s="20"/>
      <c r="AA249" s="20"/>
      <c r="AB249" s="20"/>
      <c r="AC249" s="21"/>
      <c r="AD249" s="22"/>
      <c r="AE249" s="22"/>
      <c r="AG249" s="22"/>
      <c r="AI249" s="22"/>
      <c r="AK249" s="22"/>
      <c r="AM249" s="22"/>
      <c r="AP249" s="22"/>
      <c r="BC249" s="19"/>
      <c r="BD249" s="20"/>
      <c r="BF249" s="20"/>
      <c r="BK249" s="22"/>
    </row>
    <row r="250" spans="1:63" ht="15" customHeight="1" x14ac:dyDescent="0.35">
      <c r="A250" s="19"/>
      <c r="E250" s="20"/>
      <c r="G250" s="19"/>
      <c r="H250" s="20"/>
      <c r="L250" s="19"/>
      <c r="M250" s="19"/>
      <c r="N250" s="19"/>
      <c r="X250" s="20"/>
      <c r="Y250" s="20"/>
      <c r="AA250" s="20"/>
      <c r="AB250" s="20"/>
      <c r="AC250" s="21"/>
      <c r="AD250" s="22"/>
      <c r="AE250" s="22"/>
      <c r="AG250" s="22"/>
      <c r="AI250" s="22"/>
      <c r="AK250" s="22"/>
      <c r="AM250" s="22"/>
      <c r="AP250" s="22"/>
      <c r="BC250" s="19"/>
      <c r="BD250" s="20"/>
      <c r="BF250" s="20"/>
      <c r="BK250" s="22"/>
    </row>
    <row r="251" spans="1:63" ht="15" customHeight="1" x14ac:dyDescent="0.35">
      <c r="A251" s="19"/>
      <c r="E251" s="20"/>
      <c r="G251" s="19"/>
      <c r="H251" s="20"/>
      <c r="L251" s="19"/>
      <c r="M251" s="19"/>
      <c r="N251" s="19"/>
      <c r="X251" s="20"/>
      <c r="Y251" s="20"/>
      <c r="AA251" s="20"/>
      <c r="AB251" s="20"/>
      <c r="AC251" s="21"/>
      <c r="AD251" s="22"/>
      <c r="AE251" s="22"/>
      <c r="AG251" s="22"/>
      <c r="AI251" s="22"/>
      <c r="AK251" s="22"/>
      <c r="AM251" s="22"/>
      <c r="AP251" s="22"/>
      <c r="BC251" s="19"/>
      <c r="BD251" s="20"/>
      <c r="BF251" s="20"/>
      <c r="BK251" s="22"/>
    </row>
    <row r="252" spans="1:63" ht="15" customHeight="1" x14ac:dyDescent="0.35">
      <c r="A252" s="19"/>
      <c r="E252" s="20"/>
      <c r="G252" s="19"/>
      <c r="H252" s="20"/>
      <c r="L252" s="19"/>
      <c r="M252" s="19"/>
      <c r="N252" s="19"/>
      <c r="X252" s="20"/>
      <c r="Y252" s="20"/>
      <c r="AA252" s="20"/>
      <c r="AB252" s="20"/>
      <c r="AC252" s="21"/>
      <c r="AD252" s="22"/>
      <c r="AE252" s="22"/>
      <c r="AG252" s="22"/>
      <c r="AI252" s="22"/>
      <c r="AK252" s="22"/>
      <c r="AM252" s="22"/>
      <c r="AP252" s="22"/>
      <c r="BC252" s="19"/>
      <c r="BD252" s="20"/>
      <c r="BF252" s="20"/>
      <c r="BK252" s="22"/>
    </row>
    <row r="253" spans="1:63" ht="15" customHeight="1" x14ac:dyDescent="0.35">
      <c r="A253" s="19"/>
      <c r="E253" s="20"/>
      <c r="G253" s="19"/>
      <c r="H253" s="20"/>
      <c r="L253" s="19"/>
      <c r="M253" s="19"/>
      <c r="N253" s="19"/>
      <c r="X253" s="20"/>
      <c r="Y253" s="20"/>
      <c r="AA253" s="20"/>
      <c r="AB253" s="20"/>
      <c r="AC253" s="21"/>
      <c r="AD253" s="22"/>
      <c r="AE253" s="22"/>
      <c r="AG253" s="22"/>
      <c r="AI253" s="22"/>
      <c r="AK253" s="22"/>
      <c r="AM253" s="22"/>
      <c r="AP253" s="22"/>
      <c r="BC253" s="19"/>
      <c r="BD253" s="20"/>
      <c r="BF253" s="20"/>
      <c r="BK253" s="22"/>
    </row>
    <row r="254" spans="1:63" ht="15" customHeight="1" x14ac:dyDescent="0.35">
      <c r="A254" s="19"/>
      <c r="E254" s="20"/>
      <c r="G254" s="19"/>
      <c r="H254" s="20"/>
      <c r="L254" s="19"/>
      <c r="M254" s="19"/>
      <c r="N254" s="19"/>
      <c r="X254" s="20"/>
      <c r="Y254" s="20"/>
      <c r="AA254" s="20"/>
      <c r="AB254" s="20"/>
      <c r="AC254" s="21"/>
      <c r="AD254" s="22"/>
      <c r="AE254" s="22"/>
      <c r="AG254" s="22"/>
      <c r="AI254" s="22"/>
      <c r="AK254" s="22"/>
      <c r="AM254" s="22"/>
      <c r="AP254" s="22"/>
      <c r="BC254" s="19"/>
      <c r="BD254" s="20"/>
      <c r="BF254" s="20"/>
      <c r="BK254" s="22"/>
    </row>
    <row r="255" spans="1:63" ht="15" customHeight="1" x14ac:dyDescent="0.35">
      <c r="A255" s="19"/>
      <c r="E255" s="20"/>
      <c r="G255" s="19"/>
      <c r="H255" s="20"/>
      <c r="L255" s="19"/>
      <c r="M255" s="19"/>
      <c r="N255" s="19"/>
      <c r="X255" s="20"/>
      <c r="Y255" s="20"/>
      <c r="AA255" s="20"/>
      <c r="AB255" s="20"/>
      <c r="AC255" s="21"/>
      <c r="AD255" s="22"/>
      <c r="AE255" s="22"/>
      <c r="AG255" s="22"/>
      <c r="AI255" s="22"/>
      <c r="AK255" s="22"/>
      <c r="AM255" s="22"/>
      <c r="AP255" s="22"/>
      <c r="BC255" s="19"/>
      <c r="BD255" s="20"/>
      <c r="BF255" s="20"/>
      <c r="BK255" s="22"/>
    </row>
    <row r="256" spans="1:63" ht="15" customHeight="1" x14ac:dyDescent="0.35">
      <c r="A256" s="19"/>
      <c r="E256" s="20"/>
      <c r="G256" s="19"/>
      <c r="H256" s="20"/>
      <c r="L256" s="19"/>
      <c r="M256" s="19"/>
      <c r="N256" s="19"/>
      <c r="X256" s="20"/>
      <c r="Y256" s="20"/>
      <c r="AA256" s="20"/>
      <c r="AB256" s="20"/>
      <c r="AC256" s="21"/>
      <c r="AD256" s="22"/>
      <c r="AE256" s="22"/>
      <c r="AG256" s="22"/>
      <c r="AI256" s="22"/>
      <c r="AK256" s="22"/>
      <c r="AM256" s="22"/>
      <c r="AP256" s="22"/>
      <c r="BC256" s="19"/>
      <c r="BD256" s="20"/>
      <c r="BF256" s="20"/>
      <c r="BK256" s="22"/>
    </row>
    <row r="257" spans="1:63" ht="15" customHeight="1" x14ac:dyDescent="0.35">
      <c r="A257" s="19"/>
      <c r="E257" s="20"/>
      <c r="G257" s="19"/>
      <c r="H257" s="20"/>
      <c r="L257" s="19"/>
      <c r="M257" s="19"/>
      <c r="N257" s="19"/>
      <c r="X257" s="20"/>
      <c r="Y257" s="20"/>
      <c r="AA257" s="20"/>
      <c r="AB257" s="20"/>
      <c r="AC257" s="21"/>
      <c r="AD257" s="22"/>
      <c r="AE257" s="22"/>
      <c r="AG257" s="22"/>
      <c r="AI257" s="22"/>
      <c r="AK257" s="22"/>
      <c r="AM257" s="22"/>
      <c r="AP257" s="22"/>
      <c r="BC257" s="19"/>
      <c r="BD257" s="20"/>
      <c r="BF257" s="20"/>
      <c r="BK257" s="22"/>
    </row>
    <row r="258" spans="1:63" ht="15" customHeight="1" x14ac:dyDescent="0.35">
      <c r="A258" s="19"/>
      <c r="E258" s="20"/>
      <c r="G258" s="19"/>
      <c r="H258" s="20"/>
      <c r="L258" s="19"/>
      <c r="M258" s="19"/>
      <c r="N258" s="19"/>
      <c r="X258" s="20"/>
      <c r="Y258" s="20"/>
      <c r="AA258" s="20"/>
      <c r="AB258" s="20"/>
      <c r="AC258" s="21"/>
      <c r="AD258" s="22"/>
      <c r="AE258" s="22"/>
      <c r="AG258" s="22"/>
      <c r="AI258" s="22"/>
      <c r="AK258" s="22"/>
      <c r="AM258" s="22"/>
      <c r="AP258" s="22"/>
      <c r="BC258" s="19"/>
      <c r="BD258" s="20"/>
      <c r="BF258" s="20"/>
      <c r="BK258" s="22"/>
    </row>
    <row r="259" spans="1:63" ht="15" customHeight="1" x14ac:dyDescent="0.35">
      <c r="A259" s="19"/>
      <c r="E259" s="20"/>
      <c r="G259" s="19"/>
      <c r="H259" s="20"/>
      <c r="L259" s="19"/>
      <c r="M259" s="19"/>
      <c r="N259" s="19"/>
      <c r="X259" s="20"/>
      <c r="Y259" s="20"/>
      <c r="AA259" s="20"/>
      <c r="AB259" s="20"/>
      <c r="AC259" s="21"/>
      <c r="AD259" s="22"/>
      <c r="AE259" s="22"/>
      <c r="AG259" s="22"/>
      <c r="AI259" s="22"/>
      <c r="AK259" s="22"/>
      <c r="AM259" s="22"/>
      <c r="AP259" s="22"/>
      <c r="BC259" s="19"/>
      <c r="BD259" s="20"/>
      <c r="BF259" s="20"/>
      <c r="BK259" s="22"/>
    </row>
    <row r="260" spans="1:63" ht="15" customHeight="1" x14ac:dyDescent="0.35">
      <c r="A260" s="19"/>
      <c r="E260" s="20"/>
      <c r="G260" s="19"/>
      <c r="H260" s="20"/>
      <c r="L260" s="19"/>
      <c r="M260" s="19"/>
      <c r="N260" s="19"/>
      <c r="X260" s="20"/>
      <c r="Y260" s="20"/>
      <c r="AA260" s="20"/>
      <c r="AB260" s="20"/>
      <c r="AC260" s="21"/>
      <c r="AD260" s="22"/>
      <c r="AE260" s="22"/>
      <c r="AG260" s="22"/>
      <c r="AI260" s="22"/>
      <c r="AK260" s="22"/>
      <c r="AM260" s="22"/>
      <c r="AP260" s="22"/>
      <c r="BC260" s="19"/>
      <c r="BD260" s="20"/>
      <c r="BF260" s="20"/>
      <c r="BK260" s="22"/>
    </row>
    <row r="261" spans="1:63" ht="15" customHeight="1" x14ac:dyDescent="0.35">
      <c r="A261" s="19"/>
      <c r="E261" s="20"/>
      <c r="G261" s="19"/>
      <c r="H261" s="20"/>
      <c r="L261" s="19"/>
      <c r="M261" s="19"/>
      <c r="N261" s="19"/>
      <c r="X261" s="20"/>
      <c r="Y261" s="20"/>
      <c r="AA261" s="20"/>
      <c r="AB261" s="20"/>
      <c r="AC261" s="21"/>
      <c r="AD261" s="22"/>
      <c r="AE261" s="22"/>
      <c r="AG261" s="22"/>
      <c r="AI261" s="22"/>
      <c r="AK261" s="22"/>
      <c r="AM261" s="22"/>
      <c r="AP261" s="22"/>
      <c r="BC261" s="19"/>
      <c r="BD261" s="20"/>
      <c r="BF261" s="20"/>
      <c r="BK261" s="22"/>
    </row>
    <row r="262" spans="1:63" ht="15" customHeight="1" x14ac:dyDescent="0.35">
      <c r="A262" s="19"/>
      <c r="E262" s="20"/>
      <c r="G262" s="19"/>
      <c r="H262" s="20"/>
      <c r="L262" s="19"/>
      <c r="M262" s="19"/>
      <c r="N262" s="19"/>
      <c r="X262" s="20"/>
      <c r="Y262" s="20"/>
      <c r="AA262" s="20"/>
      <c r="AB262" s="20"/>
      <c r="AC262" s="21"/>
      <c r="AD262" s="22"/>
      <c r="AE262" s="22"/>
      <c r="AG262" s="22"/>
      <c r="AI262" s="22"/>
      <c r="AK262" s="22"/>
      <c r="AM262" s="22"/>
      <c r="AP262" s="22"/>
      <c r="BC262" s="19"/>
      <c r="BD262" s="20"/>
      <c r="BF262" s="20"/>
      <c r="BK262" s="22"/>
    </row>
    <row r="263" spans="1:63" ht="15" customHeight="1" x14ac:dyDescent="0.35">
      <c r="A263" s="19"/>
      <c r="E263" s="20"/>
      <c r="G263" s="19"/>
      <c r="H263" s="20"/>
      <c r="L263" s="19"/>
      <c r="M263" s="19"/>
      <c r="N263" s="19"/>
      <c r="X263" s="20"/>
      <c r="Y263" s="20"/>
      <c r="AA263" s="20"/>
      <c r="AB263" s="20"/>
      <c r="AC263" s="21"/>
      <c r="AD263" s="22"/>
      <c r="AE263" s="22"/>
      <c r="AG263" s="22"/>
      <c r="AI263" s="22"/>
      <c r="AK263" s="22"/>
      <c r="AM263" s="22"/>
      <c r="AP263" s="22"/>
      <c r="BC263" s="19"/>
      <c r="BD263" s="20"/>
      <c r="BF263" s="20"/>
      <c r="BK263" s="22"/>
    </row>
    <row r="264" spans="1:63" ht="15" customHeight="1" x14ac:dyDescent="0.35">
      <c r="A264" s="19"/>
      <c r="E264" s="20"/>
      <c r="G264" s="19"/>
      <c r="H264" s="20"/>
      <c r="L264" s="19"/>
      <c r="M264" s="19"/>
      <c r="N264" s="19"/>
      <c r="X264" s="20"/>
      <c r="Y264" s="20"/>
      <c r="AA264" s="20"/>
      <c r="AB264" s="20"/>
      <c r="AC264" s="21"/>
      <c r="AD264" s="22"/>
      <c r="AE264" s="22"/>
      <c r="AG264" s="22"/>
      <c r="AI264" s="22"/>
      <c r="AK264" s="22"/>
      <c r="AM264" s="22"/>
      <c r="AP264" s="22"/>
      <c r="BC264" s="19"/>
      <c r="BD264" s="20"/>
      <c r="BF264" s="20"/>
      <c r="BK264" s="22"/>
    </row>
    <row r="265" spans="1:63" ht="15" customHeight="1" x14ac:dyDescent="0.35">
      <c r="A265" s="19"/>
      <c r="E265" s="20"/>
      <c r="G265" s="19"/>
      <c r="H265" s="20"/>
      <c r="L265" s="19"/>
      <c r="M265" s="19"/>
      <c r="N265" s="19"/>
      <c r="X265" s="20"/>
      <c r="Y265" s="20"/>
      <c r="AA265" s="20"/>
      <c r="AB265" s="20"/>
      <c r="AC265" s="21"/>
      <c r="AD265" s="22"/>
      <c r="AE265" s="22"/>
      <c r="AG265" s="22"/>
      <c r="AI265" s="22"/>
      <c r="AK265" s="22"/>
      <c r="AM265" s="22"/>
      <c r="AP265" s="22"/>
      <c r="BC265" s="19"/>
      <c r="BD265" s="20"/>
      <c r="BF265" s="20"/>
      <c r="BK265" s="22"/>
    </row>
    <row r="266" spans="1:63" ht="15" customHeight="1" x14ac:dyDescent="0.35">
      <c r="A266" s="19"/>
      <c r="E266" s="20"/>
      <c r="G266" s="19"/>
      <c r="H266" s="20"/>
      <c r="L266" s="19"/>
      <c r="M266" s="19"/>
      <c r="N266" s="19"/>
      <c r="X266" s="20"/>
      <c r="Y266" s="20"/>
      <c r="AA266" s="20"/>
      <c r="AB266" s="20"/>
      <c r="AC266" s="21"/>
      <c r="AD266" s="22"/>
      <c r="AE266" s="22"/>
      <c r="AG266" s="22"/>
      <c r="AI266" s="22"/>
      <c r="AK266" s="22"/>
      <c r="AM266" s="22"/>
      <c r="AP266" s="22"/>
      <c r="BC266" s="19"/>
      <c r="BD266" s="20"/>
      <c r="BF266" s="20"/>
      <c r="BK266" s="22"/>
    </row>
    <row r="267" spans="1:63" ht="15" customHeight="1" x14ac:dyDescent="0.35">
      <c r="A267" s="19"/>
      <c r="E267" s="20"/>
      <c r="G267" s="19"/>
      <c r="H267" s="20"/>
      <c r="L267" s="19"/>
      <c r="M267" s="19"/>
      <c r="N267" s="19"/>
      <c r="X267" s="20"/>
      <c r="Y267" s="20"/>
      <c r="AA267" s="20"/>
      <c r="AB267" s="20"/>
      <c r="AC267" s="21"/>
      <c r="AD267" s="22"/>
      <c r="AE267" s="22"/>
      <c r="AG267" s="22"/>
      <c r="AI267" s="22"/>
      <c r="AK267" s="22"/>
      <c r="AM267" s="22"/>
      <c r="AP267" s="22"/>
      <c r="BC267" s="19"/>
      <c r="BD267" s="20"/>
      <c r="BF267" s="20"/>
      <c r="BK267" s="22"/>
    </row>
    <row r="268" spans="1:63" ht="15" customHeight="1" x14ac:dyDescent="0.35">
      <c r="A268" s="19"/>
      <c r="E268" s="20"/>
      <c r="G268" s="19"/>
      <c r="H268" s="20"/>
      <c r="L268" s="19"/>
      <c r="M268" s="19"/>
      <c r="N268" s="19"/>
      <c r="X268" s="20"/>
      <c r="Y268" s="20"/>
      <c r="AA268" s="20"/>
      <c r="AB268" s="20"/>
      <c r="AC268" s="21"/>
      <c r="AD268" s="22"/>
      <c r="AE268" s="22"/>
      <c r="AG268" s="22"/>
      <c r="AI268" s="22"/>
      <c r="AK268" s="22"/>
      <c r="AM268" s="22"/>
      <c r="AP268" s="22"/>
      <c r="BC268" s="19"/>
      <c r="BD268" s="20"/>
      <c r="BF268" s="20"/>
      <c r="BK268" s="22"/>
    </row>
    <row r="269" spans="1:63" ht="15" customHeight="1" x14ac:dyDescent="0.35">
      <c r="A269" s="19"/>
      <c r="E269" s="20"/>
      <c r="G269" s="19"/>
      <c r="H269" s="20"/>
      <c r="L269" s="19"/>
      <c r="M269" s="19"/>
      <c r="N269" s="19"/>
      <c r="X269" s="20"/>
      <c r="Y269" s="20"/>
      <c r="AA269" s="20"/>
      <c r="AB269" s="20"/>
      <c r="AC269" s="21"/>
      <c r="AD269" s="22"/>
      <c r="AE269" s="22"/>
      <c r="AG269" s="22"/>
      <c r="AI269" s="22"/>
      <c r="AK269" s="22"/>
      <c r="AM269" s="22"/>
      <c r="AP269" s="22"/>
      <c r="BC269" s="19"/>
      <c r="BD269" s="20"/>
      <c r="BF269" s="20"/>
      <c r="BK269" s="22"/>
    </row>
    <row r="270" spans="1:63" ht="15" customHeight="1" x14ac:dyDescent="0.35">
      <c r="A270" s="19"/>
      <c r="E270" s="20"/>
      <c r="G270" s="19"/>
      <c r="H270" s="20"/>
      <c r="L270" s="19"/>
      <c r="M270" s="19"/>
      <c r="N270" s="19"/>
      <c r="X270" s="20"/>
      <c r="Y270" s="20"/>
      <c r="AA270" s="20"/>
      <c r="AB270" s="20"/>
      <c r="AC270" s="21"/>
      <c r="AD270" s="22"/>
      <c r="AE270" s="22"/>
      <c r="AG270" s="22"/>
      <c r="AI270" s="22"/>
      <c r="AK270" s="22"/>
      <c r="AM270" s="22"/>
      <c r="AP270" s="22"/>
      <c r="BC270" s="19"/>
      <c r="BD270" s="20"/>
      <c r="BF270" s="20"/>
      <c r="BK270" s="22"/>
    </row>
    <row r="271" spans="1:63" ht="15" customHeight="1" x14ac:dyDescent="0.35">
      <c r="A271" s="19"/>
      <c r="E271" s="20"/>
      <c r="G271" s="19"/>
      <c r="H271" s="20"/>
      <c r="L271" s="19"/>
      <c r="M271" s="19"/>
      <c r="N271" s="19"/>
      <c r="X271" s="20"/>
      <c r="Y271" s="20"/>
      <c r="AA271" s="20"/>
      <c r="AB271" s="20"/>
      <c r="AC271" s="21"/>
      <c r="AD271" s="22"/>
      <c r="AE271" s="22"/>
      <c r="AG271" s="22"/>
      <c r="AI271" s="22"/>
      <c r="AK271" s="22"/>
      <c r="AM271" s="22"/>
      <c r="AP271" s="22"/>
      <c r="BC271" s="19"/>
      <c r="BD271" s="20"/>
      <c r="BF271" s="20"/>
      <c r="BK271" s="22"/>
    </row>
    <row r="272" spans="1:63" ht="15" customHeight="1" x14ac:dyDescent="0.35">
      <c r="A272" s="19"/>
      <c r="E272" s="20"/>
      <c r="G272" s="19"/>
      <c r="H272" s="20"/>
      <c r="L272" s="19"/>
      <c r="M272" s="19"/>
      <c r="N272" s="19"/>
      <c r="X272" s="20"/>
      <c r="Y272" s="20"/>
      <c r="AA272" s="20"/>
      <c r="AB272" s="20"/>
      <c r="AC272" s="21"/>
      <c r="AD272" s="22"/>
      <c r="AE272" s="22"/>
      <c r="AG272" s="22"/>
      <c r="AI272" s="22"/>
      <c r="AK272" s="22"/>
      <c r="AM272" s="22"/>
      <c r="AP272" s="22"/>
      <c r="BC272" s="19"/>
      <c r="BD272" s="20"/>
      <c r="BF272" s="20"/>
      <c r="BK272" s="22"/>
    </row>
    <row r="273" spans="1:63" ht="15" customHeight="1" x14ac:dyDescent="0.35">
      <c r="A273" s="19"/>
      <c r="E273" s="20"/>
      <c r="G273" s="19"/>
      <c r="H273" s="20"/>
      <c r="L273" s="19"/>
      <c r="M273" s="19"/>
      <c r="N273" s="19"/>
      <c r="X273" s="20"/>
      <c r="Y273" s="20"/>
      <c r="AA273" s="20"/>
      <c r="AB273" s="20"/>
      <c r="AC273" s="21"/>
      <c r="AD273" s="22"/>
      <c r="AE273" s="22"/>
      <c r="AG273" s="22"/>
      <c r="AI273" s="22"/>
      <c r="AK273" s="22"/>
      <c r="AM273" s="22"/>
      <c r="AP273" s="22"/>
      <c r="BC273" s="19"/>
      <c r="BD273" s="20"/>
      <c r="BF273" s="20"/>
      <c r="BK273" s="22"/>
    </row>
    <row r="274" spans="1:63" ht="15" customHeight="1" x14ac:dyDescent="0.35">
      <c r="A274" s="19"/>
      <c r="E274" s="20"/>
      <c r="G274" s="19"/>
      <c r="H274" s="20"/>
      <c r="L274" s="19"/>
      <c r="M274" s="19"/>
      <c r="N274" s="19"/>
      <c r="X274" s="20"/>
      <c r="Y274" s="20"/>
      <c r="AA274" s="20"/>
      <c r="AB274" s="20"/>
      <c r="AC274" s="21"/>
      <c r="AD274" s="22"/>
      <c r="AE274" s="22"/>
      <c r="AG274" s="22"/>
      <c r="AI274" s="22"/>
      <c r="AK274" s="22"/>
      <c r="AM274" s="22"/>
      <c r="AP274" s="22"/>
      <c r="BC274" s="19"/>
      <c r="BD274" s="20"/>
      <c r="BF274" s="20"/>
      <c r="BK274" s="22"/>
    </row>
    <row r="275" spans="1:63" ht="15" customHeight="1" x14ac:dyDescent="0.35">
      <c r="A275" s="19"/>
      <c r="E275" s="20"/>
      <c r="G275" s="19"/>
      <c r="H275" s="20"/>
      <c r="L275" s="19"/>
      <c r="M275" s="19"/>
      <c r="N275" s="19"/>
      <c r="X275" s="20"/>
      <c r="Y275" s="20"/>
      <c r="AA275" s="20"/>
      <c r="AB275" s="20"/>
      <c r="AC275" s="21"/>
      <c r="AD275" s="22"/>
      <c r="AE275" s="22"/>
      <c r="AG275" s="22"/>
      <c r="AI275" s="22"/>
      <c r="AK275" s="22"/>
      <c r="AM275" s="22"/>
      <c r="AP275" s="22"/>
      <c r="BC275" s="19"/>
      <c r="BD275" s="20"/>
      <c r="BF275" s="20"/>
      <c r="BK275" s="22"/>
    </row>
    <row r="276" spans="1:63" ht="15" customHeight="1" x14ac:dyDescent="0.35">
      <c r="A276" s="19"/>
      <c r="E276" s="20"/>
      <c r="G276" s="19"/>
      <c r="H276" s="20"/>
      <c r="L276" s="19"/>
      <c r="M276" s="19"/>
      <c r="N276" s="19"/>
      <c r="X276" s="20"/>
      <c r="Y276" s="20"/>
      <c r="AA276" s="20"/>
      <c r="AB276" s="20"/>
      <c r="AC276" s="21"/>
      <c r="AD276" s="22"/>
      <c r="AE276" s="22"/>
      <c r="AG276" s="22"/>
      <c r="AI276" s="22"/>
      <c r="AK276" s="22"/>
      <c r="AM276" s="22"/>
      <c r="AP276" s="22"/>
      <c r="BC276" s="19"/>
      <c r="BD276" s="20"/>
      <c r="BF276" s="20"/>
      <c r="BK276" s="22"/>
    </row>
    <row r="277" spans="1:63" ht="15" customHeight="1" x14ac:dyDescent="0.35">
      <c r="A277" s="19"/>
      <c r="E277" s="20"/>
      <c r="G277" s="19"/>
      <c r="H277" s="20"/>
      <c r="L277" s="19"/>
      <c r="M277" s="19"/>
      <c r="N277" s="19"/>
      <c r="X277" s="20"/>
      <c r="Y277" s="20"/>
      <c r="AA277" s="20"/>
      <c r="AB277" s="20"/>
      <c r="AC277" s="21"/>
      <c r="AD277" s="22"/>
      <c r="AE277" s="22"/>
      <c r="AG277" s="22"/>
      <c r="AI277" s="22"/>
      <c r="AK277" s="22"/>
      <c r="AM277" s="22"/>
      <c r="AP277" s="22"/>
      <c r="BC277" s="19"/>
      <c r="BD277" s="20"/>
      <c r="BF277" s="20"/>
      <c r="BK277" s="22"/>
    </row>
    <row r="278" spans="1:63" ht="15" customHeight="1" x14ac:dyDescent="0.35">
      <c r="A278" s="19"/>
      <c r="E278" s="20"/>
      <c r="G278" s="19"/>
      <c r="H278" s="20"/>
      <c r="L278" s="19"/>
      <c r="M278" s="19"/>
      <c r="N278" s="19"/>
      <c r="X278" s="20"/>
      <c r="Y278" s="20"/>
      <c r="AA278" s="20"/>
      <c r="AB278" s="20"/>
      <c r="AC278" s="21"/>
      <c r="AD278" s="22"/>
      <c r="AE278" s="22"/>
      <c r="AG278" s="22"/>
      <c r="AI278" s="22"/>
      <c r="AK278" s="22"/>
      <c r="AM278" s="22"/>
      <c r="AP278" s="22"/>
      <c r="BC278" s="19"/>
      <c r="BD278" s="20"/>
      <c r="BF278" s="20"/>
      <c r="BK278" s="22"/>
    </row>
    <row r="279" spans="1:63" ht="15" customHeight="1" x14ac:dyDescent="0.35">
      <c r="A279" s="19"/>
      <c r="E279" s="20"/>
      <c r="G279" s="19"/>
      <c r="H279" s="20"/>
      <c r="L279" s="19"/>
      <c r="M279" s="19"/>
      <c r="N279" s="19"/>
      <c r="X279" s="20"/>
      <c r="Y279" s="20"/>
      <c r="AA279" s="20"/>
      <c r="AB279" s="20"/>
      <c r="AC279" s="21"/>
      <c r="AD279" s="22"/>
      <c r="AE279" s="22"/>
      <c r="AG279" s="22"/>
      <c r="AI279" s="22"/>
      <c r="AK279" s="22"/>
      <c r="AM279" s="22"/>
      <c r="AP279" s="22"/>
      <c r="BC279" s="19"/>
      <c r="BD279" s="20"/>
      <c r="BF279" s="20"/>
      <c r="BK279" s="22"/>
    </row>
    <row r="280" spans="1:63" ht="15" customHeight="1" x14ac:dyDescent="0.35">
      <c r="A280" s="19"/>
      <c r="E280" s="20"/>
      <c r="G280" s="19"/>
      <c r="H280" s="20"/>
      <c r="L280" s="19"/>
      <c r="M280" s="19"/>
      <c r="N280" s="19"/>
      <c r="X280" s="20"/>
      <c r="Y280" s="20"/>
      <c r="AA280" s="20"/>
      <c r="AB280" s="20"/>
      <c r="AC280" s="21"/>
      <c r="AD280" s="22"/>
      <c r="AE280" s="22"/>
      <c r="AG280" s="22"/>
      <c r="AI280" s="22"/>
      <c r="AK280" s="22"/>
      <c r="AM280" s="22"/>
      <c r="AP280" s="22"/>
      <c r="BC280" s="19"/>
      <c r="BD280" s="20"/>
      <c r="BF280" s="20"/>
      <c r="BK280" s="22"/>
    </row>
    <row r="281" spans="1:63" ht="15" customHeight="1" x14ac:dyDescent="0.35">
      <c r="A281" s="19"/>
      <c r="E281" s="20"/>
      <c r="G281" s="19"/>
      <c r="H281" s="20"/>
      <c r="L281" s="19"/>
      <c r="M281" s="19"/>
      <c r="N281" s="19"/>
      <c r="X281" s="20"/>
      <c r="Y281" s="20"/>
      <c r="AA281" s="20"/>
      <c r="AB281" s="20"/>
      <c r="AC281" s="21"/>
      <c r="AD281" s="22"/>
      <c r="AE281" s="22"/>
      <c r="AG281" s="22"/>
      <c r="AI281" s="22"/>
      <c r="AK281" s="22"/>
      <c r="AM281" s="22"/>
      <c r="AP281" s="22"/>
      <c r="BC281" s="19"/>
      <c r="BD281" s="20"/>
      <c r="BF281" s="20"/>
      <c r="BK281" s="22"/>
    </row>
    <row r="282" spans="1:63" ht="15" customHeight="1" x14ac:dyDescent="0.35">
      <c r="A282" s="19"/>
      <c r="E282" s="20"/>
      <c r="G282" s="19"/>
      <c r="H282" s="20"/>
      <c r="L282" s="19"/>
      <c r="M282" s="19"/>
      <c r="N282" s="19"/>
      <c r="X282" s="20"/>
      <c r="Y282" s="20"/>
      <c r="AA282" s="20"/>
      <c r="AB282" s="20"/>
      <c r="AC282" s="21"/>
      <c r="AD282" s="22"/>
      <c r="AE282" s="22"/>
      <c r="AG282" s="22"/>
      <c r="AI282" s="22"/>
      <c r="AK282" s="22"/>
      <c r="AM282" s="22"/>
      <c r="AP282" s="22"/>
      <c r="BC282" s="19"/>
      <c r="BD282" s="20"/>
      <c r="BF282" s="20"/>
      <c r="BK282" s="22"/>
    </row>
    <row r="283" spans="1:63" ht="15" customHeight="1" x14ac:dyDescent="0.35">
      <c r="A283" s="19"/>
      <c r="E283" s="20"/>
      <c r="G283" s="19"/>
      <c r="H283" s="20"/>
      <c r="L283" s="19"/>
      <c r="M283" s="19"/>
      <c r="N283" s="19"/>
      <c r="X283" s="20"/>
      <c r="Y283" s="20"/>
      <c r="AA283" s="20"/>
      <c r="AB283" s="20"/>
      <c r="AC283" s="21"/>
      <c r="AD283" s="22"/>
      <c r="AE283" s="22"/>
      <c r="AG283" s="22"/>
      <c r="AI283" s="22"/>
      <c r="AK283" s="22"/>
      <c r="AM283" s="22"/>
      <c r="AP283" s="22"/>
      <c r="BC283" s="19"/>
      <c r="BD283" s="20"/>
      <c r="BF283" s="20"/>
      <c r="BK283" s="22"/>
    </row>
    <row r="284" spans="1:63" ht="15" customHeight="1" x14ac:dyDescent="0.35">
      <c r="A284" s="19"/>
      <c r="E284" s="20"/>
      <c r="G284" s="19"/>
      <c r="H284" s="20"/>
      <c r="L284" s="19"/>
      <c r="M284" s="19"/>
      <c r="N284" s="19"/>
      <c r="X284" s="20"/>
      <c r="Y284" s="20"/>
      <c r="AA284" s="20"/>
      <c r="AB284" s="20"/>
      <c r="AC284" s="21"/>
      <c r="AD284" s="22"/>
      <c r="AE284" s="22"/>
      <c r="AG284" s="22"/>
      <c r="AI284" s="22"/>
      <c r="AK284" s="22"/>
      <c r="AM284" s="22"/>
      <c r="AP284" s="22"/>
      <c r="BC284" s="19"/>
      <c r="BD284" s="20"/>
      <c r="BF284" s="20"/>
      <c r="BK284" s="22"/>
    </row>
    <row r="285" spans="1:63" ht="15" customHeight="1" x14ac:dyDescent="0.35">
      <c r="A285" s="19"/>
      <c r="E285" s="20"/>
      <c r="G285" s="19"/>
      <c r="H285" s="20"/>
      <c r="L285" s="19"/>
      <c r="M285" s="19"/>
      <c r="N285" s="19"/>
      <c r="X285" s="20"/>
      <c r="Y285" s="20"/>
      <c r="AA285" s="20"/>
      <c r="AB285" s="20"/>
      <c r="AC285" s="21"/>
      <c r="AD285" s="22"/>
      <c r="AE285" s="22"/>
      <c r="AG285" s="22"/>
      <c r="AI285" s="22"/>
      <c r="AK285" s="22"/>
      <c r="AM285" s="22"/>
      <c r="AP285" s="22"/>
      <c r="BC285" s="19"/>
      <c r="BD285" s="20"/>
      <c r="BF285" s="20"/>
      <c r="BK285" s="22"/>
    </row>
    <row r="286" spans="1:63" ht="15" customHeight="1" x14ac:dyDescent="0.35">
      <c r="A286" s="19"/>
      <c r="E286" s="20"/>
      <c r="G286" s="19"/>
      <c r="H286" s="20"/>
      <c r="L286" s="19"/>
      <c r="M286" s="19"/>
      <c r="N286" s="19"/>
      <c r="X286" s="20"/>
      <c r="Y286" s="20"/>
      <c r="AA286" s="20"/>
      <c r="AB286" s="20"/>
      <c r="AC286" s="21"/>
      <c r="AD286" s="22"/>
      <c r="AE286" s="22"/>
      <c r="AG286" s="22"/>
      <c r="AI286" s="22"/>
      <c r="AK286" s="22"/>
      <c r="AM286" s="22"/>
      <c r="AP286" s="22"/>
      <c r="BC286" s="19"/>
      <c r="BD286" s="20"/>
      <c r="BF286" s="20"/>
      <c r="BK286" s="22"/>
    </row>
    <row r="287" spans="1:63" ht="15" customHeight="1" x14ac:dyDescent="0.35">
      <c r="A287" s="19"/>
      <c r="E287" s="20"/>
      <c r="G287" s="19"/>
      <c r="H287" s="20"/>
      <c r="L287" s="19"/>
      <c r="M287" s="19"/>
      <c r="N287" s="19"/>
      <c r="X287" s="20"/>
      <c r="Y287" s="20"/>
      <c r="AA287" s="20"/>
      <c r="AB287" s="20"/>
      <c r="AC287" s="21"/>
      <c r="AD287" s="22"/>
      <c r="AE287" s="22"/>
      <c r="AG287" s="22"/>
      <c r="AI287" s="22"/>
      <c r="AK287" s="22"/>
      <c r="AM287" s="22"/>
      <c r="AP287" s="22"/>
      <c r="BC287" s="19"/>
      <c r="BD287" s="20"/>
      <c r="BF287" s="20"/>
      <c r="BK287" s="22"/>
    </row>
    <row r="288" spans="1:63" ht="15" customHeight="1" x14ac:dyDescent="0.35">
      <c r="A288" s="19"/>
      <c r="E288" s="20"/>
      <c r="G288" s="19"/>
      <c r="H288" s="20"/>
      <c r="L288" s="19"/>
      <c r="M288" s="19"/>
      <c r="N288" s="19"/>
      <c r="X288" s="20"/>
      <c r="Y288" s="20"/>
      <c r="AA288" s="20"/>
      <c r="AB288" s="20"/>
      <c r="AC288" s="21"/>
      <c r="AD288" s="22"/>
      <c r="AE288" s="22"/>
      <c r="AG288" s="22"/>
      <c r="AI288" s="22"/>
      <c r="AK288" s="22"/>
      <c r="AM288" s="22"/>
      <c r="AP288" s="22"/>
      <c r="BC288" s="19"/>
      <c r="BD288" s="20"/>
      <c r="BF288" s="20"/>
      <c r="BK288" s="22"/>
    </row>
    <row r="289" spans="1:63" ht="15" customHeight="1" x14ac:dyDescent="0.35">
      <c r="A289" s="19"/>
      <c r="E289" s="20"/>
      <c r="G289" s="19"/>
      <c r="H289" s="20"/>
      <c r="L289" s="19"/>
      <c r="M289" s="19"/>
      <c r="N289" s="19"/>
      <c r="X289" s="20"/>
      <c r="Y289" s="20"/>
      <c r="AA289" s="20"/>
      <c r="AB289" s="20"/>
      <c r="AC289" s="21"/>
      <c r="AD289" s="22"/>
      <c r="AE289" s="22"/>
      <c r="AG289" s="22"/>
      <c r="AI289" s="22"/>
      <c r="AK289" s="22"/>
      <c r="AM289" s="22"/>
      <c r="AP289" s="22"/>
      <c r="BC289" s="19"/>
      <c r="BD289" s="20"/>
      <c r="BF289" s="20"/>
      <c r="BK289" s="22"/>
    </row>
    <row r="290" spans="1:63" ht="15" customHeight="1" x14ac:dyDescent="0.35">
      <c r="A290" s="19"/>
      <c r="E290" s="20"/>
      <c r="G290" s="19"/>
      <c r="H290" s="20"/>
      <c r="L290" s="19"/>
      <c r="M290" s="19"/>
      <c r="N290" s="19"/>
      <c r="X290" s="20"/>
      <c r="Y290" s="20"/>
      <c r="AA290" s="20"/>
      <c r="AB290" s="20"/>
      <c r="AC290" s="21"/>
      <c r="AD290" s="22"/>
      <c r="AE290" s="22"/>
      <c r="AG290" s="22"/>
      <c r="AI290" s="22"/>
      <c r="AK290" s="22"/>
      <c r="AM290" s="22"/>
      <c r="AP290" s="22"/>
      <c r="BC290" s="19"/>
      <c r="BD290" s="20"/>
      <c r="BF290" s="20"/>
      <c r="BK290" s="22"/>
    </row>
    <row r="291" spans="1:63" ht="15" customHeight="1" x14ac:dyDescent="0.35">
      <c r="A291" s="19"/>
      <c r="E291" s="20"/>
      <c r="G291" s="19"/>
      <c r="H291" s="20"/>
      <c r="L291" s="19"/>
      <c r="M291" s="19"/>
      <c r="N291" s="19"/>
      <c r="X291" s="20"/>
      <c r="Y291" s="20"/>
      <c r="AA291" s="20"/>
      <c r="AB291" s="20"/>
      <c r="AC291" s="21"/>
      <c r="AD291" s="22"/>
      <c r="AE291" s="22"/>
      <c r="AG291" s="22"/>
      <c r="AI291" s="22"/>
      <c r="AK291" s="22"/>
      <c r="AM291" s="22"/>
      <c r="AP291" s="22"/>
      <c r="BC291" s="19"/>
      <c r="BD291" s="20"/>
      <c r="BF291" s="20"/>
      <c r="BK291" s="22"/>
    </row>
    <row r="292" spans="1:63" ht="15" customHeight="1" x14ac:dyDescent="0.35">
      <c r="A292" s="19"/>
      <c r="E292" s="20"/>
      <c r="G292" s="19"/>
      <c r="H292" s="20"/>
      <c r="L292" s="19"/>
      <c r="M292" s="19"/>
      <c r="N292" s="19"/>
      <c r="X292" s="20"/>
      <c r="Y292" s="20"/>
      <c r="AA292" s="20"/>
      <c r="AB292" s="20"/>
      <c r="AC292" s="21"/>
      <c r="AD292" s="22"/>
      <c r="AE292" s="22"/>
      <c r="AG292" s="22"/>
      <c r="AI292" s="22"/>
      <c r="AK292" s="22"/>
      <c r="AM292" s="22"/>
      <c r="AP292" s="22"/>
      <c r="BC292" s="19"/>
      <c r="BD292" s="20"/>
      <c r="BF292" s="20"/>
      <c r="BK292" s="22"/>
    </row>
    <row r="293" spans="1:63" ht="15" customHeight="1" x14ac:dyDescent="0.35">
      <c r="A293" s="19"/>
      <c r="E293" s="20"/>
      <c r="G293" s="19"/>
      <c r="H293" s="20"/>
      <c r="L293" s="19"/>
      <c r="M293" s="19"/>
      <c r="N293" s="19"/>
      <c r="X293" s="20"/>
      <c r="Y293" s="20"/>
      <c r="AA293" s="20"/>
      <c r="AB293" s="20"/>
      <c r="AC293" s="21"/>
      <c r="AD293" s="22"/>
      <c r="AE293" s="22"/>
      <c r="AG293" s="22"/>
      <c r="AI293" s="22"/>
      <c r="AK293" s="22"/>
      <c r="AM293" s="22"/>
      <c r="AP293" s="22"/>
      <c r="BC293" s="19"/>
      <c r="BD293" s="20"/>
      <c r="BF293" s="20"/>
      <c r="BK293" s="22"/>
    </row>
    <row r="294" spans="1:63" ht="15" customHeight="1" x14ac:dyDescent="0.35">
      <c r="A294" s="19"/>
      <c r="E294" s="20"/>
      <c r="G294" s="19"/>
      <c r="H294" s="20"/>
      <c r="L294" s="19"/>
      <c r="M294" s="19"/>
      <c r="N294" s="19"/>
      <c r="X294" s="20"/>
      <c r="Y294" s="20"/>
      <c r="AA294" s="20"/>
      <c r="AB294" s="20"/>
      <c r="AC294" s="21"/>
      <c r="AD294" s="22"/>
      <c r="AE294" s="22"/>
      <c r="AG294" s="22"/>
      <c r="AI294" s="22"/>
      <c r="AK294" s="22"/>
      <c r="AM294" s="22"/>
      <c r="AP294" s="22"/>
      <c r="BC294" s="19"/>
      <c r="BD294" s="20"/>
      <c r="BF294" s="20"/>
      <c r="BK294" s="22"/>
    </row>
    <row r="295" spans="1:63" ht="15" customHeight="1" x14ac:dyDescent="0.35">
      <c r="A295" s="19"/>
      <c r="E295" s="20"/>
      <c r="G295" s="19"/>
      <c r="H295" s="20"/>
      <c r="L295" s="19"/>
      <c r="M295" s="19"/>
      <c r="N295" s="19"/>
      <c r="X295" s="20"/>
      <c r="Y295" s="20"/>
      <c r="AA295" s="20"/>
      <c r="AB295" s="20"/>
      <c r="AC295" s="21"/>
      <c r="AD295" s="22"/>
      <c r="AE295" s="22"/>
      <c r="AG295" s="22"/>
      <c r="AI295" s="22"/>
      <c r="AK295" s="22"/>
      <c r="AM295" s="22"/>
      <c r="AP295" s="22"/>
      <c r="BC295" s="19"/>
      <c r="BD295" s="20"/>
      <c r="BF295" s="20"/>
      <c r="BK295" s="22"/>
    </row>
    <row r="296" spans="1:63" ht="15" customHeight="1" x14ac:dyDescent="0.35">
      <c r="A296" s="19"/>
      <c r="E296" s="20"/>
      <c r="G296" s="19"/>
      <c r="H296" s="20"/>
      <c r="L296" s="19"/>
      <c r="M296" s="19"/>
      <c r="N296" s="19"/>
      <c r="X296" s="20"/>
      <c r="Y296" s="20"/>
      <c r="AA296" s="20"/>
      <c r="AB296" s="20"/>
      <c r="AC296" s="21"/>
      <c r="AD296" s="22"/>
      <c r="AE296" s="22"/>
      <c r="AG296" s="22"/>
      <c r="AI296" s="22"/>
      <c r="AK296" s="22"/>
      <c r="AM296" s="22"/>
      <c r="AP296" s="22"/>
      <c r="BC296" s="19"/>
      <c r="BD296" s="20"/>
      <c r="BF296" s="20"/>
      <c r="BK296" s="22"/>
    </row>
    <row r="297" spans="1:63" ht="15" customHeight="1" x14ac:dyDescent="0.35">
      <c r="A297" s="19"/>
      <c r="E297" s="20"/>
      <c r="G297" s="19"/>
      <c r="H297" s="20"/>
      <c r="L297" s="19"/>
      <c r="M297" s="19"/>
      <c r="N297" s="19"/>
      <c r="X297" s="20"/>
      <c r="Y297" s="20"/>
      <c r="AA297" s="20"/>
      <c r="AB297" s="20"/>
      <c r="AC297" s="21"/>
      <c r="AD297" s="22"/>
      <c r="AE297" s="22"/>
      <c r="AG297" s="22"/>
      <c r="AI297" s="22"/>
      <c r="AK297" s="22"/>
      <c r="AM297" s="22"/>
      <c r="AP297" s="22"/>
      <c r="BC297" s="19"/>
      <c r="BD297" s="20"/>
      <c r="BF297" s="20"/>
      <c r="BK297" s="22"/>
    </row>
    <row r="298" spans="1:63" ht="15" customHeight="1" x14ac:dyDescent="0.35">
      <c r="A298" s="19"/>
      <c r="E298" s="20"/>
      <c r="G298" s="19"/>
      <c r="H298" s="20"/>
      <c r="L298" s="19"/>
      <c r="M298" s="19"/>
      <c r="N298" s="19"/>
      <c r="X298" s="20"/>
      <c r="Y298" s="20"/>
      <c r="AA298" s="20"/>
      <c r="AB298" s="20"/>
      <c r="AC298" s="21"/>
      <c r="AD298" s="22"/>
      <c r="AE298" s="22"/>
      <c r="AG298" s="22"/>
      <c r="AI298" s="22"/>
      <c r="AK298" s="22"/>
      <c r="AM298" s="22"/>
      <c r="AP298" s="22"/>
      <c r="BC298" s="19"/>
      <c r="BD298" s="20"/>
      <c r="BF298" s="20"/>
      <c r="BK298" s="22"/>
    </row>
    <row r="299" spans="1:63" ht="15" customHeight="1" x14ac:dyDescent="0.35">
      <c r="A299" s="19"/>
      <c r="E299" s="20"/>
      <c r="G299" s="19"/>
      <c r="H299" s="20"/>
      <c r="L299" s="19"/>
      <c r="M299" s="19"/>
      <c r="N299" s="19"/>
      <c r="X299" s="20"/>
      <c r="Y299" s="20"/>
      <c r="AA299" s="20"/>
      <c r="AB299" s="20"/>
      <c r="AC299" s="21"/>
      <c r="AD299" s="22"/>
      <c r="AE299" s="22"/>
      <c r="AG299" s="22"/>
      <c r="AI299" s="22"/>
      <c r="AK299" s="22"/>
      <c r="AM299" s="22"/>
      <c r="AP299" s="22"/>
      <c r="BC299" s="19"/>
      <c r="BD299" s="20"/>
      <c r="BF299" s="20"/>
      <c r="BK299" s="22"/>
    </row>
    <row r="300" spans="1:63" ht="15" customHeight="1" x14ac:dyDescent="0.35">
      <c r="A300" s="19"/>
      <c r="E300" s="20"/>
      <c r="G300" s="19"/>
      <c r="H300" s="20"/>
      <c r="L300" s="19"/>
      <c r="M300" s="19"/>
      <c r="N300" s="19"/>
      <c r="X300" s="20"/>
      <c r="Y300" s="20"/>
      <c r="AA300" s="20"/>
      <c r="AB300" s="20"/>
      <c r="AC300" s="21"/>
      <c r="AD300" s="22"/>
      <c r="AE300" s="22"/>
      <c r="AG300" s="22"/>
      <c r="AI300" s="22"/>
      <c r="AK300" s="22"/>
      <c r="AM300" s="22"/>
      <c r="AP300" s="22"/>
      <c r="BC300" s="19"/>
      <c r="BD300" s="20"/>
      <c r="BF300" s="20"/>
      <c r="BK300" s="22"/>
    </row>
    <row r="301" spans="1:63" ht="15" customHeight="1" x14ac:dyDescent="0.35">
      <c r="A301" s="19"/>
      <c r="E301" s="20"/>
      <c r="G301" s="19"/>
      <c r="H301" s="20"/>
      <c r="L301" s="19"/>
      <c r="M301" s="19"/>
      <c r="N301" s="19"/>
      <c r="X301" s="20"/>
      <c r="Y301" s="20"/>
      <c r="AA301" s="20"/>
      <c r="AB301" s="20"/>
      <c r="AC301" s="21"/>
      <c r="AD301" s="22"/>
      <c r="AE301" s="22"/>
      <c r="AG301" s="22"/>
      <c r="AI301" s="22"/>
      <c r="AK301" s="22"/>
      <c r="AM301" s="22"/>
      <c r="AP301" s="22"/>
      <c r="BC301" s="19"/>
      <c r="BD301" s="20"/>
      <c r="BF301" s="20"/>
      <c r="BK301" s="22"/>
    </row>
    <row r="302" spans="1:63" ht="15" customHeight="1" x14ac:dyDescent="0.35">
      <c r="A302" s="19"/>
      <c r="E302" s="20"/>
      <c r="G302" s="19"/>
      <c r="H302" s="20"/>
      <c r="L302" s="19"/>
      <c r="M302" s="19"/>
      <c r="N302" s="19"/>
      <c r="X302" s="20"/>
      <c r="Y302" s="20"/>
      <c r="AA302" s="20"/>
      <c r="AB302" s="20"/>
      <c r="AC302" s="21"/>
      <c r="AD302" s="22"/>
      <c r="AE302" s="22"/>
      <c r="AG302" s="22"/>
      <c r="AI302" s="22"/>
      <c r="AK302" s="22"/>
      <c r="AM302" s="22"/>
      <c r="AP302" s="22"/>
      <c r="BC302" s="19"/>
      <c r="BD302" s="20"/>
      <c r="BF302" s="20"/>
      <c r="BK302" s="22"/>
    </row>
    <row r="303" spans="1:63" ht="15" customHeight="1" x14ac:dyDescent="0.35">
      <c r="A303" s="19"/>
      <c r="E303" s="20"/>
      <c r="G303" s="19"/>
      <c r="H303" s="20"/>
      <c r="L303" s="19"/>
      <c r="M303" s="19"/>
      <c r="N303" s="19"/>
      <c r="X303" s="20"/>
      <c r="Y303" s="20"/>
      <c r="AA303" s="20"/>
      <c r="AB303" s="20"/>
      <c r="AC303" s="21"/>
      <c r="AD303" s="22"/>
      <c r="AE303" s="22"/>
      <c r="AG303" s="22"/>
      <c r="AI303" s="22"/>
      <c r="AK303" s="22"/>
      <c r="AM303" s="22"/>
      <c r="AP303" s="22"/>
      <c r="BC303" s="19"/>
      <c r="BD303" s="20"/>
      <c r="BF303" s="20"/>
      <c r="BK303" s="22"/>
    </row>
    <row r="304" spans="1:63" ht="15" customHeight="1" x14ac:dyDescent="0.35">
      <c r="A304" s="19"/>
      <c r="E304" s="20"/>
      <c r="G304" s="19"/>
      <c r="H304" s="20"/>
      <c r="L304" s="19"/>
      <c r="M304" s="19"/>
      <c r="N304" s="19"/>
      <c r="X304" s="20"/>
      <c r="Y304" s="20"/>
      <c r="AA304" s="20"/>
      <c r="AB304" s="20"/>
      <c r="AC304" s="21"/>
      <c r="AD304" s="22"/>
      <c r="AE304" s="22"/>
      <c r="AG304" s="22"/>
      <c r="AI304" s="22"/>
      <c r="AK304" s="22"/>
      <c r="AM304" s="22"/>
      <c r="AP304" s="22"/>
      <c r="BC304" s="19"/>
      <c r="BD304" s="20"/>
      <c r="BF304" s="20"/>
      <c r="BK304" s="22"/>
    </row>
    <row r="305" spans="1:63" ht="15" customHeight="1" x14ac:dyDescent="0.35">
      <c r="A305" s="19"/>
      <c r="E305" s="20"/>
      <c r="G305" s="19"/>
      <c r="H305" s="20"/>
      <c r="L305" s="19"/>
      <c r="M305" s="19"/>
      <c r="N305" s="19"/>
      <c r="X305" s="20"/>
      <c r="Y305" s="20"/>
      <c r="AA305" s="20"/>
      <c r="AB305" s="20"/>
      <c r="AC305" s="21"/>
      <c r="AD305" s="22"/>
      <c r="AE305" s="22"/>
      <c r="AG305" s="22"/>
      <c r="AI305" s="22"/>
      <c r="AK305" s="22"/>
      <c r="AM305" s="22"/>
      <c r="AP305" s="22"/>
      <c r="BC305" s="19"/>
      <c r="BD305" s="20"/>
      <c r="BF305" s="20"/>
      <c r="BK305" s="22"/>
    </row>
    <row r="306" spans="1:63" ht="15" customHeight="1" x14ac:dyDescent="0.35">
      <c r="A306" s="19"/>
      <c r="E306" s="20"/>
      <c r="G306" s="19"/>
      <c r="H306" s="20"/>
      <c r="L306" s="19"/>
      <c r="M306" s="19"/>
      <c r="N306" s="19"/>
      <c r="X306" s="20"/>
      <c r="Y306" s="20"/>
      <c r="AA306" s="20"/>
      <c r="AB306" s="20"/>
      <c r="AC306" s="21"/>
      <c r="AD306" s="22"/>
      <c r="AE306" s="22"/>
      <c r="AG306" s="22"/>
      <c r="AI306" s="22"/>
      <c r="AK306" s="22"/>
      <c r="AM306" s="22"/>
      <c r="AP306" s="22"/>
      <c r="BC306" s="19"/>
      <c r="BD306" s="20"/>
      <c r="BF306" s="20"/>
      <c r="BK306" s="22"/>
    </row>
    <row r="307" spans="1:63" ht="15" customHeight="1" x14ac:dyDescent="0.35">
      <c r="A307" s="19"/>
      <c r="E307" s="20"/>
      <c r="G307" s="19"/>
      <c r="H307" s="20"/>
      <c r="L307" s="19"/>
      <c r="M307" s="19"/>
      <c r="N307" s="19"/>
      <c r="X307" s="20"/>
      <c r="Y307" s="20"/>
      <c r="AA307" s="20"/>
      <c r="AB307" s="20"/>
      <c r="AC307" s="21"/>
      <c r="AD307" s="22"/>
      <c r="AE307" s="22"/>
      <c r="AG307" s="22"/>
      <c r="AI307" s="22"/>
      <c r="AK307" s="22"/>
      <c r="AM307" s="22"/>
      <c r="AP307" s="22"/>
      <c r="BC307" s="19"/>
      <c r="BD307" s="20"/>
      <c r="BF307" s="20"/>
      <c r="BK307" s="22"/>
    </row>
    <row r="308" spans="1:63" ht="15" customHeight="1" x14ac:dyDescent="0.35">
      <c r="A308" s="19"/>
      <c r="E308" s="20"/>
      <c r="G308" s="19"/>
      <c r="H308" s="20"/>
      <c r="L308" s="19"/>
      <c r="M308" s="19"/>
      <c r="N308" s="19"/>
      <c r="X308" s="20"/>
      <c r="Y308" s="20"/>
      <c r="AA308" s="20"/>
      <c r="AB308" s="20"/>
      <c r="AC308" s="21"/>
      <c r="AD308" s="22"/>
      <c r="AE308" s="22"/>
      <c r="AG308" s="22"/>
      <c r="AI308" s="22"/>
      <c r="AK308" s="22"/>
      <c r="AM308" s="22"/>
      <c r="AP308" s="22"/>
      <c r="BC308" s="19"/>
      <c r="BD308" s="20"/>
      <c r="BF308" s="20"/>
      <c r="BK308" s="22"/>
    </row>
    <row r="309" spans="1:63" ht="15" customHeight="1" x14ac:dyDescent="0.35">
      <c r="A309" s="19"/>
      <c r="E309" s="20"/>
      <c r="G309" s="19"/>
      <c r="H309" s="20"/>
      <c r="L309" s="19"/>
      <c r="M309" s="19"/>
      <c r="N309" s="19"/>
      <c r="X309" s="20"/>
      <c r="Y309" s="20"/>
      <c r="AA309" s="20"/>
      <c r="AB309" s="20"/>
      <c r="AC309" s="21"/>
      <c r="AD309" s="22"/>
      <c r="AE309" s="22"/>
      <c r="AG309" s="22"/>
      <c r="AI309" s="22"/>
      <c r="AK309" s="22"/>
      <c r="AM309" s="22"/>
      <c r="AP309" s="22"/>
      <c r="BC309" s="19"/>
      <c r="BD309" s="20"/>
      <c r="BF309" s="20"/>
      <c r="BK309" s="22"/>
    </row>
    <row r="310" spans="1:63" ht="15" customHeight="1" x14ac:dyDescent="0.35">
      <c r="A310" s="19"/>
      <c r="E310" s="20"/>
      <c r="G310" s="19"/>
      <c r="H310" s="20"/>
      <c r="L310" s="19"/>
      <c r="M310" s="19"/>
      <c r="N310" s="19"/>
      <c r="X310" s="20"/>
      <c r="Y310" s="20"/>
      <c r="AA310" s="20"/>
      <c r="AB310" s="20"/>
      <c r="AC310" s="21"/>
      <c r="AD310" s="22"/>
      <c r="AE310" s="22"/>
      <c r="AG310" s="22"/>
      <c r="AI310" s="22"/>
      <c r="AK310" s="22"/>
      <c r="AM310" s="22"/>
      <c r="AP310" s="22"/>
      <c r="BC310" s="19"/>
      <c r="BD310" s="20"/>
      <c r="BF310" s="20"/>
      <c r="BK310" s="22"/>
    </row>
    <row r="311" spans="1:63" ht="15" customHeight="1" x14ac:dyDescent="0.35">
      <c r="A311" s="19"/>
      <c r="E311" s="20"/>
      <c r="G311" s="19"/>
      <c r="H311" s="20"/>
      <c r="L311" s="19"/>
      <c r="M311" s="19"/>
      <c r="N311" s="19"/>
      <c r="X311" s="20"/>
      <c r="Y311" s="20"/>
      <c r="AA311" s="20"/>
      <c r="AB311" s="20"/>
      <c r="AC311" s="21"/>
      <c r="AD311" s="22"/>
      <c r="AE311" s="22"/>
      <c r="AG311" s="22"/>
      <c r="AI311" s="22"/>
      <c r="AK311" s="22"/>
      <c r="AM311" s="22"/>
      <c r="AP311" s="22"/>
      <c r="BC311" s="19"/>
      <c r="BD311" s="20"/>
      <c r="BF311" s="20"/>
      <c r="BK311" s="22"/>
    </row>
    <row r="312" spans="1:63" ht="15" customHeight="1" x14ac:dyDescent="0.35">
      <c r="A312" s="19"/>
      <c r="E312" s="20"/>
      <c r="G312" s="19"/>
      <c r="H312" s="20"/>
      <c r="L312" s="19"/>
      <c r="M312" s="19"/>
      <c r="N312" s="19"/>
      <c r="X312" s="20"/>
      <c r="Y312" s="20"/>
      <c r="AA312" s="20"/>
      <c r="AB312" s="20"/>
      <c r="AC312" s="21"/>
      <c r="AD312" s="22"/>
      <c r="AE312" s="22"/>
      <c r="AG312" s="22"/>
      <c r="AI312" s="22"/>
      <c r="AK312" s="22"/>
      <c r="AM312" s="22"/>
      <c r="AP312" s="22"/>
      <c r="BC312" s="19"/>
      <c r="BD312" s="20"/>
      <c r="BF312" s="20"/>
      <c r="BK312" s="22"/>
    </row>
    <row r="313" spans="1:63" ht="15" customHeight="1" x14ac:dyDescent="0.35">
      <c r="A313" s="19"/>
      <c r="E313" s="20"/>
      <c r="G313" s="19"/>
      <c r="H313" s="20"/>
      <c r="L313" s="19"/>
      <c r="M313" s="19"/>
      <c r="N313" s="19"/>
      <c r="X313" s="20"/>
      <c r="Y313" s="20"/>
      <c r="AA313" s="20"/>
      <c r="AB313" s="20"/>
      <c r="AC313" s="21"/>
      <c r="AD313" s="22"/>
      <c r="AE313" s="22"/>
      <c r="AG313" s="22"/>
      <c r="AI313" s="22"/>
      <c r="AK313" s="22"/>
      <c r="AM313" s="22"/>
      <c r="AP313" s="22"/>
      <c r="BC313" s="19"/>
      <c r="BD313" s="20"/>
      <c r="BF313" s="20"/>
      <c r="BK313" s="22"/>
    </row>
    <row r="314" spans="1:63" ht="15" customHeight="1" x14ac:dyDescent="0.35">
      <c r="A314" s="19"/>
      <c r="E314" s="20"/>
      <c r="G314" s="19"/>
      <c r="H314" s="20"/>
      <c r="L314" s="19"/>
      <c r="M314" s="19"/>
      <c r="N314" s="19"/>
      <c r="X314" s="20"/>
      <c r="Y314" s="20"/>
      <c r="AA314" s="20"/>
      <c r="AB314" s="20"/>
      <c r="AC314" s="21"/>
      <c r="AD314" s="22"/>
      <c r="AE314" s="22"/>
      <c r="AG314" s="22"/>
      <c r="AI314" s="22"/>
      <c r="AK314" s="22"/>
      <c r="AM314" s="22"/>
      <c r="AP314" s="22"/>
      <c r="BC314" s="19"/>
      <c r="BD314" s="20"/>
      <c r="BF314" s="20"/>
      <c r="BK314" s="22"/>
    </row>
    <row r="315" spans="1:63" ht="15" customHeight="1" x14ac:dyDescent="0.35">
      <c r="A315" s="19"/>
      <c r="E315" s="20"/>
      <c r="G315" s="19"/>
      <c r="H315" s="20"/>
      <c r="L315" s="19"/>
      <c r="M315" s="19"/>
      <c r="N315" s="19"/>
      <c r="X315" s="20"/>
      <c r="Y315" s="20"/>
      <c r="AA315" s="20"/>
      <c r="AB315" s="20"/>
      <c r="AC315" s="21"/>
      <c r="AD315" s="22"/>
      <c r="AE315" s="22"/>
      <c r="AG315" s="22"/>
      <c r="AI315" s="22"/>
      <c r="AK315" s="22"/>
      <c r="AM315" s="22"/>
      <c r="AP315" s="22"/>
      <c r="BC315" s="19"/>
      <c r="BD315" s="20"/>
      <c r="BF315" s="20"/>
      <c r="BK315" s="22"/>
    </row>
    <row r="316" spans="1:63" ht="15" customHeight="1" x14ac:dyDescent="0.35">
      <c r="A316" s="19"/>
      <c r="E316" s="20"/>
      <c r="G316" s="19"/>
      <c r="H316" s="20"/>
      <c r="L316" s="19"/>
      <c r="M316" s="19"/>
      <c r="N316" s="19"/>
      <c r="X316" s="20"/>
      <c r="Y316" s="20"/>
      <c r="AA316" s="20"/>
      <c r="AB316" s="20"/>
      <c r="AC316" s="21"/>
      <c r="AD316" s="22"/>
      <c r="AE316" s="22"/>
      <c r="AG316" s="22"/>
      <c r="AI316" s="22"/>
      <c r="AK316" s="22"/>
      <c r="AM316" s="22"/>
      <c r="AP316" s="22"/>
      <c r="BC316" s="19"/>
      <c r="BD316" s="20"/>
      <c r="BF316" s="20"/>
      <c r="BK316" s="22"/>
    </row>
    <row r="317" spans="1:63" ht="15" customHeight="1" x14ac:dyDescent="0.35">
      <c r="A317" s="19"/>
      <c r="E317" s="20"/>
      <c r="G317" s="19"/>
      <c r="H317" s="20"/>
      <c r="L317" s="19"/>
      <c r="M317" s="19"/>
      <c r="N317" s="19"/>
      <c r="X317" s="20"/>
      <c r="Y317" s="20"/>
      <c r="AA317" s="20"/>
      <c r="AB317" s="20"/>
      <c r="AC317" s="21"/>
      <c r="AD317" s="22"/>
      <c r="AE317" s="22"/>
      <c r="AG317" s="22"/>
      <c r="AI317" s="22"/>
      <c r="AK317" s="22"/>
      <c r="AM317" s="22"/>
      <c r="AP317" s="22"/>
      <c r="BC317" s="19"/>
      <c r="BD317" s="20"/>
      <c r="BF317" s="20"/>
      <c r="BK317" s="22"/>
    </row>
    <row r="318" spans="1:63" ht="15" customHeight="1" x14ac:dyDescent="0.35">
      <c r="A318" s="19"/>
      <c r="E318" s="20"/>
      <c r="G318" s="19"/>
      <c r="H318" s="20"/>
      <c r="L318" s="19"/>
      <c r="M318" s="19"/>
      <c r="N318" s="19"/>
      <c r="X318" s="20"/>
      <c r="Y318" s="20"/>
      <c r="AA318" s="20"/>
      <c r="AB318" s="20"/>
      <c r="AC318" s="21"/>
      <c r="AD318" s="22"/>
      <c r="AE318" s="22"/>
      <c r="AG318" s="22"/>
      <c r="AI318" s="22"/>
      <c r="AK318" s="22"/>
      <c r="AM318" s="22"/>
      <c r="AP318" s="22"/>
      <c r="BC318" s="19"/>
      <c r="BD318" s="20"/>
      <c r="BF318" s="20"/>
      <c r="BK318" s="22"/>
    </row>
    <row r="319" spans="1:63" ht="15" customHeight="1" x14ac:dyDescent="0.35">
      <c r="A319" s="19"/>
      <c r="E319" s="20"/>
      <c r="G319" s="19"/>
      <c r="H319" s="20"/>
      <c r="L319" s="19"/>
      <c r="M319" s="19"/>
      <c r="N319" s="19"/>
      <c r="X319" s="20"/>
      <c r="Y319" s="20"/>
      <c r="AA319" s="20"/>
      <c r="AB319" s="20"/>
      <c r="AC319" s="21"/>
      <c r="AD319" s="22"/>
      <c r="AE319" s="22"/>
      <c r="AG319" s="22"/>
      <c r="AI319" s="22"/>
      <c r="AK319" s="22"/>
      <c r="AM319" s="22"/>
      <c r="AP319" s="22"/>
      <c r="BC319" s="19"/>
      <c r="BD319" s="20"/>
      <c r="BF319" s="20"/>
      <c r="BK319" s="22"/>
    </row>
    <row r="320" spans="1:63" ht="15" customHeight="1" x14ac:dyDescent="0.35">
      <c r="A320" s="19"/>
      <c r="E320" s="20"/>
      <c r="G320" s="19"/>
      <c r="H320" s="20"/>
      <c r="L320" s="19"/>
      <c r="M320" s="19"/>
      <c r="N320" s="19"/>
      <c r="X320" s="20"/>
      <c r="Y320" s="20"/>
      <c r="AA320" s="20"/>
      <c r="AB320" s="20"/>
      <c r="AC320" s="21"/>
      <c r="AD320" s="22"/>
      <c r="AE320" s="22"/>
      <c r="AG320" s="22"/>
      <c r="AI320" s="22"/>
      <c r="AK320" s="22"/>
      <c r="AM320" s="22"/>
      <c r="AP320" s="22"/>
      <c r="BC320" s="19"/>
      <c r="BD320" s="20"/>
      <c r="BF320" s="20"/>
      <c r="BK320" s="22"/>
    </row>
    <row r="321" spans="1:63" ht="15" customHeight="1" x14ac:dyDescent="0.35">
      <c r="A321" s="19"/>
      <c r="E321" s="20"/>
      <c r="G321" s="19"/>
      <c r="H321" s="20"/>
      <c r="L321" s="19"/>
      <c r="M321" s="19"/>
      <c r="N321" s="19"/>
      <c r="X321" s="20"/>
      <c r="Y321" s="20"/>
      <c r="AA321" s="20"/>
      <c r="AB321" s="20"/>
      <c r="AC321" s="21"/>
      <c r="AD321" s="22"/>
      <c r="AE321" s="22"/>
      <c r="AG321" s="22"/>
      <c r="AI321" s="22"/>
      <c r="AK321" s="22"/>
      <c r="AM321" s="22"/>
      <c r="AP321" s="22"/>
      <c r="BC321" s="19"/>
      <c r="BD321" s="20"/>
      <c r="BF321" s="20"/>
      <c r="BK321" s="22"/>
    </row>
    <row r="322" spans="1:63" ht="15" customHeight="1" x14ac:dyDescent="0.35">
      <c r="A322" s="19"/>
      <c r="E322" s="20"/>
      <c r="G322" s="19"/>
      <c r="H322" s="20"/>
      <c r="L322" s="19"/>
      <c r="M322" s="19"/>
      <c r="N322" s="19"/>
      <c r="X322" s="20"/>
      <c r="Y322" s="20"/>
      <c r="AA322" s="20"/>
      <c r="AB322" s="20"/>
      <c r="AC322" s="21"/>
      <c r="AD322" s="22"/>
      <c r="AE322" s="22"/>
      <c r="AG322" s="22"/>
      <c r="AI322" s="22"/>
      <c r="AK322" s="22"/>
      <c r="AM322" s="22"/>
      <c r="AP322" s="22"/>
      <c r="BC322" s="19"/>
      <c r="BD322" s="20"/>
      <c r="BF322" s="20"/>
      <c r="BK322" s="22"/>
    </row>
    <row r="323" spans="1:63" ht="15" customHeight="1" x14ac:dyDescent="0.35">
      <c r="A323" s="19"/>
      <c r="E323" s="20"/>
      <c r="G323" s="19"/>
      <c r="H323" s="20"/>
      <c r="L323" s="19"/>
      <c r="M323" s="19"/>
      <c r="N323" s="19"/>
      <c r="X323" s="20"/>
      <c r="Y323" s="20"/>
      <c r="AA323" s="20"/>
      <c r="AB323" s="20"/>
      <c r="AC323" s="21"/>
      <c r="AD323" s="22"/>
      <c r="AE323" s="22"/>
      <c r="AG323" s="22"/>
      <c r="AI323" s="22"/>
      <c r="AK323" s="22"/>
      <c r="AM323" s="22"/>
      <c r="AP323" s="22"/>
      <c r="BC323" s="19"/>
      <c r="BD323" s="20"/>
      <c r="BF323" s="20"/>
      <c r="BK323" s="22"/>
    </row>
    <row r="324" spans="1:63" ht="15" customHeight="1" x14ac:dyDescent="0.35">
      <c r="A324" s="19"/>
      <c r="E324" s="20"/>
      <c r="G324" s="19"/>
      <c r="H324" s="20"/>
      <c r="L324" s="19"/>
      <c r="M324" s="19"/>
      <c r="N324" s="19"/>
      <c r="X324" s="20"/>
      <c r="Y324" s="20"/>
      <c r="AA324" s="20"/>
      <c r="AB324" s="20"/>
      <c r="AC324" s="21"/>
      <c r="AD324" s="22"/>
      <c r="AE324" s="22"/>
      <c r="AG324" s="22"/>
      <c r="AI324" s="22"/>
      <c r="AK324" s="22"/>
      <c r="AM324" s="22"/>
      <c r="AP324" s="22"/>
      <c r="BC324" s="19"/>
      <c r="BD324" s="20"/>
      <c r="BF324" s="20"/>
      <c r="BK324" s="22"/>
    </row>
    <row r="325" spans="1:63" ht="15" customHeight="1" x14ac:dyDescent="0.35">
      <c r="A325" s="19"/>
      <c r="E325" s="20"/>
      <c r="G325" s="19"/>
      <c r="H325" s="20"/>
      <c r="L325" s="19"/>
      <c r="M325" s="19"/>
      <c r="N325" s="19"/>
      <c r="X325" s="20"/>
      <c r="Y325" s="20"/>
      <c r="AA325" s="20"/>
      <c r="AB325" s="20"/>
      <c r="AC325" s="21"/>
      <c r="AD325" s="22"/>
      <c r="AE325" s="22"/>
      <c r="AG325" s="22"/>
      <c r="AI325" s="22"/>
      <c r="AK325" s="22"/>
      <c r="AM325" s="22"/>
      <c r="AP325" s="22"/>
      <c r="BC325" s="19"/>
      <c r="BD325" s="20"/>
      <c r="BF325" s="20"/>
      <c r="BK325" s="22"/>
    </row>
    <row r="326" spans="1:63" ht="15" customHeight="1" x14ac:dyDescent="0.35">
      <c r="A326" s="19"/>
      <c r="E326" s="20"/>
      <c r="G326" s="19"/>
      <c r="H326" s="20"/>
      <c r="L326" s="19"/>
      <c r="M326" s="19"/>
      <c r="N326" s="19"/>
      <c r="X326" s="20"/>
      <c r="Y326" s="20"/>
      <c r="AA326" s="20"/>
      <c r="AB326" s="20"/>
      <c r="AC326" s="21"/>
      <c r="AD326" s="22"/>
      <c r="AE326" s="22"/>
      <c r="AG326" s="22"/>
      <c r="AI326" s="22"/>
      <c r="AK326" s="22"/>
      <c r="AM326" s="22"/>
      <c r="AP326" s="22"/>
      <c r="BC326" s="19"/>
      <c r="BD326" s="20"/>
      <c r="BF326" s="20"/>
      <c r="BK326" s="22"/>
    </row>
    <row r="327" spans="1:63" ht="15" customHeight="1" x14ac:dyDescent="0.35">
      <c r="A327" s="19"/>
      <c r="E327" s="20"/>
      <c r="G327" s="19"/>
      <c r="H327" s="20"/>
      <c r="L327" s="19"/>
      <c r="M327" s="19"/>
      <c r="N327" s="19"/>
      <c r="X327" s="20"/>
      <c r="Y327" s="20"/>
      <c r="AA327" s="20"/>
      <c r="AB327" s="20"/>
      <c r="AC327" s="21"/>
      <c r="AD327" s="22"/>
      <c r="AE327" s="22"/>
      <c r="AG327" s="22"/>
      <c r="AI327" s="22"/>
      <c r="AK327" s="22"/>
      <c r="AM327" s="22"/>
      <c r="AP327" s="22"/>
      <c r="BC327" s="19"/>
      <c r="BD327" s="20"/>
      <c r="BF327" s="20"/>
      <c r="BK327" s="22"/>
    </row>
    <row r="328" spans="1:63" ht="15" customHeight="1" x14ac:dyDescent="0.35">
      <c r="A328" s="19"/>
      <c r="E328" s="20"/>
      <c r="G328" s="19"/>
      <c r="H328" s="20"/>
      <c r="L328" s="19"/>
      <c r="M328" s="19"/>
      <c r="N328" s="19"/>
      <c r="X328" s="20"/>
      <c r="Y328" s="20"/>
      <c r="AA328" s="20"/>
      <c r="AB328" s="20"/>
      <c r="AC328" s="21"/>
      <c r="AD328" s="22"/>
      <c r="AE328" s="22"/>
      <c r="AG328" s="22"/>
      <c r="AI328" s="22"/>
      <c r="AK328" s="22"/>
      <c r="AM328" s="22"/>
      <c r="AP328" s="22"/>
      <c r="BC328" s="19"/>
      <c r="BD328" s="20"/>
      <c r="BF328" s="20"/>
      <c r="BK328" s="22"/>
    </row>
    <row r="329" spans="1:63" ht="15" customHeight="1" x14ac:dyDescent="0.35">
      <c r="A329" s="19"/>
      <c r="E329" s="20"/>
      <c r="G329" s="19"/>
      <c r="H329" s="20"/>
      <c r="L329" s="19"/>
      <c r="M329" s="19"/>
      <c r="N329" s="19"/>
      <c r="X329" s="20"/>
      <c r="Y329" s="20"/>
      <c r="AA329" s="20"/>
      <c r="AB329" s="20"/>
      <c r="AC329" s="21"/>
      <c r="AD329" s="22"/>
      <c r="AE329" s="22"/>
      <c r="AG329" s="22"/>
      <c r="AI329" s="22"/>
      <c r="AK329" s="22"/>
      <c r="AM329" s="22"/>
      <c r="AP329" s="22"/>
      <c r="BC329" s="19"/>
      <c r="BD329" s="20"/>
      <c r="BF329" s="20"/>
      <c r="BK329" s="22"/>
    </row>
    <row r="330" spans="1:63" ht="15" customHeight="1" x14ac:dyDescent="0.35">
      <c r="A330" s="19"/>
      <c r="E330" s="20"/>
      <c r="G330" s="19"/>
      <c r="H330" s="20"/>
      <c r="L330" s="19"/>
      <c r="M330" s="19"/>
      <c r="N330" s="19"/>
      <c r="X330" s="20"/>
      <c r="Y330" s="20"/>
      <c r="AA330" s="20"/>
      <c r="AB330" s="20"/>
      <c r="AC330" s="21"/>
      <c r="AD330" s="22"/>
      <c r="AE330" s="22"/>
      <c r="AG330" s="22"/>
      <c r="AI330" s="22"/>
      <c r="AK330" s="22"/>
      <c r="AM330" s="22"/>
      <c r="AP330" s="22"/>
      <c r="BC330" s="19"/>
      <c r="BD330" s="20"/>
      <c r="BF330" s="20"/>
      <c r="BK330" s="22"/>
    </row>
    <row r="331" spans="1:63" ht="15" customHeight="1" x14ac:dyDescent="0.35">
      <c r="A331" s="19"/>
      <c r="E331" s="20"/>
      <c r="G331" s="19"/>
      <c r="H331" s="20"/>
      <c r="L331" s="19"/>
      <c r="M331" s="19"/>
      <c r="N331" s="19"/>
      <c r="X331" s="20"/>
      <c r="Y331" s="20"/>
      <c r="AA331" s="20"/>
      <c r="AB331" s="20"/>
      <c r="AC331" s="21"/>
      <c r="AD331" s="22"/>
      <c r="AE331" s="22"/>
      <c r="AG331" s="22"/>
      <c r="AI331" s="22"/>
      <c r="AK331" s="22"/>
      <c r="AM331" s="22"/>
      <c r="AP331" s="22"/>
      <c r="BC331" s="19"/>
      <c r="BD331" s="20"/>
      <c r="BF331" s="20"/>
      <c r="BK331" s="22"/>
    </row>
    <row r="332" spans="1:63" ht="15" customHeight="1" x14ac:dyDescent="0.35">
      <c r="A332" s="19"/>
      <c r="E332" s="20"/>
      <c r="G332" s="19"/>
      <c r="H332" s="20"/>
      <c r="L332" s="19"/>
      <c r="M332" s="19"/>
      <c r="N332" s="19"/>
      <c r="X332" s="20"/>
      <c r="Y332" s="20"/>
      <c r="AA332" s="20"/>
      <c r="AB332" s="20"/>
      <c r="AC332" s="21"/>
      <c r="AD332" s="22"/>
      <c r="AE332" s="22"/>
      <c r="AG332" s="22"/>
      <c r="AI332" s="22"/>
      <c r="AK332" s="22"/>
      <c r="AM332" s="22"/>
      <c r="AP332" s="22"/>
      <c r="BC332" s="19"/>
      <c r="BD332" s="20"/>
      <c r="BF332" s="20"/>
      <c r="BK332" s="22"/>
    </row>
    <row r="333" spans="1:63" ht="15" customHeight="1" x14ac:dyDescent="0.35">
      <c r="A333" s="19"/>
      <c r="E333" s="20"/>
      <c r="G333" s="19"/>
      <c r="H333" s="20"/>
      <c r="L333" s="19"/>
      <c r="M333" s="19"/>
      <c r="N333" s="19"/>
      <c r="X333" s="20"/>
      <c r="Y333" s="20"/>
      <c r="AA333" s="20"/>
      <c r="AB333" s="20"/>
      <c r="AC333" s="21"/>
      <c r="AD333" s="22"/>
      <c r="AE333" s="22"/>
      <c r="AG333" s="22"/>
      <c r="AI333" s="22"/>
      <c r="AK333" s="22"/>
      <c r="AM333" s="22"/>
      <c r="AP333" s="22"/>
      <c r="BC333" s="19"/>
      <c r="BD333" s="20"/>
      <c r="BF333" s="20"/>
      <c r="BK333" s="22"/>
    </row>
    <row r="334" spans="1:63" ht="15" customHeight="1" x14ac:dyDescent="0.35">
      <c r="A334" s="19"/>
      <c r="E334" s="20"/>
      <c r="G334" s="19"/>
      <c r="H334" s="20"/>
      <c r="L334" s="19"/>
      <c r="M334" s="19"/>
      <c r="N334" s="19"/>
      <c r="X334" s="20"/>
      <c r="Y334" s="20"/>
      <c r="AA334" s="20"/>
      <c r="AB334" s="20"/>
      <c r="AC334" s="21"/>
      <c r="AD334" s="22"/>
      <c r="AE334" s="22"/>
      <c r="AG334" s="22"/>
      <c r="AI334" s="22"/>
      <c r="AK334" s="22"/>
      <c r="AM334" s="22"/>
      <c r="AP334" s="22"/>
      <c r="BC334" s="19"/>
      <c r="BD334" s="20"/>
      <c r="BF334" s="20"/>
      <c r="BK334" s="22"/>
    </row>
    <row r="335" spans="1:63" ht="15" customHeight="1" x14ac:dyDescent="0.35">
      <c r="A335" s="19"/>
      <c r="E335" s="20"/>
      <c r="G335" s="19"/>
      <c r="H335" s="20"/>
      <c r="L335" s="19"/>
      <c r="M335" s="19"/>
      <c r="N335" s="19"/>
      <c r="X335" s="20"/>
      <c r="Y335" s="20"/>
      <c r="AA335" s="20"/>
      <c r="AB335" s="20"/>
      <c r="AC335" s="21"/>
      <c r="AD335" s="22"/>
      <c r="AE335" s="22"/>
      <c r="AG335" s="22"/>
      <c r="AI335" s="22"/>
      <c r="AK335" s="22"/>
      <c r="AM335" s="22"/>
      <c r="AP335" s="22"/>
      <c r="BC335" s="19"/>
      <c r="BD335" s="20"/>
      <c r="BF335" s="20"/>
      <c r="BK335" s="22"/>
    </row>
    <row r="336" spans="1:63" ht="15" customHeight="1" x14ac:dyDescent="0.35">
      <c r="A336" s="19"/>
      <c r="E336" s="20"/>
      <c r="G336" s="19"/>
      <c r="H336" s="20"/>
      <c r="L336" s="19"/>
      <c r="M336" s="19"/>
      <c r="N336" s="19"/>
      <c r="X336" s="20"/>
      <c r="Y336" s="20"/>
      <c r="AA336" s="20"/>
      <c r="AB336" s="20"/>
      <c r="AC336" s="21"/>
      <c r="AD336" s="22"/>
      <c r="AE336" s="22"/>
      <c r="AG336" s="22"/>
      <c r="AI336" s="22"/>
      <c r="AK336" s="22"/>
      <c r="AM336" s="22"/>
      <c r="AP336" s="22"/>
      <c r="BC336" s="19"/>
      <c r="BD336" s="20"/>
      <c r="BF336" s="20"/>
      <c r="BK336" s="22"/>
    </row>
    <row r="337" spans="1:63" ht="15" customHeight="1" x14ac:dyDescent="0.35">
      <c r="A337" s="19"/>
      <c r="E337" s="20"/>
      <c r="G337" s="19"/>
      <c r="H337" s="20"/>
      <c r="L337" s="19"/>
      <c r="M337" s="19"/>
      <c r="N337" s="19"/>
      <c r="X337" s="20"/>
      <c r="Y337" s="20"/>
      <c r="AA337" s="20"/>
      <c r="AB337" s="20"/>
      <c r="AC337" s="21"/>
      <c r="AD337" s="22"/>
      <c r="AE337" s="22"/>
      <c r="AG337" s="22"/>
      <c r="AI337" s="22"/>
      <c r="AK337" s="22"/>
      <c r="AM337" s="22"/>
      <c r="AP337" s="22"/>
      <c r="BC337" s="19"/>
      <c r="BD337" s="20"/>
      <c r="BF337" s="20"/>
      <c r="BK337" s="22"/>
    </row>
    <row r="338" spans="1:63" ht="15" customHeight="1" x14ac:dyDescent="0.35">
      <c r="A338" s="19"/>
      <c r="E338" s="20"/>
      <c r="G338" s="19"/>
      <c r="H338" s="20"/>
      <c r="L338" s="19"/>
      <c r="M338" s="19"/>
      <c r="N338" s="19"/>
      <c r="X338" s="20"/>
      <c r="Y338" s="20"/>
      <c r="AA338" s="20"/>
      <c r="AB338" s="20"/>
      <c r="AC338" s="21"/>
      <c r="AD338" s="22"/>
      <c r="AE338" s="22"/>
      <c r="AG338" s="22"/>
      <c r="AI338" s="22"/>
      <c r="AK338" s="22"/>
      <c r="AM338" s="22"/>
      <c r="AP338" s="22"/>
      <c r="BC338" s="19"/>
      <c r="BD338" s="20"/>
      <c r="BF338" s="20"/>
      <c r="BK338" s="22"/>
    </row>
    <row r="339" spans="1:63" ht="15" customHeight="1" x14ac:dyDescent="0.35">
      <c r="A339" s="19"/>
      <c r="E339" s="20"/>
      <c r="G339" s="19"/>
      <c r="H339" s="20"/>
      <c r="L339" s="19"/>
      <c r="M339" s="19"/>
      <c r="N339" s="19"/>
      <c r="X339" s="20"/>
      <c r="Y339" s="20"/>
      <c r="AA339" s="20"/>
      <c r="AB339" s="20"/>
      <c r="AC339" s="21"/>
      <c r="AD339" s="22"/>
      <c r="AE339" s="22"/>
      <c r="AG339" s="22"/>
      <c r="AI339" s="22"/>
      <c r="AK339" s="22"/>
      <c r="AM339" s="22"/>
      <c r="AP339" s="22"/>
      <c r="BC339" s="19"/>
      <c r="BD339" s="20"/>
      <c r="BF339" s="20"/>
      <c r="BK339" s="22"/>
    </row>
    <row r="340" spans="1:63" ht="15" customHeight="1" x14ac:dyDescent="0.35">
      <c r="A340" s="19"/>
      <c r="E340" s="20"/>
      <c r="G340" s="19"/>
      <c r="H340" s="20"/>
      <c r="L340" s="19"/>
      <c r="M340" s="19"/>
      <c r="N340" s="19"/>
      <c r="X340" s="20"/>
      <c r="Y340" s="20"/>
      <c r="AA340" s="20"/>
      <c r="AB340" s="20"/>
      <c r="AC340" s="21"/>
      <c r="AD340" s="22"/>
      <c r="AE340" s="22"/>
      <c r="AG340" s="22"/>
      <c r="AI340" s="22"/>
      <c r="AK340" s="22"/>
      <c r="AM340" s="22"/>
      <c r="AP340" s="22"/>
      <c r="BC340" s="19"/>
      <c r="BD340" s="20"/>
      <c r="BF340" s="20"/>
      <c r="BK340" s="22"/>
    </row>
    <row r="341" spans="1:63" ht="15" customHeight="1" x14ac:dyDescent="0.35">
      <c r="A341" s="19"/>
      <c r="E341" s="20"/>
      <c r="G341" s="19"/>
      <c r="H341" s="20"/>
      <c r="L341" s="19"/>
      <c r="M341" s="19"/>
      <c r="N341" s="19"/>
      <c r="X341" s="20"/>
      <c r="Y341" s="20"/>
      <c r="AA341" s="20"/>
      <c r="AB341" s="20"/>
      <c r="AC341" s="21"/>
      <c r="AD341" s="22"/>
      <c r="AE341" s="22"/>
      <c r="AG341" s="22"/>
      <c r="AI341" s="22"/>
      <c r="AK341" s="22"/>
      <c r="AM341" s="22"/>
      <c r="AP341" s="22"/>
      <c r="BC341" s="19"/>
      <c r="BD341" s="20"/>
      <c r="BF341" s="20"/>
      <c r="BK341" s="22"/>
    </row>
    <row r="342" spans="1:63" ht="15" customHeight="1" x14ac:dyDescent="0.35">
      <c r="A342" s="19"/>
      <c r="E342" s="20"/>
      <c r="G342" s="19"/>
      <c r="H342" s="20"/>
      <c r="L342" s="19"/>
      <c r="M342" s="19"/>
      <c r="N342" s="19"/>
      <c r="X342" s="20"/>
      <c r="Y342" s="20"/>
      <c r="AA342" s="20"/>
      <c r="AB342" s="20"/>
      <c r="AC342" s="21"/>
      <c r="AD342" s="22"/>
      <c r="AE342" s="22"/>
      <c r="AG342" s="22"/>
      <c r="AI342" s="22"/>
      <c r="AK342" s="22"/>
      <c r="AM342" s="22"/>
      <c r="AP342" s="22"/>
      <c r="BC342" s="19"/>
      <c r="BD342" s="20"/>
      <c r="BF342" s="20"/>
      <c r="BK342" s="22"/>
    </row>
    <row r="343" spans="1:63" ht="15" customHeight="1" x14ac:dyDescent="0.35">
      <c r="A343" s="19"/>
      <c r="E343" s="20"/>
      <c r="G343" s="19"/>
      <c r="H343" s="20"/>
      <c r="L343" s="19"/>
      <c r="M343" s="19"/>
      <c r="N343" s="19"/>
      <c r="X343" s="20"/>
      <c r="Y343" s="20"/>
      <c r="AA343" s="20"/>
      <c r="AB343" s="20"/>
      <c r="AC343" s="21"/>
      <c r="AD343" s="22"/>
      <c r="AE343" s="22"/>
      <c r="AG343" s="22"/>
      <c r="AI343" s="22"/>
      <c r="AK343" s="22"/>
      <c r="AM343" s="22"/>
      <c r="AP343" s="22"/>
      <c r="BC343" s="19"/>
      <c r="BD343" s="20"/>
      <c r="BF343" s="20"/>
      <c r="BK343" s="22"/>
    </row>
    <row r="344" spans="1:63" ht="15" customHeight="1" x14ac:dyDescent="0.35">
      <c r="A344" s="19"/>
      <c r="E344" s="20"/>
      <c r="G344" s="19"/>
      <c r="H344" s="20"/>
      <c r="L344" s="19"/>
      <c r="M344" s="19"/>
      <c r="N344" s="19"/>
      <c r="X344" s="20"/>
      <c r="Y344" s="20"/>
      <c r="AA344" s="20"/>
      <c r="AB344" s="20"/>
      <c r="AC344" s="21"/>
      <c r="AD344" s="22"/>
      <c r="AE344" s="22"/>
      <c r="AG344" s="22"/>
      <c r="AI344" s="22"/>
      <c r="AK344" s="22"/>
      <c r="AM344" s="22"/>
      <c r="AP344" s="22"/>
      <c r="BC344" s="19"/>
      <c r="BD344" s="20"/>
      <c r="BF344" s="20"/>
      <c r="BK344" s="22"/>
    </row>
    <row r="345" spans="1:63" ht="15" customHeight="1" x14ac:dyDescent="0.35">
      <c r="A345" s="19"/>
      <c r="E345" s="20"/>
      <c r="G345" s="19"/>
      <c r="H345" s="20"/>
      <c r="L345" s="19"/>
      <c r="M345" s="19"/>
      <c r="N345" s="19"/>
      <c r="X345" s="20"/>
      <c r="Y345" s="20"/>
      <c r="AA345" s="20"/>
      <c r="AB345" s="20"/>
      <c r="AC345" s="21"/>
      <c r="AD345" s="22"/>
      <c r="AE345" s="22"/>
      <c r="AG345" s="22"/>
      <c r="AI345" s="22"/>
      <c r="AK345" s="22"/>
      <c r="AM345" s="22"/>
      <c r="AP345" s="22"/>
      <c r="BC345" s="19"/>
      <c r="BD345" s="20"/>
      <c r="BF345" s="20"/>
      <c r="BK345" s="22"/>
    </row>
    <row r="346" spans="1:63" ht="15" customHeight="1" x14ac:dyDescent="0.35">
      <c r="A346" s="19"/>
      <c r="E346" s="20"/>
      <c r="G346" s="19"/>
      <c r="H346" s="20"/>
      <c r="L346" s="19"/>
      <c r="M346" s="19"/>
      <c r="N346" s="19"/>
      <c r="X346" s="20"/>
      <c r="Y346" s="20"/>
      <c r="AA346" s="20"/>
      <c r="AB346" s="20"/>
      <c r="AC346" s="21"/>
      <c r="AD346" s="22"/>
      <c r="AE346" s="22"/>
      <c r="AG346" s="22"/>
      <c r="AI346" s="22"/>
      <c r="AK346" s="22"/>
      <c r="AM346" s="22"/>
      <c r="AP346" s="22"/>
      <c r="BC346" s="19"/>
      <c r="BD346" s="20"/>
      <c r="BF346" s="20"/>
      <c r="BK346" s="22"/>
    </row>
    <row r="347" spans="1:63" ht="15" customHeight="1" x14ac:dyDescent="0.35">
      <c r="A347" s="19"/>
      <c r="E347" s="20"/>
      <c r="G347" s="19"/>
      <c r="H347" s="20"/>
      <c r="L347" s="19"/>
      <c r="M347" s="19"/>
      <c r="N347" s="19"/>
      <c r="X347" s="20"/>
      <c r="Y347" s="20"/>
      <c r="AA347" s="20"/>
      <c r="AB347" s="20"/>
      <c r="AC347" s="21"/>
      <c r="AD347" s="22"/>
      <c r="AE347" s="22"/>
      <c r="AG347" s="22"/>
      <c r="AI347" s="22"/>
      <c r="AK347" s="22"/>
      <c r="AM347" s="22"/>
      <c r="AP347" s="22"/>
      <c r="BC347" s="19"/>
      <c r="BD347" s="20"/>
      <c r="BF347" s="20"/>
      <c r="BK347" s="22"/>
    </row>
    <row r="348" spans="1:63" ht="15" customHeight="1" x14ac:dyDescent="0.35">
      <c r="A348" s="19"/>
      <c r="E348" s="20"/>
      <c r="G348" s="19"/>
      <c r="H348" s="20"/>
      <c r="L348" s="19"/>
      <c r="M348" s="19"/>
      <c r="N348" s="19"/>
      <c r="X348" s="20"/>
      <c r="Y348" s="20"/>
      <c r="AA348" s="20"/>
      <c r="AB348" s="20"/>
      <c r="AC348" s="21"/>
      <c r="AD348" s="22"/>
      <c r="AE348" s="22"/>
      <c r="AG348" s="22"/>
      <c r="AI348" s="22"/>
      <c r="AK348" s="22"/>
      <c r="AM348" s="22"/>
      <c r="AP348" s="22"/>
      <c r="BC348" s="19"/>
      <c r="BD348" s="20"/>
      <c r="BF348" s="20"/>
      <c r="BK348" s="22"/>
    </row>
    <row r="349" spans="1:63" ht="15" customHeight="1" x14ac:dyDescent="0.35">
      <c r="A349" s="19"/>
      <c r="E349" s="20"/>
      <c r="G349" s="19"/>
      <c r="H349" s="20"/>
      <c r="L349" s="19"/>
      <c r="M349" s="19"/>
      <c r="N349" s="19"/>
      <c r="X349" s="20"/>
      <c r="Y349" s="20"/>
      <c r="AA349" s="20"/>
      <c r="AB349" s="20"/>
      <c r="AC349" s="21"/>
      <c r="AD349" s="22"/>
      <c r="AE349" s="22"/>
      <c r="AG349" s="22"/>
      <c r="AI349" s="22"/>
      <c r="AK349" s="22"/>
      <c r="AM349" s="22"/>
      <c r="AP349" s="22"/>
      <c r="BC349" s="19"/>
      <c r="BD349" s="20"/>
      <c r="BF349" s="20"/>
      <c r="BK349" s="22"/>
    </row>
    <row r="350" spans="1:63" ht="15" customHeight="1" x14ac:dyDescent="0.35">
      <c r="A350" s="19"/>
      <c r="E350" s="20"/>
      <c r="G350" s="19"/>
      <c r="H350" s="20"/>
      <c r="L350" s="19"/>
      <c r="M350" s="19"/>
      <c r="N350" s="19"/>
      <c r="X350" s="20"/>
      <c r="Y350" s="20"/>
      <c r="AA350" s="20"/>
      <c r="AB350" s="20"/>
      <c r="AC350" s="21"/>
      <c r="AD350" s="22"/>
      <c r="AE350" s="22"/>
      <c r="AG350" s="22"/>
      <c r="AI350" s="22"/>
      <c r="AK350" s="22"/>
      <c r="AM350" s="22"/>
      <c r="AP350" s="22"/>
      <c r="BC350" s="19"/>
      <c r="BD350" s="20"/>
      <c r="BF350" s="20"/>
      <c r="BK350" s="22"/>
    </row>
    <row r="351" spans="1:63" ht="15" customHeight="1" x14ac:dyDescent="0.35">
      <c r="A351" s="19"/>
      <c r="E351" s="20"/>
      <c r="G351" s="19"/>
      <c r="H351" s="20"/>
      <c r="L351" s="19"/>
      <c r="M351" s="19"/>
      <c r="N351" s="19"/>
      <c r="X351" s="20"/>
      <c r="Y351" s="20"/>
      <c r="AA351" s="20"/>
      <c r="AB351" s="20"/>
      <c r="AC351" s="21"/>
      <c r="AD351" s="22"/>
      <c r="AE351" s="22"/>
      <c r="AG351" s="22"/>
      <c r="AI351" s="22"/>
      <c r="AK351" s="22"/>
      <c r="AM351" s="22"/>
      <c r="AP351" s="22"/>
      <c r="BC351" s="19"/>
      <c r="BD351" s="20"/>
      <c r="BF351" s="20"/>
      <c r="BK351" s="22"/>
    </row>
    <row r="352" spans="1:63" ht="15" customHeight="1" x14ac:dyDescent="0.35">
      <c r="A352" s="19"/>
      <c r="E352" s="20"/>
      <c r="G352" s="19"/>
      <c r="H352" s="20"/>
      <c r="L352" s="19"/>
      <c r="M352" s="19"/>
      <c r="N352" s="19"/>
      <c r="X352" s="20"/>
      <c r="Y352" s="20"/>
      <c r="AA352" s="20"/>
      <c r="AB352" s="20"/>
      <c r="AC352" s="21"/>
      <c r="AD352" s="22"/>
      <c r="AE352" s="22"/>
      <c r="AG352" s="22"/>
      <c r="AI352" s="22"/>
      <c r="AK352" s="22"/>
      <c r="AM352" s="22"/>
      <c r="AP352" s="22"/>
      <c r="BC352" s="19"/>
      <c r="BD352" s="20"/>
      <c r="BF352" s="20"/>
      <c r="BK352" s="22"/>
    </row>
    <row r="353" spans="1:63" ht="15" customHeight="1" x14ac:dyDescent="0.35">
      <c r="A353" s="19"/>
      <c r="E353" s="20"/>
      <c r="G353" s="19"/>
      <c r="H353" s="20"/>
      <c r="L353" s="19"/>
      <c r="M353" s="19"/>
      <c r="N353" s="19"/>
      <c r="X353" s="20"/>
      <c r="Y353" s="20"/>
      <c r="AA353" s="20"/>
      <c r="AB353" s="20"/>
      <c r="AC353" s="21"/>
      <c r="AD353" s="22"/>
      <c r="AE353" s="22"/>
      <c r="AG353" s="22"/>
      <c r="AI353" s="22"/>
      <c r="AK353" s="22"/>
      <c r="AM353" s="22"/>
      <c r="AP353" s="22"/>
      <c r="BC353" s="19"/>
      <c r="BD353" s="20"/>
      <c r="BF353" s="20"/>
      <c r="BK353" s="22"/>
    </row>
    <row r="354" spans="1:63" ht="15" customHeight="1" x14ac:dyDescent="0.35">
      <c r="A354" s="19"/>
      <c r="E354" s="20"/>
      <c r="G354" s="19"/>
      <c r="H354" s="20"/>
      <c r="L354" s="19"/>
      <c r="M354" s="19"/>
      <c r="N354" s="19"/>
      <c r="X354" s="20"/>
      <c r="Y354" s="20"/>
      <c r="AA354" s="20"/>
      <c r="AB354" s="20"/>
      <c r="AC354" s="21"/>
      <c r="AD354" s="22"/>
      <c r="AE354" s="22"/>
      <c r="AG354" s="22"/>
      <c r="AI354" s="22"/>
      <c r="AK354" s="22"/>
      <c r="AM354" s="22"/>
      <c r="AP354" s="22"/>
      <c r="BC354" s="19"/>
      <c r="BD354" s="20"/>
      <c r="BF354" s="20"/>
      <c r="BK354" s="22"/>
    </row>
    <row r="355" spans="1:63" ht="15" customHeight="1" x14ac:dyDescent="0.35">
      <c r="A355" s="19"/>
      <c r="E355" s="20"/>
      <c r="G355" s="19"/>
      <c r="H355" s="20"/>
      <c r="L355" s="19"/>
      <c r="M355" s="19"/>
      <c r="N355" s="19"/>
      <c r="X355" s="20"/>
      <c r="Y355" s="20"/>
      <c r="AA355" s="20"/>
      <c r="AB355" s="20"/>
      <c r="AC355" s="21"/>
      <c r="AD355" s="22"/>
      <c r="AE355" s="22"/>
      <c r="AG355" s="22"/>
      <c r="AI355" s="22"/>
      <c r="AK355" s="22"/>
      <c r="AM355" s="22"/>
      <c r="AP355" s="22"/>
      <c r="BC355" s="19"/>
      <c r="BD355" s="20"/>
      <c r="BF355" s="20"/>
      <c r="BK355" s="22"/>
    </row>
    <row r="356" spans="1:63" ht="15" customHeight="1" x14ac:dyDescent="0.35">
      <c r="A356" s="19"/>
      <c r="E356" s="20"/>
      <c r="G356" s="19"/>
      <c r="H356" s="20"/>
      <c r="L356" s="19"/>
      <c r="M356" s="19"/>
      <c r="N356" s="19"/>
      <c r="X356" s="20"/>
      <c r="Y356" s="20"/>
      <c r="AA356" s="20"/>
      <c r="AB356" s="20"/>
      <c r="AC356" s="21"/>
      <c r="AD356" s="22"/>
      <c r="AE356" s="22"/>
      <c r="AG356" s="22"/>
      <c r="AI356" s="22"/>
      <c r="AK356" s="22"/>
      <c r="AM356" s="22"/>
      <c r="AP356" s="22"/>
      <c r="BC356" s="19"/>
      <c r="BD356" s="20"/>
      <c r="BF356" s="20"/>
      <c r="BK356" s="22"/>
    </row>
    <row r="357" spans="1:63" ht="15" customHeight="1" x14ac:dyDescent="0.35">
      <c r="A357" s="19"/>
      <c r="E357" s="20"/>
      <c r="G357" s="19"/>
      <c r="H357" s="20"/>
      <c r="L357" s="19"/>
      <c r="M357" s="19"/>
      <c r="N357" s="19"/>
      <c r="X357" s="20"/>
      <c r="Y357" s="20"/>
      <c r="AA357" s="20"/>
      <c r="AB357" s="20"/>
      <c r="AC357" s="21"/>
      <c r="AD357" s="22"/>
      <c r="AE357" s="22"/>
      <c r="AG357" s="22"/>
      <c r="AI357" s="22"/>
      <c r="AK357" s="22"/>
      <c r="AM357" s="22"/>
      <c r="AP357" s="22"/>
      <c r="BC357" s="19"/>
      <c r="BD357" s="20"/>
      <c r="BF357" s="20"/>
      <c r="BK357" s="22"/>
    </row>
    <row r="358" spans="1:63" ht="15" customHeight="1" x14ac:dyDescent="0.35">
      <c r="A358" s="19"/>
      <c r="E358" s="20"/>
      <c r="G358" s="19"/>
      <c r="H358" s="20"/>
      <c r="L358" s="19"/>
      <c r="M358" s="19"/>
      <c r="N358" s="19"/>
      <c r="X358" s="20"/>
      <c r="Y358" s="20"/>
      <c r="AA358" s="20"/>
      <c r="AB358" s="20"/>
      <c r="AC358" s="21"/>
      <c r="AD358" s="22"/>
      <c r="AE358" s="22"/>
      <c r="AG358" s="22"/>
      <c r="AI358" s="22"/>
      <c r="AK358" s="22"/>
      <c r="AM358" s="22"/>
      <c r="AP358" s="22"/>
      <c r="BC358" s="19"/>
      <c r="BD358" s="20"/>
      <c r="BF358" s="20"/>
      <c r="BK358" s="22"/>
    </row>
    <row r="359" spans="1:63" ht="15" customHeight="1" x14ac:dyDescent="0.35">
      <c r="A359" s="19"/>
      <c r="E359" s="20"/>
      <c r="G359" s="19"/>
      <c r="H359" s="20"/>
      <c r="L359" s="19"/>
      <c r="M359" s="19"/>
      <c r="N359" s="19"/>
      <c r="X359" s="20"/>
      <c r="Y359" s="20"/>
      <c r="AA359" s="20"/>
      <c r="AB359" s="20"/>
      <c r="AC359" s="21"/>
      <c r="AD359" s="22"/>
      <c r="AE359" s="22"/>
      <c r="AG359" s="22"/>
      <c r="AI359" s="22"/>
      <c r="AK359" s="22"/>
      <c r="AM359" s="22"/>
      <c r="AP359" s="22"/>
      <c r="BC359" s="19"/>
      <c r="BD359" s="20"/>
      <c r="BF359" s="20"/>
      <c r="BK359" s="22"/>
    </row>
    <row r="360" spans="1:63" ht="15" customHeight="1" x14ac:dyDescent="0.35">
      <c r="A360" s="19"/>
      <c r="E360" s="20"/>
      <c r="G360" s="19"/>
      <c r="H360" s="20"/>
      <c r="L360" s="19"/>
      <c r="M360" s="19"/>
      <c r="N360" s="19"/>
      <c r="X360" s="20"/>
      <c r="Y360" s="20"/>
      <c r="AA360" s="20"/>
      <c r="AB360" s="20"/>
      <c r="AC360" s="21"/>
      <c r="AD360" s="22"/>
      <c r="AE360" s="22"/>
      <c r="AG360" s="22"/>
      <c r="AI360" s="22"/>
      <c r="AK360" s="22"/>
      <c r="AM360" s="22"/>
      <c r="AP360" s="22"/>
      <c r="BC360" s="19"/>
      <c r="BD360" s="20"/>
      <c r="BF360" s="20"/>
      <c r="BK360" s="22"/>
    </row>
    <row r="361" spans="1:63" ht="15" customHeight="1" x14ac:dyDescent="0.35">
      <c r="A361" s="19"/>
      <c r="E361" s="20"/>
      <c r="G361" s="19"/>
      <c r="H361" s="20"/>
      <c r="L361" s="19"/>
      <c r="M361" s="19"/>
      <c r="N361" s="19"/>
      <c r="X361" s="20"/>
      <c r="Y361" s="20"/>
      <c r="AA361" s="20"/>
      <c r="AB361" s="20"/>
      <c r="AC361" s="21"/>
      <c r="AD361" s="22"/>
      <c r="AE361" s="22"/>
      <c r="AG361" s="22"/>
      <c r="AI361" s="22"/>
      <c r="AK361" s="22"/>
      <c r="AM361" s="22"/>
      <c r="AP361" s="22"/>
      <c r="BC361" s="19"/>
      <c r="BD361" s="20"/>
      <c r="BF361" s="20"/>
      <c r="BK361" s="22"/>
    </row>
    <row r="362" spans="1:63" ht="15" customHeight="1" x14ac:dyDescent="0.35">
      <c r="A362" s="19"/>
      <c r="E362" s="20"/>
      <c r="G362" s="19"/>
      <c r="H362" s="20"/>
      <c r="L362" s="19"/>
      <c r="M362" s="19"/>
      <c r="N362" s="19"/>
      <c r="X362" s="20"/>
      <c r="Y362" s="20"/>
      <c r="AA362" s="20"/>
      <c r="AB362" s="20"/>
      <c r="AC362" s="21"/>
      <c r="AD362" s="22"/>
      <c r="AE362" s="22"/>
      <c r="AG362" s="22"/>
      <c r="AI362" s="22"/>
      <c r="AK362" s="22"/>
      <c r="AM362" s="22"/>
      <c r="AP362" s="22"/>
      <c r="BC362" s="19"/>
      <c r="BD362" s="20"/>
      <c r="BF362" s="20"/>
      <c r="BK362" s="22"/>
    </row>
    <row r="363" spans="1:63" ht="15" customHeight="1" x14ac:dyDescent="0.35">
      <c r="A363" s="19"/>
      <c r="E363" s="20"/>
      <c r="G363" s="19"/>
      <c r="H363" s="20"/>
      <c r="L363" s="19"/>
      <c r="M363" s="19"/>
      <c r="N363" s="19"/>
      <c r="X363" s="20"/>
      <c r="Y363" s="20"/>
      <c r="AA363" s="20"/>
      <c r="AB363" s="20"/>
      <c r="AC363" s="21"/>
      <c r="AD363" s="22"/>
      <c r="AE363" s="22"/>
      <c r="AG363" s="22"/>
      <c r="AI363" s="22"/>
      <c r="AK363" s="22"/>
      <c r="AM363" s="22"/>
      <c r="AP363" s="22"/>
      <c r="BC363" s="19"/>
      <c r="BD363" s="20"/>
      <c r="BF363" s="20"/>
      <c r="BK363" s="22"/>
    </row>
    <row r="364" spans="1:63" ht="15" customHeight="1" x14ac:dyDescent="0.35">
      <c r="A364" s="19"/>
      <c r="E364" s="20"/>
      <c r="G364" s="19"/>
      <c r="H364" s="20"/>
      <c r="L364" s="19"/>
      <c r="M364" s="19"/>
      <c r="N364" s="19"/>
      <c r="X364" s="20"/>
      <c r="Y364" s="20"/>
      <c r="AA364" s="20"/>
      <c r="AB364" s="20"/>
      <c r="AC364" s="21"/>
      <c r="AD364" s="22"/>
      <c r="AE364" s="22"/>
      <c r="AG364" s="22"/>
      <c r="AI364" s="22"/>
      <c r="AK364" s="22"/>
      <c r="AM364" s="22"/>
      <c r="AP364" s="22"/>
      <c r="BC364" s="19"/>
      <c r="BD364" s="20"/>
      <c r="BF364" s="20"/>
      <c r="BK364" s="22"/>
    </row>
    <row r="365" spans="1:63" ht="15" customHeight="1" x14ac:dyDescent="0.35">
      <c r="A365" s="19"/>
      <c r="E365" s="20"/>
      <c r="G365" s="19"/>
      <c r="H365" s="20"/>
      <c r="L365" s="19"/>
      <c r="M365" s="19"/>
      <c r="N365" s="19"/>
      <c r="X365" s="20"/>
      <c r="Y365" s="20"/>
      <c r="AA365" s="20"/>
      <c r="AB365" s="20"/>
      <c r="AC365" s="21"/>
      <c r="AD365" s="22"/>
      <c r="AE365" s="22"/>
      <c r="AG365" s="22"/>
      <c r="AI365" s="22"/>
      <c r="AK365" s="22"/>
      <c r="AM365" s="22"/>
      <c r="AP365" s="22"/>
      <c r="BC365" s="19"/>
      <c r="BD365" s="20"/>
      <c r="BF365" s="20"/>
      <c r="BK365" s="22"/>
    </row>
    <row r="366" spans="1:63" ht="15" customHeight="1" x14ac:dyDescent="0.35">
      <c r="A366" s="19"/>
      <c r="E366" s="20"/>
      <c r="G366" s="19"/>
      <c r="H366" s="20"/>
      <c r="L366" s="19"/>
      <c r="M366" s="19"/>
      <c r="N366" s="19"/>
      <c r="X366" s="20"/>
      <c r="Y366" s="20"/>
      <c r="AA366" s="20"/>
      <c r="AB366" s="20"/>
      <c r="AC366" s="21"/>
      <c r="AD366" s="22"/>
      <c r="AE366" s="22"/>
      <c r="AG366" s="22"/>
      <c r="AI366" s="22"/>
      <c r="AK366" s="22"/>
      <c r="AM366" s="22"/>
      <c r="AP366" s="22"/>
      <c r="BC366" s="19"/>
      <c r="BD366" s="20"/>
      <c r="BF366" s="20"/>
      <c r="BK366" s="22"/>
    </row>
    <row r="367" spans="1:63" ht="15" customHeight="1" x14ac:dyDescent="0.35">
      <c r="A367" s="19"/>
      <c r="E367" s="20"/>
      <c r="G367" s="19"/>
      <c r="H367" s="20"/>
      <c r="L367" s="19"/>
      <c r="M367" s="19"/>
      <c r="N367" s="19"/>
      <c r="X367" s="20"/>
      <c r="Y367" s="20"/>
      <c r="AA367" s="20"/>
      <c r="AB367" s="20"/>
      <c r="AC367" s="21"/>
      <c r="AD367" s="22"/>
      <c r="AE367" s="22"/>
      <c r="AG367" s="22"/>
      <c r="AI367" s="22"/>
      <c r="AK367" s="22"/>
      <c r="AM367" s="22"/>
      <c r="AP367" s="22"/>
      <c r="BC367" s="19"/>
      <c r="BD367" s="20"/>
      <c r="BF367" s="20"/>
      <c r="BK367" s="22"/>
    </row>
    <row r="368" spans="1:63" ht="15" customHeight="1" x14ac:dyDescent="0.35">
      <c r="A368" s="19"/>
      <c r="E368" s="20"/>
      <c r="G368" s="19"/>
      <c r="H368" s="20"/>
      <c r="L368" s="19"/>
      <c r="M368" s="19"/>
      <c r="N368" s="19"/>
      <c r="X368" s="20"/>
      <c r="Y368" s="20"/>
      <c r="AA368" s="20"/>
      <c r="AB368" s="20"/>
      <c r="AC368" s="21"/>
      <c r="AD368" s="22"/>
      <c r="AE368" s="22"/>
      <c r="AG368" s="22"/>
      <c r="AI368" s="22"/>
      <c r="AK368" s="22"/>
      <c r="AM368" s="22"/>
      <c r="AP368" s="22"/>
      <c r="BC368" s="19"/>
      <c r="BD368" s="20"/>
      <c r="BF368" s="20"/>
      <c r="BK368" s="22"/>
    </row>
    <row r="369" spans="1:63" ht="15" customHeight="1" x14ac:dyDescent="0.35">
      <c r="A369" s="19"/>
      <c r="E369" s="20"/>
      <c r="G369" s="19"/>
      <c r="H369" s="20"/>
      <c r="L369" s="19"/>
      <c r="M369" s="19"/>
      <c r="N369" s="19"/>
      <c r="X369" s="20"/>
      <c r="Y369" s="20"/>
      <c r="AA369" s="20"/>
      <c r="AB369" s="20"/>
      <c r="AC369" s="21"/>
      <c r="AD369" s="22"/>
      <c r="AE369" s="22"/>
      <c r="AG369" s="22"/>
      <c r="AI369" s="22"/>
      <c r="AK369" s="22"/>
      <c r="AM369" s="22"/>
      <c r="AP369" s="22"/>
      <c r="BC369" s="19"/>
      <c r="BD369" s="20"/>
      <c r="BF369" s="20"/>
      <c r="BK369" s="22"/>
    </row>
    <row r="370" spans="1:63" ht="15" customHeight="1" x14ac:dyDescent="0.35">
      <c r="A370" s="19"/>
      <c r="E370" s="20"/>
      <c r="G370" s="19"/>
      <c r="H370" s="20"/>
      <c r="L370" s="19"/>
      <c r="M370" s="19"/>
      <c r="N370" s="19"/>
      <c r="X370" s="20"/>
      <c r="Y370" s="20"/>
      <c r="AA370" s="20"/>
      <c r="AB370" s="20"/>
      <c r="AC370" s="21"/>
      <c r="AD370" s="22"/>
      <c r="AE370" s="22"/>
      <c r="AG370" s="22"/>
      <c r="AI370" s="22"/>
      <c r="AK370" s="22"/>
      <c r="AM370" s="22"/>
      <c r="AP370" s="22"/>
      <c r="BC370" s="19"/>
      <c r="BD370" s="20"/>
      <c r="BF370" s="20"/>
      <c r="BK370" s="22"/>
    </row>
    <row r="371" spans="1:63" ht="15" customHeight="1" x14ac:dyDescent="0.35">
      <c r="A371" s="19"/>
      <c r="E371" s="20"/>
      <c r="G371" s="19"/>
      <c r="H371" s="20"/>
      <c r="L371" s="19"/>
      <c r="M371" s="19"/>
      <c r="N371" s="19"/>
      <c r="X371" s="20"/>
      <c r="Y371" s="20"/>
      <c r="AA371" s="20"/>
      <c r="AB371" s="20"/>
      <c r="AC371" s="21"/>
      <c r="AD371" s="22"/>
      <c r="AE371" s="22"/>
      <c r="AG371" s="22"/>
      <c r="AI371" s="22"/>
      <c r="AK371" s="22"/>
      <c r="AM371" s="22"/>
      <c r="AP371" s="22"/>
      <c r="BC371" s="19"/>
      <c r="BD371" s="20"/>
      <c r="BF371" s="20"/>
      <c r="BK371" s="22"/>
    </row>
    <row r="372" spans="1:63" ht="15" customHeight="1" x14ac:dyDescent="0.35">
      <c r="A372" s="19"/>
      <c r="E372" s="20"/>
      <c r="G372" s="19"/>
      <c r="H372" s="20"/>
      <c r="L372" s="19"/>
      <c r="M372" s="19"/>
      <c r="N372" s="19"/>
      <c r="X372" s="20"/>
      <c r="Y372" s="20"/>
      <c r="AA372" s="20"/>
      <c r="AB372" s="20"/>
      <c r="AC372" s="21"/>
      <c r="AD372" s="22"/>
      <c r="AE372" s="22"/>
      <c r="AG372" s="22"/>
      <c r="AI372" s="22"/>
      <c r="AK372" s="22"/>
      <c r="AM372" s="22"/>
      <c r="AP372" s="22"/>
      <c r="BC372" s="19"/>
      <c r="BD372" s="20"/>
      <c r="BF372" s="20"/>
      <c r="BK372" s="22"/>
    </row>
    <row r="373" spans="1:63" ht="15" customHeight="1" x14ac:dyDescent="0.35">
      <c r="A373" s="19"/>
      <c r="E373" s="20"/>
      <c r="G373" s="19"/>
      <c r="H373" s="20"/>
      <c r="L373" s="19"/>
      <c r="M373" s="19"/>
      <c r="N373" s="19"/>
      <c r="X373" s="20"/>
      <c r="Y373" s="20"/>
      <c r="AA373" s="20"/>
      <c r="AB373" s="20"/>
      <c r="AC373" s="21"/>
      <c r="AD373" s="22"/>
      <c r="AE373" s="22"/>
      <c r="AG373" s="22"/>
      <c r="AI373" s="22"/>
      <c r="AK373" s="22"/>
      <c r="AM373" s="22"/>
      <c r="AP373" s="22"/>
      <c r="BC373" s="19"/>
      <c r="BD373" s="20"/>
      <c r="BF373" s="20"/>
      <c r="BK373" s="22"/>
    </row>
    <row r="374" spans="1:63" ht="15" customHeight="1" x14ac:dyDescent="0.35">
      <c r="A374" s="19"/>
      <c r="E374" s="20"/>
      <c r="G374" s="19"/>
      <c r="H374" s="20"/>
      <c r="L374" s="19"/>
      <c r="M374" s="19"/>
      <c r="N374" s="19"/>
      <c r="X374" s="20"/>
      <c r="Y374" s="20"/>
      <c r="AA374" s="20"/>
      <c r="AB374" s="20"/>
      <c r="AC374" s="21"/>
      <c r="AD374" s="22"/>
      <c r="AE374" s="22"/>
      <c r="AG374" s="22"/>
      <c r="AI374" s="22"/>
      <c r="AK374" s="22"/>
      <c r="AM374" s="22"/>
      <c r="AP374" s="22"/>
      <c r="BC374" s="19"/>
      <c r="BD374" s="20"/>
      <c r="BF374" s="20"/>
      <c r="BK374" s="22"/>
    </row>
    <row r="375" spans="1:63" ht="15" customHeight="1" x14ac:dyDescent="0.35">
      <c r="A375" s="19"/>
      <c r="E375" s="20"/>
      <c r="G375" s="19"/>
      <c r="H375" s="20"/>
      <c r="L375" s="19"/>
      <c r="M375" s="19"/>
      <c r="N375" s="19"/>
      <c r="X375" s="20"/>
      <c r="Y375" s="20"/>
      <c r="AA375" s="20"/>
      <c r="AB375" s="20"/>
      <c r="AC375" s="21"/>
      <c r="AD375" s="22"/>
      <c r="AE375" s="22"/>
      <c r="AG375" s="22"/>
      <c r="AI375" s="22"/>
      <c r="AK375" s="22"/>
      <c r="AM375" s="22"/>
      <c r="AP375" s="22"/>
      <c r="BC375" s="19"/>
      <c r="BD375" s="20"/>
      <c r="BF375" s="20"/>
      <c r="BK375" s="22"/>
    </row>
    <row r="376" spans="1:63" ht="15" customHeight="1" x14ac:dyDescent="0.35">
      <c r="A376" s="19"/>
      <c r="E376" s="20"/>
      <c r="G376" s="19"/>
      <c r="H376" s="20"/>
      <c r="L376" s="19"/>
      <c r="M376" s="19"/>
      <c r="N376" s="19"/>
      <c r="X376" s="20"/>
      <c r="Y376" s="20"/>
      <c r="AA376" s="20"/>
      <c r="AB376" s="20"/>
      <c r="AC376" s="21"/>
      <c r="AD376" s="22"/>
      <c r="AE376" s="22"/>
      <c r="AG376" s="22"/>
      <c r="AI376" s="22"/>
      <c r="AK376" s="22"/>
      <c r="AM376" s="22"/>
      <c r="AP376" s="22"/>
      <c r="BC376" s="19"/>
      <c r="BD376" s="20"/>
      <c r="BF376" s="20"/>
      <c r="BK376" s="22"/>
    </row>
    <row r="377" spans="1:63" ht="15" customHeight="1" x14ac:dyDescent="0.35">
      <c r="A377" s="19"/>
      <c r="E377" s="20"/>
      <c r="G377" s="19"/>
      <c r="H377" s="20"/>
      <c r="L377" s="19"/>
      <c r="M377" s="19"/>
      <c r="N377" s="19"/>
      <c r="X377" s="20"/>
      <c r="Y377" s="20"/>
      <c r="AA377" s="20"/>
      <c r="AB377" s="20"/>
      <c r="AC377" s="21"/>
      <c r="AD377" s="22"/>
      <c r="AE377" s="22"/>
      <c r="AG377" s="22"/>
      <c r="AI377" s="22"/>
      <c r="AK377" s="22"/>
      <c r="AM377" s="22"/>
      <c r="AP377" s="22"/>
      <c r="BC377" s="19"/>
      <c r="BD377" s="20"/>
      <c r="BF377" s="20"/>
      <c r="BK377" s="22"/>
    </row>
    <row r="378" spans="1:63" ht="15" customHeight="1" x14ac:dyDescent="0.35">
      <c r="A378" s="19"/>
      <c r="E378" s="20"/>
      <c r="G378" s="19"/>
      <c r="H378" s="20"/>
      <c r="L378" s="19"/>
      <c r="M378" s="19"/>
      <c r="N378" s="19"/>
      <c r="X378" s="20"/>
      <c r="Y378" s="20"/>
      <c r="AA378" s="20"/>
      <c r="AB378" s="20"/>
      <c r="AC378" s="21"/>
      <c r="AD378" s="22"/>
      <c r="AE378" s="22"/>
      <c r="AG378" s="22"/>
      <c r="AI378" s="22"/>
      <c r="AK378" s="22"/>
      <c r="AM378" s="22"/>
      <c r="AP378" s="22"/>
      <c r="BC378" s="19"/>
      <c r="BD378" s="20"/>
      <c r="BF378" s="20"/>
      <c r="BK378" s="22"/>
    </row>
    <row r="379" spans="1:63" ht="15" customHeight="1" x14ac:dyDescent="0.35">
      <c r="A379" s="19"/>
      <c r="E379" s="20"/>
      <c r="G379" s="19"/>
      <c r="H379" s="20"/>
      <c r="L379" s="19"/>
      <c r="M379" s="19"/>
      <c r="N379" s="19"/>
      <c r="X379" s="20"/>
      <c r="Y379" s="20"/>
      <c r="AA379" s="20"/>
      <c r="AB379" s="20"/>
      <c r="AC379" s="21"/>
      <c r="AD379" s="22"/>
      <c r="AE379" s="22"/>
      <c r="AG379" s="22"/>
      <c r="AI379" s="22"/>
      <c r="AK379" s="22"/>
      <c r="AM379" s="22"/>
      <c r="AP379" s="22"/>
      <c r="BC379" s="19"/>
      <c r="BD379" s="20"/>
      <c r="BF379" s="20"/>
      <c r="BK379" s="22"/>
    </row>
    <row r="380" spans="1:63" ht="15" customHeight="1" x14ac:dyDescent="0.35">
      <c r="A380" s="19"/>
      <c r="E380" s="20"/>
      <c r="G380" s="19"/>
      <c r="H380" s="20"/>
      <c r="L380" s="19"/>
      <c r="M380" s="19"/>
      <c r="N380" s="19"/>
      <c r="X380" s="20"/>
      <c r="Y380" s="20"/>
      <c r="AA380" s="20"/>
      <c r="AB380" s="20"/>
      <c r="AC380" s="21"/>
      <c r="AD380" s="22"/>
      <c r="AE380" s="22"/>
      <c r="AG380" s="22"/>
      <c r="AI380" s="22"/>
      <c r="AK380" s="22"/>
      <c r="AM380" s="22"/>
      <c r="AP380" s="22"/>
      <c r="BC380" s="19"/>
      <c r="BD380" s="20"/>
      <c r="BF380" s="20"/>
      <c r="BK380" s="22"/>
    </row>
    <row r="381" spans="1:63" ht="15" customHeight="1" x14ac:dyDescent="0.35">
      <c r="A381" s="19"/>
      <c r="E381" s="20"/>
      <c r="G381" s="19"/>
      <c r="H381" s="20"/>
      <c r="L381" s="19"/>
      <c r="M381" s="19"/>
      <c r="N381" s="19"/>
      <c r="X381" s="20"/>
      <c r="Y381" s="20"/>
      <c r="AA381" s="20"/>
      <c r="AB381" s="20"/>
      <c r="AC381" s="21"/>
      <c r="AD381" s="22"/>
      <c r="AE381" s="22"/>
      <c r="AG381" s="22"/>
      <c r="AI381" s="22"/>
      <c r="AK381" s="22"/>
      <c r="AM381" s="22"/>
      <c r="AP381" s="22"/>
      <c r="BC381" s="19"/>
      <c r="BD381" s="20"/>
      <c r="BF381" s="20"/>
      <c r="BK381" s="22"/>
    </row>
    <row r="382" spans="1:63" ht="15" customHeight="1" x14ac:dyDescent="0.35">
      <c r="A382" s="19"/>
      <c r="E382" s="20"/>
      <c r="G382" s="19"/>
      <c r="H382" s="20"/>
      <c r="L382" s="19"/>
      <c r="M382" s="19"/>
      <c r="N382" s="19"/>
      <c r="X382" s="20"/>
      <c r="Y382" s="20"/>
      <c r="AA382" s="20"/>
      <c r="AB382" s="20"/>
      <c r="AC382" s="21"/>
      <c r="AD382" s="22"/>
      <c r="AE382" s="22"/>
      <c r="AG382" s="22"/>
      <c r="AI382" s="22"/>
      <c r="AK382" s="22"/>
      <c r="AM382" s="22"/>
      <c r="AP382" s="22"/>
      <c r="BC382" s="19"/>
      <c r="BD382" s="20"/>
      <c r="BF382" s="20"/>
      <c r="BK382" s="22"/>
    </row>
    <row r="383" spans="1:63" ht="15" customHeight="1" x14ac:dyDescent="0.35">
      <c r="A383" s="19"/>
      <c r="E383" s="20"/>
      <c r="G383" s="19"/>
      <c r="H383" s="20"/>
      <c r="L383" s="19"/>
      <c r="M383" s="19"/>
      <c r="N383" s="19"/>
      <c r="X383" s="20"/>
      <c r="Y383" s="20"/>
      <c r="AA383" s="20"/>
      <c r="AB383" s="20"/>
      <c r="AC383" s="21"/>
      <c r="AD383" s="22"/>
      <c r="AE383" s="22"/>
      <c r="AG383" s="22"/>
      <c r="AI383" s="22"/>
      <c r="AK383" s="22"/>
      <c r="AM383" s="22"/>
      <c r="AP383" s="22"/>
      <c r="BC383" s="19"/>
      <c r="BD383" s="20"/>
      <c r="BF383" s="20"/>
      <c r="BK383" s="22"/>
    </row>
    <row r="384" spans="1:63" ht="15" customHeight="1" x14ac:dyDescent="0.35">
      <c r="A384" s="19"/>
      <c r="E384" s="20"/>
      <c r="G384" s="19"/>
      <c r="H384" s="20"/>
      <c r="L384" s="19"/>
      <c r="M384" s="19"/>
      <c r="N384" s="19"/>
      <c r="X384" s="20"/>
      <c r="Y384" s="20"/>
      <c r="AA384" s="20"/>
      <c r="AB384" s="20"/>
      <c r="AC384" s="21"/>
      <c r="AD384" s="22"/>
      <c r="AE384" s="22"/>
      <c r="AG384" s="22"/>
      <c r="AI384" s="22"/>
      <c r="AK384" s="22"/>
      <c r="AM384" s="22"/>
      <c r="AP384" s="22"/>
      <c r="BC384" s="19"/>
      <c r="BD384" s="20"/>
      <c r="BF384" s="20"/>
      <c r="BK384" s="22"/>
    </row>
    <row r="385" spans="1:63" ht="15" customHeight="1" x14ac:dyDescent="0.35">
      <c r="A385" s="19"/>
      <c r="E385" s="20"/>
      <c r="G385" s="19"/>
      <c r="H385" s="20"/>
      <c r="L385" s="19"/>
      <c r="M385" s="19"/>
      <c r="N385" s="19"/>
      <c r="X385" s="20"/>
      <c r="Y385" s="20"/>
      <c r="AA385" s="20"/>
      <c r="AB385" s="20"/>
      <c r="AC385" s="21"/>
      <c r="AD385" s="22"/>
      <c r="AE385" s="22"/>
      <c r="AG385" s="22"/>
      <c r="AI385" s="22"/>
      <c r="AK385" s="22"/>
      <c r="AM385" s="22"/>
      <c r="AP385" s="22"/>
      <c r="BC385" s="19"/>
      <c r="BD385" s="20"/>
      <c r="BF385" s="20"/>
      <c r="BK385" s="22"/>
    </row>
    <row r="386" spans="1:63" ht="15" customHeight="1" x14ac:dyDescent="0.35">
      <c r="A386" s="19"/>
      <c r="E386" s="20"/>
      <c r="G386" s="19"/>
      <c r="H386" s="20"/>
      <c r="L386" s="19"/>
      <c r="M386" s="19"/>
      <c r="N386" s="19"/>
      <c r="X386" s="20"/>
      <c r="Y386" s="20"/>
      <c r="AA386" s="20"/>
      <c r="AB386" s="20"/>
      <c r="AC386" s="21"/>
      <c r="AD386" s="22"/>
      <c r="AE386" s="22"/>
      <c r="AG386" s="22"/>
      <c r="AI386" s="22"/>
      <c r="AK386" s="22"/>
      <c r="AM386" s="22"/>
      <c r="AP386" s="22"/>
      <c r="BC386" s="19"/>
      <c r="BD386" s="20"/>
      <c r="BF386" s="20"/>
      <c r="BK386" s="22"/>
    </row>
    <row r="387" spans="1:63" ht="15" customHeight="1" x14ac:dyDescent="0.35">
      <c r="A387" s="19"/>
      <c r="E387" s="20"/>
      <c r="G387" s="19"/>
      <c r="H387" s="20"/>
      <c r="L387" s="19"/>
      <c r="M387" s="19"/>
      <c r="N387" s="19"/>
      <c r="X387" s="20"/>
      <c r="Y387" s="20"/>
      <c r="AA387" s="20"/>
      <c r="AB387" s="20"/>
      <c r="AC387" s="21"/>
      <c r="AD387" s="22"/>
      <c r="AE387" s="22"/>
      <c r="AG387" s="22"/>
      <c r="AI387" s="22"/>
      <c r="AK387" s="22"/>
      <c r="AM387" s="22"/>
      <c r="AP387" s="22"/>
      <c r="BC387" s="19"/>
      <c r="BD387" s="20"/>
      <c r="BF387" s="20"/>
      <c r="BK387" s="22"/>
    </row>
    <row r="388" spans="1:63" ht="15" customHeight="1" x14ac:dyDescent="0.35">
      <c r="A388" s="19"/>
      <c r="E388" s="20"/>
      <c r="G388" s="19"/>
      <c r="H388" s="20"/>
      <c r="L388" s="19"/>
      <c r="M388" s="19"/>
      <c r="N388" s="19"/>
      <c r="X388" s="20"/>
      <c r="Y388" s="20"/>
      <c r="AA388" s="20"/>
      <c r="AB388" s="20"/>
      <c r="AC388" s="21"/>
      <c r="AD388" s="22"/>
      <c r="AE388" s="22"/>
      <c r="AG388" s="22"/>
      <c r="AI388" s="22"/>
      <c r="AK388" s="22"/>
      <c r="AM388" s="22"/>
      <c r="AP388" s="22"/>
      <c r="BC388" s="19"/>
      <c r="BD388" s="20"/>
      <c r="BF388" s="20"/>
      <c r="BK388" s="22"/>
    </row>
    <row r="389" spans="1:63" ht="15" customHeight="1" x14ac:dyDescent="0.35">
      <c r="A389" s="19"/>
      <c r="E389" s="20"/>
      <c r="G389" s="19"/>
      <c r="H389" s="20"/>
      <c r="L389" s="19"/>
      <c r="M389" s="19"/>
      <c r="N389" s="19"/>
      <c r="X389" s="20"/>
      <c r="Y389" s="20"/>
      <c r="AA389" s="20"/>
      <c r="AB389" s="20"/>
      <c r="AC389" s="21"/>
      <c r="AD389" s="22"/>
      <c r="AE389" s="22"/>
      <c r="AG389" s="22"/>
      <c r="AI389" s="22"/>
      <c r="AK389" s="22"/>
      <c r="AM389" s="22"/>
      <c r="AP389" s="22"/>
      <c r="BC389" s="19"/>
      <c r="BD389" s="20"/>
      <c r="BF389" s="20"/>
      <c r="BK389" s="22"/>
    </row>
    <row r="390" spans="1:63" ht="15" customHeight="1" x14ac:dyDescent="0.35">
      <c r="A390" s="19"/>
      <c r="E390" s="20"/>
      <c r="G390" s="19"/>
      <c r="H390" s="20"/>
      <c r="L390" s="19"/>
      <c r="M390" s="19"/>
      <c r="N390" s="19"/>
      <c r="X390" s="20"/>
      <c r="Y390" s="20"/>
      <c r="AA390" s="20"/>
      <c r="AB390" s="20"/>
      <c r="AC390" s="21"/>
      <c r="AD390" s="22"/>
      <c r="AE390" s="22"/>
      <c r="AG390" s="22"/>
      <c r="AI390" s="22"/>
      <c r="AK390" s="22"/>
      <c r="AM390" s="22"/>
      <c r="AP390" s="22"/>
      <c r="BC390" s="19"/>
      <c r="BD390" s="20"/>
      <c r="BF390" s="20"/>
      <c r="BK390" s="22"/>
    </row>
    <row r="391" spans="1:63" ht="15" customHeight="1" x14ac:dyDescent="0.35">
      <c r="A391" s="19"/>
      <c r="E391" s="20"/>
      <c r="G391" s="19"/>
      <c r="H391" s="20"/>
      <c r="L391" s="19"/>
      <c r="M391" s="19"/>
      <c r="N391" s="19"/>
      <c r="X391" s="20"/>
      <c r="Y391" s="20"/>
      <c r="AA391" s="20"/>
      <c r="AB391" s="20"/>
      <c r="AC391" s="21"/>
      <c r="AD391" s="22"/>
      <c r="AE391" s="22"/>
      <c r="AG391" s="22"/>
      <c r="AI391" s="22"/>
      <c r="AK391" s="22"/>
      <c r="AM391" s="22"/>
      <c r="AP391" s="22"/>
      <c r="BC391" s="19"/>
      <c r="BD391" s="20"/>
      <c r="BF391" s="20"/>
      <c r="BK391" s="22"/>
    </row>
    <row r="392" spans="1:63" ht="15" customHeight="1" x14ac:dyDescent="0.35">
      <c r="A392" s="19"/>
      <c r="E392" s="20"/>
      <c r="G392" s="19"/>
      <c r="H392" s="20"/>
      <c r="L392" s="19"/>
      <c r="M392" s="19"/>
      <c r="N392" s="19"/>
      <c r="X392" s="20"/>
      <c r="Y392" s="20"/>
      <c r="AA392" s="20"/>
      <c r="AB392" s="20"/>
      <c r="AC392" s="21"/>
      <c r="AD392" s="22"/>
      <c r="AE392" s="22"/>
      <c r="AG392" s="22"/>
      <c r="AI392" s="22"/>
      <c r="AK392" s="22"/>
      <c r="AM392" s="22"/>
      <c r="AP392" s="22"/>
      <c r="BC392" s="19"/>
      <c r="BD392" s="20"/>
      <c r="BF392" s="20"/>
      <c r="BK392" s="22"/>
    </row>
    <row r="393" spans="1:63" ht="15" customHeight="1" x14ac:dyDescent="0.35">
      <c r="A393" s="19"/>
      <c r="E393" s="20"/>
      <c r="G393" s="19"/>
      <c r="H393" s="20"/>
      <c r="L393" s="19"/>
      <c r="M393" s="19"/>
      <c r="N393" s="19"/>
      <c r="X393" s="20"/>
      <c r="Y393" s="20"/>
      <c r="AA393" s="20"/>
      <c r="AB393" s="20"/>
      <c r="AC393" s="21"/>
      <c r="AD393" s="22"/>
      <c r="AE393" s="22"/>
      <c r="AG393" s="22"/>
      <c r="AI393" s="22"/>
      <c r="AK393" s="22"/>
      <c r="AM393" s="22"/>
      <c r="AP393" s="22"/>
      <c r="BC393" s="19"/>
      <c r="BD393" s="20"/>
      <c r="BF393" s="20"/>
      <c r="BK393" s="22"/>
    </row>
    <row r="394" spans="1:63" ht="15" customHeight="1" x14ac:dyDescent="0.35">
      <c r="A394" s="19"/>
      <c r="E394" s="20"/>
      <c r="G394" s="19"/>
      <c r="H394" s="20"/>
      <c r="L394" s="19"/>
      <c r="M394" s="19"/>
      <c r="N394" s="19"/>
      <c r="X394" s="20"/>
      <c r="Y394" s="20"/>
      <c r="AA394" s="20"/>
      <c r="AB394" s="20"/>
      <c r="AC394" s="21"/>
      <c r="AD394" s="22"/>
      <c r="AE394" s="22"/>
      <c r="AG394" s="22"/>
      <c r="AI394" s="22"/>
      <c r="AK394" s="22"/>
      <c r="AM394" s="22"/>
      <c r="AP394" s="22"/>
      <c r="BC394" s="19"/>
      <c r="BD394" s="20"/>
      <c r="BF394" s="20"/>
      <c r="BK394" s="22"/>
    </row>
    <row r="395" spans="1:63" ht="15" customHeight="1" x14ac:dyDescent="0.35">
      <c r="A395" s="19"/>
      <c r="E395" s="20"/>
      <c r="G395" s="19"/>
      <c r="H395" s="20"/>
      <c r="L395" s="19"/>
      <c r="M395" s="19"/>
      <c r="N395" s="19"/>
      <c r="X395" s="20"/>
      <c r="Y395" s="20"/>
      <c r="AA395" s="20"/>
      <c r="AB395" s="20"/>
      <c r="AC395" s="21"/>
      <c r="AD395" s="22"/>
      <c r="AE395" s="22"/>
      <c r="AG395" s="22"/>
      <c r="AI395" s="22"/>
      <c r="AK395" s="22"/>
      <c r="AM395" s="22"/>
      <c r="AP395" s="22"/>
      <c r="BC395" s="19"/>
      <c r="BD395" s="20"/>
      <c r="BF395" s="20"/>
      <c r="BK395" s="22"/>
    </row>
    <row r="396" spans="1:63" ht="15" customHeight="1" x14ac:dyDescent="0.35">
      <c r="A396" s="19"/>
      <c r="E396" s="20"/>
      <c r="G396" s="19"/>
      <c r="H396" s="20"/>
      <c r="L396" s="19"/>
      <c r="M396" s="19"/>
      <c r="N396" s="19"/>
      <c r="X396" s="20"/>
      <c r="Y396" s="20"/>
      <c r="AA396" s="20"/>
      <c r="AB396" s="20"/>
      <c r="AC396" s="21"/>
      <c r="AD396" s="22"/>
      <c r="AE396" s="22"/>
      <c r="AG396" s="22"/>
      <c r="AI396" s="22"/>
      <c r="AK396" s="22"/>
      <c r="AM396" s="22"/>
      <c r="AP396" s="22"/>
      <c r="BC396" s="19"/>
      <c r="BD396" s="20"/>
      <c r="BF396" s="20"/>
      <c r="BK396" s="22"/>
    </row>
    <row r="397" spans="1:63" ht="15" customHeight="1" x14ac:dyDescent="0.35">
      <c r="A397" s="19"/>
      <c r="E397" s="20"/>
      <c r="G397" s="19"/>
      <c r="H397" s="20"/>
      <c r="L397" s="19"/>
      <c r="M397" s="19"/>
      <c r="N397" s="19"/>
      <c r="X397" s="20"/>
      <c r="Y397" s="20"/>
      <c r="AA397" s="20"/>
      <c r="AB397" s="20"/>
      <c r="AC397" s="21"/>
      <c r="AD397" s="22"/>
      <c r="AE397" s="22"/>
      <c r="AG397" s="22"/>
      <c r="AI397" s="22"/>
      <c r="AK397" s="22"/>
      <c r="AM397" s="22"/>
      <c r="AP397" s="22"/>
      <c r="BC397" s="19"/>
      <c r="BD397" s="20"/>
      <c r="BF397" s="20"/>
      <c r="BK397" s="22"/>
    </row>
    <row r="398" spans="1:63" ht="15" customHeight="1" x14ac:dyDescent="0.35">
      <c r="A398" s="19"/>
      <c r="E398" s="20"/>
      <c r="G398" s="19"/>
      <c r="H398" s="20"/>
      <c r="L398" s="19"/>
      <c r="M398" s="19"/>
      <c r="N398" s="19"/>
      <c r="X398" s="20"/>
      <c r="Y398" s="20"/>
      <c r="AA398" s="20"/>
      <c r="AB398" s="20"/>
      <c r="AC398" s="21"/>
      <c r="AD398" s="22"/>
      <c r="AE398" s="22"/>
      <c r="AG398" s="22"/>
      <c r="AI398" s="22"/>
      <c r="AK398" s="22"/>
      <c r="AM398" s="22"/>
      <c r="AP398" s="22"/>
      <c r="BC398" s="19"/>
      <c r="BD398" s="20"/>
      <c r="BF398" s="20"/>
      <c r="BK398" s="22"/>
    </row>
    <row r="399" spans="1:63" ht="15" customHeight="1" x14ac:dyDescent="0.35">
      <c r="A399" s="19"/>
      <c r="E399" s="20"/>
      <c r="G399" s="19"/>
      <c r="H399" s="20"/>
      <c r="L399" s="19"/>
      <c r="M399" s="19"/>
      <c r="N399" s="19"/>
      <c r="X399" s="20"/>
      <c r="Y399" s="20"/>
      <c r="AA399" s="20"/>
      <c r="AB399" s="20"/>
      <c r="AC399" s="21"/>
      <c r="AD399" s="22"/>
      <c r="AE399" s="22"/>
      <c r="AG399" s="22"/>
      <c r="AI399" s="22"/>
      <c r="AK399" s="22"/>
      <c r="AM399" s="22"/>
      <c r="AP399" s="22"/>
      <c r="BC399" s="19"/>
      <c r="BD399" s="20"/>
      <c r="BF399" s="20"/>
      <c r="BK399" s="22"/>
    </row>
    <row r="400" spans="1:63" ht="15" customHeight="1" x14ac:dyDescent="0.35">
      <c r="A400" s="19"/>
      <c r="E400" s="20"/>
      <c r="G400" s="19"/>
      <c r="H400" s="20"/>
      <c r="L400" s="19"/>
      <c r="M400" s="19"/>
      <c r="N400" s="19"/>
      <c r="X400" s="20"/>
      <c r="Y400" s="20"/>
      <c r="AA400" s="20"/>
      <c r="AB400" s="20"/>
      <c r="AC400" s="21"/>
      <c r="AD400" s="22"/>
      <c r="AE400" s="22"/>
      <c r="AG400" s="22"/>
      <c r="AI400" s="22"/>
      <c r="AK400" s="22"/>
      <c r="AM400" s="22"/>
      <c r="AP400" s="22"/>
      <c r="BC400" s="19"/>
      <c r="BD400" s="20"/>
      <c r="BF400" s="20"/>
      <c r="BK400" s="22"/>
    </row>
    <row r="401" spans="1:63" ht="15" customHeight="1" x14ac:dyDescent="0.35">
      <c r="A401" s="19"/>
      <c r="E401" s="20"/>
      <c r="G401" s="19"/>
      <c r="H401" s="20"/>
      <c r="L401" s="19"/>
      <c r="M401" s="19"/>
      <c r="N401" s="19"/>
      <c r="X401" s="20"/>
      <c r="Y401" s="20"/>
      <c r="AA401" s="20"/>
      <c r="AB401" s="20"/>
      <c r="AC401" s="21"/>
      <c r="AD401" s="22"/>
      <c r="AE401" s="22"/>
      <c r="AG401" s="22"/>
      <c r="AI401" s="22"/>
      <c r="AK401" s="22"/>
      <c r="AM401" s="22"/>
      <c r="AP401" s="22"/>
      <c r="BC401" s="19"/>
      <c r="BD401" s="20"/>
      <c r="BF401" s="20"/>
      <c r="BK401" s="22"/>
    </row>
    <row r="402" spans="1:63" ht="15" customHeight="1" x14ac:dyDescent="0.35">
      <c r="A402" s="19"/>
      <c r="E402" s="20"/>
      <c r="G402" s="19"/>
      <c r="H402" s="20"/>
      <c r="L402" s="19"/>
      <c r="M402" s="19"/>
      <c r="N402" s="19"/>
      <c r="X402" s="20"/>
      <c r="Y402" s="20"/>
      <c r="AA402" s="20"/>
      <c r="AB402" s="20"/>
      <c r="AC402" s="21"/>
      <c r="AD402" s="22"/>
      <c r="AE402" s="22"/>
      <c r="AG402" s="22"/>
      <c r="AI402" s="22"/>
      <c r="AK402" s="22"/>
      <c r="AM402" s="22"/>
      <c r="AP402" s="22"/>
      <c r="BC402" s="19"/>
      <c r="BD402" s="20"/>
      <c r="BF402" s="20"/>
      <c r="BK402" s="22"/>
    </row>
    <row r="403" spans="1:63" ht="15" customHeight="1" x14ac:dyDescent="0.35">
      <c r="A403" s="19"/>
      <c r="E403" s="20"/>
      <c r="G403" s="19"/>
      <c r="H403" s="20"/>
      <c r="L403" s="19"/>
      <c r="M403" s="19"/>
      <c r="N403" s="19"/>
      <c r="X403" s="20"/>
      <c r="Y403" s="20"/>
      <c r="AA403" s="20"/>
      <c r="AB403" s="20"/>
      <c r="AC403" s="21"/>
      <c r="AD403" s="22"/>
      <c r="AE403" s="22"/>
      <c r="AG403" s="22"/>
      <c r="AI403" s="22"/>
      <c r="AK403" s="22"/>
      <c r="AM403" s="22"/>
      <c r="AP403" s="22"/>
      <c r="BC403" s="19"/>
      <c r="BD403" s="20"/>
      <c r="BF403" s="20"/>
      <c r="BK403" s="22"/>
    </row>
    <row r="404" spans="1:63" ht="15" customHeight="1" x14ac:dyDescent="0.35">
      <c r="A404" s="19"/>
      <c r="E404" s="20"/>
      <c r="G404" s="19"/>
      <c r="H404" s="20"/>
      <c r="L404" s="19"/>
      <c r="M404" s="19"/>
      <c r="N404" s="19"/>
      <c r="X404" s="20"/>
      <c r="Y404" s="20"/>
      <c r="AA404" s="20"/>
      <c r="AB404" s="20"/>
      <c r="AC404" s="21"/>
      <c r="AD404" s="22"/>
      <c r="AE404" s="22"/>
      <c r="AG404" s="22"/>
      <c r="AI404" s="22"/>
      <c r="AK404" s="22"/>
      <c r="AM404" s="22"/>
      <c r="AP404" s="22"/>
      <c r="BC404" s="19"/>
      <c r="BD404" s="20"/>
      <c r="BF404" s="20"/>
      <c r="BK404" s="22"/>
    </row>
    <row r="405" spans="1:63" ht="15" customHeight="1" x14ac:dyDescent="0.35">
      <c r="A405" s="19"/>
      <c r="E405" s="20"/>
      <c r="G405" s="19"/>
      <c r="H405" s="20"/>
      <c r="L405" s="19"/>
      <c r="M405" s="19"/>
      <c r="N405" s="19"/>
      <c r="X405" s="20"/>
      <c r="Y405" s="20"/>
      <c r="AA405" s="20"/>
      <c r="AB405" s="20"/>
      <c r="AC405" s="21"/>
      <c r="AD405" s="22"/>
      <c r="AE405" s="22"/>
      <c r="AG405" s="22"/>
      <c r="AI405" s="22"/>
      <c r="AK405" s="22"/>
      <c r="AM405" s="22"/>
      <c r="AP405" s="22"/>
      <c r="BC405" s="19"/>
      <c r="BD405" s="20"/>
      <c r="BF405" s="20"/>
      <c r="BK405" s="22"/>
    </row>
    <row r="406" spans="1:63" ht="15" customHeight="1" x14ac:dyDescent="0.35">
      <c r="A406" s="19"/>
      <c r="E406" s="20"/>
      <c r="G406" s="19"/>
      <c r="H406" s="20"/>
      <c r="L406" s="19"/>
      <c r="M406" s="19"/>
      <c r="N406" s="19"/>
      <c r="X406" s="20"/>
      <c r="Y406" s="20"/>
      <c r="AA406" s="20"/>
      <c r="AB406" s="20"/>
      <c r="AC406" s="21"/>
      <c r="AD406" s="22"/>
      <c r="AE406" s="22"/>
      <c r="AG406" s="22"/>
      <c r="AI406" s="22"/>
      <c r="AK406" s="22"/>
      <c r="AM406" s="22"/>
      <c r="AP406" s="22"/>
      <c r="BC406" s="19"/>
      <c r="BD406" s="20"/>
      <c r="BF406" s="20"/>
      <c r="BK406" s="22"/>
    </row>
    <row r="407" spans="1:63" ht="15" customHeight="1" x14ac:dyDescent="0.35">
      <c r="A407" s="19"/>
      <c r="E407" s="20"/>
      <c r="G407" s="19"/>
      <c r="H407" s="20"/>
      <c r="L407" s="19"/>
      <c r="M407" s="19"/>
      <c r="N407" s="19"/>
      <c r="X407" s="20"/>
      <c r="Y407" s="20"/>
      <c r="AA407" s="20"/>
      <c r="AB407" s="20"/>
      <c r="AC407" s="21"/>
      <c r="AD407" s="22"/>
      <c r="AE407" s="22"/>
      <c r="AG407" s="22"/>
      <c r="AI407" s="22"/>
      <c r="AK407" s="22"/>
      <c r="AM407" s="22"/>
      <c r="AP407" s="22"/>
      <c r="BC407" s="19"/>
      <c r="BD407" s="20"/>
      <c r="BF407" s="20"/>
      <c r="BK407" s="22"/>
    </row>
    <row r="408" spans="1:63" ht="15" customHeight="1" x14ac:dyDescent="0.35">
      <c r="A408" s="19"/>
      <c r="E408" s="20"/>
      <c r="G408" s="19"/>
      <c r="H408" s="20"/>
      <c r="L408" s="19"/>
      <c r="M408" s="19"/>
      <c r="N408" s="19"/>
      <c r="X408" s="20"/>
      <c r="Y408" s="20"/>
      <c r="AA408" s="20"/>
      <c r="AB408" s="20"/>
      <c r="AC408" s="21"/>
      <c r="AD408" s="22"/>
      <c r="AE408" s="22"/>
      <c r="AG408" s="22"/>
      <c r="AI408" s="22"/>
      <c r="AK408" s="22"/>
      <c r="AM408" s="22"/>
      <c r="AP408" s="22"/>
      <c r="BC408" s="19"/>
      <c r="BD408" s="20"/>
      <c r="BF408" s="20"/>
      <c r="BK408" s="22"/>
    </row>
    <row r="409" spans="1:63" ht="15" customHeight="1" x14ac:dyDescent="0.35">
      <c r="A409" s="19"/>
      <c r="E409" s="20"/>
      <c r="G409" s="19"/>
      <c r="H409" s="20"/>
      <c r="L409" s="19"/>
      <c r="M409" s="19"/>
      <c r="N409" s="19"/>
      <c r="X409" s="20"/>
      <c r="Y409" s="20"/>
      <c r="AA409" s="20"/>
      <c r="AB409" s="20"/>
      <c r="AC409" s="21"/>
      <c r="AD409" s="22"/>
      <c r="AE409" s="22"/>
      <c r="AG409" s="22"/>
      <c r="AI409" s="22"/>
      <c r="AK409" s="22"/>
      <c r="AM409" s="22"/>
      <c r="AP409" s="22"/>
      <c r="BC409" s="19"/>
      <c r="BD409" s="20"/>
      <c r="BF409" s="20"/>
      <c r="BK409" s="22"/>
    </row>
    <row r="410" spans="1:63" ht="15" customHeight="1" x14ac:dyDescent="0.35">
      <c r="A410" s="19"/>
      <c r="E410" s="20"/>
      <c r="G410" s="19"/>
      <c r="H410" s="20"/>
      <c r="L410" s="19"/>
      <c r="M410" s="19"/>
      <c r="N410" s="19"/>
      <c r="X410" s="20"/>
      <c r="Y410" s="20"/>
      <c r="AA410" s="20"/>
      <c r="AB410" s="20"/>
      <c r="AC410" s="21"/>
      <c r="AD410" s="22"/>
      <c r="AE410" s="22"/>
      <c r="AG410" s="22"/>
      <c r="AI410" s="22"/>
      <c r="AK410" s="22"/>
      <c r="AM410" s="22"/>
      <c r="AP410" s="22"/>
      <c r="BC410" s="19"/>
      <c r="BD410" s="20"/>
      <c r="BF410" s="20"/>
      <c r="BK410" s="22"/>
    </row>
    <row r="411" spans="1:63" ht="15" customHeight="1" x14ac:dyDescent="0.35">
      <c r="A411" s="19"/>
      <c r="E411" s="20"/>
      <c r="G411" s="19"/>
      <c r="H411" s="20"/>
      <c r="L411" s="19"/>
      <c r="M411" s="19"/>
      <c r="N411" s="19"/>
      <c r="X411" s="20"/>
      <c r="Y411" s="20"/>
      <c r="AA411" s="20"/>
      <c r="AB411" s="20"/>
      <c r="AC411" s="21"/>
      <c r="AD411" s="22"/>
      <c r="AE411" s="22"/>
      <c r="AG411" s="22"/>
      <c r="AI411" s="22"/>
      <c r="AK411" s="22"/>
      <c r="AM411" s="22"/>
      <c r="AP411" s="22"/>
      <c r="BC411" s="19"/>
      <c r="BD411" s="20"/>
      <c r="BF411" s="20"/>
      <c r="BK411" s="22"/>
    </row>
    <row r="412" spans="1:63" ht="15" customHeight="1" x14ac:dyDescent="0.35">
      <c r="A412" s="19"/>
      <c r="E412" s="20"/>
      <c r="G412" s="19"/>
      <c r="H412" s="20"/>
      <c r="L412" s="19"/>
      <c r="M412" s="19"/>
      <c r="N412" s="19"/>
      <c r="X412" s="20"/>
      <c r="Y412" s="20"/>
      <c r="AA412" s="20"/>
      <c r="AB412" s="20"/>
      <c r="AC412" s="21"/>
      <c r="AD412" s="22"/>
      <c r="AE412" s="22"/>
      <c r="AG412" s="22"/>
      <c r="AI412" s="22"/>
      <c r="AK412" s="22"/>
      <c r="AM412" s="22"/>
      <c r="AP412" s="22"/>
      <c r="BC412" s="19"/>
      <c r="BD412" s="20"/>
      <c r="BF412" s="20"/>
      <c r="BK412" s="22"/>
    </row>
    <row r="413" spans="1:63" ht="15" customHeight="1" x14ac:dyDescent="0.35">
      <c r="A413" s="19"/>
      <c r="E413" s="20"/>
      <c r="G413" s="19"/>
      <c r="H413" s="20"/>
      <c r="L413" s="19"/>
      <c r="M413" s="19"/>
      <c r="N413" s="19"/>
      <c r="X413" s="20"/>
      <c r="Y413" s="20"/>
      <c r="AA413" s="20"/>
      <c r="AB413" s="20"/>
      <c r="AC413" s="21"/>
      <c r="AD413" s="22"/>
      <c r="AE413" s="22"/>
      <c r="AG413" s="22"/>
      <c r="AI413" s="22"/>
      <c r="AK413" s="22"/>
      <c r="AM413" s="22"/>
      <c r="AP413" s="22"/>
      <c r="BC413" s="19"/>
      <c r="BD413" s="20"/>
      <c r="BF413" s="20"/>
      <c r="BK413" s="22"/>
    </row>
    <row r="414" spans="1:63" ht="15" customHeight="1" x14ac:dyDescent="0.35">
      <c r="A414" s="19"/>
      <c r="E414" s="20"/>
      <c r="G414" s="19"/>
      <c r="H414" s="20"/>
      <c r="L414" s="19"/>
      <c r="M414" s="19"/>
      <c r="N414" s="19"/>
      <c r="X414" s="20"/>
      <c r="Y414" s="20"/>
      <c r="AA414" s="20"/>
      <c r="AB414" s="20"/>
      <c r="AC414" s="21"/>
      <c r="AD414" s="22"/>
      <c r="AE414" s="22"/>
      <c r="AG414" s="22"/>
      <c r="AI414" s="22"/>
      <c r="AK414" s="22"/>
      <c r="AM414" s="22"/>
      <c r="AP414" s="22"/>
      <c r="BC414" s="19"/>
      <c r="BD414" s="20"/>
      <c r="BF414" s="20"/>
      <c r="BK414" s="22"/>
    </row>
    <row r="415" spans="1:63" ht="15" customHeight="1" x14ac:dyDescent="0.35">
      <c r="A415" s="19"/>
      <c r="E415" s="20"/>
      <c r="G415" s="19"/>
      <c r="H415" s="20"/>
      <c r="L415" s="19"/>
      <c r="M415" s="19"/>
      <c r="N415" s="19"/>
      <c r="X415" s="20"/>
      <c r="Y415" s="20"/>
      <c r="AA415" s="20"/>
      <c r="AB415" s="20"/>
      <c r="AC415" s="21"/>
      <c r="AD415" s="22"/>
      <c r="AE415" s="22"/>
      <c r="AG415" s="22"/>
      <c r="AI415" s="22"/>
      <c r="AK415" s="22"/>
      <c r="AM415" s="22"/>
      <c r="AP415" s="22"/>
      <c r="BC415" s="19"/>
      <c r="BD415" s="20"/>
      <c r="BF415" s="20"/>
      <c r="BK415" s="22"/>
    </row>
    <row r="416" spans="1:63" ht="15" customHeight="1" x14ac:dyDescent="0.35">
      <c r="A416" s="19"/>
      <c r="E416" s="20"/>
      <c r="G416" s="19"/>
      <c r="H416" s="20"/>
      <c r="L416" s="19"/>
      <c r="M416" s="19"/>
      <c r="N416" s="19"/>
      <c r="X416" s="20"/>
      <c r="Y416" s="20"/>
      <c r="AA416" s="20"/>
      <c r="AB416" s="20"/>
      <c r="AC416" s="21"/>
      <c r="AD416" s="22"/>
      <c r="AE416" s="22"/>
      <c r="AG416" s="22"/>
      <c r="AI416" s="22"/>
      <c r="AK416" s="22"/>
      <c r="AM416" s="22"/>
      <c r="AP416" s="22"/>
      <c r="BC416" s="19"/>
      <c r="BD416" s="20"/>
      <c r="BF416" s="20"/>
      <c r="BK416" s="22"/>
    </row>
    <row r="417" spans="1:63" ht="15" customHeight="1" x14ac:dyDescent="0.35">
      <c r="A417" s="19"/>
      <c r="E417" s="20"/>
      <c r="G417" s="19"/>
      <c r="H417" s="20"/>
      <c r="L417" s="19"/>
      <c r="M417" s="19"/>
      <c r="N417" s="19"/>
      <c r="X417" s="20"/>
      <c r="Y417" s="20"/>
      <c r="AA417" s="20"/>
      <c r="AB417" s="20"/>
      <c r="AC417" s="21"/>
      <c r="AD417" s="22"/>
      <c r="AE417" s="22"/>
      <c r="AG417" s="22"/>
      <c r="AI417" s="22"/>
      <c r="AK417" s="22"/>
      <c r="AM417" s="22"/>
      <c r="AP417" s="22"/>
      <c r="BC417" s="19"/>
      <c r="BD417" s="20"/>
      <c r="BF417" s="20"/>
      <c r="BK417" s="22"/>
    </row>
    <row r="418" spans="1:63" ht="15" customHeight="1" x14ac:dyDescent="0.35">
      <c r="A418" s="19"/>
      <c r="E418" s="20"/>
      <c r="G418" s="19"/>
      <c r="H418" s="20"/>
      <c r="L418" s="19"/>
      <c r="M418" s="19"/>
      <c r="N418" s="19"/>
      <c r="X418" s="20"/>
      <c r="Y418" s="20"/>
      <c r="AA418" s="20"/>
      <c r="AB418" s="20"/>
      <c r="AC418" s="21"/>
      <c r="AD418" s="22"/>
      <c r="AE418" s="22"/>
      <c r="AG418" s="22"/>
      <c r="AI418" s="22"/>
      <c r="AK418" s="22"/>
      <c r="AM418" s="22"/>
      <c r="AP418" s="22"/>
      <c r="BC418" s="19"/>
      <c r="BD418" s="20"/>
      <c r="BF418" s="20"/>
      <c r="BK418" s="22"/>
    </row>
    <row r="419" spans="1:63" ht="15" customHeight="1" x14ac:dyDescent="0.35">
      <c r="A419" s="19"/>
      <c r="E419" s="20"/>
      <c r="G419" s="19"/>
      <c r="H419" s="20"/>
      <c r="L419" s="19"/>
      <c r="M419" s="19"/>
      <c r="N419" s="19"/>
      <c r="X419" s="20"/>
      <c r="Y419" s="20"/>
      <c r="AA419" s="20"/>
      <c r="AB419" s="20"/>
      <c r="AC419" s="21"/>
      <c r="AD419" s="22"/>
      <c r="AE419" s="22"/>
      <c r="AG419" s="22"/>
      <c r="AI419" s="22"/>
      <c r="AK419" s="22"/>
      <c r="AM419" s="22"/>
      <c r="AP419" s="22"/>
      <c r="BC419" s="19"/>
      <c r="BD419" s="20"/>
      <c r="BF419" s="20"/>
      <c r="BK419" s="22"/>
    </row>
    <row r="420" spans="1:63" ht="15" customHeight="1" x14ac:dyDescent="0.35">
      <c r="A420" s="19"/>
      <c r="E420" s="20"/>
      <c r="G420" s="19"/>
      <c r="H420" s="20"/>
      <c r="L420" s="19"/>
      <c r="M420" s="19"/>
      <c r="N420" s="19"/>
      <c r="X420" s="20"/>
      <c r="Y420" s="20"/>
      <c r="AA420" s="20"/>
      <c r="AB420" s="20"/>
      <c r="AC420" s="21"/>
      <c r="AD420" s="22"/>
      <c r="AE420" s="22"/>
      <c r="AG420" s="22"/>
      <c r="AI420" s="22"/>
      <c r="AK420" s="22"/>
      <c r="AM420" s="22"/>
      <c r="AP420" s="22"/>
      <c r="BC420" s="19"/>
      <c r="BD420" s="20"/>
      <c r="BF420" s="20"/>
      <c r="BK420" s="22"/>
    </row>
    <row r="421" spans="1:63" ht="15" customHeight="1" x14ac:dyDescent="0.35">
      <c r="A421" s="19"/>
      <c r="E421" s="20"/>
      <c r="G421" s="19"/>
      <c r="H421" s="20"/>
      <c r="L421" s="19"/>
      <c r="M421" s="19"/>
      <c r="N421" s="19"/>
      <c r="X421" s="20"/>
      <c r="Y421" s="20"/>
      <c r="AA421" s="20"/>
      <c r="AB421" s="20"/>
      <c r="AC421" s="21"/>
      <c r="AD421" s="22"/>
      <c r="AE421" s="22"/>
      <c r="AG421" s="22"/>
      <c r="AI421" s="22"/>
      <c r="AK421" s="22"/>
      <c r="AM421" s="22"/>
      <c r="AP421" s="22"/>
      <c r="BC421" s="19"/>
      <c r="BD421" s="20"/>
      <c r="BF421" s="20"/>
      <c r="BK421" s="22"/>
    </row>
    <row r="422" spans="1:63" ht="15" customHeight="1" x14ac:dyDescent="0.35">
      <c r="A422" s="19"/>
      <c r="E422" s="20"/>
      <c r="G422" s="19"/>
      <c r="H422" s="20"/>
      <c r="L422" s="19"/>
      <c r="M422" s="19"/>
      <c r="N422" s="19"/>
      <c r="X422" s="20"/>
      <c r="Y422" s="20"/>
      <c r="AA422" s="20"/>
      <c r="AB422" s="20"/>
      <c r="AC422" s="21"/>
      <c r="AD422" s="22"/>
      <c r="AE422" s="22"/>
      <c r="AG422" s="22"/>
      <c r="AI422" s="22"/>
      <c r="AK422" s="22"/>
      <c r="AM422" s="22"/>
      <c r="AP422" s="22"/>
      <c r="BC422" s="19"/>
      <c r="BD422" s="20"/>
      <c r="BF422" s="20"/>
      <c r="BK422" s="22"/>
    </row>
    <row r="423" spans="1:63" ht="15" customHeight="1" x14ac:dyDescent="0.35">
      <c r="A423" s="19"/>
      <c r="E423" s="20"/>
      <c r="G423" s="19"/>
      <c r="H423" s="20"/>
      <c r="L423" s="19"/>
      <c r="M423" s="19"/>
      <c r="N423" s="19"/>
      <c r="X423" s="20"/>
      <c r="Y423" s="20"/>
      <c r="AA423" s="20"/>
      <c r="AB423" s="20"/>
      <c r="AC423" s="21"/>
      <c r="AD423" s="22"/>
      <c r="AE423" s="22"/>
      <c r="AG423" s="22"/>
      <c r="AI423" s="22"/>
      <c r="AK423" s="22"/>
      <c r="AM423" s="22"/>
      <c r="AP423" s="22"/>
      <c r="BC423" s="19"/>
      <c r="BD423" s="20"/>
      <c r="BF423" s="20"/>
      <c r="BK423" s="22"/>
    </row>
    <row r="424" spans="1:63" ht="15" customHeight="1" x14ac:dyDescent="0.35">
      <c r="A424" s="19"/>
      <c r="E424" s="20"/>
      <c r="G424" s="19"/>
      <c r="H424" s="20"/>
      <c r="L424" s="19"/>
      <c r="M424" s="19"/>
      <c r="N424" s="19"/>
      <c r="X424" s="20"/>
      <c r="Y424" s="20"/>
      <c r="AA424" s="20"/>
      <c r="AB424" s="20"/>
      <c r="AC424" s="21"/>
      <c r="AD424" s="22"/>
      <c r="AE424" s="22"/>
      <c r="AG424" s="22"/>
      <c r="AI424" s="22"/>
      <c r="AK424" s="22"/>
      <c r="AM424" s="22"/>
      <c r="AP424" s="22"/>
      <c r="BC424" s="19"/>
      <c r="BD424" s="20"/>
      <c r="BF424" s="20"/>
      <c r="BK424" s="22"/>
    </row>
    <row r="425" spans="1:63" ht="15" customHeight="1" x14ac:dyDescent="0.35">
      <c r="A425" s="19"/>
      <c r="E425" s="20"/>
      <c r="G425" s="19"/>
      <c r="H425" s="20"/>
      <c r="L425" s="19"/>
      <c r="M425" s="19"/>
      <c r="N425" s="19"/>
      <c r="X425" s="20"/>
      <c r="Y425" s="20"/>
      <c r="AA425" s="20"/>
      <c r="AB425" s="20"/>
      <c r="AC425" s="21"/>
      <c r="AD425" s="22"/>
      <c r="AE425" s="22"/>
      <c r="AG425" s="22"/>
      <c r="AI425" s="22"/>
      <c r="AK425" s="22"/>
      <c r="AM425" s="22"/>
      <c r="AP425" s="22"/>
      <c r="BC425" s="19"/>
      <c r="BD425" s="20"/>
      <c r="BF425" s="20"/>
      <c r="BK425" s="22"/>
    </row>
    <row r="426" spans="1:63" ht="15" customHeight="1" x14ac:dyDescent="0.35">
      <c r="A426" s="19"/>
      <c r="E426" s="20"/>
      <c r="G426" s="19"/>
      <c r="H426" s="20"/>
      <c r="L426" s="19"/>
      <c r="M426" s="19"/>
      <c r="N426" s="19"/>
      <c r="X426" s="20"/>
      <c r="Y426" s="20"/>
      <c r="AA426" s="20"/>
      <c r="AB426" s="20"/>
      <c r="AC426" s="21"/>
      <c r="AD426" s="22"/>
      <c r="AE426" s="22"/>
      <c r="AG426" s="22"/>
      <c r="AI426" s="22"/>
      <c r="AK426" s="22"/>
      <c r="AM426" s="22"/>
      <c r="AP426" s="22"/>
      <c r="BC426" s="19"/>
      <c r="BD426" s="20"/>
      <c r="BF426" s="20"/>
      <c r="BK426" s="22"/>
    </row>
    <row r="427" spans="1:63" ht="15" customHeight="1" x14ac:dyDescent="0.35">
      <c r="A427" s="19"/>
      <c r="E427" s="20"/>
      <c r="G427" s="19"/>
      <c r="H427" s="20"/>
      <c r="L427" s="19"/>
      <c r="M427" s="19"/>
      <c r="N427" s="19"/>
      <c r="X427" s="20"/>
      <c r="Y427" s="20"/>
      <c r="AA427" s="20"/>
      <c r="AB427" s="20"/>
      <c r="AC427" s="21"/>
      <c r="AD427" s="22"/>
      <c r="AE427" s="22"/>
      <c r="AG427" s="22"/>
      <c r="AI427" s="22"/>
      <c r="AK427" s="22"/>
      <c r="AM427" s="22"/>
      <c r="AP427" s="22"/>
      <c r="BC427" s="19"/>
      <c r="BD427" s="20"/>
      <c r="BF427" s="20"/>
      <c r="BK427" s="22"/>
    </row>
    <row r="428" spans="1:63" ht="15" customHeight="1" x14ac:dyDescent="0.35">
      <c r="A428" s="19"/>
      <c r="E428" s="20"/>
      <c r="G428" s="19"/>
      <c r="H428" s="20"/>
      <c r="L428" s="19"/>
      <c r="M428" s="19"/>
      <c r="N428" s="19"/>
      <c r="X428" s="20"/>
      <c r="Y428" s="20"/>
      <c r="AA428" s="20"/>
      <c r="AB428" s="20"/>
      <c r="AC428" s="21"/>
      <c r="AD428" s="22"/>
      <c r="AE428" s="22"/>
      <c r="AG428" s="22"/>
      <c r="AI428" s="22"/>
      <c r="AK428" s="22"/>
      <c r="AM428" s="22"/>
      <c r="AP428" s="22"/>
      <c r="BC428" s="19"/>
      <c r="BD428" s="20"/>
      <c r="BF428" s="20"/>
      <c r="BK428" s="22"/>
    </row>
    <row r="429" spans="1:63" ht="15" customHeight="1" x14ac:dyDescent="0.35">
      <c r="A429" s="19"/>
      <c r="E429" s="20"/>
      <c r="G429" s="19"/>
      <c r="H429" s="20"/>
      <c r="L429" s="19"/>
      <c r="M429" s="19"/>
      <c r="N429" s="19"/>
      <c r="X429" s="20"/>
      <c r="Y429" s="20"/>
      <c r="AA429" s="20"/>
      <c r="AB429" s="20"/>
      <c r="AC429" s="21"/>
      <c r="AD429" s="22"/>
      <c r="AE429" s="22"/>
      <c r="AG429" s="22"/>
      <c r="AI429" s="22"/>
      <c r="AK429" s="22"/>
      <c r="AM429" s="22"/>
      <c r="AP429" s="22"/>
      <c r="BC429" s="19"/>
      <c r="BD429" s="20"/>
      <c r="BF429" s="20"/>
      <c r="BK429" s="22"/>
    </row>
    <row r="430" spans="1:63" ht="15" customHeight="1" x14ac:dyDescent="0.35">
      <c r="A430" s="19"/>
      <c r="E430" s="20"/>
      <c r="G430" s="19"/>
      <c r="H430" s="20"/>
      <c r="L430" s="19"/>
      <c r="M430" s="19"/>
      <c r="N430" s="19"/>
      <c r="X430" s="20"/>
      <c r="Y430" s="20"/>
      <c r="AA430" s="20"/>
      <c r="AB430" s="20"/>
      <c r="AC430" s="21"/>
      <c r="AD430" s="22"/>
      <c r="AE430" s="22"/>
      <c r="AG430" s="22"/>
      <c r="AI430" s="22"/>
      <c r="AK430" s="22"/>
      <c r="AM430" s="22"/>
      <c r="AP430" s="22"/>
      <c r="BC430" s="19"/>
      <c r="BD430" s="20"/>
      <c r="BF430" s="20"/>
      <c r="BK430" s="22"/>
    </row>
    <row r="431" spans="1:63" ht="15" customHeight="1" x14ac:dyDescent="0.35">
      <c r="A431" s="19"/>
      <c r="E431" s="20"/>
      <c r="G431" s="19"/>
      <c r="H431" s="20"/>
      <c r="L431" s="19"/>
      <c r="M431" s="19"/>
      <c r="N431" s="19"/>
      <c r="X431" s="20"/>
      <c r="Y431" s="20"/>
      <c r="AA431" s="20"/>
      <c r="AB431" s="20"/>
      <c r="AC431" s="21"/>
      <c r="AD431" s="22"/>
      <c r="AE431" s="22"/>
      <c r="AG431" s="22"/>
      <c r="AI431" s="22"/>
      <c r="AK431" s="22"/>
      <c r="AM431" s="22"/>
      <c r="AP431" s="22"/>
      <c r="BC431" s="19"/>
      <c r="BD431" s="20"/>
      <c r="BF431" s="20"/>
      <c r="BK431" s="22"/>
    </row>
    <row r="432" spans="1:63" ht="15" customHeight="1" x14ac:dyDescent="0.35">
      <c r="A432" s="19"/>
      <c r="E432" s="20"/>
      <c r="G432" s="19"/>
      <c r="H432" s="20"/>
      <c r="L432" s="19"/>
      <c r="M432" s="19"/>
      <c r="N432" s="19"/>
      <c r="X432" s="20"/>
      <c r="Y432" s="20"/>
      <c r="AA432" s="20"/>
      <c r="AB432" s="20"/>
      <c r="AC432" s="21"/>
      <c r="AD432" s="22"/>
      <c r="AE432" s="22"/>
      <c r="AG432" s="22"/>
      <c r="AI432" s="22"/>
      <c r="AK432" s="22"/>
      <c r="AM432" s="22"/>
      <c r="AP432" s="22"/>
      <c r="BC432" s="19"/>
      <c r="BD432" s="20"/>
      <c r="BF432" s="20"/>
      <c r="BK432" s="22"/>
    </row>
    <row r="433" spans="1:63" ht="15" customHeight="1" x14ac:dyDescent="0.35">
      <c r="A433" s="19"/>
      <c r="E433" s="20"/>
      <c r="G433" s="19"/>
      <c r="H433" s="20"/>
      <c r="L433" s="19"/>
      <c r="M433" s="19"/>
      <c r="N433" s="19"/>
      <c r="X433" s="20"/>
      <c r="Y433" s="20"/>
      <c r="AA433" s="20"/>
      <c r="AB433" s="20"/>
      <c r="AC433" s="21"/>
      <c r="AD433" s="22"/>
      <c r="AE433" s="22"/>
      <c r="AG433" s="22"/>
      <c r="AI433" s="22"/>
      <c r="AK433" s="22"/>
      <c r="AM433" s="22"/>
      <c r="AP433" s="22"/>
      <c r="BC433" s="19"/>
      <c r="BD433" s="20"/>
      <c r="BF433" s="20"/>
      <c r="BK433" s="22"/>
    </row>
    <row r="434" spans="1:63" ht="15" customHeight="1" x14ac:dyDescent="0.35">
      <c r="A434" s="19"/>
      <c r="E434" s="20"/>
      <c r="G434" s="19"/>
      <c r="H434" s="20"/>
      <c r="L434" s="19"/>
      <c r="M434" s="19"/>
      <c r="N434" s="19"/>
      <c r="X434" s="20"/>
      <c r="Y434" s="20"/>
      <c r="AA434" s="20"/>
      <c r="AB434" s="20"/>
      <c r="AC434" s="21"/>
      <c r="AD434" s="22"/>
      <c r="AE434" s="22"/>
      <c r="AG434" s="22"/>
      <c r="AI434" s="22"/>
      <c r="AK434" s="22"/>
      <c r="AM434" s="22"/>
      <c r="AP434" s="22"/>
      <c r="BC434" s="19"/>
      <c r="BD434" s="20"/>
      <c r="BF434" s="20"/>
      <c r="BK434" s="22"/>
    </row>
    <row r="435" spans="1:63" ht="15" customHeight="1" x14ac:dyDescent="0.35">
      <c r="A435" s="19"/>
      <c r="E435" s="20"/>
      <c r="G435" s="19"/>
      <c r="H435" s="20"/>
      <c r="L435" s="19"/>
      <c r="M435" s="19"/>
      <c r="N435" s="19"/>
      <c r="X435" s="20"/>
      <c r="Y435" s="20"/>
      <c r="AA435" s="20"/>
      <c r="AB435" s="20"/>
      <c r="AC435" s="21"/>
      <c r="AD435" s="22"/>
      <c r="AE435" s="22"/>
      <c r="AG435" s="22"/>
      <c r="AI435" s="22"/>
      <c r="AK435" s="22"/>
      <c r="AM435" s="22"/>
      <c r="AP435" s="22"/>
      <c r="BC435" s="19"/>
      <c r="BD435" s="20"/>
      <c r="BF435" s="20"/>
      <c r="BK435" s="22"/>
    </row>
    <row r="436" spans="1:63" ht="15" customHeight="1" x14ac:dyDescent="0.35">
      <c r="A436" s="19"/>
      <c r="E436" s="20"/>
      <c r="G436" s="19"/>
      <c r="H436" s="20"/>
      <c r="L436" s="19"/>
      <c r="M436" s="19"/>
      <c r="N436" s="19"/>
      <c r="X436" s="20"/>
      <c r="Y436" s="20"/>
      <c r="AA436" s="20"/>
      <c r="AB436" s="20"/>
      <c r="AC436" s="21"/>
      <c r="AD436" s="22"/>
      <c r="AE436" s="22"/>
      <c r="AG436" s="22"/>
      <c r="AI436" s="22"/>
      <c r="AK436" s="22"/>
      <c r="AM436" s="22"/>
      <c r="AP436" s="22"/>
      <c r="BC436" s="19"/>
      <c r="BD436" s="20"/>
      <c r="BF436" s="20"/>
      <c r="BK436" s="22"/>
    </row>
    <row r="437" spans="1:63" ht="15" customHeight="1" x14ac:dyDescent="0.35">
      <c r="A437" s="19"/>
      <c r="E437" s="20"/>
      <c r="G437" s="19"/>
      <c r="H437" s="20"/>
      <c r="L437" s="19"/>
      <c r="M437" s="19"/>
      <c r="N437" s="19"/>
      <c r="X437" s="20"/>
      <c r="Y437" s="20"/>
      <c r="AA437" s="20"/>
      <c r="AB437" s="20"/>
      <c r="AC437" s="21"/>
      <c r="AD437" s="22"/>
      <c r="AE437" s="22"/>
      <c r="AG437" s="22"/>
      <c r="AI437" s="22"/>
      <c r="AK437" s="22"/>
      <c r="AM437" s="22"/>
      <c r="AP437" s="22"/>
      <c r="BC437" s="19"/>
      <c r="BD437" s="20"/>
      <c r="BF437" s="20"/>
      <c r="BK437" s="22"/>
    </row>
    <row r="438" spans="1:63" ht="15" customHeight="1" x14ac:dyDescent="0.35">
      <c r="A438" s="19"/>
      <c r="E438" s="20"/>
      <c r="G438" s="19"/>
      <c r="H438" s="20"/>
      <c r="L438" s="19"/>
      <c r="M438" s="19"/>
      <c r="N438" s="19"/>
      <c r="X438" s="20"/>
      <c r="Y438" s="20"/>
      <c r="AA438" s="20"/>
      <c r="AB438" s="20"/>
      <c r="AC438" s="21"/>
      <c r="AD438" s="22"/>
      <c r="AE438" s="22"/>
      <c r="AG438" s="22"/>
      <c r="AI438" s="22"/>
      <c r="AK438" s="22"/>
      <c r="AM438" s="22"/>
      <c r="AP438" s="22"/>
      <c r="BC438" s="19"/>
      <c r="BD438" s="20"/>
      <c r="BF438" s="20"/>
      <c r="BK438" s="22"/>
    </row>
    <row r="439" spans="1:63" ht="15" customHeight="1" x14ac:dyDescent="0.35">
      <c r="A439" s="19"/>
      <c r="E439" s="20"/>
      <c r="G439" s="19"/>
      <c r="H439" s="20"/>
      <c r="L439" s="19"/>
      <c r="M439" s="19"/>
      <c r="N439" s="19"/>
      <c r="X439" s="20"/>
      <c r="Y439" s="20"/>
      <c r="AA439" s="20"/>
      <c r="AB439" s="20"/>
      <c r="AC439" s="21"/>
      <c r="AD439" s="22"/>
      <c r="AE439" s="22"/>
      <c r="AG439" s="22"/>
      <c r="AI439" s="22"/>
      <c r="AK439" s="22"/>
      <c r="AM439" s="22"/>
      <c r="AP439" s="22"/>
      <c r="BC439" s="19"/>
      <c r="BD439" s="20"/>
      <c r="BF439" s="20"/>
      <c r="BK439" s="22"/>
    </row>
    <row r="440" spans="1:63" ht="15" customHeight="1" x14ac:dyDescent="0.35">
      <c r="A440" s="19"/>
      <c r="E440" s="20"/>
      <c r="G440" s="19"/>
      <c r="H440" s="20"/>
      <c r="L440" s="19"/>
      <c r="M440" s="19"/>
      <c r="N440" s="19"/>
      <c r="X440" s="20"/>
      <c r="Y440" s="20"/>
      <c r="AA440" s="20"/>
      <c r="AB440" s="20"/>
      <c r="AC440" s="21"/>
      <c r="AD440" s="22"/>
      <c r="AE440" s="22"/>
      <c r="AG440" s="22"/>
      <c r="AI440" s="22"/>
      <c r="AK440" s="22"/>
      <c r="AM440" s="22"/>
      <c r="AP440" s="22"/>
      <c r="BC440" s="19"/>
      <c r="BD440" s="20"/>
      <c r="BF440" s="20"/>
      <c r="BK440" s="22"/>
    </row>
    <row r="441" spans="1:63" ht="15" customHeight="1" x14ac:dyDescent="0.35">
      <c r="A441" s="19"/>
      <c r="E441" s="20"/>
      <c r="G441" s="19"/>
      <c r="H441" s="20"/>
      <c r="L441" s="19"/>
      <c r="M441" s="19"/>
      <c r="N441" s="19"/>
      <c r="X441" s="20"/>
      <c r="Y441" s="20"/>
      <c r="AA441" s="20"/>
      <c r="AB441" s="20"/>
      <c r="AC441" s="21"/>
      <c r="AD441" s="22"/>
      <c r="AE441" s="22"/>
      <c r="AG441" s="22"/>
      <c r="AI441" s="22"/>
      <c r="AK441" s="22"/>
      <c r="AM441" s="22"/>
      <c r="AP441" s="22"/>
      <c r="BC441" s="19"/>
      <c r="BD441" s="20"/>
      <c r="BF441" s="20"/>
      <c r="BK441" s="22"/>
    </row>
    <row r="442" spans="1:63" ht="15" customHeight="1" x14ac:dyDescent="0.35">
      <c r="A442" s="19"/>
      <c r="E442" s="20"/>
      <c r="G442" s="19"/>
      <c r="H442" s="20"/>
      <c r="L442" s="19"/>
      <c r="M442" s="19"/>
      <c r="N442" s="19"/>
      <c r="X442" s="20"/>
      <c r="Y442" s="20"/>
      <c r="AA442" s="20"/>
      <c r="AB442" s="20"/>
      <c r="AC442" s="21"/>
      <c r="AD442" s="22"/>
      <c r="AE442" s="22"/>
      <c r="AG442" s="22"/>
      <c r="AI442" s="22"/>
      <c r="AK442" s="22"/>
      <c r="AM442" s="22"/>
      <c r="AP442" s="22"/>
      <c r="BC442" s="19"/>
      <c r="BD442" s="20"/>
      <c r="BF442" s="20"/>
      <c r="BK442" s="22"/>
    </row>
    <row r="443" spans="1:63" ht="15" customHeight="1" x14ac:dyDescent="0.35">
      <c r="A443" s="19"/>
      <c r="E443" s="20"/>
      <c r="G443" s="19"/>
      <c r="H443" s="20"/>
      <c r="L443" s="19"/>
      <c r="M443" s="19"/>
      <c r="N443" s="19"/>
      <c r="X443" s="20"/>
      <c r="Y443" s="20"/>
      <c r="AA443" s="20"/>
      <c r="AB443" s="20"/>
      <c r="AC443" s="21"/>
      <c r="AD443" s="22"/>
      <c r="AE443" s="22"/>
      <c r="AG443" s="22"/>
      <c r="AI443" s="22"/>
      <c r="AK443" s="22"/>
      <c r="AM443" s="22"/>
      <c r="AP443" s="22"/>
      <c r="BC443" s="19"/>
      <c r="BD443" s="20"/>
      <c r="BF443" s="20"/>
      <c r="BK443" s="22"/>
    </row>
    <row r="444" spans="1:63" ht="15" customHeight="1" x14ac:dyDescent="0.35">
      <c r="A444" s="19"/>
      <c r="E444" s="20"/>
      <c r="G444" s="19"/>
      <c r="H444" s="20"/>
      <c r="L444" s="19"/>
      <c r="M444" s="19"/>
      <c r="N444" s="19"/>
      <c r="X444" s="20"/>
      <c r="Y444" s="20"/>
      <c r="AA444" s="20"/>
      <c r="AB444" s="20"/>
      <c r="AC444" s="21"/>
      <c r="AD444" s="22"/>
      <c r="AE444" s="22"/>
      <c r="AG444" s="22"/>
      <c r="AI444" s="22"/>
      <c r="AK444" s="22"/>
      <c r="AM444" s="22"/>
      <c r="AP444" s="22"/>
      <c r="BC444" s="19"/>
      <c r="BD444" s="20"/>
      <c r="BF444" s="20"/>
      <c r="BK444" s="22"/>
    </row>
    <row r="445" spans="1:63" ht="15" customHeight="1" x14ac:dyDescent="0.35">
      <c r="A445" s="19"/>
      <c r="E445" s="20"/>
      <c r="G445" s="19"/>
      <c r="H445" s="20"/>
      <c r="L445" s="19"/>
      <c r="M445" s="19"/>
      <c r="N445" s="19"/>
      <c r="X445" s="20"/>
      <c r="Y445" s="20"/>
      <c r="AA445" s="20"/>
      <c r="AB445" s="20"/>
      <c r="AC445" s="21"/>
      <c r="AD445" s="22"/>
      <c r="AE445" s="22"/>
      <c r="AG445" s="22"/>
      <c r="AI445" s="22"/>
      <c r="AK445" s="22"/>
      <c r="AM445" s="22"/>
      <c r="AP445" s="22"/>
      <c r="BC445" s="19"/>
      <c r="BD445" s="20"/>
      <c r="BF445" s="20"/>
      <c r="BK445" s="22"/>
    </row>
    <row r="446" spans="1:63" ht="15" customHeight="1" x14ac:dyDescent="0.35">
      <c r="A446" s="19"/>
      <c r="E446" s="20"/>
      <c r="G446" s="19"/>
      <c r="H446" s="20"/>
      <c r="L446" s="19"/>
      <c r="M446" s="19"/>
      <c r="N446" s="19"/>
      <c r="X446" s="20"/>
      <c r="Y446" s="20"/>
      <c r="AA446" s="20"/>
      <c r="AB446" s="20"/>
      <c r="AC446" s="21"/>
      <c r="AD446" s="22"/>
      <c r="AE446" s="22"/>
      <c r="AG446" s="22"/>
      <c r="AI446" s="22"/>
      <c r="AK446" s="22"/>
      <c r="AM446" s="22"/>
      <c r="AP446" s="22"/>
      <c r="BC446" s="19"/>
      <c r="BD446" s="20"/>
      <c r="BF446" s="20"/>
      <c r="BK446" s="22"/>
    </row>
    <row r="447" spans="1:63" ht="15" customHeight="1" x14ac:dyDescent="0.35">
      <c r="A447" s="19"/>
      <c r="E447" s="20"/>
      <c r="G447" s="19"/>
      <c r="H447" s="20"/>
      <c r="L447" s="19"/>
      <c r="M447" s="19"/>
      <c r="N447" s="19"/>
      <c r="X447" s="20"/>
      <c r="Y447" s="20"/>
      <c r="AA447" s="20"/>
      <c r="AB447" s="20"/>
      <c r="AC447" s="21"/>
      <c r="AD447" s="22"/>
      <c r="AE447" s="22"/>
      <c r="AG447" s="22"/>
      <c r="AI447" s="22"/>
      <c r="AK447" s="22"/>
      <c r="AM447" s="22"/>
      <c r="AP447" s="22"/>
      <c r="BC447" s="19"/>
      <c r="BD447" s="20"/>
      <c r="BF447" s="20"/>
      <c r="BK447" s="22"/>
    </row>
    <row r="448" spans="1:63" ht="15" customHeight="1" x14ac:dyDescent="0.35">
      <c r="A448" s="19"/>
      <c r="E448" s="20"/>
      <c r="G448" s="19"/>
      <c r="H448" s="20"/>
      <c r="L448" s="19"/>
      <c r="M448" s="19"/>
      <c r="N448" s="19"/>
      <c r="X448" s="20"/>
      <c r="Y448" s="20"/>
      <c r="AA448" s="20"/>
      <c r="AB448" s="20"/>
      <c r="AC448" s="21"/>
      <c r="AD448" s="22"/>
      <c r="AE448" s="22"/>
      <c r="AG448" s="22"/>
      <c r="AI448" s="22"/>
      <c r="AK448" s="22"/>
      <c r="AM448" s="22"/>
      <c r="AP448" s="22"/>
      <c r="BC448" s="19"/>
      <c r="BD448" s="20"/>
      <c r="BF448" s="20"/>
      <c r="BK448" s="22"/>
    </row>
    <row r="449" spans="1:63" ht="15" customHeight="1" x14ac:dyDescent="0.35">
      <c r="A449" s="19"/>
      <c r="E449" s="20"/>
      <c r="G449" s="19"/>
      <c r="H449" s="20"/>
      <c r="L449" s="19"/>
      <c r="M449" s="19"/>
      <c r="N449" s="19"/>
      <c r="X449" s="20"/>
      <c r="Y449" s="20"/>
      <c r="AA449" s="20"/>
      <c r="AB449" s="20"/>
      <c r="AC449" s="21"/>
      <c r="AD449" s="22"/>
      <c r="AE449" s="22"/>
      <c r="AG449" s="22"/>
      <c r="AI449" s="22"/>
      <c r="AK449" s="22"/>
      <c r="AM449" s="22"/>
      <c r="AP449" s="22"/>
      <c r="BC449" s="19"/>
      <c r="BD449" s="20"/>
      <c r="BF449" s="20"/>
      <c r="BK449" s="22"/>
    </row>
    <row r="450" spans="1:63" ht="15" customHeight="1" x14ac:dyDescent="0.35">
      <c r="A450" s="19"/>
      <c r="E450" s="20"/>
      <c r="G450" s="19"/>
      <c r="H450" s="20"/>
      <c r="L450" s="19"/>
      <c r="M450" s="19"/>
      <c r="N450" s="19"/>
      <c r="X450" s="20"/>
      <c r="Y450" s="20"/>
      <c r="AA450" s="20"/>
      <c r="AB450" s="20"/>
      <c r="AC450" s="21"/>
      <c r="AD450" s="22"/>
      <c r="AE450" s="22"/>
      <c r="AG450" s="22"/>
      <c r="AI450" s="22"/>
      <c r="AK450" s="22"/>
      <c r="AM450" s="22"/>
      <c r="AP450" s="22"/>
      <c r="BC450" s="19"/>
      <c r="BD450" s="20"/>
      <c r="BF450" s="20"/>
      <c r="BK450" s="22"/>
    </row>
    <row r="451" spans="1:63" ht="15" customHeight="1" x14ac:dyDescent="0.35">
      <c r="A451" s="19"/>
      <c r="E451" s="20"/>
      <c r="G451" s="19"/>
      <c r="H451" s="20"/>
      <c r="L451" s="19"/>
      <c r="M451" s="19"/>
      <c r="N451" s="19"/>
      <c r="X451" s="20"/>
      <c r="Y451" s="20"/>
      <c r="AA451" s="20"/>
      <c r="AB451" s="20"/>
      <c r="AC451" s="21"/>
      <c r="AD451" s="22"/>
      <c r="AE451" s="22"/>
      <c r="AG451" s="22"/>
      <c r="AI451" s="22"/>
      <c r="AK451" s="22"/>
      <c r="AM451" s="22"/>
      <c r="AP451" s="22"/>
      <c r="BC451" s="19"/>
      <c r="BD451" s="20"/>
      <c r="BF451" s="20"/>
      <c r="BK451" s="22"/>
    </row>
    <row r="452" spans="1:63" ht="15" customHeight="1" x14ac:dyDescent="0.35">
      <c r="A452" s="19"/>
      <c r="E452" s="20"/>
      <c r="G452" s="19"/>
      <c r="H452" s="20"/>
      <c r="L452" s="19"/>
      <c r="M452" s="19"/>
      <c r="N452" s="19"/>
      <c r="X452" s="20"/>
      <c r="Y452" s="20"/>
      <c r="AA452" s="20"/>
      <c r="AB452" s="20"/>
      <c r="AC452" s="21"/>
      <c r="AD452" s="22"/>
      <c r="AE452" s="22"/>
      <c r="AG452" s="22"/>
      <c r="AI452" s="22"/>
      <c r="AK452" s="22"/>
      <c r="AM452" s="22"/>
      <c r="AP452" s="22"/>
      <c r="BC452" s="19"/>
      <c r="BD452" s="20"/>
      <c r="BF452" s="20"/>
      <c r="BK452" s="22"/>
    </row>
    <row r="453" spans="1:63" ht="15" customHeight="1" x14ac:dyDescent="0.35">
      <c r="A453" s="19"/>
      <c r="E453" s="20"/>
      <c r="G453" s="19"/>
      <c r="H453" s="20"/>
      <c r="L453" s="19"/>
      <c r="M453" s="19"/>
      <c r="N453" s="19"/>
      <c r="X453" s="20"/>
      <c r="Y453" s="20"/>
      <c r="AA453" s="20"/>
      <c r="AB453" s="20"/>
      <c r="AC453" s="21"/>
      <c r="AD453" s="22"/>
      <c r="AE453" s="22"/>
      <c r="AG453" s="22"/>
      <c r="AI453" s="22"/>
      <c r="AK453" s="22"/>
      <c r="AM453" s="22"/>
      <c r="AP453" s="22"/>
      <c r="BC453" s="19"/>
      <c r="BD453" s="20"/>
      <c r="BF453" s="20"/>
      <c r="BK453" s="22"/>
    </row>
    <row r="454" spans="1:63" ht="15" customHeight="1" x14ac:dyDescent="0.35">
      <c r="A454" s="19"/>
      <c r="E454" s="20"/>
      <c r="G454" s="19"/>
      <c r="H454" s="20"/>
      <c r="L454" s="19"/>
      <c r="M454" s="19"/>
      <c r="N454" s="19"/>
      <c r="X454" s="20"/>
      <c r="Y454" s="20"/>
      <c r="AA454" s="20"/>
      <c r="AB454" s="20"/>
      <c r="AC454" s="21"/>
      <c r="AD454" s="22"/>
      <c r="AE454" s="22"/>
      <c r="AG454" s="22"/>
      <c r="AI454" s="22"/>
      <c r="AK454" s="22"/>
      <c r="AM454" s="22"/>
      <c r="AP454" s="22"/>
      <c r="BC454" s="19"/>
      <c r="BD454" s="20"/>
      <c r="BF454" s="20"/>
      <c r="BK454" s="22"/>
    </row>
    <row r="455" spans="1:63" ht="15" customHeight="1" x14ac:dyDescent="0.35">
      <c r="A455" s="19"/>
      <c r="E455" s="20"/>
      <c r="G455" s="19"/>
      <c r="H455" s="20"/>
      <c r="L455" s="19"/>
      <c r="M455" s="19"/>
      <c r="N455" s="19"/>
      <c r="X455" s="20"/>
      <c r="Y455" s="20"/>
      <c r="AA455" s="20"/>
      <c r="AB455" s="20"/>
      <c r="AC455" s="21"/>
      <c r="AD455" s="22"/>
      <c r="AE455" s="22"/>
      <c r="AG455" s="22"/>
      <c r="AI455" s="22"/>
      <c r="AK455" s="22"/>
      <c r="AM455" s="22"/>
      <c r="AP455" s="22"/>
      <c r="BC455" s="19"/>
      <c r="BD455" s="20"/>
      <c r="BF455" s="20"/>
      <c r="BK455" s="22"/>
    </row>
    <row r="456" spans="1:63" ht="15" customHeight="1" x14ac:dyDescent="0.35">
      <c r="A456" s="19"/>
      <c r="E456" s="20"/>
      <c r="G456" s="19"/>
      <c r="H456" s="20"/>
      <c r="L456" s="19"/>
      <c r="M456" s="19"/>
      <c r="N456" s="19"/>
      <c r="X456" s="20"/>
      <c r="Y456" s="20"/>
      <c r="AA456" s="20"/>
      <c r="AB456" s="20"/>
      <c r="AC456" s="21"/>
      <c r="AD456" s="22"/>
      <c r="AE456" s="22"/>
      <c r="AG456" s="22"/>
      <c r="AI456" s="22"/>
      <c r="AK456" s="22"/>
      <c r="AM456" s="22"/>
      <c r="AP456" s="22"/>
      <c r="BC456" s="19"/>
      <c r="BD456" s="20"/>
      <c r="BF456" s="20"/>
      <c r="BK456" s="22"/>
    </row>
    <row r="457" spans="1:63" ht="15" customHeight="1" x14ac:dyDescent="0.35">
      <c r="A457" s="19"/>
      <c r="E457" s="20"/>
      <c r="G457" s="19"/>
      <c r="H457" s="20"/>
      <c r="L457" s="19"/>
      <c r="M457" s="19"/>
      <c r="N457" s="19"/>
      <c r="X457" s="20"/>
      <c r="Y457" s="20"/>
      <c r="AA457" s="20"/>
      <c r="AB457" s="20"/>
      <c r="AC457" s="21"/>
      <c r="AD457" s="22"/>
      <c r="AE457" s="22"/>
      <c r="AG457" s="22"/>
      <c r="AI457" s="22"/>
      <c r="AK457" s="22"/>
      <c r="AM457" s="22"/>
      <c r="AP457" s="22"/>
      <c r="BC457" s="19"/>
      <c r="BD457" s="20"/>
      <c r="BF457" s="20"/>
      <c r="BK457" s="22"/>
    </row>
    <row r="458" spans="1:63" ht="15" customHeight="1" x14ac:dyDescent="0.35">
      <c r="A458" s="19"/>
      <c r="E458" s="20"/>
      <c r="G458" s="19"/>
      <c r="H458" s="20"/>
      <c r="L458" s="19"/>
      <c r="M458" s="19"/>
      <c r="N458" s="19"/>
      <c r="X458" s="20"/>
      <c r="Y458" s="20"/>
      <c r="AA458" s="20"/>
      <c r="AB458" s="20"/>
      <c r="AC458" s="21"/>
      <c r="AD458" s="22"/>
      <c r="AE458" s="22"/>
      <c r="AG458" s="22"/>
      <c r="AI458" s="22"/>
      <c r="AK458" s="22"/>
      <c r="AM458" s="22"/>
      <c r="AP458" s="22"/>
      <c r="BC458" s="19"/>
      <c r="BD458" s="20"/>
      <c r="BF458" s="20"/>
      <c r="BK458" s="22"/>
    </row>
    <row r="459" spans="1:63" ht="15" customHeight="1" x14ac:dyDescent="0.35">
      <c r="A459" s="19"/>
      <c r="E459" s="20"/>
      <c r="G459" s="19"/>
      <c r="H459" s="20"/>
      <c r="L459" s="19"/>
      <c r="M459" s="19"/>
      <c r="N459" s="19"/>
      <c r="X459" s="20"/>
      <c r="Y459" s="20"/>
      <c r="AA459" s="20"/>
      <c r="AB459" s="20"/>
      <c r="AC459" s="21"/>
      <c r="AD459" s="22"/>
      <c r="AE459" s="22"/>
      <c r="AG459" s="22"/>
      <c r="AI459" s="22"/>
      <c r="AK459" s="22"/>
      <c r="AM459" s="22"/>
      <c r="AP459" s="22"/>
      <c r="BC459" s="19"/>
      <c r="BD459" s="20"/>
      <c r="BF459" s="20"/>
      <c r="BK459" s="22"/>
    </row>
    <row r="460" spans="1:63" ht="15" customHeight="1" x14ac:dyDescent="0.35">
      <c r="A460" s="19"/>
      <c r="E460" s="20"/>
      <c r="G460" s="19"/>
      <c r="H460" s="20"/>
      <c r="L460" s="19"/>
      <c r="M460" s="19"/>
      <c r="N460" s="19"/>
      <c r="X460" s="20"/>
      <c r="Y460" s="20"/>
      <c r="AA460" s="20"/>
      <c r="AB460" s="20"/>
      <c r="AC460" s="21"/>
      <c r="AD460" s="22"/>
      <c r="AE460" s="22"/>
      <c r="AG460" s="22"/>
      <c r="AI460" s="22"/>
      <c r="AK460" s="22"/>
      <c r="AM460" s="22"/>
      <c r="AP460" s="22"/>
      <c r="BC460" s="19"/>
      <c r="BD460" s="20"/>
      <c r="BF460" s="20"/>
      <c r="BK460" s="22"/>
    </row>
    <row r="461" spans="1:63" ht="15" customHeight="1" x14ac:dyDescent="0.35">
      <c r="A461" s="19"/>
      <c r="E461" s="20"/>
      <c r="G461" s="19"/>
      <c r="H461" s="20"/>
      <c r="L461" s="19"/>
      <c r="M461" s="19"/>
      <c r="N461" s="19"/>
      <c r="X461" s="20"/>
      <c r="Y461" s="20"/>
      <c r="AA461" s="20"/>
      <c r="AB461" s="20"/>
      <c r="AC461" s="21"/>
      <c r="AD461" s="22"/>
      <c r="AE461" s="22"/>
      <c r="AG461" s="22"/>
      <c r="AI461" s="22"/>
      <c r="AK461" s="22"/>
      <c r="AM461" s="22"/>
      <c r="AP461" s="22"/>
      <c r="BC461" s="19"/>
      <c r="BD461" s="20"/>
      <c r="BF461" s="20"/>
      <c r="BK461" s="22"/>
    </row>
    <row r="462" spans="1:63" ht="15" customHeight="1" x14ac:dyDescent="0.35">
      <c r="A462" s="19"/>
      <c r="E462" s="20"/>
      <c r="G462" s="19"/>
      <c r="H462" s="20"/>
      <c r="L462" s="19"/>
      <c r="M462" s="19"/>
      <c r="N462" s="19"/>
      <c r="X462" s="20"/>
      <c r="Y462" s="20"/>
      <c r="AA462" s="20"/>
      <c r="AB462" s="20"/>
      <c r="AC462" s="21"/>
      <c r="AD462" s="22"/>
      <c r="AE462" s="22"/>
      <c r="AG462" s="22"/>
      <c r="AI462" s="22"/>
      <c r="AK462" s="22"/>
      <c r="AM462" s="22"/>
      <c r="AP462" s="22"/>
      <c r="BC462" s="19"/>
      <c r="BD462" s="20"/>
      <c r="BF462" s="20"/>
      <c r="BK462" s="22"/>
    </row>
    <row r="463" spans="1:63" ht="15" customHeight="1" x14ac:dyDescent="0.35">
      <c r="A463" s="19"/>
      <c r="E463" s="20"/>
      <c r="G463" s="19"/>
      <c r="H463" s="20"/>
      <c r="L463" s="19"/>
      <c r="M463" s="19"/>
      <c r="N463" s="19"/>
      <c r="X463" s="20"/>
      <c r="Y463" s="20"/>
      <c r="AA463" s="20"/>
      <c r="AB463" s="20"/>
      <c r="AC463" s="21"/>
      <c r="AD463" s="22"/>
      <c r="AE463" s="22"/>
      <c r="AG463" s="22"/>
      <c r="AI463" s="22"/>
      <c r="AK463" s="22"/>
      <c r="AM463" s="22"/>
      <c r="AP463" s="22"/>
      <c r="BC463" s="19"/>
      <c r="BD463" s="20"/>
      <c r="BF463" s="20"/>
      <c r="BK463" s="22"/>
    </row>
    <row r="464" spans="1:63" ht="15" customHeight="1" x14ac:dyDescent="0.35">
      <c r="A464" s="19"/>
      <c r="E464" s="20"/>
      <c r="G464" s="19"/>
      <c r="H464" s="20"/>
      <c r="L464" s="19"/>
      <c r="M464" s="19"/>
      <c r="N464" s="19"/>
      <c r="X464" s="20"/>
      <c r="Y464" s="20"/>
      <c r="AA464" s="20"/>
      <c r="AB464" s="20"/>
      <c r="AC464" s="21"/>
      <c r="AD464" s="22"/>
      <c r="AE464" s="22"/>
      <c r="AG464" s="22"/>
      <c r="AI464" s="22"/>
      <c r="AK464" s="22"/>
      <c r="AM464" s="22"/>
      <c r="AP464" s="22"/>
      <c r="BC464" s="19"/>
      <c r="BD464" s="20"/>
      <c r="BF464" s="20"/>
      <c r="BK464" s="22"/>
    </row>
    <row r="465" spans="1:63" ht="15" customHeight="1" x14ac:dyDescent="0.35">
      <c r="A465" s="19"/>
      <c r="E465" s="20"/>
      <c r="G465" s="19"/>
      <c r="H465" s="20"/>
      <c r="L465" s="19"/>
      <c r="M465" s="19"/>
      <c r="N465" s="19"/>
      <c r="X465" s="20"/>
      <c r="Y465" s="20"/>
      <c r="AA465" s="20"/>
      <c r="AB465" s="20"/>
      <c r="AC465" s="21"/>
      <c r="AD465" s="22"/>
      <c r="AE465" s="22"/>
      <c r="AG465" s="22"/>
      <c r="AI465" s="22"/>
      <c r="AK465" s="22"/>
      <c r="AM465" s="22"/>
      <c r="AP465" s="22"/>
      <c r="BC465" s="19"/>
      <c r="BD465" s="20"/>
      <c r="BF465" s="20"/>
      <c r="BK465" s="22"/>
    </row>
    <row r="466" spans="1:63" ht="15" customHeight="1" x14ac:dyDescent="0.35">
      <c r="A466" s="19"/>
      <c r="E466" s="20"/>
      <c r="G466" s="19"/>
      <c r="H466" s="20"/>
      <c r="L466" s="19"/>
      <c r="M466" s="19"/>
      <c r="N466" s="19"/>
      <c r="X466" s="20"/>
      <c r="Y466" s="20"/>
      <c r="AA466" s="20"/>
      <c r="AB466" s="20"/>
      <c r="AC466" s="21"/>
      <c r="AD466" s="22"/>
      <c r="AE466" s="22"/>
      <c r="AG466" s="22"/>
      <c r="AI466" s="22"/>
      <c r="AK466" s="22"/>
      <c r="AM466" s="22"/>
      <c r="AP466" s="22"/>
      <c r="BC466" s="19"/>
      <c r="BD466" s="20"/>
      <c r="BF466" s="20"/>
      <c r="BK466" s="22"/>
    </row>
    <row r="467" spans="1:63" ht="15" customHeight="1" x14ac:dyDescent="0.35">
      <c r="A467" s="19"/>
      <c r="E467" s="20"/>
      <c r="G467" s="19"/>
      <c r="H467" s="20"/>
      <c r="L467" s="19"/>
      <c r="M467" s="19"/>
      <c r="N467" s="19"/>
      <c r="X467" s="20"/>
      <c r="Y467" s="20"/>
      <c r="AA467" s="20"/>
      <c r="AB467" s="20"/>
      <c r="AC467" s="21"/>
      <c r="AD467" s="22"/>
      <c r="AE467" s="22"/>
      <c r="AG467" s="22"/>
      <c r="AI467" s="22"/>
      <c r="AK467" s="22"/>
      <c r="AM467" s="22"/>
      <c r="AP467" s="22"/>
      <c r="BC467" s="19"/>
      <c r="BD467" s="20"/>
      <c r="BF467" s="20"/>
      <c r="BK467" s="22"/>
    </row>
    <row r="468" spans="1:63" ht="15" customHeight="1" x14ac:dyDescent="0.35">
      <c r="A468" s="19"/>
      <c r="E468" s="20"/>
      <c r="G468" s="19"/>
      <c r="H468" s="20"/>
      <c r="L468" s="19"/>
      <c r="M468" s="19"/>
      <c r="N468" s="19"/>
      <c r="X468" s="20"/>
      <c r="Y468" s="20"/>
      <c r="AA468" s="20"/>
      <c r="AB468" s="20"/>
      <c r="AC468" s="21"/>
      <c r="AD468" s="22"/>
      <c r="AE468" s="22"/>
      <c r="AG468" s="22"/>
      <c r="AI468" s="22"/>
      <c r="AK468" s="22"/>
      <c r="AM468" s="22"/>
      <c r="AP468" s="22"/>
      <c r="BC468" s="19"/>
      <c r="BD468" s="20"/>
      <c r="BF468" s="20"/>
      <c r="BK468" s="22"/>
    </row>
    <row r="469" spans="1:63" ht="15" customHeight="1" x14ac:dyDescent="0.35">
      <c r="A469" s="19"/>
      <c r="E469" s="20"/>
      <c r="G469" s="19"/>
      <c r="H469" s="20"/>
      <c r="L469" s="19"/>
      <c r="M469" s="19"/>
      <c r="N469" s="19"/>
      <c r="X469" s="20"/>
      <c r="Y469" s="20"/>
      <c r="AA469" s="20"/>
      <c r="AB469" s="20"/>
      <c r="AC469" s="21"/>
      <c r="AD469" s="22"/>
      <c r="AE469" s="22"/>
      <c r="AG469" s="22"/>
      <c r="AI469" s="22"/>
      <c r="AK469" s="22"/>
      <c r="AM469" s="22"/>
      <c r="AP469" s="22"/>
      <c r="BC469" s="19"/>
      <c r="BD469" s="20"/>
      <c r="BF469" s="20"/>
      <c r="BK469" s="22"/>
    </row>
    <row r="470" spans="1:63" ht="15" customHeight="1" x14ac:dyDescent="0.35">
      <c r="A470" s="19"/>
      <c r="E470" s="20"/>
      <c r="G470" s="19"/>
      <c r="H470" s="20"/>
      <c r="L470" s="19"/>
      <c r="M470" s="19"/>
      <c r="N470" s="19"/>
      <c r="X470" s="20"/>
      <c r="Y470" s="20"/>
      <c r="AA470" s="20"/>
      <c r="AB470" s="20"/>
      <c r="AC470" s="21"/>
      <c r="AD470" s="22"/>
      <c r="AE470" s="22"/>
      <c r="AG470" s="22"/>
      <c r="AI470" s="22"/>
      <c r="AK470" s="22"/>
      <c r="AM470" s="22"/>
      <c r="AP470" s="22"/>
      <c r="BC470" s="19"/>
      <c r="BD470" s="20"/>
      <c r="BF470" s="20"/>
      <c r="BK470" s="22"/>
    </row>
    <row r="471" spans="1:63" ht="15" customHeight="1" x14ac:dyDescent="0.35">
      <c r="A471" s="19"/>
      <c r="E471" s="20"/>
      <c r="G471" s="19"/>
      <c r="H471" s="20"/>
      <c r="L471" s="19"/>
      <c r="M471" s="19"/>
      <c r="N471" s="19"/>
      <c r="X471" s="20"/>
      <c r="Y471" s="20"/>
      <c r="AA471" s="20"/>
      <c r="AB471" s="20"/>
      <c r="AC471" s="21"/>
      <c r="AD471" s="22"/>
      <c r="AE471" s="22"/>
      <c r="AG471" s="22"/>
      <c r="AI471" s="22"/>
      <c r="AK471" s="22"/>
      <c r="AM471" s="22"/>
      <c r="AP471" s="22"/>
      <c r="BC471" s="19"/>
      <c r="BD471" s="20"/>
      <c r="BF471" s="20"/>
      <c r="BK471" s="22"/>
    </row>
    <row r="472" spans="1:63" ht="15" customHeight="1" x14ac:dyDescent="0.35">
      <c r="A472" s="19"/>
      <c r="E472" s="20"/>
      <c r="G472" s="19"/>
      <c r="H472" s="20"/>
      <c r="L472" s="19"/>
      <c r="M472" s="19"/>
      <c r="N472" s="19"/>
      <c r="X472" s="20"/>
      <c r="Y472" s="20"/>
      <c r="AA472" s="20"/>
      <c r="AB472" s="20"/>
      <c r="AC472" s="21"/>
      <c r="AD472" s="22"/>
      <c r="AE472" s="22"/>
      <c r="AG472" s="22"/>
      <c r="AI472" s="22"/>
      <c r="AK472" s="22"/>
      <c r="AM472" s="22"/>
      <c r="AP472" s="22"/>
      <c r="BC472" s="19"/>
      <c r="BD472" s="20"/>
      <c r="BF472" s="20"/>
      <c r="BK472" s="22"/>
    </row>
    <row r="473" spans="1:63" ht="15" customHeight="1" x14ac:dyDescent="0.35">
      <c r="A473" s="19"/>
      <c r="E473" s="20"/>
      <c r="G473" s="19"/>
      <c r="H473" s="20"/>
      <c r="L473" s="19"/>
      <c r="M473" s="19"/>
      <c r="N473" s="19"/>
      <c r="X473" s="20"/>
      <c r="Y473" s="20"/>
      <c r="AA473" s="20"/>
      <c r="AB473" s="20"/>
      <c r="AC473" s="21"/>
      <c r="AD473" s="22"/>
      <c r="AE473" s="22"/>
      <c r="AG473" s="22"/>
      <c r="AI473" s="22"/>
      <c r="AK473" s="22"/>
      <c r="AM473" s="22"/>
      <c r="AP473" s="22"/>
      <c r="BC473" s="19"/>
      <c r="BD473" s="20"/>
      <c r="BF473" s="20"/>
      <c r="BK473" s="22"/>
    </row>
    <row r="474" spans="1:63" ht="15" customHeight="1" x14ac:dyDescent="0.35">
      <c r="A474" s="19"/>
      <c r="E474" s="20"/>
      <c r="G474" s="19"/>
      <c r="H474" s="20"/>
      <c r="L474" s="19"/>
      <c r="M474" s="19"/>
      <c r="N474" s="19"/>
      <c r="X474" s="20"/>
      <c r="Y474" s="20"/>
      <c r="AA474" s="20"/>
      <c r="AB474" s="20"/>
      <c r="AC474" s="21"/>
      <c r="AD474" s="22"/>
      <c r="AE474" s="22"/>
      <c r="AG474" s="22"/>
      <c r="AI474" s="22"/>
      <c r="AK474" s="22"/>
      <c r="AM474" s="22"/>
      <c r="AP474" s="22"/>
      <c r="BC474" s="19"/>
      <c r="BD474" s="20"/>
      <c r="BF474" s="20"/>
      <c r="BK474" s="22"/>
    </row>
    <row r="475" spans="1:63" ht="15" customHeight="1" x14ac:dyDescent="0.35">
      <c r="A475" s="19"/>
      <c r="E475" s="20"/>
      <c r="G475" s="19"/>
      <c r="H475" s="20"/>
      <c r="L475" s="19"/>
      <c r="M475" s="19"/>
      <c r="N475" s="19"/>
      <c r="X475" s="20"/>
      <c r="Y475" s="20"/>
      <c r="AA475" s="20"/>
      <c r="AB475" s="20"/>
      <c r="AC475" s="21"/>
      <c r="AD475" s="22"/>
      <c r="AE475" s="22"/>
      <c r="AG475" s="22"/>
      <c r="AI475" s="22"/>
      <c r="AK475" s="22"/>
      <c r="AM475" s="22"/>
      <c r="AP475" s="22"/>
      <c r="BC475" s="19"/>
      <c r="BD475" s="20"/>
      <c r="BF475" s="20"/>
      <c r="BK475" s="22"/>
    </row>
    <row r="476" spans="1:63" ht="15" customHeight="1" x14ac:dyDescent="0.35">
      <c r="A476" s="19"/>
      <c r="E476" s="20"/>
      <c r="G476" s="19"/>
      <c r="H476" s="20"/>
      <c r="L476" s="19"/>
      <c r="M476" s="19"/>
      <c r="N476" s="19"/>
      <c r="X476" s="20"/>
      <c r="Y476" s="20"/>
      <c r="AA476" s="20"/>
      <c r="AB476" s="20"/>
      <c r="AC476" s="21"/>
      <c r="AD476" s="22"/>
      <c r="AE476" s="22"/>
      <c r="AG476" s="22"/>
      <c r="AI476" s="22"/>
      <c r="AK476" s="22"/>
      <c r="AM476" s="22"/>
      <c r="AP476" s="22"/>
      <c r="BC476" s="19"/>
      <c r="BD476" s="20"/>
      <c r="BF476" s="20"/>
      <c r="BK476" s="22"/>
    </row>
    <row r="477" spans="1:63" ht="15" customHeight="1" x14ac:dyDescent="0.35">
      <c r="A477" s="19"/>
      <c r="E477" s="20"/>
      <c r="G477" s="19"/>
      <c r="H477" s="20"/>
      <c r="L477" s="19"/>
      <c r="M477" s="19"/>
      <c r="N477" s="19"/>
      <c r="X477" s="20"/>
      <c r="Y477" s="20"/>
      <c r="AA477" s="20"/>
      <c r="AB477" s="20"/>
      <c r="AC477" s="21"/>
      <c r="AD477" s="22"/>
      <c r="AE477" s="22"/>
      <c r="AG477" s="22"/>
      <c r="AI477" s="22"/>
      <c r="AK477" s="22"/>
      <c r="AM477" s="22"/>
      <c r="AP477" s="22"/>
      <c r="BC477" s="19"/>
      <c r="BD477" s="20"/>
      <c r="BF477" s="20"/>
      <c r="BK477" s="22"/>
    </row>
    <row r="478" spans="1:63" ht="15" customHeight="1" x14ac:dyDescent="0.35">
      <c r="A478" s="19"/>
      <c r="E478" s="20"/>
      <c r="G478" s="19"/>
      <c r="H478" s="20"/>
      <c r="L478" s="19"/>
      <c r="M478" s="19"/>
      <c r="N478" s="19"/>
      <c r="X478" s="20"/>
      <c r="Y478" s="20"/>
      <c r="AA478" s="20"/>
      <c r="AB478" s="20"/>
      <c r="AC478" s="21"/>
      <c r="AD478" s="22"/>
      <c r="AE478" s="22"/>
      <c r="AG478" s="22"/>
      <c r="AI478" s="22"/>
      <c r="AK478" s="22"/>
      <c r="AM478" s="22"/>
      <c r="AP478" s="22"/>
      <c r="BC478" s="19"/>
      <c r="BD478" s="20"/>
      <c r="BF478" s="20"/>
      <c r="BK478" s="22"/>
    </row>
    <row r="479" spans="1:63" ht="15" customHeight="1" x14ac:dyDescent="0.35">
      <c r="A479" s="19"/>
      <c r="E479" s="20"/>
      <c r="G479" s="19"/>
      <c r="H479" s="20"/>
      <c r="L479" s="19"/>
      <c r="M479" s="19"/>
      <c r="N479" s="19"/>
      <c r="X479" s="20"/>
      <c r="Y479" s="20"/>
      <c r="AA479" s="20"/>
      <c r="AB479" s="20"/>
      <c r="AC479" s="21"/>
      <c r="AD479" s="22"/>
      <c r="AE479" s="22"/>
      <c r="AG479" s="22"/>
      <c r="AI479" s="22"/>
      <c r="AK479" s="22"/>
      <c r="AM479" s="22"/>
      <c r="AP479" s="22"/>
      <c r="BC479" s="19"/>
      <c r="BD479" s="20"/>
      <c r="BF479" s="20"/>
      <c r="BK479" s="22"/>
    </row>
    <row r="480" spans="1:63" ht="15" customHeight="1" x14ac:dyDescent="0.35">
      <c r="A480" s="19"/>
      <c r="E480" s="20"/>
      <c r="G480" s="19"/>
      <c r="H480" s="20"/>
      <c r="L480" s="19"/>
      <c r="M480" s="19"/>
      <c r="N480" s="19"/>
      <c r="X480" s="20"/>
      <c r="Y480" s="20"/>
      <c r="AA480" s="20"/>
      <c r="AB480" s="20"/>
      <c r="AC480" s="21"/>
      <c r="AD480" s="22"/>
      <c r="AE480" s="22"/>
      <c r="AG480" s="22"/>
      <c r="AI480" s="22"/>
      <c r="AK480" s="22"/>
      <c r="AM480" s="22"/>
      <c r="AP480" s="22"/>
      <c r="BC480" s="19"/>
      <c r="BD480" s="20"/>
      <c r="BF480" s="20"/>
      <c r="BK480" s="22"/>
    </row>
    <row r="481" spans="1:63" ht="15" customHeight="1" x14ac:dyDescent="0.35">
      <c r="A481" s="19"/>
      <c r="E481" s="20"/>
      <c r="G481" s="19"/>
      <c r="H481" s="20"/>
      <c r="L481" s="19"/>
      <c r="M481" s="19"/>
      <c r="N481" s="19"/>
      <c r="X481" s="20"/>
      <c r="Y481" s="20"/>
      <c r="AA481" s="20"/>
      <c r="AB481" s="20"/>
      <c r="AC481" s="21"/>
      <c r="AD481" s="22"/>
      <c r="AE481" s="22"/>
      <c r="AG481" s="22"/>
      <c r="AI481" s="22"/>
      <c r="AK481" s="22"/>
      <c r="AM481" s="22"/>
      <c r="AP481" s="22"/>
      <c r="BC481" s="19"/>
      <c r="BD481" s="20"/>
      <c r="BF481" s="20"/>
      <c r="BK481" s="22"/>
    </row>
    <row r="482" spans="1:63" ht="15" customHeight="1" x14ac:dyDescent="0.35">
      <c r="A482" s="19"/>
      <c r="E482" s="20"/>
      <c r="G482" s="19"/>
      <c r="H482" s="20"/>
      <c r="L482" s="19"/>
      <c r="M482" s="19"/>
      <c r="N482" s="19"/>
      <c r="X482" s="20"/>
      <c r="Y482" s="20"/>
      <c r="AA482" s="20"/>
      <c r="AB482" s="20"/>
      <c r="AC482" s="21"/>
      <c r="AD482" s="22"/>
      <c r="AE482" s="22"/>
      <c r="AG482" s="22"/>
      <c r="AI482" s="22"/>
      <c r="AK482" s="22"/>
      <c r="AM482" s="22"/>
      <c r="AP482" s="22"/>
      <c r="BC482" s="19"/>
      <c r="BD482" s="20"/>
      <c r="BF482" s="20"/>
      <c r="BK482" s="22"/>
    </row>
    <row r="483" spans="1:63" ht="15" customHeight="1" x14ac:dyDescent="0.35">
      <c r="A483" s="19"/>
      <c r="E483" s="20"/>
      <c r="G483" s="19"/>
      <c r="H483" s="20"/>
      <c r="L483" s="19"/>
      <c r="M483" s="19"/>
      <c r="N483" s="19"/>
      <c r="X483" s="20"/>
      <c r="Y483" s="20"/>
      <c r="AA483" s="20"/>
      <c r="AB483" s="20"/>
      <c r="AC483" s="21"/>
      <c r="AD483" s="22"/>
      <c r="AE483" s="22"/>
      <c r="AG483" s="22"/>
      <c r="AI483" s="22"/>
      <c r="AK483" s="22"/>
      <c r="AM483" s="22"/>
      <c r="AP483" s="22"/>
      <c r="BC483" s="19"/>
      <c r="BD483" s="20"/>
      <c r="BF483" s="20"/>
      <c r="BK483" s="22"/>
    </row>
    <row r="484" spans="1:63" ht="15" customHeight="1" x14ac:dyDescent="0.35">
      <c r="A484" s="19"/>
      <c r="E484" s="20"/>
      <c r="G484" s="19"/>
      <c r="H484" s="20"/>
      <c r="L484" s="19"/>
      <c r="M484" s="19"/>
      <c r="N484" s="19"/>
      <c r="X484" s="20"/>
      <c r="Y484" s="20"/>
      <c r="AA484" s="20"/>
      <c r="AB484" s="20"/>
      <c r="AC484" s="21"/>
      <c r="AD484" s="22"/>
      <c r="AE484" s="22"/>
      <c r="AG484" s="22"/>
      <c r="AI484" s="22"/>
      <c r="AK484" s="22"/>
      <c r="AM484" s="22"/>
      <c r="AP484" s="22"/>
      <c r="BC484" s="19"/>
      <c r="BD484" s="20"/>
      <c r="BF484" s="20"/>
      <c r="BK484" s="22"/>
    </row>
    <row r="485" spans="1:63" ht="15" customHeight="1" x14ac:dyDescent="0.35">
      <c r="A485" s="19"/>
      <c r="E485" s="20"/>
      <c r="G485" s="19"/>
      <c r="H485" s="20"/>
      <c r="L485" s="19"/>
      <c r="M485" s="19"/>
      <c r="N485" s="19"/>
      <c r="X485" s="20"/>
      <c r="Y485" s="20"/>
      <c r="AA485" s="20"/>
      <c r="AB485" s="20"/>
      <c r="AC485" s="21"/>
      <c r="AD485" s="22"/>
      <c r="AE485" s="22"/>
      <c r="AG485" s="22"/>
      <c r="AI485" s="22"/>
      <c r="AK485" s="22"/>
      <c r="AM485" s="22"/>
      <c r="AP485" s="22"/>
      <c r="BC485" s="19"/>
      <c r="BD485" s="20"/>
      <c r="BF485" s="20"/>
      <c r="BK485" s="22"/>
    </row>
    <row r="486" spans="1:63" ht="15" customHeight="1" x14ac:dyDescent="0.35">
      <c r="A486" s="19"/>
      <c r="E486" s="20"/>
      <c r="G486" s="19"/>
      <c r="H486" s="20"/>
      <c r="L486" s="19"/>
      <c r="M486" s="19"/>
      <c r="N486" s="19"/>
      <c r="X486" s="20"/>
      <c r="Y486" s="20"/>
      <c r="AA486" s="20"/>
      <c r="AB486" s="20"/>
      <c r="AC486" s="21"/>
      <c r="AD486" s="22"/>
      <c r="AE486" s="22"/>
      <c r="AG486" s="22"/>
      <c r="AI486" s="22"/>
      <c r="AK486" s="22"/>
      <c r="AM486" s="22"/>
      <c r="AP486" s="22"/>
      <c r="BC486" s="19"/>
      <c r="BD486" s="20"/>
      <c r="BF486" s="20"/>
      <c r="BK486" s="22"/>
    </row>
    <row r="487" spans="1:63" ht="15" customHeight="1" x14ac:dyDescent="0.35">
      <c r="A487" s="19"/>
      <c r="E487" s="20"/>
      <c r="G487" s="19"/>
      <c r="H487" s="20"/>
      <c r="L487" s="19"/>
      <c r="M487" s="19"/>
      <c r="N487" s="19"/>
      <c r="X487" s="20"/>
      <c r="Y487" s="20"/>
      <c r="AA487" s="20"/>
      <c r="AB487" s="20"/>
      <c r="AC487" s="21"/>
      <c r="AD487" s="22"/>
      <c r="AE487" s="22"/>
      <c r="AG487" s="22"/>
      <c r="AI487" s="22"/>
      <c r="AK487" s="22"/>
      <c r="AM487" s="22"/>
      <c r="AP487" s="22"/>
      <c r="BC487" s="19"/>
      <c r="BD487" s="20"/>
      <c r="BF487" s="20"/>
      <c r="BK487" s="22"/>
    </row>
    <row r="488" spans="1:63" ht="15" customHeight="1" x14ac:dyDescent="0.35">
      <c r="A488" s="19"/>
      <c r="E488" s="20"/>
      <c r="G488" s="19"/>
      <c r="H488" s="20"/>
      <c r="L488" s="19"/>
      <c r="M488" s="19"/>
      <c r="N488" s="19"/>
      <c r="X488" s="20"/>
      <c r="Y488" s="20"/>
      <c r="AA488" s="20"/>
      <c r="AB488" s="20"/>
      <c r="AC488" s="21"/>
      <c r="AD488" s="22"/>
      <c r="AE488" s="22"/>
      <c r="AG488" s="22"/>
      <c r="AI488" s="22"/>
      <c r="AK488" s="22"/>
      <c r="AM488" s="22"/>
      <c r="AP488" s="22"/>
      <c r="BC488" s="19"/>
      <c r="BD488" s="20"/>
      <c r="BF488" s="20"/>
      <c r="BK488" s="22"/>
    </row>
    <row r="489" spans="1:63" ht="15" customHeight="1" x14ac:dyDescent="0.35">
      <c r="A489" s="19"/>
      <c r="E489" s="20"/>
      <c r="G489" s="19"/>
      <c r="H489" s="20"/>
      <c r="L489" s="19"/>
      <c r="M489" s="19"/>
      <c r="N489" s="19"/>
      <c r="X489" s="20"/>
      <c r="Y489" s="20"/>
      <c r="AA489" s="20"/>
      <c r="AB489" s="20"/>
      <c r="AC489" s="21"/>
      <c r="AD489" s="22"/>
      <c r="AE489" s="22"/>
      <c r="AG489" s="22"/>
      <c r="AI489" s="22"/>
      <c r="AK489" s="22"/>
      <c r="AM489" s="22"/>
      <c r="AP489" s="22"/>
      <c r="BC489" s="19"/>
      <c r="BD489" s="20"/>
      <c r="BF489" s="20"/>
      <c r="BK489" s="22"/>
    </row>
    <row r="490" spans="1:63" ht="15" customHeight="1" x14ac:dyDescent="0.35">
      <c r="A490" s="19"/>
      <c r="E490" s="20"/>
      <c r="G490" s="19"/>
      <c r="H490" s="20"/>
      <c r="L490" s="19"/>
      <c r="M490" s="19"/>
      <c r="N490" s="19"/>
      <c r="X490" s="20"/>
      <c r="Y490" s="20"/>
      <c r="AA490" s="20"/>
      <c r="AB490" s="20"/>
      <c r="AC490" s="21"/>
      <c r="AD490" s="22"/>
      <c r="AE490" s="22"/>
      <c r="AG490" s="22"/>
      <c r="AI490" s="22"/>
      <c r="AK490" s="22"/>
      <c r="AM490" s="22"/>
      <c r="AP490" s="22"/>
      <c r="BC490" s="19"/>
      <c r="BD490" s="20"/>
      <c r="BF490" s="20"/>
      <c r="BK490" s="22"/>
    </row>
    <row r="491" spans="1:63" ht="15" customHeight="1" x14ac:dyDescent="0.35">
      <c r="A491" s="19"/>
      <c r="E491" s="20"/>
      <c r="G491" s="19"/>
      <c r="H491" s="20"/>
      <c r="L491" s="19"/>
      <c r="M491" s="19"/>
      <c r="N491" s="19"/>
      <c r="X491" s="20"/>
      <c r="Y491" s="20"/>
      <c r="AA491" s="20"/>
      <c r="AB491" s="20"/>
      <c r="AC491" s="21"/>
      <c r="AD491" s="22"/>
      <c r="AE491" s="22"/>
      <c r="AG491" s="22"/>
      <c r="AI491" s="22"/>
      <c r="AK491" s="22"/>
      <c r="AM491" s="22"/>
      <c r="AP491" s="22"/>
      <c r="BC491" s="19"/>
      <c r="BD491" s="20"/>
      <c r="BF491" s="20"/>
      <c r="BK491" s="22"/>
    </row>
    <row r="492" spans="1:63" ht="15" customHeight="1" x14ac:dyDescent="0.35">
      <c r="A492" s="19"/>
      <c r="E492" s="20"/>
      <c r="G492" s="19"/>
      <c r="H492" s="20"/>
      <c r="L492" s="19"/>
      <c r="M492" s="19"/>
      <c r="N492" s="19"/>
      <c r="X492" s="20"/>
      <c r="Y492" s="20"/>
      <c r="AA492" s="20"/>
      <c r="AB492" s="20"/>
      <c r="AC492" s="21"/>
      <c r="AD492" s="22"/>
      <c r="AE492" s="22"/>
      <c r="AG492" s="22"/>
      <c r="AI492" s="22"/>
      <c r="AK492" s="22"/>
      <c r="AM492" s="22"/>
      <c r="AP492" s="22"/>
      <c r="BC492" s="19"/>
      <c r="BD492" s="20"/>
      <c r="BF492" s="20"/>
      <c r="BK492" s="22"/>
    </row>
    <row r="493" spans="1:63" ht="15" customHeight="1" x14ac:dyDescent="0.35">
      <c r="A493" s="19"/>
      <c r="E493" s="20"/>
      <c r="G493" s="19"/>
      <c r="H493" s="20"/>
      <c r="L493" s="19"/>
      <c r="M493" s="19"/>
      <c r="N493" s="19"/>
      <c r="X493" s="20"/>
      <c r="Y493" s="20"/>
      <c r="AA493" s="20"/>
      <c r="AB493" s="20"/>
      <c r="AC493" s="21"/>
      <c r="AD493" s="22"/>
      <c r="AE493" s="22"/>
      <c r="AG493" s="22"/>
      <c r="AI493" s="22"/>
      <c r="AK493" s="22"/>
      <c r="AM493" s="22"/>
      <c r="AP493" s="22"/>
      <c r="BC493" s="19"/>
      <c r="BD493" s="20"/>
      <c r="BF493" s="20"/>
      <c r="BK493" s="22"/>
    </row>
    <row r="494" spans="1:63" ht="15" customHeight="1" x14ac:dyDescent="0.35">
      <c r="A494" s="19"/>
      <c r="E494" s="20"/>
      <c r="G494" s="19"/>
      <c r="H494" s="20"/>
      <c r="L494" s="19"/>
      <c r="M494" s="19"/>
      <c r="N494" s="19"/>
      <c r="X494" s="20"/>
      <c r="Y494" s="20"/>
      <c r="AA494" s="20"/>
      <c r="AB494" s="20"/>
      <c r="AC494" s="21"/>
      <c r="AD494" s="22"/>
      <c r="AE494" s="22"/>
      <c r="AG494" s="22"/>
      <c r="AI494" s="22"/>
      <c r="AK494" s="22"/>
      <c r="AM494" s="22"/>
      <c r="AP494" s="22"/>
      <c r="BC494" s="19"/>
      <c r="BD494" s="20"/>
      <c r="BF494" s="20"/>
      <c r="BK494" s="22"/>
    </row>
    <row r="495" spans="1:63" ht="15" customHeight="1" x14ac:dyDescent="0.35">
      <c r="A495" s="19"/>
      <c r="E495" s="20"/>
      <c r="G495" s="19"/>
      <c r="H495" s="20"/>
      <c r="L495" s="19"/>
      <c r="M495" s="19"/>
      <c r="N495" s="19"/>
      <c r="X495" s="20"/>
      <c r="Y495" s="20"/>
      <c r="AA495" s="20"/>
      <c r="AB495" s="20"/>
      <c r="AC495" s="21"/>
      <c r="AD495" s="22"/>
      <c r="AE495" s="22"/>
      <c r="AG495" s="22"/>
      <c r="AI495" s="22"/>
      <c r="AK495" s="22"/>
      <c r="AM495" s="22"/>
      <c r="AP495" s="22"/>
      <c r="BC495" s="19"/>
      <c r="BD495" s="20"/>
      <c r="BF495" s="20"/>
      <c r="BK495" s="22"/>
    </row>
    <row r="496" spans="1:63" ht="15" customHeight="1" x14ac:dyDescent="0.35">
      <c r="A496" s="19"/>
      <c r="E496" s="20"/>
      <c r="G496" s="19"/>
      <c r="H496" s="20"/>
      <c r="L496" s="19"/>
      <c r="M496" s="19"/>
      <c r="N496" s="19"/>
      <c r="X496" s="20"/>
      <c r="Y496" s="20"/>
      <c r="AA496" s="20"/>
      <c r="AB496" s="20"/>
      <c r="AC496" s="21"/>
      <c r="AD496" s="22"/>
      <c r="AE496" s="22"/>
      <c r="AG496" s="22"/>
      <c r="AI496" s="22"/>
      <c r="AK496" s="22"/>
      <c r="AM496" s="22"/>
      <c r="AP496" s="22"/>
      <c r="BC496" s="19"/>
      <c r="BD496" s="20"/>
      <c r="BF496" s="20"/>
      <c r="BK496" s="22"/>
    </row>
    <row r="497" spans="1:63" ht="15" customHeight="1" x14ac:dyDescent="0.35">
      <c r="A497" s="19"/>
      <c r="E497" s="20"/>
      <c r="G497" s="19"/>
      <c r="H497" s="20"/>
      <c r="L497" s="19"/>
      <c r="M497" s="19"/>
      <c r="N497" s="19"/>
      <c r="X497" s="20"/>
      <c r="Y497" s="20"/>
      <c r="AA497" s="20"/>
      <c r="AB497" s="20"/>
      <c r="AC497" s="21"/>
      <c r="AD497" s="22"/>
      <c r="AE497" s="22"/>
      <c r="AG497" s="22"/>
      <c r="AI497" s="22"/>
      <c r="AK497" s="22"/>
      <c r="AM497" s="22"/>
      <c r="AP497" s="22"/>
      <c r="BC497" s="19"/>
      <c r="BD497" s="20"/>
      <c r="BF497" s="20"/>
      <c r="BK497" s="22"/>
    </row>
    <row r="498" spans="1:63" ht="15" customHeight="1" x14ac:dyDescent="0.35">
      <c r="A498" s="19"/>
      <c r="E498" s="20"/>
      <c r="G498" s="19"/>
      <c r="H498" s="20"/>
      <c r="L498" s="19"/>
      <c r="M498" s="19"/>
      <c r="N498" s="19"/>
      <c r="X498" s="20"/>
      <c r="Y498" s="20"/>
      <c r="AA498" s="20"/>
      <c r="AB498" s="20"/>
      <c r="AC498" s="21"/>
      <c r="AD498" s="22"/>
      <c r="AE498" s="22"/>
      <c r="AG498" s="22"/>
      <c r="AI498" s="22"/>
      <c r="AK498" s="22"/>
      <c r="AM498" s="22"/>
      <c r="AP498" s="22"/>
      <c r="BC498" s="19"/>
      <c r="BD498" s="20"/>
      <c r="BF498" s="20"/>
      <c r="BK498" s="22"/>
    </row>
    <row r="499" spans="1:63" ht="15" customHeight="1" x14ac:dyDescent="0.35">
      <c r="A499" s="19"/>
      <c r="E499" s="20"/>
      <c r="G499" s="19"/>
      <c r="H499" s="20"/>
      <c r="L499" s="19"/>
      <c r="M499" s="19"/>
      <c r="N499" s="19"/>
      <c r="X499" s="20"/>
      <c r="Y499" s="20"/>
      <c r="AA499" s="20"/>
      <c r="AB499" s="20"/>
      <c r="AC499" s="21"/>
      <c r="AD499" s="22"/>
      <c r="AE499" s="22"/>
      <c r="AG499" s="22"/>
      <c r="AI499" s="22"/>
      <c r="AK499" s="22"/>
      <c r="AM499" s="22"/>
      <c r="AP499" s="22"/>
      <c r="BC499" s="19"/>
      <c r="BD499" s="20"/>
      <c r="BF499" s="20"/>
      <c r="BK499" s="22"/>
    </row>
    <row r="500" spans="1:63" ht="15" customHeight="1" x14ac:dyDescent="0.35">
      <c r="A500" s="19"/>
      <c r="E500" s="20"/>
      <c r="G500" s="19"/>
      <c r="H500" s="20"/>
      <c r="L500" s="19"/>
      <c r="M500" s="19"/>
      <c r="N500" s="19"/>
      <c r="X500" s="20"/>
      <c r="Y500" s="20"/>
      <c r="AA500" s="20"/>
      <c r="AB500" s="20"/>
      <c r="AC500" s="21"/>
      <c r="AD500" s="22"/>
      <c r="AE500" s="22"/>
      <c r="AG500" s="22"/>
      <c r="AI500" s="22"/>
      <c r="AK500" s="22"/>
      <c r="AM500" s="22"/>
      <c r="AP500" s="22"/>
      <c r="BC500" s="19"/>
      <c r="BD500" s="20"/>
      <c r="BF500" s="20"/>
      <c r="BK500" s="22"/>
    </row>
    <row r="501" spans="1:63" ht="15" customHeight="1" x14ac:dyDescent="0.35">
      <c r="A501" s="19"/>
      <c r="E501" s="20"/>
      <c r="G501" s="19"/>
      <c r="H501" s="20"/>
      <c r="L501" s="19"/>
      <c r="M501" s="19"/>
      <c r="N501" s="19"/>
      <c r="X501" s="20"/>
      <c r="Y501" s="20"/>
      <c r="AA501" s="20"/>
      <c r="AB501" s="20"/>
      <c r="AC501" s="21"/>
      <c r="AD501" s="22"/>
      <c r="AE501" s="22"/>
      <c r="AG501" s="22"/>
      <c r="AI501" s="22"/>
      <c r="AK501" s="22"/>
      <c r="AM501" s="22"/>
      <c r="AP501" s="22"/>
      <c r="BC501" s="19"/>
      <c r="BD501" s="20"/>
      <c r="BF501" s="20"/>
      <c r="BK501" s="22"/>
    </row>
    <row r="502" spans="1:63" ht="15" customHeight="1" x14ac:dyDescent="0.35">
      <c r="A502" s="19"/>
      <c r="E502" s="20"/>
      <c r="G502" s="19"/>
      <c r="H502" s="20"/>
      <c r="L502" s="19"/>
      <c r="M502" s="19"/>
      <c r="N502" s="19"/>
      <c r="X502" s="20"/>
      <c r="Y502" s="20"/>
      <c r="AA502" s="20"/>
      <c r="AB502" s="20"/>
      <c r="AC502" s="21"/>
      <c r="AD502" s="22"/>
      <c r="AE502" s="22"/>
      <c r="AG502" s="22"/>
      <c r="AI502" s="22"/>
      <c r="AK502" s="22"/>
      <c r="AM502" s="22"/>
      <c r="AP502" s="22"/>
      <c r="BC502" s="19"/>
      <c r="BD502" s="20"/>
      <c r="BF502" s="20"/>
      <c r="BK502" s="22"/>
    </row>
    <row r="503" spans="1:63" ht="15" customHeight="1" x14ac:dyDescent="0.35">
      <c r="A503" s="19"/>
      <c r="E503" s="20"/>
      <c r="G503" s="19"/>
      <c r="H503" s="20"/>
      <c r="L503" s="19"/>
      <c r="M503" s="19"/>
      <c r="N503" s="19"/>
      <c r="X503" s="20"/>
      <c r="Y503" s="20"/>
      <c r="AA503" s="20"/>
      <c r="AB503" s="20"/>
      <c r="AC503" s="21"/>
      <c r="AD503" s="22"/>
      <c r="AE503" s="22"/>
      <c r="AG503" s="22"/>
      <c r="AI503" s="22"/>
      <c r="AK503" s="22"/>
      <c r="AM503" s="22"/>
      <c r="AP503" s="22"/>
      <c r="BC503" s="19"/>
      <c r="BD503" s="20"/>
      <c r="BF503" s="20"/>
      <c r="BK503" s="22"/>
    </row>
    <row r="504" spans="1:63" ht="15" customHeight="1" x14ac:dyDescent="0.35">
      <c r="A504" s="19"/>
      <c r="E504" s="20"/>
      <c r="G504" s="19"/>
      <c r="H504" s="20"/>
      <c r="L504" s="19"/>
      <c r="M504" s="19"/>
      <c r="N504" s="19"/>
      <c r="X504" s="20"/>
      <c r="Y504" s="20"/>
      <c r="AA504" s="20"/>
      <c r="AB504" s="20"/>
      <c r="AC504" s="21"/>
      <c r="AD504" s="22"/>
      <c r="AE504" s="22"/>
      <c r="AG504" s="22"/>
      <c r="AI504" s="22"/>
      <c r="AK504" s="22"/>
      <c r="AM504" s="22"/>
      <c r="AP504" s="22"/>
      <c r="BC504" s="19"/>
      <c r="BD504" s="20"/>
      <c r="BF504" s="20"/>
      <c r="BK504" s="22"/>
    </row>
    <row r="505" spans="1:63" ht="15" customHeight="1" x14ac:dyDescent="0.35">
      <c r="A505" s="19"/>
      <c r="E505" s="20"/>
      <c r="G505" s="19"/>
      <c r="H505" s="20"/>
      <c r="L505" s="19"/>
      <c r="M505" s="19"/>
      <c r="N505" s="19"/>
      <c r="X505" s="20"/>
      <c r="Y505" s="20"/>
      <c r="AA505" s="20"/>
      <c r="AB505" s="20"/>
      <c r="AC505" s="21"/>
      <c r="AD505" s="22"/>
      <c r="AE505" s="22"/>
      <c r="AG505" s="22"/>
      <c r="AI505" s="22"/>
      <c r="AK505" s="22"/>
      <c r="AM505" s="22"/>
      <c r="AP505" s="22"/>
      <c r="BC505" s="19"/>
      <c r="BD505" s="20"/>
      <c r="BF505" s="20"/>
      <c r="BK505" s="22"/>
    </row>
  </sheetData>
  <mergeCells count="9">
    <mergeCell ref="A2:BO2"/>
    <mergeCell ref="V4:AC4"/>
    <mergeCell ref="AD4:AQ4"/>
    <mergeCell ref="BG4:BN4"/>
    <mergeCell ref="A1:BO1"/>
    <mergeCell ref="AR4:AZ4"/>
    <mergeCell ref="BA4:BF4"/>
    <mergeCell ref="A4:O4"/>
    <mergeCell ref="P4:U4"/>
  </mergeCells>
  <conditionalFormatting sqref="A6:A505">
    <cfRule type="duplicateValues" dxfId="2" priority="2"/>
  </conditionalFormatting>
  <dataValidations count="1">
    <dataValidation type="whole" sqref="AC6:AC505" xr:uid="{00000000-0002-0000-0400-000000000000}">
      <formula1>85</formula1>
      <formula2>100</formula2>
    </dataValidation>
  </dataValidations>
  <pageMargins left="0.7" right="0.7" top="0.75" bottom="0.75"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505"/>
  <sheetViews>
    <sheetView showGridLines="0" zoomScaleNormal="100" workbookViewId="0">
      <selection sqref="A1:P1"/>
    </sheetView>
  </sheetViews>
  <sheetFormatPr defaultColWidth="8.6328125" defaultRowHeight="12.5" x14ac:dyDescent="0.25"/>
  <cols>
    <col min="1" max="3" width="20" customWidth="1"/>
    <col min="4" max="4" width="14" customWidth="1"/>
    <col min="5" max="5" width="30" customWidth="1"/>
    <col min="6" max="6" width="14" customWidth="1"/>
    <col min="7" max="16" width="30" customWidth="1"/>
  </cols>
  <sheetData>
    <row r="1" spans="1:16" ht="18" customHeight="1" x14ac:dyDescent="0.45">
      <c r="A1" s="57" t="s">
        <v>325</v>
      </c>
      <c r="B1" s="38"/>
      <c r="C1" s="38"/>
      <c r="D1" s="38"/>
      <c r="E1" s="38"/>
      <c r="F1" s="38"/>
      <c r="G1" s="38"/>
      <c r="H1" s="38"/>
      <c r="I1" s="38"/>
      <c r="J1" s="38"/>
      <c r="K1" s="38"/>
      <c r="L1" s="38"/>
      <c r="M1" s="38"/>
      <c r="N1" s="38"/>
      <c r="O1" s="38"/>
      <c r="P1" s="38"/>
    </row>
    <row r="2" spans="1:16" ht="15" customHeight="1" x14ac:dyDescent="0.3">
      <c r="A2" s="54" t="s">
        <v>404</v>
      </c>
      <c r="B2" s="40"/>
      <c r="C2" s="40"/>
      <c r="D2" s="40"/>
      <c r="E2" s="40"/>
      <c r="F2" s="40"/>
      <c r="G2" s="40"/>
      <c r="H2" s="40"/>
      <c r="I2" s="40"/>
      <c r="J2" s="40"/>
      <c r="K2" s="40"/>
      <c r="L2" s="40"/>
      <c r="M2" s="40"/>
      <c r="N2" s="40"/>
      <c r="O2" s="40"/>
      <c r="P2" s="41"/>
    </row>
    <row r="5" spans="1:16" ht="49.5" customHeight="1" x14ac:dyDescent="0.3">
      <c r="A5" s="23" t="s">
        <v>272</v>
      </c>
      <c r="B5" s="23" t="s">
        <v>56</v>
      </c>
      <c r="C5" s="23" t="s">
        <v>273</v>
      </c>
      <c r="D5" s="23" t="s">
        <v>274</v>
      </c>
      <c r="E5" s="23" t="s">
        <v>37</v>
      </c>
      <c r="F5" s="23" t="s">
        <v>275</v>
      </c>
      <c r="G5" s="23" t="s">
        <v>276</v>
      </c>
      <c r="H5" s="23" t="s">
        <v>277</v>
      </c>
      <c r="I5" s="23" t="s">
        <v>278</v>
      </c>
      <c r="J5" s="23" t="s">
        <v>279</v>
      </c>
      <c r="K5" s="23" t="s">
        <v>280</v>
      </c>
      <c r="L5" s="23" t="s">
        <v>281</v>
      </c>
      <c r="M5" s="23" t="s">
        <v>282</v>
      </c>
      <c r="N5" s="23" t="s">
        <v>283</v>
      </c>
      <c r="O5" s="23" t="s">
        <v>284</v>
      </c>
      <c r="P5" s="23" t="s">
        <v>91</v>
      </c>
    </row>
    <row r="6" spans="1:16" ht="49.5" customHeight="1" x14ac:dyDescent="0.3">
      <c r="A6" s="24" t="s">
        <v>285</v>
      </c>
      <c r="B6" s="24" t="s">
        <v>92</v>
      </c>
      <c r="C6" s="24" t="s">
        <v>286</v>
      </c>
      <c r="D6" s="25">
        <v>46296</v>
      </c>
      <c r="E6" s="24" t="s">
        <v>38</v>
      </c>
      <c r="F6" s="25">
        <v>46296</v>
      </c>
      <c r="G6" s="24" t="s">
        <v>287</v>
      </c>
      <c r="H6" s="24" t="s">
        <v>288</v>
      </c>
      <c r="I6" s="24" t="s">
        <v>289</v>
      </c>
      <c r="J6" s="24" t="s">
        <v>290</v>
      </c>
      <c r="K6" s="24" t="s">
        <v>291</v>
      </c>
      <c r="L6" s="24" t="s">
        <v>292</v>
      </c>
      <c r="M6" s="24"/>
      <c r="N6" s="24"/>
      <c r="O6" s="24"/>
      <c r="P6" s="24" t="s">
        <v>293</v>
      </c>
    </row>
    <row r="7" spans="1:16" ht="49.5" customHeight="1" x14ac:dyDescent="0.3">
      <c r="A7" s="24" t="s">
        <v>294</v>
      </c>
      <c r="B7" s="24" t="s">
        <v>108</v>
      </c>
      <c r="C7" s="24" t="s">
        <v>295</v>
      </c>
      <c r="D7" s="25">
        <v>46327</v>
      </c>
      <c r="E7" s="24" t="s">
        <v>38</v>
      </c>
      <c r="F7" s="25">
        <v>46327</v>
      </c>
      <c r="G7" s="24" t="s">
        <v>296</v>
      </c>
      <c r="H7" s="24" t="s">
        <v>297</v>
      </c>
      <c r="I7" s="24" t="s">
        <v>298</v>
      </c>
      <c r="J7" s="24"/>
      <c r="K7" s="24"/>
      <c r="L7" s="24"/>
      <c r="M7" s="24"/>
      <c r="N7" s="24"/>
      <c r="O7" s="24"/>
      <c r="P7" s="24" t="s">
        <v>293</v>
      </c>
    </row>
    <row r="8" spans="1:16" ht="15" customHeight="1" x14ac:dyDescent="0.35">
      <c r="D8" s="20"/>
      <c r="F8" s="20"/>
    </row>
    <row r="9" spans="1:16" ht="15" customHeight="1" x14ac:dyDescent="0.35">
      <c r="D9" s="20"/>
      <c r="F9" s="20"/>
    </row>
    <row r="10" spans="1:16" ht="15" customHeight="1" x14ac:dyDescent="0.35">
      <c r="D10" s="20"/>
      <c r="F10" s="20"/>
    </row>
    <row r="11" spans="1:16" ht="15" customHeight="1" x14ac:dyDescent="0.35">
      <c r="D11" s="20"/>
      <c r="F11" s="20"/>
    </row>
    <row r="12" spans="1:16" ht="15" customHeight="1" x14ac:dyDescent="0.35">
      <c r="D12" s="20"/>
      <c r="F12" s="20"/>
    </row>
    <row r="13" spans="1:16" ht="15" customHeight="1" x14ac:dyDescent="0.35">
      <c r="D13" s="20"/>
      <c r="F13" s="20"/>
    </row>
    <row r="14" spans="1:16" ht="15" customHeight="1" x14ac:dyDescent="0.35">
      <c r="D14" s="20"/>
      <c r="F14" s="20"/>
    </row>
    <row r="15" spans="1:16" ht="15" customHeight="1" x14ac:dyDescent="0.35">
      <c r="D15" s="20"/>
      <c r="F15" s="20"/>
    </row>
    <row r="16" spans="1:16" ht="15" customHeight="1" x14ac:dyDescent="0.35">
      <c r="D16" s="20"/>
      <c r="F16" s="20"/>
    </row>
    <row r="17" spans="4:6" ht="15" customHeight="1" x14ac:dyDescent="0.35">
      <c r="D17" s="20"/>
      <c r="F17" s="20"/>
    </row>
    <row r="18" spans="4:6" ht="15" customHeight="1" x14ac:dyDescent="0.35">
      <c r="D18" s="20"/>
      <c r="F18" s="20"/>
    </row>
    <row r="19" spans="4:6" ht="15" customHeight="1" x14ac:dyDescent="0.35">
      <c r="D19" s="20"/>
      <c r="F19" s="20"/>
    </row>
    <row r="20" spans="4:6" ht="15" customHeight="1" x14ac:dyDescent="0.35">
      <c r="D20" s="20"/>
      <c r="F20" s="20"/>
    </row>
    <row r="21" spans="4:6" ht="15" customHeight="1" x14ac:dyDescent="0.35">
      <c r="D21" s="20"/>
      <c r="F21" s="20"/>
    </row>
    <row r="22" spans="4:6" ht="15" customHeight="1" x14ac:dyDescent="0.35">
      <c r="D22" s="20"/>
      <c r="F22" s="20"/>
    </row>
    <row r="23" spans="4:6" ht="15" customHeight="1" x14ac:dyDescent="0.35">
      <c r="D23" s="20"/>
      <c r="F23" s="20"/>
    </row>
    <row r="24" spans="4:6" ht="15" customHeight="1" x14ac:dyDescent="0.35">
      <c r="D24" s="20"/>
      <c r="F24" s="20"/>
    </row>
    <row r="25" spans="4:6" ht="15" customHeight="1" x14ac:dyDescent="0.35">
      <c r="D25" s="20"/>
      <c r="F25" s="20"/>
    </row>
    <row r="26" spans="4:6" ht="15" customHeight="1" x14ac:dyDescent="0.35">
      <c r="D26" s="20"/>
      <c r="F26" s="20"/>
    </row>
    <row r="27" spans="4:6" ht="15" customHeight="1" x14ac:dyDescent="0.35">
      <c r="D27" s="20"/>
      <c r="F27" s="20"/>
    </row>
    <row r="28" spans="4:6" ht="15" customHeight="1" x14ac:dyDescent="0.35">
      <c r="D28" s="20"/>
      <c r="F28" s="20"/>
    </row>
    <row r="29" spans="4:6" ht="15" customHeight="1" x14ac:dyDescent="0.35">
      <c r="D29" s="20"/>
      <c r="F29" s="20"/>
    </row>
    <row r="30" spans="4:6" ht="15" customHeight="1" x14ac:dyDescent="0.35">
      <c r="D30" s="20"/>
      <c r="F30" s="20"/>
    </row>
    <row r="31" spans="4:6" ht="15" customHeight="1" x14ac:dyDescent="0.35">
      <c r="D31" s="20"/>
      <c r="F31" s="20"/>
    </row>
    <row r="32" spans="4:6" ht="15" customHeight="1" x14ac:dyDescent="0.35">
      <c r="D32" s="20"/>
      <c r="F32" s="20"/>
    </row>
    <row r="33" spans="4:6" ht="15" customHeight="1" x14ac:dyDescent="0.35">
      <c r="D33" s="20"/>
      <c r="F33" s="20"/>
    </row>
    <row r="34" spans="4:6" ht="15" customHeight="1" x14ac:dyDescent="0.35">
      <c r="D34" s="20"/>
      <c r="F34" s="20"/>
    </row>
    <row r="35" spans="4:6" ht="15" customHeight="1" x14ac:dyDescent="0.35">
      <c r="D35" s="20"/>
      <c r="F35" s="20"/>
    </row>
    <row r="36" spans="4:6" ht="15" customHeight="1" x14ac:dyDescent="0.35">
      <c r="D36" s="20"/>
      <c r="F36" s="20"/>
    </row>
    <row r="37" spans="4:6" ht="15" customHeight="1" x14ac:dyDescent="0.35">
      <c r="D37" s="20"/>
      <c r="F37" s="20"/>
    </row>
    <row r="38" spans="4:6" ht="15" customHeight="1" x14ac:dyDescent="0.35">
      <c r="D38" s="20"/>
      <c r="F38" s="20"/>
    </row>
    <row r="39" spans="4:6" ht="15" customHeight="1" x14ac:dyDescent="0.35">
      <c r="D39" s="20"/>
      <c r="F39" s="20"/>
    </row>
    <row r="40" spans="4:6" ht="15" customHeight="1" x14ac:dyDescent="0.35">
      <c r="D40" s="20"/>
      <c r="F40" s="20"/>
    </row>
    <row r="41" spans="4:6" ht="15" customHeight="1" x14ac:dyDescent="0.35">
      <c r="D41" s="20"/>
      <c r="F41" s="20"/>
    </row>
    <row r="42" spans="4:6" ht="15" customHeight="1" x14ac:dyDescent="0.35">
      <c r="D42" s="20"/>
      <c r="F42" s="20"/>
    </row>
    <row r="43" spans="4:6" ht="15" customHeight="1" x14ac:dyDescent="0.35">
      <c r="D43" s="20"/>
      <c r="F43" s="20"/>
    </row>
    <row r="44" spans="4:6" ht="15" customHeight="1" x14ac:dyDescent="0.35">
      <c r="D44" s="20"/>
      <c r="F44" s="20"/>
    </row>
    <row r="45" spans="4:6" ht="15" customHeight="1" x14ac:dyDescent="0.35">
      <c r="D45" s="20"/>
      <c r="F45" s="20"/>
    </row>
    <row r="46" spans="4:6" ht="15" customHeight="1" x14ac:dyDescent="0.35">
      <c r="D46" s="20"/>
      <c r="F46" s="20"/>
    </row>
    <row r="47" spans="4:6" ht="15" customHeight="1" x14ac:dyDescent="0.35">
      <c r="D47" s="20"/>
      <c r="F47" s="20"/>
    </row>
    <row r="48" spans="4:6" ht="15" customHeight="1" x14ac:dyDescent="0.35">
      <c r="D48" s="20"/>
      <c r="F48" s="20"/>
    </row>
    <row r="49" spans="4:6" ht="15" customHeight="1" x14ac:dyDescent="0.35">
      <c r="D49" s="20"/>
      <c r="F49" s="20"/>
    </row>
    <row r="50" spans="4:6" ht="15" customHeight="1" x14ac:dyDescent="0.35">
      <c r="D50" s="20"/>
      <c r="F50" s="20"/>
    </row>
    <row r="51" spans="4:6" ht="15" customHeight="1" x14ac:dyDescent="0.35">
      <c r="D51" s="20"/>
      <c r="F51" s="20"/>
    </row>
    <row r="52" spans="4:6" ht="15" customHeight="1" x14ac:dyDescent="0.35">
      <c r="D52" s="20"/>
      <c r="F52" s="20"/>
    </row>
    <row r="53" spans="4:6" ht="15" customHeight="1" x14ac:dyDescent="0.35">
      <c r="D53" s="20"/>
      <c r="F53" s="20"/>
    </row>
    <row r="54" spans="4:6" ht="15" customHeight="1" x14ac:dyDescent="0.35">
      <c r="D54" s="20"/>
      <c r="F54" s="20"/>
    </row>
    <row r="55" spans="4:6" ht="15" customHeight="1" x14ac:dyDescent="0.35">
      <c r="D55" s="20"/>
      <c r="F55" s="20"/>
    </row>
    <row r="56" spans="4:6" ht="15" customHeight="1" x14ac:dyDescent="0.35">
      <c r="D56" s="20"/>
      <c r="F56" s="20"/>
    </row>
    <row r="57" spans="4:6" ht="15" customHeight="1" x14ac:dyDescent="0.35">
      <c r="D57" s="20"/>
      <c r="F57" s="20"/>
    </row>
    <row r="58" spans="4:6" ht="15" customHeight="1" x14ac:dyDescent="0.35">
      <c r="D58" s="20"/>
      <c r="F58" s="20"/>
    </row>
    <row r="59" spans="4:6" ht="15" customHeight="1" x14ac:dyDescent="0.35">
      <c r="D59" s="20"/>
      <c r="F59" s="20"/>
    </row>
    <row r="60" spans="4:6" ht="15" customHeight="1" x14ac:dyDescent="0.35">
      <c r="D60" s="20"/>
      <c r="F60" s="20"/>
    </row>
    <row r="61" spans="4:6" ht="15" customHeight="1" x14ac:dyDescent="0.35">
      <c r="D61" s="20"/>
      <c r="F61" s="20"/>
    </row>
    <row r="62" spans="4:6" ht="15" customHeight="1" x14ac:dyDescent="0.35">
      <c r="D62" s="20"/>
      <c r="F62" s="20"/>
    </row>
    <row r="63" spans="4:6" ht="15" customHeight="1" x14ac:dyDescent="0.35">
      <c r="D63" s="20"/>
      <c r="F63" s="20"/>
    </row>
    <row r="64" spans="4:6" ht="15" customHeight="1" x14ac:dyDescent="0.35">
      <c r="D64" s="20"/>
      <c r="F64" s="20"/>
    </row>
    <row r="65" spans="4:6" ht="15" customHeight="1" x14ac:dyDescent="0.35">
      <c r="D65" s="20"/>
      <c r="F65" s="20"/>
    </row>
    <row r="66" spans="4:6" ht="15" customHeight="1" x14ac:dyDescent="0.35">
      <c r="D66" s="20"/>
      <c r="F66" s="20"/>
    </row>
    <row r="67" spans="4:6" ht="15" customHeight="1" x14ac:dyDescent="0.35">
      <c r="D67" s="20"/>
      <c r="F67" s="20"/>
    </row>
    <row r="68" spans="4:6" ht="15" customHeight="1" x14ac:dyDescent="0.35">
      <c r="D68" s="20"/>
      <c r="F68" s="20"/>
    </row>
    <row r="69" spans="4:6" ht="15" customHeight="1" x14ac:dyDescent="0.35">
      <c r="D69" s="20"/>
      <c r="F69" s="20"/>
    </row>
    <row r="70" spans="4:6" ht="15" customHeight="1" x14ac:dyDescent="0.35">
      <c r="D70" s="20"/>
      <c r="F70" s="20"/>
    </row>
    <row r="71" spans="4:6" ht="15" customHeight="1" x14ac:dyDescent="0.35">
      <c r="D71" s="20"/>
      <c r="F71" s="20"/>
    </row>
    <row r="72" spans="4:6" ht="15" customHeight="1" x14ac:dyDescent="0.35">
      <c r="D72" s="20"/>
      <c r="F72" s="20"/>
    </row>
    <row r="73" spans="4:6" ht="15" customHeight="1" x14ac:dyDescent="0.35">
      <c r="D73" s="20"/>
      <c r="F73" s="20"/>
    </row>
    <row r="74" spans="4:6" ht="15" customHeight="1" x14ac:dyDescent="0.35">
      <c r="D74" s="20"/>
      <c r="F74" s="20"/>
    </row>
    <row r="75" spans="4:6" ht="15" customHeight="1" x14ac:dyDescent="0.35">
      <c r="D75" s="20"/>
      <c r="F75" s="20"/>
    </row>
    <row r="76" spans="4:6" ht="15" customHeight="1" x14ac:dyDescent="0.35">
      <c r="D76" s="20"/>
      <c r="F76" s="20"/>
    </row>
    <row r="77" spans="4:6" ht="15" customHeight="1" x14ac:dyDescent="0.35">
      <c r="D77" s="20"/>
      <c r="F77" s="20"/>
    </row>
    <row r="78" spans="4:6" ht="15" customHeight="1" x14ac:dyDescent="0.35">
      <c r="D78" s="20"/>
      <c r="F78" s="20"/>
    </row>
    <row r="79" spans="4:6" ht="15" customHeight="1" x14ac:dyDescent="0.35">
      <c r="D79" s="20"/>
      <c r="F79" s="20"/>
    </row>
    <row r="80" spans="4:6" ht="15" customHeight="1" x14ac:dyDescent="0.35">
      <c r="D80" s="20"/>
      <c r="F80" s="20"/>
    </row>
    <row r="81" spans="4:6" ht="15" customHeight="1" x14ac:dyDescent="0.35">
      <c r="D81" s="20"/>
      <c r="F81" s="20"/>
    </row>
    <row r="82" spans="4:6" ht="15" customHeight="1" x14ac:dyDescent="0.35">
      <c r="D82" s="20"/>
      <c r="F82" s="20"/>
    </row>
    <row r="83" spans="4:6" ht="15" customHeight="1" x14ac:dyDescent="0.35">
      <c r="D83" s="20"/>
      <c r="F83" s="20"/>
    </row>
    <row r="84" spans="4:6" ht="15" customHeight="1" x14ac:dyDescent="0.35">
      <c r="D84" s="20"/>
      <c r="F84" s="20"/>
    </row>
    <row r="85" spans="4:6" ht="15" customHeight="1" x14ac:dyDescent="0.35">
      <c r="D85" s="20"/>
      <c r="F85" s="20"/>
    </row>
    <row r="86" spans="4:6" ht="15" customHeight="1" x14ac:dyDescent="0.35">
      <c r="D86" s="20"/>
      <c r="F86" s="20"/>
    </row>
    <row r="87" spans="4:6" ht="15" customHeight="1" x14ac:dyDescent="0.35">
      <c r="D87" s="20"/>
      <c r="F87" s="20"/>
    </row>
    <row r="88" spans="4:6" ht="15" customHeight="1" x14ac:dyDescent="0.35">
      <c r="D88" s="20"/>
      <c r="F88" s="20"/>
    </row>
    <row r="89" spans="4:6" ht="15" customHeight="1" x14ac:dyDescent="0.35">
      <c r="D89" s="20"/>
      <c r="F89" s="20"/>
    </row>
    <row r="90" spans="4:6" ht="15" customHeight="1" x14ac:dyDescent="0.35">
      <c r="D90" s="20"/>
      <c r="F90" s="20"/>
    </row>
    <row r="91" spans="4:6" ht="15" customHeight="1" x14ac:dyDescent="0.35">
      <c r="D91" s="20"/>
      <c r="F91" s="20"/>
    </row>
    <row r="92" spans="4:6" ht="15" customHeight="1" x14ac:dyDescent="0.35">
      <c r="D92" s="20"/>
      <c r="F92" s="20"/>
    </row>
    <row r="93" spans="4:6" ht="15" customHeight="1" x14ac:dyDescent="0.35">
      <c r="D93" s="20"/>
      <c r="F93" s="20"/>
    </row>
    <row r="94" spans="4:6" ht="15" customHeight="1" x14ac:dyDescent="0.35">
      <c r="D94" s="20"/>
      <c r="F94" s="20"/>
    </row>
    <row r="95" spans="4:6" ht="15" customHeight="1" x14ac:dyDescent="0.35">
      <c r="D95" s="20"/>
      <c r="F95" s="20"/>
    </row>
    <row r="96" spans="4:6" ht="15" customHeight="1" x14ac:dyDescent="0.35">
      <c r="D96" s="20"/>
      <c r="F96" s="20"/>
    </row>
    <row r="97" spans="4:6" ht="15" customHeight="1" x14ac:dyDescent="0.35">
      <c r="D97" s="20"/>
      <c r="F97" s="20"/>
    </row>
    <row r="98" spans="4:6" ht="15" customHeight="1" x14ac:dyDescent="0.35">
      <c r="D98" s="20"/>
      <c r="F98" s="20"/>
    </row>
    <row r="99" spans="4:6" ht="15" customHeight="1" x14ac:dyDescent="0.35">
      <c r="D99" s="20"/>
      <c r="F99" s="20"/>
    </row>
    <row r="100" spans="4:6" ht="15" customHeight="1" x14ac:dyDescent="0.35">
      <c r="D100" s="20"/>
      <c r="F100" s="20"/>
    </row>
    <row r="101" spans="4:6" ht="15" customHeight="1" x14ac:dyDescent="0.35">
      <c r="D101" s="20"/>
      <c r="F101" s="20"/>
    </row>
    <row r="102" spans="4:6" ht="15" customHeight="1" x14ac:dyDescent="0.35">
      <c r="D102" s="20"/>
      <c r="F102" s="20"/>
    </row>
    <row r="103" spans="4:6" ht="15" customHeight="1" x14ac:dyDescent="0.35">
      <c r="D103" s="20"/>
      <c r="F103" s="20"/>
    </row>
    <row r="104" spans="4:6" ht="15" customHeight="1" x14ac:dyDescent="0.35">
      <c r="D104" s="20"/>
      <c r="F104" s="20"/>
    </row>
    <row r="105" spans="4:6" ht="15" customHeight="1" x14ac:dyDescent="0.35">
      <c r="D105" s="20"/>
      <c r="F105" s="20"/>
    </row>
    <row r="106" spans="4:6" ht="15" customHeight="1" x14ac:dyDescent="0.35">
      <c r="D106" s="20"/>
      <c r="F106" s="20"/>
    </row>
    <row r="107" spans="4:6" ht="15" customHeight="1" x14ac:dyDescent="0.35">
      <c r="D107" s="20"/>
      <c r="F107" s="20"/>
    </row>
    <row r="108" spans="4:6" ht="15" customHeight="1" x14ac:dyDescent="0.35">
      <c r="D108" s="20"/>
      <c r="F108" s="20"/>
    </row>
    <row r="109" spans="4:6" ht="15" customHeight="1" x14ac:dyDescent="0.35">
      <c r="D109" s="20"/>
      <c r="F109" s="20"/>
    </row>
    <row r="110" spans="4:6" ht="15" customHeight="1" x14ac:dyDescent="0.35">
      <c r="D110" s="20"/>
      <c r="F110" s="20"/>
    </row>
    <row r="111" spans="4:6" ht="15" customHeight="1" x14ac:dyDescent="0.35">
      <c r="D111" s="20"/>
      <c r="F111" s="20"/>
    </row>
    <row r="112" spans="4:6" ht="15" customHeight="1" x14ac:dyDescent="0.35">
      <c r="D112" s="20"/>
      <c r="F112" s="20"/>
    </row>
    <row r="113" spans="4:6" ht="15" customHeight="1" x14ac:dyDescent="0.35">
      <c r="D113" s="20"/>
      <c r="F113" s="20"/>
    </row>
    <row r="114" spans="4:6" ht="15" customHeight="1" x14ac:dyDescent="0.35">
      <c r="D114" s="20"/>
      <c r="F114" s="20"/>
    </row>
    <row r="115" spans="4:6" ht="15" customHeight="1" x14ac:dyDescent="0.35">
      <c r="D115" s="20"/>
      <c r="F115" s="20"/>
    </row>
    <row r="116" spans="4:6" ht="15" customHeight="1" x14ac:dyDescent="0.35">
      <c r="D116" s="20"/>
      <c r="F116" s="20"/>
    </row>
    <row r="117" spans="4:6" ht="15" customHeight="1" x14ac:dyDescent="0.35">
      <c r="D117" s="20"/>
      <c r="F117" s="20"/>
    </row>
    <row r="118" spans="4:6" ht="15" customHeight="1" x14ac:dyDescent="0.35">
      <c r="D118" s="20"/>
      <c r="F118" s="20"/>
    </row>
    <row r="119" spans="4:6" ht="15" customHeight="1" x14ac:dyDescent="0.35">
      <c r="D119" s="20"/>
      <c r="F119" s="20"/>
    </row>
    <row r="120" spans="4:6" ht="15" customHeight="1" x14ac:dyDescent="0.35">
      <c r="D120" s="20"/>
      <c r="F120" s="20"/>
    </row>
    <row r="121" spans="4:6" ht="15" customHeight="1" x14ac:dyDescent="0.35">
      <c r="D121" s="20"/>
      <c r="F121" s="20"/>
    </row>
    <row r="122" spans="4:6" ht="15" customHeight="1" x14ac:dyDescent="0.35">
      <c r="D122" s="20"/>
      <c r="F122" s="20"/>
    </row>
    <row r="123" spans="4:6" ht="15" customHeight="1" x14ac:dyDescent="0.35">
      <c r="D123" s="20"/>
      <c r="F123" s="20"/>
    </row>
    <row r="124" spans="4:6" ht="15" customHeight="1" x14ac:dyDescent="0.35">
      <c r="D124" s="20"/>
      <c r="F124" s="20"/>
    </row>
    <row r="125" spans="4:6" ht="15" customHeight="1" x14ac:dyDescent="0.35">
      <c r="D125" s="20"/>
      <c r="F125" s="20"/>
    </row>
    <row r="126" spans="4:6" ht="15" customHeight="1" x14ac:dyDescent="0.35">
      <c r="D126" s="20"/>
      <c r="F126" s="20"/>
    </row>
    <row r="127" spans="4:6" ht="15" customHeight="1" x14ac:dyDescent="0.35">
      <c r="D127" s="20"/>
      <c r="F127" s="20"/>
    </row>
    <row r="128" spans="4:6" ht="15" customHeight="1" x14ac:dyDescent="0.35">
      <c r="D128" s="20"/>
      <c r="F128" s="20"/>
    </row>
    <row r="129" spans="4:6" ht="15" customHeight="1" x14ac:dyDescent="0.35">
      <c r="D129" s="20"/>
      <c r="F129" s="20"/>
    </row>
    <row r="130" spans="4:6" ht="15" customHeight="1" x14ac:dyDescent="0.35">
      <c r="D130" s="20"/>
      <c r="F130" s="20"/>
    </row>
    <row r="131" spans="4:6" ht="15" customHeight="1" x14ac:dyDescent="0.35">
      <c r="D131" s="20"/>
      <c r="F131" s="20"/>
    </row>
    <row r="132" spans="4:6" ht="15" customHeight="1" x14ac:dyDescent="0.35">
      <c r="D132" s="20"/>
      <c r="F132" s="20"/>
    </row>
    <row r="133" spans="4:6" ht="15" customHeight="1" x14ac:dyDescent="0.35">
      <c r="D133" s="20"/>
      <c r="F133" s="20"/>
    </row>
    <row r="134" spans="4:6" ht="15" customHeight="1" x14ac:dyDescent="0.35">
      <c r="D134" s="20"/>
      <c r="F134" s="20"/>
    </row>
    <row r="135" spans="4:6" ht="15" customHeight="1" x14ac:dyDescent="0.35">
      <c r="D135" s="20"/>
      <c r="F135" s="20"/>
    </row>
    <row r="136" spans="4:6" ht="15" customHeight="1" x14ac:dyDescent="0.35">
      <c r="D136" s="20"/>
      <c r="F136" s="20"/>
    </row>
    <row r="137" spans="4:6" ht="15" customHeight="1" x14ac:dyDescent="0.35">
      <c r="D137" s="20"/>
      <c r="F137" s="20"/>
    </row>
    <row r="138" spans="4:6" ht="15" customHeight="1" x14ac:dyDescent="0.35">
      <c r="D138" s="20"/>
      <c r="F138" s="20"/>
    </row>
    <row r="139" spans="4:6" ht="15" customHeight="1" x14ac:dyDescent="0.35">
      <c r="D139" s="20"/>
      <c r="F139" s="20"/>
    </row>
    <row r="140" spans="4:6" ht="15" customHeight="1" x14ac:dyDescent="0.35">
      <c r="D140" s="20"/>
      <c r="F140" s="20"/>
    </row>
    <row r="141" spans="4:6" ht="15" customHeight="1" x14ac:dyDescent="0.35">
      <c r="D141" s="20"/>
      <c r="F141" s="20"/>
    </row>
    <row r="142" spans="4:6" ht="15" customHeight="1" x14ac:dyDescent="0.35">
      <c r="D142" s="20"/>
      <c r="F142" s="20"/>
    </row>
    <row r="143" spans="4:6" ht="15" customHeight="1" x14ac:dyDescent="0.35">
      <c r="D143" s="20"/>
      <c r="F143" s="20"/>
    </row>
    <row r="144" spans="4:6" ht="15" customHeight="1" x14ac:dyDescent="0.35">
      <c r="D144" s="20"/>
      <c r="F144" s="20"/>
    </row>
    <row r="145" spans="4:6" ht="15" customHeight="1" x14ac:dyDescent="0.35">
      <c r="D145" s="20"/>
      <c r="F145" s="20"/>
    </row>
    <row r="146" spans="4:6" ht="15" customHeight="1" x14ac:dyDescent="0.35">
      <c r="D146" s="20"/>
      <c r="F146" s="20"/>
    </row>
    <row r="147" spans="4:6" ht="15" customHeight="1" x14ac:dyDescent="0.35">
      <c r="D147" s="20"/>
      <c r="F147" s="20"/>
    </row>
    <row r="148" spans="4:6" ht="15" customHeight="1" x14ac:dyDescent="0.35">
      <c r="D148" s="20"/>
      <c r="F148" s="20"/>
    </row>
    <row r="149" spans="4:6" ht="15" customHeight="1" x14ac:dyDescent="0.35">
      <c r="D149" s="20"/>
      <c r="F149" s="20"/>
    </row>
    <row r="150" spans="4:6" ht="15" customHeight="1" x14ac:dyDescent="0.35">
      <c r="D150" s="20"/>
      <c r="F150" s="20"/>
    </row>
    <row r="151" spans="4:6" ht="15" customHeight="1" x14ac:dyDescent="0.35">
      <c r="D151" s="20"/>
      <c r="F151" s="20"/>
    </row>
    <row r="152" spans="4:6" ht="15" customHeight="1" x14ac:dyDescent="0.35">
      <c r="D152" s="20"/>
      <c r="F152" s="20"/>
    </row>
    <row r="153" spans="4:6" ht="15" customHeight="1" x14ac:dyDescent="0.35">
      <c r="D153" s="20"/>
      <c r="F153" s="20"/>
    </row>
    <row r="154" spans="4:6" ht="15" customHeight="1" x14ac:dyDescent="0.35">
      <c r="D154" s="20"/>
      <c r="F154" s="20"/>
    </row>
    <row r="155" spans="4:6" ht="15" customHeight="1" x14ac:dyDescent="0.35">
      <c r="D155" s="20"/>
      <c r="F155" s="20"/>
    </row>
    <row r="156" spans="4:6" ht="15" customHeight="1" x14ac:dyDescent="0.35">
      <c r="D156" s="20"/>
      <c r="F156" s="20"/>
    </row>
    <row r="157" spans="4:6" ht="15" customHeight="1" x14ac:dyDescent="0.35">
      <c r="D157" s="20"/>
      <c r="F157" s="20"/>
    </row>
    <row r="158" spans="4:6" ht="15" customHeight="1" x14ac:dyDescent="0.35">
      <c r="D158" s="20"/>
      <c r="F158" s="20"/>
    </row>
    <row r="159" spans="4:6" ht="15" customHeight="1" x14ac:dyDescent="0.35">
      <c r="D159" s="20"/>
      <c r="F159" s="20"/>
    </row>
    <row r="160" spans="4:6" ht="15" customHeight="1" x14ac:dyDescent="0.35">
      <c r="D160" s="20"/>
      <c r="F160" s="20"/>
    </row>
    <row r="161" spans="4:6" ht="15" customHeight="1" x14ac:dyDescent="0.35">
      <c r="D161" s="20"/>
      <c r="F161" s="20"/>
    </row>
    <row r="162" spans="4:6" ht="15" customHeight="1" x14ac:dyDescent="0.35">
      <c r="D162" s="20"/>
      <c r="F162" s="20"/>
    </row>
    <row r="163" spans="4:6" ht="15" customHeight="1" x14ac:dyDescent="0.35">
      <c r="D163" s="20"/>
      <c r="F163" s="20"/>
    </row>
    <row r="164" spans="4:6" ht="15" customHeight="1" x14ac:dyDescent="0.35">
      <c r="D164" s="20"/>
      <c r="F164" s="20"/>
    </row>
    <row r="165" spans="4:6" ht="15" customHeight="1" x14ac:dyDescent="0.35">
      <c r="D165" s="20"/>
      <c r="F165" s="20"/>
    </row>
    <row r="166" spans="4:6" ht="15" customHeight="1" x14ac:dyDescent="0.35">
      <c r="D166" s="20"/>
      <c r="F166" s="20"/>
    </row>
    <row r="167" spans="4:6" ht="15" customHeight="1" x14ac:dyDescent="0.35">
      <c r="D167" s="20"/>
      <c r="F167" s="20"/>
    </row>
    <row r="168" spans="4:6" ht="15" customHeight="1" x14ac:dyDescent="0.35">
      <c r="D168" s="20"/>
      <c r="F168" s="20"/>
    </row>
    <row r="169" spans="4:6" ht="15" customHeight="1" x14ac:dyDescent="0.35">
      <c r="D169" s="20"/>
      <c r="F169" s="20"/>
    </row>
    <row r="170" spans="4:6" ht="15" customHeight="1" x14ac:dyDescent="0.35">
      <c r="D170" s="20"/>
      <c r="F170" s="20"/>
    </row>
    <row r="171" spans="4:6" ht="15" customHeight="1" x14ac:dyDescent="0.35">
      <c r="D171" s="20"/>
      <c r="F171" s="20"/>
    </row>
    <row r="172" spans="4:6" ht="15" customHeight="1" x14ac:dyDescent="0.35">
      <c r="D172" s="20"/>
      <c r="F172" s="20"/>
    </row>
    <row r="173" spans="4:6" ht="15" customHeight="1" x14ac:dyDescent="0.35">
      <c r="D173" s="20"/>
      <c r="F173" s="20"/>
    </row>
    <row r="174" spans="4:6" ht="15" customHeight="1" x14ac:dyDescent="0.35">
      <c r="D174" s="20"/>
      <c r="F174" s="20"/>
    </row>
    <row r="175" spans="4:6" ht="15" customHeight="1" x14ac:dyDescent="0.35">
      <c r="D175" s="20"/>
      <c r="F175" s="20"/>
    </row>
    <row r="176" spans="4:6" ht="15" customHeight="1" x14ac:dyDescent="0.35">
      <c r="D176" s="20"/>
      <c r="F176" s="20"/>
    </row>
    <row r="177" spans="4:6" ht="15" customHeight="1" x14ac:dyDescent="0.35">
      <c r="D177" s="20"/>
      <c r="F177" s="20"/>
    </row>
    <row r="178" spans="4:6" ht="15" customHeight="1" x14ac:dyDescent="0.35">
      <c r="D178" s="20"/>
      <c r="F178" s="20"/>
    </row>
    <row r="179" spans="4:6" ht="15" customHeight="1" x14ac:dyDescent="0.35">
      <c r="D179" s="20"/>
      <c r="F179" s="20"/>
    </row>
    <row r="180" spans="4:6" ht="15" customHeight="1" x14ac:dyDescent="0.35">
      <c r="D180" s="20"/>
      <c r="F180" s="20"/>
    </row>
    <row r="181" spans="4:6" ht="15" customHeight="1" x14ac:dyDescent="0.35">
      <c r="D181" s="20"/>
      <c r="F181" s="20"/>
    </row>
    <row r="182" spans="4:6" ht="15" customHeight="1" x14ac:dyDescent="0.35">
      <c r="D182" s="20"/>
      <c r="F182" s="20"/>
    </row>
    <row r="183" spans="4:6" ht="15" customHeight="1" x14ac:dyDescent="0.35">
      <c r="D183" s="20"/>
      <c r="F183" s="20"/>
    </row>
    <row r="184" spans="4:6" ht="15" customHeight="1" x14ac:dyDescent="0.35">
      <c r="D184" s="20"/>
      <c r="F184" s="20"/>
    </row>
    <row r="185" spans="4:6" ht="15" customHeight="1" x14ac:dyDescent="0.35">
      <c r="D185" s="20"/>
      <c r="F185" s="20"/>
    </row>
    <row r="186" spans="4:6" ht="15" customHeight="1" x14ac:dyDescent="0.35">
      <c r="D186" s="20"/>
      <c r="F186" s="20"/>
    </row>
    <row r="187" spans="4:6" ht="15" customHeight="1" x14ac:dyDescent="0.35">
      <c r="D187" s="20"/>
      <c r="F187" s="20"/>
    </row>
    <row r="188" spans="4:6" ht="15" customHeight="1" x14ac:dyDescent="0.35">
      <c r="D188" s="20"/>
      <c r="F188" s="20"/>
    </row>
    <row r="189" spans="4:6" ht="15" customHeight="1" x14ac:dyDescent="0.35">
      <c r="D189" s="20"/>
      <c r="F189" s="20"/>
    </row>
    <row r="190" spans="4:6" ht="15" customHeight="1" x14ac:dyDescent="0.35">
      <c r="D190" s="20"/>
      <c r="F190" s="20"/>
    </row>
    <row r="191" spans="4:6" ht="15" customHeight="1" x14ac:dyDescent="0.35">
      <c r="D191" s="20"/>
      <c r="F191" s="20"/>
    </row>
    <row r="192" spans="4:6" ht="15" customHeight="1" x14ac:dyDescent="0.35">
      <c r="D192" s="20"/>
      <c r="F192" s="20"/>
    </row>
    <row r="193" spans="4:6" ht="15" customHeight="1" x14ac:dyDescent="0.35">
      <c r="D193" s="20"/>
      <c r="F193" s="20"/>
    </row>
    <row r="194" spans="4:6" ht="15" customHeight="1" x14ac:dyDescent="0.35">
      <c r="D194" s="20"/>
      <c r="F194" s="20"/>
    </row>
    <row r="195" spans="4:6" ht="15" customHeight="1" x14ac:dyDescent="0.35">
      <c r="D195" s="20"/>
      <c r="F195" s="20"/>
    </row>
    <row r="196" spans="4:6" ht="15" customHeight="1" x14ac:dyDescent="0.35">
      <c r="D196" s="20"/>
      <c r="F196" s="20"/>
    </row>
    <row r="197" spans="4:6" ht="15" customHeight="1" x14ac:dyDescent="0.35">
      <c r="D197" s="20"/>
      <c r="F197" s="20"/>
    </row>
    <row r="198" spans="4:6" ht="15" customHeight="1" x14ac:dyDescent="0.35">
      <c r="D198" s="20"/>
      <c r="F198" s="20"/>
    </row>
    <row r="199" spans="4:6" ht="15" customHeight="1" x14ac:dyDescent="0.35">
      <c r="D199" s="20"/>
      <c r="F199" s="20"/>
    </row>
    <row r="200" spans="4:6" ht="15" customHeight="1" x14ac:dyDescent="0.35">
      <c r="D200" s="20"/>
      <c r="F200" s="20"/>
    </row>
    <row r="201" spans="4:6" ht="15" customHeight="1" x14ac:dyDescent="0.35">
      <c r="D201" s="20"/>
      <c r="F201" s="20"/>
    </row>
    <row r="202" spans="4:6" ht="15" customHeight="1" x14ac:dyDescent="0.35">
      <c r="D202" s="20"/>
      <c r="F202" s="20"/>
    </row>
    <row r="203" spans="4:6" ht="15" customHeight="1" x14ac:dyDescent="0.35">
      <c r="D203" s="20"/>
      <c r="F203" s="20"/>
    </row>
    <row r="204" spans="4:6" ht="15" customHeight="1" x14ac:dyDescent="0.35">
      <c r="D204" s="20"/>
      <c r="F204" s="20"/>
    </row>
    <row r="205" spans="4:6" ht="15" customHeight="1" x14ac:dyDescent="0.35">
      <c r="D205" s="20"/>
      <c r="F205" s="20"/>
    </row>
    <row r="206" spans="4:6" ht="15" customHeight="1" x14ac:dyDescent="0.35">
      <c r="D206" s="20"/>
      <c r="F206" s="20"/>
    </row>
    <row r="207" spans="4:6" ht="15" customHeight="1" x14ac:dyDescent="0.35">
      <c r="D207" s="20"/>
      <c r="F207" s="20"/>
    </row>
    <row r="208" spans="4:6" ht="15" customHeight="1" x14ac:dyDescent="0.35">
      <c r="D208" s="20"/>
      <c r="F208" s="20"/>
    </row>
    <row r="209" spans="4:6" ht="15" customHeight="1" x14ac:dyDescent="0.35">
      <c r="D209" s="20"/>
      <c r="F209" s="20"/>
    </row>
    <row r="210" spans="4:6" ht="15" customHeight="1" x14ac:dyDescent="0.35">
      <c r="D210" s="20"/>
      <c r="F210" s="20"/>
    </row>
    <row r="211" spans="4:6" ht="15" customHeight="1" x14ac:dyDescent="0.35">
      <c r="D211" s="20"/>
      <c r="F211" s="20"/>
    </row>
    <row r="212" spans="4:6" ht="15" customHeight="1" x14ac:dyDescent="0.35">
      <c r="D212" s="20"/>
      <c r="F212" s="20"/>
    </row>
    <row r="213" spans="4:6" ht="15" customHeight="1" x14ac:dyDescent="0.35">
      <c r="D213" s="20"/>
      <c r="F213" s="20"/>
    </row>
    <row r="214" spans="4:6" ht="15" customHeight="1" x14ac:dyDescent="0.35">
      <c r="D214" s="20"/>
      <c r="F214" s="20"/>
    </row>
    <row r="215" spans="4:6" ht="15" customHeight="1" x14ac:dyDescent="0.35">
      <c r="D215" s="20"/>
      <c r="F215" s="20"/>
    </row>
    <row r="216" spans="4:6" ht="15" customHeight="1" x14ac:dyDescent="0.35">
      <c r="D216" s="20"/>
      <c r="F216" s="20"/>
    </row>
    <row r="217" spans="4:6" ht="15" customHeight="1" x14ac:dyDescent="0.35">
      <c r="D217" s="20"/>
      <c r="F217" s="20"/>
    </row>
    <row r="218" spans="4:6" ht="15" customHeight="1" x14ac:dyDescent="0.35">
      <c r="D218" s="20"/>
      <c r="F218" s="20"/>
    </row>
    <row r="219" spans="4:6" ht="15" customHeight="1" x14ac:dyDescent="0.35">
      <c r="D219" s="20"/>
      <c r="F219" s="20"/>
    </row>
    <row r="220" spans="4:6" ht="15" customHeight="1" x14ac:dyDescent="0.35">
      <c r="D220" s="20"/>
      <c r="F220" s="20"/>
    </row>
    <row r="221" spans="4:6" ht="15" customHeight="1" x14ac:dyDescent="0.35">
      <c r="D221" s="20"/>
      <c r="F221" s="20"/>
    </row>
    <row r="222" spans="4:6" ht="15" customHeight="1" x14ac:dyDescent="0.35">
      <c r="D222" s="20"/>
      <c r="F222" s="20"/>
    </row>
    <row r="223" spans="4:6" ht="15" customHeight="1" x14ac:dyDescent="0.35">
      <c r="D223" s="20"/>
      <c r="F223" s="20"/>
    </row>
    <row r="224" spans="4:6" ht="15" customHeight="1" x14ac:dyDescent="0.35">
      <c r="D224" s="20"/>
      <c r="F224" s="20"/>
    </row>
    <row r="225" spans="4:6" ht="15" customHeight="1" x14ac:dyDescent="0.35">
      <c r="D225" s="20"/>
      <c r="F225" s="20"/>
    </row>
    <row r="226" spans="4:6" ht="15" customHeight="1" x14ac:dyDescent="0.35">
      <c r="D226" s="20"/>
      <c r="F226" s="20"/>
    </row>
    <row r="227" spans="4:6" ht="15" customHeight="1" x14ac:dyDescent="0.35">
      <c r="D227" s="20"/>
      <c r="F227" s="20"/>
    </row>
    <row r="228" spans="4:6" ht="15" customHeight="1" x14ac:dyDescent="0.35">
      <c r="D228" s="20"/>
      <c r="F228" s="20"/>
    </row>
    <row r="229" spans="4:6" ht="15" customHeight="1" x14ac:dyDescent="0.35">
      <c r="D229" s="20"/>
      <c r="F229" s="20"/>
    </row>
    <row r="230" spans="4:6" ht="15" customHeight="1" x14ac:dyDescent="0.35">
      <c r="D230" s="20"/>
      <c r="F230" s="20"/>
    </row>
    <row r="231" spans="4:6" ht="15" customHeight="1" x14ac:dyDescent="0.35">
      <c r="D231" s="20"/>
      <c r="F231" s="20"/>
    </row>
    <row r="232" spans="4:6" ht="15" customHeight="1" x14ac:dyDescent="0.35">
      <c r="D232" s="20"/>
      <c r="F232" s="20"/>
    </row>
    <row r="233" spans="4:6" ht="15" customHeight="1" x14ac:dyDescent="0.35">
      <c r="D233" s="20"/>
      <c r="F233" s="20"/>
    </row>
    <row r="234" spans="4:6" ht="15" customHeight="1" x14ac:dyDescent="0.35">
      <c r="D234" s="20"/>
      <c r="F234" s="20"/>
    </row>
    <row r="235" spans="4:6" ht="15" customHeight="1" x14ac:dyDescent="0.35">
      <c r="D235" s="20"/>
      <c r="F235" s="20"/>
    </row>
    <row r="236" spans="4:6" ht="15" customHeight="1" x14ac:dyDescent="0.35">
      <c r="D236" s="20"/>
      <c r="F236" s="20"/>
    </row>
    <row r="237" spans="4:6" ht="15" customHeight="1" x14ac:dyDescent="0.35">
      <c r="D237" s="20"/>
      <c r="F237" s="20"/>
    </row>
    <row r="238" spans="4:6" ht="15" customHeight="1" x14ac:dyDescent="0.35">
      <c r="D238" s="20"/>
      <c r="F238" s="20"/>
    </row>
    <row r="239" spans="4:6" ht="15" customHeight="1" x14ac:dyDescent="0.35">
      <c r="D239" s="20"/>
      <c r="F239" s="20"/>
    </row>
    <row r="240" spans="4:6" ht="15" customHeight="1" x14ac:dyDescent="0.35">
      <c r="D240" s="20"/>
      <c r="F240" s="20"/>
    </row>
    <row r="241" spans="4:6" ht="15" customHeight="1" x14ac:dyDescent="0.35">
      <c r="D241" s="20"/>
      <c r="F241" s="20"/>
    </row>
    <row r="242" spans="4:6" ht="15" customHeight="1" x14ac:dyDescent="0.35">
      <c r="D242" s="20"/>
      <c r="F242" s="20"/>
    </row>
    <row r="243" spans="4:6" ht="15" customHeight="1" x14ac:dyDescent="0.35">
      <c r="D243" s="20"/>
      <c r="F243" s="20"/>
    </row>
    <row r="244" spans="4:6" ht="15" customHeight="1" x14ac:dyDescent="0.35">
      <c r="D244" s="20"/>
      <c r="F244" s="20"/>
    </row>
    <row r="245" spans="4:6" ht="15" customHeight="1" x14ac:dyDescent="0.35">
      <c r="D245" s="20"/>
      <c r="F245" s="20"/>
    </row>
    <row r="246" spans="4:6" ht="15" customHeight="1" x14ac:dyDescent="0.35">
      <c r="D246" s="20"/>
      <c r="F246" s="20"/>
    </row>
    <row r="247" spans="4:6" ht="15" customHeight="1" x14ac:dyDescent="0.35">
      <c r="D247" s="20"/>
      <c r="F247" s="20"/>
    </row>
    <row r="248" spans="4:6" ht="15" customHeight="1" x14ac:dyDescent="0.35">
      <c r="D248" s="20"/>
      <c r="F248" s="20"/>
    </row>
    <row r="249" spans="4:6" ht="15" customHeight="1" x14ac:dyDescent="0.35">
      <c r="D249" s="20"/>
      <c r="F249" s="20"/>
    </row>
    <row r="250" spans="4:6" ht="15" customHeight="1" x14ac:dyDescent="0.35">
      <c r="D250" s="20"/>
      <c r="F250" s="20"/>
    </row>
    <row r="251" spans="4:6" ht="15" customHeight="1" x14ac:dyDescent="0.35">
      <c r="D251" s="20"/>
      <c r="F251" s="20"/>
    </row>
    <row r="252" spans="4:6" ht="15" customHeight="1" x14ac:dyDescent="0.35">
      <c r="D252" s="20"/>
      <c r="F252" s="20"/>
    </row>
    <row r="253" spans="4:6" ht="15" customHeight="1" x14ac:dyDescent="0.35">
      <c r="D253" s="20"/>
      <c r="F253" s="20"/>
    </row>
    <row r="254" spans="4:6" ht="15" customHeight="1" x14ac:dyDescent="0.35">
      <c r="D254" s="20"/>
      <c r="F254" s="20"/>
    </row>
    <row r="255" spans="4:6" ht="15" customHeight="1" x14ac:dyDescent="0.35">
      <c r="D255" s="20"/>
      <c r="F255" s="20"/>
    </row>
    <row r="256" spans="4:6" ht="15" customHeight="1" x14ac:dyDescent="0.35">
      <c r="D256" s="20"/>
      <c r="F256" s="20"/>
    </row>
    <row r="257" spans="4:6" ht="15" customHeight="1" x14ac:dyDescent="0.35">
      <c r="D257" s="20"/>
      <c r="F257" s="20"/>
    </row>
    <row r="258" spans="4:6" ht="15" customHeight="1" x14ac:dyDescent="0.35">
      <c r="D258" s="20"/>
      <c r="F258" s="20"/>
    </row>
    <row r="259" spans="4:6" ht="15" customHeight="1" x14ac:dyDescent="0.35">
      <c r="D259" s="20"/>
      <c r="F259" s="20"/>
    </row>
    <row r="260" spans="4:6" ht="15" customHeight="1" x14ac:dyDescent="0.35">
      <c r="D260" s="20"/>
      <c r="F260" s="20"/>
    </row>
    <row r="261" spans="4:6" ht="15" customHeight="1" x14ac:dyDescent="0.35">
      <c r="D261" s="20"/>
      <c r="F261" s="20"/>
    </row>
    <row r="262" spans="4:6" ht="15" customHeight="1" x14ac:dyDescent="0.35">
      <c r="D262" s="20"/>
      <c r="F262" s="20"/>
    </row>
    <row r="263" spans="4:6" ht="15" customHeight="1" x14ac:dyDescent="0.35">
      <c r="D263" s="20"/>
      <c r="F263" s="20"/>
    </row>
    <row r="264" spans="4:6" ht="15" customHeight="1" x14ac:dyDescent="0.35">
      <c r="D264" s="20"/>
      <c r="F264" s="20"/>
    </row>
    <row r="265" spans="4:6" ht="15" customHeight="1" x14ac:dyDescent="0.35">
      <c r="D265" s="20"/>
      <c r="F265" s="20"/>
    </row>
    <row r="266" spans="4:6" ht="15" customHeight="1" x14ac:dyDescent="0.35">
      <c r="D266" s="20"/>
      <c r="F266" s="20"/>
    </row>
    <row r="267" spans="4:6" ht="15" customHeight="1" x14ac:dyDescent="0.35">
      <c r="D267" s="20"/>
      <c r="F267" s="20"/>
    </row>
    <row r="268" spans="4:6" ht="15" customHeight="1" x14ac:dyDescent="0.35">
      <c r="D268" s="20"/>
      <c r="F268" s="20"/>
    </row>
    <row r="269" spans="4:6" ht="15" customHeight="1" x14ac:dyDescent="0.35">
      <c r="D269" s="20"/>
      <c r="F269" s="20"/>
    </row>
    <row r="270" spans="4:6" ht="15" customHeight="1" x14ac:dyDescent="0.35">
      <c r="D270" s="20"/>
      <c r="F270" s="20"/>
    </row>
    <row r="271" spans="4:6" ht="15" customHeight="1" x14ac:dyDescent="0.35">
      <c r="D271" s="20"/>
      <c r="F271" s="20"/>
    </row>
    <row r="272" spans="4:6" ht="15" customHeight="1" x14ac:dyDescent="0.35">
      <c r="D272" s="20"/>
      <c r="F272" s="20"/>
    </row>
    <row r="273" spans="4:6" ht="15" customHeight="1" x14ac:dyDescent="0.35">
      <c r="D273" s="20"/>
      <c r="F273" s="20"/>
    </row>
    <row r="274" spans="4:6" ht="15" customHeight="1" x14ac:dyDescent="0.35">
      <c r="D274" s="20"/>
      <c r="F274" s="20"/>
    </row>
    <row r="275" spans="4:6" ht="15" customHeight="1" x14ac:dyDescent="0.35">
      <c r="D275" s="20"/>
      <c r="F275" s="20"/>
    </row>
    <row r="276" spans="4:6" ht="15" customHeight="1" x14ac:dyDescent="0.35">
      <c r="D276" s="20"/>
      <c r="F276" s="20"/>
    </row>
    <row r="277" spans="4:6" ht="15" customHeight="1" x14ac:dyDescent="0.35">
      <c r="D277" s="20"/>
      <c r="F277" s="20"/>
    </row>
    <row r="278" spans="4:6" ht="15" customHeight="1" x14ac:dyDescent="0.35">
      <c r="D278" s="20"/>
      <c r="F278" s="20"/>
    </row>
    <row r="279" spans="4:6" ht="15" customHeight="1" x14ac:dyDescent="0.35">
      <c r="D279" s="20"/>
      <c r="F279" s="20"/>
    </row>
    <row r="280" spans="4:6" ht="15" customHeight="1" x14ac:dyDescent="0.35">
      <c r="D280" s="20"/>
      <c r="F280" s="20"/>
    </row>
    <row r="281" spans="4:6" ht="15" customHeight="1" x14ac:dyDescent="0.35">
      <c r="D281" s="20"/>
      <c r="F281" s="20"/>
    </row>
    <row r="282" spans="4:6" ht="15" customHeight="1" x14ac:dyDescent="0.35">
      <c r="D282" s="20"/>
      <c r="F282" s="20"/>
    </row>
    <row r="283" spans="4:6" ht="15" customHeight="1" x14ac:dyDescent="0.35">
      <c r="D283" s="20"/>
      <c r="F283" s="20"/>
    </row>
    <row r="284" spans="4:6" ht="15" customHeight="1" x14ac:dyDescent="0.35">
      <c r="D284" s="20"/>
      <c r="F284" s="20"/>
    </row>
    <row r="285" spans="4:6" ht="15" customHeight="1" x14ac:dyDescent="0.35">
      <c r="D285" s="20"/>
      <c r="F285" s="20"/>
    </row>
    <row r="286" spans="4:6" ht="15" customHeight="1" x14ac:dyDescent="0.35">
      <c r="D286" s="20"/>
      <c r="F286" s="20"/>
    </row>
    <row r="287" spans="4:6" ht="15" customHeight="1" x14ac:dyDescent="0.35">
      <c r="D287" s="20"/>
      <c r="F287" s="20"/>
    </row>
    <row r="288" spans="4:6" ht="15" customHeight="1" x14ac:dyDescent="0.35">
      <c r="D288" s="20"/>
      <c r="F288" s="20"/>
    </row>
    <row r="289" spans="4:6" ht="15" customHeight="1" x14ac:dyDescent="0.35">
      <c r="D289" s="20"/>
      <c r="F289" s="20"/>
    </row>
    <row r="290" spans="4:6" ht="15" customHeight="1" x14ac:dyDescent="0.35">
      <c r="D290" s="20"/>
      <c r="F290" s="20"/>
    </row>
    <row r="291" spans="4:6" ht="15" customHeight="1" x14ac:dyDescent="0.35">
      <c r="D291" s="20"/>
      <c r="F291" s="20"/>
    </row>
    <row r="292" spans="4:6" ht="15" customHeight="1" x14ac:dyDescent="0.35">
      <c r="D292" s="20"/>
      <c r="F292" s="20"/>
    </row>
    <row r="293" spans="4:6" ht="15" customHeight="1" x14ac:dyDescent="0.35">
      <c r="D293" s="20"/>
      <c r="F293" s="20"/>
    </row>
    <row r="294" spans="4:6" ht="15" customHeight="1" x14ac:dyDescent="0.35">
      <c r="D294" s="20"/>
      <c r="F294" s="20"/>
    </row>
    <row r="295" spans="4:6" ht="15" customHeight="1" x14ac:dyDescent="0.35">
      <c r="D295" s="20"/>
      <c r="F295" s="20"/>
    </row>
    <row r="296" spans="4:6" ht="15" customHeight="1" x14ac:dyDescent="0.35">
      <c r="D296" s="20"/>
      <c r="F296" s="20"/>
    </row>
    <row r="297" spans="4:6" ht="15" customHeight="1" x14ac:dyDescent="0.35">
      <c r="D297" s="20"/>
      <c r="F297" s="20"/>
    </row>
    <row r="298" spans="4:6" ht="15" customHeight="1" x14ac:dyDescent="0.35">
      <c r="D298" s="20"/>
      <c r="F298" s="20"/>
    </row>
    <row r="299" spans="4:6" ht="15" customHeight="1" x14ac:dyDescent="0.35">
      <c r="D299" s="20"/>
      <c r="F299" s="20"/>
    </row>
    <row r="300" spans="4:6" ht="15" customHeight="1" x14ac:dyDescent="0.35">
      <c r="D300" s="20"/>
      <c r="F300" s="20"/>
    </row>
    <row r="301" spans="4:6" ht="15" customHeight="1" x14ac:dyDescent="0.35">
      <c r="D301" s="20"/>
      <c r="F301" s="20"/>
    </row>
    <row r="302" spans="4:6" ht="15" customHeight="1" x14ac:dyDescent="0.35">
      <c r="D302" s="20"/>
      <c r="F302" s="20"/>
    </row>
    <row r="303" spans="4:6" ht="15" customHeight="1" x14ac:dyDescent="0.35">
      <c r="D303" s="20"/>
      <c r="F303" s="20"/>
    </row>
    <row r="304" spans="4:6" ht="15" customHeight="1" x14ac:dyDescent="0.35">
      <c r="D304" s="20"/>
      <c r="F304" s="20"/>
    </row>
    <row r="305" spans="4:6" ht="15" customHeight="1" x14ac:dyDescent="0.35">
      <c r="D305" s="20"/>
      <c r="F305" s="20"/>
    </row>
    <row r="306" spans="4:6" ht="15" customHeight="1" x14ac:dyDescent="0.35">
      <c r="D306" s="20"/>
      <c r="F306" s="20"/>
    </row>
    <row r="307" spans="4:6" ht="15" customHeight="1" x14ac:dyDescent="0.35">
      <c r="D307" s="20"/>
      <c r="F307" s="20"/>
    </row>
    <row r="308" spans="4:6" ht="15" customHeight="1" x14ac:dyDescent="0.35">
      <c r="D308" s="20"/>
      <c r="F308" s="20"/>
    </row>
    <row r="309" spans="4:6" ht="15" customHeight="1" x14ac:dyDescent="0.35">
      <c r="D309" s="20"/>
      <c r="F309" s="20"/>
    </row>
    <row r="310" spans="4:6" ht="15" customHeight="1" x14ac:dyDescent="0.35">
      <c r="D310" s="20"/>
      <c r="F310" s="20"/>
    </row>
    <row r="311" spans="4:6" ht="15" customHeight="1" x14ac:dyDescent="0.35">
      <c r="D311" s="20"/>
      <c r="F311" s="20"/>
    </row>
    <row r="312" spans="4:6" ht="15" customHeight="1" x14ac:dyDescent="0.35">
      <c r="D312" s="20"/>
      <c r="F312" s="20"/>
    </row>
    <row r="313" spans="4:6" ht="15" customHeight="1" x14ac:dyDescent="0.35">
      <c r="D313" s="20"/>
      <c r="F313" s="20"/>
    </row>
    <row r="314" spans="4:6" ht="15" customHeight="1" x14ac:dyDescent="0.35">
      <c r="D314" s="20"/>
      <c r="F314" s="20"/>
    </row>
    <row r="315" spans="4:6" ht="15" customHeight="1" x14ac:dyDescent="0.35">
      <c r="D315" s="20"/>
      <c r="F315" s="20"/>
    </row>
    <row r="316" spans="4:6" ht="15" customHeight="1" x14ac:dyDescent="0.35">
      <c r="D316" s="20"/>
      <c r="F316" s="20"/>
    </row>
    <row r="317" spans="4:6" ht="15" customHeight="1" x14ac:dyDescent="0.35">
      <c r="D317" s="20"/>
      <c r="F317" s="20"/>
    </row>
    <row r="318" spans="4:6" ht="15" customHeight="1" x14ac:dyDescent="0.35">
      <c r="D318" s="20"/>
      <c r="F318" s="20"/>
    </row>
    <row r="319" spans="4:6" ht="15" customHeight="1" x14ac:dyDescent="0.35">
      <c r="D319" s="20"/>
      <c r="F319" s="20"/>
    </row>
    <row r="320" spans="4:6" ht="15" customHeight="1" x14ac:dyDescent="0.35">
      <c r="D320" s="20"/>
      <c r="F320" s="20"/>
    </row>
    <row r="321" spans="4:6" ht="15" customHeight="1" x14ac:dyDescent="0.35">
      <c r="D321" s="20"/>
      <c r="F321" s="20"/>
    </row>
    <row r="322" spans="4:6" ht="15" customHeight="1" x14ac:dyDescent="0.35">
      <c r="D322" s="20"/>
      <c r="F322" s="20"/>
    </row>
    <row r="323" spans="4:6" ht="15" customHeight="1" x14ac:dyDescent="0.35">
      <c r="D323" s="20"/>
      <c r="F323" s="20"/>
    </row>
    <row r="324" spans="4:6" ht="15" customHeight="1" x14ac:dyDescent="0.35">
      <c r="D324" s="20"/>
      <c r="F324" s="20"/>
    </row>
    <row r="325" spans="4:6" ht="15" customHeight="1" x14ac:dyDescent="0.35">
      <c r="D325" s="20"/>
      <c r="F325" s="20"/>
    </row>
    <row r="326" spans="4:6" ht="15" customHeight="1" x14ac:dyDescent="0.35">
      <c r="D326" s="20"/>
      <c r="F326" s="20"/>
    </row>
    <row r="327" spans="4:6" ht="15" customHeight="1" x14ac:dyDescent="0.35">
      <c r="D327" s="20"/>
      <c r="F327" s="20"/>
    </row>
    <row r="328" spans="4:6" ht="15" customHeight="1" x14ac:dyDescent="0.35">
      <c r="D328" s="20"/>
      <c r="F328" s="20"/>
    </row>
    <row r="329" spans="4:6" ht="15" customHeight="1" x14ac:dyDescent="0.35">
      <c r="D329" s="20"/>
      <c r="F329" s="20"/>
    </row>
    <row r="330" spans="4:6" ht="15" customHeight="1" x14ac:dyDescent="0.35">
      <c r="D330" s="20"/>
      <c r="F330" s="20"/>
    </row>
    <row r="331" spans="4:6" ht="15" customHeight="1" x14ac:dyDescent="0.35">
      <c r="D331" s="20"/>
      <c r="F331" s="20"/>
    </row>
    <row r="332" spans="4:6" ht="15" customHeight="1" x14ac:dyDescent="0.35">
      <c r="D332" s="20"/>
      <c r="F332" s="20"/>
    </row>
    <row r="333" spans="4:6" ht="15" customHeight="1" x14ac:dyDescent="0.35">
      <c r="D333" s="20"/>
      <c r="F333" s="20"/>
    </row>
    <row r="334" spans="4:6" ht="15" customHeight="1" x14ac:dyDescent="0.35">
      <c r="D334" s="20"/>
      <c r="F334" s="20"/>
    </row>
    <row r="335" spans="4:6" ht="15" customHeight="1" x14ac:dyDescent="0.35">
      <c r="D335" s="20"/>
      <c r="F335" s="20"/>
    </row>
    <row r="336" spans="4:6" ht="15" customHeight="1" x14ac:dyDescent="0.35">
      <c r="D336" s="20"/>
      <c r="F336" s="20"/>
    </row>
    <row r="337" spans="4:6" ht="15" customHeight="1" x14ac:dyDescent="0.35">
      <c r="D337" s="20"/>
      <c r="F337" s="20"/>
    </row>
    <row r="338" spans="4:6" ht="15" customHeight="1" x14ac:dyDescent="0.35">
      <c r="D338" s="20"/>
      <c r="F338" s="20"/>
    </row>
    <row r="339" spans="4:6" ht="15" customHeight="1" x14ac:dyDescent="0.35">
      <c r="D339" s="20"/>
      <c r="F339" s="20"/>
    </row>
    <row r="340" spans="4:6" ht="15" customHeight="1" x14ac:dyDescent="0.35">
      <c r="D340" s="20"/>
      <c r="F340" s="20"/>
    </row>
    <row r="341" spans="4:6" ht="15" customHeight="1" x14ac:dyDescent="0.35">
      <c r="D341" s="20"/>
      <c r="F341" s="20"/>
    </row>
    <row r="342" spans="4:6" ht="15" customHeight="1" x14ac:dyDescent="0.35">
      <c r="D342" s="20"/>
      <c r="F342" s="20"/>
    </row>
    <row r="343" spans="4:6" ht="15" customHeight="1" x14ac:dyDescent="0.35">
      <c r="D343" s="20"/>
      <c r="F343" s="20"/>
    </row>
    <row r="344" spans="4:6" ht="15" customHeight="1" x14ac:dyDescent="0.35">
      <c r="D344" s="20"/>
      <c r="F344" s="20"/>
    </row>
    <row r="345" spans="4:6" ht="15" customHeight="1" x14ac:dyDescent="0.35">
      <c r="D345" s="20"/>
      <c r="F345" s="20"/>
    </row>
    <row r="346" spans="4:6" ht="15" customHeight="1" x14ac:dyDescent="0.35">
      <c r="D346" s="20"/>
      <c r="F346" s="20"/>
    </row>
    <row r="347" spans="4:6" ht="15" customHeight="1" x14ac:dyDescent="0.35">
      <c r="D347" s="20"/>
      <c r="F347" s="20"/>
    </row>
    <row r="348" spans="4:6" ht="15" customHeight="1" x14ac:dyDescent="0.35">
      <c r="D348" s="20"/>
      <c r="F348" s="20"/>
    </row>
    <row r="349" spans="4:6" ht="15" customHeight="1" x14ac:dyDescent="0.35">
      <c r="D349" s="20"/>
      <c r="F349" s="20"/>
    </row>
    <row r="350" spans="4:6" ht="15" customHeight="1" x14ac:dyDescent="0.35">
      <c r="D350" s="20"/>
      <c r="F350" s="20"/>
    </row>
    <row r="351" spans="4:6" ht="15" customHeight="1" x14ac:dyDescent="0.35">
      <c r="D351" s="20"/>
      <c r="F351" s="20"/>
    </row>
    <row r="352" spans="4:6" ht="15" customHeight="1" x14ac:dyDescent="0.35">
      <c r="D352" s="20"/>
      <c r="F352" s="20"/>
    </row>
    <row r="353" spans="4:6" ht="15" customHeight="1" x14ac:dyDescent="0.35">
      <c r="D353" s="20"/>
      <c r="F353" s="20"/>
    </row>
    <row r="354" spans="4:6" ht="15" customHeight="1" x14ac:dyDescent="0.35">
      <c r="D354" s="20"/>
      <c r="F354" s="20"/>
    </row>
    <row r="355" spans="4:6" ht="15" customHeight="1" x14ac:dyDescent="0.35">
      <c r="D355" s="20"/>
      <c r="F355" s="20"/>
    </row>
    <row r="356" spans="4:6" ht="15" customHeight="1" x14ac:dyDescent="0.35">
      <c r="D356" s="20"/>
      <c r="F356" s="20"/>
    </row>
    <row r="357" spans="4:6" ht="15" customHeight="1" x14ac:dyDescent="0.35">
      <c r="D357" s="20"/>
      <c r="F357" s="20"/>
    </row>
    <row r="358" spans="4:6" ht="15" customHeight="1" x14ac:dyDescent="0.35">
      <c r="D358" s="20"/>
      <c r="F358" s="20"/>
    </row>
    <row r="359" spans="4:6" ht="15" customHeight="1" x14ac:dyDescent="0.35">
      <c r="D359" s="20"/>
      <c r="F359" s="20"/>
    </row>
    <row r="360" spans="4:6" ht="15" customHeight="1" x14ac:dyDescent="0.35">
      <c r="D360" s="20"/>
      <c r="F360" s="20"/>
    </row>
    <row r="361" spans="4:6" ht="15" customHeight="1" x14ac:dyDescent="0.35">
      <c r="D361" s="20"/>
      <c r="F361" s="20"/>
    </row>
    <row r="362" spans="4:6" ht="15" customHeight="1" x14ac:dyDescent="0.35">
      <c r="D362" s="20"/>
      <c r="F362" s="20"/>
    </row>
    <row r="363" spans="4:6" ht="15" customHeight="1" x14ac:dyDescent="0.35">
      <c r="D363" s="20"/>
      <c r="F363" s="20"/>
    </row>
    <row r="364" spans="4:6" ht="15" customHeight="1" x14ac:dyDescent="0.35">
      <c r="D364" s="20"/>
      <c r="F364" s="20"/>
    </row>
    <row r="365" spans="4:6" ht="15" customHeight="1" x14ac:dyDescent="0.35">
      <c r="D365" s="20"/>
      <c r="F365" s="20"/>
    </row>
    <row r="366" spans="4:6" ht="15" customHeight="1" x14ac:dyDescent="0.35">
      <c r="D366" s="20"/>
      <c r="F366" s="20"/>
    </row>
    <row r="367" spans="4:6" ht="15" customHeight="1" x14ac:dyDescent="0.35">
      <c r="D367" s="20"/>
      <c r="F367" s="20"/>
    </row>
    <row r="368" spans="4:6" ht="15" customHeight="1" x14ac:dyDescent="0.35">
      <c r="D368" s="20"/>
      <c r="F368" s="20"/>
    </row>
    <row r="369" spans="4:6" ht="15" customHeight="1" x14ac:dyDescent="0.35">
      <c r="D369" s="20"/>
      <c r="F369" s="20"/>
    </row>
    <row r="370" spans="4:6" ht="15" customHeight="1" x14ac:dyDescent="0.35">
      <c r="D370" s="20"/>
      <c r="F370" s="20"/>
    </row>
    <row r="371" spans="4:6" ht="15" customHeight="1" x14ac:dyDescent="0.35">
      <c r="D371" s="20"/>
      <c r="F371" s="20"/>
    </row>
    <row r="372" spans="4:6" ht="15" customHeight="1" x14ac:dyDescent="0.35">
      <c r="D372" s="20"/>
      <c r="F372" s="20"/>
    </row>
    <row r="373" spans="4:6" ht="15" customHeight="1" x14ac:dyDescent="0.35">
      <c r="D373" s="20"/>
      <c r="F373" s="20"/>
    </row>
    <row r="374" spans="4:6" ht="15" customHeight="1" x14ac:dyDescent="0.35">
      <c r="D374" s="20"/>
      <c r="F374" s="20"/>
    </row>
    <row r="375" spans="4:6" ht="15" customHeight="1" x14ac:dyDescent="0.35">
      <c r="D375" s="20"/>
      <c r="F375" s="20"/>
    </row>
    <row r="376" spans="4:6" ht="15" customHeight="1" x14ac:dyDescent="0.35">
      <c r="D376" s="20"/>
      <c r="F376" s="20"/>
    </row>
    <row r="377" spans="4:6" ht="15" customHeight="1" x14ac:dyDescent="0.35">
      <c r="D377" s="20"/>
      <c r="F377" s="20"/>
    </row>
    <row r="378" spans="4:6" ht="15" customHeight="1" x14ac:dyDescent="0.35">
      <c r="D378" s="20"/>
      <c r="F378" s="20"/>
    </row>
    <row r="379" spans="4:6" ht="15" customHeight="1" x14ac:dyDescent="0.35">
      <c r="D379" s="20"/>
      <c r="F379" s="20"/>
    </row>
    <row r="380" spans="4:6" ht="15" customHeight="1" x14ac:dyDescent="0.35">
      <c r="D380" s="20"/>
      <c r="F380" s="20"/>
    </row>
    <row r="381" spans="4:6" ht="15" customHeight="1" x14ac:dyDescent="0.35">
      <c r="D381" s="20"/>
      <c r="F381" s="20"/>
    </row>
    <row r="382" spans="4:6" ht="15" customHeight="1" x14ac:dyDescent="0.35">
      <c r="D382" s="20"/>
      <c r="F382" s="20"/>
    </row>
    <row r="383" spans="4:6" ht="15" customHeight="1" x14ac:dyDescent="0.35">
      <c r="D383" s="20"/>
      <c r="F383" s="20"/>
    </row>
    <row r="384" spans="4:6" ht="15" customHeight="1" x14ac:dyDescent="0.35">
      <c r="D384" s="20"/>
      <c r="F384" s="20"/>
    </row>
    <row r="385" spans="4:6" ht="15" customHeight="1" x14ac:dyDescent="0.35">
      <c r="D385" s="20"/>
      <c r="F385" s="20"/>
    </row>
    <row r="386" spans="4:6" ht="15" customHeight="1" x14ac:dyDescent="0.35">
      <c r="D386" s="20"/>
      <c r="F386" s="20"/>
    </row>
    <row r="387" spans="4:6" ht="15" customHeight="1" x14ac:dyDescent="0.35">
      <c r="D387" s="20"/>
      <c r="F387" s="20"/>
    </row>
    <row r="388" spans="4:6" ht="15" customHeight="1" x14ac:dyDescent="0.35">
      <c r="D388" s="20"/>
      <c r="F388" s="20"/>
    </row>
    <row r="389" spans="4:6" ht="15" customHeight="1" x14ac:dyDescent="0.35">
      <c r="D389" s="20"/>
      <c r="F389" s="20"/>
    </row>
    <row r="390" spans="4:6" ht="15" customHeight="1" x14ac:dyDescent="0.35">
      <c r="D390" s="20"/>
      <c r="F390" s="20"/>
    </row>
    <row r="391" spans="4:6" ht="15" customHeight="1" x14ac:dyDescent="0.35">
      <c r="D391" s="20"/>
      <c r="F391" s="20"/>
    </row>
    <row r="392" spans="4:6" ht="15" customHeight="1" x14ac:dyDescent="0.35">
      <c r="D392" s="20"/>
      <c r="F392" s="20"/>
    </row>
    <row r="393" spans="4:6" ht="15" customHeight="1" x14ac:dyDescent="0.35">
      <c r="D393" s="20"/>
      <c r="F393" s="20"/>
    </row>
    <row r="394" spans="4:6" ht="15" customHeight="1" x14ac:dyDescent="0.35">
      <c r="D394" s="20"/>
      <c r="F394" s="20"/>
    </row>
    <row r="395" spans="4:6" ht="15" customHeight="1" x14ac:dyDescent="0.35">
      <c r="D395" s="20"/>
      <c r="F395" s="20"/>
    </row>
    <row r="396" spans="4:6" ht="15" customHeight="1" x14ac:dyDescent="0.35">
      <c r="D396" s="20"/>
      <c r="F396" s="20"/>
    </row>
    <row r="397" spans="4:6" ht="15" customHeight="1" x14ac:dyDescent="0.35">
      <c r="D397" s="20"/>
      <c r="F397" s="20"/>
    </row>
    <row r="398" spans="4:6" ht="15" customHeight="1" x14ac:dyDescent="0.35">
      <c r="D398" s="20"/>
      <c r="F398" s="20"/>
    </row>
    <row r="399" spans="4:6" ht="15" customHeight="1" x14ac:dyDescent="0.35">
      <c r="D399" s="20"/>
      <c r="F399" s="20"/>
    </row>
    <row r="400" spans="4:6" ht="15" customHeight="1" x14ac:dyDescent="0.35">
      <c r="D400" s="20"/>
      <c r="F400" s="20"/>
    </row>
    <row r="401" spans="4:6" ht="15" customHeight="1" x14ac:dyDescent="0.35">
      <c r="D401" s="20"/>
      <c r="F401" s="20"/>
    </row>
    <row r="402" spans="4:6" ht="15" customHeight="1" x14ac:dyDescent="0.35">
      <c r="D402" s="20"/>
      <c r="F402" s="20"/>
    </row>
    <row r="403" spans="4:6" ht="15" customHeight="1" x14ac:dyDescent="0.35">
      <c r="D403" s="20"/>
      <c r="F403" s="20"/>
    </row>
    <row r="404" spans="4:6" ht="15" customHeight="1" x14ac:dyDescent="0.35">
      <c r="D404" s="20"/>
      <c r="F404" s="20"/>
    </row>
    <row r="405" spans="4:6" ht="15" customHeight="1" x14ac:dyDescent="0.35">
      <c r="D405" s="20"/>
      <c r="F405" s="20"/>
    </row>
    <row r="406" spans="4:6" ht="15" customHeight="1" x14ac:dyDescent="0.35">
      <c r="D406" s="20"/>
      <c r="F406" s="20"/>
    </row>
    <row r="407" spans="4:6" ht="15" customHeight="1" x14ac:dyDescent="0.35">
      <c r="D407" s="20"/>
      <c r="F407" s="20"/>
    </row>
    <row r="408" spans="4:6" ht="15" customHeight="1" x14ac:dyDescent="0.35">
      <c r="D408" s="20"/>
      <c r="F408" s="20"/>
    </row>
    <row r="409" spans="4:6" ht="15" customHeight="1" x14ac:dyDescent="0.35">
      <c r="D409" s="20"/>
      <c r="F409" s="20"/>
    </row>
    <row r="410" spans="4:6" ht="15" customHeight="1" x14ac:dyDescent="0.35">
      <c r="D410" s="20"/>
      <c r="F410" s="20"/>
    </row>
    <row r="411" spans="4:6" ht="15" customHeight="1" x14ac:dyDescent="0.35">
      <c r="D411" s="20"/>
      <c r="F411" s="20"/>
    </row>
    <row r="412" spans="4:6" ht="15" customHeight="1" x14ac:dyDescent="0.35">
      <c r="D412" s="20"/>
      <c r="F412" s="20"/>
    </row>
    <row r="413" spans="4:6" ht="15" customHeight="1" x14ac:dyDescent="0.35">
      <c r="D413" s="20"/>
      <c r="F413" s="20"/>
    </row>
    <row r="414" spans="4:6" ht="15" customHeight="1" x14ac:dyDescent="0.35">
      <c r="D414" s="20"/>
      <c r="F414" s="20"/>
    </row>
    <row r="415" spans="4:6" ht="15" customHeight="1" x14ac:dyDescent="0.35">
      <c r="D415" s="20"/>
      <c r="F415" s="20"/>
    </row>
    <row r="416" spans="4:6" ht="15" customHeight="1" x14ac:dyDescent="0.35">
      <c r="D416" s="20"/>
      <c r="F416" s="20"/>
    </row>
    <row r="417" spans="4:6" ht="15" customHeight="1" x14ac:dyDescent="0.35">
      <c r="D417" s="20"/>
      <c r="F417" s="20"/>
    </row>
    <row r="418" spans="4:6" ht="15" customHeight="1" x14ac:dyDescent="0.35">
      <c r="D418" s="20"/>
      <c r="F418" s="20"/>
    </row>
    <row r="419" spans="4:6" ht="15" customHeight="1" x14ac:dyDescent="0.35">
      <c r="D419" s="20"/>
      <c r="F419" s="20"/>
    </row>
    <row r="420" spans="4:6" ht="15" customHeight="1" x14ac:dyDescent="0.35">
      <c r="D420" s="20"/>
      <c r="F420" s="20"/>
    </row>
    <row r="421" spans="4:6" ht="15" customHeight="1" x14ac:dyDescent="0.35">
      <c r="D421" s="20"/>
      <c r="F421" s="20"/>
    </row>
    <row r="422" spans="4:6" ht="15" customHeight="1" x14ac:dyDescent="0.35">
      <c r="D422" s="20"/>
      <c r="F422" s="20"/>
    </row>
    <row r="423" spans="4:6" ht="15" customHeight="1" x14ac:dyDescent="0.35">
      <c r="D423" s="20"/>
      <c r="F423" s="20"/>
    </row>
    <row r="424" spans="4:6" ht="15" customHeight="1" x14ac:dyDescent="0.35">
      <c r="D424" s="20"/>
      <c r="F424" s="20"/>
    </row>
    <row r="425" spans="4:6" ht="15" customHeight="1" x14ac:dyDescent="0.35">
      <c r="D425" s="20"/>
      <c r="F425" s="20"/>
    </row>
    <row r="426" spans="4:6" ht="15" customHeight="1" x14ac:dyDescent="0.35">
      <c r="D426" s="20"/>
      <c r="F426" s="20"/>
    </row>
    <row r="427" spans="4:6" ht="15" customHeight="1" x14ac:dyDescent="0.35">
      <c r="D427" s="20"/>
      <c r="F427" s="20"/>
    </row>
    <row r="428" spans="4:6" ht="15" customHeight="1" x14ac:dyDescent="0.35">
      <c r="D428" s="20"/>
      <c r="F428" s="20"/>
    </row>
    <row r="429" spans="4:6" ht="15" customHeight="1" x14ac:dyDescent="0.35">
      <c r="D429" s="20"/>
      <c r="F429" s="20"/>
    </row>
    <row r="430" spans="4:6" ht="15" customHeight="1" x14ac:dyDescent="0.35">
      <c r="D430" s="20"/>
      <c r="F430" s="20"/>
    </row>
    <row r="431" spans="4:6" ht="15" customHeight="1" x14ac:dyDescent="0.35">
      <c r="D431" s="20"/>
      <c r="F431" s="20"/>
    </row>
    <row r="432" spans="4:6" ht="15" customHeight="1" x14ac:dyDescent="0.35">
      <c r="D432" s="20"/>
      <c r="F432" s="20"/>
    </row>
    <row r="433" spans="4:6" ht="15" customHeight="1" x14ac:dyDescent="0.35">
      <c r="D433" s="20"/>
      <c r="F433" s="20"/>
    </row>
    <row r="434" spans="4:6" ht="15" customHeight="1" x14ac:dyDescent="0.35">
      <c r="D434" s="20"/>
      <c r="F434" s="20"/>
    </row>
    <row r="435" spans="4:6" ht="15" customHeight="1" x14ac:dyDescent="0.35">
      <c r="D435" s="20"/>
      <c r="F435" s="20"/>
    </row>
    <row r="436" spans="4:6" ht="15" customHeight="1" x14ac:dyDescent="0.35">
      <c r="D436" s="20"/>
      <c r="F436" s="20"/>
    </row>
    <row r="437" spans="4:6" ht="15" customHeight="1" x14ac:dyDescent="0.35">
      <c r="D437" s="20"/>
      <c r="F437" s="20"/>
    </row>
    <row r="438" spans="4:6" ht="15" customHeight="1" x14ac:dyDescent="0.35">
      <c r="D438" s="20"/>
      <c r="F438" s="20"/>
    </row>
    <row r="439" spans="4:6" ht="15" customHeight="1" x14ac:dyDescent="0.35">
      <c r="D439" s="20"/>
      <c r="F439" s="20"/>
    </row>
    <row r="440" spans="4:6" ht="15" customHeight="1" x14ac:dyDescent="0.35">
      <c r="D440" s="20"/>
      <c r="F440" s="20"/>
    </row>
    <row r="441" spans="4:6" ht="15" customHeight="1" x14ac:dyDescent="0.35">
      <c r="D441" s="20"/>
      <c r="F441" s="20"/>
    </row>
    <row r="442" spans="4:6" ht="15" customHeight="1" x14ac:dyDescent="0.35">
      <c r="D442" s="20"/>
      <c r="F442" s="20"/>
    </row>
    <row r="443" spans="4:6" ht="15" customHeight="1" x14ac:dyDescent="0.35">
      <c r="D443" s="20"/>
      <c r="F443" s="20"/>
    </row>
    <row r="444" spans="4:6" ht="15" customHeight="1" x14ac:dyDescent="0.35">
      <c r="D444" s="20"/>
      <c r="F444" s="20"/>
    </row>
    <row r="445" spans="4:6" ht="15" customHeight="1" x14ac:dyDescent="0.35">
      <c r="D445" s="20"/>
      <c r="F445" s="20"/>
    </row>
    <row r="446" spans="4:6" ht="15" customHeight="1" x14ac:dyDescent="0.35">
      <c r="D446" s="20"/>
      <c r="F446" s="20"/>
    </row>
    <row r="447" spans="4:6" ht="15" customHeight="1" x14ac:dyDescent="0.35">
      <c r="D447" s="20"/>
      <c r="F447" s="20"/>
    </row>
    <row r="448" spans="4:6" ht="15" customHeight="1" x14ac:dyDescent="0.35">
      <c r="D448" s="20"/>
      <c r="F448" s="20"/>
    </row>
    <row r="449" spans="4:6" ht="15" customHeight="1" x14ac:dyDescent="0.35">
      <c r="D449" s="20"/>
      <c r="F449" s="20"/>
    </row>
    <row r="450" spans="4:6" ht="15" customHeight="1" x14ac:dyDescent="0.35">
      <c r="D450" s="20"/>
      <c r="F450" s="20"/>
    </row>
    <row r="451" spans="4:6" ht="15" customHeight="1" x14ac:dyDescent="0.35">
      <c r="D451" s="20"/>
      <c r="F451" s="20"/>
    </row>
    <row r="452" spans="4:6" ht="15" customHeight="1" x14ac:dyDescent="0.35">
      <c r="D452" s="20"/>
      <c r="F452" s="20"/>
    </row>
    <row r="453" spans="4:6" ht="15" customHeight="1" x14ac:dyDescent="0.35">
      <c r="D453" s="20"/>
      <c r="F453" s="20"/>
    </row>
    <row r="454" spans="4:6" ht="15" customHeight="1" x14ac:dyDescent="0.35">
      <c r="D454" s="20"/>
      <c r="F454" s="20"/>
    </row>
    <row r="455" spans="4:6" ht="15" customHeight="1" x14ac:dyDescent="0.35">
      <c r="D455" s="20"/>
      <c r="F455" s="20"/>
    </row>
    <row r="456" spans="4:6" ht="15" customHeight="1" x14ac:dyDescent="0.35">
      <c r="D456" s="20"/>
      <c r="F456" s="20"/>
    </row>
    <row r="457" spans="4:6" ht="15" customHeight="1" x14ac:dyDescent="0.35">
      <c r="D457" s="20"/>
      <c r="F457" s="20"/>
    </row>
    <row r="458" spans="4:6" ht="15" customHeight="1" x14ac:dyDescent="0.35">
      <c r="D458" s="20"/>
      <c r="F458" s="20"/>
    </row>
    <row r="459" spans="4:6" ht="15" customHeight="1" x14ac:dyDescent="0.35">
      <c r="D459" s="20"/>
      <c r="F459" s="20"/>
    </row>
    <row r="460" spans="4:6" ht="15" customHeight="1" x14ac:dyDescent="0.35">
      <c r="D460" s="20"/>
      <c r="F460" s="20"/>
    </row>
    <row r="461" spans="4:6" ht="15" customHeight="1" x14ac:dyDescent="0.35">
      <c r="D461" s="20"/>
      <c r="F461" s="20"/>
    </row>
    <row r="462" spans="4:6" ht="15" customHeight="1" x14ac:dyDescent="0.35">
      <c r="D462" s="20"/>
      <c r="F462" s="20"/>
    </row>
    <row r="463" spans="4:6" ht="15" customHeight="1" x14ac:dyDescent="0.35">
      <c r="D463" s="20"/>
      <c r="F463" s="20"/>
    </row>
    <row r="464" spans="4:6" ht="15" customHeight="1" x14ac:dyDescent="0.35">
      <c r="D464" s="20"/>
      <c r="F464" s="20"/>
    </row>
    <row r="465" spans="4:6" ht="15" customHeight="1" x14ac:dyDescent="0.35">
      <c r="D465" s="20"/>
      <c r="F465" s="20"/>
    </row>
    <row r="466" spans="4:6" ht="15" customHeight="1" x14ac:dyDescent="0.35">
      <c r="D466" s="20"/>
      <c r="F466" s="20"/>
    </row>
    <row r="467" spans="4:6" ht="15" customHeight="1" x14ac:dyDescent="0.35">
      <c r="D467" s="20"/>
      <c r="F467" s="20"/>
    </row>
    <row r="468" spans="4:6" ht="15" customHeight="1" x14ac:dyDescent="0.35">
      <c r="D468" s="20"/>
      <c r="F468" s="20"/>
    </row>
    <row r="469" spans="4:6" ht="15" customHeight="1" x14ac:dyDescent="0.35">
      <c r="D469" s="20"/>
      <c r="F469" s="20"/>
    </row>
    <row r="470" spans="4:6" ht="15" customHeight="1" x14ac:dyDescent="0.35">
      <c r="D470" s="20"/>
      <c r="F470" s="20"/>
    </row>
    <row r="471" spans="4:6" ht="15" customHeight="1" x14ac:dyDescent="0.35">
      <c r="D471" s="20"/>
      <c r="F471" s="20"/>
    </row>
    <row r="472" spans="4:6" ht="15" customHeight="1" x14ac:dyDescent="0.35">
      <c r="D472" s="20"/>
      <c r="F472" s="20"/>
    </row>
    <row r="473" spans="4:6" ht="15" customHeight="1" x14ac:dyDescent="0.35">
      <c r="D473" s="20"/>
      <c r="F473" s="20"/>
    </row>
    <row r="474" spans="4:6" ht="15" customHeight="1" x14ac:dyDescent="0.35">
      <c r="D474" s="20"/>
      <c r="F474" s="20"/>
    </row>
    <row r="475" spans="4:6" ht="15" customHeight="1" x14ac:dyDescent="0.35">
      <c r="D475" s="20"/>
      <c r="F475" s="20"/>
    </row>
    <row r="476" spans="4:6" ht="15" customHeight="1" x14ac:dyDescent="0.35">
      <c r="D476" s="20"/>
      <c r="F476" s="20"/>
    </row>
    <row r="477" spans="4:6" ht="15" customHeight="1" x14ac:dyDescent="0.35">
      <c r="D477" s="20"/>
      <c r="F477" s="20"/>
    </row>
    <row r="478" spans="4:6" ht="15" customHeight="1" x14ac:dyDescent="0.35">
      <c r="D478" s="20"/>
      <c r="F478" s="20"/>
    </row>
    <row r="479" spans="4:6" ht="15" customHeight="1" x14ac:dyDescent="0.35">
      <c r="D479" s="20"/>
      <c r="F479" s="20"/>
    </row>
    <row r="480" spans="4:6" ht="15" customHeight="1" x14ac:dyDescent="0.35">
      <c r="D480" s="20"/>
      <c r="F480" s="20"/>
    </row>
    <row r="481" spans="4:6" ht="15" customHeight="1" x14ac:dyDescent="0.35">
      <c r="D481" s="20"/>
      <c r="F481" s="20"/>
    </row>
    <row r="482" spans="4:6" ht="15" customHeight="1" x14ac:dyDescent="0.35">
      <c r="D482" s="20"/>
      <c r="F482" s="20"/>
    </row>
    <row r="483" spans="4:6" ht="15" customHeight="1" x14ac:dyDescent="0.35">
      <c r="D483" s="20"/>
      <c r="F483" s="20"/>
    </row>
    <row r="484" spans="4:6" ht="15" customHeight="1" x14ac:dyDescent="0.35">
      <c r="D484" s="20"/>
      <c r="F484" s="20"/>
    </row>
    <row r="485" spans="4:6" ht="15" customHeight="1" x14ac:dyDescent="0.35">
      <c r="D485" s="20"/>
      <c r="F485" s="20"/>
    </row>
    <row r="486" spans="4:6" ht="15" customHeight="1" x14ac:dyDescent="0.35">
      <c r="D486" s="20"/>
      <c r="F486" s="20"/>
    </row>
    <row r="487" spans="4:6" ht="15" customHeight="1" x14ac:dyDescent="0.35">
      <c r="D487" s="20"/>
      <c r="F487" s="20"/>
    </row>
    <row r="488" spans="4:6" ht="15" customHeight="1" x14ac:dyDescent="0.35">
      <c r="D488" s="20"/>
      <c r="F488" s="20"/>
    </row>
    <row r="489" spans="4:6" ht="15" customHeight="1" x14ac:dyDescent="0.35">
      <c r="D489" s="20"/>
      <c r="F489" s="20"/>
    </row>
    <row r="490" spans="4:6" ht="15" customHeight="1" x14ac:dyDescent="0.35">
      <c r="D490" s="20"/>
      <c r="F490" s="20"/>
    </row>
    <row r="491" spans="4:6" ht="15" customHeight="1" x14ac:dyDescent="0.35">
      <c r="D491" s="20"/>
      <c r="F491" s="20"/>
    </row>
    <row r="492" spans="4:6" ht="15" customHeight="1" x14ac:dyDescent="0.35">
      <c r="D492" s="20"/>
      <c r="F492" s="20"/>
    </row>
    <row r="493" spans="4:6" ht="15" customHeight="1" x14ac:dyDescent="0.35">
      <c r="D493" s="20"/>
      <c r="F493" s="20"/>
    </row>
    <row r="494" spans="4:6" ht="15" customHeight="1" x14ac:dyDescent="0.35">
      <c r="D494" s="20"/>
      <c r="F494" s="20"/>
    </row>
    <row r="495" spans="4:6" ht="15" customHeight="1" x14ac:dyDescent="0.35">
      <c r="D495" s="20"/>
      <c r="F495" s="20"/>
    </row>
    <row r="496" spans="4:6" ht="15" customHeight="1" x14ac:dyDescent="0.35">
      <c r="D496" s="20"/>
      <c r="F496" s="20"/>
    </row>
    <row r="497" spans="4:6" ht="15" customHeight="1" x14ac:dyDescent="0.35">
      <c r="D497" s="20"/>
      <c r="F497" s="20"/>
    </row>
    <row r="498" spans="4:6" ht="15" customHeight="1" x14ac:dyDescent="0.35">
      <c r="D498" s="20"/>
      <c r="F498" s="20"/>
    </row>
    <row r="499" spans="4:6" ht="15" customHeight="1" x14ac:dyDescent="0.35">
      <c r="D499" s="20"/>
      <c r="F499" s="20"/>
    </row>
    <row r="500" spans="4:6" ht="15" customHeight="1" x14ac:dyDescent="0.35">
      <c r="D500" s="20"/>
      <c r="F500" s="20"/>
    </row>
    <row r="501" spans="4:6" ht="15" customHeight="1" x14ac:dyDescent="0.35">
      <c r="D501" s="20"/>
      <c r="F501" s="20"/>
    </row>
    <row r="502" spans="4:6" ht="15" customHeight="1" x14ac:dyDescent="0.35">
      <c r="D502" s="20"/>
      <c r="F502" s="20"/>
    </row>
    <row r="503" spans="4:6" ht="15" customHeight="1" x14ac:dyDescent="0.35">
      <c r="D503" s="20"/>
      <c r="F503" s="20"/>
    </row>
    <row r="504" spans="4:6" ht="15" customHeight="1" x14ac:dyDescent="0.35">
      <c r="D504" s="20"/>
      <c r="F504" s="20"/>
    </row>
    <row r="505" spans="4:6" ht="15" customHeight="1" x14ac:dyDescent="0.35">
      <c r="D505" s="20"/>
      <c r="F505" s="20"/>
    </row>
  </sheetData>
  <mergeCells count="2">
    <mergeCell ref="A1:P1"/>
    <mergeCell ref="A2:P2"/>
  </mergeCells>
  <conditionalFormatting sqref="A6:A505">
    <cfRule type="duplicateValues" dxfId="1" priority="2"/>
  </conditionalFormatting>
  <pageMargins left="0.7" right="0.7" top="0.75" bottom="0.75"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8"/>
  <sheetViews>
    <sheetView showGridLines="0" tabSelected="1" zoomScaleNormal="100" workbookViewId="0">
      <selection sqref="A1:C1"/>
    </sheetView>
  </sheetViews>
  <sheetFormatPr defaultColWidth="8.6328125" defaultRowHeight="12.5" x14ac:dyDescent="0.25"/>
  <cols>
    <col min="1" max="1" width="26" customWidth="1"/>
    <col min="2" max="4" width="30" customWidth="1"/>
    <col min="5" max="8" width="6" customWidth="1"/>
  </cols>
  <sheetData>
    <row r="1" spans="1:6" ht="30" customHeight="1" x14ac:dyDescent="0.25">
      <c r="A1" s="59" t="s">
        <v>405</v>
      </c>
      <c r="B1" s="38"/>
      <c r="C1" s="38"/>
    </row>
    <row r="3" spans="1:6" ht="19.5" customHeight="1" x14ac:dyDescent="0.25">
      <c r="A3" s="26" t="s">
        <v>406</v>
      </c>
      <c r="B3" s="27">
        <f>COUNTA(NHAP_LIEU!$A$14:$A$513)</f>
        <v>171</v>
      </c>
    </row>
    <row r="4" spans="1:6" ht="19.5" customHeight="1" x14ac:dyDescent="0.25">
      <c r="A4" s="26" t="s">
        <v>407</v>
      </c>
      <c r="B4" s="27">
        <f>COUNTA(NHAP_LIEU!$A$1026:$A$1525)</f>
        <v>2</v>
      </c>
    </row>
    <row r="5" spans="1:6" ht="19.5" customHeight="1" x14ac:dyDescent="0.25">
      <c r="A5" s="26" t="s">
        <v>408</v>
      </c>
      <c r="B5" s="27">
        <f>COUNTIF(NHAP_LIEU!$B$520:$B$1019,"Có")</f>
        <v>1</v>
      </c>
    </row>
    <row r="6" spans="1:6" ht="15" customHeight="1" x14ac:dyDescent="0.3">
      <c r="A6" s="28"/>
    </row>
    <row r="7" spans="1:6" ht="15" customHeight="1" x14ac:dyDescent="0.25">
      <c r="A7" s="61" t="s">
        <v>409</v>
      </c>
      <c r="B7" s="38"/>
      <c r="C7" s="38"/>
    </row>
    <row r="8" spans="1:6" ht="18" customHeight="1" x14ac:dyDescent="0.25">
      <c r="A8" s="58" t="s">
        <v>410</v>
      </c>
      <c r="B8" s="38"/>
      <c r="C8" s="38"/>
    </row>
    <row r="9" spans="1:6" ht="18" customHeight="1" x14ac:dyDescent="0.25">
      <c r="A9" s="58" t="s">
        <v>411</v>
      </c>
      <c r="B9" s="38"/>
      <c r="C9" s="38"/>
    </row>
    <row r="10" spans="1:6" ht="18" customHeight="1" x14ac:dyDescent="0.3">
      <c r="A10" s="58" t="s">
        <v>412</v>
      </c>
      <c r="B10" s="38"/>
      <c r="C10" s="38"/>
      <c r="E10" s="29"/>
      <c r="F10" s="30"/>
    </row>
    <row r="11" spans="1:6" ht="18" customHeight="1" x14ac:dyDescent="0.3">
      <c r="A11" s="58" t="s">
        <v>413</v>
      </c>
      <c r="B11" s="38"/>
      <c r="C11" s="38"/>
      <c r="E11" s="29"/>
      <c r="F11" s="30"/>
    </row>
    <row r="12" spans="1:6" ht="18" customHeight="1" x14ac:dyDescent="0.3">
      <c r="A12" s="58" t="s">
        <v>414</v>
      </c>
      <c r="B12" s="38"/>
      <c r="C12" s="38"/>
      <c r="E12" s="29"/>
      <c r="F12" s="31"/>
    </row>
    <row r="13" spans="1:6" ht="15" customHeight="1" x14ac:dyDescent="0.3">
      <c r="A13" s="29"/>
      <c r="B13" s="32"/>
      <c r="E13" s="29"/>
      <c r="F13" s="30"/>
    </row>
    <row r="14" spans="1:6" ht="23.25" customHeight="1" x14ac:dyDescent="0.3">
      <c r="A14" s="60" t="s">
        <v>415</v>
      </c>
      <c r="B14" s="38"/>
      <c r="C14" s="38"/>
      <c r="E14" s="29"/>
      <c r="F14" s="30"/>
    </row>
    <row r="17" spans="1:1" ht="15" customHeight="1" x14ac:dyDescent="0.25">
      <c r="A17" s="33"/>
    </row>
    <row r="18" spans="1:1" ht="15" customHeight="1" x14ac:dyDescent="0.25"/>
    <row r="19" spans="1:1" ht="15" customHeight="1" x14ac:dyDescent="0.25"/>
    <row r="21" spans="1:1" ht="15" customHeight="1" x14ac:dyDescent="0.25">
      <c r="A21" s="34"/>
    </row>
    <row r="22" spans="1:1" ht="15" customHeight="1" x14ac:dyDescent="0.25"/>
    <row r="24" spans="1:1" ht="15" customHeight="1" x14ac:dyDescent="0.25">
      <c r="A24" s="30"/>
    </row>
    <row r="25" spans="1:1" ht="15" customHeight="1" x14ac:dyDescent="0.25"/>
    <row r="26" spans="1:1" ht="15" customHeight="1" x14ac:dyDescent="0.25"/>
    <row r="27" spans="1:1" ht="15" customHeight="1" x14ac:dyDescent="0.25"/>
    <row r="28" spans="1:1" ht="15" customHeight="1" x14ac:dyDescent="0.25"/>
  </sheetData>
  <mergeCells count="8">
    <mergeCell ref="A10:C10"/>
    <mergeCell ref="A11:C11"/>
    <mergeCell ref="A1:C1"/>
    <mergeCell ref="A8:C8"/>
    <mergeCell ref="A14:C14"/>
    <mergeCell ref="A9:C9"/>
    <mergeCell ref="A12:C12"/>
    <mergeCell ref="A7:C7"/>
  </mergeCells>
  <conditionalFormatting sqref="A17:H19">
    <cfRule type="containsText" dxfId="0" priority="2" operator="containsText" text="CẢNH BÁO">
      <formula>NOT(ISERROR(SEARCH("CẢNH BÁO",A17)))</formula>
    </cfRule>
  </conditionalFormatting>
  <pageMargins left="0.7" right="0.7" top="0.75" bottom="0.75" header="0.511811023622047" footer="0.3"/>
  <pageSetup paperSize="9" orientation="portrait" horizontalDpi="300" verticalDpi="300"/>
  <headerFooter>
    <oddFooter>&amp;L&amp;"Times New Roman,Regular"&amp;8 Mr Wick Kiểm toán · Kiểm toán · Kế toán · Tư vấn Thuế&amp;R&amp;"Times New Roman,Regular"&amp;8 Trang &amp;P/&amp;N</oddFooter>
  </headerFooter>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0"/>
  <sheetViews>
    <sheetView showGridLines="0" zoomScaleNormal="100" workbookViewId="0">
      <selection activeCell="A19" sqref="A19:H19"/>
    </sheetView>
  </sheetViews>
  <sheetFormatPr defaultColWidth="8.6328125" defaultRowHeight="12.5" x14ac:dyDescent="0.25"/>
  <cols>
    <col min="1" max="8" width="14" customWidth="1"/>
  </cols>
  <sheetData>
    <row r="1" spans="1:8" ht="37.5" customHeight="1" x14ac:dyDescent="0.25">
      <c r="A1" s="44" t="s">
        <v>416</v>
      </c>
      <c r="B1" s="42"/>
      <c r="C1" s="42"/>
      <c r="D1" s="42"/>
      <c r="E1" s="42"/>
      <c r="F1" s="42"/>
      <c r="G1" s="42"/>
      <c r="H1" s="43"/>
    </row>
    <row r="3" spans="1:8" ht="15" customHeight="1" x14ac:dyDescent="0.25">
      <c r="A3" s="64" t="s">
        <v>417</v>
      </c>
      <c r="B3" s="45"/>
      <c r="C3" s="45"/>
      <c r="D3" s="45"/>
      <c r="E3" s="45"/>
      <c r="F3" s="45"/>
      <c r="G3" s="45"/>
      <c r="H3" s="46"/>
    </row>
    <row r="4" spans="1:8" ht="15" customHeight="1" x14ac:dyDescent="0.25">
      <c r="A4" s="47"/>
      <c r="B4" s="48"/>
      <c r="C4" s="48"/>
      <c r="D4" s="48"/>
      <c r="E4" s="48"/>
      <c r="F4" s="48"/>
      <c r="G4" s="48"/>
      <c r="H4" s="49"/>
    </row>
    <row r="6" spans="1:8" ht="15" customHeight="1" x14ac:dyDescent="0.3">
      <c r="A6" s="62" t="s">
        <v>418</v>
      </c>
      <c r="B6" s="42"/>
      <c r="C6" s="42"/>
      <c r="D6" s="42"/>
      <c r="E6" s="42"/>
      <c r="F6" s="42"/>
      <c r="G6" s="42"/>
      <c r="H6" s="43"/>
    </row>
    <row r="7" spans="1:8" ht="42" customHeight="1" x14ac:dyDescent="0.3">
      <c r="A7" s="65" t="s">
        <v>419</v>
      </c>
      <c r="B7" s="40"/>
      <c r="C7" s="40"/>
      <c r="D7" s="40"/>
      <c r="E7" s="40"/>
      <c r="F7" s="40"/>
      <c r="G7" s="40"/>
      <c r="H7" s="41"/>
    </row>
    <row r="9" spans="1:8" ht="15" customHeight="1" x14ac:dyDescent="0.3">
      <c r="A9" s="62" t="s">
        <v>420</v>
      </c>
      <c r="B9" s="42"/>
      <c r="C9" s="42"/>
      <c r="D9" s="42"/>
      <c r="E9" s="42"/>
      <c r="F9" s="42"/>
      <c r="G9" s="42"/>
      <c r="H9" s="43"/>
    </row>
    <row r="10" spans="1:8" ht="42" customHeight="1" x14ac:dyDescent="0.3">
      <c r="A10" s="65" t="s">
        <v>421</v>
      </c>
      <c r="B10" s="40"/>
      <c r="C10" s="40"/>
      <c r="D10" s="40"/>
      <c r="E10" s="40"/>
      <c r="F10" s="40"/>
      <c r="G10" s="40"/>
      <c r="H10" s="41"/>
    </row>
    <row r="12" spans="1:8" ht="15" customHeight="1" x14ac:dyDescent="0.3">
      <c r="A12" s="62" t="s">
        <v>422</v>
      </c>
      <c r="B12" s="42"/>
      <c r="C12" s="42"/>
      <c r="D12" s="42"/>
      <c r="E12" s="42"/>
      <c r="F12" s="42"/>
      <c r="G12" s="42"/>
      <c r="H12" s="43"/>
    </row>
    <row r="13" spans="1:8" ht="42" customHeight="1" x14ac:dyDescent="0.3">
      <c r="A13" s="65" t="s">
        <v>423</v>
      </c>
      <c r="B13" s="40"/>
      <c r="C13" s="40"/>
      <c r="D13" s="40"/>
      <c r="E13" s="40"/>
      <c r="F13" s="40"/>
      <c r="G13" s="40"/>
      <c r="H13" s="41"/>
    </row>
    <row r="15" spans="1:8" ht="15" customHeight="1" x14ac:dyDescent="0.3">
      <c r="A15" s="62" t="s">
        <v>424</v>
      </c>
      <c r="B15" s="42"/>
      <c r="C15" s="42"/>
      <c r="D15" s="42"/>
      <c r="E15" s="42"/>
      <c r="F15" s="42"/>
      <c r="G15" s="42"/>
      <c r="H15" s="43"/>
    </row>
    <row r="16" spans="1:8" ht="42" customHeight="1" x14ac:dyDescent="0.3">
      <c r="A16" s="65" t="s">
        <v>425</v>
      </c>
      <c r="B16" s="40"/>
      <c r="C16" s="40"/>
      <c r="D16" s="40"/>
      <c r="E16" s="40"/>
      <c r="F16" s="40"/>
      <c r="G16" s="40"/>
      <c r="H16" s="41"/>
    </row>
    <row r="18" spans="1:8" ht="15" customHeight="1" x14ac:dyDescent="0.3">
      <c r="A18" s="62" t="s">
        <v>426</v>
      </c>
      <c r="B18" s="42"/>
      <c r="C18" s="42"/>
      <c r="D18" s="42"/>
      <c r="E18" s="42"/>
      <c r="F18" s="42"/>
      <c r="G18" s="42"/>
      <c r="H18" s="43"/>
    </row>
    <row r="19" spans="1:8" ht="42" customHeight="1" x14ac:dyDescent="0.3">
      <c r="A19" s="65" t="s">
        <v>427</v>
      </c>
      <c r="B19" s="40"/>
      <c r="C19" s="40"/>
      <c r="D19" s="40"/>
      <c r="E19" s="40"/>
      <c r="F19" s="40"/>
      <c r="G19" s="40"/>
      <c r="H19" s="41"/>
    </row>
    <row r="22" spans="1:8" ht="15" customHeight="1" x14ac:dyDescent="0.25">
      <c r="A22" s="74" t="s">
        <v>428</v>
      </c>
      <c r="B22" s="45"/>
      <c r="C22" s="45"/>
      <c r="D22" s="46"/>
      <c r="E22" s="63" t="s">
        <v>429</v>
      </c>
      <c r="F22" s="45"/>
      <c r="G22" s="45"/>
      <c r="H22" s="46"/>
    </row>
    <row r="23" spans="1:8" ht="15" customHeight="1" x14ac:dyDescent="0.25">
      <c r="A23" s="52"/>
      <c r="B23" s="38"/>
      <c r="C23" s="38"/>
      <c r="D23" s="53"/>
      <c r="E23" s="52"/>
      <c r="F23" s="38"/>
      <c r="G23" s="38"/>
      <c r="H23" s="53"/>
    </row>
    <row r="24" spans="1:8" ht="15" customHeight="1" x14ac:dyDescent="0.25">
      <c r="A24" s="47"/>
      <c r="B24" s="48"/>
      <c r="C24" s="48"/>
      <c r="D24" s="49"/>
      <c r="E24" s="47"/>
      <c r="F24" s="48"/>
      <c r="G24" s="48"/>
      <c r="H24" s="49"/>
    </row>
    <row r="26" spans="1:8" ht="15" customHeight="1" x14ac:dyDescent="0.25">
      <c r="A26" s="66" t="s">
        <v>430</v>
      </c>
      <c r="B26" s="67"/>
      <c r="C26" s="67"/>
      <c r="D26" s="67"/>
      <c r="E26" s="67"/>
      <c r="F26" s="67"/>
      <c r="G26" s="67"/>
      <c r="H26" s="68"/>
    </row>
    <row r="27" spans="1:8" ht="15" customHeight="1" x14ac:dyDescent="0.25">
      <c r="A27" s="69"/>
      <c r="B27" s="38"/>
      <c r="C27" s="38"/>
      <c r="D27" s="38"/>
      <c r="E27" s="38"/>
      <c r="F27" s="38"/>
      <c r="G27" s="38"/>
      <c r="H27" s="70"/>
    </row>
    <row r="28" spans="1:8" ht="15" customHeight="1" x14ac:dyDescent="0.25">
      <c r="A28" s="69"/>
      <c r="B28" s="38"/>
      <c r="C28" s="38"/>
      <c r="D28" s="38"/>
      <c r="E28" s="38"/>
      <c r="F28" s="38"/>
      <c r="G28" s="38"/>
      <c r="H28" s="70"/>
    </row>
    <row r="29" spans="1:8" ht="15" customHeight="1" x14ac:dyDescent="0.25">
      <c r="A29" s="69"/>
      <c r="B29" s="38"/>
      <c r="C29" s="38"/>
      <c r="D29" s="38"/>
      <c r="E29" s="38"/>
      <c r="F29" s="38"/>
      <c r="G29" s="38"/>
      <c r="H29" s="70"/>
    </row>
    <row r="30" spans="1:8" ht="15" customHeight="1" x14ac:dyDescent="0.25">
      <c r="A30" s="71"/>
      <c r="B30" s="72"/>
      <c r="C30" s="72"/>
      <c r="D30" s="72"/>
      <c r="E30" s="72"/>
      <c r="F30" s="72"/>
      <c r="G30" s="72"/>
      <c r="H30" s="73"/>
    </row>
  </sheetData>
  <mergeCells count="15">
    <mergeCell ref="A1:H1"/>
    <mergeCell ref="A26:H30"/>
    <mergeCell ref="A6:H6"/>
    <mergeCell ref="A22:D24"/>
    <mergeCell ref="A9:H9"/>
    <mergeCell ref="A18:H18"/>
    <mergeCell ref="A12:H12"/>
    <mergeCell ref="E22:H24"/>
    <mergeCell ref="A3:H4"/>
    <mergeCell ref="A15:H15"/>
    <mergeCell ref="A7:H7"/>
    <mergeCell ref="A16:H16"/>
    <mergeCell ref="A10:H10"/>
    <mergeCell ref="A13:H13"/>
    <mergeCell ref="A19:H19"/>
  </mergeCells>
  <pageMargins left="0.7" right="0.7" top="0.75" bottom="0.75" header="0.511811023622047" footer="0.3"/>
  <pageSetup paperSize="9" orientation="portrait" horizontalDpi="300" verticalDpi="300"/>
  <headerFooter>
    <oddFooter>&amp;L&amp;"Times New Roman,Regular"&amp;8 Mr Wick Kiểm toán · Kiểm toán · Kế toán · Tư vấn Thuế&amp;R&amp;"Times New Roman,Regular"&amp;8 Trang &amp;P/&amp;N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J127"/>
  <sheetViews>
    <sheetView showGridLines="0" topLeftCell="B115" zoomScale="110" zoomScaleNormal="110" workbookViewId="0">
      <selection activeCell="I2" sqref="I2:J2"/>
    </sheetView>
  </sheetViews>
  <sheetFormatPr defaultColWidth="8.6328125" defaultRowHeight="12.5" x14ac:dyDescent="0.25"/>
  <cols>
    <col min="1" max="1" width="2.453125" customWidth="1"/>
    <col min="2" max="7" width="13" customWidth="1"/>
    <col min="8" max="8" width="3" customWidth="1"/>
    <col min="9" max="10" width="22" customWidth="1"/>
    <col min="11" max="11" width="3" customWidth="1"/>
  </cols>
  <sheetData>
    <row r="1" spans="2:10" ht="19.5" customHeight="1" x14ac:dyDescent="0.25">
      <c r="B1" s="83" t="s">
        <v>431</v>
      </c>
      <c r="C1" s="38"/>
      <c r="D1" s="38"/>
      <c r="E1" s="38"/>
      <c r="F1" s="38"/>
      <c r="G1" s="38"/>
      <c r="I1" s="93" t="s">
        <v>432</v>
      </c>
      <c r="J1" s="38"/>
    </row>
    <row r="2" spans="2:10" ht="19.5" customHeight="1" x14ac:dyDescent="0.25">
      <c r="B2" s="90" t="s">
        <v>433</v>
      </c>
      <c r="C2" s="38"/>
      <c r="D2" s="38"/>
      <c r="E2" s="38"/>
      <c r="F2" s="38"/>
      <c r="G2" s="38"/>
      <c r="I2" s="85" t="s">
        <v>92</v>
      </c>
      <c r="J2" s="39"/>
    </row>
    <row r="3" spans="2:10" ht="19.5" customHeight="1" x14ac:dyDescent="0.25">
      <c r="B3" s="84" t="s">
        <v>434</v>
      </c>
      <c r="C3" s="38"/>
      <c r="D3" s="38"/>
      <c r="E3" s="38"/>
      <c r="F3" s="38"/>
      <c r="G3" s="38"/>
      <c r="I3" s="91" t="str">
        <f>IFERROR(INDEX(NHAP_LIEU!$C$14:$C$513,MATCH($I$2,NHAP_LIEU!$A$14:$A$513,0)),"—")</f>
        <v>—</v>
      </c>
      <c r="J3" s="39"/>
    </row>
    <row r="4" spans="2:10" ht="30" customHeight="1" x14ac:dyDescent="0.25">
      <c r="B4" s="92" t="s">
        <v>435</v>
      </c>
      <c r="C4" s="38"/>
      <c r="D4" s="38"/>
      <c r="E4" s="38"/>
      <c r="F4" s="38"/>
      <c r="G4" s="38"/>
      <c r="I4" s="88" t="s">
        <v>436</v>
      </c>
      <c r="J4" s="38"/>
    </row>
    <row r="5" spans="2:10" ht="19.5" customHeight="1" x14ac:dyDescent="0.25">
      <c r="B5" s="81" t="str">
        <f>"Số: "&amp;IFERROR(IF(INDEX(NHAP_LIEU!$B$14:$B$513,MATCH($I$2,NHAP_LIEU!$A$14:$A$513,0))="","",INDEX(NHAP_LIEU!$B$14:$B$513,MATCH($I$2,NHAP_LIEU!$A$14:$A$513,0))),"")</f>
        <v xml:space="preserve">Số: </v>
      </c>
      <c r="C5" s="38"/>
      <c r="D5" s="38"/>
      <c r="E5" s="38"/>
      <c r="F5" s="38"/>
      <c r="G5" s="38"/>
      <c r="I5" s="38"/>
      <c r="J5" s="38"/>
    </row>
    <row r="6" spans="2:10" ht="21" customHeight="1" x14ac:dyDescent="0.25">
      <c r="B6" s="89" t="s">
        <v>437</v>
      </c>
      <c r="C6" s="38"/>
      <c r="D6" s="38"/>
      <c r="E6" s="38"/>
      <c r="F6" s="38"/>
      <c r="G6" s="38"/>
    </row>
    <row r="7" spans="2:10" ht="18" customHeight="1" x14ac:dyDescent="0.25">
      <c r="B7" s="75" t="s">
        <v>438</v>
      </c>
      <c r="C7" s="38"/>
      <c r="D7" s="38"/>
      <c r="E7" s="38"/>
      <c r="F7" s="38"/>
      <c r="G7" s="38"/>
    </row>
    <row r="8" spans="2:10" ht="45.75" customHeight="1" x14ac:dyDescent="0.25">
      <c r="B8" s="75" t="s">
        <v>439</v>
      </c>
      <c r="C8" s="38"/>
      <c r="D8" s="38"/>
      <c r="E8" s="38"/>
      <c r="F8" s="38"/>
      <c r="G8" s="38"/>
    </row>
    <row r="9" spans="2:10" ht="18" customHeight="1" x14ac:dyDescent="0.25">
      <c r="B9" s="75" t="s">
        <v>440</v>
      </c>
      <c r="C9" s="38"/>
      <c r="D9" s="38"/>
      <c r="E9" s="38"/>
      <c r="F9" s="38"/>
      <c r="G9" s="38"/>
    </row>
    <row r="10" spans="2:10" ht="31.5" customHeight="1" x14ac:dyDescent="0.25">
      <c r="B10" s="75" t="s">
        <v>441</v>
      </c>
      <c r="C10" s="38"/>
      <c r="D10" s="38"/>
      <c r="E10" s="38"/>
      <c r="F10" s="38"/>
      <c r="G10" s="38"/>
    </row>
    <row r="11" spans="2:10" ht="18" customHeight="1" x14ac:dyDescent="0.25">
      <c r="B11" s="75" t="s">
        <v>442</v>
      </c>
      <c r="C11" s="38"/>
      <c r="D11" s="38"/>
      <c r="E11" s="38"/>
      <c r="F11" s="38"/>
      <c r="G11" s="38"/>
    </row>
    <row r="12" spans="2:10" ht="18" customHeight="1" x14ac:dyDescent="0.25">
      <c r="B12" s="75" t="s">
        <v>443</v>
      </c>
      <c r="C12" s="38"/>
      <c r="D12" s="38"/>
      <c r="E12" s="38"/>
      <c r="F12" s="38"/>
      <c r="G12" s="38"/>
    </row>
    <row r="13" spans="2:10" ht="18" customHeight="1" x14ac:dyDescent="0.25">
      <c r="B13" s="75" t="s">
        <v>444</v>
      </c>
      <c r="C13" s="38"/>
      <c r="D13" s="38"/>
      <c r="E13" s="38"/>
      <c r="F13" s="38"/>
      <c r="G13" s="38"/>
    </row>
    <row r="14" spans="2:10" ht="31.5" customHeight="1" x14ac:dyDescent="0.25">
      <c r="B14" s="75" t="s">
        <v>445</v>
      </c>
      <c r="C14" s="38"/>
      <c r="D14" s="38"/>
      <c r="E14" s="38"/>
      <c r="F14" s="38"/>
      <c r="G14" s="38"/>
    </row>
    <row r="15" spans="2:10" ht="31.5" customHeight="1" x14ac:dyDescent="0.25">
      <c r="B15" s="75" t="s">
        <v>446</v>
      </c>
      <c r="C15" s="38"/>
      <c r="D15" s="38"/>
      <c r="E15" s="38"/>
      <c r="F15" s="38"/>
      <c r="G15" s="38"/>
    </row>
    <row r="16" spans="2:10" ht="18" customHeight="1" x14ac:dyDescent="0.25">
      <c r="B16" s="75" t="str">
        <f>IF(IFERROR(IF(INDEX(NHAP_LIEU!$V$14:$V$513,MATCH($I$2,NHAP_LIEU!$A$14:$A$513,0))="","",INDEX(NHAP_LIEU!$V$14:$V$513,MATCH($I$2,NHAP_LIEU!$A$14:$A$513,0))),"")="","Hôm nay, ngày …… tháng …… năm ……, tại "&amp;IF(""&lt;&gt;"","",NHAP_LIEU!$E$7)&amp;", chúng tôi gồm:","Hôm nay, ngày "&amp;TEXT(IFERROR(IF(INDEX(NHAP_LIEU!$V$14:$V$513,MATCH($I$2,NHAP_LIEU!$A$14:$A$513,0))="","",INDEX(NHAP_LIEU!$V$14:$V$513,MATCH($I$2,NHAP_LIEU!$A$14:$A$513,0))),""),"dd")&amp;" tháng "&amp;TEXT(IFERROR(IF(INDEX(NHAP_LIEU!$V$14:$V$513,MATCH($I$2,NHAP_LIEU!$A$14:$A$513,0))="","",INDEX(NHAP_LIEU!$V$14:$V$513,MATCH($I$2,NHAP_LIEU!$A$14:$A$513,0))),""),"mm")&amp;" năm "&amp;TEXT(IFERROR(IF(INDEX(NHAP_LIEU!$V$14:$V$513,MATCH($I$2,NHAP_LIEU!$A$14:$A$513,0))="","",INDEX(NHAP_LIEU!$V$14:$V$513,MATCH($I$2,NHAP_LIEU!$A$14:$A$513,0))),""),"yyyy")&amp;", tại "&amp;IF(""&lt;&gt;"","",NHAP_LIEU!$E$7)&amp;", chúng tôi gồm:")</f>
        <v>Hôm nay, ngày …… tháng …… năm ……, tại Đồng Tháp, chúng tôi gồm:</v>
      </c>
      <c r="C16" s="38"/>
      <c r="D16" s="38"/>
      <c r="E16" s="38"/>
      <c r="F16" s="38"/>
      <c r="G16" s="38"/>
    </row>
    <row r="17" spans="2:7" ht="21" customHeight="1" x14ac:dyDescent="0.25">
      <c r="B17" s="89" t="s">
        <v>447</v>
      </c>
      <c r="C17" s="38"/>
      <c r="D17" s="38"/>
      <c r="E17" s="38"/>
      <c r="F17" s="38"/>
      <c r="G17" s="38"/>
    </row>
    <row r="18" spans="2:7" ht="18" customHeight="1" x14ac:dyDescent="0.25">
      <c r="B18" s="75" t="str">
        <f>"Tên doanh nghiệp: "&amp;NHAP_LIEU!$B$4</f>
        <v>Tên doanh nghiệp: CÔNG TY TNHH KK HOME</v>
      </c>
      <c r="C18" s="38"/>
      <c r="D18" s="38"/>
      <c r="E18" s="38"/>
      <c r="F18" s="38"/>
      <c r="G18" s="38"/>
    </row>
    <row r="19" spans="2:7" ht="18" customHeight="1" x14ac:dyDescent="0.25">
      <c r="B19" s="75" t="str">
        <f>"Mã số doanh nghiệp/Mã số thuế: "&amp;NHAP_LIEU!$B$5</f>
        <v>Mã số doanh nghiệp/Mã số thuế: MST-MAU-0001</v>
      </c>
      <c r="C19" s="38"/>
      <c r="D19" s="38"/>
      <c r="E19" s="38"/>
      <c r="F19" s="38"/>
      <c r="G19" s="38"/>
    </row>
    <row r="20" spans="2:7" ht="18" customHeight="1" x14ac:dyDescent="0.25">
      <c r="B20" s="75" t="str">
        <f>"Địa chỉ trụ sở chính: "&amp;NHAP_LIEU!$B$6</f>
        <v>Địa chỉ trụ sở chính: 526 Lê Đại Hành, Phường Mỹ Trà, Tỉnh Đồng Tháp</v>
      </c>
      <c r="C20" s="38"/>
      <c r="D20" s="38"/>
      <c r="E20" s="38"/>
      <c r="F20" s="38"/>
      <c r="G20" s="38"/>
    </row>
    <row r="21" spans="2:7" ht="18" customHeight="1" x14ac:dyDescent="0.25">
      <c r="B21" s="75" t="str">
        <f>"Điện thoại: "&amp;NHAP_LIEU!$B$7&amp;"   Email: "&amp;NHAP_LIEU!$B$8</f>
        <v>Điện thoại: 090 744 6543   Email: admin@hkdkkhome.com</v>
      </c>
      <c r="C21" s="38"/>
      <c r="D21" s="38"/>
      <c r="E21" s="38"/>
      <c r="F21" s="38"/>
      <c r="G21" s="38"/>
    </row>
    <row r="22" spans="2:7" ht="18" customHeight="1" x14ac:dyDescent="0.25">
      <c r="B22" s="75" t="str">
        <f>NHAP_LIEU!$E$5&amp;"(*): "&amp;NHAP_LIEU!$E$4</f>
        <v>Người đại diện theo pháp luật(*): HUỲNH NGỌC NGÂN</v>
      </c>
      <c r="C22" s="38"/>
      <c r="D22" s="38"/>
      <c r="E22" s="38"/>
      <c r="F22" s="38"/>
      <c r="G22" s="38"/>
    </row>
    <row r="23" spans="2:7" ht="18" customHeight="1" x14ac:dyDescent="0.25">
      <c r="B23" s="75" t="str">
        <f>"Chức danh: "&amp;NHAP_LIEU!$E$6&amp;"   Quốc tịch: "&amp;"Việt Nam"</f>
        <v>Chức danh: Giám đốc   Quốc tịch: Việt Nam</v>
      </c>
      <c r="C23" s="38"/>
      <c r="D23" s="38"/>
      <c r="E23" s="38"/>
      <c r="F23" s="38"/>
      <c r="G23" s="38"/>
    </row>
    <row r="24" spans="2:7" ht="18" customHeight="1" x14ac:dyDescent="0.25">
      <c r="B24" s="77" t="str">
        <f>IF(""="","","(Văn bản ủy quyền số "&amp;""&amp;" ngày "&amp;IF(""="","……/……/……",TEXT("","dd/mm/yyyy"))&amp;" — nếu ký theo ủy quyền)")</f>
        <v/>
      </c>
      <c r="C24" s="38"/>
      <c r="D24" s="38"/>
      <c r="E24" s="38"/>
      <c r="F24" s="38"/>
      <c r="G24" s="38"/>
    </row>
    <row r="25" spans="2:7" ht="18" customHeight="1" x14ac:dyDescent="0.25">
      <c r="B25" s="77" t="s">
        <v>448</v>
      </c>
      <c r="C25" s="38"/>
      <c r="D25" s="38"/>
      <c r="E25" s="38"/>
      <c r="F25" s="38"/>
      <c r="G25" s="38"/>
    </row>
    <row r="26" spans="2:7" ht="21" customHeight="1" x14ac:dyDescent="0.25">
      <c r="B26" s="89" t="s">
        <v>449</v>
      </c>
      <c r="C26" s="38"/>
      <c r="D26" s="38"/>
      <c r="E26" s="38"/>
      <c r="F26" s="38"/>
      <c r="G26" s="38"/>
    </row>
    <row r="27" spans="2:7" ht="18" customHeight="1" x14ac:dyDescent="0.25">
      <c r="B27" s="75" t="str">
        <f>"Họ và tên: "&amp;IF(IFERROR(IF(INDEX(NHAP_LIEU!$D$14:$D$513,MATCH($I$2,NHAP_LIEU!$A$14:$A$513,0))="","",INDEX(NHAP_LIEU!$D$14:$D$513,MATCH($I$2,NHAP_LIEU!$A$14:$A$513,0))),"")="Nữ","Bà",IF(IFERROR(IF(INDEX(NHAP_LIEU!$D$14:$D$513,MATCH($I$2,NHAP_LIEU!$A$14:$A$513,0))="","",INDEX(NHAP_LIEU!$D$14:$D$513,MATCH($I$2,NHAP_LIEU!$A$14:$A$513,0))),"")="Nam","Ông",""))&amp;" "&amp;IFERROR(IF(INDEX(NHAP_LIEU!$C$14:$C$513,MATCH($I$2,NHAP_LIEU!$A$14:$A$513,0))="","",INDEX(NHAP_LIEU!$C$14:$C$513,MATCH($I$2,NHAP_LIEU!$A$14:$A$513,0))),"")&amp;"   Giới tính: "&amp;IFERROR(IF(INDEX(NHAP_LIEU!$D$14:$D$513,MATCH($I$2,NHAP_LIEU!$A$14:$A$513,0))="","",INDEX(NHAP_LIEU!$D$14:$D$513,MATCH($I$2,NHAP_LIEU!$A$14:$A$513,0))),"")</f>
        <v xml:space="preserve">Họ và tên:     Giới tính: </v>
      </c>
      <c r="C27" s="38"/>
      <c r="D27" s="38"/>
      <c r="E27" s="38"/>
      <c r="F27" s="38"/>
      <c r="G27" s="38"/>
    </row>
    <row r="28" spans="2:7" ht="18" customHeight="1" x14ac:dyDescent="0.25">
      <c r="B28" s="75" t="str">
        <f>"Ngày, tháng, năm sinh: "&amp;IF(IFERROR(IF(INDEX(NHAP_LIEU!$E$14:$E$513,MATCH($I$2,NHAP_LIEU!$A$14:$A$513,0))="","",INDEX(NHAP_LIEU!$E$14:$E$513,MATCH($I$2,NHAP_LIEU!$A$14:$A$513,0))),"")="","……/……/……",TEXT(IFERROR(IF(INDEX(NHAP_LIEU!$E$14:$E$513,MATCH($I$2,NHAP_LIEU!$A$14:$A$513,0))="","",INDEX(NHAP_LIEU!$E$14:$E$513,MATCH($I$2,NHAP_LIEU!$A$14:$A$513,0))),""),"dd/mm/yyyy"))&amp;"   Quốc tịch: "&amp;IFERROR(IF(INDEX(NHAP_LIEU!$F$14:$F$513,MATCH($I$2,NHAP_LIEU!$A$14:$A$513,0))="","",INDEX(NHAP_LIEU!$F$14:$F$513,MATCH($I$2,NHAP_LIEU!$A$14:$A$513,0))),"")</f>
        <v xml:space="preserve">Ngày, tháng, năm sinh: ……/……/……   Quốc tịch: </v>
      </c>
      <c r="C28" s="38"/>
      <c r="D28" s="38"/>
      <c r="E28" s="38"/>
      <c r="F28" s="38"/>
      <c r="G28" s="38"/>
    </row>
    <row r="29" spans="2:7" ht="18" customHeight="1" x14ac:dyDescent="0.25">
      <c r="B29" s="75" t="str">
        <f>"Số CCCD/Hộ chiếu: "&amp;IFERROR(IF(INDEX(NHAP_LIEU!$G$14:$G$513,MATCH($I$2,NHAP_LIEU!$A$14:$A$513,0))="","",INDEX(NHAP_LIEU!$G$14:$G$513,MATCH($I$2,NHAP_LIEU!$A$14:$A$513,0))),"")&amp;"   Cấp ngày: "&amp;IF(IFERROR(IF(INDEX(NHAP_LIEU!$H$14:$H$513,MATCH($I$2,NHAP_LIEU!$A$14:$A$513,0))="","",INDEX(NHAP_LIEU!$H$14:$H$513,MATCH($I$2,NHAP_LIEU!$A$14:$A$513,0))),"")="","……/……/……",TEXT(IFERROR(IF(INDEX(NHAP_LIEU!$H$14:$H$513,MATCH($I$2,NHAP_LIEU!$A$14:$A$513,0))="","",INDEX(NHAP_LIEU!$H$14:$H$513,MATCH($I$2,NHAP_LIEU!$A$14:$A$513,0))),""),"dd/mm/yyyy"))&amp;"   Nơi cấp: "&amp;IFERROR(IF(INDEX(NHAP_LIEU!$I$14:$I$513,MATCH($I$2,NHAP_LIEU!$A$14:$A$513,0))="","",INDEX(NHAP_LIEU!$I$14:$I$513,MATCH($I$2,NHAP_LIEU!$A$14:$A$513,0))),"")</f>
        <v xml:space="preserve">Số CCCD/Hộ chiếu:    Cấp ngày: ……/……/……   Nơi cấp: </v>
      </c>
      <c r="C29" s="38"/>
      <c r="D29" s="38"/>
      <c r="E29" s="38"/>
      <c r="F29" s="38"/>
      <c r="G29" s="38"/>
    </row>
    <row r="30" spans="2:7" ht="18" customHeight="1" x14ac:dyDescent="0.25">
      <c r="B30" s="75" t="str">
        <f>"Nơi cư trú hiện nay: "&amp;IFERROR(IF(INDEX(NHAP_LIEU!$J$14:$J$513,MATCH($I$2,NHAP_LIEU!$A$14:$A$513,0))="","",INDEX(NHAP_LIEU!$J$14:$J$513,MATCH($I$2,NHAP_LIEU!$A$14:$A$513,0))),"")</f>
        <v xml:space="preserve">Nơi cư trú hiện nay: </v>
      </c>
      <c r="C30" s="38"/>
      <c r="D30" s="38"/>
      <c r="E30" s="38"/>
      <c r="F30" s="38"/>
      <c r="G30" s="38"/>
    </row>
    <row r="31" spans="2:7" ht="18" customHeight="1" x14ac:dyDescent="0.25">
      <c r="B31" s="75" t="str">
        <f>"Trình độ chuyên môn, kỹ thuật: "&amp;IFERROR(IF(INDEX(NHAP_LIEU!$K$14:$K$513,MATCH($I$2,NHAP_LIEU!$A$14:$A$513,0))="","",INDEX(NHAP_LIEU!$K$14:$K$513,MATCH($I$2,NHAP_LIEU!$A$14:$A$513,0))),"")</f>
        <v xml:space="preserve">Trình độ chuyên môn, kỹ thuật: </v>
      </c>
      <c r="C31" s="38"/>
      <c r="D31" s="38"/>
      <c r="E31" s="38"/>
      <c r="F31" s="38"/>
      <c r="G31" s="38"/>
    </row>
    <row r="32" spans="2:7" ht="18" customHeight="1" x14ac:dyDescent="0.25">
      <c r="B32" s="75" t="str">
        <f>"Mã số thuế TNCN: "&amp;IFERROR(IF(INDEX(NHAP_LIEU!$L$14:$L$513,MATCH($I$2,NHAP_LIEU!$A$14:$A$513,0))="","",INDEX(NHAP_LIEU!$L$14:$L$513,MATCH($I$2,NHAP_LIEU!$A$14:$A$513,0))),"")&amp;"   Mã số BHXH: "&amp;IFERROR(IF(INDEX(NHAP_LIEU!$M$14:$M$513,MATCH($I$2,NHAP_LIEU!$A$14:$A$513,0))="","",INDEX(NHAP_LIEU!$M$14:$M$513,MATCH($I$2,NHAP_LIEU!$A$14:$A$513,0))),"")</f>
        <v xml:space="preserve">Mã số thuế TNCN:    Mã số BHXH: </v>
      </c>
      <c r="C32" s="38"/>
      <c r="D32" s="38"/>
      <c r="E32" s="38"/>
      <c r="F32" s="38"/>
      <c r="G32" s="38"/>
    </row>
    <row r="33" spans="2:7" ht="31.5" customHeight="1" x14ac:dyDescent="0.25">
      <c r="B33" s="75" t="str">
        <f>"Giấy phép lao động/văn bản xác nhận không thuộc diện cấp GPLĐ số (áp dụng với NLĐ nước ngoài): "&amp;IF(IFERROR(IF(INDEX(NHAP_LIEU!$N$14:$N$513,MATCH($I$2,NHAP_LIEU!$A$14:$A$513,0))="","",INDEX(NHAP_LIEU!$N$14:$N$513,MATCH($I$2,NHAP_LIEU!$A$14:$A$513,0))),"")="","Không áp dụng",IFERROR(IF(INDEX(NHAP_LIEU!$N$14:$N$513,MATCH($I$2,NHAP_LIEU!$A$14:$A$513,0))="","",INDEX(NHAP_LIEU!$N$14:$N$513,MATCH($I$2,NHAP_LIEU!$A$14:$A$513,0))),""))</f>
        <v>Giấy phép lao động/văn bản xác nhận không thuộc diện cấp GPLĐ số (áp dụng với NLĐ nước ngoài): Không áp dụng</v>
      </c>
      <c r="C33" s="38"/>
      <c r="D33" s="38"/>
      <c r="E33" s="38"/>
      <c r="F33" s="38"/>
      <c r="G33" s="38"/>
    </row>
    <row r="34" spans="2:7" ht="18" customHeight="1" x14ac:dyDescent="0.25">
      <c r="B34" s="75" t="str">
        <f>"Thông tin liên hệ khẩn cấp (họ tên, quan hệ, điện thoại): "&amp;IFERROR(IF(INDEX(NHAP_LIEU!$O$14:$O$513,MATCH($I$2,NHAP_LIEU!$A$14:$A$513,0))="","",INDEX(NHAP_LIEU!$O$14:$O$513,MATCH($I$2,NHAP_LIEU!$A$14:$A$513,0))),"")</f>
        <v xml:space="preserve">Thông tin liên hệ khẩn cấp (họ tên, quan hệ, điện thoại): </v>
      </c>
      <c r="C34" s="38"/>
      <c r="D34" s="38"/>
      <c r="E34" s="38"/>
      <c r="F34" s="38"/>
      <c r="G34" s="38"/>
    </row>
    <row r="35" spans="2:7" ht="31.5" customHeight="1" x14ac:dyDescent="0.25">
      <c r="B35" s="75" t="s">
        <v>450</v>
      </c>
      <c r="C35" s="38"/>
      <c r="D35" s="38"/>
      <c r="E35" s="38"/>
      <c r="F35" s="38"/>
      <c r="G35" s="38"/>
    </row>
    <row r="36" spans="2:7" ht="24" customHeight="1" x14ac:dyDescent="0.25">
      <c r="B36" s="79" t="s">
        <v>451</v>
      </c>
      <c r="C36" s="80"/>
      <c r="D36" s="80"/>
      <c r="E36" s="80"/>
      <c r="F36" s="80"/>
      <c r="G36" s="80"/>
    </row>
    <row r="37" spans="2:7" ht="18" customHeight="1" x14ac:dyDescent="0.25">
      <c r="B37" s="75" t="str">
        <f>"1.1. Chức danh chuyên môn/vị trí việc làm: "&amp;IFERROR(IF(INDEX(NHAP_LIEU!$P$14:$P$513,MATCH($I$2,NHAP_LIEU!$A$14:$A$513,0))="","",INDEX(NHAP_LIEU!$P$14:$P$513,MATCH($I$2,NHAP_LIEU!$A$14:$A$513,0))),"")</f>
        <v xml:space="preserve">1.1. Chức danh chuyên môn/vị trí việc làm: </v>
      </c>
      <c r="C37" s="38"/>
      <c r="D37" s="38"/>
      <c r="E37" s="38"/>
      <c r="F37" s="38"/>
      <c r="G37" s="38"/>
    </row>
    <row r="38" spans="2:7" ht="18" customHeight="1" x14ac:dyDescent="0.25">
      <c r="B38" s="75" t="str">
        <f>"1.2. Bộ phận/phòng ban: "&amp;IFERROR(IF(INDEX(NHAP_LIEU!$Q$14:$Q$513,MATCH($I$2,NHAP_LIEU!$A$14:$A$513,0))="","",INDEX(NHAP_LIEU!$Q$14:$Q$513,MATCH($I$2,NHAP_LIEU!$A$14:$A$513,0))),"")</f>
        <v xml:space="preserve">1.2. Bộ phận/phòng ban: </v>
      </c>
      <c r="C38" s="38"/>
      <c r="D38" s="38"/>
      <c r="E38" s="38"/>
      <c r="F38" s="38"/>
      <c r="G38" s="38"/>
    </row>
    <row r="39" spans="2:7" ht="18" customHeight="1" x14ac:dyDescent="0.25">
      <c r="B39" s="75" t="str">
        <f>"1.3. Mô tả công việc chính: "&amp;IFERROR(IF(INDEX(NHAP_LIEU!$R$14:$R$513,MATCH($I$2,NHAP_LIEU!$A$14:$A$513,0))="","",INDEX(NHAP_LIEU!$R$14:$R$513,MATCH($I$2,NHAP_LIEU!$A$14:$A$513,0))),"")</f>
        <v xml:space="preserve">1.3. Mô tả công việc chính: </v>
      </c>
      <c r="C39" s="38"/>
      <c r="D39" s="38"/>
      <c r="E39" s="38"/>
      <c r="F39" s="38"/>
      <c r="G39" s="38"/>
    </row>
    <row r="40" spans="2:7" ht="18" customHeight="1" x14ac:dyDescent="0.25">
      <c r="B40" s="77" t="s">
        <v>452</v>
      </c>
      <c r="C40" s="38"/>
      <c r="D40" s="38"/>
      <c r="E40" s="38"/>
      <c r="F40" s="38"/>
      <c r="G40" s="38"/>
    </row>
    <row r="41" spans="2:7" ht="18" customHeight="1" x14ac:dyDescent="0.25">
      <c r="B41" s="75" t="str">
        <f>"1.4. Địa điểm làm việc: "&amp;IFERROR(IF(INDEX(NHAP_LIEU!$S$14:$S$513,MATCH($I$2,NHAP_LIEU!$A$14:$A$513,0))="","",INDEX(NHAP_LIEU!$S$14:$S$513,MATCH($I$2,NHAP_LIEU!$A$14:$A$513,0))),"")</f>
        <v xml:space="preserve">1.4. Địa điểm làm việc: </v>
      </c>
      <c r="C41" s="38"/>
      <c r="D41" s="38"/>
      <c r="E41" s="38"/>
      <c r="F41" s="38"/>
      <c r="G41" s="38"/>
    </row>
    <row r="42" spans="2:7" ht="45.75" customHeight="1" x14ac:dyDescent="0.25">
      <c r="B42" s="75" t="str">
        <f>"Trường hợp NLĐ làm việc ở nhiều địa điểm khác nhau thì ghi các địa điểm chính; NLĐ đồng ý làm việc tại địa điểm khác theo sự phân công hợp lý của NSDLĐ phù hợp quy định pháp luật: "&amp;IF(IF("Không"&lt;&gt;"","Không","Không")="Có","☒ Có   ☐ Không",IF(IF("Không"&lt;&gt;"","Không","Không")="Không","☐ Có   ☒ Không","☐ Có   ☐ Không"))</f>
        <v>Trường hợp NLĐ làm việc ở nhiều địa điểm khác nhau thì ghi các địa điểm chính; NLĐ đồng ý làm việc tại địa điểm khác theo sự phân công hợp lý của NSDLĐ phù hợp quy định pháp luật: ☐ Có   ☒ Không</v>
      </c>
      <c r="C42" s="38"/>
      <c r="D42" s="38"/>
      <c r="E42" s="38"/>
      <c r="F42" s="38"/>
      <c r="G42" s="38"/>
    </row>
    <row r="43" spans="2:7" ht="31.5" customHeight="1" x14ac:dyDescent="0.25">
      <c r="B43" s="75" t="str">
        <f>"1.5. Hình thức làm việc: "&amp;IF(IF(NHAP_LIEU!$H$7&lt;&gt;"",NHAP_LIEU!$H$7,NHAP_LIEU!$H$7)="Tại văn phòng/nhà máy","☒ Tại văn phòng/nhà máy   ☐ Từ xa/kết hợp (hybrid), theo quy chế làm việc từ xa của Công ty (nếu có).",IF(IF(NHAP_LIEU!$H$7&lt;&gt;"",NHAP_LIEU!$H$7,NHAP_LIEU!$H$7)="Từ xa/kết hợp","☐ Tại văn phòng/nhà máy   ☒ Từ xa/kết hợp (hybrid), theo quy chế làm việc từ xa của Công ty (nếu có).","☐ Tại văn phòng/nhà máy   ☐ Từ xa/kết hợp (hybrid), theo quy chế làm việc từ xa của Công ty (nếu có)."))</f>
        <v>1.5. Hình thức làm việc: ☒ Tại văn phòng/nhà máy   ☐ Từ xa/kết hợp (hybrid), theo quy chế làm việc từ xa của Công ty (nếu có).</v>
      </c>
      <c r="C43" s="38"/>
      <c r="D43" s="38"/>
      <c r="E43" s="38"/>
      <c r="F43" s="38"/>
      <c r="G43" s="38"/>
    </row>
    <row r="44" spans="2:7" ht="24" customHeight="1" x14ac:dyDescent="0.25">
      <c r="B44" s="79" t="s">
        <v>453</v>
      </c>
      <c r="C44" s="80"/>
      <c r="D44" s="80"/>
      <c r="E44" s="80"/>
      <c r="F44" s="80"/>
      <c r="G44" s="80"/>
    </row>
    <row r="45" spans="2:7" ht="18" customHeight="1" x14ac:dyDescent="0.25">
      <c r="B45" s="75" t="s">
        <v>454</v>
      </c>
      <c r="C45" s="38"/>
      <c r="D45" s="38"/>
      <c r="E45" s="38"/>
      <c r="F45" s="38"/>
      <c r="G45" s="38"/>
    </row>
    <row r="46" spans="2:7" ht="18" customHeight="1" x14ac:dyDescent="0.25">
      <c r="B46" s="75" t="str">
        <f>IF(IFERROR(IF(INDEX(NHAP_LIEU!$T$14:$T$513,MATCH($I$2,NHAP_LIEU!$A$14:$A$513,0))="","",INDEX(NHAP_LIEU!$T$14:$T$513,MATCH($I$2,NHAP_LIEU!$A$14:$A$513,0))),"")="Không xác định thời hạn","☒","☐")&amp;" Hợp đồng lao động không xác định thời hạn, làm việc từ ngày "&amp;IF(IFERROR(IF(INDEX(NHAP_LIEU!$W$14:$W$513,MATCH($I$2,NHAP_LIEU!$A$14:$A$513,0))="","",INDEX(NHAP_LIEU!$W$14:$W$513,MATCH($I$2,NHAP_LIEU!$A$14:$A$513,0))),"")="","……/……/……",TEXT(IFERROR(IF(INDEX(NHAP_LIEU!$W$14:$W$513,MATCH($I$2,NHAP_LIEU!$A$14:$A$513,0))="","",INDEX(NHAP_LIEU!$W$14:$W$513,MATCH($I$2,NHAP_LIEU!$A$14:$A$513,0))),""),"dd/mm/yyyy"))</f>
        <v>☐ Hợp đồng lao động không xác định thời hạn, làm việc từ ngày ……/……/……</v>
      </c>
      <c r="C46" s="38"/>
      <c r="D46" s="38"/>
      <c r="E46" s="38"/>
      <c r="F46" s="38"/>
      <c r="G46" s="38"/>
    </row>
    <row r="47" spans="2:7" ht="31.5" customHeight="1" x14ac:dyDescent="0.25">
      <c r="B47" s="75" t="str">
        <f>IF(IFERROR(IF(INDEX(NHAP_LIEU!$T$14:$T$513,MATCH($I$2,NHAP_LIEU!$A$14:$A$513,0))="","",INDEX(NHAP_LIEU!$T$14:$T$513,MATCH($I$2,NHAP_LIEU!$A$14:$A$513,0))),"")="Xác định thời hạn","☒","☐")&amp;" Hợp đồng lao động xác định thời hạn "&amp;IF(IFERROR(IF(INDEX(NHAP_LIEU!$U$14:$U$513,MATCH($I$2,NHAP_LIEU!$A$14:$A$513,0))="","",INDEX(NHAP_LIEU!$U$14:$U$513,MATCH($I$2,NHAP_LIEU!$A$14:$A$513,0))),"")="","……",IFERROR(IF(INDEX(NHAP_LIEU!$U$14:$U$513,MATCH($I$2,NHAP_LIEU!$A$14:$A$513,0))="","",INDEX(NHAP_LIEU!$U$14:$U$513,MATCH($I$2,NHAP_LIEU!$A$14:$A$513,0))),""))&amp;" tháng (tối đa 36 tháng), từ ngày "&amp;IF(IFERROR(IF(INDEX(NHAP_LIEU!$W$14:$W$513,MATCH($I$2,NHAP_LIEU!$A$14:$A$513,0))="","",INDEX(NHAP_LIEU!$W$14:$W$513,MATCH($I$2,NHAP_LIEU!$A$14:$A$513,0))),"")="","……/……/……",TEXT(IFERROR(IF(INDEX(NHAP_LIEU!$W$14:$W$513,MATCH($I$2,NHAP_LIEU!$A$14:$A$513,0))="","",INDEX(NHAP_LIEU!$W$14:$W$513,MATCH($I$2,NHAP_LIEU!$A$14:$A$513,0))),""),"dd/mm/yyyy"))&amp;" đến ngày "&amp;IF(IFERROR(IF(INDEX(NHAP_LIEU!$X$14:$X$513,MATCH($I$2,NHAP_LIEU!$A$14:$A$513,0))="","",INDEX(NHAP_LIEU!$X$14:$X$513,MATCH($I$2,NHAP_LIEU!$A$14:$A$513,0))),"")="","……/……/……",TEXT(IFERROR(IF(INDEX(NHAP_LIEU!$X$14:$X$513,MATCH($I$2,NHAP_LIEU!$A$14:$A$513,0))="","",INDEX(NHAP_LIEU!$X$14:$X$513,MATCH($I$2,NHAP_LIEU!$A$14:$A$513,0))),""),"dd/mm/yyyy"))</f>
        <v>☐ Hợp đồng lao động xác định thời hạn …… tháng (tối đa 36 tháng), từ ngày ……/……/…… đến ngày ……/……/……</v>
      </c>
      <c r="C47" s="38"/>
      <c r="D47" s="38"/>
      <c r="E47" s="38"/>
      <c r="F47" s="38"/>
      <c r="G47" s="38"/>
    </row>
    <row r="48" spans="2:7" ht="60" customHeight="1" x14ac:dyDescent="0.25">
      <c r="B48" s="75" t="s">
        <v>455</v>
      </c>
      <c r="C48" s="38"/>
      <c r="D48" s="38"/>
      <c r="E48" s="38"/>
      <c r="F48" s="38"/>
      <c r="G48" s="38"/>
    </row>
    <row r="49" spans="2:7" ht="87.75" customHeight="1" x14ac:dyDescent="0.25">
      <c r="B49" s="75" t="str">
        <f>IF(OR(IFERROR(IF(INDEX(NHAP_LIEU!$Y$14:$Y$513,MATCH($I$2,NHAP_LIEU!$A$14:$A$513,0))="","",INDEX(NHAP_LIEU!$Y$14:$Y$513,MATCH($I$2,NHAP_LIEU!$A$14:$A$513,0))),"")="",IFERROR(IF(INDEX(NHAP_LIEU!$Y$14:$Y$513,MATCH($I$2,NHAP_LIEU!$A$14:$A$513,0))="","",INDEX(NHAP_LIEU!$Y$14:$Y$513,MATCH($I$2,NHAP_LIEU!$A$14:$A$513,0))),"")=0),"2.3. Thời gian thử việc: Không áp dụng.","2.3. Thời gian thử việc (nếu có): "&amp;IFERROR(IF(INDEX(NHAP_LIEU!$Y$14:$Y$513,MATCH($I$2,NHAP_LIEU!$A$14:$A$513,0))="","",INDEX(NHAP_LIEU!$Y$14:$Y$513,MATCH($I$2,NHAP_LIEU!$A$14:$A$513,0))),"")&amp;" ngày, từ ngày "&amp;IF(IFERROR(IF(INDEX(NHAP_LIEU!$Z$14:$Z$513,MATCH($I$2,NHAP_LIEU!$A$14:$A$513,0))="","",INDEX(NHAP_LIEU!$Z$14:$Z$513,MATCH($I$2,NHAP_LIEU!$A$14:$A$513,0))),"")="","……/……/……",TEXT(IFERROR(IF(INDEX(NHAP_LIEU!$Z$14:$Z$513,MATCH($I$2,NHAP_LIEU!$A$14:$A$513,0))="","",INDEX(NHAP_LIEU!$Z$14:$Z$513,MATCH($I$2,NHAP_LIEU!$A$14:$A$513,0))),""),"dd/mm/yyyy"))&amp;" đến ngày "&amp;IF(IF(OR(IFERROR(IF(INDEX(NHAP_LIEU!$Z$14:$Z$513,MATCH($I$2,NHAP_LIEU!$A$14:$A$513,0))="","",INDEX(NHAP_LIEU!$Z$14:$Z$513,MATCH($I$2,NHAP_LIEU!$A$14:$A$513,0))),"")="",IFERROR(IF(INDEX(NHAP_LIEU!$Y$14:$Y$513,MATCH($I$2,NHAP_LIEU!$A$14:$A$513,0))="","",INDEX(NHAP_LIEU!$Y$14:$Y$513,MATCH($I$2,NHAP_LIEU!$A$14:$A$513,0))),"")=""),"",IFERROR(IF(INDEX(NHAP_LIEU!$Z$14:$Z$513,MATCH($I$2,NHAP_LIEU!$A$14:$A$513,0))="","",INDEX(NHAP_LIEU!$Z$14:$Z$513,MATCH($I$2,NHAP_LIEU!$A$14:$A$513,0))),"")+IFERROR(IF(INDEX(NHAP_LIEU!$Y$14:$Y$513,MATCH($I$2,NHAP_LIEU!$A$14:$A$513,0))="","",INDEX(NHAP_LIEU!$Y$14:$Y$513,MATCH($I$2,NHAP_LIEU!$A$14:$A$513,0))),"")-1)="","……/……/……",TEXT(IF(OR(IFERROR(IF(INDEX(NHAP_LIEU!$Z$14:$Z$513,MATCH($I$2,NHAP_LIEU!$A$14:$A$513,0))="","",INDEX(NHAP_LIEU!$Z$14:$Z$513,MATCH($I$2,NHAP_LIEU!$A$14:$A$513,0))),"")="",IFERROR(IF(INDEX(NHAP_LIEU!$Y$14:$Y$513,MATCH($I$2,NHAP_LIEU!$A$14:$A$513,0))="","",INDEX(NHAP_LIEU!$Y$14:$Y$513,MATCH($I$2,NHAP_LIEU!$A$14:$A$513,0))),"")=""),"",IFERROR(IF(INDEX(NHAP_LIEU!$Z$14:$Z$513,MATCH($I$2,NHAP_LIEU!$A$14:$A$513,0))="","",INDEX(NHAP_LIEU!$Z$14:$Z$513,MATCH($I$2,NHAP_LIEU!$A$14:$A$513,0))),"")+IFERROR(IF(INDEX(NHAP_LIEU!$Y$14:$Y$513,MATCH($I$2,NHAP_LIEU!$A$14:$A$513,0))="","",INDEX(NHAP_LIEU!$Y$14:$Y$513,MATCH($I$2,NHAP_LIEU!$A$14:$A$513,0))),"")-1),"dd/mm/yyyy"))&amp;"; tiền lương thử việc bằng "&amp;IF(IFERROR(IF(INDEX(NHAP_LIEU!$Y$14:$Y$513,MATCH($I$2,NHAP_LIEU!$A$14:$A$513,0))="","",INDEX(NHAP_LIEU!$Y$14:$Y$513,MATCH($I$2,NHAP_LIEU!$A$14:$A$513,0))),"")="","",85)&amp;_xlfn._LONGTEXT("% (tối thiểu 85%) mức lương của công việc theo Điều 4 Hợp đồng này. Hết thời gian thử việc đạt yêu cầu, NLĐ tiếp tục làm việc theo Hợp đồng này; thời gian thử việc theo giới hạn tại Điều 25 BLLĐ 2019 (tối đa 180 ngày với người quản lý doanh nghiệp; 60 ngà","y với vị trí cần trình độ cao đẳng trở lên; 30 ngày với trình độ trung cấp, công nhân kỹ thuật, nhân viên nghiệp vụ; 06 ngày làm việc với công việc khác)."))</f>
        <v>2.3. Thời gian thử việc: Không áp dụng.</v>
      </c>
      <c r="C49" s="38"/>
      <c r="D49" s="38"/>
      <c r="E49" s="38"/>
      <c r="F49" s="38"/>
      <c r="G49" s="38"/>
    </row>
    <row r="50" spans="2:7" ht="31.5" customHeight="1" x14ac:dyDescent="0.25">
      <c r="B50" s="77" t="s">
        <v>456</v>
      </c>
      <c r="C50" s="38"/>
      <c r="D50" s="38"/>
      <c r="E50" s="38"/>
      <c r="F50" s="38"/>
      <c r="G50" s="38"/>
    </row>
    <row r="51" spans="2:7" ht="24" customHeight="1" x14ac:dyDescent="0.25">
      <c r="B51" s="79" t="s">
        <v>457</v>
      </c>
      <c r="C51" s="80"/>
      <c r="D51" s="80"/>
      <c r="E51" s="80"/>
      <c r="F51" s="80"/>
      <c r="G51" s="80"/>
    </row>
    <row r="52" spans="2:7" ht="18" customHeight="1" x14ac:dyDescent="0.25">
      <c r="B52" s="75" t="str">
        <f>"3.1. Mức lương theo công việc/chức danh: "&amp;IF(IFERROR(IF(INDEX(NHAP_LIEU!$AA$14:$AA$513,MATCH($I$2,NHAP_LIEU!$A$14:$A$513,0))="","",INDEX(NHAP_LIEU!$AA$14:$AA$513,MATCH($I$2,NHAP_LIEU!$A$14:$A$513,0))),"")="","……",TEXT(IFERROR(IF(INDEX(NHAP_LIEU!$AA$14:$AA$513,MATCH($I$2,NHAP_LIEU!$A$14:$A$513,0))="","",INDEX(NHAP_LIEU!$AA$14:$AA$513,MATCH($I$2,NHAP_LIEU!$A$14:$A$513,0))),""),"#,##0"))&amp;" đồng/tháng."</f>
        <v>3.1. Mức lương theo công việc/chức danh: …… đồng/tháng.</v>
      </c>
      <c r="C52" s="38"/>
      <c r="D52" s="38"/>
      <c r="E52" s="38"/>
      <c r="F52" s="38"/>
      <c r="G52" s="38"/>
    </row>
    <row r="53" spans="2:7" ht="45.75" customHeight="1" x14ac:dyDescent="0.25">
      <c r="B53" s="75" t="s">
        <v>458</v>
      </c>
      <c r="C53" s="38"/>
      <c r="D53" s="38"/>
      <c r="E53" s="38"/>
      <c r="F53" s="38"/>
      <c r="G53" s="38"/>
    </row>
    <row r="54" spans="2:7" ht="18" customHeight="1" x14ac:dyDescent="0.25">
      <c r="B54" s="75" t="s">
        <v>459</v>
      </c>
      <c r="C54" s="38"/>
      <c r="D54" s="38"/>
      <c r="E54" s="38"/>
      <c r="F54" s="38"/>
      <c r="G54" s="38"/>
    </row>
    <row r="55" spans="2:7" ht="30" customHeight="1" x14ac:dyDescent="0.25">
      <c r="B55" s="82" t="s">
        <v>460</v>
      </c>
      <c r="C55" s="40"/>
      <c r="D55" s="41"/>
      <c r="E55" s="35" t="s">
        <v>461</v>
      </c>
      <c r="F55" s="82" t="s">
        <v>462</v>
      </c>
      <c r="G55" s="41"/>
    </row>
    <row r="56" spans="2:7" ht="37.5" customHeight="1" x14ac:dyDescent="0.25">
      <c r="B56" s="76" t="s">
        <v>83</v>
      </c>
      <c r="C56" s="40"/>
      <c r="D56" s="41"/>
      <c r="E56" s="37" t="str">
        <f>IFERROR(IF(INDEX(NHAP_LIEU!$AB$14:$AB$513,MATCH($I$2,NHAP_LIEU!$A$14:$A$513,0))="","",INDEX(NHAP_LIEU!$AB$14:$AB$513,MATCH($I$2,NHAP_LIEU!$A$14:$A$513,0))),"")</f>
        <v/>
      </c>
      <c r="F56" s="76" t="str">
        <f>IF(IFERROR(IF(INDEX(NHAP_LIEU!$AB$14:$AB$513,MATCH($I$2,NHAP_LIEU!$A$14:$A$513,0))="","",INDEX(NHAP_LIEU!$AB$14:$AB$513,MATCH($I$2,NHAP_LIEU!$A$14:$A$513,0))),"")="","","Theo chức danh và thời gian làm việc thực tế")</f>
        <v/>
      </c>
      <c r="G56" s="41"/>
    </row>
    <row r="57" spans="2:7" ht="37.5" customHeight="1" x14ac:dyDescent="0.25">
      <c r="B57" s="76" t="s">
        <v>463</v>
      </c>
      <c r="C57" s="40"/>
      <c r="D57" s="41"/>
      <c r="E57" s="37" t="str">
        <f>IFERROR(IF(INDEX(NHAP_LIEU!$AC$14:$AC$513,MATCH($I$2,NHAP_LIEU!$A$14:$A$513,0))="","",INDEX(NHAP_LIEU!$AC$14:$AC$513,MATCH($I$2,NHAP_LIEU!$A$14:$A$513,0))),"")</f>
        <v/>
      </c>
      <c r="F57" s="76" t="str">
        <f>IF(IFERROR(IF(INDEX(NHAP_LIEU!$AC$14:$AC$513,MATCH($I$2,NHAP_LIEU!$A$14:$A$513,0))="","",INDEX(NHAP_LIEU!$AC$14:$AC$513,MATCH($I$2,NHAP_LIEU!$A$14:$A$513,0))),"")="","","Theo ngày làm việc thực tế")</f>
        <v/>
      </c>
      <c r="G57" s="41"/>
    </row>
    <row r="58" spans="2:7" ht="37.5" customHeight="1" x14ac:dyDescent="0.25">
      <c r="B58" s="76" t="s">
        <v>85</v>
      </c>
      <c r="C58" s="40"/>
      <c r="D58" s="41"/>
      <c r="E58" s="37" t="str">
        <f>IFERROR(IF(INDEX(NHAP_LIEU!$AD$14:$AD$513,MATCH($I$2,NHAP_LIEU!$A$14:$A$513,0))="","",INDEX(NHAP_LIEU!$AD$14:$AD$513,MATCH($I$2,NHAP_LIEU!$A$14:$A$513,0))),"")</f>
        <v/>
      </c>
      <c r="F58" s="76" t="str">
        <f>IF(IFERROR(IF(INDEX(NHAP_LIEU!$AD$14:$AD$513,MATCH($I$2,NHAP_LIEU!$A$14:$A$513,0))="","",INDEX(NHAP_LIEU!$AD$14:$AD$513,MATCH($I$2,NHAP_LIEU!$A$14:$A$513,0))),"")="","","Theo quy chế Công ty")</f>
        <v/>
      </c>
      <c r="G58" s="41"/>
    </row>
    <row r="59" spans="2:7" ht="37.5" customHeight="1" x14ac:dyDescent="0.25">
      <c r="B59" s="76" t="s">
        <v>464</v>
      </c>
      <c r="C59" s="40"/>
      <c r="D59" s="41"/>
      <c r="E59" s="37" t="str">
        <f>IFERROR(IF(INDEX(NHAP_LIEU!$AE$14:$AE$513,MATCH($I$2,NHAP_LIEU!$A$14:$A$513,0))="","",INDEX(NHAP_LIEU!$AE$14:$AE$513,MATCH($I$2,NHAP_LIEU!$A$14:$A$513,0))),"")</f>
        <v/>
      </c>
      <c r="F59" s="76" t="str">
        <f>IF(IFERROR(IF(INDEX(NHAP_LIEU!$AE$14:$AE$513,MATCH($I$2,NHAP_LIEU!$A$14:$A$513,0))="","",INDEX(NHAP_LIEU!$AE$14:$AE$513,MATCH($I$2,NHAP_LIEU!$A$14:$A$513,0))),"")="","","Theo quy chế Công ty")</f>
        <v/>
      </c>
      <c r="G59" s="41"/>
    </row>
    <row r="60" spans="2:7" ht="37.5" customHeight="1" x14ac:dyDescent="0.25">
      <c r="B60" s="76" t="s">
        <v>87</v>
      </c>
      <c r="C60" s="40"/>
      <c r="D60" s="41"/>
      <c r="E60" s="37" t="str">
        <f>IFERROR(IF(INDEX(NHAP_LIEU!$AF$14:$AF$513,MATCH($I$2,NHAP_LIEU!$A$14:$A$513,0))="","",INDEX(NHAP_LIEU!$AF$14:$AF$513,MATCH($I$2,NHAP_LIEU!$A$14:$A$513,0))),"")</f>
        <v/>
      </c>
      <c r="F60" s="76" t="str">
        <f>IF(IFERROR(IF(INDEX(NHAP_LIEU!$AF$14:$AF$513,MATCH($I$2,NHAP_LIEU!$A$14:$A$513,0))="","",INDEX(NHAP_LIEU!$AF$14:$AF$513,MATCH($I$2,NHAP_LIEU!$A$14:$A$513,0))),"")="","","Theo quy chế Công ty")</f>
        <v/>
      </c>
      <c r="G60" s="41"/>
    </row>
    <row r="61" spans="2:7" ht="37.5" customHeight="1" x14ac:dyDescent="0.25">
      <c r="B61" s="76" t="str">
        <f>"Khoản bổ sung khác: "&amp;IFERROR(IF(INDEX(NHAP_LIEU!$AG$14:$AG$513,MATCH($I$2,NHAP_LIEU!$A$14:$A$513,0))="","",INDEX(NHAP_LIEU!$AG$14:$AG$513,MATCH($I$2,NHAP_LIEU!$A$14:$A$513,0))),"")</f>
        <v xml:space="preserve">Khoản bổ sung khác: </v>
      </c>
      <c r="C61" s="40"/>
      <c r="D61" s="41"/>
      <c r="E61" s="37" t="str">
        <f>IFERROR(IF(INDEX(NHAP_LIEU!$AH$14:$AH$513,MATCH($I$2,NHAP_LIEU!$A$14:$A$513,0))="","",INDEX(NHAP_LIEU!$AH$14:$AH$513,MATCH($I$2,NHAP_LIEU!$A$14:$A$513,0))),"")</f>
        <v/>
      </c>
      <c r="F61" s="76" t="str">
        <f>IF(IFERROR(IF(INDEX(NHAP_LIEU!$AH$14:$AH$513,MATCH($I$2,NHAP_LIEU!$A$14:$A$513,0))="","",INDEX(NHAP_LIEU!$AH$14:$AH$513,MATCH($I$2,NHAP_LIEU!$A$14:$A$513,0))),"")="","","Theo thỏa thuận và quy chế Công ty")</f>
        <v/>
      </c>
      <c r="G61" s="41"/>
    </row>
    <row r="62" spans="2:7" ht="31.5" customHeight="1" x14ac:dyDescent="0.25">
      <c r="B62" s="75" t="s">
        <v>465</v>
      </c>
      <c r="C62" s="38"/>
      <c r="D62" s="38"/>
      <c r="E62" s="38"/>
      <c r="F62" s="38"/>
      <c r="G62" s="38"/>
    </row>
    <row r="63" spans="2:7" ht="31.5" customHeight="1" x14ac:dyDescent="0.25">
      <c r="B63" s="75" t="str">
        <f>"3.3. Hình thức trả lương: "&amp;IF(IF(NHAP_LIEU!$H$6&lt;&gt;"",NHAP_LIEU!$H$6,NHAP_LIEU!$H$6)="Chuyển khoản","☒ Chuyển khoản qua tài khoản ngân hàng của NLĐ (phí mở tài khoản và phí chuyển lương do NSDLĐ chi trả — khoản 2 Điều 96 BLLĐ)   ☐ Tiền mặt.",IF(IF(NHAP_LIEU!$H$6&lt;&gt;"",NHAP_LIEU!$H$6,NHAP_LIEU!$H$6)="Tiền mặt","☐ Chuyển khoản qua tài khoản ngân hàng của NLĐ (phí mở tài khoản và phí chuyển lương do NSDLĐ chi trả — khoản 2 Điều 96 BLLĐ)   ☒ Tiền mặt.","☐ Chuyển khoản qua tài khoản ngân hàng của NLĐ   ☐ Tiền mặt."))</f>
        <v>3.3. Hình thức trả lương: ☒ Chuyển khoản qua tài khoản ngân hàng của NLĐ (phí mở tài khoản và phí chuyển lương do NSDLĐ chi trả — khoản 2 Điều 96 BLLĐ)   ☐ Tiền mặt.</v>
      </c>
      <c r="C63" s="38"/>
      <c r="D63" s="38"/>
      <c r="E63" s="38"/>
      <c r="F63" s="38"/>
      <c r="G63" s="38"/>
    </row>
    <row r="64" spans="2:7" ht="45.75" customHeight="1" x14ac:dyDescent="0.25">
      <c r="B64" s="75" t="str">
        <f>"3.4. Kỳ hạn trả lương: 01 lần/tháng, vào ngày "&amp;IF(NHAP_LIEU!$H$4&lt;&gt;"",NHAP_LIEU!$H$4,NHAP_LIEU!$H$4)&amp;" hằng tháng. Nếu ngày trả lương trùng ngày nghỉ thì trả vào ngày làm việc liền trước/liền kề. Trường hợp vì lý do bất khả kháng, không được chậm quá 30 ngày; chậm từ 15 ngày trở lên phải đền bù theo khoản 4 Điều 97 BLLĐ 2019."</f>
        <v>3.4. Kỳ hạn trả lương: 01 lần/tháng, vào ngày 5 hằng tháng. Nếu ngày trả lương trùng ngày nghỉ thì trả vào ngày làm việc liền trước/liền kề. Trường hợp vì lý do bất khả kháng, không được chậm quá 30 ngày; chậm từ 15 ngày trở lên phải đền bù theo khoản 4 Điều 97 BLLĐ 2019.</v>
      </c>
      <c r="C64" s="38"/>
      <c r="D64" s="38"/>
      <c r="E64" s="38"/>
      <c r="F64" s="38"/>
      <c r="G64" s="38"/>
    </row>
    <row r="65" spans="2:7" ht="60" customHeight="1" x14ac:dyDescent="0.25">
      <c r="B65" s="75" t="s">
        <v>466</v>
      </c>
      <c r="C65" s="38"/>
      <c r="D65" s="38"/>
      <c r="E65" s="38"/>
      <c r="F65" s="38"/>
      <c r="G65" s="38"/>
    </row>
    <row r="66" spans="2:7" ht="31.5" customHeight="1" x14ac:dyDescent="0.25">
      <c r="B66" s="75" t="str">
        <f>"3.6. Chế độ nâng bậc, nâng lương: xét ít nhất "&amp;IF(1&lt;&gt;"",1,1)&amp;" lần/năm theo quy chế lương, kết quả công việc và thỏa thuận của hai bên."</f>
        <v>3.6. Chế độ nâng bậc, nâng lương: xét ít nhất 1 lần/năm theo quy chế lương, kết quả công việc và thỏa thuận của hai bên.</v>
      </c>
      <c r="C66" s="38"/>
      <c r="D66" s="38"/>
      <c r="E66" s="38"/>
      <c r="F66" s="38"/>
      <c r="G66" s="38"/>
    </row>
    <row r="67" spans="2:7" ht="45.75" customHeight="1" x14ac:dyDescent="0.25">
      <c r="B67" s="75" t="s">
        <v>467</v>
      </c>
      <c r="C67" s="38"/>
      <c r="D67" s="38"/>
      <c r="E67" s="38"/>
      <c r="F67" s="38"/>
      <c r="G67" s="38"/>
    </row>
    <row r="68" spans="2:7" ht="24" customHeight="1" x14ac:dyDescent="0.25">
      <c r="B68" s="79" t="s">
        <v>468</v>
      </c>
      <c r="C68" s="80"/>
      <c r="D68" s="80"/>
      <c r="E68" s="80"/>
      <c r="F68" s="80"/>
      <c r="G68" s="80"/>
    </row>
    <row r="69" spans="2:7" ht="73.5" customHeight="1" x14ac:dyDescent="0.25">
      <c r="B69" s="75" t="str">
        <f>"4.1. Thời giờ làm việc bình thường: "&amp;IF(NHAP_LIEU!$K$4&lt;&gt;"",NHAP_LIEU!$K$4,NHAP_LIEU!$K$4)&amp;" giờ/ngày, "&amp;IF(NHAP_LIEU!$K$5&lt;&gt;"",NHAP_LIEU!$K$5,NHAP_LIEU!$K$5)&amp;" giờ/tuần (không quá 08 giờ/ngày và 48 giờ/tuần); từ "&amp;IF(NHAP_LIEU!$K$6&lt;&gt;"",NHAP_LIEU!$K$6,NHAP_LIEU!$K$6)&amp;" giờ đến "&amp;IF(NHAP_LIEU!$K$7&lt;&gt;"",NHAP_LIEU!$K$7,NHAP_LIEU!$K$7)&amp;" giờ, nghỉ giữa giờ "&amp;IF(NHAP_LIEU!$K$8&lt;&gt;"",NHAP_LIEU!$K$8,NHAP_LIEU!$K$8)&amp;" phút (tối thiểu 30 phút liên tục nếu làm việc từ 06 giờ trở lên trong ngày, làm đêm nghỉ giữa giờ tối thiểu 45 phút liên tục; NLĐ làm việc theo ca liên tục từ 06 giờ trở lên thì thời gian nghỉ giữa giờ được tính vào giờ làm việc)."</f>
        <v>4.1. Thời giờ làm việc bình thường: 8 giờ/ngày, 40 giờ/tuần (không quá 08 giờ/ngày và 48 giờ/tuần); từ 08:00 giờ đến 17:00 giờ, nghỉ giữa giờ 60 phút (tối thiểu 30 phút liên tục nếu làm việc từ 06 giờ trở lên trong ngày, làm đêm nghỉ giữa giờ tối thiểu 45 phút liên tục; NLĐ làm việc theo ca liên tục từ 06 giờ trở lên thì thời gian nghỉ giữa giờ được tính vào giờ làm việc).</v>
      </c>
      <c r="C69" s="38"/>
      <c r="D69" s="38"/>
      <c r="E69" s="38"/>
      <c r="F69" s="38"/>
      <c r="G69" s="38"/>
    </row>
    <row r="70" spans="2:7" ht="31.5" customHeight="1" x14ac:dyDescent="0.25">
      <c r="B70" s="75" t="str">
        <f>"4.2. Ngày nghỉ hằng tuần: "&amp;IF(IF(NHAP_LIEU!$H$8&lt;&gt;"",NHAP_LIEU!$H$8,NHAP_LIEU!$H$8)="Thứ Bảy và Chủ nhật","☒ Thứ Bảy và Chủ nhật   ☐ Chủ nhật   ☐ Theo lịch phân ca",IF(IF(NHAP_LIEU!$H$8&lt;&gt;"",NHAP_LIEU!$H$8,NHAP_LIEU!$H$8)="Chủ nhật","☐ Thứ Bảy và Chủ nhật   ☒ Chủ nhật   ☐ Theo lịch phân ca",IF(IF(NHAP_LIEU!$H$8&lt;&gt;"",NHAP_LIEU!$H$8,NHAP_LIEU!$H$8)="Theo lịch phân ca","☐ Thứ Bảy và Chủ nhật   ☐ Chủ nhật   ☒ Theo lịch phân ca","☐ Thứ Bảy và Chủ nhật   ☐ Chủ nhật   ☐ Theo lịch phân ca")))&amp;" (bảo đảm tối thiểu 24 giờ liên tục/tuần)."</f>
        <v>4.2. Ngày nghỉ hằng tuần: ☒ Thứ Bảy và Chủ nhật   ☐ Chủ nhật   ☐ Theo lịch phân ca (bảo đảm tối thiểu 24 giờ liên tục/tuần).</v>
      </c>
      <c r="C70" s="38"/>
      <c r="D70" s="38"/>
      <c r="E70" s="38"/>
      <c r="F70" s="38"/>
      <c r="G70" s="38"/>
    </row>
    <row r="71" spans="2:7" ht="60" customHeight="1" x14ac:dyDescent="0.25">
      <c r="B71" s="75" t="s">
        <v>469</v>
      </c>
      <c r="C71" s="38"/>
      <c r="D71" s="38"/>
      <c r="E71" s="38"/>
      <c r="F71" s="38"/>
      <c r="G71" s="38"/>
    </row>
    <row r="72" spans="2:7" ht="60" customHeight="1" x14ac:dyDescent="0.25">
      <c r="B72" s="75" t="s">
        <v>470</v>
      </c>
      <c r="C72" s="38"/>
      <c r="D72" s="38"/>
      <c r="E72" s="38"/>
      <c r="F72" s="38"/>
      <c r="G72" s="38"/>
    </row>
    <row r="73" spans="2:7" ht="60" customHeight="1" x14ac:dyDescent="0.25">
      <c r="B73" s="75" t="s">
        <v>471</v>
      </c>
      <c r="C73" s="38"/>
      <c r="D73" s="38"/>
      <c r="E73" s="38"/>
      <c r="F73" s="38"/>
      <c r="G73" s="38"/>
    </row>
    <row r="74" spans="2:7" ht="45.75" customHeight="1" x14ac:dyDescent="0.25">
      <c r="B74" s="75" t="s">
        <v>472</v>
      </c>
      <c r="C74" s="38"/>
      <c r="D74" s="38"/>
      <c r="E74" s="38"/>
      <c r="F74" s="38"/>
      <c r="G74" s="38"/>
    </row>
    <row r="75" spans="2:7" ht="24" customHeight="1" x14ac:dyDescent="0.25">
      <c r="B75" s="79" t="s">
        <v>473</v>
      </c>
      <c r="C75" s="80"/>
      <c r="D75" s="80"/>
      <c r="E75" s="80"/>
      <c r="F75" s="80"/>
      <c r="G75" s="80"/>
    </row>
    <row r="76" spans="2:7" ht="31.5" customHeight="1" x14ac:dyDescent="0.25">
      <c r="B76" s="75" t="str">
        <f>"5.1. NLĐ được cấp phát trang thiết bị bảo hộ lao động phù hợp công việc (nếu có): "&amp;IF("Theo tính chất công việc và quy định của Công ty"&lt;&gt;"","Theo tính chất công việc và quy định của Công ty","Theo tính chất công việc và quy định của Công ty")</f>
        <v>5.1. NLĐ được cấp phát trang thiết bị bảo hộ lao động phù hợp công việc (nếu có): Theo tính chất công việc và quy định của Công ty</v>
      </c>
      <c r="C76" s="38"/>
      <c r="D76" s="38"/>
      <c r="E76" s="38"/>
      <c r="F76" s="38"/>
      <c r="G76" s="38"/>
    </row>
    <row r="77" spans="2:7" ht="60" customHeight="1" x14ac:dyDescent="0.25">
      <c r="B77" s="75" t="s">
        <v>474</v>
      </c>
      <c r="C77" s="38"/>
      <c r="D77" s="38"/>
      <c r="E77" s="38"/>
      <c r="F77" s="38"/>
      <c r="G77" s="38"/>
    </row>
    <row r="78" spans="2:7" ht="31.5" customHeight="1" x14ac:dyDescent="0.25">
      <c r="B78" s="75" t="s">
        <v>475</v>
      </c>
      <c r="C78" s="38"/>
      <c r="D78" s="38"/>
      <c r="E78" s="38"/>
      <c r="F78" s="38"/>
      <c r="G78" s="38"/>
    </row>
    <row r="79" spans="2:7" ht="24" customHeight="1" x14ac:dyDescent="0.25">
      <c r="B79" s="79" t="s">
        <v>476</v>
      </c>
      <c r="C79" s="80"/>
      <c r="D79" s="80"/>
      <c r="E79" s="80"/>
      <c r="F79" s="80"/>
      <c r="G79" s="80"/>
    </row>
    <row r="80" spans="2:7" ht="45.75" customHeight="1" x14ac:dyDescent="0.25">
      <c r="B80" s="75" t="s">
        <v>477</v>
      </c>
      <c r="C80" s="38"/>
      <c r="D80" s="38"/>
      <c r="E80" s="38"/>
      <c r="F80" s="38"/>
      <c r="G80" s="38"/>
    </row>
    <row r="81" spans="2:7" ht="30" customHeight="1" x14ac:dyDescent="0.25">
      <c r="B81" s="82" t="s">
        <v>478</v>
      </c>
      <c r="C81" s="41"/>
      <c r="D81" s="35" t="s">
        <v>479</v>
      </c>
      <c r="E81" s="35" t="s">
        <v>480</v>
      </c>
      <c r="F81" s="82" t="s">
        <v>481</v>
      </c>
      <c r="G81" s="41"/>
    </row>
    <row r="82" spans="2:7" ht="27" customHeight="1" x14ac:dyDescent="0.25">
      <c r="B82" s="76" t="s">
        <v>482</v>
      </c>
      <c r="C82" s="41"/>
      <c r="D82" s="36" t="s">
        <v>483</v>
      </c>
      <c r="E82" s="36" t="s">
        <v>484</v>
      </c>
      <c r="F82" s="76" t="s">
        <v>485</v>
      </c>
      <c r="G82" s="41"/>
    </row>
    <row r="83" spans="2:7" ht="27" customHeight="1" x14ac:dyDescent="0.25">
      <c r="B83" s="76" t="s">
        <v>486</v>
      </c>
      <c r="C83" s="41"/>
      <c r="D83" s="36" t="s">
        <v>487</v>
      </c>
      <c r="E83" s="36" t="s">
        <v>488</v>
      </c>
      <c r="F83" s="76" t="s">
        <v>487</v>
      </c>
      <c r="G83" s="41"/>
    </row>
    <row r="84" spans="2:7" ht="27" customHeight="1" x14ac:dyDescent="0.25">
      <c r="B84" s="76" t="s">
        <v>489</v>
      </c>
      <c r="C84" s="41"/>
      <c r="D84" s="36" t="s">
        <v>490</v>
      </c>
      <c r="E84" s="36" t="s">
        <v>488</v>
      </c>
      <c r="F84" s="76" t="s">
        <v>491</v>
      </c>
      <c r="G84" s="41"/>
    </row>
    <row r="85" spans="2:7" ht="27" customHeight="1" x14ac:dyDescent="0.25">
      <c r="B85" s="76" t="s">
        <v>492</v>
      </c>
      <c r="C85" s="41"/>
      <c r="D85" s="36" t="s">
        <v>487</v>
      </c>
      <c r="E85" s="36" t="s">
        <v>493</v>
      </c>
      <c r="F85" s="76" t="s">
        <v>494</v>
      </c>
      <c r="G85" s="41"/>
    </row>
    <row r="86" spans="2:7" ht="27" customHeight="1" x14ac:dyDescent="0.25">
      <c r="B86" s="76" t="s">
        <v>495</v>
      </c>
      <c r="C86" s="41"/>
      <c r="D86" s="36" t="s">
        <v>496</v>
      </c>
      <c r="E86" s="36" t="s">
        <v>496</v>
      </c>
      <c r="F86" s="76" t="s">
        <v>497</v>
      </c>
      <c r="G86" s="41"/>
    </row>
    <row r="87" spans="2:7" ht="27" customHeight="1" x14ac:dyDescent="0.25">
      <c r="B87" s="76" t="s">
        <v>498</v>
      </c>
      <c r="C87" s="41"/>
      <c r="D87" s="36" t="s">
        <v>499</v>
      </c>
      <c r="E87" s="36" t="s">
        <v>500</v>
      </c>
      <c r="F87" s="76" t="s">
        <v>501</v>
      </c>
      <c r="G87" s="41"/>
    </row>
    <row r="88" spans="2:7" ht="45.75" customHeight="1" x14ac:dyDescent="0.25">
      <c r="B88" s="77" t="s">
        <v>502</v>
      </c>
      <c r="C88" s="38"/>
      <c r="D88" s="38"/>
      <c r="E88" s="38"/>
      <c r="F88" s="38"/>
      <c r="G88" s="38"/>
    </row>
    <row r="89" spans="2:7" ht="60" customHeight="1" x14ac:dyDescent="0.25">
      <c r="B89" s="75" t="s">
        <v>503</v>
      </c>
      <c r="C89" s="38"/>
      <c r="D89" s="38"/>
      <c r="E89" s="38"/>
      <c r="F89" s="38"/>
      <c r="G89" s="38"/>
    </row>
    <row r="90" spans="2:7" ht="45.75" customHeight="1" x14ac:dyDescent="0.25">
      <c r="B90" s="75" t="s">
        <v>504</v>
      </c>
      <c r="C90" s="38"/>
      <c r="D90" s="38"/>
      <c r="E90" s="38"/>
      <c r="F90" s="38"/>
      <c r="G90" s="38"/>
    </row>
    <row r="91" spans="2:7" ht="45.75" customHeight="1" x14ac:dyDescent="0.25">
      <c r="B91" s="75" t="s">
        <v>505</v>
      </c>
      <c r="C91" s="38"/>
      <c r="D91" s="38"/>
      <c r="E91" s="38"/>
      <c r="F91" s="38"/>
      <c r="G91" s="38"/>
    </row>
    <row r="92" spans="2:7" ht="24" customHeight="1" x14ac:dyDescent="0.25">
      <c r="B92" s="79" t="s">
        <v>506</v>
      </c>
      <c r="C92" s="80"/>
      <c r="D92" s="80"/>
      <c r="E92" s="80"/>
      <c r="F92" s="80"/>
      <c r="G92" s="80"/>
    </row>
    <row r="93" spans="2:7" ht="45.75" customHeight="1" x14ac:dyDescent="0.25">
      <c r="B93" s="75" t="s">
        <v>507</v>
      </c>
      <c r="C93" s="38"/>
      <c r="D93" s="38"/>
      <c r="E93" s="38"/>
      <c r="F93" s="38"/>
      <c r="G93" s="38"/>
    </row>
    <row r="94" spans="2:7" ht="60" customHeight="1" x14ac:dyDescent="0.25">
      <c r="B94" s="75" t="s">
        <v>508</v>
      </c>
      <c r="C94" s="38"/>
      <c r="D94" s="38"/>
      <c r="E94" s="38"/>
      <c r="F94" s="38"/>
      <c r="G94" s="38"/>
    </row>
    <row r="95" spans="2:7" ht="45.75" customHeight="1" x14ac:dyDescent="0.25">
      <c r="B95" s="75" t="s">
        <v>509</v>
      </c>
      <c r="C95" s="38"/>
      <c r="D95" s="38"/>
      <c r="E95" s="38"/>
      <c r="F95" s="38"/>
      <c r="G95" s="38"/>
    </row>
    <row r="96" spans="2:7" ht="31.5" customHeight="1" x14ac:dyDescent="0.25">
      <c r="B96" s="75" t="s">
        <v>510</v>
      </c>
      <c r="C96" s="38"/>
      <c r="D96" s="38"/>
      <c r="E96" s="38"/>
      <c r="F96" s="38"/>
      <c r="G96" s="38"/>
    </row>
    <row r="97" spans="2:7" ht="24" customHeight="1" x14ac:dyDescent="0.25">
      <c r="B97" s="79" t="s">
        <v>511</v>
      </c>
      <c r="C97" s="80"/>
      <c r="D97" s="80"/>
      <c r="E97" s="80"/>
      <c r="F97" s="80"/>
      <c r="G97" s="80"/>
    </row>
    <row r="98" spans="2:7" ht="45.75" customHeight="1" x14ac:dyDescent="0.25">
      <c r="B98" s="75" t="s">
        <v>512</v>
      </c>
      <c r="C98" s="38"/>
      <c r="D98" s="38"/>
      <c r="E98" s="38"/>
      <c r="F98" s="38"/>
      <c r="G98" s="38"/>
    </row>
    <row r="99" spans="2:7" ht="45.75" customHeight="1" x14ac:dyDescent="0.25">
      <c r="B99" s="75" t="s">
        <v>513</v>
      </c>
      <c r="C99" s="38"/>
      <c r="D99" s="38"/>
      <c r="E99" s="38"/>
      <c r="F99" s="38"/>
      <c r="G99" s="38"/>
    </row>
    <row r="100" spans="2:7" ht="24" customHeight="1" x14ac:dyDescent="0.25">
      <c r="B100" s="79" t="s">
        <v>514</v>
      </c>
      <c r="C100" s="80"/>
      <c r="D100" s="80"/>
      <c r="E100" s="80"/>
      <c r="F100" s="80"/>
      <c r="G100" s="80"/>
    </row>
    <row r="101" spans="2:7" ht="45.75" customHeight="1" x14ac:dyDescent="0.25">
      <c r="B101" s="75" t="s">
        <v>515</v>
      </c>
      <c r="C101" s="38"/>
      <c r="D101" s="38"/>
      <c r="E101" s="38"/>
      <c r="F101" s="38"/>
      <c r="G101" s="38"/>
    </row>
    <row r="102" spans="2:7" ht="45.75" customHeight="1" x14ac:dyDescent="0.25">
      <c r="B102" s="75" t="s">
        <v>516</v>
      </c>
      <c r="C102" s="38"/>
      <c r="D102" s="38"/>
      <c r="E102" s="38"/>
      <c r="F102" s="38"/>
      <c r="G102" s="38"/>
    </row>
    <row r="103" spans="2:7" ht="31.5" customHeight="1" x14ac:dyDescent="0.25">
      <c r="B103" s="75" t="s">
        <v>517</v>
      </c>
      <c r="C103" s="38"/>
      <c r="D103" s="38"/>
      <c r="E103" s="38"/>
      <c r="F103" s="38"/>
      <c r="G103" s="38"/>
    </row>
    <row r="104" spans="2:7" ht="24" customHeight="1" x14ac:dyDescent="0.25">
      <c r="B104" s="79" t="s">
        <v>518</v>
      </c>
      <c r="C104" s="80"/>
      <c r="D104" s="80"/>
      <c r="E104" s="80"/>
      <c r="F104" s="80"/>
      <c r="G104" s="80"/>
    </row>
    <row r="105" spans="2:7" ht="60" customHeight="1" x14ac:dyDescent="0.25">
      <c r="B105" s="75" t="s">
        <v>519</v>
      </c>
      <c r="C105" s="38"/>
      <c r="D105" s="38"/>
      <c r="E105" s="38"/>
      <c r="F105" s="38"/>
      <c r="G105" s="38"/>
    </row>
    <row r="106" spans="2:7" ht="73.5" customHeight="1" x14ac:dyDescent="0.25">
      <c r="B106" s="75" t="s">
        <v>520</v>
      </c>
      <c r="C106" s="38"/>
      <c r="D106" s="38"/>
      <c r="E106" s="38"/>
      <c r="F106" s="38"/>
      <c r="G106" s="38"/>
    </row>
    <row r="107" spans="2:7" ht="24" customHeight="1" x14ac:dyDescent="0.25">
      <c r="B107" s="79" t="s">
        <v>521</v>
      </c>
      <c r="C107" s="80"/>
      <c r="D107" s="80"/>
      <c r="E107" s="80"/>
      <c r="F107" s="80"/>
      <c r="G107" s="80"/>
    </row>
    <row r="108" spans="2:7" ht="73.5" customHeight="1" x14ac:dyDescent="0.25">
      <c r="B108" s="75" t="s">
        <v>522</v>
      </c>
      <c r="C108" s="38"/>
      <c r="D108" s="38"/>
      <c r="E108" s="38"/>
      <c r="F108" s="38"/>
      <c r="G108" s="38"/>
    </row>
    <row r="109" spans="2:7" ht="73.5" customHeight="1" x14ac:dyDescent="0.25">
      <c r="B109" s="75" t="s">
        <v>523</v>
      </c>
      <c r="C109" s="38"/>
      <c r="D109" s="38"/>
      <c r="E109" s="38"/>
      <c r="F109" s="38"/>
      <c r="G109" s="38"/>
    </row>
    <row r="110" spans="2:7" ht="24" customHeight="1" x14ac:dyDescent="0.25">
      <c r="B110" s="79" t="s">
        <v>524</v>
      </c>
      <c r="C110" s="80"/>
      <c r="D110" s="80"/>
      <c r="E110" s="80"/>
      <c r="F110" s="80"/>
      <c r="G110" s="80"/>
    </row>
    <row r="111" spans="2:7" ht="45.75" customHeight="1" x14ac:dyDescent="0.25">
      <c r="B111" s="75" t="s">
        <v>525</v>
      </c>
      <c r="C111" s="38"/>
      <c r="D111" s="38"/>
      <c r="E111" s="38"/>
      <c r="F111" s="38"/>
      <c r="G111" s="38"/>
    </row>
    <row r="112" spans="2:7" ht="31.5" customHeight="1" x14ac:dyDescent="0.25">
      <c r="B112" s="75" t="s">
        <v>526</v>
      </c>
      <c r="C112" s="38"/>
      <c r="D112" s="38"/>
      <c r="E112" s="38"/>
      <c r="F112" s="38"/>
      <c r="G112" s="38"/>
    </row>
    <row r="113" spans="2:7" ht="60" customHeight="1" x14ac:dyDescent="0.25">
      <c r="B113" s="75" t="s">
        <v>527</v>
      </c>
      <c r="C113" s="38"/>
      <c r="D113" s="38"/>
      <c r="E113" s="38"/>
      <c r="F113" s="38"/>
      <c r="G113" s="38"/>
    </row>
    <row r="114" spans="2:7" ht="45.75" customHeight="1" x14ac:dyDescent="0.25">
      <c r="B114" s="75" t="s">
        <v>528</v>
      </c>
      <c r="C114" s="38"/>
      <c r="D114" s="38"/>
      <c r="E114" s="38"/>
      <c r="F114" s="38"/>
      <c r="G114" s="38"/>
    </row>
    <row r="115" spans="2:7" ht="60" customHeight="1" x14ac:dyDescent="0.25">
      <c r="B115" s="75" t="s">
        <v>529</v>
      </c>
      <c r="C115" s="38"/>
      <c r="D115" s="38"/>
      <c r="E115" s="38"/>
      <c r="F115" s="38"/>
      <c r="G115" s="38"/>
    </row>
    <row r="116" spans="2:7" ht="24" customHeight="1" x14ac:dyDescent="0.25">
      <c r="B116" s="79" t="s">
        <v>530</v>
      </c>
      <c r="C116" s="80"/>
      <c r="D116" s="80"/>
      <c r="E116" s="80"/>
      <c r="F116" s="80"/>
      <c r="G116" s="80"/>
    </row>
    <row r="117" spans="2:7" ht="60" customHeight="1" x14ac:dyDescent="0.25">
      <c r="B117" s="75" t="s">
        <v>531</v>
      </c>
      <c r="C117" s="38"/>
      <c r="D117" s="38"/>
      <c r="E117" s="38"/>
      <c r="F117" s="38"/>
      <c r="G117" s="38"/>
    </row>
    <row r="118" spans="2:7" ht="24" customHeight="1" x14ac:dyDescent="0.25">
      <c r="B118" s="79" t="s">
        <v>532</v>
      </c>
      <c r="C118" s="80"/>
      <c r="D118" s="80"/>
      <c r="E118" s="80"/>
      <c r="F118" s="80"/>
      <c r="G118" s="80"/>
    </row>
    <row r="119" spans="2:7" ht="60" customHeight="1" x14ac:dyDescent="0.25">
      <c r="B119" s="75" t="s">
        <v>533</v>
      </c>
      <c r="C119" s="38"/>
      <c r="D119" s="38"/>
      <c r="E119" s="38"/>
      <c r="F119" s="38"/>
      <c r="G119" s="38"/>
    </row>
    <row r="120" spans="2:7" ht="24" customHeight="1" x14ac:dyDescent="0.25">
      <c r="B120" s="79" t="s">
        <v>534</v>
      </c>
      <c r="C120" s="80"/>
      <c r="D120" s="80"/>
      <c r="E120" s="80"/>
      <c r="F120" s="80"/>
      <c r="G120" s="80"/>
    </row>
    <row r="121" spans="2:7" ht="31.5" customHeight="1" x14ac:dyDescent="0.25">
      <c r="B121" s="75" t="s">
        <v>535</v>
      </c>
      <c r="C121" s="38"/>
      <c r="D121" s="38"/>
      <c r="E121" s="38"/>
      <c r="F121" s="38"/>
      <c r="G121" s="38"/>
    </row>
    <row r="122" spans="2:7" ht="31.5" customHeight="1" x14ac:dyDescent="0.25">
      <c r="B122" s="75" t="s">
        <v>536</v>
      </c>
      <c r="C122" s="38"/>
      <c r="D122" s="38"/>
      <c r="E122" s="38"/>
      <c r="F122" s="38"/>
      <c r="G122" s="38"/>
    </row>
    <row r="123" spans="2:7" ht="31.5" customHeight="1" x14ac:dyDescent="0.25">
      <c r="B123" s="75" t="str">
        <f>"15.3. Hợp đồng được lập thành 02 bản có giá trị pháp lý như nhau, mỗi bên giữ 01 bản, có hiệu lực kể từ ngày "&amp;IF(IF(IFERROR(IF(INDEX(NHAP_LIEU!$W$14:$W$513,MATCH($I$2,NHAP_LIEU!$A$14:$A$513,0))="","",INDEX(NHAP_LIEU!$W$14:$W$513,MATCH($I$2,NHAP_LIEU!$A$14:$A$513,0))),"")&lt;&gt;"",IFERROR(IF(INDEX(NHAP_LIEU!$W$14:$W$513,MATCH($I$2,NHAP_LIEU!$A$14:$A$513,0))="","",INDEX(NHAP_LIEU!$W$14:$W$513,MATCH($I$2,NHAP_LIEU!$A$14:$A$513,0))),""),IFERROR(IF(INDEX(NHAP_LIEU!$V$14:$V$513,MATCH($I$2,NHAP_LIEU!$A$14:$A$513,0))="","",INDEX(NHAP_LIEU!$V$14:$V$513,MATCH($I$2,NHAP_LIEU!$A$14:$A$513,0))),""))="","……/……/……",TEXT(IF(IFERROR(IF(INDEX(NHAP_LIEU!$W$14:$W$513,MATCH($I$2,NHAP_LIEU!$A$14:$A$513,0))="","",INDEX(NHAP_LIEU!$W$14:$W$513,MATCH($I$2,NHAP_LIEU!$A$14:$A$513,0))),"")&lt;&gt;"",IFERROR(IF(INDEX(NHAP_LIEU!$W$14:$W$513,MATCH($I$2,NHAP_LIEU!$A$14:$A$513,0))="","",INDEX(NHAP_LIEU!$W$14:$W$513,MATCH($I$2,NHAP_LIEU!$A$14:$A$513,0))),""),IFERROR(IF(INDEX(NHAP_LIEU!$V$14:$V$513,MATCH($I$2,NHAP_LIEU!$A$14:$A$513,0))="","",INDEX(NHAP_LIEU!$V$14:$V$513,MATCH($I$2,NHAP_LIEU!$A$14:$A$513,0))),"")),"dd/mm/yyyy"))&amp;" (hoặc kể từ ngày hai bên ký, nếu không có thỏa thuận khác)."</f>
        <v>15.3. Hợp đồng được lập thành 02 bản có giá trị pháp lý như nhau, mỗi bên giữ 01 bản, có hiệu lực kể từ ngày ……/……/…… (hoặc kể từ ngày hai bên ký, nếu không có thỏa thuận khác).</v>
      </c>
      <c r="C123" s="38"/>
      <c r="D123" s="38"/>
      <c r="E123" s="38"/>
      <c r="F123" s="38"/>
      <c r="G123" s="38"/>
    </row>
    <row r="124" spans="2:7" ht="94.5" customHeight="1" x14ac:dyDescent="0.25">
      <c r="B124" s="78" t="str">
        <f>"NGƯỜI LAO ĐỘNG"&amp;CHAR(10)&amp;"(Ký, ghi rõ họ tên)"&amp;CHAR(10)&amp;CHAR(10)&amp;CHAR(10)&amp;IFERROR(IF(INDEX(NHAP_LIEU!$C$14:$C$513,MATCH($I$2,NHAP_LIEU!$A$14:$A$513,0))="","",INDEX(NHAP_LIEU!$C$14:$C$513,MATCH($I$2,NHAP_LIEU!$A$14:$A$513,0))),"")</f>
        <v xml:space="preserve">NGƯỜI LAO ĐỘNG
(Ký, ghi rõ họ tên)
</v>
      </c>
      <c r="C124" s="40"/>
      <c r="D124" s="41"/>
      <c r="E124" s="78" t="str">
        <f>"ĐẠI DIỆN NGƯỜI SỬ DỤNG LAO ĐỘNG"&amp;CHAR(10)&amp;"(Ký, ghi rõ họ tên, đóng dấu)"&amp;CHAR(10)&amp;CHAR(10)&amp;CHAR(10)&amp;NHAP_LIEU!$E$4</f>
        <v>ĐẠI DIỆN NGƯỜI SỬ DỤNG LAO ĐỘNG
(Ký, ghi rõ họ tên, đóng dấu)
HUỲNH NGỌC NGÂN</v>
      </c>
      <c r="F124" s="40"/>
      <c r="G124" s="41"/>
    </row>
    <row r="126" spans="2:7" ht="24" customHeight="1" x14ac:dyDescent="0.25">
      <c r="B126" s="86" t="s">
        <v>537</v>
      </c>
      <c r="C126" s="87"/>
      <c r="D126" s="87"/>
      <c r="E126" s="87"/>
      <c r="F126" s="87"/>
      <c r="G126" s="87"/>
    </row>
    <row r="127" spans="2:7" ht="24" customHeight="1" x14ac:dyDescent="0.25">
      <c r="B127" s="38"/>
      <c r="C127" s="38"/>
      <c r="D127" s="38"/>
      <c r="E127" s="38"/>
      <c r="F127" s="38"/>
      <c r="G127" s="38"/>
    </row>
  </sheetData>
  <mergeCells count="144">
    <mergeCell ref="I3:J3"/>
    <mergeCell ref="B20:G20"/>
    <mergeCell ref="B87:C87"/>
    <mergeCell ref="B94:G94"/>
    <mergeCell ref="B4:G4"/>
    <mergeCell ref="B75:G75"/>
    <mergeCell ref="F58:G58"/>
    <mergeCell ref="B62:G62"/>
    <mergeCell ref="I1:J1"/>
    <mergeCell ref="B54:G54"/>
    <mergeCell ref="B46:G46"/>
    <mergeCell ref="F82:G82"/>
    <mergeCell ref="F60:G60"/>
    <mergeCell ref="B58:D58"/>
    <mergeCell ref="B70:G70"/>
    <mergeCell ref="B48:G48"/>
    <mergeCell ref="B120:G120"/>
    <mergeCell ref="B2:G2"/>
    <mergeCell ref="B42:G42"/>
    <mergeCell ref="B107:G107"/>
    <mergeCell ref="B61:D61"/>
    <mergeCell ref="B17:G17"/>
    <mergeCell ref="B44:G44"/>
    <mergeCell ref="B53:G53"/>
    <mergeCell ref="B19:G19"/>
    <mergeCell ref="B34:G34"/>
    <mergeCell ref="F55:G55"/>
    <mergeCell ref="F59:G59"/>
    <mergeCell ref="B28:G28"/>
    <mergeCell ref="B99:G99"/>
    <mergeCell ref="B37:G37"/>
    <mergeCell ref="B108:G108"/>
    <mergeCell ref="B9:G9"/>
    <mergeCell ref="B92:G92"/>
    <mergeCell ref="B30:G30"/>
    <mergeCell ref="B55:D55"/>
    <mergeCell ref="B6:G6"/>
    <mergeCell ref="B96:G96"/>
    <mergeCell ref="I2:J2"/>
    <mergeCell ref="B81:C81"/>
    <mergeCell ref="B126:G127"/>
    <mergeCell ref="B119:G119"/>
    <mergeCell ref="B116:G116"/>
    <mergeCell ref="B29:G29"/>
    <mergeCell ref="B69:G69"/>
    <mergeCell ref="B38:G38"/>
    <mergeCell ref="B103:G103"/>
    <mergeCell ref="B112:G112"/>
    <mergeCell ref="I4:J5"/>
    <mergeCell ref="B118:G118"/>
    <mergeCell ref="B40:G40"/>
    <mergeCell ref="B15:G15"/>
    <mergeCell ref="B82:C82"/>
    <mergeCell ref="B24:G24"/>
    <mergeCell ref="B80:G80"/>
    <mergeCell ref="B95:G95"/>
    <mergeCell ref="B89:G89"/>
    <mergeCell ref="B79:G79"/>
    <mergeCell ref="B32:G32"/>
    <mergeCell ref="B26:G26"/>
    <mergeCell ref="B97:G97"/>
    <mergeCell ref="B7:G7"/>
    <mergeCell ref="B124:D124"/>
    <mergeCell ref="B114:G114"/>
    <mergeCell ref="B63:G63"/>
    <mergeCell ref="B41:G41"/>
    <mergeCell ref="B35:G35"/>
    <mergeCell ref="B50:G50"/>
    <mergeCell ref="B106:G106"/>
    <mergeCell ref="B84:C84"/>
    <mergeCell ref="B91:G91"/>
    <mergeCell ref="F61:G61"/>
    <mergeCell ref="B59:D59"/>
    <mergeCell ref="B66:G66"/>
    <mergeCell ref="B93:G93"/>
    <mergeCell ref="B77:G77"/>
    <mergeCell ref="B117:G117"/>
    <mergeCell ref="F87:G87"/>
    <mergeCell ref="B67:G67"/>
    <mergeCell ref="B72:G72"/>
    <mergeCell ref="B83:C83"/>
    <mergeCell ref="B90:G90"/>
    <mergeCell ref="B121:G121"/>
    <mergeCell ref="B122:G122"/>
    <mergeCell ref="B71:G71"/>
    <mergeCell ref="B85:C85"/>
    <mergeCell ref="B1:G1"/>
    <mergeCell ref="B13:G13"/>
    <mergeCell ref="B78:G78"/>
    <mergeCell ref="F83:G83"/>
    <mergeCell ref="B49:G49"/>
    <mergeCell ref="F85:G85"/>
    <mergeCell ref="B64:G64"/>
    <mergeCell ref="B33:G33"/>
    <mergeCell ref="B104:G104"/>
    <mergeCell ref="B51:G51"/>
    <mergeCell ref="B25:G25"/>
    <mergeCell ref="B3:G3"/>
    <mergeCell ref="B27:G27"/>
    <mergeCell ref="B11:G11"/>
    <mergeCell ref="B16:G16"/>
    <mergeCell ref="B43:G43"/>
    <mergeCell ref="B18:G18"/>
    <mergeCell ref="B52:G52"/>
    <mergeCell ref="E124:G124"/>
    <mergeCell ref="B68:G68"/>
    <mergeCell ref="B123:G123"/>
    <mergeCell ref="B5:G5"/>
    <mergeCell ref="B36:G36"/>
    <mergeCell ref="B76:G76"/>
    <mergeCell ref="B45:G45"/>
    <mergeCell ref="B110:G110"/>
    <mergeCell ref="F81:G81"/>
    <mergeCell ref="B113:G113"/>
    <mergeCell ref="F56:G56"/>
    <mergeCell ref="B100:G100"/>
    <mergeCell ref="B109:G109"/>
    <mergeCell ref="B47:G47"/>
    <mergeCell ref="B22:G22"/>
    <mergeCell ref="B115:G115"/>
    <mergeCell ref="B31:G31"/>
    <mergeCell ref="B102:G102"/>
    <mergeCell ref="B56:D56"/>
    <mergeCell ref="B12:G12"/>
    <mergeCell ref="B21:G21"/>
    <mergeCell ref="F57:G57"/>
    <mergeCell ref="B39:G39"/>
    <mergeCell ref="B101:G101"/>
    <mergeCell ref="B111:G111"/>
    <mergeCell ref="B60:D60"/>
    <mergeCell ref="B98:G98"/>
    <mergeCell ref="B57:D57"/>
    <mergeCell ref="B8:G8"/>
    <mergeCell ref="B73:G73"/>
    <mergeCell ref="F84:G84"/>
    <mergeCell ref="B88:G88"/>
    <mergeCell ref="B10:G10"/>
    <mergeCell ref="B86:C86"/>
    <mergeCell ref="F86:G86"/>
    <mergeCell ref="B65:G65"/>
    <mergeCell ref="B74:G74"/>
    <mergeCell ref="B14:G14"/>
    <mergeCell ref="B23:G23"/>
    <mergeCell ref="B105:G105"/>
  </mergeCells>
  <pageMargins left="0.7" right="0.5" top="0.8" bottom="0.7" header="0.3" footer="0.3"/>
  <pageSetup paperSize="9" fitToHeight="0" orientation="portrait" horizontalDpi="300" verticalDpi="300" r:id="rId1"/>
  <headerFooter>
    <oddHeader>&amp;C&amp;"Times New Roman,Italic"&amp;9 HỢP ĐỒNG LAO ĐỘNG</oddHeader>
    <oddFooter>&amp;C&amp;"Times New Roman,Italic"&amp;8 TÀI LIỆU BẢO MẬT&amp;R&amp;"Times New Roman,Regular"&amp;8 Trang &amp;P/&amp;N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J22"/>
  <sheetViews>
    <sheetView showGridLines="0" topLeftCell="A11" zoomScaleNormal="100" workbookViewId="0">
      <selection activeCell="J12" sqref="J12"/>
    </sheetView>
  </sheetViews>
  <sheetFormatPr defaultColWidth="8.6328125" defaultRowHeight="12.5" x14ac:dyDescent="0.25"/>
  <cols>
    <col min="1" max="1" width="2.453125" customWidth="1"/>
    <col min="2" max="7" width="13" customWidth="1"/>
    <col min="8" max="8" width="3" customWidth="1"/>
    <col min="9" max="10" width="22" customWidth="1"/>
    <col min="11" max="11" width="3" customWidth="1"/>
  </cols>
  <sheetData>
    <row r="1" spans="2:10" ht="19.5" customHeight="1" x14ac:dyDescent="0.25">
      <c r="B1" s="83" t="s">
        <v>431</v>
      </c>
      <c r="C1" s="38"/>
      <c r="D1" s="38"/>
      <c r="E1" s="38"/>
      <c r="F1" s="38"/>
      <c r="G1" s="38"/>
      <c r="I1" s="93" t="s">
        <v>538</v>
      </c>
      <c r="J1" s="38"/>
    </row>
    <row r="2" spans="2:10" ht="19.5" customHeight="1" x14ac:dyDescent="0.25">
      <c r="B2" s="90" t="s">
        <v>433</v>
      </c>
      <c r="C2" s="38"/>
      <c r="D2" s="38"/>
      <c r="E2" s="38"/>
      <c r="F2" s="38"/>
      <c r="G2" s="38"/>
      <c r="I2" s="85" t="s">
        <v>285</v>
      </c>
      <c r="J2" s="39"/>
    </row>
    <row r="3" spans="2:10" ht="30" customHeight="1" x14ac:dyDescent="0.25">
      <c r="B3" s="92" t="s">
        <v>539</v>
      </c>
      <c r="C3" s="38"/>
      <c r="D3" s="38"/>
      <c r="E3" s="38"/>
      <c r="F3" s="38"/>
      <c r="G3" s="38"/>
      <c r="I3" s="91" t="str">
        <f>IFERROR("Của NV "&amp;INDEX(NHAP_LIEU!$B$1026:$B$1525,MATCH($I$2,NHAP_LIEU!$A$1026:$A$1525,0)),"—")</f>
        <v>Của NV NV001</v>
      </c>
      <c r="J3" s="39"/>
    </row>
    <row r="4" spans="2:10" ht="19.5" customHeight="1" x14ac:dyDescent="0.25">
      <c r="B4" s="81" t="str">
        <f>"Số: "&amp;IFERROR(IF(INDEX(NHAP_LIEU!$C$1026:$C$1525,MATCH($I$2,NHAP_LIEU!$A$1026:$A$1525,0))="","",INDEX(NHAP_LIEU!$C$1026:$C$1525,MATCH($I$2,NHAP_LIEU!$A$1026:$A$1525,0))),"")&amp;" (kèm theo HĐLĐ số "&amp;IFERROR(IF(INDEX(NHAP_LIEU!$B$14:$B$513,MATCH(IFERROR(IF(INDEX(NHAP_LIEU!$B$1026:$B$1525,MATCH($I$2,NHAP_LIEU!$A$1026:$A$1525,0))="","",INDEX(NHAP_LIEU!$B$1026:$B$1525,MATCH($I$2,NHAP_LIEU!$A$1026:$A$1525,0))),""),NHAP_LIEU!$A$14:$A$513,0))="","",INDEX(NHAP_LIEU!$B$14:$B$513,MATCH(IFERROR(IF(INDEX(NHAP_LIEU!$B$1026:$B$1525,MATCH($I$2,NHAP_LIEU!$A$1026:$A$1525,0))="","",INDEX(NHAP_LIEU!$B$1026:$B$1525,MATCH($I$2,NHAP_LIEU!$A$1026:$A$1525,0))),""),NHAP_LIEU!$A$14:$A$513,0))),"")&amp;" ngày "&amp;IF(IFERROR(IF(INDEX(NHAP_LIEU!$V$14:$V$513,MATCH(IFERROR(IF(INDEX(NHAP_LIEU!$B$1026:$B$1525,MATCH($I$2,NHAP_LIEU!$A$1026:$A$1525,0))="","",INDEX(NHAP_LIEU!$B$1026:$B$1525,MATCH($I$2,NHAP_LIEU!$A$1026:$A$1525,0))),""),NHAP_LIEU!$A$14:$A$513,0))="","",INDEX(NHAP_LIEU!$V$14:$V$513,MATCH(IFERROR(IF(INDEX(NHAP_LIEU!$B$1026:$B$1525,MATCH($I$2,NHAP_LIEU!$A$1026:$A$1525,0))="","",INDEX(NHAP_LIEU!$B$1026:$B$1525,MATCH($I$2,NHAP_LIEU!$A$1026:$A$1525,0))),""),NHAP_LIEU!$A$14:$A$513,0))),"")="","……/……/……",TEXT(IFERROR(IF(INDEX(NHAP_LIEU!$V$14:$V$513,MATCH(IFERROR(IF(INDEX(NHAP_LIEU!$B$1026:$B$1525,MATCH($I$2,NHAP_LIEU!$A$1026:$A$1525,0))="","",INDEX(NHAP_LIEU!$B$1026:$B$1525,MATCH($I$2,NHAP_LIEU!$A$1026:$A$1525,0))),""),NHAP_LIEU!$A$14:$A$513,0))="","",INDEX(NHAP_LIEU!$V$14:$V$513,MATCH(IFERROR(IF(INDEX(NHAP_LIEU!$B$1026:$B$1525,MATCH($I$2,NHAP_LIEU!$A$1026:$A$1525,0))="","",INDEX(NHAP_LIEU!$B$1026:$B$1525,MATCH($I$2,NHAP_LIEU!$A$1026:$A$1525,0))),""),NHAP_LIEU!$A$14:$A$513,0))),""),"dd/mm/yyyy"))&amp;")"</f>
        <v>Số: 001/2026/PLHĐLĐ-MAU (kèm theo HĐLĐ số  ngày ……/……/……)</v>
      </c>
      <c r="C4" s="38"/>
      <c r="D4" s="38"/>
      <c r="E4" s="38"/>
      <c r="F4" s="38"/>
      <c r="G4" s="38"/>
      <c r="I4" s="88" t="s">
        <v>436</v>
      </c>
      <c r="J4" s="38"/>
    </row>
    <row r="5" spans="2:10" ht="42" customHeight="1" x14ac:dyDescent="0.25">
      <c r="B5" s="75" t="str">
        <f>IF(IFERROR(IF(INDEX(NHAP_LIEU!$D$1026:$D$1525,MATCH($I$2,NHAP_LIEU!$A$1026:$A$1525,0))="","",INDEX(NHAP_LIEU!$D$1026:$D$1525,MATCH($I$2,NHAP_LIEU!$A$1026:$A$1525,0))),"")="","Căn cứ Điều 22 Bộ luật Lao động 2019 và Hợp đồng lao động đã ký, hôm nay, ngày ……/……/……, tại "&amp;IF(IFERROR(IF(INDEX(NHAP_LIEU!$E$1026:$E$1525,MATCH($I$2,NHAP_LIEU!$A$1026:$A$1525,0))="","",INDEX(NHAP_LIEU!$E$1026:$E$1525,MATCH($I$2,NHAP_LIEU!$A$1026:$A$1525,0))),"")&lt;&gt;"",IFERROR(IF(INDEX(NHAP_LIEU!$E$1026:$E$1525,MATCH($I$2,NHAP_LIEU!$A$1026:$A$1525,0))="","",INDEX(NHAP_LIEU!$E$1026:$E$1525,MATCH($I$2,NHAP_LIEU!$A$1026:$A$1525,0))),""),NHAP_LIEU!$E$7)&amp;", chúng tôi gồm:","Căn cứ Điều 22 Bộ luật Lao động 2019 và Hợp đồng lao động đã ký, hôm nay, ngày "&amp;TEXT(IFERROR(IF(INDEX(NHAP_LIEU!$D$1026:$D$1525,MATCH($I$2,NHAP_LIEU!$A$1026:$A$1525,0))="","",INDEX(NHAP_LIEU!$D$1026:$D$1525,MATCH($I$2,NHAP_LIEU!$A$1026:$A$1525,0))),""),"dd/mm/yyyy")&amp;", tại "&amp;IF(IFERROR(IF(INDEX(NHAP_LIEU!$E$1026:$E$1525,MATCH($I$2,NHAP_LIEU!$A$1026:$A$1525,0))="","",INDEX(NHAP_LIEU!$E$1026:$E$1525,MATCH($I$2,NHAP_LIEU!$A$1026:$A$1525,0))),"")&lt;&gt;"",IFERROR(IF(INDEX(NHAP_LIEU!$E$1026:$E$1525,MATCH($I$2,NHAP_LIEU!$A$1026:$A$1525,0))="","",INDEX(NHAP_LIEU!$E$1026:$E$1525,MATCH($I$2,NHAP_LIEU!$A$1026:$A$1525,0))),""),NHAP_LIEU!$E$7)&amp;", chúng tôi gồm:")</f>
        <v>Căn cứ Điều 22 Bộ luật Lao động 2019 và Hợp đồng lao động đã ký, hôm nay, ngày 01/10/2026, tại Thành phố Hồ Chí Minh, chúng tôi gồm:</v>
      </c>
      <c r="C5" s="38"/>
      <c r="D5" s="38"/>
      <c r="E5" s="38"/>
      <c r="F5" s="38"/>
      <c r="G5" s="38"/>
      <c r="I5" s="38"/>
      <c r="J5" s="38"/>
    </row>
    <row r="6" spans="2:10" ht="66" customHeight="1" x14ac:dyDescent="0.25">
      <c r="B6" s="89" t="str">
        <f>"BÊN A (NSDLĐ): Công ty "&amp;NHAP_LIEU!$B$4&amp;" — Đại diện: "&amp;NHAP_LIEU!$E$4&amp;" — Chức danh: "&amp;NHAP_LIEU!$E$6</f>
        <v>BÊN A (NSDLĐ): Công ty CÔNG TY TNHH KK HOME — Đại diện: HUỲNH NGỌC NGÂN — Chức danh: Giám đốc</v>
      </c>
      <c r="C6" s="38"/>
      <c r="D6" s="38"/>
      <c r="E6" s="38"/>
      <c r="F6" s="38"/>
      <c r="G6" s="38"/>
    </row>
    <row r="7" spans="2:10" ht="37.5" customHeight="1" x14ac:dyDescent="0.25">
      <c r="B7" s="89" t="str">
        <f>"BÊN B (NLĐ): "&amp;IF(IFERROR(IF(INDEX(NHAP_LIEU!$D$14:$D$513,MATCH(IFERROR(IF(INDEX(NHAP_LIEU!$B$1026:$B$1525,MATCH($I$2,NHAP_LIEU!$A$1026:$A$1525,0))="","",INDEX(NHAP_LIEU!$B$1026:$B$1525,MATCH($I$2,NHAP_LIEU!$A$1026:$A$1525,0))),""),NHAP_LIEU!$A$14:$A$513,0))="","",INDEX(NHAP_LIEU!$D$14:$D$513,MATCH(IFERROR(IF(INDEX(NHAP_LIEU!$B$1026:$B$1525,MATCH($I$2,NHAP_LIEU!$A$1026:$A$1525,0))="","",INDEX(NHAP_LIEU!$B$1026:$B$1525,MATCH($I$2,NHAP_LIEU!$A$1026:$A$1525,0))),""),NHAP_LIEU!$A$14:$A$513,0))),"")="Nữ","Bà",IF(IFERROR(IF(INDEX(NHAP_LIEU!$D$14:$D$513,MATCH(IFERROR(IF(INDEX(NHAP_LIEU!$B$1026:$B$1525,MATCH($I$2,NHAP_LIEU!$A$1026:$A$1525,0))="","",INDEX(NHAP_LIEU!$B$1026:$B$1525,MATCH($I$2,NHAP_LIEU!$A$1026:$A$1525,0))),""),NHAP_LIEU!$A$14:$A$513,0))="","",INDEX(NHAP_LIEU!$D$14:$D$513,MATCH(IFERROR(IF(INDEX(NHAP_LIEU!$B$1026:$B$1525,MATCH($I$2,NHAP_LIEU!$A$1026:$A$1525,0))="","",INDEX(NHAP_LIEU!$B$1026:$B$1525,MATCH($I$2,NHAP_LIEU!$A$1026:$A$1525,0))),""),NHAP_LIEU!$A$14:$A$513,0))),"")="Nam","Ông",""))&amp;" "&amp;IFERROR(IF(INDEX(NHAP_LIEU!$C$14:$C$513,MATCH(IFERROR(IF(INDEX(NHAP_LIEU!$B$1026:$B$1525,MATCH($I$2,NHAP_LIEU!$A$1026:$A$1525,0))="","",INDEX(NHAP_LIEU!$B$1026:$B$1525,MATCH($I$2,NHAP_LIEU!$A$1026:$A$1525,0))),""),NHAP_LIEU!$A$14:$A$513,0))="","",INDEX(NHAP_LIEU!$C$14:$C$513,MATCH(IFERROR(IF(INDEX(NHAP_LIEU!$B$1026:$B$1525,MATCH($I$2,NHAP_LIEU!$A$1026:$A$1525,0))="","",INDEX(NHAP_LIEU!$B$1026:$B$1525,MATCH($I$2,NHAP_LIEU!$A$1026:$A$1525,0))),""),NHAP_LIEU!$A$14:$A$513,0))),"")&amp;" — CCCD số: "&amp;IFERROR(IF(INDEX(NHAP_LIEU!$G$14:$G$513,MATCH(IFERROR(IF(INDEX(NHAP_LIEU!$B$1026:$B$1525,MATCH($I$2,NHAP_LIEU!$A$1026:$A$1525,0))="","",INDEX(NHAP_LIEU!$B$1026:$B$1525,MATCH($I$2,NHAP_LIEU!$A$1026:$A$1525,0))),""),NHAP_LIEU!$A$14:$A$513,0))="","",INDEX(NHAP_LIEU!$G$14:$G$513,MATCH(IFERROR(IF(INDEX(NHAP_LIEU!$B$1026:$B$1525,MATCH($I$2,NHAP_LIEU!$A$1026:$A$1525,0))="","",INDEX(NHAP_LIEU!$B$1026:$B$1525,MATCH($I$2,NHAP_LIEU!$A$1026:$A$1525,0))),""),NHAP_LIEU!$A$14:$A$513,0))),"")</f>
        <v xml:space="preserve">BÊN B (NLĐ):   — CCCD số: </v>
      </c>
      <c r="C7" s="38"/>
      <c r="D7" s="38"/>
      <c r="E7" s="38"/>
      <c r="F7" s="38"/>
      <c r="G7" s="38"/>
    </row>
    <row r="8" spans="2:10" ht="18" customHeight="1" x14ac:dyDescent="0.25">
      <c r="B8" s="75" t="s">
        <v>540</v>
      </c>
      <c r="C8" s="38"/>
      <c r="D8" s="38"/>
      <c r="E8" s="38"/>
      <c r="F8" s="38"/>
      <c r="G8" s="38"/>
    </row>
    <row r="9" spans="2:10" ht="24" customHeight="1" x14ac:dyDescent="0.25">
      <c r="B9" s="79" t="s">
        <v>541</v>
      </c>
      <c r="C9" s="80"/>
      <c r="D9" s="80"/>
      <c r="E9" s="80"/>
      <c r="F9" s="80"/>
      <c r="G9" s="80"/>
    </row>
    <row r="10" spans="2:10" ht="30" customHeight="1" x14ac:dyDescent="0.25">
      <c r="B10" s="82" t="s">
        <v>542</v>
      </c>
      <c r="C10" s="40"/>
      <c r="D10" s="41"/>
      <c r="E10" s="35" t="s">
        <v>543</v>
      </c>
      <c r="F10" s="82" t="str">
        <f>"Nội dung mới (từ ngày "&amp;IF(IFERROR(IF(INDEX(NHAP_LIEU!$F$1026:$F$1525,MATCH($I$2,NHAP_LIEU!$A$1026:$A$1525,0))="","",INDEX(NHAP_LIEU!$F$1026:$F$1525,MATCH($I$2,NHAP_LIEU!$A$1026:$A$1525,0))),"")="","……/……/……",TEXT(IFERROR(IF(INDEX(NHAP_LIEU!$F$1026:$F$1525,MATCH($I$2,NHAP_LIEU!$A$1026:$A$1525,0))="","",INDEX(NHAP_LIEU!$F$1026:$F$1525,MATCH($I$2,NHAP_LIEU!$A$1026:$A$1525,0))),""),"dd/mm/yyyy"))&amp;")"</f>
        <v>Nội dung mới (từ ngày 01/10/2026)</v>
      </c>
      <c r="G10" s="41"/>
    </row>
    <row r="11" spans="2:10" ht="61.5" customHeight="1" x14ac:dyDescent="0.25">
      <c r="B11" s="76" t="str">
        <f>IFERROR(IF(INDEX(NHAP_LIEU!$G$1026:$G$1525,MATCH($I$2,NHAP_LIEU!$A$1026:$A$1525,0))="","",INDEX(NHAP_LIEU!$G$1026:$G$1525,MATCH($I$2,NHAP_LIEU!$A$1026:$A$1525,0))),"")</f>
        <v>Điều 3.1</v>
      </c>
      <c r="C11" s="40"/>
      <c r="D11" s="41"/>
      <c r="E11" s="37" t="str">
        <f>IFERROR(IF(INDEX(NHAP_LIEU!$H$1026:$H$1525,MATCH($I$2,NHAP_LIEU!$A$1026:$A$1525,0))="","",INDEX(NHAP_LIEU!$H$1026:$H$1525,MATCH($I$2,NHAP_LIEU!$A$1026:$A$1525,0))),"")</f>
        <v>Mức lương 12.000.000 đồng/tháng</v>
      </c>
      <c r="F11" s="76" t="str">
        <f>IFERROR(IF(INDEX(NHAP_LIEU!$I$1026:$I$1525,MATCH($I$2,NHAP_LIEU!$A$1026:$A$1525,0))="","",INDEX(NHAP_LIEU!$I$1026:$I$1525,MATCH($I$2,NHAP_LIEU!$A$1026:$A$1525,0))),"")</f>
        <v>Mức lương 13.000.000 đồng/tháng</v>
      </c>
      <c r="G11" s="41"/>
    </row>
    <row r="12" spans="2:10" ht="61.5" customHeight="1" x14ac:dyDescent="0.25">
      <c r="B12" s="76" t="str">
        <f>IFERROR(IF(INDEX(NHAP_LIEU!$J$1026:$J$1525,MATCH($I$2,NHAP_LIEU!$A$1026:$A$1525,0))="","",INDEX(NHAP_LIEU!$J$1026:$J$1525,MATCH($I$2,NHAP_LIEU!$A$1026:$A$1525,0))),"")</f>
        <v>Điều 3.2</v>
      </c>
      <c r="C12" s="40"/>
      <c r="D12" s="41"/>
      <c r="E12" s="37" t="str">
        <f>IFERROR(IF(INDEX(NHAP_LIEU!$K$1026:$K$1525,MATCH($I$2,NHAP_LIEU!$A$1026:$A$1525,0))="","",INDEX(NHAP_LIEU!$K$1026:$K$1525,MATCH($I$2,NHAP_LIEU!$A$1026:$A$1525,0))),"")</f>
        <v>Phụ cấp trách nhiệm 1.000.000 đồng/tháng</v>
      </c>
      <c r="F12" s="76" t="str">
        <f>IFERROR(IF(INDEX(NHAP_LIEU!$L$1026:$L$1525,MATCH($I$2,NHAP_LIEU!$A$1026:$A$1525,0))="","",INDEX(NHAP_LIEU!$L$1026:$L$1525,MATCH($I$2,NHAP_LIEU!$A$1026:$A$1525,0))),"")</f>
        <v>Phụ cấp trách nhiệm 1.500.000 đồng/tháng</v>
      </c>
      <c r="G12" s="41"/>
    </row>
    <row r="13" spans="2:10" ht="61.5" customHeight="1" x14ac:dyDescent="0.25">
      <c r="B13" s="76" t="str">
        <f>IFERROR(IF(INDEX(NHAP_LIEU!$M$1026:$M$1525,MATCH($I$2,NHAP_LIEU!$A$1026:$A$1525,0))="","",INDEX(NHAP_LIEU!$M$1026:$M$1525,MATCH($I$2,NHAP_LIEU!$A$1026:$A$1525,0))),"")</f>
        <v/>
      </c>
      <c r="C13" s="40"/>
      <c r="D13" s="41"/>
      <c r="E13" s="37" t="str">
        <f>IFERROR(IF(INDEX(NHAP_LIEU!$N$1026:$N$1525,MATCH($I$2,NHAP_LIEU!$A$1026:$A$1525,0))="","",INDEX(NHAP_LIEU!$N$1026:$N$1525,MATCH($I$2,NHAP_LIEU!$A$1026:$A$1525,0))),"")</f>
        <v/>
      </c>
      <c r="F13" s="76" t="str">
        <f>IFERROR(IF(INDEX(NHAP_LIEU!$O$1026:$O$1525,MATCH($I$2,NHAP_LIEU!$A$1026:$A$1525,0))="","",INDEX(NHAP_LIEU!$O$1026:$O$1525,MATCH($I$2,NHAP_LIEU!$A$1026:$A$1525,0))),"")</f>
        <v/>
      </c>
      <c r="G13" s="41"/>
    </row>
    <row r="14" spans="2:10" ht="31.5" customHeight="1" x14ac:dyDescent="0.25">
      <c r="B14" s="75" t="s">
        <v>544</v>
      </c>
      <c r="C14" s="38"/>
      <c r="D14" s="38"/>
      <c r="E14" s="38"/>
      <c r="F14" s="38"/>
      <c r="G14" s="38"/>
    </row>
    <row r="15" spans="2:10" ht="24" customHeight="1" x14ac:dyDescent="0.25">
      <c r="B15" s="79" t="s">
        <v>545</v>
      </c>
      <c r="C15" s="80"/>
      <c r="D15" s="80"/>
      <c r="E15" s="80"/>
      <c r="F15" s="80"/>
      <c r="G15" s="80"/>
    </row>
    <row r="16" spans="2:10" ht="18" customHeight="1" x14ac:dyDescent="0.25">
      <c r="B16" s="75" t="s">
        <v>546</v>
      </c>
      <c r="C16" s="38"/>
      <c r="D16" s="38"/>
      <c r="E16" s="38"/>
      <c r="F16" s="38"/>
      <c r="G16" s="38"/>
    </row>
    <row r="17" spans="2:7" ht="31.5" customHeight="1" x14ac:dyDescent="0.25">
      <c r="B17" s="75" t="s">
        <v>547</v>
      </c>
      <c r="C17" s="38"/>
      <c r="D17" s="38"/>
      <c r="E17" s="38"/>
      <c r="F17" s="38"/>
      <c r="G17" s="38"/>
    </row>
    <row r="18" spans="2:7" ht="42" customHeight="1" x14ac:dyDescent="0.25">
      <c r="B18" s="75" t="str">
        <f>"2.3. Phụ lục được lập thành 02 bản, mỗi bên giữ 01 bản, là bộ phận không tách rời của Hợp đồng lao động, có hiệu lực từ ngày "&amp;IF(IFERROR(IF(INDEX(NHAP_LIEU!$F$1026:$F$1525,MATCH($I$2,NHAP_LIEU!$A$1026:$A$1525,0))="","",INDEX(NHAP_LIEU!$F$1026:$F$1525,MATCH($I$2,NHAP_LIEU!$A$1026:$A$1525,0))),"")="","……/……/……",TEXT(IFERROR(IF(INDEX(NHAP_LIEU!$F$1026:$F$1525,MATCH($I$2,NHAP_LIEU!$A$1026:$A$1525,0))="","",INDEX(NHAP_LIEU!$F$1026:$F$1525,MATCH($I$2,NHAP_LIEU!$A$1026:$A$1525,0))),""),"dd/mm/yyyy"))</f>
        <v>2.3. Phụ lục được lập thành 02 bản, mỗi bên giữ 01 bản, là bộ phận không tách rời của Hợp đồng lao động, có hiệu lực từ ngày 01/10/2026</v>
      </c>
      <c r="C18" s="38"/>
      <c r="D18" s="38"/>
      <c r="E18" s="38"/>
      <c r="F18" s="38"/>
      <c r="G18" s="38"/>
    </row>
    <row r="19" spans="2:7" ht="94.5" customHeight="1" x14ac:dyDescent="0.25">
      <c r="B19" s="78" t="str">
        <f>"NGƯỜI LAO ĐỘNG"&amp;CHAR(10)&amp;"(Ký, ghi rõ họ tên)"&amp;CHAR(10)&amp;CHAR(10)&amp;CHAR(10)&amp;IFERROR(IF(INDEX(NHAP_LIEU!$C$14:$C$513,MATCH(IFERROR(IF(INDEX(NHAP_LIEU!$B$1026:$B$1525,MATCH($I$2,NHAP_LIEU!$A$1026:$A$1525,0))="","",INDEX(NHAP_LIEU!$B$1026:$B$1525,MATCH($I$2,NHAP_LIEU!$A$1026:$A$1525,0))),""),NHAP_LIEU!$A$14:$A$513,0))="","",INDEX(NHAP_LIEU!$C$14:$C$513,MATCH(IFERROR(IF(INDEX(NHAP_LIEU!$B$1026:$B$1525,MATCH($I$2,NHAP_LIEU!$A$1026:$A$1525,0))="","",INDEX(NHAP_LIEU!$B$1026:$B$1525,MATCH($I$2,NHAP_LIEU!$A$1026:$A$1525,0))),""),NHAP_LIEU!$A$14:$A$513,0))),"")</f>
        <v xml:space="preserve">NGƯỜI LAO ĐỘNG
(Ký, ghi rõ họ tên)
</v>
      </c>
      <c r="C19" s="40"/>
      <c r="D19" s="41"/>
      <c r="E19" s="78" t="str">
        <f>"ĐẠI DIỆN NGƯỜI SỬ DỤNG LAO ĐỘNG"&amp;CHAR(10)&amp;"(Ký, ghi rõ họ tên, đóng dấu)"&amp;CHAR(10)&amp;CHAR(10)&amp;CHAR(10)&amp;NHAP_LIEU!$E$4</f>
        <v>ĐẠI DIỆN NGƯỜI SỬ DỤNG LAO ĐỘNG
(Ký, ghi rõ họ tên, đóng dấu)
HUỲNH NGỌC NGÂN</v>
      </c>
      <c r="F19" s="40"/>
      <c r="G19" s="41"/>
    </row>
    <row r="21" spans="2:7" ht="24" customHeight="1" x14ac:dyDescent="0.25">
      <c r="B21" s="86" t="s">
        <v>537</v>
      </c>
      <c r="C21" s="87"/>
      <c r="D21" s="87"/>
      <c r="E21" s="87"/>
      <c r="F21" s="87"/>
      <c r="G21" s="87"/>
    </row>
    <row r="22" spans="2:7" ht="24" customHeight="1" x14ac:dyDescent="0.25">
      <c r="B22" s="38"/>
      <c r="C22" s="38"/>
      <c r="D22" s="38"/>
      <c r="E22" s="38"/>
      <c r="F22" s="38"/>
      <c r="G22" s="38"/>
    </row>
  </sheetData>
  <mergeCells count="29">
    <mergeCell ref="B21:G22"/>
    <mergeCell ref="B9:G9"/>
    <mergeCell ref="B15:G15"/>
    <mergeCell ref="B6:G6"/>
    <mergeCell ref="I3:J3"/>
    <mergeCell ref="B5:G5"/>
    <mergeCell ref="B4:G4"/>
    <mergeCell ref="F13:G13"/>
    <mergeCell ref="B7:G7"/>
    <mergeCell ref="B3:G3"/>
    <mergeCell ref="B16:G16"/>
    <mergeCell ref="B18:G18"/>
    <mergeCell ref="B12:D12"/>
    <mergeCell ref="I2:J2"/>
    <mergeCell ref="B17:G17"/>
    <mergeCell ref="B1:G1"/>
    <mergeCell ref="B8:G8"/>
    <mergeCell ref="B13:D13"/>
    <mergeCell ref="B10:D10"/>
    <mergeCell ref="F12:G12"/>
    <mergeCell ref="I4:J5"/>
    <mergeCell ref="I1:J1"/>
    <mergeCell ref="B2:G2"/>
    <mergeCell ref="B11:D11"/>
    <mergeCell ref="F11:G11"/>
    <mergeCell ref="E19:G19"/>
    <mergeCell ref="F10:G10"/>
    <mergeCell ref="B14:G14"/>
    <mergeCell ref="B19:D19"/>
  </mergeCells>
  <pageMargins left="0.7" right="0.5" top="0.8" bottom="0.7" header="0.3" footer="0.3"/>
  <pageSetup paperSize="9" fitToHeight="0" orientation="portrait" horizontalDpi="300" verticalDpi="300" r:id="rId1"/>
  <headerFooter>
    <oddHeader>&amp;C&amp;"Times New Roman,Italic"&amp;9 PHỤ LỤC HỢP ĐỒNG LAO ĐỘNG</oddHeader>
    <oddFooter>&amp;R&amp;"Times New Roman,Regular"&amp;8 Trang &amp;P/&amp;N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J23"/>
  <sheetViews>
    <sheetView showGridLines="0" topLeftCell="A7" zoomScaleNormal="100" workbookViewId="0"/>
  </sheetViews>
  <sheetFormatPr defaultColWidth="8.6328125" defaultRowHeight="12.5" x14ac:dyDescent="0.25"/>
  <cols>
    <col min="1" max="1" width="2.453125" customWidth="1"/>
    <col min="2" max="7" width="13" customWidth="1"/>
    <col min="8" max="8" width="3" customWidth="1"/>
    <col min="9" max="10" width="22" customWidth="1"/>
    <col min="11" max="11" width="3" customWidth="1"/>
  </cols>
  <sheetData>
    <row r="1" spans="2:10" ht="30" customHeight="1" x14ac:dyDescent="0.25">
      <c r="B1" s="92" t="s">
        <v>548</v>
      </c>
      <c r="C1" s="38"/>
      <c r="D1" s="38"/>
      <c r="E1" s="38"/>
      <c r="F1" s="38"/>
      <c r="G1" s="38"/>
      <c r="I1" s="93" t="s">
        <v>432</v>
      </c>
      <c r="J1" s="38"/>
    </row>
    <row r="2" spans="2:10" ht="18" customHeight="1" x14ac:dyDescent="0.25">
      <c r="B2" s="77" t="str">
        <f>"(Ký kèm và là bộ phận không tách rời của HĐLĐ số "&amp;IFERROR(IF(INDEX(NHAP_LIEU!$B$14:$B$513,MATCH($I$2,NHAP_LIEU!$A$14:$A$513,0))="","",INDEX(NHAP_LIEU!$B$14:$B$513,MATCH($I$2,NHAP_LIEU!$A$14:$A$513,0))),"")&amp;")"</f>
        <v>(Ký kèm và là bộ phận không tách rời của HĐLĐ số )</v>
      </c>
      <c r="C2" s="38"/>
      <c r="D2" s="38"/>
      <c r="E2" s="38"/>
      <c r="F2" s="38"/>
      <c r="G2" s="38"/>
      <c r="I2" s="85" t="s">
        <v>92</v>
      </c>
      <c r="J2" s="39"/>
    </row>
    <row r="3" spans="2:10" ht="24" customHeight="1" x14ac:dyDescent="0.25">
      <c r="B3" s="79" t="s">
        <v>549</v>
      </c>
      <c r="C3" s="80"/>
      <c r="D3" s="80"/>
      <c r="E3" s="80"/>
      <c r="F3" s="80"/>
      <c r="G3" s="80"/>
      <c r="I3" s="91" t="str">
        <f>IFERROR(INDEX(NHAP_LIEU!$C$14:$C$513,MATCH($I$2,NHAP_LIEU!$A$14:$A$513,0)),"—")</f>
        <v>—</v>
      </c>
      <c r="J3" s="39"/>
    </row>
    <row r="4" spans="2:10" ht="24" customHeight="1" x14ac:dyDescent="0.25">
      <c r="B4" s="79" t="s">
        <v>550</v>
      </c>
      <c r="C4" s="80"/>
      <c r="D4" s="80"/>
      <c r="E4" s="80"/>
      <c r="F4" s="80"/>
      <c r="G4" s="80"/>
      <c r="I4" s="88" t="s">
        <v>436</v>
      </c>
      <c r="J4" s="38"/>
    </row>
    <row r="5" spans="2:10" ht="99.75" customHeight="1" x14ac:dyDescent="0.25">
      <c r="B5" s="75" t="str">
        <f>_xlfn._LONGTEXT("""Thông tin mật"" bao gồm nhưng không giới hạn: bí mật kinh doanh, bí mật công nghệ theo pháp luật sở hữu trí tuệ và cạnh tranh; danh sách, dữ liệu khách hàng, nhà cung cấp; chính sách giá, tiền lương; kế hoạch kinh doanh, tài chính, sản phẩm; mã nguồn, tài"," liệu kỹ thuật, quy trình nội bộ; dữ liệu cá nhân mà NLĐ tiếp cận trong quá trình làm việc; và các thông tin khác được NSDLĐ xác định là mật trong quy chế: ")&amp;IF(IFERROR(IF(INDEX(NHAP_LIEU!$AJ$14:$AJ$513,MATCH($I$2,NHAP_LIEU!$A$14:$A$513,0))="","",INDEX(NHAP_LIEU!$AJ$14:$AJ$513,MATCH($I$2,NHAP_LIEU!$A$14:$A$513,0))),"")="","không có bổ sung",IFERROR(IF(INDEX(NHAP_LIEU!$AJ$14:$AJ$513,MATCH($I$2,NHAP_LIEU!$A$14:$A$513,0))="","",INDEX(NHAP_LIEU!$AJ$14:$AJ$513,MATCH($I$2,NHAP_LIEU!$A$14:$A$513,0))),""))</f>
        <v>"Thông tin mật" bao gồm nhưng không giới hạn: bí mật kinh doanh, bí mật công nghệ theo pháp luật sở hữu trí tuệ và cạnh tranh; danh sách, dữ liệu khách hàng, nhà cung cấp; chính sách giá, tiền lương; kế hoạch kinh doanh, tài chính, sản phẩm; mã nguồn, tài liệu kỹ thuật, quy trình nội bộ; dữ liệu cá nhân mà NLĐ tiếp cận trong quá trình làm việc; và các thông tin khác được NSDLĐ xác định là mật trong quy chế: không có bổ sung</v>
      </c>
      <c r="C5" s="38"/>
      <c r="D5" s="38"/>
      <c r="E5" s="38"/>
      <c r="F5" s="38"/>
      <c r="G5" s="38"/>
      <c r="I5" s="38"/>
      <c r="J5" s="38"/>
    </row>
    <row r="6" spans="2:10" ht="24" customHeight="1" x14ac:dyDescent="0.25">
      <c r="B6" s="79" t="s">
        <v>551</v>
      </c>
      <c r="C6" s="80"/>
      <c r="D6" s="80"/>
      <c r="E6" s="80"/>
      <c r="F6" s="80"/>
      <c r="G6" s="80"/>
    </row>
    <row r="7" spans="2:10" ht="51.75" customHeight="1" x14ac:dyDescent="0.25">
      <c r="B7" s="75" t="str">
        <f>"2.1. Không tiết lộ, sao chép, sử dụng Thông tin mật ngoài phạm vi công việc được giao, cả trong thời gian làm việc và trong thời hạn "&amp;IF(2&lt;&gt;"",2,2)&amp;" năm (khuyến nghị 1–3 năm tùy vị trí) sau khi chấm dứt HĐLĐ."</f>
        <v>2.1. Không tiết lộ, sao chép, sử dụng Thông tin mật ngoài phạm vi công việc được giao, cả trong thời gian làm việc và trong thời hạn 2 năm (khuyến nghị 1–3 năm tùy vị trí) sau khi chấm dứt HĐLĐ.</v>
      </c>
      <c r="C7" s="38"/>
      <c r="D7" s="38"/>
      <c r="E7" s="38"/>
      <c r="F7" s="38"/>
      <c r="G7" s="38"/>
    </row>
    <row r="8" spans="2:10" ht="31.5" customHeight="1" x14ac:dyDescent="0.25">
      <c r="B8" s="75" t="s">
        <v>552</v>
      </c>
      <c r="C8" s="38"/>
      <c r="D8" s="38"/>
      <c r="E8" s="38"/>
      <c r="F8" s="38"/>
      <c r="G8" s="38"/>
    </row>
    <row r="9" spans="2:10" ht="31.5" customHeight="1" x14ac:dyDescent="0.25">
      <c r="B9" s="75" t="s">
        <v>553</v>
      </c>
      <c r="C9" s="38"/>
      <c r="D9" s="38"/>
      <c r="E9" s="38"/>
      <c r="F9" s="38"/>
      <c r="G9" s="38"/>
    </row>
    <row r="10" spans="2:10" ht="24" customHeight="1" x14ac:dyDescent="0.25">
      <c r="B10" s="79" t="s">
        <v>554</v>
      </c>
      <c r="C10" s="80"/>
      <c r="D10" s="80"/>
      <c r="E10" s="80"/>
      <c r="F10" s="80"/>
      <c r="G10" s="80"/>
    </row>
    <row r="11" spans="2:10" ht="60" customHeight="1" x14ac:dyDescent="0.25">
      <c r="B11" s="75" t="s">
        <v>555</v>
      </c>
      <c r="C11" s="38"/>
      <c r="D11" s="38"/>
      <c r="E11" s="38"/>
      <c r="F11" s="38"/>
      <c r="G11" s="38"/>
    </row>
    <row r="12" spans="2:10" ht="24" customHeight="1" x14ac:dyDescent="0.25">
      <c r="B12" s="79" t="s">
        <v>556</v>
      </c>
      <c r="C12" s="80"/>
      <c r="D12" s="80"/>
      <c r="E12" s="80"/>
      <c r="F12" s="80"/>
      <c r="G12" s="80"/>
    </row>
    <row r="13" spans="2:10" ht="24" customHeight="1" x14ac:dyDescent="0.25">
      <c r="B13" s="79" t="s">
        <v>557</v>
      </c>
      <c r="C13" s="80"/>
      <c r="D13" s="80"/>
      <c r="E13" s="80"/>
      <c r="F13" s="80"/>
      <c r="G13" s="80"/>
    </row>
    <row r="14" spans="2:10" ht="51.75" customHeight="1" x14ac:dyDescent="0.25">
      <c r="B14" s="75" t="str">
        <f>IF(IFERROR(IF(INDEX(NHAP_LIEU!$B$520:$B$1019,MATCH($I$2,NHAP_LIEU!$A$520:$A$1019,0))="","",INDEX(NHAP_LIEU!$B$520:$B$1019,MATCH($I$2,NHAP_LIEU!$A$520:$A$1019,0))),"")="Có","Khóa đào tạo/nghề đào tạo: "&amp;IFERROR(IF(INDEX(NHAP_LIEU!$C$520:$C$1019,MATCH($I$2,NHAP_LIEU!$A$520:$A$1019,0))="","",INDEX(NHAP_LIEU!$C$520:$C$1019,MATCH($I$2,NHAP_LIEU!$A$520:$A$1019,0))),"")&amp;"; Địa điểm, thời gian đào tạo: "&amp;IFERROR(IF(INDEX(NHAP_LIEU!$D$520:$D$1019,MATCH($I$2,NHAP_LIEU!$A$520:$A$1019,0))="","",INDEX(NHAP_LIEU!$D$520:$D$1019,MATCH($I$2,NHAP_LIEU!$A$520:$A$1019,0))),""),"Khóa đào tạo/nghề đào tạo: Không áp dụng.")</f>
        <v>Khóa đào tạo/nghề đào tạo: Khóa nghiệp vụ kế toán nâng cao; Địa điểm, thời gian đào tạo: TP.HCM, từ 10/08/2026 đến 15/08/2026</v>
      </c>
      <c r="C14" s="38"/>
      <c r="D14" s="38"/>
      <c r="E14" s="38"/>
      <c r="F14" s="38"/>
      <c r="G14" s="38"/>
    </row>
    <row r="15" spans="2:10" ht="51.75" customHeight="1" x14ac:dyDescent="0.25">
      <c r="B15" s="75" t="str">
        <f>IF(IFERROR(IF(INDEX(NHAP_LIEU!$B$520:$B$1019,MATCH($I$2,NHAP_LIEU!$A$520:$A$1019,0))="","",INDEX(NHAP_LIEU!$B$520:$B$1019,MATCH($I$2,NHAP_LIEU!$A$520:$A$1019,0))),"")="Có","Tổng chi phí đào tạo (học phí, tài liệu, đi lại, lưu trú, lương và các khoản hỗ trợ trong thời gian học…): "&amp;IF(IFERROR(IF(INDEX(NHAP_LIEU!$E$520:$E$1019,MATCH($I$2,NHAP_LIEU!$A$520:$A$1019,0))="","",INDEX(NHAP_LIEU!$E$520:$E$1019,MATCH($I$2,NHAP_LIEU!$A$520:$A$1019,0))),"")="","……",TEXT(IFERROR(IF(INDEX(NHAP_LIEU!$E$520:$E$1019,MATCH($I$2,NHAP_LIEU!$A$520:$A$1019,0))="","",INDEX(NHAP_LIEU!$E$520:$E$1019,MATCH($I$2,NHAP_LIEU!$A$520:$A$1019,0))),""),"#,##0"))&amp;" đồng (kê chi tiết kèm chứng từ hợp lệ theo khoản 3 Điều 62 BLLĐ 2019).","Tổng chi phí đào tạo: Không áp dụng.")</f>
        <v>Tổng chi phí đào tạo (học phí, tài liệu, đi lại, lưu trú, lương và các khoản hỗ trợ trong thời gian học…): 15,000,000 đồng (kê chi tiết kèm chứng từ hợp lệ theo khoản 3 Điều 62 BLLĐ 2019).</v>
      </c>
      <c r="C15" s="38"/>
      <c r="D15" s="38"/>
      <c r="E15" s="38"/>
      <c r="F15" s="38"/>
      <c r="G15" s="38"/>
    </row>
    <row r="16" spans="2:10" ht="24" customHeight="1" x14ac:dyDescent="0.25">
      <c r="B16" s="79" t="s">
        <v>558</v>
      </c>
      <c r="C16" s="80"/>
      <c r="D16" s="80"/>
      <c r="E16" s="80"/>
      <c r="F16" s="80"/>
      <c r="G16" s="80"/>
    </row>
    <row r="17" spans="2:7" ht="37.5" customHeight="1" x14ac:dyDescent="0.25">
      <c r="B17" s="75" t="str">
        <f>IF(IFERROR(IF(INDEX(NHAP_LIEU!$B$520:$B$1019,MATCH($I$2,NHAP_LIEU!$A$520:$A$1019,0))="","",INDEX(NHAP_LIEU!$B$520:$B$1019,MATCH($I$2,NHAP_LIEU!$A$520:$A$1019,0))),"")="Có","5.1. NLĐ cam kết làm việc cho NSDLĐ tối thiểu "&amp;IFERROR(IF(INDEX(NHAP_LIEU!$F$520:$F$1019,MATCH($I$2,NHAP_LIEU!$A$520:$A$1019,0))="","",INDEX(NHAP_LIEU!$F$520:$F$1019,MATCH($I$2,NHAP_LIEU!$A$520:$A$1019,0))),"")&amp;" tháng kể từ ngày hoàn thành khóa đào tạo.","5.1. Không áp dụng cam kết thời gian làm việc sau đào tạo.")</f>
        <v>5.1. NLĐ cam kết làm việc cho NSDLĐ tối thiểu 18 tháng kể từ ngày hoàn thành khóa đào tạo.</v>
      </c>
      <c r="C17" s="38"/>
      <c r="D17" s="38"/>
      <c r="E17" s="38"/>
      <c r="F17" s="38"/>
      <c r="G17" s="38"/>
    </row>
    <row r="18" spans="2:7" ht="78" customHeight="1" x14ac:dyDescent="0.25">
      <c r="B18" s="75" t="str">
        <f>IF(IFERROR(IF(INDEX(NHAP_LIEU!$B$520:$B$1019,MATCH($I$2,NHAP_LIEU!$A$520:$A$1019,0))="","",INDEX(NHAP_LIEU!$B$520:$B$1019,MATCH($I$2,NHAP_LIEU!$A$520:$A$1019,0))),"")="Có",_xlfn._LONGTEXT("5.2. Trường hợp NLĐ đơn phương chấm dứt HĐLĐ trái pháp luật hoặc vi phạm cam kết tại khoản 5.1 (trừ trường hợp bất khả kháng hoặc hai bên có thỏa thuận khác), NLĐ hoàn trả chi phí đào tạo theo tỷ lệ: (số tháng cam kết còn lại / tổng số tháng cam kết) × tổ","ng chi phí đào tạo, trong thời hạn ")&amp;IF(30&lt;&gt;"",30,30)&amp;" ngày kể từ ngày chấm dứt HĐLĐ.","5.2. Không áp dụng.")</f>
        <v>5.2. Trường hợp NLĐ đơn phương chấm dứt HĐLĐ trái pháp luật hoặc vi phạm cam kết tại khoản 5.1 (trừ trường hợp bất khả kháng hoặc hai bên có thỏa thuận khác), NLĐ hoàn trả chi phí đào tạo theo tỷ lệ: (số tháng cam kết còn lại / tổng số tháng cam kết) × tổng chi phí đào tạo, trong thời hạn 30 ngày kể từ ngày chấm dứt HĐLĐ.</v>
      </c>
      <c r="C18" s="38"/>
      <c r="D18" s="38"/>
      <c r="E18" s="38"/>
      <c r="F18" s="38"/>
      <c r="G18" s="38"/>
    </row>
    <row r="19" spans="2:7" ht="18" customHeight="1" x14ac:dyDescent="0.25">
      <c r="B19" s="75" t="s">
        <v>559</v>
      </c>
      <c r="C19" s="38"/>
      <c r="D19" s="38"/>
      <c r="E19" s="38"/>
      <c r="F19" s="38"/>
      <c r="G19" s="38"/>
    </row>
    <row r="20" spans="2:7" ht="94.5" customHeight="1" x14ac:dyDescent="0.25">
      <c r="B20" s="78" t="str">
        <f>"NGƯỜI LAO ĐỘNG"&amp;CHAR(10)&amp;"(Ký, ghi rõ họ tên)"&amp;CHAR(10)&amp;CHAR(10)&amp;CHAR(10)&amp;IFERROR(IF(INDEX(NHAP_LIEU!$C$14:$C$513,MATCH($I$2,NHAP_LIEU!$A$14:$A$513,0))="","",INDEX(NHAP_LIEU!$C$14:$C$513,MATCH($I$2,NHAP_LIEU!$A$14:$A$513,0))),"")</f>
        <v xml:space="preserve">NGƯỜI LAO ĐỘNG
(Ký, ghi rõ họ tên)
</v>
      </c>
      <c r="C20" s="40"/>
      <c r="D20" s="41"/>
      <c r="E20" s="78" t="str">
        <f>"ĐẠI DIỆN NGƯỜI SỬ DỤNG LAO ĐỘNG"&amp;CHAR(10)&amp;"(Ký, ghi rõ họ tên, đóng dấu)"&amp;CHAR(10)&amp;CHAR(10)&amp;CHAR(10)&amp;NHAP_LIEU!$E$4</f>
        <v>ĐẠI DIỆN NGƯỜI SỬ DỤNG LAO ĐỘNG
(Ký, ghi rõ họ tên, đóng dấu)
HUỲNH NGỌC NGÂN</v>
      </c>
      <c r="F20" s="40"/>
      <c r="G20" s="41"/>
    </row>
    <row r="22" spans="2:7" ht="24" customHeight="1" x14ac:dyDescent="0.25">
      <c r="B22" s="86" t="s">
        <v>537</v>
      </c>
      <c r="C22" s="87"/>
      <c r="D22" s="87"/>
      <c r="E22" s="87"/>
      <c r="F22" s="87"/>
      <c r="G22" s="87"/>
    </row>
    <row r="23" spans="2:7" ht="24" customHeight="1" x14ac:dyDescent="0.25">
      <c r="B23" s="38"/>
      <c r="C23" s="38"/>
      <c r="D23" s="38"/>
      <c r="E23" s="38"/>
      <c r="F23" s="38"/>
      <c r="G23" s="38"/>
    </row>
  </sheetData>
  <mergeCells count="26">
    <mergeCell ref="B22:G23"/>
    <mergeCell ref="B19:G19"/>
    <mergeCell ref="B10:G10"/>
    <mergeCell ref="I4:J5"/>
    <mergeCell ref="B9:G9"/>
    <mergeCell ref="B15:G15"/>
    <mergeCell ref="B20:D20"/>
    <mergeCell ref="B6:G6"/>
    <mergeCell ref="B5:G5"/>
    <mergeCell ref="B4:G4"/>
    <mergeCell ref="B7:G7"/>
    <mergeCell ref="B16:G16"/>
    <mergeCell ref="B12:G12"/>
    <mergeCell ref="B18:G18"/>
    <mergeCell ref="E20:G20"/>
    <mergeCell ref="B11:G11"/>
    <mergeCell ref="B2:G2"/>
    <mergeCell ref="B14:G14"/>
    <mergeCell ref="I2:J2"/>
    <mergeCell ref="B17:G17"/>
    <mergeCell ref="B1:G1"/>
    <mergeCell ref="B8:G8"/>
    <mergeCell ref="B13:G13"/>
    <mergeCell ref="I3:J3"/>
    <mergeCell ref="I1:J1"/>
    <mergeCell ref="B3:G3"/>
  </mergeCells>
  <pageMargins left="0.7" right="0.5" top="0.8" bottom="0.7" header="0.3" footer="0.3"/>
  <pageSetup paperSize="9" fitToHeight="0" orientation="portrait" horizontalDpi="300" verticalDpi="300" r:id="rId1"/>
  <headerFooter>
    <oddFooter>&amp;C&amp;"Times New Roman,Italic"&amp;8 TÀI LIỆU BẢO MẬT&amp;R&amp;"Times New Roman,Regular"&amp;8 Trang &amp;P/&amp;N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1:G79"/>
  <sheetViews>
    <sheetView showGridLines="0" topLeftCell="A5" zoomScaleNormal="100" workbookViewId="0"/>
  </sheetViews>
  <sheetFormatPr defaultColWidth="8.6328125" defaultRowHeight="12.5" x14ac:dyDescent="0.25"/>
  <cols>
    <col min="1" max="1" width="2.453125" customWidth="1"/>
    <col min="2" max="7" width="13" customWidth="1"/>
    <col min="8" max="8" width="2.453125" customWidth="1"/>
  </cols>
  <sheetData>
    <row r="1" spans="2:7" ht="30" customHeight="1" x14ac:dyDescent="0.25">
      <c r="B1" s="92" t="s">
        <v>560</v>
      </c>
      <c r="C1" s="38"/>
      <c r="D1" s="38"/>
      <c r="E1" s="38"/>
      <c r="F1" s="38"/>
      <c r="G1" s="38"/>
    </row>
    <row r="2" spans="2:7" ht="31.5" customHeight="1" x14ac:dyDescent="0.25">
      <c r="B2" s="77" t="s">
        <v>561</v>
      </c>
      <c r="C2" s="38"/>
      <c r="D2" s="38"/>
      <c r="E2" s="38"/>
      <c r="F2" s="38"/>
      <c r="G2" s="38"/>
    </row>
    <row r="3" spans="2:7" ht="18" customHeight="1" x14ac:dyDescent="0.25">
      <c r="B3" s="75" t="s">
        <v>562</v>
      </c>
      <c r="C3" s="38"/>
      <c r="D3" s="38"/>
      <c r="E3" s="38"/>
      <c r="F3" s="38"/>
      <c r="G3" s="38"/>
    </row>
    <row r="4" spans="2:7" ht="30" customHeight="1" x14ac:dyDescent="0.25">
      <c r="B4" s="82" t="s">
        <v>563</v>
      </c>
      <c r="C4" s="40"/>
      <c r="D4" s="41"/>
      <c r="E4" s="35" t="s">
        <v>564</v>
      </c>
      <c r="F4" s="82" t="s">
        <v>565</v>
      </c>
      <c r="G4" s="41"/>
    </row>
    <row r="5" spans="2:7" ht="48.75" customHeight="1" x14ac:dyDescent="0.25">
      <c r="B5" s="76" t="s">
        <v>566</v>
      </c>
      <c r="C5" s="40"/>
      <c r="D5" s="41"/>
      <c r="E5" s="37" t="s">
        <v>567</v>
      </c>
      <c r="F5" s="76" t="s">
        <v>568</v>
      </c>
      <c r="G5" s="41"/>
    </row>
    <row r="6" spans="2:7" ht="34.5" customHeight="1" x14ac:dyDescent="0.25">
      <c r="B6" s="76" t="s">
        <v>569</v>
      </c>
      <c r="C6" s="40"/>
      <c r="D6" s="41"/>
      <c r="E6" s="37" t="s">
        <v>570</v>
      </c>
      <c r="F6" s="76" t="s">
        <v>571</v>
      </c>
      <c r="G6" s="41"/>
    </row>
    <row r="7" spans="2:7" ht="48.75" customHeight="1" x14ac:dyDescent="0.25">
      <c r="B7" s="76" t="s">
        <v>572</v>
      </c>
      <c r="C7" s="40"/>
      <c r="D7" s="41"/>
      <c r="E7" s="37" t="s">
        <v>567</v>
      </c>
      <c r="F7" s="76" t="s">
        <v>573</v>
      </c>
      <c r="G7" s="41"/>
    </row>
    <row r="8" spans="2:7" ht="63" customHeight="1" x14ac:dyDescent="0.25">
      <c r="B8" s="76" t="s">
        <v>574</v>
      </c>
      <c r="C8" s="40"/>
      <c r="D8" s="41"/>
      <c r="E8" s="37" t="s">
        <v>575</v>
      </c>
      <c r="F8" s="76" t="s">
        <v>576</v>
      </c>
      <c r="G8" s="41"/>
    </row>
    <row r="9" spans="2:7" ht="27.75" customHeight="1" x14ac:dyDescent="0.25">
      <c r="B9" s="76" t="s">
        <v>577</v>
      </c>
      <c r="C9" s="40"/>
      <c r="D9" s="41"/>
      <c r="E9" s="37" t="s">
        <v>575</v>
      </c>
      <c r="F9" s="76" t="s">
        <v>578</v>
      </c>
      <c r="G9" s="41"/>
    </row>
    <row r="10" spans="2:7" ht="34.5" customHeight="1" x14ac:dyDescent="0.25">
      <c r="B10" s="76" t="s">
        <v>579</v>
      </c>
      <c r="C10" s="40"/>
      <c r="D10" s="41"/>
      <c r="E10" s="37" t="s">
        <v>580</v>
      </c>
      <c r="F10" s="76" t="s">
        <v>581</v>
      </c>
      <c r="G10" s="41"/>
    </row>
    <row r="11" spans="2:7" ht="63" customHeight="1" x14ac:dyDescent="0.25">
      <c r="B11" s="76" t="s">
        <v>582</v>
      </c>
      <c r="C11" s="40"/>
      <c r="D11" s="41"/>
      <c r="E11" s="37" t="s">
        <v>583</v>
      </c>
      <c r="F11" s="76" t="s">
        <v>584</v>
      </c>
      <c r="G11" s="41"/>
    </row>
    <row r="12" spans="2:7" ht="34.5" customHeight="1" x14ac:dyDescent="0.25">
      <c r="B12" s="76" t="s">
        <v>585</v>
      </c>
      <c r="C12" s="40"/>
      <c r="D12" s="41"/>
      <c r="E12" s="37" t="s">
        <v>575</v>
      </c>
      <c r="F12" s="76" t="s">
        <v>586</v>
      </c>
      <c r="G12" s="41"/>
    </row>
    <row r="13" spans="2:7" ht="34.5" customHeight="1" x14ac:dyDescent="0.25">
      <c r="B13" s="76" t="s">
        <v>587</v>
      </c>
      <c r="C13" s="40"/>
      <c r="D13" s="41"/>
      <c r="E13" s="37" t="s">
        <v>583</v>
      </c>
      <c r="F13" s="76" t="s">
        <v>588</v>
      </c>
      <c r="G13" s="41"/>
    </row>
    <row r="14" spans="2:7" ht="48.75" customHeight="1" x14ac:dyDescent="0.25">
      <c r="B14" s="76" t="s">
        <v>589</v>
      </c>
      <c r="C14" s="40"/>
      <c r="D14" s="41"/>
      <c r="E14" s="37" t="s">
        <v>590</v>
      </c>
      <c r="F14" s="76" t="s">
        <v>591</v>
      </c>
      <c r="G14" s="41"/>
    </row>
    <row r="15" spans="2:7" ht="48.75" customHeight="1" x14ac:dyDescent="0.25">
      <c r="B15" s="76" t="s">
        <v>592</v>
      </c>
      <c r="C15" s="40"/>
      <c r="D15" s="41"/>
      <c r="E15" s="37" t="s">
        <v>593</v>
      </c>
      <c r="F15" s="76" t="s">
        <v>594</v>
      </c>
      <c r="G15" s="41"/>
    </row>
    <row r="16" spans="2:7" ht="48.75" customHeight="1" x14ac:dyDescent="0.25">
      <c r="B16" s="76" t="s">
        <v>595</v>
      </c>
      <c r="C16" s="40"/>
      <c r="D16" s="41"/>
      <c r="E16" s="37" t="s">
        <v>567</v>
      </c>
      <c r="F16" s="76" t="s">
        <v>596</v>
      </c>
      <c r="G16" s="41"/>
    </row>
    <row r="17" spans="2:7" ht="34.5" customHeight="1" x14ac:dyDescent="0.25">
      <c r="B17" s="76" t="s">
        <v>597</v>
      </c>
      <c r="C17" s="40"/>
      <c r="D17" s="41"/>
      <c r="E17" s="37" t="s">
        <v>598</v>
      </c>
      <c r="F17" s="76" t="s">
        <v>599</v>
      </c>
      <c r="G17" s="41"/>
    </row>
    <row r="18" spans="2:7" ht="18" customHeight="1" x14ac:dyDescent="0.25">
      <c r="B18" s="75" t="s">
        <v>600</v>
      </c>
      <c r="C18" s="38"/>
      <c r="D18" s="38"/>
      <c r="E18" s="38"/>
      <c r="F18" s="38"/>
      <c r="G18" s="38"/>
    </row>
    <row r="19" spans="2:7" ht="30" customHeight="1" x14ac:dyDescent="0.25">
      <c r="B19" s="82" t="s">
        <v>318</v>
      </c>
      <c r="C19" s="41"/>
      <c r="D19" s="35" t="s">
        <v>319</v>
      </c>
      <c r="E19" s="35" t="s">
        <v>320</v>
      </c>
      <c r="F19" s="82" t="s">
        <v>321</v>
      </c>
      <c r="G19" s="41"/>
    </row>
    <row r="20" spans="2:7" ht="27" customHeight="1" x14ac:dyDescent="0.25">
      <c r="B20" s="76" t="s">
        <v>25</v>
      </c>
      <c r="C20" s="41"/>
      <c r="D20" s="36" t="s">
        <v>601</v>
      </c>
      <c r="E20" s="36" t="s">
        <v>602</v>
      </c>
      <c r="F20" s="76" t="s">
        <v>603</v>
      </c>
      <c r="G20" s="41"/>
    </row>
    <row r="21" spans="2:7" ht="27" customHeight="1" x14ac:dyDescent="0.25">
      <c r="B21" s="76" t="s">
        <v>192</v>
      </c>
      <c r="C21" s="41"/>
      <c r="D21" s="36" t="s">
        <v>604</v>
      </c>
      <c r="E21" s="36" t="s">
        <v>605</v>
      </c>
      <c r="F21" s="76" t="s">
        <v>606</v>
      </c>
      <c r="G21" s="41"/>
    </row>
    <row r="22" spans="2:7" ht="27" customHeight="1" x14ac:dyDescent="0.25">
      <c r="B22" s="76" t="s">
        <v>323</v>
      </c>
      <c r="C22" s="41"/>
      <c r="D22" s="36" t="s">
        <v>607</v>
      </c>
      <c r="E22" s="36" t="s">
        <v>608</v>
      </c>
      <c r="F22" s="76" t="s">
        <v>609</v>
      </c>
      <c r="G22" s="41"/>
    </row>
    <row r="23" spans="2:7" ht="27" customHeight="1" x14ac:dyDescent="0.25">
      <c r="B23" s="76" t="s">
        <v>324</v>
      </c>
      <c r="C23" s="41"/>
      <c r="D23" s="36" t="s">
        <v>610</v>
      </c>
      <c r="E23" s="36" t="s">
        <v>611</v>
      </c>
      <c r="F23" s="76" t="s">
        <v>612</v>
      </c>
      <c r="G23" s="41"/>
    </row>
    <row r="24" spans="2:7" ht="31.5" customHeight="1" x14ac:dyDescent="0.25">
      <c r="B24" s="75" t="s">
        <v>613</v>
      </c>
      <c r="C24" s="38"/>
      <c r="D24" s="38"/>
      <c r="E24" s="38"/>
      <c r="F24" s="38"/>
      <c r="G24" s="38"/>
    </row>
    <row r="25" spans="2:7" ht="31.5" customHeight="1" x14ac:dyDescent="0.25">
      <c r="B25" s="75" t="s">
        <v>614</v>
      </c>
      <c r="C25" s="38"/>
      <c r="D25" s="38"/>
      <c r="E25" s="38"/>
      <c r="F25" s="38"/>
      <c r="G25" s="38"/>
    </row>
    <row r="26" spans="2:7" ht="31.5" customHeight="1" x14ac:dyDescent="0.25">
      <c r="B26" s="75" t="s">
        <v>615</v>
      </c>
      <c r="C26" s="38"/>
      <c r="D26" s="38"/>
      <c r="E26" s="38"/>
      <c r="F26" s="38"/>
      <c r="G26" s="38"/>
    </row>
    <row r="27" spans="2:7" ht="18" customHeight="1" x14ac:dyDescent="0.25">
      <c r="B27" s="75" t="s">
        <v>616</v>
      </c>
      <c r="C27" s="38"/>
      <c r="D27" s="38"/>
      <c r="E27" s="38"/>
      <c r="F27" s="38"/>
      <c r="G27" s="38"/>
    </row>
    <row r="28" spans="2:7" ht="73.5" customHeight="1" x14ac:dyDescent="0.25">
      <c r="B28" s="75" t="s">
        <v>617</v>
      </c>
      <c r="C28" s="38"/>
      <c r="D28" s="38"/>
      <c r="E28" s="38"/>
      <c r="F28" s="38"/>
      <c r="G28" s="38"/>
    </row>
    <row r="29" spans="2:7" ht="45.75" customHeight="1" x14ac:dyDescent="0.25">
      <c r="B29" s="75" t="s">
        <v>618</v>
      </c>
      <c r="C29" s="38"/>
      <c r="D29" s="38"/>
      <c r="E29" s="38"/>
      <c r="F29" s="38"/>
      <c r="G29" s="38"/>
    </row>
    <row r="30" spans="2:7" ht="73.5" customHeight="1" x14ac:dyDescent="0.25">
      <c r="B30" s="75" t="s">
        <v>619</v>
      </c>
      <c r="C30" s="38"/>
      <c r="D30" s="38"/>
      <c r="E30" s="38"/>
      <c r="F30" s="38"/>
      <c r="G30" s="38"/>
    </row>
    <row r="31" spans="2:7" ht="18" customHeight="1" x14ac:dyDescent="0.25">
      <c r="B31" s="75" t="s">
        <v>620</v>
      </c>
      <c r="C31" s="38"/>
      <c r="D31" s="38"/>
      <c r="E31" s="38"/>
      <c r="F31" s="38"/>
      <c r="G31" s="38"/>
    </row>
    <row r="32" spans="2:7" ht="31.5" customHeight="1" x14ac:dyDescent="0.25">
      <c r="B32" s="75" t="s">
        <v>621</v>
      </c>
      <c r="C32" s="38"/>
      <c r="D32" s="38"/>
      <c r="E32" s="38"/>
      <c r="F32" s="38"/>
      <c r="G32" s="38"/>
    </row>
    <row r="33" spans="2:7" ht="18" customHeight="1" x14ac:dyDescent="0.25">
      <c r="B33" s="75" t="s">
        <v>622</v>
      </c>
      <c r="C33" s="38"/>
      <c r="D33" s="38"/>
      <c r="E33" s="38"/>
      <c r="F33" s="38"/>
      <c r="G33" s="38"/>
    </row>
    <row r="34" spans="2:7" ht="31.5" customHeight="1" x14ac:dyDescent="0.25">
      <c r="B34" s="75" t="s">
        <v>623</v>
      </c>
      <c r="C34" s="38"/>
      <c r="D34" s="38"/>
      <c r="E34" s="38"/>
      <c r="F34" s="38"/>
      <c r="G34" s="38"/>
    </row>
    <row r="35" spans="2:7" ht="45.75" customHeight="1" x14ac:dyDescent="0.25">
      <c r="B35" s="75" t="s">
        <v>624</v>
      </c>
      <c r="C35" s="38"/>
      <c r="D35" s="38"/>
      <c r="E35" s="38"/>
      <c r="F35" s="38"/>
      <c r="G35" s="38"/>
    </row>
    <row r="36" spans="2:7" ht="18" customHeight="1" x14ac:dyDescent="0.25">
      <c r="B36" s="75" t="s">
        <v>625</v>
      </c>
      <c r="C36" s="38"/>
      <c r="D36" s="38"/>
      <c r="E36" s="38"/>
      <c r="F36" s="38"/>
      <c r="G36" s="38"/>
    </row>
    <row r="37" spans="2:7" ht="45.75" customHeight="1" x14ac:dyDescent="0.25">
      <c r="B37" s="75" t="s">
        <v>626</v>
      </c>
      <c r="C37" s="38"/>
      <c r="D37" s="38"/>
      <c r="E37" s="38"/>
      <c r="F37" s="38"/>
      <c r="G37" s="38"/>
    </row>
    <row r="38" spans="2:7" ht="31.5" customHeight="1" x14ac:dyDescent="0.25">
      <c r="B38" s="75" t="s">
        <v>627</v>
      </c>
      <c r="C38" s="38"/>
      <c r="D38" s="38"/>
      <c r="E38" s="38"/>
      <c r="F38" s="38"/>
      <c r="G38" s="38"/>
    </row>
    <row r="39" spans="2:7" ht="30" customHeight="1" x14ac:dyDescent="0.25">
      <c r="B39" s="82" t="s">
        <v>628</v>
      </c>
      <c r="C39" s="40"/>
      <c r="D39" s="41"/>
      <c r="E39" s="35" t="s">
        <v>629</v>
      </c>
      <c r="F39" s="82" t="s">
        <v>630</v>
      </c>
      <c r="G39" s="41"/>
    </row>
    <row r="40" spans="2:7" ht="34.5" customHeight="1" x14ac:dyDescent="0.25">
      <c r="B40" s="76" t="s">
        <v>631</v>
      </c>
      <c r="C40" s="40"/>
      <c r="D40" s="41"/>
      <c r="E40" s="37" t="s">
        <v>632</v>
      </c>
      <c r="F40" s="76" t="s">
        <v>633</v>
      </c>
      <c r="G40" s="41"/>
    </row>
    <row r="41" spans="2:7" ht="34.5" customHeight="1" x14ac:dyDescent="0.25">
      <c r="B41" s="76" t="s">
        <v>634</v>
      </c>
      <c r="C41" s="40"/>
      <c r="D41" s="41"/>
      <c r="E41" s="37" t="s">
        <v>635</v>
      </c>
      <c r="F41" s="76" t="s">
        <v>636</v>
      </c>
      <c r="G41" s="41"/>
    </row>
    <row r="42" spans="2:7" ht="34.5" customHeight="1" x14ac:dyDescent="0.25">
      <c r="B42" s="76" t="s">
        <v>637</v>
      </c>
      <c r="C42" s="40"/>
      <c r="D42" s="41"/>
      <c r="E42" s="37" t="s">
        <v>638</v>
      </c>
      <c r="F42" s="76" t="s">
        <v>639</v>
      </c>
      <c r="G42" s="41"/>
    </row>
    <row r="43" spans="2:7" ht="34.5" customHeight="1" x14ac:dyDescent="0.25">
      <c r="B43" s="76" t="s">
        <v>640</v>
      </c>
      <c r="C43" s="40"/>
      <c r="D43" s="41"/>
      <c r="E43" s="37" t="s">
        <v>641</v>
      </c>
      <c r="F43" s="76" t="s">
        <v>642</v>
      </c>
      <c r="G43" s="41"/>
    </row>
    <row r="44" spans="2:7" ht="34.5" customHeight="1" x14ac:dyDescent="0.25">
      <c r="B44" s="76" t="s">
        <v>643</v>
      </c>
      <c r="C44" s="40"/>
      <c r="D44" s="41"/>
      <c r="E44" s="37" t="s">
        <v>644</v>
      </c>
      <c r="F44" s="76" t="s">
        <v>645</v>
      </c>
      <c r="G44" s="41"/>
    </row>
    <row r="45" spans="2:7" ht="45.75" customHeight="1" x14ac:dyDescent="0.25">
      <c r="B45" s="75" t="s">
        <v>646</v>
      </c>
      <c r="C45" s="38"/>
      <c r="D45" s="38"/>
      <c r="E45" s="38"/>
      <c r="F45" s="38"/>
      <c r="G45" s="38"/>
    </row>
    <row r="46" spans="2:7" ht="31.5" customHeight="1" x14ac:dyDescent="0.25">
      <c r="B46" s="75" t="s">
        <v>647</v>
      </c>
      <c r="C46" s="38"/>
      <c r="D46" s="38"/>
      <c r="E46" s="38"/>
      <c r="F46" s="38"/>
      <c r="G46" s="38"/>
    </row>
    <row r="47" spans="2:7" ht="31.5" customHeight="1" x14ac:dyDescent="0.25">
      <c r="B47" s="75" t="s">
        <v>648</v>
      </c>
      <c r="C47" s="38"/>
      <c r="D47" s="38"/>
      <c r="E47" s="38"/>
      <c r="F47" s="38"/>
      <c r="G47" s="38"/>
    </row>
    <row r="48" spans="2:7" ht="31.5" customHeight="1" x14ac:dyDescent="0.25">
      <c r="B48" s="75" t="s">
        <v>649</v>
      </c>
      <c r="C48" s="38"/>
      <c r="D48" s="38"/>
      <c r="E48" s="38"/>
      <c r="F48" s="38"/>
      <c r="G48" s="38"/>
    </row>
    <row r="49" spans="2:7" ht="31.5" customHeight="1" x14ac:dyDescent="0.25">
      <c r="B49" s="75" t="s">
        <v>650</v>
      </c>
      <c r="C49" s="38"/>
      <c r="D49" s="38"/>
      <c r="E49" s="38"/>
      <c r="F49" s="38"/>
      <c r="G49" s="38"/>
    </row>
    <row r="50" spans="2:7" ht="31.5" customHeight="1" x14ac:dyDescent="0.25">
      <c r="B50" s="75" t="s">
        <v>651</v>
      </c>
      <c r="C50" s="38"/>
      <c r="D50" s="38"/>
      <c r="E50" s="38"/>
      <c r="F50" s="38"/>
      <c r="G50" s="38"/>
    </row>
    <row r="51" spans="2:7" ht="45.75" customHeight="1" x14ac:dyDescent="0.25">
      <c r="B51" s="75" t="s">
        <v>652</v>
      </c>
      <c r="C51" s="38"/>
      <c r="D51" s="38"/>
      <c r="E51" s="38"/>
      <c r="F51" s="38"/>
      <c r="G51" s="38"/>
    </row>
    <row r="52" spans="2:7" ht="18" customHeight="1" x14ac:dyDescent="0.25">
      <c r="B52" s="75" t="s">
        <v>653</v>
      </c>
      <c r="C52" s="38"/>
      <c r="D52" s="38"/>
      <c r="E52" s="38"/>
      <c r="F52" s="38"/>
      <c r="G52" s="38"/>
    </row>
    <row r="53" spans="2:7" ht="45.75" customHeight="1" x14ac:dyDescent="0.25">
      <c r="B53" s="75" t="s">
        <v>654</v>
      </c>
      <c r="C53" s="38"/>
      <c r="D53" s="38"/>
      <c r="E53" s="38"/>
      <c r="F53" s="38"/>
      <c r="G53" s="38"/>
    </row>
    <row r="54" spans="2:7" ht="18" customHeight="1" x14ac:dyDescent="0.25">
      <c r="B54" s="75" t="s">
        <v>655</v>
      </c>
      <c r="C54" s="38"/>
      <c r="D54" s="38"/>
      <c r="E54" s="38"/>
      <c r="F54" s="38"/>
      <c r="G54" s="38"/>
    </row>
    <row r="55" spans="2:7" ht="31.5" customHeight="1" x14ac:dyDescent="0.25">
      <c r="B55" s="75" t="s">
        <v>656</v>
      </c>
      <c r="C55" s="38"/>
      <c r="D55" s="38"/>
      <c r="E55" s="38"/>
      <c r="F55" s="38"/>
      <c r="G55" s="38"/>
    </row>
    <row r="56" spans="2:7" ht="31.5" customHeight="1" x14ac:dyDescent="0.25">
      <c r="B56" s="75" t="s">
        <v>657</v>
      </c>
      <c r="C56" s="38"/>
      <c r="D56" s="38"/>
      <c r="E56" s="38"/>
      <c r="F56" s="38"/>
      <c r="G56" s="38"/>
    </row>
    <row r="57" spans="2:7" ht="18" customHeight="1" x14ac:dyDescent="0.25">
      <c r="B57" s="75" t="s">
        <v>658</v>
      </c>
      <c r="C57" s="38"/>
      <c r="D57" s="38"/>
      <c r="E57" s="38"/>
      <c r="F57" s="38"/>
      <c r="G57" s="38"/>
    </row>
    <row r="58" spans="2:7" ht="31.5" customHeight="1" x14ac:dyDescent="0.25">
      <c r="B58" s="75" t="s">
        <v>659</v>
      </c>
      <c r="C58" s="38"/>
      <c r="D58" s="38"/>
      <c r="E58" s="38"/>
      <c r="F58" s="38"/>
      <c r="G58" s="38"/>
    </row>
    <row r="59" spans="2:7" ht="31.5" customHeight="1" x14ac:dyDescent="0.25">
      <c r="B59" s="75" t="s">
        <v>660</v>
      </c>
      <c r="C59" s="38"/>
      <c r="D59" s="38"/>
      <c r="E59" s="38"/>
      <c r="F59" s="38"/>
      <c r="G59" s="38"/>
    </row>
    <row r="60" spans="2:7" ht="31.5" customHeight="1" x14ac:dyDescent="0.25">
      <c r="B60" s="75" t="s">
        <v>661</v>
      </c>
      <c r="C60" s="38"/>
      <c r="D60" s="38"/>
      <c r="E60" s="38"/>
      <c r="F60" s="38"/>
      <c r="G60" s="38"/>
    </row>
    <row r="61" spans="2:7" ht="31.5" customHeight="1" x14ac:dyDescent="0.25">
      <c r="B61" s="75" t="s">
        <v>662</v>
      </c>
      <c r="C61" s="38"/>
      <c r="D61" s="38"/>
      <c r="E61" s="38"/>
      <c r="F61" s="38"/>
      <c r="G61" s="38"/>
    </row>
    <row r="62" spans="2:7" ht="31.5" customHeight="1" x14ac:dyDescent="0.25">
      <c r="B62" s="75" t="s">
        <v>663</v>
      </c>
      <c r="C62" s="38"/>
      <c r="D62" s="38"/>
      <c r="E62" s="38"/>
      <c r="F62" s="38"/>
      <c r="G62" s="38"/>
    </row>
    <row r="63" spans="2:7" ht="18" customHeight="1" x14ac:dyDescent="0.25">
      <c r="B63" s="75" t="s">
        <v>664</v>
      </c>
      <c r="C63" s="38"/>
      <c r="D63" s="38"/>
      <c r="E63" s="38"/>
      <c r="F63" s="38"/>
      <c r="G63" s="38"/>
    </row>
    <row r="64" spans="2:7" ht="31.5" customHeight="1" x14ac:dyDescent="0.25">
      <c r="B64" s="75" t="s">
        <v>665</v>
      </c>
      <c r="C64" s="38"/>
      <c r="D64" s="38"/>
      <c r="E64" s="38"/>
      <c r="F64" s="38"/>
      <c r="G64" s="38"/>
    </row>
    <row r="65" spans="2:7" ht="31.5" customHeight="1" x14ac:dyDescent="0.25">
      <c r="B65" s="75" t="s">
        <v>666</v>
      </c>
      <c r="C65" s="38"/>
      <c r="D65" s="38"/>
      <c r="E65" s="38"/>
      <c r="F65" s="38"/>
      <c r="G65" s="38"/>
    </row>
    <row r="66" spans="2:7" ht="45.75" customHeight="1" x14ac:dyDescent="0.25">
      <c r="B66" s="75" t="s">
        <v>667</v>
      </c>
      <c r="C66" s="38"/>
      <c r="D66" s="38"/>
      <c r="E66" s="38"/>
      <c r="F66" s="38"/>
      <c r="G66" s="38"/>
    </row>
    <row r="67" spans="2:7" ht="31.5" customHeight="1" x14ac:dyDescent="0.25">
      <c r="B67" s="75" t="s">
        <v>668</v>
      </c>
      <c r="C67" s="38"/>
      <c r="D67" s="38"/>
      <c r="E67" s="38"/>
      <c r="F67" s="38"/>
      <c r="G67" s="38"/>
    </row>
    <row r="68" spans="2:7" ht="31.5" customHeight="1" x14ac:dyDescent="0.25">
      <c r="B68" s="75" t="s">
        <v>669</v>
      </c>
      <c r="C68" s="38"/>
      <c r="D68" s="38"/>
      <c r="E68" s="38"/>
      <c r="F68" s="38"/>
      <c r="G68" s="38"/>
    </row>
    <row r="69" spans="2:7" ht="31.5" customHeight="1" x14ac:dyDescent="0.25">
      <c r="B69" s="75" t="s">
        <v>670</v>
      </c>
      <c r="C69" s="38"/>
      <c r="D69" s="38"/>
      <c r="E69" s="38"/>
      <c r="F69" s="38"/>
      <c r="G69" s="38"/>
    </row>
    <row r="70" spans="2:7" ht="18" customHeight="1" x14ac:dyDescent="0.25">
      <c r="B70" s="75" t="s">
        <v>671</v>
      </c>
      <c r="C70" s="38"/>
      <c r="D70" s="38"/>
      <c r="E70" s="38"/>
      <c r="F70" s="38"/>
      <c r="G70" s="38"/>
    </row>
    <row r="71" spans="2:7" ht="60" customHeight="1" x14ac:dyDescent="0.25">
      <c r="B71" s="75" t="s">
        <v>672</v>
      </c>
      <c r="C71" s="38"/>
      <c r="D71" s="38"/>
      <c r="E71" s="38"/>
      <c r="F71" s="38"/>
      <c r="G71" s="38"/>
    </row>
    <row r="72" spans="2:7" ht="60" customHeight="1" x14ac:dyDescent="0.25">
      <c r="B72" s="75" t="s">
        <v>673</v>
      </c>
      <c r="C72" s="38"/>
      <c r="D72" s="38"/>
      <c r="E72" s="38"/>
      <c r="F72" s="38"/>
      <c r="G72" s="38"/>
    </row>
    <row r="73" spans="2:7" ht="73.5" customHeight="1" x14ac:dyDescent="0.25">
      <c r="B73" s="75" t="s">
        <v>674</v>
      </c>
      <c r="C73" s="38"/>
      <c r="D73" s="38"/>
      <c r="E73" s="38"/>
      <c r="F73" s="38"/>
      <c r="G73" s="38"/>
    </row>
    <row r="74" spans="2:7" ht="73.5" customHeight="1" x14ac:dyDescent="0.25">
      <c r="B74" s="75" t="s">
        <v>675</v>
      </c>
      <c r="C74" s="38"/>
      <c r="D74" s="38"/>
      <c r="E74" s="38"/>
      <c r="F74" s="38"/>
      <c r="G74" s="38"/>
    </row>
    <row r="75" spans="2:7" ht="60" customHeight="1" x14ac:dyDescent="0.25">
      <c r="B75" s="75" t="s">
        <v>676</v>
      </c>
      <c r="C75" s="38"/>
      <c r="D75" s="38"/>
      <c r="E75" s="38"/>
      <c r="F75" s="38"/>
      <c r="G75" s="38"/>
    </row>
    <row r="76" spans="2:7" ht="45.75" customHeight="1" x14ac:dyDescent="0.25">
      <c r="B76" s="75" t="s">
        <v>677</v>
      </c>
      <c r="C76" s="38"/>
      <c r="D76" s="38"/>
      <c r="E76" s="38"/>
      <c r="F76" s="38"/>
      <c r="G76" s="38"/>
    </row>
    <row r="78" spans="2:7" ht="24" customHeight="1" x14ac:dyDescent="0.25">
      <c r="B78" s="86" t="s">
        <v>537</v>
      </c>
      <c r="C78" s="87"/>
      <c r="D78" s="87"/>
      <c r="E78" s="87"/>
      <c r="F78" s="87"/>
      <c r="G78" s="87"/>
    </row>
    <row r="79" spans="2:7" ht="24" customHeight="1" x14ac:dyDescent="0.25">
      <c r="B79" s="38"/>
      <c r="C79" s="38"/>
      <c r="D79" s="38"/>
      <c r="E79" s="38"/>
      <c r="F79" s="38"/>
      <c r="G79" s="38"/>
    </row>
  </sheetData>
  <mergeCells count="102">
    <mergeCell ref="B75:G75"/>
    <mergeCell ref="B7:D7"/>
    <mergeCell ref="B62:G62"/>
    <mergeCell ref="B16:D16"/>
    <mergeCell ref="B78:G79"/>
    <mergeCell ref="B54:G54"/>
    <mergeCell ref="B46:G46"/>
    <mergeCell ref="B56:G56"/>
    <mergeCell ref="B70:G70"/>
    <mergeCell ref="B48:G48"/>
    <mergeCell ref="F44:G44"/>
    <mergeCell ref="B2:G2"/>
    <mergeCell ref="F11:G11"/>
    <mergeCell ref="B60:G60"/>
    <mergeCell ref="B57:G57"/>
    <mergeCell ref="F40:G40"/>
    <mergeCell ref="B53:G53"/>
    <mergeCell ref="B34:G34"/>
    <mergeCell ref="F12:G12"/>
    <mergeCell ref="B28:G28"/>
    <mergeCell ref="B37:G37"/>
    <mergeCell ref="B23:C23"/>
    <mergeCell ref="B40:D40"/>
    <mergeCell ref="B15:D15"/>
    <mergeCell ref="B30:G30"/>
    <mergeCell ref="F41:G41"/>
    <mergeCell ref="F8:G8"/>
    <mergeCell ref="B24:G24"/>
    <mergeCell ref="B41:D41"/>
    <mergeCell ref="B19:C19"/>
    <mergeCell ref="B32:G32"/>
    <mergeCell ref="F22:G22"/>
    <mergeCell ref="B26:G26"/>
    <mergeCell ref="B72:G72"/>
    <mergeCell ref="B20:C20"/>
    <mergeCell ref="B71:G71"/>
    <mergeCell ref="F14:G14"/>
    <mergeCell ref="B18:G18"/>
    <mergeCell ref="B58:G58"/>
    <mergeCell ref="B52:G52"/>
    <mergeCell ref="B12:D12"/>
    <mergeCell ref="B1:G1"/>
    <mergeCell ref="B17:D17"/>
    <mergeCell ref="F6:G6"/>
    <mergeCell ref="B10:D10"/>
    <mergeCell ref="F5:G5"/>
    <mergeCell ref="F20:G20"/>
    <mergeCell ref="B9:D9"/>
    <mergeCell ref="B49:G49"/>
    <mergeCell ref="F42:G42"/>
    <mergeCell ref="F17:G17"/>
    <mergeCell ref="B33:G33"/>
    <mergeCell ref="B5:D5"/>
    <mergeCell ref="B35:G35"/>
    <mergeCell ref="F9:G9"/>
    <mergeCell ref="B25:G25"/>
    <mergeCell ref="B3:G3"/>
    <mergeCell ref="F39:G39"/>
    <mergeCell ref="B27:G27"/>
    <mergeCell ref="B39:D39"/>
    <mergeCell ref="F4:G4"/>
    <mergeCell ref="B14:D14"/>
    <mergeCell ref="B13:D13"/>
    <mergeCell ref="B29:G29"/>
    <mergeCell ref="F7:G7"/>
    <mergeCell ref="B74:G74"/>
    <mergeCell ref="B68:G68"/>
    <mergeCell ref="B6:D6"/>
    <mergeCell ref="B36:G36"/>
    <mergeCell ref="B76:G76"/>
    <mergeCell ref="B45:G45"/>
    <mergeCell ref="B4:D4"/>
    <mergeCell ref="F23:G23"/>
    <mergeCell ref="F13:G13"/>
    <mergeCell ref="F43:G43"/>
    <mergeCell ref="B47:G47"/>
    <mergeCell ref="B59:G59"/>
    <mergeCell ref="B31:G31"/>
    <mergeCell ref="B43:D43"/>
    <mergeCell ref="F10:G10"/>
    <mergeCell ref="B8:D8"/>
    <mergeCell ref="F19:G19"/>
    <mergeCell ref="B64:G64"/>
    <mergeCell ref="B51:G51"/>
    <mergeCell ref="B63:G63"/>
    <mergeCell ref="B50:G50"/>
    <mergeCell ref="B66:G66"/>
    <mergeCell ref="B67:G67"/>
    <mergeCell ref="B61:G61"/>
    <mergeCell ref="B11:D11"/>
    <mergeCell ref="B42:D42"/>
    <mergeCell ref="F16:G16"/>
    <mergeCell ref="B22:C22"/>
    <mergeCell ref="B44:D44"/>
    <mergeCell ref="B73:G73"/>
    <mergeCell ref="B21:C21"/>
    <mergeCell ref="F15:G15"/>
    <mergeCell ref="B65:G65"/>
    <mergeCell ref="B69:G69"/>
    <mergeCell ref="B38:G38"/>
    <mergeCell ref="F21:G21"/>
    <mergeCell ref="B55:G55"/>
  </mergeCells>
  <pageMargins left="0.7" right="0.5" top="0.8" bottom="0.7" header="0.3" footer="0.3"/>
  <pageSetup paperSize="9" scale="84" fitToHeight="0" orientation="portrait" horizontalDpi="300" verticalDpi="300" r:id="rId1"/>
  <headerFooter>
    <oddFooter>&amp;C&amp;"Times New Roman,Italic"&amp;8 TÀI LIỆU BẢO MẬT&amp;R&amp;"Times New Roman,Regular"&amp;8 Trang &amp;P/&amp;N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GIOI_THIEU</vt:lpstr>
      <vt:lpstr>NHAP_LIEU</vt:lpstr>
      <vt:lpstr>DANH_MUC</vt:lpstr>
      <vt:lpstr>CONG_TY</vt:lpstr>
      <vt:lpstr>NHAN_SU</vt:lpstr>
      <vt:lpstr>PHU_LUC_DATA</vt:lpstr>
      <vt:lpstr>DIEU_KHIEN</vt:lpstr>
      <vt:lpstr>HUONG_DAN</vt:lpstr>
      <vt:lpstr>HOP_DONG</vt:lpstr>
      <vt:lpstr>PHU_LUC</vt:lpstr>
      <vt:lpstr>BAO_MAT_DT</vt:lpstr>
      <vt:lpstr>THAM_KHAO</vt:lpstr>
      <vt:lpstr>BAO_MAT_DT!Print_Area</vt:lpstr>
      <vt:lpstr>HOP_DONG!Print_Area</vt:lpstr>
      <vt:lpstr>PHU_LUC!Print_Area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Ngan Huynh</cp:lastModifiedBy>
  <cp:revision>0</cp:revision>
  <cp:lastPrinted>2026-10-25T16:27:55Z</cp:lastPrinted>
  <dcterms:created xsi:type="dcterms:W3CDTF">2026-08-04T07:29:51Z</dcterms:created>
  <dcterms:modified xsi:type="dcterms:W3CDTF">2026-10-25T16:33:57Z</dcterms:modified>
  <dc:language>en-US</dc:language>
</cp:coreProperties>
</file>