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UONG_DAN" sheetId="1" state="visible" r:id="rId1"/>
    <sheet xmlns:r="http://schemas.openxmlformats.org/officeDocument/2006/relationships" name="THAM_SO_CC" sheetId="2" state="visible" r:id="rId2"/>
    <sheet xmlns:r="http://schemas.openxmlformats.org/officeDocument/2006/relationships" name="KY_HIEU" sheetId="3" state="visible" r:id="rId3"/>
    <sheet xmlns:r="http://schemas.openxmlformats.org/officeDocument/2006/relationships" name="DM_NHAN_SU" sheetId="4" state="visible" r:id="rId4"/>
    <sheet xmlns:r="http://schemas.openxmlformats.org/officeDocument/2006/relationships" name="BANG_CHAM_CONG" sheetId="5" state="visible" r:id="rId5"/>
    <sheet xmlns:r="http://schemas.openxmlformats.org/officeDocument/2006/relationships" name="CC_OT_GIO" sheetId="6" state="visible" r:id="rId6"/>
    <sheet xmlns:r="http://schemas.openxmlformats.org/officeDocument/2006/relationships" name="TONG_HOP_CC" sheetId="7" state="visible" r:id="rId7"/>
    <sheet xmlns:r="http://schemas.openxmlformats.org/officeDocument/2006/relationships" name="XUAT_SANG_LUONG" sheetId="8" state="visible" r:id="rId8"/>
    <sheet xmlns:r="http://schemas.openxmlformats.org/officeDocument/2006/relationships" name="BAO_CAO" sheetId="9" state="visible" r:id="rId9"/>
  </sheets>
  <definedNames>
    <definedName name="MA_KY_HIEU" hidden="0" function="0" vbProcedure="0">KY_HIEU!$A$6:$A$45</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yyyy"/>
    <numFmt numFmtId="165" formatCode="#,##0.0"/>
    <numFmt numFmtId="166" formatCode="#,##0.0;;\–"/>
    <numFmt numFmtId="167" formatCode="#,##0.0;[RED]\-#,##0.0;\–"/>
    <numFmt numFmtId="168" formatCode="#,##0.00;;\–"/>
  </numFmts>
  <fonts count="11">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color rgb="FF17365D"/>
      <sz val="11"/>
    </font>
    <font>
      <name val="Calibri"/>
      <charset val="1"/>
      <family val="0"/>
      <b val="1"/>
      <color rgb="FF17365D"/>
      <sz val="11"/>
    </font>
    <font>
      <name val="Calibri"/>
      <charset val="1"/>
      <family val="0"/>
      <color rgb="FF000000"/>
      <sz val="11"/>
    </font>
    <font>
      <name val="Calibri"/>
      <charset val="1"/>
      <family val="0"/>
      <b val="1"/>
      <color rgb="FFC00000"/>
      <sz val="11"/>
    </font>
    <font>
      <name val="Calibri"/>
      <charset val="1"/>
      <family val="0"/>
      <color rgb="FF808080"/>
      <sz val="11"/>
    </font>
    <font>
      <name val="Calibri"/>
      <charset val="1"/>
      <family val="0"/>
      <b val="1"/>
      <color rgb="FF000000"/>
      <sz val="11"/>
    </font>
  </fonts>
  <fills count="11">
    <fill>
      <patternFill/>
    </fill>
    <fill>
      <patternFill patternType="gray125"/>
    </fill>
    <fill>
      <patternFill patternType="solid">
        <fgColor rgb="FF17365D"/>
        <bgColor rgb="FF1F4E78"/>
      </patternFill>
    </fill>
    <fill>
      <patternFill patternType="solid">
        <fgColor rgb="FFDDEBF7"/>
        <bgColor rgb="FFE2F0D9"/>
      </patternFill>
    </fill>
    <fill>
      <patternFill patternType="solid">
        <fgColor rgb="FF1F4E78"/>
        <bgColor rgb="FF17365D"/>
      </patternFill>
    </fill>
    <fill>
      <patternFill patternType="solid">
        <fgColor rgb="FFFCE4D6"/>
        <bgColor rgb="FFFFF2CC"/>
      </patternFill>
    </fill>
    <fill>
      <patternFill patternType="solid">
        <fgColor rgb="FFFFF2CC"/>
        <bgColor rgb="FFFCE4D6"/>
      </patternFill>
    </fill>
    <fill>
      <patternFill patternType="solid">
        <fgColor rgb="FFF2F2F2"/>
        <bgColor rgb="FFE2F0D9"/>
      </patternFill>
    </fill>
    <fill>
      <patternFill patternType="solid">
        <fgColor rgb="FFF4CCCC"/>
        <bgColor rgb="FFFCE4D6"/>
      </patternFill>
    </fill>
    <fill>
      <patternFill patternType="solid">
        <fgColor rgb="FFE2F0D9"/>
        <bgColor rgb="FFDDEBF7"/>
      </patternFill>
    </fill>
    <fill>
      <patternFill patternType="solid">
        <fgColor rgb="FFED7D31"/>
        <bgColor rgb="FFFF808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6">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general" vertical="center" wrapText="1"/>
    </xf>
    <xf numFmtId="0" fontId="4" fillId="4" borderId="1" applyAlignment="1" pivotButton="0" quotePrefix="0" xfId="0">
      <alignment horizontal="center" vertical="center"/>
    </xf>
    <xf numFmtId="0" fontId="6" fillId="3" borderId="1" applyAlignment="1" pivotButton="0" quotePrefix="0" xfId="0">
      <alignment horizontal="general" vertical="bottom"/>
    </xf>
    <xf numFmtId="0" fontId="7" fillId="0" borderId="1" applyAlignment="1" pivotButton="0" quotePrefix="0" xfId="0">
      <alignment horizontal="general" vertical="center" wrapText="1"/>
    </xf>
    <xf numFmtId="0" fontId="6" fillId="5" borderId="1" applyAlignment="1" pivotButton="0" quotePrefix="0" xfId="0">
      <alignment horizontal="general" vertical="bottom"/>
    </xf>
    <xf numFmtId="0" fontId="7" fillId="6" borderId="1" applyAlignment="1" pivotButton="0" quotePrefix="0" xfId="0">
      <alignment horizontal="general" vertical="bottom"/>
    </xf>
    <xf numFmtId="0" fontId="7" fillId="0" borderId="0" applyAlignment="1" pivotButton="0" quotePrefix="0" xfId="0">
      <alignment horizontal="general" vertical="bottom"/>
    </xf>
    <xf numFmtId="0" fontId="7" fillId="7" borderId="1" applyAlignment="1" pivotButton="0" quotePrefix="0" xfId="0">
      <alignment horizontal="general" vertical="bottom"/>
    </xf>
    <xf numFmtId="0" fontId="7" fillId="8" borderId="1" applyAlignment="1" pivotButton="0" quotePrefix="0" xfId="0">
      <alignment horizontal="general" vertical="bottom"/>
    </xf>
    <xf numFmtId="0" fontId="7" fillId="9" borderId="1" applyAlignment="1" pivotButton="0" quotePrefix="0" xfId="0">
      <alignment horizontal="general" vertical="bottom"/>
    </xf>
    <xf numFmtId="0" fontId="7" fillId="5" borderId="1" applyAlignment="1" pivotButton="0" quotePrefix="0" xfId="0">
      <alignment horizontal="general" vertical="bottom"/>
    </xf>
    <xf numFmtId="0" fontId="7" fillId="3" borderId="1" applyAlignment="1" pivotButton="0" quotePrefix="0" xfId="0">
      <alignment horizontal="general" vertical="bottom"/>
    </xf>
    <xf numFmtId="0" fontId="5" fillId="3" borderId="0" applyAlignment="1" pivotButton="0" quotePrefix="0" xfId="0">
      <alignment horizontal="general" vertical="top" wrapText="1"/>
    </xf>
    <xf numFmtId="0" fontId="8" fillId="8" borderId="0" applyAlignment="1" pivotButton="0" quotePrefix="0" xfId="0">
      <alignment horizontal="general" vertical="top" wrapText="1"/>
    </xf>
    <xf numFmtId="0" fontId="7" fillId="6" borderId="1" applyAlignment="1" pivotButton="0" quotePrefix="0" xfId="0">
      <alignment horizontal="left" vertical="center"/>
    </xf>
    <xf numFmtId="164" fontId="7" fillId="6" borderId="1" applyAlignment="1" pivotButton="0" quotePrefix="0" xfId="0">
      <alignment horizontal="left" vertical="center"/>
    </xf>
    <xf numFmtId="0" fontId="4" fillId="10" borderId="1" applyAlignment="1" pivotButton="0" quotePrefix="0" xfId="0">
      <alignment horizontal="center" vertical="center" wrapText="1"/>
    </xf>
    <xf numFmtId="165" fontId="7" fillId="6" borderId="1" applyAlignment="1" pivotButton="0" quotePrefix="0" xfId="0">
      <alignment horizontal="left" vertical="center"/>
    </xf>
    <xf numFmtId="3" fontId="7" fillId="7" borderId="1" applyAlignment="1" pivotButton="0" quotePrefix="0" xfId="0">
      <alignment horizontal="center" vertical="center"/>
    </xf>
    <xf numFmtId="164" fontId="7" fillId="6" borderId="1" applyAlignment="1" pivotButton="0" quotePrefix="0" xfId="0">
      <alignment horizontal="center" vertical="center"/>
    </xf>
    <xf numFmtId="0" fontId="9" fillId="6" borderId="1" applyAlignment="1" pivotButton="0" quotePrefix="0" xfId="0">
      <alignment horizontal="left" vertical="center"/>
    </xf>
    <xf numFmtId="4" fontId="7" fillId="6" borderId="1" applyAlignment="1" pivotButton="0" quotePrefix="0" xfId="0">
      <alignment horizontal="left" vertical="center"/>
    </xf>
    <xf numFmtId="0" fontId="10" fillId="9" borderId="1" applyAlignment="1" pivotButton="0" quotePrefix="0" xfId="0">
      <alignment horizontal="left" vertical="center"/>
    </xf>
    <xf numFmtId="3" fontId="10" fillId="9" borderId="1" applyAlignment="1" pivotButton="0" quotePrefix="0" xfId="0">
      <alignment horizontal="left" vertical="center"/>
    </xf>
    <xf numFmtId="165" fontId="10" fillId="9" borderId="1" applyAlignment="1" pivotButton="0" quotePrefix="0" xfId="0">
      <alignment horizontal="left" vertical="center"/>
    </xf>
    <xf numFmtId="0" fontId="4" fillId="4" borderId="1" applyAlignment="1" pivotButton="0" quotePrefix="0" xfId="0">
      <alignment horizontal="center" vertical="center" wrapText="1"/>
    </xf>
    <xf numFmtId="0" fontId="6" fillId="6" borderId="1" applyAlignment="1" pivotButton="0" quotePrefix="0" xfId="0">
      <alignment horizontal="center" vertical="center"/>
    </xf>
    <xf numFmtId="166" fontId="7" fillId="6" borderId="1" applyAlignment="1" pivotButton="0" quotePrefix="0" xfId="0">
      <alignment horizontal="center" vertical="center"/>
    </xf>
    <xf numFmtId="165" fontId="7" fillId="9" borderId="1" applyAlignment="1" pivotButton="0" quotePrefix="0" xfId="0">
      <alignment horizontal="center" vertical="center"/>
    </xf>
    <xf numFmtId="0" fontId="7" fillId="7" borderId="1" applyAlignment="1" pivotButton="0" quotePrefix="0" xfId="0">
      <alignment horizontal="left" vertical="center"/>
    </xf>
    <xf numFmtId="0" fontId="7" fillId="6" borderId="1" applyAlignment="1" pivotButton="0" quotePrefix="0" xfId="0">
      <alignment horizontal="center" vertical="center"/>
    </xf>
    <xf numFmtId="4" fontId="7" fillId="6" borderId="1" applyAlignment="1" pivotButton="0" quotePrefix="0" xfId="0">
      <alignment horizontal="center" vertical="center"/>
    </xf>
    <xf numFmtId="165" fontId="7" fillId="6" borderId="1" applyAlignment="1" pivotButton="0" quotePrefix="0" xfId="0">
      <alignment horizontal="center" vertical="center"/>
    </xf>
    <xf numFmtId="0" fontId="4" fillId="10" borderId="1" applyAlignment="1" pivotButton="0" quotePrefix="0" xfId="0">
      <alignment horizontal="right" vertical="center"/>
    </xf>
    <xf numFmtId="0" fontId="4" fillId="10" borderId="1" applyAlignment="1" pivotButton="0" quotePrefix="0" xfId="0">
      <alignment horizontal="center" vertical="center"/>
    </xf>
    <xf numFmtId="0" fontId="0" fillId="10" borderId="1" applyAlignment="1" pivotButton="0" quotePrefix="0" xfId="0">
      <alignment horizontal="general" vertical="bottom"/>
    </xf>
    <xf numFmtId="0" fontId="4" fillId="4" borderId="1" applyAlignment="1" pivotButton="0" quotePrefix="0" xfId="0">
      <alignment horizontal="center" vertical="center" wrapText="1"/>
    </xf>
    <xf numFmtId="0" fontId="7" fillId="7" borderId="1" applyAlignment="1" pivotButton="0" quotePrefix="0" xfId="0">
      <alignment horizontal="center" vertical="center"/>
    </xf>
    <xf numFmtId="166" fontId="7" fillId="9" borderId="1" applyAlignment="1" pivotButton="0" quotePrefix="0" xfId="0">
      <alignment horizontal="center" vertical="center"/>
    </xf>
    <xf numFmtId="165" fontId="7" fillId="7" borderId="1" applyAlignment="1" pivotButton="0" quotePrefix="0" xfId="0">
      <alignment horizontal="center" vertical="center"/>
    </xf>
    <xf numFmtId="167" fontId="7" fillId="7" borderId="1" applyAlignment="1" pivotButton="0" quotePrefix="0" xfId="0">
      <alignment horizontal="center" vertical="center"/>
    </xf>
    <xf numFmtId="168" fontId="7" fillId="6" borderId="1" applyAlignment="1" pivotButton="0" quotePrefix="0" xfId="0">
      <alignment horizontal="center" vertical="center"/>
    </xf>
    <xf numFmtId="168" fontId="7" fillId="9" borderId="1" applyAlignment="1" pivotButton="0" quotePrefix="0" xfId="0">
      <alignment horizontal="center" vertical="center"/>
    </xf>
    <xf numFmtId="4" fontId="7" fillId="7" borderId="1" applyAlignment="1" pivotButton="0" quotePrefix="0" xfId="0">
      <alignment horizontal="center" vertical="center"/>
    </xf>
    <xf numFmtId="4" fontId="7" fillId="9" borderId="1" applyAlignment="1" pivotButton="0" quotePrefix="0" xfId="0">
      <alignment horizontal="center" vertical="center"/>
    </xf>
    <xf numFmtId="168" fontId="7" fillId="7"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xf>
    <xf numFmtId="164" fontId="7" fillId="9" borderId="1" applyAlignment="1" pivotButton="0" quotePrefix="0" xfId="0">
      <alignment horizontal="center" vertical="center"/>
    </xf>
    <xf numFmtId="3" fontId="7" fillId="9" borderId="1" applyAlignment="1" pivotButton="0" quotePrefix="0" xfId="0">
      <alignment horizontal="right" vertical="center"/>
    </xf>
    <xf numFmtId="165" fontId="7" fillId="9" borderId="1" applyAlignment="1" pivotButton="0" quotePrefix="0" xfId="0">
      <alignment horizontal="right" vertical="center"/>
    </xf>
    <xf numFmtId="4" fontId="7" fillId="9" borderId="1" applyAlignment="1" pivotButton="0" quotePrefix="0" xfId="0">
      <alignment horizontal="right" vertical="center"/>
    </xf>
    <xf numFmtId="3" fontId="7" fillId="9" borderId="1" applyAlignment="1" pivotButton="0" quotePrefix="0" xfId="0">
      <alignment horizontal="center" vertical="center"/>
    </xf>
    <xf numFmtId="0" fontId="4" fillId="10" borderId="1" applyAlignment="1" pivotButton="0" quotePrefix="0" xfId="0">
      <alignment horizontal="general" vertical="bottom"/>
    </xf>
    <xf numFmtId="3" fontId="4" fillId="10" borderId="1" applyAlignment="1" pivotButton="0" quotePrefix="0" xfId="0">
      <alignment horizontal="right" vertical="center"/>
    </xf>
    <xf numFmtId="4" fontId="4" fillId="10" borderId="1" applyAlignment="1" pivotButton="0" quotePrefix="0" xfId="0">
      <alignment horizontal="right" vertical="center"/>
    </xf>
    <xf numFmtId="0" fontId="6" fillId="3" borderId="1" applyAlignment="1" pivotButton="0" quotePrefix="0" xfId="0">
      <alignment horizontal="general" vertical="center" wrapText="1"/>
    </xf>
    <xf numFmtId="0" fontId="6" fillId="0" borderId="0" applyAlignment="1" pivotButton="0" quotePrefix="0" xfId="0">
      <alignment horizontal="center" vertical="bottom"/>
    </xf>
    <xf numFmtId="0" fontId="9" fillId="0" borderId="0" applyAlignment="1" pivotButton="0" quotePrefix="0" xfId="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general" vertical="center" wrapText="1"/>
    </xf>
    <xf numFmtId="0" fontId="4" fillId="4" borderId="1" applyAlignment="1" pivotButton="0" quotePrefix="0" xfId="0">
      <alignment horizontal="center" vertical="center"/>
    </xf>
    <xf numFmtId="0" fontId="0" fillId="0" borderId="4" pivotButton="0" quotePrefix="0" xfId="0"/>
    <xf numFmtId="0" fontId="0" fillId="0" borderId="5" pivotButton="0" quotePrefix="0" xfId="0"/>
    <xf numFmtId="0" fontId="6" fillId="3" borderId="1" applyAlignment="1" pivotButton="0" quotePrefix="0" xfId="0">
      <alignment horizontal="general" vertical="bottom"/>
    </xf>
    <xf numFmtId="0" fontId="7" fillId="0" borderId="1" applyAlignment="1" pivotButton="0" quotePrefix="0" xfId="0">
      <alignment horizontal="general" vertical="center" wrapText="1"/>
    </xf>
    <xf numFmtId="0" fontId="6" fillId="5" borderId="1" applyAlignment="1" pivotButton="0" quotePrefix="0" xfId="0">
      <alignment horizontal="general" vertical="bottom"/>
    </xf>
    <xf numFmtId="0" fontId="7" fillId="6" borderId="1" applyAlignment="1" pivotButton="0" quotePrefix="0" xfId="0">
      <alignment horizontal="general" vertical="bottom"/>
    </xf>
    <xf numFmtId="0" fontId="7" fillId="0" borderId="0" applyAlignment="1" pivotButton="0" quotePrefix="0" xfId="0">
      <alignment horizontal="general" vertical="bottom"/>
    </xf>
    <xf numFmtId="0" fontId="7" fillId="7" borderId="1" applyAlignment="1" pivotButton="0" quotePrefix="0" xfId="0">
      <alignment horizontal="general" vertical="bottom"/>
    </xf>
    <xf numFmtId="0" fontId="7" fillId="8" borderId="1" applyAlignment="1" pivotButton="0" quotePrefix="0" xfId="0">
      <alignment horizontal="general" vertical="bottom"/>
    </xf>
    <xf numFmtId="0" fontId="7" fillId="9" borderId="1" applyAlignment="1" pivotButton="0" quotePrefix="0" xfId="0">
      <alignment horizontal="general" vertical="bottom"/>
    </xf>
    <xf numFmtId="0" fontId="7" fillId="5" borderId="1" applyAlignment="1" pivotButton="0" quotePrefix="0" xfId="0">
      <alignment horizontal="general" vertical="bottom"/>
    </xf>
    <xf numFmtId="0" fontId="7" fillId="3" borderId="1" applyAlignment="1" pivotButton="0" quotePrefix="0" xfId="0">
      <alignment horizontal="general" vertical="bottom"/>
    </xf>
    <xf numFmtId="0" fontId="5" fillId="3" borderId="0" applyAlignment="1" pivotButton="0" quotePrefix="0" xfId="0">
      <alignment horizontal="general" vertical="top" wrapText="1"/>
    </xf>
    <xf numFmtId="0" fontId="8" fillId="8" borderId="0" applyAlignment="1" pivotButton="0" quotePrefix="0" xfId="0">
      <alignment horizontal="general" vertical="top" wrapText="1"/>
    </xf>
    <xf numFmtId="0" fontId="7" fillId="6" borderId="1" applyAlignment="1" pivotButton="0" quotePrefix="0" xfId="0">
      <alignment horizontal="left" vertical="center"/>
    </xf>
    <xf numFmtId="164" fontId="7" fillId="6" borderId="1" applyAlignment="1" pivotButton="0" quotePrefix="0" xfId="0">
      <alignment horizontal="left" vertical="center"/>
    </xf>
    <xf numFmtId="0" fontId="4" fillId="10" borderId="1" applyAlignment="1" pivotButton="0" quotePrefix="0" xfId="0">
      <alignment horizontal="center" vertical="center" wrapText="1"/>
    </xf>
    <xf numFmtId="165" fontId="7" fillId="6" borderId="1" applyAlignment="1" pivotButton="0" quotePrefix="0" xfId="0">
      <alignment horizontal="left" vertical="center"/>
    </xf>
    <xf numFmtId="3" fontId="7" fillId="7" borderId="1" applyAlignment="1" pivotButton="0" quotePrefix="0" xfId="0">
      <alignment horizontal="center" vertical="center"/>
    </xf>
    <xf numFmtId="164" fontId="7" fillId="6" borderId="1" applyAlignment="1" pivotButton="0" quotePrefix="0" xfId="0">
      <alignment horizontal="center" vertical="center"/>
    </xf>
    <xf numFmtId="0" fontId="9" fillId="6" borderId="1" applyAlignment="1" pivotButton="0" quotePrefix="0" xfId="0">
      <alignment horizontal="left" vertical="center"/>
    </xf>
    <xf numFmtId="4" fontId="7" fillId="6" borderId="1" applyAlignment="1" pivotButton="0" quotePrefix="0" xfId="0">
      <alignment horizontal="left" vertical="center"/>
    </xf>
    <xf numFmtId="0" fontId="10" fillId="9" borderId="1" applyAlignment="1" pivotButton="0" quotePrefix="0" xfId="0">
      <alignment horizontal="left" vertical="center"/>
    </xf>
    <xf numFmtId="3" fontId="10" fillId="9" borderId="1" applyAlignment="1" pivotButton="0" quotePrefix="0" xfId="0">
      <alignment horizontal="left" vertical="center"/>
    </xf>
    <xf numFmtId="165" fontId="10" fillId="9" borderId="1" applyAlignment="1" pivotButton="0" quotePrefix="0" xfId="0">
      <alignment horizontal="left" vertical="center"/>
    </xf>
    <xf numFmtId="0" fontId="4" fillId="4" borderId="1" applyAlignment="1" pivotButton="0" quotePrefix="0" xfId="0">
      <alignment horizontal="center" vertical="center" wrapText="1"/>
    </xf>
    <xf numFmtId="0" fontId="6" fillId="6" borderId="1" applyAlignment="1" pivotButton="0" quotePrefix="0" xfId="0">
      <alignment horizontal="center" vertical="center"/>
    </xf>
    <xf numFmtId="166" fontId="7" fillId="6" borderId="1" applyAlignment="1" pivotButton="0" quotePrefix="0" xfId="0">
      <alignment horizontal="center" vertical="center"/>
    </xf>
    <xf numFmtId="165" fontId="7" fillId="9" borderId="1" applyAlignment="1" pivotButton="0" quotePrefix="0" xfId="0">
      <alignment horizontal="center" vertical="center"/>
    </xf>
    <xf numFmtId="0" fontId="7" fillId="7" borderId="1" applyAlignment="1" pivotButton="0" quotePrefix="0" xfId="0">
      <alignment horizontal="left" vertical="center"/>
    </xf>
    <xf numFmtId="0" fontId="7" fillId="6" borderId="1" applyAlignment="1" pivotButton="0" quotePrefix="0" xfId="0">
      <alignment horizontal="center" vertical="center"/>
    </xf>
    <xf numFmtId="4" fontId="7" fillId="6" borderId="1" applyAlignment="1" pivotButton="0" quotePrefix="0" xfId="0">
      <alignment horizontal="center" vertical="center"/>
    </xf>
    <xf numFmtId="165" fontId="7" fillId="6" borderId="1" applyAlignment="1" pivotButton="0" quotePrefix="0" xfId="0">
      <alignment horizontal="center" vertical="center"/>
    </xf>
    <xf numFmtId="0" fontId="4" fillId="10" borderId="1" applyAlignment="1" pivotButton="0" quotePrefix="0" xfId="0">
      <alignment horizontal="right" vertical="center"/>
    </xf>
    <xf numFmtId="0" fontId="4" fillId="10" borderId="1" applyAlignment="1" pivotButton="0" quotePrefix="0" xfId="0">
      <alignment horizontal="center" vertical="center"/>
    </xf>
    <xf numFmtId="0" fontId="0" fillId="10" borderId="1" applyAlignment="1" pivotButton="0" quotePrefix="0" xfId="0">
      <alignment horizontal="general" vertical="bottom"/>
    </xf>
    <xf numFmtId="0" fontId="7" fillId="7" borderId="1" applyAlignment="1" pivotButton="0" quotePrefix="0" xfId="0">
      <alignment horizontal="center" vertical="center"/>
    </xf>
    <xf numFmtId="166" fontId="7" fillId="9" borderId="1" applyAlignment="1" pivotButton="0" quotePrefix="0" xfId="0">
      <alignment horizontal="center" vertical="center"/>
    </xf>
    <xf numFmtId="165" fontId="7" fillId="7" borderId="1" applyAlignment="1" pivotButton="0" quotePrefix="0" xfId="0">
      <alignment horizontal="center" vertical="center"/>
    </xf>
    <xf numFmtId="167" fontId="7" fillId="7" borderId="1" applyAlignment="1" pivotButton="0" quotePrefix="0" xfId="0">
      <alignment horizontal="center" vertical="center"/>
    </xf>
    <xf numFmtId="168" fontId="7" fillId="6" borderId="1" applyAlignment="1" pivotButton="0" quotePrefix="0" xfId="0">
      <alignment horizontal="center" vertical="center"/>
    </xf>
    <xf numFmtId="168" fontId="7" fillId="9" borderId="1" applyAlignment="1" pivotButton="0" quotePrefix="0" xfId="0">
      <alignment horizontal="center" vertical="center"/>
    </xf>
    <xf numFmtId="4" fontId="7" fillId="7" borderId="1" applyAlignment="1" pivotButton="0" quotePrefix="0" xfId="0">
      <alignment horizontal="center" vertical="center"/>
    </xf>
    <xf numFmtId="4" fontId="7" fillId="9" borderId="1" applyAlignment="1" pivotButton="0" quotePrefix="0" xfId="0">
      <alignment horizontal="center" vertical="center"/>
    </xf>
    <xf numFmtId="168" fontId="7" fillId="7"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xf>
    <xf numFmtId="164" fontId="7" fillId="9" borderId="1" applyAlignment="1" pivotButton="0" quotePrefix="0" xfId="0">
      <alignment horizontal="center" vertical="center"/>
    </xf>
    <xf numFmtId="3" fontId="7" fillId="9" borderId="1" applyAlignment="1" pivotButton="0" quotePrefix="0" xfId="0">
      <alignment horizontal="right" vertical="center"/>
    </xf>
    <xf numFmtId="165" fontId="7" fillId="9" borderId="1" applyAlignment="1" pivotButton="0" quotePrefix="0" xfId="0">
      <alignment horizontal="right" vertical="center"/>
    </xf>
    <xf numFmtId="4" fontId="7" fillId="9" borderId="1" applyAlignment="1" pivotButton="0" quotePrefix="0" xfId="0">
      <alignment horizontal="right" vertical="center"/>
    </xf>
    <xf numFmtId="3" fontId="7" fillId="9" borderId="1" applyAlignment="1" pivotButton="0" quotePrefix="0" xfId="0">
      <alignment horizontal="center" vertical="center"/>
    </xf>
    <xf numFmtId="0" fontId="4" fillId="10" borderId="1" applyAlignment="1" pivotButton="0" quotePrefix="0" xfId="0">
      <alignment horizontal="general" vertical="bottom"/>
    </xf>
    <xf numFmtId="3" fontId="4" fillId="10" borderId="1" applyAlignment="1" pivotButton="0" quotePrefix="0" xfId="0">
      <alignment horizontal="right" vertical="center"/>
    </xf>
    <xf numFmtId="4" fontId="4" fillId="10" borderId="1" applyAlignment="1" pivotButton="0" quotePrefix="0" xfId="0">
      <alignment horizontal="right" vertical="center"/>
    </xf>
    <xf numFmtId="0" fontId="6" fillId="3" borderId="1" applyAlignment="1" pivotButton="0" quotePrefix="0" xfId="0">
      <alignment horizontal="general" vertical="center" wrapText="1"/>
    </xf>
    <xf numFmtId="0" fontId="6" fillId="0" borderId="0" applyAlignment="1" pivotButton="0" quotePrefix="0" xfId="0">
      <alignment horizontal="center" vertical="bottom"/>
    </xf>
    <xf numFmtId="0" fontId="9" fillId="0" borderId="0" applyAlignment="1" pivotButton="0" quotePrefix="0" xfId="0">
      <alignment horizontal="center" vertical="bottom"/>
    </xf>
    <xf numFmtId="0" fontId="10" fillId="0"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Calibri"/>
        <charset val="1"/>
        <family val="0"/>
        <b val="1"/>
        <color rgb="FFC00000"/>
        <sz val="11"/>
      </font>
      <fill>
        <patternFill>
          <bgColor rgb="FFF4CCCC"/>
        </patternFill>
      </fill>
    </dxf>
    <dxf>
      <fill>
        <patternFill>
          <bgColor rgb="FFA6A6A6"/>
        </patternFill>
      </fill>
    </dxf>
    <dxf>
      <font>
        <name val="Calibri"/>
        <charset val="1"/>
        <family val="0"/>
        <b val="1"/>
        <color rgb="FFC55A11"/>
        <sz val="11"/>
      </font>
      <fill>
        <patternFill>
          <bgColor rgb="FFFCE4D6"/>
        </patternFill>
      </fill>
    </dxf>
    <dxf>
      <font>
        <name val="Calibri"/>
        <charset val="1"/>
        <family val="0"/>
        <b val="1"/>
        <color rgb="FF17365D"/>
        <sz val="11"/>
      </font>
      <fill>
        <patternFill>
          <bgColor rgb="FFDDEBF7"/>
        </patternFill>
      </fill>
    </dxf>
    <dxf>
      <font>
        <name val="Calibri"/>
        <charset val="1"/>
        <family val="0"/>
        <color rgb="FFC00000"/>
        <sz val="11"/>
      </font>
      <fill>
        <patternFill>
          <bgColor rgb="FFF4CCCC"/>
        </patternFill>
      </fill>
    </dxf>
    <dxf>
      <font>
        <name val="Calibri"/>
        <charset val="1"/>
        <family val="0"/>
        <b val="1"/>
        <color rgb="FF375623"/>
        <sz val="11"/>
      </font>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F0D9"/>
      <rgbColor rgb="FFFCE4D6"/>
      <rgbColor rgb="FF99CCFF"/>
      <rgbColor rgb="FFFF99CC"/>
      <rgbColor rgb="FFCC99FF"/>
      <rgbColor rgb="FFF4CCCC"/>
      <rgbColor rgb="FF3366FF"/>
      <rgbColor rgb="FF33CCCC"/>
      <rgbColor rgb="FF99CC00"/>
      <rgbColor rgb="FFFFCC00"/>
      <rgbColor rgb="FFFF9900"/>
      <rgbColor rgb="FFED7D31"/>
      <rgbColor rgb="FF666699"/>
      <rgbColor rgb="FFA6A6A6"/>
      <rgbColor rgb="FF17365D"/>
      <rgbColor rgb="FF339966"/>
      <rgbColor rgb="FF003300"/>
      <rgbColor rgb="FF333300"/>
      <rgbColor rgb="FFC55A11"/>
      <rgbColor rgb="FF993366"/>
      <rgbColor rgb="FF1F4E78"/>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3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62" min="1" max="1"/>
    <col width="31" customWidth="1" style="62" min="2" max="2"/>
    <col width="14" customWidth="1" style="62" min="3" max="8"/>
  </cols>
  <sheetData>
    <row r="1" ht="30" customHeight="1" s="63">
      <c r="A1" s="64" t="inlineStr">
        <is>
          <t>BẢNG CHẤM CÔNG TỰ ĐỘNG 2026 – KHỚP NỐI FILE TÍNH LƯƠNG W1 | KK HOME</t>
        </is>
      </c>
    </row>
    <row r="2" ht="33.75" customHeight="1" s="63">
      <c r="A2" s="65" t="inlineStr">
        <is>
          <t>Bản sạch dùng trên Excel 365. File chấm công theo lưới ngày 1–31 bằng ký hiệu, tự tổng hợp ngày công, ngày nghỉ và giờ làm thêm, rồi kết xuất đúng thứ tự cột của sheet CHAM_CONG_THANG trong file NS06_Bang_Luong_Tu_Dong_2026.xlsx. Hai file dùng chung mã nhân viên và chung thứ tự dòng.</t>
        </is>
      </c>
    </row>
    <row r="3" ht="15" customHeight="1" s="63"/>
    <row r="4"/>
    <row r="5" ht="15" customHeight="1" s="63">
      <c r="A5" s="66" t="inlineStr">
        <is>
          <t>QUY TRÌNH SỬ DỤNG</t>
        </is>
      </c>
      <c r="B5" s="67" t="n"/>
      <c r="C5" s="67" t="n"/>
      <c r="D5" s="67" t="n"/>
      <c r="E5" s="67" t="n"/>
      <c r="F5" s="67" t="n"/>
      <c r="G5" s="67" t="n"/>
      <c r="H5" s="68" t="n"/>
    </row>
    <row r="6" ht="31.5" customHeight="1" s="63">
      <c r="A6" s="69" t="inlineStr">
        <is>
          <t>Bước 1</t>
        </is>
      </c>
      <c r="B6" s="69" t="inlineStr">
        <is>
          <t>THAM_SO_CC</t>
        </is>
      </c>
      <c r="C6" s="70" t="inlineStr">
        <is>
          <t>Điền tên đơn vị, Từ ngày – Đến ngày của kỳ, giờ làm việc/ngày, chế độ nghỉ hằng tuần và danh sách ngày lễ, Tết trong kỳ. Ngày công chuẩn để chế độ Theo lịch thì file tự tính.</t>
        </is>
      </c>
      <c r="D6" s="67" t="n"/>
      <c r="E6" s="67" t="n"/>
      <c r="F6" s="67" t="n"/>
      <c r="G6" s="67" t="n"/>
      <c r="H6" s="68" t="n"/>
    </row>
    <row r="7" ht="31.5" customHeight="1" s="63">
      <c r="A7" s="69" t="inlineStr">
        <is>
          <t>Bước 2</t>
        </is>
      </c>
      <c r="B7" s="69" t="inlineStr">
        <is>
          <t>KY_HIEU</t>
        </is>
      </c>
      <c r="C7" s="70" t="inlineStr">
        <is>
          <t>Xem bộ ký hiệu chấm công. Mỗi ký hiệu khai giá trị ngày cho từng chỉ tiêu, nên có cả ký hiệu nửa ngày làm việc ghép nửa ngày nghỉ. Được thêm ký hiệu mới từ dòng trống.</t>
        </is>
      </c>
      <c r="D7" s="67" t="n"/>
      <c r="E7" s="67" t="n"/>
      <c r="F7" s="67" t="n"/>
      <c r="G7" s="67" t="n"/>
      <c r="H7" s="68" t="n"/>
    </row>
    <row r="8" ht="31.5" customHeight="1" s="63">
      <c r="A8" s="69" t="inlineStr">
        <is>
          <t>Bước 3</t>
        </is>
      </c>
      <c r="B8" s="69" t="inlineStr">
        <is>
          <t>DM_NHAN_SU</t>
        </is>
      </c>
      <c r="C8" s="70" t="inlineStr">
        <is>
          <t>Khai mã NV, họ tên, bộ phận, chức danh, ngày vào, ngày nghỉ việc. Mã NV phải trùng khít với file lương, không để dòng trống ở giữa.</t>
        </is>
      </c>
      <c r="D8" s="67" t="n"/>
      <c r="E8" s="67" t="n"/>
      <c r="F8" s="67" t="n"/>
      <c r="G8" s="67" t="n"/>
      <c r="H8" s="68" t="n"/>
    </row>
    <row r="9" ht="31.5" customHeight="1" s="63">
      <c r="A9" s="69" t="inlineStr">
        <is>
          <t>Bước 4</t>
        </is>
      </c>
      <c r="B9" s="69" t="inlineStr">
        <is>
          <t>BANG_CHAM_CONG</t>
        </is>
      </c>
      <c r="C9" s="70" t="inlineStr">
        <is>
          <t>Chấm công lưới ngày 1–31 bằng ký hiệu chọn từ danh sách xổ xuống. Cột ngày nghỉ tuần và ngày lễ tự đổi màu. Bảy cột tổng hợp bên phải tự chạy.</t>
        </is>
      </c>
      <c r="D9" s="67" t="n"/>
      <c r="E9" s="67" t="n"/>
      <c r="F9" s="67" t="n"/>
      <c r="G9" s="67" t="n"/>
      <c r="H9" s="68" t="n"/>
    </row>
    <row r="10" ht="31.5" customHeight="1" s="63">
      <c r="A10" s="69" t="inlineStr">
        <is>
          <t>Bước 5</t>
        </is>
      </c>
      <c r="B10" s="69" t="inlineStr">
        <is>
          <t>CC_OT_GIO</t>
        </is>
      </c>
      <c r="C10" s="70" t="inlineStr">
        <is>
          <t>Nhập giờ làm thêm và giờ làm ban đêm theo từng ngày. File tự xếp vào OT ngày thường, OT ngày nghỉ tuần hay OT ngày lễ theo danh sách ngày lễ đã khai.</t>
        </is>
      </c>
      <c r="D10" s="67" t="n"/>
      <c r="E10" s="67" t="n"/>
      <c r="F10" s="67" t="n"/>
      <c r="G10" s="67" t="n"/>
      <c r="H10" s="68" t="n"/>
    </row>
    <row r="11" ht="31.5" customHeight="1" s="63">
      <c r="A11" s="69" t="inlineStr">
        <is>
          <t>Bước 6</t>
        </is>
      </c>
      <c r="B11" s="69" t="inlineStr">
        <is>
          <t>TONG_HOP_CC</t>
        </is>
      </c>
      <c r="C11" s="70" t="inlineStr">
        <is>
          <t>Đối chiếu ngày công, giờ công, giờ OT của từng người và xử lý hết cảnh báo trước khi chốt công.</t>
        </is>
      </c>
      <c r="D11" s="67" t="n"/>
      <c r="E11" s="67" t="n"/>
      <c r="F11" s="67" t="n"/>
      <c r="G11" s="67" t="n"/>
      <c r="H11" s="68" t="n"/>
    </row>
    <row r="12" ht="31.5" customHeight="1" s="63">
      <c r="A12" s="69" t="inlineStr">
        <is>
          <t>Bước 7</t>
        </is>
      </c>
      <c r="B12" s="69" t="inlineStr">
        <is>
          <t>XUAT_SANG_LUONG</t>
        </is>
      </c>
      <c r="C12" s="70" t="inlineStr">
        <is>
          <t>Copy 3 khối sang file NS06_Bang_Luong_Tu_Dong_2026.xlsx theo đúng ô đích ghi trên đầu mỗi khối. Luôn dán bằng Paste Values.</t>
        </is>
      </c>
      <c r="D12" s="67" t="n"/>
      <c r="E12" s="67" t="n"/>
      <c r="F12" s="67" t="n"/>
      <c r="G12" s="67" t="n"/>
      <c r="H12" s="68" t="n"/>
    </row>
    <row r="13" ht="31.5" customHeight="1" s="63">
      <c r="A13" s="69" t="inlineStr">
        <is>
          <t>Bước 8</t>
        </is>
      </c>
      <c r="B13" s="69" t="inlineStr">
        <is>
          <t>BAO_CAO</t>
        </is>
      </c>
      <c r="C13" s="70" t="inlineStr">
        <is>
          <t>Xem tổng hợp theo bộ phận và bảng kiểm tra khớp nối. Bảy dòng kiểm tra phải bằng 0 mới phát hành.</t>
        </is>
      </c>
      <c r="D13" s="67" t="n"/>
      <c r="E13" s="67" t="n"/>
      <c r="F13" s="67" t="n"/>
      <c r="G13" s="67" t="n"/>
      <c r="H13" s="68" t="n"/>
    </row>
    <row r="14"/>
    <row r="15" ht="15" customHeight="1" s="63">
      <c r="A15" s="66" t="inlineStr">
        <is>
          <t>CÁCH NỐI VỚI FILE TÍNH LƯƠNG NS06_Bang_Luong_Tu_Dong_2026.xlsx</t>
        </is>
      </c>
      <c r="B15" s="67" t="n"/>
      <c r="C15" s="67" t="n"/>
      <c r="D15" s="67" t="n"/>
      <c r="E15" s="67" t="n"/>
      <c r="F15" s="67" t="n"/>
      <c r="G15" s="67" t="n"/>
      <c r="H15" s="68" t="n"/>
    </row>
    <row r="16" ht="31.5" customHeight="1" s="63">
      <c r="A16" s="71" t="inlineStr">
        <is>
          <t>Khối 0</t>
        </is>
      </c>
      <c r="B16" s="71" t="inlineStr">
        <is>
          <t>DM_NHAN_SU – ô B6</t>
        </is>
      </c>
      <c r="C16" s="70" t="inlineStr">
        <is>
          <t>Copy XUAT_SANG_LUONG cột W:AB (Mã NV → Ngày nghỉ), dán Paste Values vào ô B6 sheet DM_NHAN_SU của file lương. Làm bước này trước để hai file cùng thứ tự dòng.</t>
        </is>
      </c>
      <c r="D16" s="67" t="n"/>
      <c r="E16" s="67" t="n"/>
      <c r="F16" s="67" t="n"/>
      <c r="G16" s="67" t="n"/>
      <c r="H16" s="68" t="n"/>
    </row>
    <row r="17" ht="31.5" customHeight="1" s="63">
      <c r="A17" s="71" t="inlineStr">
        <is>
          <t>Khối 1</t>
        </is>
      </c>
      <c r="B17" s="71" t="inlineStr">
        <is>
          <t>CHAM_CONG_THANG – ô D6</t>
        </is>
      </c>
      <c r="C17" s="70" t="inlineStr">
        <is>
          <t>Copy XUAT_SANG_LUONG cột E:N (Nguồn công → OT lễ đêm), dán Paste Values vào ô D6 sheet CHAM_CONG_THANG. Đúng 10 cột D:M.</t>
        </is>
      </c>
      <c r="D17" s="67" t="n"/>
      <c r="E17" s="67" t="n"/>
      <c r="F17" s="67" t="n"/>
      <c r="G17" s="67" t="n"/>
      <c r="H17" s="68" t="n"/>
    </row>
    <row r="18" ht="31.5" customHeight="1" s="63">
      <c r="A18" s="71" t="inlineStr">
        <is>
          <t>Khối 2</t>
        </is>
      </c>
      <c r="B18" s="71" t="inlineStr">
        <is>
          <t>CHAM_CONG_THANG – ô AL6</t>
        </is>
      </c>
      <c r="C18" s="70" t="inlineStr">
        <is>
          <t>Copy XUAT_SANG_LUONG cột P:U (Phép năm → Nghỉ không lương), dán Paste Values vào ô AL6 sheet CHAM_CONG_THANG. Đúng 6 cột AL:AQ.</t>
        </is>
      </c>
      <c r="D18" s="67" t="n"/>
      <c r="E18" s="67" t="n"/>
      <c r="F18" s="67" t="n"/>
      <c r="G18" s="67" t="n"/>
      <c r="H18" s="68" t="n"/>
    </row>
    <row r="19" ht="31.5" customHeight="1" s="63">
      <c r="A19" s="71" t="inlineStr">
        <is>
          <t>Sau khi dán</t>
        </is>
      </c>
      <c r="B19" s="71" t="inlineStr">
        <is>
          <t>Kiểm tra lại</t>
        </is>
      </c>
      <c r="C19" s="70" t="inlineStr">
        <is>
          <t>Trên file lương, cột AC:AK và AR:AW phải hiện đúng số vừa dán. Không dán đè lên hai vùng công thức này. Đối chiếu tổng tại BAO_CAO với sheet TONG_HOP của file lương.</t>
        </is>
      </c>
      <c r="D19" s="67" t="n"/>
      <c r="E19" s="67" t="n"/>
      <c r="F19" s="67" t="n"/>
      <c r="G19" s="67" t="n"/>
      <c r="H19" s="68" t="n"/>
    </row>
    <row r="20"/>
    <row r="21" ht="15" customHeight="1" s="63">
      <c r="A21" s="66" t="inlineStr">
        <is>
          <t>QUY ƯỚC MÀU</t>
        </is>
      </c>
      <c r="B21" s="67" t="n"/>
      <c r="C21" s="67" t="n"/>
      <c r="D21" s="67" t="n"/>
      <c r="E21" s="67" t="n"/>
      <c r="F21" s="67" t="n"/>
      <c r="G21" s="67" t="n"/>
      <c r="H21" s="68" t="n"/>
    </row>
    <row r="22" ht="15" customHeight="1" s="63">
      <c r="A22" s="72" t="inlineStr">
        <is>
          <t>Ô nhập liệu</t>
        </is>
      </c>
      <c r="B22" s="68" t="n"/>
      <c r="C22" s="73" t="inlineStr">
        <is>
          <t>Người dùng được sửa</t>
        </is>
      </c>
      <c r="E22" s="74" t="inlineStr">
        <is>
          <t>Ô công thức</t>
        </is>
      </c>
      <c r="F22" s="68" t="n"/>
      <c r="G22" s="73" t="inlineStr">
        <is>
          <t>Không sửa nếu chưa hiểu logic</t>
        </is>
      </c>
    </row>
    <row r="23" ht="15" customHeight="1" s="63">
      <c r="A23" s="75" t="inlineStr">
        <is>
          <t>Cảnh báo</t>
        </is>
      </c>
      <c r="B23" s="68" t="n"/>
      <c r="C23" s="73" t="inlineStr">
        <is>
          <t>Cần kiểm tra hồ sơ, dữ liệu</t>
        </is>
      </c>
      <c r="E23" s="76" t="inlineStr">
        <is>
          <t>Kết quả</t>
        </is>
      </c>
      <c r="F23" s="68" t="n"/>
      <c r="G23" s="73" t="inlineStr">
        <is>
          <t>Dùng để đối chiếu hoặc kết xuất</t>
        </is>
      </c>
    </row>
    <row r="24" ht="15" customHeight="1" s="63">
      <c r="A24" s="77" t="inlineStr">
        <is>
          <t>Ngày lễ, Tết</t>
        </is>
      </c>
      <c r="B24" s="68" t="n"/>
      <c r="C24" s="73" t="inlineStr">
        <is>
          <t>Theo danh sách tại THAM_SO_CC</t>
        </is>
      </c>
      <c r="E24" s="78" t="inlineStr">
        <is>
          <t>Ngày nghỉ tuần</t>
        </is>
      </c>
      <c r="F24" s="68" t="n"/>
      <c r="G24" s="73" t="inlineStr">
        <is>
          <t>Theo chế độ nghỉ tuần đã chọn</t>
        </is>
      </c>
    </row>
    <row r="25"/>
    <row r="26" ht="15" customHeight="1" s="63">
      <c r="A26" s="66" t="inlineStr">
        <is>
          <t>QUY ƯỚC NGÀY CÔNG VÀ LƯU Ý</t>
        </is>
      </c>
      <c r="B26" s="67" t="n"/>
      <c r="C26" s="67" t="n"/>
      <c r="D26" s="67" t="n"/>
      <c r="E26" s="67" t="n"/>
      <c r="F26" s="67" t="n"/>
      <c r="G26" s="67" t="n"/>
      <c r="H26" s="68" t="n"/>
    </row>
    <row r="27" ht="25.5" customHeight="1" s="63">
      <c r="A27" s="79" t="inlineStr">
        <is>
          <t>Ngày công chuẩn là số ngày phải làm theo lịch doanh nghiệp, không gồm ngày nghỉ hằng tuần và ngày lễ, Tết. Mỗi ngày chỉ chấm một ký hiệu; muốn nửa ngày làm việc ghép nửa ngày nghỉ thì dùng ký hiệu ghép X-P, X-R, X-O, X-KL. Ngày nghỉ hằng tuần mà người lao động vẫn đi làm thì chấm NT trên lưới và nhập số giờ tại CC_OT_GIO, không chấm X, để công làm việc không bị đội lên. Giờ đêm trong ca là phần 22:00–06:00 nằm trong ca bình thường, file chỉ chuyển sang file lương để tính phần trả thêm ban đêm; giờ OT nhập tại CC_OT_GIO là giờ ngoài giờ tiêu chuẩn, không cộng vào công làm việc.</t>
        </is>
      </c>
    </row>
    <row r="28" ht="15" customHeight="1" s="63"/>
    <row r="29" ht="15" customHeight="1" s="63"/>
    <row r="30"/>
    <row r="31" ht="25.5" customHeight="1" s="63">
      <c r="A31" s="80" t="inlineStr">
        <is>
          <t>Trước khi chốt lương, phải đối chiếu bảng chấm công với đơn xin nghỉ phép, giấy ra viện, hồ sơ hưởng chế độ BHXH, văn bản thoả thuận làm thêm giờ và giới hạn giờ làm thêm theo Bộ luật Lao động 45/2019/QH14 cùng Nghị định 145/2020/NĐ-CP. File là công cụ kiểm soát, không thay thế hồ sơ gốc và không tự kết luận tính hợp lệ của giờ làm thêm.</t>
        </is>
      </c>
    </row>
    <row r="32" ht="15" customHeight="1" s="63"/>
    <row r="33" ht="15" customHeight="1" s="63"/>
  </sheetData>
  <mergeCells count="32">
    <mergeCell ref="C10:H10"/>
    <mergeCell ref="C16:H16"/>
    <mergeCell ref="A24:B24"/>
    <mergeCell ref="C24:D24"/>
    <mergeCell ref="A15:H15"/>
    <mergeCell ref="E24:F24"/>
    <mergeCell ref="C9:H9"/>
    <mergeCell ref="A2:H3"/>
    <mergeCell ref="E23:F23"/>
    <mergeCell ref="A31:H33"/>
    <mergeCell ref="G23:H23"/>
    <mergeCell ref="A1:H1"/>
    <mergeCell ref="C12:H12"/>
    <mergeCell ref="C11:H11"/>
    <mergeCell ref="C8:H8"/>
    <mergeCell ref="C22:D22"/>
    <mergeCell ref="C17:H17"/>
    <mergeCell ref="C7:H7"/>
    <mergeCell ref="A26:H26"/>
    <mergeCell ref="C19:H19"/>
    <mergeCell ref="A21:H21"/>
    <mergeCell ref="G24:H24"/>
    <mergeCell ref="C13:H13"/>
    <mergeCell ref="C18:H18"/>
    <mergeCell ref="A5:H5"/>
    <mergeCell ref="A23:B23"/>
    <mergeCell ref="A27:H29"/>
    <mergeCell ref="C23:D23"/>
    <mergeCell ref="A22:B22"/>
    <mergeCell ref="C6:H6"/>
    <mergeCell ref="E22:F22"/>
    <mergeCell ref="G22:H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62" min="1" max="1"/>
    <col width="18" customWidth="1" style="62" min="2" max="2"/>
    <col width="16" customWidth="1" style="62" min="3" max="3"/>
    <col width="3" customWidth="1" style="62" min="4" max="4"/>
    <col width="7" customWidth="1" style="62" min="5" max="5"/>
    <col width="14" customWidth="1" style="62" min="6" max="6"/>
    <col width="24" customWidth="1" style="62" min="7" max="8"/>
  </cols>
  <sheetData>
    <row r="1" ht="30" customHeight="1" s="63">
      <c r="A1" s="64" t="inlineStr">
        <is>
          <t>THAM SỐ KỲ CHẤM CÔNG</t>
        </is>
      </c>
    </row>
    <row r="2" ht="15" customHeight="1" s="63">
      <c r="A2" s="65" t="inlineStr">
        <is>
          <t>Ô vàng là dữ liệu phải điền. Từ ngày – Đến ngày quyết định lưới ngày 1–31 và cách tô màu ngày nghỉ. Danh sách ngày lễ, Tết dùng để tô màu lưới và xếp giờ làm thêm vào nhóm OT ngày lễ.</t>
        </is>
      </c>
    </row>
    <row r="3" ht="15" customHeight="1" s="63"/>
    <row r="4"/>
    <row r="5" ht="15" customHeight="1" s="63">
      <c r="A5" s="66" t="inlineStr">
        <is>
          <t>THÔNG TIN KỲ CHẤM CÔNG</t>
        </is>
      </c>
      <c r="B5" s="67" t="n"/>
      <c r="C5" s="68" t="n"/>
      <c r="E5" s="66" t="inlineStr">
        <is>
          <t>NGÀY LỄ, TẾT VÀ NGÀY NGHỈ HƯỞNG LƯƠNG TRONG KỲ</t>
        </is>
      </c>
      <c r="F5" s="67" t="n"/>
      <c r="G5" s="67" t="n"/>
      <c r="H5" s="68" t="n"/>
    </row>
    <row r="6" ht="15" customHeight="1" s="63">
      <c r="A6" s="69" t="inlineStr">
        <is>
          <t>Tên đơn vị</t>
        </is>
      </c>
      <c r="B6" s="81" t="inlineStr">
        <is>
          <t>CÔNG TY …</t>
        </is>
      </c>
      <c r="C6" s="68" t="n"/>
      <c r="E6" s="65" t="inlineStr">
        <is>
          <t>Nhập ngày lễ, Tết rơi vào kỳ chấm công. Ngày trong danh sách được tô cam trên lưới chấm công, bị trừ khỏi ngày công chuẩn theo lịch, và giờ làm thêm của ngày đó tự xếp vào nhóm OT ngày lễ.</t>
        </is>
      </c>
    </row>
    <row r="7" ht="15" customHeight="1" s="63">
      <c r="A7" s="69" t="inlineStr">
        <is>
          <t>Địa chỉ</t>
        </is>
      </c>
      <c r="B7" s="81" t="inlineStr">
        <is>
          <t>Địa chỉ doanh nghiệp</t>
        </is>
      </c>
      <c r="C7" s="68" t="n"/>
    </row>
    <row r="8" ht="15" customHeight="1" s="63">
      <c r="A8" s="69" t="inlineStr">
        <is>
          <t>Từ ngày</t>
        </is>
      </c>
      <c r="B8" s="82" t="n">
        <v>46204</v>
      </c>
      <c r="C8" s="68" t="n"/>
    </row>
    <row r="9" ht="15" customHeight="1" s="63">
      <c r="A9" s="69" t="inlineStr">
        <is>
          <t>Đến ngày</t>
        </is>
      </c>
      <c r="B9" s="82" t="n">
        <v>46234</v>
      </c>
      <c r="C9" s="68" t="n"/>
      <c r="E9" s="83" t="inlineStr">
        <is>
          <t>STT</t>
        </is>
      </c>
      <c r="F9" s="83" t="inlineStr">
        <is>
          <t>Ngày</t>
        </is>
      </c>
      <c r="G9" s="83" t="inlineStr">
        <is>
          <t>Nội dung</t>
        </is>
      </c>
      <c r="H9" s="68" t="n"/>
    </row>
    <row r="10" ht="15" customHeight="1" s="63">
      <c r="A10" s="69" t="inlineStr">
        <is>
          <t>Ngày công chuẩn nhập tay</t>
        </is>
      </c>
      <c r="B10" s="84" t="n">
        <v>26</v>
      </c>
      <c r="C10" s="68" t="n"/>
      <c r="E10" s="85">
        <f>IF($F10="","",ROW()-9)</f>
        <v/>
      </c>
      <c r="F10" s="86" t="n">
        <v>46266</v>
      </c>
      <c r="G10" s="87" t="inlineStr">
        <is>
          <t>Ví dụ – xoá nếu không thuộc kỳ</t>
        </is>
      </c>
      <c r="H10" s="68" t="n"/>
    </row>
    <row r="11" ht="15" customHeight="1" s="63">
      <c r="A11" s="69" t="inlineStr">
        <is>
          <t>Giờ làm việc/ngày</t>
        </is>
      </c>
      <c r="B11" s="88" t="n">
        <v>8</v>
      </c>
      <c r="C11" s="68" t="n"/>
      <c r="E11" s="85">
        <f>IF($F11="","",ROW()-9)</f>
        <v/>
      </c>
      <c r="F11" s="86" t="n">
        <v>46267</v>
      </c>
      <c r="G11" s="87" t="inlineStr">
        <is>
          <t>Ví dụ – xoá nếu không thuộc kỳ</t>
        </is>
      </c>
      <c r="H11" s="68" t="n"/>
    </row>
    <row r="12" ht="15" customHeight="1" s="63">
      <c r="A12" s="69" t="inlineStr">
        <is>
          <t>Chế độ nghỉ hằng tuần</t>
        </is>
      </c>
      <c r="B12" s="81" t="inlineStr">
        <is>
          <t>CN</t>
        </is>
      </c>
      <c r="C12" s="68" t="n"/>
      <c r="E12" s="85">
        <f>IF($F12="","",ROW()-9)</f>
        <v/>
      </c>
      <c r="F12" s="86" t="n"/>
      <c r="G12" s="81" t="n"/>
      <c r="H12" s="68" t="n"/>
    </row>
    <row r="13" ht="15" customHeight="1" s="63">
      <c r="A13" s="69" t="inlineStr">
        <is>
          <t>Người chấm công</t>
        </is>
      </c>
      <c r="B13" s="81" t="inlineStr">
        <is>
          <t>Họ tên người chấm công</t>
        </is>
      </c>
      <c r="C13" s="68" t="n"/>
      <c r="E13" s="85">
        <f>IF($F13="","",ROW()-9)</f>
        <v/>
      </c>
      <c r="F13" s="86" t="n"/>
      <c r="G13" s="81" t="n"/>
      <c r="H13" s="68" t="n"/>
    </row>
    <row r="14" ht="15" customHeight="1" s="63">
      <c r="A14" s="69" t="inlineStr">
        <is>
          <t>Người duyệt</t>
        </is>
      </c>
      <c r="B14" s="81" t="inlineStr">
        <is>
          <t>Họ tên người duyệt</t>
        </is>
      </c>
      <c r="C14" s="68" t="n"/>
      <c r="E14" s="85">
        <f>IF($F14="","",ROW()-9)</f>
        <v/>
      </c>
      <c r="F14" s="86" t="n"/>
      <c r="G14" s="81" t="n"/>
      <c r="H14" s="68" t="n"/>
    </row>
    <row r="15" ht="15" customHeight="1" s="63">
      <c r="A15" s="69" t="inlineStr">
        <is>
          <t>Ngày cập nhật</t>
        </is>
      </c>
      <c r="B15" s="82" t="n">
        <v>46272</v>
      </c>
      <c r="C15" s="68" t="n"/>
      <c r="E15" s="85">
        <f>IF($F15="","",ROW()-9)</f>
        <v/>
      </c>
      <c r="F15" s="86" t="n"/>
      <c r="G15" s="81" t="n"/>
      <c r="H15" s="68" t="n"/>
    </row>
    <row r="16" ht="15" customHeight="1" s="63">
      <c r="A16" s="69" t="inlineStr">
        <is>
          <t>Phiên bản</t>
        </is>
      </c>
      <c r="B16" s="81" t="inlineStr">
        <is>
          <t>KK HOME Timesheet 2026.1 – Excel 365</t>
        </is>
      </c>
      <c r="C16" s="68" t="n"/>
      <c r="E16" s="85">
        <f>IF($F16="","",ROW()-9)</f>
        <v/>
      </c>
      <c r="F16" s="86" t="n"/>
      <c r="G16" s="81" t="n"/>
      <c r="H16" s="68" t="n"/>
    </row>
    <row r="17" ht="15" customHeight="1" s="63">
      <c r="A17" s="69" t="inlineStr">
        <is>
          <t>Kỳ chấm công</t>
        </is>
      </c>
      <c r="B17" s="89">
        <f>IF($B$8="","","Từ "&amp;TEXT($B$8,"dd/mm/yyyy")&amp;" đến "&amp;TEXT($B$9,"dd/mm/yyyy"))</f>
        <v/>
      </c>
      <c r="C17" s="68" t="n"/>
      <c r="E17" s="85">
        <f>IF($F17="","",ROW()-9)</f>
        <v/>
      </c>
      <c r="F17" s="86" t="n"/>
      <c r="G17" s="81" t="n"/>
      <c r="H17" s="68" t="n"/>
    </row>
    <row r="18" ht="15" customHeight="1" s="63">
      <c r="A18" s="69" t="inlineStr">
        <is>
          <t>Số ngày dương lịch trong kỳ</t>
        </is>
      </c>
      <c r="B18" s="90">
        <f>IF(OR($B$8="",$B$9=""),"",$B$9-$B$8+1)</f>
        <v/>
      </c>
      <c r="C18" s="68" t="n"/>
      <c r="E18" s="85">
        <f>IF($F18="","",ROW()-9)</f>
        <v/>
      </c>
      <c r="F18" s="86" t="n"/>
      <c r="G18" s="81" t="n"/>
      <c r="H18" s="68" t="n"/>
    </row>
    <row r="19" ht="15" customHeight="1" s="63">
      <c r="A19" s="69" t="inlineStr">
        <is>
          <t>Ngày công chuẩn theo lịch (tự tính)</t>
        </is>
      </c>
      <c r="B19" s="91">
        <f>IF(OR($B$8="",$B$9=""),"",SUMPRODUCT(((WEEKDAY(ROW(INDIRECT($B$8&amp;":"&amp;$B$9)),2)&lt;7)*($B$12="CN")+(WEEKDAY(ROW(INDIRECT($B$8&amp;":"&amp;$B$9)),2)&lt;6)*($B$12="T7+CN"))*(COUNTIF($F$10:$F$40,ROW(INDIRECT($B$8&amp;":"&amp;$B$9)))=0)))</f>
        <v/>
      </c>
      <c r="C19" s="68" t="n"/>
      <c r="E19" s="85">
        <f>IF($F19="","",ROW()-9)</f>
        <v/>
      </c>
      <c r="F19" s="86" t="n"/>
      <c r="G19" s="81" t="n"/>
      <c r="H19" s="68" t="n"/>
    </row>
    <row r="20" ht="15" customHeight="1" s="63">
      <c r="A20" s="69" t="inlineStr">
        <is>
          <t>Cách lấy ngày công chuẩn</t>
        </is>
      </c>
      <c r="B20" s="81" t="inlineStr">
        <is>
          <t>Theo lịch</t>
        </is>
      </c>
      <c r="C20" s="68" t="n"/>
      <c r="E20" s="85">
        <f>IF($F20="","",ROW()-9)</f>
        <v/>
      </c>
      <c r="F20" s="86" t="n"/>
      <c r="G20" s="81" t="n"/>
      <c r="H20" s="68" t="n"/>
    </row>
    <row r="21" ht="15" customHeight="1" s="63">
      <c r="A21" s="69" t="inlineStr">
        <is>
          <t>Ngày công chuẩn đang áp dụng</t>
        </is>
      </c>
      <c r="B21" s="91">
        <f>IF($B$20="Nhập tay",$B$10,$B$19)</f>
        <v/>
      </c>
      <c r="C21" s="68" t="n"/>
      <c r="E21" s="85">
        <f>IF($F21="","",ROW()-9)</f>
        <v/>
      </c>
      <c r="F21" s="86" t="n"/>
      <c r="G21" s="81" t="n"/>
      <c r="H21" s="68" t="n"/>
    </row>
    <row r="22" ht="15" customHeight="1" s="63">
      <c r="A22" s="69" t="inlineStr">
        <is>
          <t>Số ngày lễ, Tết trong kỳ</t>
        </is>
      </c>
      <c r="B22" s="90">
        <f>IF(OR($B$8="",$B$9=""),"",SUMPRODUCT(($F$10:$F$40&gt;=$B$8)*($F$10:$F$40&lt;=$B$9)*($F$10:$F$40&lt;&gt;"")))</f>
        <v/>
      </c>
      <c r="C22" s="68" t="n"/>
      <c r="E22" s="85">
        <f>IF($F22="","",ROW()-9)</f>
        <v/>
      </c>
      <c r="F22" s="86" t="n"/>
      <c r="G22" s="81" t="n"/>
      <c r="H22" s="68" t="n"/>
    </row>
    <row r="23" ht="15" customHeight="1" s="63">
      <c r="E23" s="85">
        <f>IF($F23="","",ROW()-9)</f>
        <v/>
      </c>
      <c r="F23" s="86" t="n"/>
      <c r="G23" s="81" t="n"/>
      <c r="H23" s="68" t="n"/>
    </row>
    <row r="24" ht="15" customHeight="1" s="63">
      <c r="A24" s="79" t="inlineStr">
        <is>
          <t>Hệ số làm thêm giờ, hệ số ban đêm, lương tối thiểu vùng và toàn bộ tham số thuế – bảo hiểm nằm ở sheet THAM_SO của file NS06_Bang_Luong_Tu_Dong_2026.xlsx. File chấm công chỉ đếm ngày và giờ, không tính tiền, để hai file không lệch tham số.</t>
        </is>
      </c>
      <c r="E24" s="85">
        <f>IF($F24="","",ROW()-9)</f>
        <v/>
      </c>
      <c r="F24" s="86" t="n"/>
      <c r="G24" s="81" t="n"/>
      <c r="H24" s="68" t="n"/>
    </row>
    <row r="25" ht="15" customHeight="1" s="63">
      <c r="E25" s="85">
        <f>IF($F25="","",ROW()-9)</f>
        <v/>
      </c>
      <c r="F25" s="86" t="n"/>
      <c r="G25" s="81" t="n"/>
      <c r="H25" s="68" t="n"/>
    </row>
    <row r="26" ht="15" customHeight="1" s="63">
      <c r="E26" s="85">
        <f>IF($F26="","",ROW()-9)</f>
        <v/>
      </c>
      <c r="F26" s="86" t="n"/>
      <c r="G26" s="81" t="n"/>
      <c r="H26" s="68" t="n"/>
    </row>
    <row r="27" ht="15" customHeight="1" s="63">
      <c r="E27" s="85">
        <f>IF($F27="","",ROW()-9)</f>
        <v/>
      </c>
      <c r="F27" s="86" t="n"/>
      <c r="G27" s="81" t="n"/>
      <c r="H27" s="68" t="n"/>
    </row>
    <row r="28" ht="15" customHeight="1" s="63">
      <c r="E28" s="85">
        <f>IF($F28="","",ROW()-9)</f>
        <v/>
      </c>
      <c r="F28" s="86" t="n"/>
      <c r="G28" s="81" t="n"/>
      <c r="H28" s="68" t="n"/>
    </row>
    <row r="29" ht="15" customHeight="1" s="63">
      <c r="E29" s="85">
        <f>IF($F29="","",ROW()-9)</f>
        <v/>
      </c>
      <c r="F29" s="86" t="n"/>
      <c r="G29" s="81" t="n"/>
      <c r="H29" s="68" t="n"/>
    </row>
    <row r="30" ht="15" customHeight="1" s="63">
      <c r="E30" s="85">
        <f>IF($F30="","",ROW()-9)</f>
        <v/>
      </c>
      <c r="F30" s="86" t="n"/>
      <c r="G30" s="81" t="n"/>
      <c r="H30" s="68" t="n"/>
    </row>
    <row r="31" ht="15" customHeight="1" s="63">
      <c r="E31" s="85">
        <f>IF($F31="","",ROW()-9)</f>
        <v/>
      </c>
      <c r="F31" s="86" t="n"/>
      <c r="G31" s="81" t="n"/>
      <c r="H31" s="68" t="n"/>
    </row>
    <row r="32" ht="15" customHeight="1" s="63">
      <c r="E32" s="85">
        <f>IF($F32="","",ROW()-9)</f>
        <v/>
      </c>
      <c r="F32" s="86" t="n"/>
      <c r="G32" s="81" t="n"/>
      <c r="H32" s="68" t="n"/>
    </row>
    <row r="33" ht="15" customHeight="1" s="63">
      <c r="E33" s="85">
        <f>IF($F33="","",ROW()-9)</f>
        <v/>
      </c>
      <c r="F33" s="86" t="n"/>
      <c r="G33" s="81" t="n"/>
      <c r="H33" s="68" t="n"/>
    </row>
    <row r="34" ht="15" customHeight="1" s="63">
      <c r="E34" s="85">
        <f>IF($F34="","",ROW()-9)</f>
        <v/>
      </c>
      <c r="F34" s="86" t="n"/>
      <c r="G34" s="81" t="n"/>
      <c r="H34" s="68" t="n"/>
    </row>
    <row r="35" ht="15" customHeight="1" s="63">
      <c r="E35" s="85">
        <f>IF($F35="","",ROW()-9)</f>
        <v/>
      </c>
      <c r="F35" s="86" t="n"/>
      <c r="G35" s="81" t="n"/>
      <c r="H35" s="68" t="n"/>
    </row>
    <row r="36" ht="15" customHeight="1" s="63">
      <c r="E36" s="85">
        <f>IF($F36="","",ROW()-9)</f>
        <v/>
      </c>
      <c r="F36" s="86" t="n"/>
      <c r="G36" s="81" t="n"/>
      <c r="H36" s="68" t="n"/>
    </row>
    <row r="37" ht="15" customHeight="1" s="63">
      <c r="E37" s="85">
        <f>IF($F37="","",ROW()-9)</f>
        <v/>
      </c>
      <c r="F37" s="86" t="n"/>
      <c r="G37" s="81" t="n"/>
      <c r="H37" s="68" t="n"/>
    </row>
    <row r="38" ht="15" customHeight="1" s="63">
      <c r="E38" s="85">
        <f>IF($F38="","",ROW()-9)</f>
        <v/>
      </c>
      <c r="F38" s="86" t="n"/>
      <c r="G38" s="81" t="n"/>
      <c r="H38" s="68" t="n"/>
    </row>
    <row r="39" ht="15" customHeight="1" s="63">
      <c r="E39" s="85">
        <f>IF($F39="","",ROW()-9)</f>
        <v/>
      </c>
      <c r="F39" s="86" t="n"/>
      <c r="G39" s="81" t="n"/>
      <c r="H39" s="68" t="n"/>
    </row>
    <row r="40" ht="15" customHeight="1" s="63">
      <c r="E40" s="85">
        <f>IF($F40="","",ROW()-9)</f>
        <v/>
      </c>
      <c r="F40" s="86" t="n"/>
      <c r="G40" s="81" t="n"/>
      <c r="H40" s="68" t="n"/>
    </row>
  </sheetData>
  <mergeCells count="55">
    <mergeCell ref="G21:H21"/>
    <mergeCell ref="G12:H12"/>
    <mergeCell ref="B16:C16"/>
    <mergeCell ref="B7:C7"/>
    <mergeCell ref="G11:H11"/>
    <mergeCell ref="A2:H3"/>
    <mergeCell ref="G27:H27"/>
    <mergeCell ref="B22:C22"/>
    <mergeCell ref="G36:H36"/>
    <mergeCell ref="G23:H23"/>
    <mergeCell ref="A1:H1"/>
    <mergeCell ref="B18:C18"/>
    <mergeCell ref="G17:H17"/>
    <mergeCell ref="G39:H39"/>
    <mergeCell ref="B12:C12"/>
    <mergeCell ref="B21:C21"/>
    <mergeCell ref="A5:C5"/>
    <mergeCell ref="B11:C11"/>
    <mergeCell ref="G38:H38"/>
    <mergeCell ref="G10:H10"/>
    <mergeCell ref="G19:H19"/>
    <mergeCell ref="G37:H37"/>
    <mergeCell ref="B14:C14"/>
    <mergeCell ref="G28:H28"/>
    <mergeCell ref="G13:H13"/>
    <mergeCell ref="B17:C17"/>
    <mergeCell ref="G18:H18"/>
    <mergeCell ref="B8:C8"/>
    <mergeCell ref="E5:H5"/>
    <mergeCell ref="B13:C13"/>
    <mergeCell ref="G34:H34"/>
    <mergeCell ref="G24:H24"/>
    <mergeCell ref="G30:H30"/>
    <mergeCell ref="G15:H15"/>
    <mergeCell ref="B19:C19"/>
    <mergeCell ref="G33:H33"/>
    <mergeCell ref="B10:C10"/>
    <mergeCell ref="G14:H14"/>
    <mergeCell ref="B9:C9"/>
    <mergeCell ref="G26:H26"/>
    <mergeCell ref="G29:H29"/>
    <mergeCell ref="G35:H35"/>
    <mergeCell ref="B6:C6"/>
    <mergeCell ref="E6:H8"/>
    <mergeCell ref="G20:H20"/>
    <mergeCell ref="B15:C15"/>
    <mergeCell ref="G16:H16"/>
    <mergeCell ref="G32:H32"/>
    <mergeCell ref="B20:C20"/>
    <mergeCell ref="G25:H25"/>
    <mergeCell ref="G31:H31"/>
    <mergeCell ref="G22:H22"/>
    <mergeCell ref="G40:H40"/>
    <mergeCell ref="G9:H9"/>
    <mergeCell ref="A24:C28"/>
  </mergeCells>
  <dataValidations count="2">
    <dataValidation sqref="B12" showDropDown="0" showInputMessage="0" showErrorMessage="0" allowBlank="0" type="list" errorStyle="stop" operator="between">
      <formula1>"CN,T7+CN"</formula1>
      <formula2>0</formula2>
    </dataValidation>
    <dataValidation sqref="B20" showDropDown="0" showInputMessage="0" showErrorMessage="0" allowBlank="0" type="list" errorStyle="stop" operator="between">
      <formula1>"Theo lịch,Nhập tay"</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45"/>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11" customWidth="1" style="62" min="1" max="1"/>
    <col width="42" customWidth="1" style="62" min="2" max="2"/>
    <col width="11" customWidth="1" style="62" min="3" max="4"/>
    <col width="10" customWidth="1" style="62" min="5" max="5"/>
    <col width="12" customWidth="1" style="62" min="6" max="6"/>
    <col width="11" customWidth="1" style="62" min="7" max="8"/>
    <col width="12" customWidth="1" style="62" min="9" max="9"/>
    <col width="11" customWidth="1" style="62" min="10" max="10"/>
    <col width="34" customWidth="1" style="62" min="11" max="11"/>
  </cols>
  <sheetData>
    <row r="1" ht="30" customHeight="1" s="63">
      <c r="A1" s="64" t="inlineStr">
        <is>
          <t>BỘ KÝ HIỆU CHẤM CÔNG VÀ GIÁ TRỊ QUY ĐỔI</t>
        </is>
      </c>
    </row>
    <row r="2" ht="15" customHeight="1" s="63">
      <c r="A2" s="65" t="inlineStr">
        <is>
          <t>Bảy cột C:I là số ngày quy đổi của một ô chấm cho từng chỉ tiêu trên bảng lương. Cột J phải bằng 1 với ngày phải làm và bằng 0 với ngày không tính công. Thêm ký hiệu mới từ dòng trống và khai đủ giá trị, phần tổng hợp sẽ tự nhận.</t>
        </is>
      </c>
    </row>
    <row r="3" ht="15" customHeight="1" s="63"/>
    <row r="4"/>
    <row r="5" ht="49.5" customHeight="1" s="63">
      <c r="A5" s="92" t="inlineStr">
        <is>
          <t>Mã ký hiệu</t>
        </is>
      </c>
      <c r="B5" s="92" t="inlineStr">
        <is>
          <t>Diễn giải</t>
        </is>
      </c>
      <c r="C5" s="83" t="inlineStr">
        <is>
          <t>Làm việc</t>
        </is>
      </c>
      <c r="D5" s="83" t="inlineStr">
        <is>
          <t>Phép năm</t>
        </is>
      </c>
      <c r="E5" s="83" t="inlineStr">
        <is>
          <t>Lễ/Tết</t>
        </is>
      </c>
      <c r="F5" s="83" t="inlineStr">
        <is>
          <t>Việc riêng</t>
        </is>
      </c>
      <c r="G5" s="83" t="inlineStr">
        <is>
          <t>Ốm BHXH</t>
        </is>
      </c>
      <c r="H5" s="83" t="inlineStr">
        <is>
          <t>Thai sản</t>
        </is>
      </c>
      <c r="I5" s="83" t="inlineStr">
        <is>
          <t>Không lương</t>
        </is>
      </c>
      <c r="J5" s="92" t="inlineStr">
        <is>
          <t>Tổng ngày quy đổi</t>
        </is>
      </c>
      <c r="K5" s="92" t="inlineStr">
        <is>
          <t>Ghi chú</t>
        </is>
      </c>
    </row>
    <row r="6" ht="15" customHeight="1" s="63">
      <c r="A6" s="93" t="inlineStr">
        <is>
          <t>X</t>
        </is>
      </c>
      <c r="B6" s="81" t="inlineStr">
        <is>
          <t>Làm việc đủ ngày</t>
        </is>
      </c>
      <c r="C6" s="94" t="n">
        <v>1</v>
      </c>
      <c r="D6" s="94" t="n">
        <v>0</v>
      </c>
      <c r="E6" s="94" t="n">
        <v>0</v>
      </c>
      <c r="F6" s="94" t="n">
        <v>0</v>
      </c>
      <c r="G6" s="94" t="n">
        <v>0</v>
      </c>
      <c r="H6" s="94" t="n">
        <v>0</v>
      </c>
      <c r="I6" s="94" t="n">
        <v>0</v>
      </c>
      <c r="J6" s="95">
        <f>IF($A6="","",SUM($C6:$I6))</f>
        <v/>
      </c>
      <c r="K6" s="96" t="n"/>
    </row>
    <row r="7" ht="15" customHeight="1" s="63">
      <c r="A7" s="93" t="inlineStr">
        <is>
          <t>X/2</t>
        </is>
      </c>
      <c r="B7" s="81" t="inlineStr">
        <is>
          <t>Làm việc nửa ngày, nửa ngày còn lại không chấm</t>
        </is>
      </c>
      <c r="C7" s="94" t="n">
        <v>0.5</v>
      </c>
      <c r="D7" s="94" t="n">
        <v>0</v>
      </c>
      <c r="E7" s="94" t="n">
        <v>0</v>
      </c>
      <c r="F7" s="94" t="n">
        <v>0</v>
      </c>
      <c r="G7" s="94" t="n">
        <v>0</v>
      </c>
      <c r="H7" s="94" t="n">
        <v>0</v>
      </c>
      <c r="I7" s="94" t="n">
        <v>0</v>
      </c>
      <c r="J7" s="95">
        <f>IF($A7="","",SUM($C7:$I7))</f>
        <v/>
      </c>
      <c r="K7" s="96" t="inlineStr">
        <is>
          <t>Dùng khi nửa ngày kia không thuộc ngày phải làm</t>
        </is>
      </c>
    </row>
    <row r="8" ht="15" customHeight="1" s="63">
      <c r="A8" s="93" t="inlineStr">
        <is>
          <t>P</t>
        </is>
      </c>
      <c r="B8" s="81" t="inlineStr">
        <is>
          <t>Nghỉ phép năm hưởng lương cả ngày</t>
        </is>
      </c>
      <c r="C8" s="94" t="n">
        <v>0</v>
      </c>
      <c r="D8" s="94" t="n">
        <v>1</v>
      </c>
      <c r="E8" s="94" t="n">
        <v>0</v>
      </c>
      <c r="F8" s="94" t="n">
        <v>0</v>
      </c>
      <c r="G8" s="94" t="n">
        <v>0</v>
      </c>
      <c r="H8" s="94" t="n">
        <v>0</v>
      </c>
      <c r="I8" s="94" t="n">
        <v>0</v>
      </c>
      <c r="J8" s="95">
        <f>IF($A8="","",SUM($C8:$I8))</f>
        <v/>
      </c>
      <c r="K8" s="96" t="n"/>
    </row>
    <row r="9" ht="15" customHeight="1" s="63">
      <c r="A9" s="93" t="inlineStr">
        <is>
          <t>P/2</t>
        </is>
      </c>
      <c r="B9" s="81" t="inlineStr">
        <is>
          <t>Nghỉ phép năm nửa ngày</t>
        </is>
      </c>
      <c r="C9" s="94" t="n">
        <v>0</v>
      </c>
      <c r="D9" s="94" t="n">
        <v>0.5</v>
      </c>
      <c r="E9" s="94" t="n">
        <v>0</v>
      </c>
      <c r="F9" s="94" t="n">
        <v>0</v>
      </c>
      <c r="G9" s="94" t="n">
        <v>0</v>
      </c>
      <c r="H9" s="94" t="n">
        <v>0</v>
      </c>
      <c r="I9" s="94" t="n">
        <v>0</v>
      </c>
      <c r="J9" s="95">
        <f>IF($A9="","",SUM($C9:$I9))</f>
        <v/>
      </c>
      <c r="K9" s="96" t="n"/>
    </row>
    <row r="10" ht="15" customHeight="1" s="63">
      <c r="A10" s="93" t="inlineStr">
        <is>
          <t>X-P</t>
        </is>
      </c>
      <c r="B10" s="81" t="inlineStr">
        <is>
          <t>Nửa ngày làm việc, nửa ngày nghỉ phép năm</t>
        </is>
      </c>
      <c r="C10" s="94" t="n">
        <v>0.5</v>
      </c>
      <c r="D10" s="94" t="n">
        <v>0.5</v>
      </c>
      <c r="E10" s="94" t="n">
        <v>0</v>
      </c>
      <c r="F10" s="94" t="n">
        <v>0</v>
      </c>
      <c r="G10" s="94" t="n">
        <v>0</v>
      </c>
      <c r="H10" s="94" t="n">
        <v>0</v>
      </c>
      <c r="I10" s="94" t="n">
        <v>0</v>
      </c>
      <c r="J10" s="95">
        <f>IF($A10="","",SUM($C10:$I10))</f>
        <v/>
      </c>
      <c r="K10" s="96" t="inlineStr">
        <is>
          <t>Ký hiệu ghép</t>
        </is>
      </c>
    </row>
    <row r="11" ht="15" customHeight="1" s="63">
      <c r="A11" s="93" t="inlineStr">
        <is>
          <t>L</t>
        </is>
      </c>
      <c r="B11" s="81" t="inlineStr">
        <is>
          <t>Nghỉ lễ, Tết hưởng nguyên lương</t>
        </is>
      </c>
      <c r="C11" s="94" t="n">
        <v>0</v>
      </c>
      <c r="D11" s="94" t="n">
        <v>0</v>
      </c>
      <c r="E11" s="94" t="n">
        <v>1</v>
      </c>
      <c r="F11" s="94" t="n">
        <v>0</v>
      </c>
      <c r="G11" s="94" t="n">
        <v>0</v>
      </c>
      <c r="H11" s="94" t="n">
        <v>0</v>
      </c>
      <c r="I11" s="94" t="n">
        <v>0</v>
      </c>
      <c r="J11" s="95">
        <f>IF($A11="","",SUM($C11:$I11))</f>
        <v/>
      </c>
      <c r="K11" s="96" t="inlineStr">
        <is>
          <t>Không nằm trong ngày công chuẩn</t>
        </is>
      </c>
    </row>
    <row r="12" ht="15" customHeight="1" s="63">
      <c r="A12" s="93" t="inlineStr">
        <is>
          <t>R</t>
        </is>
      </c>
      <c r="B12" s="81" t="inlineStr">
        <is>
          <t>Nghỉ việc riêng hưởng lương cả ngày</t>
        </is>
      </c>
      <c r="C12" s="94" t="n">
        <v>0</v>
      </c>
      <c r="D12" s="94" t="n">
        <v>0</v>
      </c>
      <c r="E12" s="94" t="n">
        <v>0</v>
      </c>
      <c r="F12" s="94" t="n">
        <v>1</v>
      </c>
      <c r="G12" s="94" t="n">
        <v>0</v>
      </c>
      <c r="H12" s="94" t="n">
        <v>0</v>
      </c>
      <c r="I12" s="94" t="n">
        <v>0</v>
      </c>
      <c r="J12" s="95">
        <f>IF($A12="","",SUM($C12:$I12))</f>
        <v/>
      </c>
      <c r="K12" s="96" t="inlineStr">
        <is>
          <t>Kết hôn, con kết hôn, tang chế</t>
        </is>
      </c>
    </row>
    <row r="13" ht="15" customHeight="1" s="63">
      <c r="A13" s="93" t="inlineStr">
        <is>
          <t>R/2</t>
        </is>
      </c>
      <c r="B13" s="81" t="inlineStr">
        <is>
          <t>Nghỉ việc riêng hưởng lương nửa ngày</t>
        </is>
      </c>
      <c r="C13" s="94" t="n">
        <v>0</v>
      </c>
      <c r="D13" s="94" t="n">
        <v>0</v>
      </c>
      <c r="E13" s="94" t="n">
        <v>0</v>
      </c>
      <c r="F13" s="94" t="n">
        <v>0.5</v>
      </c>
      <c r="G13" s="94" t="n">
        <v>0</v>
      </c>
      <c r="H13" s="94" t="n">
        <v>0</v>
      </c>
      <c r="I13" s="94" t="n">
        <v>0</v>
      </c>
      <c r="J13" s="95">
        <f>IF($A13="","",SUM($C13:$I13))</f>
        <v/>
      </c>
      <c r="K13" s="96" t="n"/>
    </row>
    <row r="14" ht="15" customHeight="1" s="63">
      <c r="A14" s="93" t="inlineStr">
        <is>
          <t>X-R</t>
        </is>
      </c>
      <c r="B14" s="81" t="inlineStr">
        <is>
          <t>Nửa ngày làm việc, nửa ngày việc riêng</t>
        </is>
      </c>
      <c r="C14" s="94" t="n">
        <v>0.5</v>
      </c>
      <c r="D14" s="94" t="n">
        <v>0</v>
      </c>
      <c r="E14" s="94" t="n">
        <v>0</v>
      </c>
      <c r="F14" s="94" t="n">
        <v>0.5</v>
      </c>
      <c r="G14" s="94" t="n">
        <v>0</v>
      </c>
      <c r="H14" s="94" t="n">
        <v>0</v>
      </c>
      <c r="I14" s="94" t="n">
        <v>0</v>
      </c>
      <c r="J14" s="95">
        <f>IF($A14="","",SUM($C14:$I14))</f>
        <v/>
      </c>
      <c r="K14" s="96" t="inlineStr">
        <is>
          <t>Ký hiệu ghép</t>
        </is>
      </c>
    </row>
    <row r="15" ht="15" customHeight="1" s="63">
      <c r="A15" s="93" t="inlineStr">
        <is>
          <t>O</t>
        </is>
      </c>
      <c r="B15" s="81" t="inlineStr">
        <is>
          <t>Nghỉ ốm hưởng chế độ BHXH</t>
        </is>
      </c>
      <c r="C15" s="94" t="n">
        <v>0</v>
      </c>
      <c r="D15" s="94" t="n">
        <v>0</v>
      </c>
      <c r="E15" s="94" t="n">
        <v>0</v>
      </c>
      <c r="F15" s="94" t="n">
        <v>0</v>
      </c>
      <c r="G15" s="94" t="n">
        <v>1</v>
      </c>
      <c r="H15" s="94" t="n">
        <v>0</v>
      </c>
      <c r="I15" s="94" t="n">
        <v>0</v>
      </c>
      <c r="J15" s="95">
        <f>IF($A15="","",SUM($C15:$I15))</f>
        <v/>
      </c>
      <c r="K15" s="96" t="inlineStr">
        <is>
          <t>Cần giấy ra viện, giấy nghỉ hưởng BHXH</t>
        </is>
      </c>
    </row>
    <row r="16" ht="15" customHeight="1" s="63">
      <c r="A16" s="93" t="inlineStr">
        <is>
          <t>CO</t>
        </is>
      </c>
      <c r="B16" s="81" t="inlineStr">
        <is>
          <t>Nghỉ chăm con ốm hưởng chế độ BHXH</t>
        </is>
      </c>
      <c r="C16" s="94" t="n">
        <v>0</v>
      </c>
      <c r="D16" s="94" t="n">
        <v>0</v>
      </c>
      <c r="E16" s="94" t="n">
        <v>0</v>
      </c>
      <c r="F16" s="94" t="n">
        <v>0</v>
      </c>
      <c r="G16" s="94" t="n">
        <v>1</v>
      </c>
      <c r="H16" s="94" t="n">
        <v>0</v>
      </c>
      <c r="I16" s="94" t="n">
        <v>0</v>
      </c>
      <c r="J16" s="95">
        <f>IF($A16="","",SUM($C16:$I16))</f>
        <v/>
      </c>
      <c r="K16" s="96" t="n"/>
    </row>
    <row r="17" ht="15" customHeight="1" s="63">
      <c r="A17" s="93" t="inlineStr">
        <is>
          <t>DS</t>
        </is>
      </c>
      <c r="B17" s="81" t="inlineStr">
        <is>
          <t>Nghỉ dưỡng sức, phục hồi sức khoẻ</t>
        </is>
      </c>
      <c r="C17" s="94" t="n">
        <v>0</v>
      </c>
      <c r="D17" s="94" t="n">
        <v>0</v>
      </c>
      <c r="E17" s="94" t="n">
        <v>0</v>
      </c>
      <c r="F17" s="94" t="n">
        <v>0</v>
      </c>
      <c r="G17" s="94" t="n">
        <v>1</v>
      </c>
      <c r="H17" s="94" t="n">
        <v>0</v>
      </c>
      <c r="I17" s="94" t="n">
        <v>0</v>
      </c>
      <c r="J17" s="95">
        <f>IF($A17="","",SUM($C17:$I17))</f>
        <v/>
      </c>
      <c r="K17" s="96" t="n"/>
    </row>
    <row r="18" ht="15" customHeight="1" s="63">
      <c r="A18" s="93" t="inlineStr">
        <is>
          <t>X-O</t>
        </is>
      </c>
      <c r="B18" s="81" t="inlineStr">
        <is>
          <t>Nửa ngày làm việc, nửa ngày nghỉ ốm</t>
        </is>
      </c>
      <c r="C18" s="94" t="n">
        <v>0.5</v>
      </c>
      <c r="D18" s="94" t="n">
        <v>0</v>
      </c>
      <c r="E18" s="94" t="n">
        <v>0</v>
      </c>
      <c r="F18" s="94" t="n">
        <v>0</v>
      </c>
      <c r="G18" s="94" t="n">
        <v>0.5</v>
      </c>
      <c r="H18" s="94" t="n">
        <v>0</v>
      </c>
      <c r="I18" s="94" t="n">
        <v>0</v>
      </c>
      <c r="J18" s="95">
        <f>IF($A18="","",SUM($C18:$I18))</f>
        <v/>
      </c>
      <c r="K18" s="96" t="inlineStr">
        <is>
          <t>Ký hiệu ghép</t>
        </is>
      </c>
    </row>
    <row r="19" ht="15" customHeight="1" s="63">
      <c r="A19" s="93" t="inlineStr">
        <is>
          <t>TS</t>
        </is>
      </c>
      <c r="B19" s="81" t="inlineStr">
        <is>
          <t>Nghỉ thai sản hưởng chế độ BHXH</t>
        </is>
      </c>
      <c r="C19" s="94" t="n">
        <v>0</v>
      </c>
      <c r="D19" s="94" t="n">
        <v>0</v>
      </c>
      <c r="E19" s="94" t="n">
        <v>0</v>
      </c>
      <c r="F19" s="94" t="n">
        <v>0</v>
      </c>
      <c r="G19" s="94" t="n">
        <v>0</v>
      </c>
      <c r="H19" s="94" t="n">
        <v>1</v>
      </c>
      <c r="I19" s="94" t="n">
        <v>0</v>
      </c>
      <c r="J19" s="95">
        <f>IF($A19="","",SUM($C19:$I19))</f>
        <v/>
      </c>
      <c r="K19" s="96" t="n"/>
    </row>
    <row r="20" ht="15" customHeight="1" s="63">
      <c r="A20" s="93" t="inlineStr">
        <is>
          <t>KCT</t>
        </is>
      </c>
      <c r="B20" s="81" t="inlineStr">
        <is>
          <t>Nghỉ khám thai hưởng chế độ BHXH</t>
        </is>
      </c>
      <c r="C20" s="94" t="n">
        <v>0</v>
      </c>
      <c r="D20" s="94" t="n">
        <v>0</v>
      </c>
      <c r="E20" s="94" t="n">
        <v>0</v>
      </c>
      <c r="F20" s="94" t="n">
        <v>0</v>
      </c>
      <c r="G20" s="94" t="n">
        <v>0</v>
      </c>
      <c r="H20" s="94" t="n">
        <v>1</v>
      </c>
      <c r="I20" s="94" t="n">
        <v>0</v>
      </c>
      <c r="J20" s="95">
        <f>IF($A20="","",SUM($C20:$I20))</f>
        <v/>
      </c>
      <c r="K20" s="96" t="n"/>
    </row>
    <row r="21" ht="15" customHeight="1" s="63">
      <c r="A21" s="93" t="inlineStr">
        <is>
          <t>KL</t>
        </is>
      </c>
      <c r="B21" s="81" t="inlineStr">
        <is>
          <t>Nghỉ không hưởng lương, có xin phép</t>
        </is>
      </c>
      <c r="C21" s="94" t="n">
        <v>0</v>
      </c>
      <c r="D21" s="94" t="n">
        <v>0</v>
      </c>
      <c r="E21" s="94" t="n">
        <v>0</v>
      </c>
      <c r="F21" s="94" t="n">
        <v>0</v>
      </c>
      <c r="G21" s="94" t="n">
        <v>0</v>
      </c>
      <c r="H21" s="94" t="n">
        <v>0</v>
      </c>
      <c r="I21" s="94" t="n">
        <v>1</v>
      </c>
      <c r="J21" s="95">
        <f>IF($A21="","",SUM($C21:$I21))</f>
        <v/>
      </c>
      <c r="K21" s="96" t="n"/>
    </row>
    <row r="22" ht="15" customHeight="1" s="63">
      <c r="A22" s="93" t="inlineStr">
        <is>
          <t>KL/2</t>
        </is>
      </c>
      <c r="B22" s="81" t="inlineStr">
        <is>
          <t>Nghỉ không hưởng lương nửa ngày</t>
        </is>
      </c>
      <c r="C22" s="94" t="n">
        <v>0</v>
      </c>
      <c r="D22" s="94" t="n">
        <v>0</v>
      </c>
      <c r="E22" s="94" t="n">
        <v>0</v>
      </c>
      <c r="F22" s="94" t="n">
        <v>0</v>
      </c>
      <c r="G22" s="94" t="n">
        <v>0</v>
      </c>
      <c r="H22" s="94" t="n">
        <v>0</v>
      </c>
      <c r="I22" s="94" t="n">
        <v>0.5</v>
      </c>
      <c r="J22" s="95">
        <f>IF($A22="","",SUM($C22:$I22))</f>
        <v/>
      </c>
      <c r="K22" s="96" t="n"/>
    </row>
    <row r="23" ht="15" customHeight="1" s="63">
      <c r="A23" s="93" t="inlineStr">
        <is>
          <t>X-KL</t>
        </is>
      </c>
      <c r="B23" s="81" t="inlineStr">
        <is>
          <t>Nửa ngày làm việc, nửa ngày không lương</t>
        </is>
      </c>
      <c r="C23" s="94" t="n">
        <v>0.5</v>
      </c>
      <c r="D23" s="94" t="n">
        <v>0</v>
      </c>
      <c r="E23" s="94" t="n">
        <v>0</v>
      </c>
      <c r="F23" s="94" t="n">
        <v>0</v>
      </c>
      <c r="G23" s="94" t="n">
        <v>0</v>
      </c>
      <c r="H23" s="94" t="n">
        <v>0</v>
      </c>
      <c r="I23" s="94" t="n">
        <v>0.5</v>
      </c>
      <c r="J23" s="95">
        <f>IF($A23="","",SUM($C23:$I23))</f>
        <v/>
      </c>
      <c r="K23" s="96" t="inlineStr">
        <is>
          <t>Ký hiệu ghép</t>
        </is>
      </c>
    </row>
    <row r="24" ht="15" customHeight="1" s="63">
      <c r="A24" s="93" t="inlineStr">
        <is>
          <t>NN</t>
        </is>
      </c>
      <c r="B24" s="81" t="inlineStr">
        <is>
          <t>Nghỉ không phép, không hưởng lương</t>
        </is>
      </c>
      <c r="C24" s="94" t="n">
        <v>0</v>
      </c>
      <c r="D24" s="94" t="n">
        <v>0</v>
      </c>
      <c r="E24" s="94" t="n">
        <v>0</v>
      </c>
      <c r="F24" s="94" t="n">
        <v>0</v>
      </c>
      <c r="G24" s="94" t="n">
        <v>0</v>
      </c>
      <c r="H24" s="94" t="n">
        <v>0</v>
      </c>
      <c r="I24" s="94" t="n">
        <v>1</v>
      </c>
      <c r="J24" s="95">
        <f>IF($A24="","",SUM($C24:$I24))</f>
        <v/>
      </c>
      <c r="K24" s="96" t="inlineStr">
        <is>
          <t>Rà soát xử lý kỷ luật lao động</t>
        </is>
      </c>
    </row>
    <row r="25" ht="15" customHeight="1" s="63">
      <c r="A25" s="93" t="inlineStr">
        <is>
          <t>NT</t>
        </is>
      </c>
      <c r="B25" s="81" t="inlineStr">
        <is>
          <t>Ngày nghỉ hằng tuần theo lịch</t>
        </is>
      </c>
      <c r="C25" s="94" t="n">
        <v>0</v>
      </c>
      <c r="D25" s="94" t="n">
        <v>0</v>
      </c>
      <c r="E25" s="94" t="n">
        <v>0</v>
      </c>
      <c r="F25" s="94" t="n">
        <v>0</v>
      </c>
      <c r="G25" s="94" t="n">
        <v>0</v>
      </c>
      <c r="H25" s="94" t="n">
        <v>0</v>
      </c>
      <c r="I25" s="94" t="n">
        <v>0</v>
      </c>
      <c r="J25" s="95">
        <f>IF($A25="","",SUM($C25:$I25))</f>
        <v/>
      </c>
      <c r="K25" s="96" t="inlineStr">
        <is>
          <t>Đi làm ngày này thì nhập giờ tại CC_OT_GIO</t>
        </is>
      </c>
    </row>
    <row r="26" ht="15" customHeight="1" s="63">
      <c r="A26" s="93" t="inlineStr">
        <is>
          <t>TN</t>
        </is>
      </c>
      <c r="B26" s="81" t="inlineStr">
        <is>
          <t>Nghỉ do tai nạn lao động, bệnh nghề nghiệp</t>
        </is>
      </c>
      <c r="C26" s="94" t="n">
        <v>0</v>
      </c>
      <c r="D26" s="94" t="n">
        <v>0</v>
      </c>
      <c r="E26" s="94" t="n">
        <v>0</v>
      </c>
      <c r="F26" s="94" t="n">
        <v>0</v>
      </c>
      <c r="G26" s="94" t="n">
        <v>0</v>
      </c>
      <c r="H26" s="94" t="n">
        <v>0</v>
      </c>
      <c r="I26" s="94" t="n">
        <v>0</v>
      </c>
      <c r="J26" s="95">
        <f>IF($A26="","",SUM($C26:$I26))</f>
        <v/>
      </c>
      <c r="K26" s="96" t="inlineStr">
        <is>
          <t>Khai riêng tại CHE_DO_BHXH của file lương</t>
        </is>
      </c>
    </row>
    <row r="27" ht="15" customHeight="1" s="63">
      <c r="A27" s="93" t="inlineStr">
        <is>
          <t>NV</t>
        </is>
      </c>
      <c r="B27" s="81" t="inlineStr">
        <is>
          <t>Chưa vào làm hoặc đã nghỉ việc</t>
        </is>
      </c>
      <c r="C27" s="94" t="n">
        <v>0</v>
      </c>
      <c r="D27" s="94" t="n">
        <v>0</v>
      </c>
      <c r="E27" s="94" t="n">
        <v>0</v>
      </c>
      <c r="F27" s="94" t="n">
        <v>0</v>
      </c>
      <c r="G27" s="94" t="n">
        <v>0</v>
      </c>
      <c r="H27" s="94" t="n">
        <v>0</v>
      </c>
      <c r="I27" s="94" t="n">
        <v>0</v>
      </c>
      <c r="J27" s="95">
        <f>IF($A27="","",SUM($C27:$I27))</f>
        <v/>
      </c>
      <c r="K27" s="96" t="n"/>
    </row>
    <row r="28" ht="15" customHeight="1" s="63">
      <c r="A28" s="97" t="n"/>
      <c r="B28" s="81" t="n"/>
      <c r="C28" s="94" t="n"/>
      <c r="D28" s="94" t="n"/>
      <c r="E28" s="94" t="n"/>
      <c r="F28" s="94" t="n"/>
      <c r="G28" s="94" t="n"/>
      <c r="H28" s="94" t="n"/>
      <c r="I28" s="94" t="n"/>
      <c r="J28" s="95">
        <f>IF($A28="","",SUM($C28:$I28))</f>
        <v/>
      </c>
      <c r="K28" s="96" t="n"/>
    </row>
    <row r="29" ht="15" customHeight="1" s="63">
      <c r="A29" s="97" t="n"/>
      <c r="B29" s="81" t="n"/>
      <c r="C29" s="94" t="n"/>
      <c r="D29" s="94" t="n"/>
      <c r="E29" s="94" t="n"/>
      <c r="F29" s="94" t="n"/>
      <c r="G29" s="94" t="n"/>
      <c r="H29" s="94" t="n"/>
      <c r="I29" s="94" t="n"/>
      <c r="J29" s="95">
        <f>IF($A29="","",SUM($C29:$I29))</f>
        <v/>
      </c>
      <c r="K29" s="96" t="n"/>
    </row>
    <row r="30" ht="15" customHeight="1" s="63">
      <c r="A30" s="97" t="n"/>
      <c r="B30" s="81" t="n"/>
      <c r="C30" s="94" t="n"/>
      <c r="D30" s="94" t="n"/>
      <c r="E30" s="94" t="n"/>
      <c r="F30" s="94" t="n"/>
      <c r="G30" s="94" t="n"/>
      <c r="H30" s="94" t="n"/>
      <c r="I30" s="94" t="n"/>
      <c r="J30" s="95">
        <f>IF($A30="","",SUM($C30:$I30))</f>
        <v/>
      </c>
      <c r="K30" s="96" t="n"/>
    </row>
    <row r="31" ht="15" customHeight="1" s="63">
      <c r="A31" s="97" t="n"/>
      <c r="B31" s="81" t="n"/>
      <c r="C31" s="94" t="n"/>
      <c r="D31" s="94" t="n"/>
      <c r="E31" s="94" t="n"/>
      <c r="F31" s="94" t="n"/>
      <c r="G31" s="94" t="n"/>
      <c r="H31" s="94" t="n"/>
      <c r="I31" s="94" t="n"/>
      <c r="J31" s="95">
        <f>IF($A31="","",SUM($C31:$I31))</f>
        <v/>
      </c>
      <c r="K31" s="96" t="n"/>
    </row>
    <row r="32" ht="15" customHeight="1" s="63">
      <c r="A32" s="97" t="n"/>
      <c r="B32" s="81" t="n"/>
      <c r="C32" s="94" t="n"/>
      <c r="D32" s="94" t="n"/>
      <c r="E32" s="94" t="n"/>
      <c r="F32" s="94" t="n"/>
      <c r="G32" s="94" t="n"/>
      <c r="H32" s="94" t="n"/>
      <c r="I32" s="94" t="n"/>
      <c r="J32" s="95">
        <f>IF($A32="","",SUM($C32:$I32))</f>
        <v/>
      </c>
      <c r="K32" s="96" t="n"/>
    </row>
    <row r="33" ht="15" customHeight="1" s="63">
      <c r="A33" s="97" t="n"/>
      <c r="B33" s="81" t="n"/>
      <c r="C33" s="94" t="n"/>
      <c r="D33" s="94" t="n"/>
      <c r="E33" s="94" t="n"/>
      <c r="F33" s="94" t="n"/>
      <c r="G33" s="94" t="n"/>
      <c r="H33" s="94" t="n"/>
      <c r="I33" s="94" t="n"/>
      <c r="J33" s="95">
        <f>IF($A33="","",SUM($C33:$I33))</f>
        <v/>
      </c>
      <c r="K33" s="96" t="n"/>
    </row>
    <row r="34" ht="15" customHeight="1" s="63">
      <c r="A34" s="97" t="n"/>
      <c r="B34" s="81" t="n"/>
      <c r="C34" s="94" t="n"/>
      <c r="D34" s="94" t="n"/>
      <c r="E34" s="94" t="n"/>
      <c r="F34" s="94" t="n"/>
      <c r="G34" s="94" t="n"/>
      <c r="H34" s="94" t="n"/>
      <c r="I34" s="94" t="n"/>
      <c r="J34" s="95">
        <f>IF($A34="","",SUM($C34:$I34))</f>
        <v/>
      </c>
      <c r="K34" s="96" t="n"/>
    </row>
    <row r="35" ht="15" customHeight="1" s="63">
      <c r="A35" s="97" t="n"/>
      <c r="B35" s="81" t="n"/>
      <c r="C35" s="94" t="n"/>
      <c r="D35" s="94" t="n"/>
      <c r="E35" s="94" t="n"/>
      <c r="F35" s="94" t="n"/>
      <c r="G35" s="94" t="n"/>
      <c r="H35" s="94" t="n"/>
      <c r="I35" s="94" t="n"/>
      <c r="J35" s="95">
        <f>IF($A35="","",SUM($C35:$I35))</f>
        <v/>
      </c>
      <c r="K35" s="96" t="n"/>
    </row>
    <row r="36" ht="15" customHeight="1" s="63">
      <c r="A36" s="97" t="n"/>
      <c r="B36" s="81" t="n"/>
      <c r="C36" s="94" t="n"/>
      <c r="D36" s="94" t="n"/>
      <c r="E36" s="94" t="n"/>
      <c r="F36" s="94" t="n"/>
      <c r="G36" s="94" t="n"/>
      <c r="H36" s="94" t="n"/>
      <c r="I36" s="94" t="n"/>
      <c r="J36" s="95">
        <f>IF($A36="","",SUM($C36:$I36))</f>
        <v/>
      </c>
      <c r="K36" s="96" t="n"/>
    </row>
    <row r="37" ht="15" customHeight="1" s="63">
      <c r="A37" s="97" t="n"/>
      <c r="B37" s="81" t="n"/>
      <c r="C37" s="94" t="n"/>
      <c r="D37" s="94" t="n"/>
      <c r="E37" s="94" t="n"/>
      <c r="F37" s="94" t="n"/>
      <c r="G37" s="94" t="n"/>
      <c r="H37" s="94" t="n"/>
      <c r="I37" s="94" t="n"/>
      <c r="J37" s="95">
        <f>IF($A37="","",SUM($C37:$I37))</f>
        <v/>
      </c>
      <c r="K37" s="96" t="n"/>
    </row>
    <row r="38" ht="15" customHeight="1" s="63">
      <c r="A38" s="97" t="n"/>
      <c r="B38" s="81" t="n"/>
      <c r="C38" s="94" t="n"/>
      <c r="D38" s="94" t="n"/>
      <c r="E38" s="94" t="n"/>
      <c r="F38" s="94" t="n"/>
      <c r="G38" s="94" t="n"/>
      <c r="H38" s="94" t="n"/>
      <c r="I38" s="94" t="n"/>
      <c r="J38" s="95">
        <f>IF($A38="","",SUM($C38:$I38))</f>
        <v/>
      </c>
      <c r="K38" s="96" t="n"/>
    </row>
    <row r="39" ht="15" customHeight="1" s="63">
      <c r="A39" s="97" t="n"/>
      <c r="B39" s="81" t="n"/>
      <c r="C39" s="94" t="n"/>
      <c r="D39" s="94" t="n"/>
      <c r="E39" s="94" t="n"/>
      <c r="F39" s="94" t="n"/>
      <c r="G39" s="94" t="n"/>
      <c r="H39" s="94" t="n"/>
      <c r="I39" s="94" t="n"/>
      <c r="J39" s="95">
        <f>IF($A39="","",SUM($C39:$I39))</f>
        <v/>
      </c>
      <c r="K39" s="96" t="n"/>
    </row>
    <row r="40" ht="15" customHeight="1" s="63">
      <c r="A40" s="97" t="n"/>
      <c r="B40" s="81" t="n"/>
      <c r="C40" s="94" t="n"/>
      <c r="D40" s="94" t="n"/>
      <c r="E40" s="94" t="n"/>
      <c r="F40" s="94" t="n"/>
      <c r="G40" s="94" t="n"/>
      <c r="H40" s="94" t="n"/>
      <c r="I40" s="94" t="n"/>
      <c r="J40" s="95">
        <f>IF($A40="","",SUM($C40:$I40))</f>
        <v/>
      </c>
      <c r="K40" s="96" t="n"/>
    </row>
    <row r="41" ht="15" customHeight="1" s="63">
      <c r="A41" s="97" t="n"/>
      <c r="B41" s="81" t="n"/>
      <c r="C41" s="94" t="n"/>
      <c r="D41" s="94" t="n"/>
      <c r="E41" s="94" t="n"/>
      <c r="F41" s="94" t="n"/>
      <c r="G41" s="94" t="n"/>
      <c r="H41" s="94" t="n"/>
      <c r="I41" s="94" t="n"/>
      <c r="J41" s="95">
        <f>IF($A41="","",SUM($C41:$I41))</f>
        <v/>
      </c>
      <c r="K41" s="96" t="n"/>
    </row>
    <row r="42" ht="15" customHeight="1" s="63">
      <c r="A42" s="97" t="n"/>
      <c r="B42" s="81" t="n"/>
      <c r="C42" s="94" t="n"/>
      <c r="D42" s="94" t="n"/>
      <c r="E42" s="94" t="n"/>
      <c r="F42" s="94" t="n"/>
      <c r="G42" s="94" t="n"/>
      <c r="H42" s="94" t="n"/>
      <c r="I42" s="94" t="n"/>
      <c r="J42" s="95">
        <f>IF($A42="","",SUM($C42:$I42))</f>
        <v/>
      </c>
      <c r="K42" s="96" t="n"/>
    </row>
    <row r="43" ht="15" customHeight="1" s="63">
      <c r="A43" s="97" t="n"/>
      <c r="B43" s="81" t="n"/>
      <c r="C43" s="94" t="n"/>
      <c r="D43" s="94" t="n"/>
      <c r="E43" s="94" t="n"/>
      <c r="F43" s="94" t="n"/>
      <c r="G43" s="94" t="n"/>
      <c r="H43" s="94" t="n"/>
      <c r="I43" s="94" t="n"/>
      <c r="J43" s="95">
        <f>IF($A43="","",SUM($C43:$I43))</f>
        <v/>
      </c>
      <c r="K43" s="96" t="n"/>
    </row>
    <row r="44" ht="15" customHeight="1" s="63">
      <c r="A44" s="97" t="n"/>
      <c r="B44" s="81" t="n"/>
      <c r="C44" s="94" t="n"/>
      <c r="D44" s="94" t="n"/>
      <c r="E44" s="94" t="n"/>
      <c r="F44" s="94" t="n"/>
      <c r="G44" s="94" t="n"/>
      <c r="H44" s="94" t="n"/>
      <c r="I44" s="94" t="n"/>
      <c r="J44" s="95">
        <f>IF($A44="","",SUM($C44:$I44))</f>
        <v/>
      </c>
      <c r="K44" s="96" t="n"/>
    </row>
    <row r="45" ht="15" customHeight="1" s="63">
      <c r="A45" s="97" t="n"/>
      <c r="B45" s="81" t="n"/>
      <c r="C45" s="94" t="n"/>
      <c r="D45" s="94" t="n"/>
      <c r="E45" s="94" t="n"/>
      <c r="F45" s="94" t="n"/>
      <c r="G45" s="94" t="n"/>
      <c r="H45" s="94" t="n"/>
      <c r="I45" s="94" t="n"/>
      <c r="J45" s="95">
        <f>IF($A45="","",SUM($C45:$I45))</f>
        <v/>
      </c>
      <c r="K45" s="96" t="n"/>
    </row>
  </sheetData>
  <mergeCells count="2">
    <mergeCell ref="A1:K1"/>
    <mergeCell ref="A2:K3"/>
  </mergeCells>
  <conditionalFormatting sqref="J6:J45">
    <cfRule type="expression" rank="0" priority="2" equalAverage="0" aboveAverage="0" dxfId="0" text="" percent="0" bottom="0">
      <formula>AND($A6&lt;&gt;"",J6&gt;1)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55"/>
  <sheetViews>
    <sheetView showFormulas="0" showGridLines="0"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6" customWidth="1" style="62" min="1" max="1"/>
    <col width="12" customWidth="1" style="62" min="2" max="2"/>
    <col width="26" customWidth="1" style="62" min="3" max="3"/>
    <col width="18" customWidth="1" style="62" min="4" max="4"/>
    <col width="22" customWidth="1" style="62" min="5" max="5"/>
    <col width="13" customWidth="1" style="62" min="6" max="6"/>
    <col width="14" customWidth="1" style="62" min="7" max="8"/>
    <col width="16" customWidth="1" style="62" min="9" max="9"/>
    <col width="28" customWidth="1" style="62" min="10" max="10"/>
  </cols>
  <sheetData>
    <row r="1" ht="30" customHeight="1" s="63">
      <c r="A1" s="64" t="inlineStr">
        <is>
          <t>DANH MỤC NHÂN SỰ CHẤM CÔNG</t>
        </is>
      </c>
    </row>
    <row r="2" ht="15" customHeight="1" s="63">
      <c r="A2" s="65" t="inlineStr">
        <is>
          <t>Nhập một dòng cho mỗi nhân viên, không để dòng trống ở giữa. Mã NV phải trùng khít với sheet DM_NHAN_SU của file NS06_Bang_Luong_Tu_Dong_2026.xlsx – dùng khối W:AB tại sheet XUAT_SANG_LUONG để dán danh sách này sang file lương, hai file sẽ cùng thứ tự dòng. Cột H, I chỉ điền khi người này khác mặt bằng chung của đơn vị.</t>
        </is>
      </c>
    </row>
    <row r="3" ht="15" customHeight="1" s="63"/>
    <row r="4"/>
    <row r="5" ht="49.5" customHeight="1" s="63">
      <c r="A5" s="92" t="inlineStr">
        <is>
          <t>STT</t>
        </is>
      </c>
      <c r="B5" s="92" t="inlineStr">
        <is>
          <t>Mã NV</t>
        </is>
      </c>
      <c r="C5" s="92" t="inlineStr">
        <is>
          <t>Họ và tên</t>
        </is>
      </c>
      <c r="D5" s="92" t="inlineStr">
        <is>
          <t>Bộ phận</t>
        </is>
      </c>
      <c r="E5" s="92" t="inlineStr">
        <is>
          <t>Chức danh</t>
        </is>
      </c>
      <c r="F5" s="92" t="inlineStr">
        <is>
          <t>Ngày vào</t>
        </is>
      </c>
      <c r="G5" s="92" t="inlineStr">
        <is>
          <t>Ngày nghỉ việc</t>
        </is>
      </c>
      <c r="H5" s="92" t="inlineStr">
        <is>
          <t>Giờ/ngày riêng</t>
        </is>
      </c>
      <c r="I5" s="92" t="inlineStr">
        <is>
          <t>Ngày công chuẩn riêng</t>
        </is>
      </c>
      <c r="J5" s="92" t="inlineStr">
        <is>
          <t>Ghi chú</t>
        </is>
      </c>
    </row>
    <row r="6" ht="15" customHeight="1" s="63">
      <c r="A6" s="85">
        <f>IF($B6="","",ROW()-5)</f>
        <v/>
      </c>
      <c r="B6" s="97" t="n"/>
      <c r="C6" s="81" t="n"/>
      <c r="D6" s="81" t="n"/>
      <c r="E6" s="81" t="n"/>
      <c r="F6" s="86" t="n"/>
      <c r="G6" s="86" t="n"/>
      <c r="H6" s="98" t="n"/>
      <c r="I6" s="99" t="n"/>
      <c r="J6" s="81" t="n"/>
    </row>
    <row r="7" ht="15" customHeight="1" s="63">
      <c r="A7" s="85">
        <f>IF($B7="","",ROW()-5)</f>
        <v/>
      </c>
      <c r="B7" s="97" t="n"/>
      <c r="C7" s="81" t="n"/>
      <c r="D7" s="81" t="n"/>
      <c r="E7" s="81" t="n"/>
      <c r="F7" s="86" t="n"/>
      <c r="G7" s="86" t="n"/>
      <c r="H7" s="98" t="n"/>
      <c r="I7" s="99" t="n"/>
      <c r="J7" s="81" t="n"/>
    </row>
    <row r="8" ht="15" customHeight="1" s="63">
      <c r="A8" s="85">
        <f>IF($B8="","",ROW()-5)</f>
        <v/>
      </c>
      <c r="B8" s="97" t="n"/>
      <c r="C8" s="81" t="n"/>
      <c r="D8" s="81" t="n"/>
      <c r="E8" s="81" t="n"/>
      <c r="F8" s="86" t="n"/>
      <c r="G8" s="86" t="n"/>
      <c r="H8" s="98" t="n"/>
      <c r="I8" s="99" t="n"/>
      <c r="J8" s="81" t="n"/>
    </row>
    <row r="9" ht="15" customHeight="1" s="63">
      <c r="A9" s="85">
        <f>IF($B9="","",ROW()-5)</f>
        <v/>
      </c>
      <c r="B9" s="97" t="n"/>
      <c r="C9" s="81" t="n"/>
      <c r="D9" s="81" t="n"/>
      <c r="E9" s="81" t="n"/>
      <c r="F9" s="86" t="n"/>
      <c r="G9" s="86" t="n"/>
      <c r="H9" s="98" t="n"/>
      <c r="I9" s="99" t="n"/>
      <c r="J9" s="81" t="n"/>
    </row>
    <row r="10" ht="15" customHeight="1" s="63">
      <c r="A10" s="85">
        <f>IF($B10="","",ROW()-5)</f>
        <v/>
      </c>
      <c r="B10" s="97" t="n"/>
      <c r="C10" s="81" t="n"/>
      <c r="D10" s="81" t="n"/>
      <c r="E10" s="81" t="n"/>
      <c r="F10" s="86" t="n"/>
      <c r="G10" s="86" t="n"/>
      <c r="H10" s="98" t="n"/>
      <c r="I10" s="99" t="n"/>
      <c r="J10" s="81" t="n"/>
    </row>
    <row r="11" ht="15" customHeight="1" s="63">
      <c r="A11" s="85">
        <f>IF($B11="","",ROW()-5)</f>
        <v/>
      </c>
      <c r="B11" s="97" t="n"/>
      <c r="C11" s="81" t="n"/>
      <c r="D11" s="81" t="n"/>
      <c r="E11" s="81" t="n"/>
      <c r="F11" s="86" t="n"/>
      <c r="G11" s="86" t="n"/>
      <c r="H11" s="98" t="n"/>
      <c r="I11" s="99" t="n"/>
      <c r="J11" s="81" t="n"/>
    </row>
    <row r="12" ht="15" customHeight="1" s="63">
      <c r="A12" s="85">
        <f>IF($B12="","",ROW()-5)</f>
        <v/>
      </c>
      <c r="B12" s="97" t="n"/>
      <c r="C12" s="81" t="n"/>
      <c r="D12" s="81" t="n"/>
      <c r="E12" s="81" t="n"/>
      <c r="F12" s="86" t="n"/>
      <c r="G12" s="86" t="n"/>
      <c r="H12" s="98" t="n"/>
      <c r="I12" s="99" t="n"/>
      <c r="J12" s="81" t="n"/>
    </row>
    <row r="13" ht="15" customHeight="1" s="63">
      <c r="A13" s="85">
        <f>IF($B13="","",ROW()-5)</f>
        <v/>
      </c>
      <c r="B13" s="97" t="n"/>
      <c r="C13" s="81" t="n"/>
      <c r="D13" s="81" t="n"/>
      <c r="E13" s="81" t="n"/>
      <c r="F13" s="86" t="n"/>
      <c r="G13" s="86" t="n"/>
      <c r="H13" s="98" t="n"/>
      <c r="I13" s="99" t="n"/>
      <c r="J13" s="81" t="n"/>
    </row>
    <row r="14" ht="15" customHeight="1" s="63">
      <c r="A14" s="85">
        <f>IF($B14="","",ROW()-5)</f>
        <v/>
      </c>
      <c r="B14" s="97" t="n"/>
      <c r="C14" s="81" t="n"/>
      <c r="D14" s="81" t="n"/>
      <c r="E14" s="81" t="n"/>
      <c r="F14" s="86" t="n"/>
      <c r="G14" s="86" t="n"/>
      <c r="H14" s="98" t="n"/>
      <c r="I14" s="99" t="n"/>
      <c r="J14" s="81" t="n"/>
    </row>
    <row r="15" ht="15" customHeight="1" s="63">
      <c r="A15" s="85">
        <f>IF($B15="","",ROW()-5)</f>
        <v/>
      </c>
      <c r="B15" s="97" t="n"/>
      <c r="C15" s="81" t="n"/>
      <c r="D15" s="81" t="n"/>
      <c r="E15" s="81" t="n"/>
      <c r="F15" s="86" t="n"/>
      <c r="G15" s="86" t="n"/>
      <c r="H15" s="98" t="n"/>
      <c r="I15" s="99" t="n"/>
      <c r="J15" s="81" t="n"/>
    </row>
    <row r="16" ht="15" customHeight="1" s="63">
      <c r="A16" s="85">
        <f>IF($B16="","",ROW()-5)</f>
        <v/>
      </c>
      <c r="B16" s="97" t="n"/>
      <c r="C16" s="81" t="n"/>
      <c r="D16" s="81" t="n"/>
      <c r="E16" s="81" t="n"/>
      <c r="F16" s="86" t="n"/>
      <c r="G16" s="86" t="n"/>
      <c r="H16" s="98" t="n"/>
      <c r="I16" s="99" t="n"/>
      <c r="J16" s="81" t="n"/>
    </row>
    <row r="17" ht="15" customHeight="1" s="63">
      <c r="A17" s="85">
        <f>IF($B17="","",ROW()-5)</f>
        <v/>
      </c>
      <c r="B17" s="97" t="n"/>
      <c r="C17" s="81" t="n"/>
      <c r="D17" s="81" t="n"/>
      <c r="E17" s="81" t="n"/>
      <c r="F17" s="86" t="n"/>
      <c r="G17" s="86" t="n"/>
      <c r="H17" s="98" t="n"/>
      <c r="I17" s="99" t="n"/>
      <c r="J17" s="81" t="n"/>
    </row>
    <row r="18" ht="15" customHeight="1" s="63">
      <c r="A18" s="85">
        <f>IF($B18="","",ROW()-5)</f>
        <v/>
      </c>
      <c r="B18" s="97" t="n"/>
      <c r="C18" s="81" t="n"/>
      <c r="D18" s="81" t="n"/>
      <c r="E18" s="81" t="n"/>
      <c r="F18" s="86" t="n"/>
      <c r="G18" s="86" t="n"/>
      <c r="H18" s="98" t="n"/>
      <c r="I18" s="99" t="n"/>
      <c r="J18" s="81" t="n"/>
    </row>
    <row r="19" ht="15" customHeight="1" s="63">
      <c r="A19" s="85">
        <f>IF($B19="","",ROW()-5)</f>
        <v/>
      </c>
      <c r="B19" s="97" t="n"/>
      <c r="C19" s="81" t="n"/>
      <c r="D19" s="81" t="n"/>
      <c r="E19" s="81" t="n"/>
      <c r="F19" s="86" t="n"/>
      <c r="G19" s="86" t="n"/>
      <c r="H19" s="98" t="n"/>
      <c r="I19" s="99" t="n"/>
      <c r="J19" s="81" t="n"/>
    </row>
    <row r="20" ht="15" customHeight="1" s="63">
      <c r="A20" s="85">
        <f>IF($B20="","",ROW()-5)</f>
        <v/>
      </c>
      <c r="B20" s="97" t="n"/>
      <c r="C20" s="81" t="n"/>
      <c r="D20" s="81" t="n"/>
      <c r="E20" s="81" t="n"/>
      <c r="F20" s="86" t="n"/>
      <c r="G20" s="86" t="n"/>
      <c r="H20" s="98" t="n"/>
      <c r="I20" s="99" t="n"/>
      <c r="J20" s="81" t="n"/>
    </row>
    <row r="21" ht="15" customHeight="1" s="63">
      <c r="A21" s="85">
        <f>IF($B21="","",ROW()-5)</f>
        <v/>
      </c>
      <c r="B21" s="97" t="n"/>
      <c r="C21" s="81" t="n"/>
      <c r="D21" s="81" t="n"/>
      <c r="E21" s="81" t="n"/>
      <c r="F21" s="86" t="n"/>
      <c r="G21" s="86" t="n"/>
      <c r="H21" s="98" t="n"/>
      <c r="I21" s="99" t="n"/>
      <c r="J21" s="81" t="n"/>
    </row>
    <row r="22" ht="15" customHeight="1" s="63">
      <c r="A22" s="85">
        <f>IF($B22="","",ROW()-5)</f>
        <v/>
      </c>
      <c r="B22" s="97" t="n"/>
      <c r="C22" s="81" t="n"/>
      <c r="D22" s="81" t="n"/>
      <c r="E22" s="81" t="n"/>
      <c r="F22" s="86" t="n"/>
      <c r="G22" s="86" t="n"/>
      <c r="H22" s="98" t="n"/>
      <c r="I22" s="99" t="n"/>
      <c r="J22" s="81" t="n"/>
    </row>
    <row r="23" ht="15" customHeight="1" s="63">
      <c r="A23" s="85">
        <f>IF($B23="","",ROW()-5)</f>
        <v/>
      </c>
      <c r="B23" s="97" t="n"/>
      <c r="C23" s="81" t="n"/>
      <c r="D23" s="81" t="n"/>
      <c r="E23" s="81" t="n"/>
      <c r="F23" s="86" t="n"/>
      <c r="G23" s="86" t="n"/>
      <c r="H23" s="98" t="n"/>
      <c r="I23" s="99" t="n"/>
      <c r="J23" s="81" t="n"/>
    </row>
    <row r="24" ht="15" customHeight="1" s="63">
      <c r="A24" s="85">
        <f>IF($B24="","",ROW()-5)</f>
        <v/>
      </c>
      <c r="B24" s="97" t="n"/>
      <c r="C24" s="81" t="n"/>
      <c r="D24" s="81" t="n"/>
      <c r="E24" s="81" t="n"/>
      <c r="F24" s="86" t="n"/>
      <c r="G24" s="86" t="n"/>
      <c r="H24" s="98" t="n"/>
      <c r="I24" s="99" t="n"/>
      <c r="J24" s="81" t="n"/>
    </row>
    <row r="25" ht="15" customHeight="1" s="63">
      <c r="A25" s="85">
        <f>IF($B25="","",ROW()-5)</f>
        <v/>
      </c>
      <c r="B25" s="97" t="n"/>
      <c r="C25" s="81" t="n"/>
      <c r="D25" s="81" t="n"/>
      <c r="E25" s="81" t="n"/>
      <c r="F25" s="86" t="n"/>
      <c r="G25" s="86" t="n"/>
      <c r="H25" s="98" t="n"/>
      <c r="I25" s="99" t="n"/>
      <c r="J25" s="81" t="n"/>
    </row>
    <row r="26" ht="15" customHeight="1" s="63">
      <c r="A26" s="85">
        <f>IF($B26="","",ROW()-5)</f>
        <v/>
      </c>
      <c r="B26" s="97" t="n"/>
      <c r="C26" s="81" t="n"/>
      <c r="D26" s="81" t="n"/>
      <c r="E26" s="81" t="n"/>
      <c r="F26" s="86" t="n"/>
      <c r="G26" s="86" t="n"/>
      <c r="H26" s="98" t="n"/>
      <c r="I26" s="99" t="n"/>
      <c r="J26" s="81" t="n"/>
    </row>
    <row r="27" ht="15" customHeight="1" s="63">
      <c r="A27" s="85">
        <f>IF($B27="","",ROW()-5)</f>
        <v/>
      </c>
      <c r="B27" s="97" t="n"/>
      <c r="C27" s="81" t="n"/>
      <c r="D27" s="81" t="n"/>
      <c r="E27" s="81" t="n"/>
      <c r="F27" s="86" t="n"/>
      <c r="G27" s="86" t="n"/>
      <c r="H27" s="98" t="n"/>
      <c r="I27" s="99" t="n"/>
      <c r="J27" s="81" t="n"/>
    </row>
    <row r="28" ht="15" customHeight="1" s="63">
      <c r="A28" s="85">
        <f>IF($B28="","",ROW()-5)</f>
        <v/>
      </c>
      <c r="B28" s="97" t="n"/>
      <c r="C28" s="81" t="n"/>
      <c r="D28" s="81" t="n"/>
      <c r="E28" s="81" t="n"/>
      <c r="F28" s="86" t="n"/>
      <c r="G28" s="86" t="n"/>
      <c r="H28" s="98" t="n"/>
      <c r="I28" s="99" t="n"/>
      <c r="J28" s="81" t="n"/>
    </row>
    <row r="29" ht="15" customHeight="1" s="63">
      <c r="A29" s="85">
        <f>IF($B29="","",ROW()-5)</f>
        <v/>
      </c>
      <c r="B29" s="97" t="n"/>
      <c r="C29" s="81" t="n"/>
      <c r="D29" s="81" t="n"/>
      <c r="E29" s="81" t="n"/>
      <c r="F29" s="86" t="n"/>
      <c r="G29" s="86" t="n"/>
      <c r="H29" s="98" t="n"/>
      <c r="I29" s="99" t="n"/>
      <c r="J29" s="81" t="n"/>
    </row>
    <row r="30" ht="15" customHeight="1" s="63">
      <c r="A30" s="85">
        <f>IF($B30="","",ROW()-5)</f>
        <v/>
      </c>
      <c r="B30" s="97" t="n"/>
      <c r="C30" s="81" t="n"/>
      <c r="D30" s="81" t="n"/>
      <c r="E30" s="81" t="n"/>
      <c r="F30" s="86" t="n"/>
      <c r="G30" s="86" t="n"/>
      <c r="H30" s="98" t="n"/>
      <c r="I30" s="99" t="n"/>
      <c r="J30" s="81" t="n"/>
    </row>
    <row r="31" ht="15" customHeight="1" s="63">
      <c r="A31" s="85">
        <f>IF($B31="","",ROW()-5)</f>
        <v/>
      </c>
      <c r="B31" s="97" t="n"/>
      <c r="C31" s="81" t="n"/>
      <c r="D31" s="81" t="n"/>
      <c r="E31" s="81" t="n"/>
      <c r="F31" s="86" t="n"/>
      <c r="G31" s="86" t="n"/>
      <c r="H31" s="98" t="n"/>
      <c r="I31" s="99" t="n"/>
      <c r="J31" s="81" t="n"/>
    </row>
    <row r="32" ht="15" customHeight="1" s="63">
      <c r="A32" s="85">
        <f>IF($B32="","",ROW()-5)</f>
        <v/>
      </c>
      <c r="B32" s="97" t="n"/>
      <c r="C32" s="81" t="n"/>
      <c r="D32" s="81" t="n"/>
      <c r="E32" s="81" t="n"/>
      <c r="F32" s="86" t="n"/>
      <c r="G32" s="86" t="n"/>
      <c r="H32" s="98" t="n"/>
      <c r="I32" s="99" t="n"/>
      <c r="J32" s="81" t="n"/>
    </row>
    <row r="33" ht="15" customHeight="1" s="63">
      <c r="A33" s="85">
        <f>IF($B33="","",ROW()-5)</f>
        <v/>
      </c>
      <c r="B33" s="97" t="n"/>
      <c r="C33" s="81" t="n"/>
      <c r="D33" s="81" t="n"/>
      <c r="E33" s="81" t="n"/>
      <c r="F33" s="86" t="n"/>
      <c r="G33" s="86" t="n"/>
      <c r="H33" s="98" t="n"/>
      <c r="I33" s="99" t="n"/>
      <c r="J33" s="81" t="n"/>
    </row>
    <row r="34" ht="15" customHeight="1" s="63">
      <c r="A34" s="85">
        <f>IF($B34="","",ROW()-5)</f>
        <v/>
      </c>
      <c r="B34" s="97" t="n"/>
      <c r="C34" s="81" t="n"/>
      <c r="D34" s="81" t="n"/>
      <c r="E34" s="81" t="n"/>
      <c r="F34" s="86" t="n"/>
      <c r="G34" s="86" t="n"/>
      <c r="H34" s="98" t="n"/>
      <c r="I34" s="99" t="n"/>
      <c r="J34" s="81" t="n"/>
    </row>
    <row r="35" ht="15" customHeight="1" s="63">
      <c r="A35" s="85">
        <f>IF($B35="","",ROW()-5)</f>
        <v/>
      </c>
      <c r="B35" s="97" t="n"/>
      <c r="C35" s="81" t="n"/>
      <c r="D35" s="81" t="n"/>
      <c r="E35" s="81" t="n"/>
      <c r="F35" s="86" t="n"/>
      <c r="G35" s="86" t="n"/>
      <c r="H35" s="98" t="n"/>
      <c r="I35" s="99" t="n"/>
      <c r="J35" s="81" t="n"/>
    </row>
    <row r="36" ht="15" customHeight="1" s="63">
      <c r="A36" s="85">
        <f>IF($B36="","",ROW()-5)</f>
        <v/>
      </c>
      <c r="B36" s="97" t="n"/>
      <c r="C36" s="81" t="n"/>
      <c r="D36" s="81" t="n"/>
      <c r="E36" s="81" t="n"/>
      <c r="F36" s="86" t="n"/>
      <c r="G36" s="86" t="n"/>
      <c r="H36" s="98" t="n"/>
      <c r="I36" s="99" t="n"/>
      <c r="J36" s="81" t="n"/>
    </row>
    <row r="37" ht="15" customHeight="1" s="63">
      <c r="A37" s="85">
        <f>IF($B37="","",ROW()-5)</f>
        <v/>
      </c>
      <c r="B37" s="97" t="n"/>
      <c r="C37" s="81" t="n"/>
      <c r="D37" s="81" t="n"/>
      <c r="E37" s="81" t="n"/>
      <c r="F37" s="86" t="n"/>
      <c r="G37" s="86" t="n"/>
      <c r="H37" s="98" t="n"/>
      <c r="I37" s="99" t="n"/>
      <c r="J37" s="81" t="n"/>
    </row>
    <row r="38" ht="15" customHeight="1" s="63">
      <c r="A38" s="85">
        <f>IF($B38="","",ROW()-5)</f>
        <v/>
      </c>
      <c r="B38" s="97" t="n"/>
      <c r="C38" s="81" t="n"/>
      <c r="D38" s="81" t="n"/>
      <c r="E38" s="81" t="n"/>
      <c r="F38" s="86" t="n"/>
      <c r="G38" s="86" t="n"/>
      <c r="H38" s="98" t="n"/>
      <c r="I38" s="99" t="n"/>
      <c r="J38" s="81" t="n"/>
    </row>
    <row r="39" ht="15" customHeight="1" s="63">
      <c r="A39" s="85">
        <f>IF($B39="","",ROW()-5)</f>
        <v/>
      </c>
      <c r="B39" s="97" t="n"/>
      <c r="C39" s="81" t="n"/>
      <c r="D39" s="81" t="n"/>
      <c r="E39" s="81" t="n"/>
      <c r="F39" s="86" t="n"/>
      <c r="G39" s="86" t="n"/>
      <c r="H39" s="98" t="n"/>
      <c r="I39" s="99" t="n"/>
      <c r="J39" s="81" t="n"/>
    </row>
    <row r="40" ht="15" customHeight="1" s="63">
      <c r="A40" s="85">
        <f>IF($B40="","",ROW()-5)</f>
        <v/>
      </c>
      <c r="B40" s="97" t="n"/>
      <c r="C40" s="81" t="n"/>
      <c r="D40" s="81" t="n"/>
      <c r="E40" s="81" t="n"/>
      <c r="F40" s="86" t="n"/>
      <c r="G40" s="86" t="n"/>
      <c r="H40" s="98" t="n"/>
      <c r="I40" s="99" t="n"/>
      <c r="J40" s="81" t="n"/>
    </row>
    <row r="41" ht="15" customHeight="1" s="63">
      <c r="A41" s="85">
        <f>IF($B41="","",ROW()-5)</f>
        <v/>
      </c>
      <c r="B41" s="97" t="n"/>
      <c r="C41" s="81" t="n"/>
      <c r="D41" s="81" t="n"/>
      <c r="E41" s="81" t="n"/>
      <c r="F41" s="86" t="n"/>
      <c r="G41" s="86" t="n"/>
      <c r="H41" s="98" t="n"/>
      <c r="I41" s="99" t="n"/>
      <c r="J41" s="81" t="n"/>
    </row>
    <row r="42" ht="15" customHeight="1" s="63">
      <c r="A42" s="85">
        <f>IF($B42="","",ROW()-5)</f>
        <v/>
      </c>
      <c r="B42" s="97" t="n"/>
      <c r="C42" s="81" t="n"/>
      <c r="D42" s="81" t="n"/>
      <c r="E42" s="81" t="n"/>
      <c r="F42" s="86" t="n"/>
      <c r="G42" s="86" t="n"/>
      <c r="H42" s="98" t="n"/>
      <c r="I42" s="99" t="n"/>
      <c r="J42" s="81" t="n"/>
    </row>
    <row r="43" ht="15" customHeight="1" s="63">
      <c r="A43" s="85">
        <f>IF($B43="","",ROW()-5)</f>
        <v/>
      </c>
      <c r="B43" s="97" t="n"/>
      <c r="C43" s="81" t="n"/>
      <c r="D43" s="81" t="n"/>
      <c r="E43" s="81" t="n"/>
      <c r="F43" s="86" t="n"/>
      <c r="G43" s="86" t="n"/>
      <c r="H43" s="98" t="n"/>
      <c r="I43" s="99" t="n"/>
      <c r="J43" s="81" t="n"/>
    </row>
    <row r="44" ht="15" customHeight="1" s="63">
      <c r="A44" s="85">
        <f>IF($B44="","",ROW()-5)</f>
        <v/>
      </c>
      <c r="B44" s="97" t="n"/>
      <c r="C44" s="81" t="n"/>
      <c r="D44" s="81" t="n"/>
      <c r="E44" s="81" t="n"/>
      <c r="F44" s="86" t="n"/>
      <c r="G44" s="86" t="n"/>
      <c r="H44" s="98" t="n"/>
      <c r="I44" s="99" t="n"/>
      <c r="J44" s="81" t="n"/>
    </row>
    <row r="45" ht="15" customHeight="1" s="63">
      <c r="A45" s="85">
        <f>IF($B45="","",ROW()-5)</f>
        <v/>
      </c>
      <c r="B45" s="97" t="n"/>
      <c r="C45" s="81" t="n"/>
      <c r="D45" s="81" t="n"/>
      <c r="E45" s="81" t="n"/>
      <c r="F45" s="86" t="n"/>
      <c r="G45" s="86" t="n"/>
      <c r="H45" s="98" t="n"/>
      <c r="I45" s="99" t="n"/>
      <c r="J45" s="81" t="n"/>
    </row>
    <row r="46" ht="15" customHeight="1" s="63">
      <c r="A46" s="85">
        <f>IF($B46="","",ROW()-5)</f>
        <v/>
      </c>
      <c r="B46" s="97" t="n"/>
      <c r="C46" s="81" t="n"/>
      <c r="D46" s="81" t="n"/>
      <c r="E46" s="81" t="n"/>
      <c r="F46" s="86" t="n"/>
      <c r="G46" s="86" t="n"/>
      <c r="H46" s="98" t="n"/>
      <c r="I46" s="99" t="n"/>
      <c r="J46" s="81" t="n"/>
    </row>
    <row r="47" ht="15" customHeight="1" s="63">
      <c r="A47" s="85">
        <f>IF($B47="","",ROW()-5)</f>
        <v/>
      </c>
      <c r="B47" s="97" t="n"/>
      <c r="C47" s="81" t="n"/>
      <c r="D47" s="81" t="n"/>
      <c r="E47" s="81" t="n"/>
      <c r="F47" s="86" t="n"/>
      <c r="G47" s="86" t="n"/>
      <c r="H47" s="98" t="n"/>
      <c r="I47" s="99" t="n"/>
      <c r="J47" s="81" t="n"/>
    </row>
    <row r="48" ht="15" customHeight="1" s="63">
      <c r="A48" s="85">
        <f>IF($B48="","",ROW()-5)</f>
        <v/>
      </c>
      <c r="B48" s="97" t="n"/>
      <c r="C48" s="81" t="n"/>
      <c r="D48" s="81" t="n"/>
      <c r="E48" s="81" t="n"/>
      <c r="F48" s="86" t="n"/>
      <c r="G48" s="86" t="n"/>
      <c r="H48" s="98" t="n"/>
      <c r="I48" s="99" t="n"/>
      <c r="J48" s="81" t="n"/>
    </row>
    <row r="49" ht="15" customHeight="1" s="63">
      <c r="A49" s="85">
        <f>IF($B49="","",ROW()-5)</f>
        <v/>
      </c>
      <c r="B49" s="97" t="n"/>
      <c r="C49" s="81" t="n"/>
      <c r="D49" s="81" t="n"/>
      <c r="E49" s="81" t="n"/>
      <c r="F49" s="86" t="n"/>
      <c r="G49" s="86" t="n"/>
      <c r="H49" s="98" t="n"/>
      <c r="I49" s="99" t="n"/>
      <c r="J49" s="81" t="n"/>
    </row>
    <row r="50" ht="15" customHeight="1" s="63">
      <c r="A50" s="85">
        <f>IF($B50="","",ROW()-5)</f>
        <v/>
      </c>
      <c r="B50" s="97" t="n"/>
      <c r="C50" s="81" t="n"/>
      <c r="D50" s="81" t="n"/>
      <c r="E50" s="81" t="n"/>
      <c r="F50" s="86" t="n"/>
      <c r="G50" s="86" t="n"/>
      <c r="H50" s="98" t="n"/>
      <c r="I50" s="99" t="n"/>
      <c r="J50" s="81" t="n"/>
    </row>
    <row r="51" ht="15" customHeight="1" s="63">
      <c r="A51" s="85">
        <f>IF($B51="","",ROW()-5)</f>
        <v/>
      </c>
      <c r="B51" s="97" t="n"/>
      <c r="C51" s="81" t="n"/>
      <c r="D51" s="81" t="n"/>
      <c r="E51" s="81" t="n"/>
      <c r="F51" s="86" t="n"/>
      <c r="G51" s="86" t="n"/>
      <c r="H51" s="98" t="n"/>
      <c r="I51" s="99" t="n"/>
      <c r="J51" s="81" t="n"/>
    </row>
    <row r="52" ht="15" customHeight="1" s="63">
      <c r="A52" s="85">
        <f>IF($B52="","",ROW()-5)</f>
        <v/>
      </c>
      <c r="B52" s="97" t="n"/>
      <c r="C52" s="81" t="n"/>
      <c r="D52" s="81" t="n"/>
      <c r="E52" s="81" t="n"/>
      <c r="F52" s="86" t="n"/>
      <c r="G52" s="86" t="n"/>
      <c r="H52" s="98" t="n"/>
      <c r="I52" s="99" t="n"/>
      <c r="J52" s="81" t="n"/>
    </row>
    <row r="53" ht="15" customHeight="1" s="63">
      <c r="A53" s="85">
        <f>IF($B53="","",ROW()-5)</f>
        <v/>
      </c>
      <c r="B53" s="97" t="n"/>
      <c r="C53" s="81" t="n"/>
      <c r="D53" s="81" t="n"/>
      <c r="E53" s="81" t="n"/>
      <c r="F53" s="86" t="n"/>
      <c r="G53" s="86" t="n"/>
      <c r="H53" s="98" t="n"/>
      <c r="I53" s="99" t="n"/>
      <c r="J53" s="81" t="n"/>
    </row>
    <row r="54" ht="15" customHeight="1" s="63">
      <c r="A54" s="85">
        <f>IF($B54="","",ROW()-5)</f>
        <v/>
      </c>
      <c r="B54" s="97" t="n"/>
      <c r="C54" s="81" t="n"/>
      <c r="D54" s="81" t="n"/>
      <c r="E54" s="81" t="n"/>
      <c r="F54" s="86" t="n"/>
      <c r="G54" s="86" t="n"/>
      <c r="H54" s="98" t="n"/>
      <c r="I54" s="99" t="n"/>
      <c r="J54" s="81" t="n"/>
    </row>
    <row r="55" ht="15" customHeight="1" s="63">
      <c r="A55" s="85">
        <f>IF($B55="","",ROW()-5)</f>
        <v/>
      </c>
      <c r="B55" s="97" t="n"/>
      <c r="C55" s="81" t="n"/>
      <c r="D55" s="81" t="n"/>
      <c r="E55" s="81" t="n"/>
      <c r="F55" s="86" t="n"/>
      <c r="G55" s="86" t="n"/>
      <c r="H55" s="98" t="n"/>
      <c r="I55" s="99" t="n"/>
      <c r="J55" s="81" t="n"/>
    </row>
    <row r="56" ht="15" customHeight="1" s="63">
      <c r="A56" s="85">
        <f>IF($B56="","",ROW()-5)</f>
        <v/>
      </c>
      <c r="B56" s="97" t="n"/>
      <c r="C56" s="81" t="n"/>
      <c r="D56" s="81" t="n"/>
      <c r="E56" s="81" t="n"/>
      <c r="F56" s="86" t="n"/>
      <c r="G56" s="86" t="n"/>
      <c r="H56" s="98" t="n"/>
      <c r="I56" s="99" t="n"/>
      <c r="J56" s="81" t="n"/>
    </row>
    <row r="57" ht="15" customHeight="1" s="63">
      <c r="A57" s="85">
        <f>IF($B57="","",ROW()-5)</f>
        <v/>
      </c>
      <c r="B57" s="97" t="n"/>
      <c r="C57" s="81" t="n"/>
      <c r="D57" s="81" t="n"/>
      <c r="E57" s="81" t="n"/>
      <c r="F57" s="86" t="n"/>
      <c r="G57" s="86" t="n"/>
      <c r="H57" s="98" t="n"/>
      <c r="I57" s="99" t="n"/>
      <c r="J57" s="81" t="n"/>
    </row>
    <row r="58" ht="15" customHeight="1" s="63">
      <c r="A58" s="85">
        <f>IF($B58="","",ROW()-5)</f>
        <v/>
      </c>
      <c r="B58" s="97" t="n"/>
      <c r="C58" s="81" t="n"/>
      <c r="D58" s="81" t="n"/>
      <c r="E58" s="81" t="n"/>
      <c r="F58" s="86" t="n"/>
      <c r="G58" s="86" t="n"/>
      <c r="H58" s="98" t="n"/>
      <c r="I58" s="99" t="n"/>
      <c r="J58" s="81" t="n"/>
    </row>
    <row r="59" ht="15" customHeight="1" s="63">
      <c r="A59" s="85">
        <f>IF($B59="","",ROW()-5)</f>
        <v/>
      </c>
      <c r="B59" s="97" t="n"/>
      <c r="C59" s="81" t="n"/>
      <c r="D59" s="81" t="n"/>
      <c r="E59" s="81" t="n"/>
      <c r="F59" s="86" t="n"/>
      <c r="G59" s="86" t="n"/>
      <c r="H59" s="98" t="n"/>
      <c r="I59" s="99" t="n"/>
      <c r="J59" s="81" t="n"/>
    </row>
    <row r="60" ht="15" customHeight="1" s="63">
      <c r="A60" s="85">
        <f>IF($B60="","",ROW()-5)</f>
        <v/>
      </c>
      <c r="B60" s="97" t="n"/>
      <c r="C60" s="81" t="n"/>
      <c r="D60" s="81" t="n"/>
      <c r="E60" s="81" t="n"/>
      <c r="F60" s="86" t="n"/>
      <c r="G60" s="86" t="n"/>
      <c r="H60" s="98" t="n"/>
      <c r="I60" s="99" t="n"/>
      <c r="J60" s="81" t="n"/>
    </row>
    <row r="61" ht="15" customHeight="1" s="63">
      <c r="A61" s="85">
        <f>IF($B61="","",ROW()-5)</f>
        <v/>
      </c>
      <c r="B61" s="97" t="n"/>
      <c r="C61" s="81" t="n"/>
      <c r="D61" s="81" t="n"/>
      <c r="E61" s="81" t="n"/>
      <c r="F61" s="86" t="n"/>
      <c r="G61" s="86" t="n"/>
      <c r="H61" s="98" t="n"/>
      <c r="I61" s="99" t="n"/>
      <c r="J61" s="81" t="n"/>
    </row>
    <row r="62" ht="15" customHeight="1" s="63">
      <c r="A62" s="85">
        <f>IF($B62="","",ROW()-5)</f>
        <v/>
      </c>
      <c r="B62" s="97" t="n"/>
      <c r="C62" s="81" t="n"/>
      <c r="D62" s="81" t="n"/>
      <c r="E62" s="81" t="n"/>
      <c r="F62" s="86" t="n"/>
      <c r="G62" s="86" t="n"/>
      <c r="H62" s="98" t="n"/>
      <c r="I62" s="99" t="n"/>
      <c r="J62" s="81" t="n"/>
    </row>
    <row r="63" ht="15" customHeight="1" s="63">
      <c r="A63" s="85">
        <f>IF($B63="","",ROW()-5)</f>
        <v/>
      </c>
      <c r="B63" s="97" t="n"/>
      <c r="C63" s="81" t="n"/>
      <c r="D63" s="81" t="n"/>
      <c r="E63" s="81" t="n"/>
      <c r="F63" s="86" t="n"/>
      <c r="G63" s="86" t="n"/>
      <c r="H63" s="98" t="n"/>
      <c r="I63" s="99" t="n"/>
      <c r="J63" s="81" t="n"/>
    </row>
    <row r="64" ht="15" customHeight="1" s="63">
      <c r="A64" s="85">
        <f>IF($B64="","",ROW()-5)</f>
        <v/>
      </c>
      <c r="B64" s="97" t="n"/>
      <c r="C64" s="81" t="n"/>
      <c r="D64" s="81" t="n"/>
      <c r="E64" s="81" t="n"/>
      <c r="F64" s="86" t="n"/>
      <c r="G64" s="86" t="n"/>
      <c r="H64" s="98" t="n"/>
      <c r="I64" s="99" t="n"/>
      <c r="J64" s="81" t="n"/>
    </row>
    <row r="65" ht="15" customHeight="1" s="63">
      <c r="A65" s="85">
        <f>IF($B65="","",ROW()-5)</f>
        <v/>
      </c>
      <c r="B65" s="97" t="n"/>
      <c r="C65" s="81" t="n"/>
      <c r="D65" s="81" t="n"/>
      <c r="E65" s="81" t="n"/>
      <c r="F65" s="86" t="n"/>
      <c r="G65" s="86" t="n"/>
      <c r="H65" s="98" t="n"/>
      <c r="I65" s="99" t="n"/>
      <c r="J65" s="81" t="n"/>
    </row>
    <row r="66" ht="15" customHeight="1" s="63">
      <c r="A66" s="85">
        <f>IF($B66="","",ROW()-5)</f>
        <v/>
      </c>
      <c r="B66" s="97" t="n"/>
      <c r="C66" s="81" t="n"/>
      <c r="D66" s="81" t="n"/>
      <c r="E66" s="81" t="n"/>
      <c r="F66" s="86" t="n"/>
      <c r="G66" s="86" t="n"/>
      <c r="H66" s="98" t="n"/>
      <c r="I66" s="99" t="n"/>
      <c r="J66" s="81" t="n"/>
    </row>
    <row r="67" ht="15" customHeight="1" s="63">
      <c r="A67" s="85">
        <f>IF($B67="","",ROW()-5)</f>
        <v/>
      </c>
      <c r="B67" s="97" t="n"/>
      <c r="C67" s="81" t="n"/>
      <c r="D67" s="81" t="n"/>
      <c r="E67" s="81" t="n"/>
      <c r="F67" s="86" t="n"/>
      <c r="G67" s="86" t="n"/>
      <c r="H67" s="98" t="n"/>
      <c r="I67" s="99" t="n"/>
      <c r="J67" s="81" t="n"/>
    </row>
    <row r="68" ht="15" customHeight="1" s="63">
      <c r="A68" s="85">
        <f>IF($B68="","",ROW()-5)</f>
        <v/>
      </c>
      <c r="B68" s="97" t="n"/>
      <c r="C68" s="81" t="n"/>
      <c r="D68" s="81" t="n"/>
      <c r="E68" s="81" t="n"/>
      <c r="F68" s="86" t="n"/>
      <c r="G68" s="86" t="n"/>
      <c r="H68" s="98" t="n"/>
      <c r="I68" s="99" t="n"/>
      <c r="J68" s="81" t="n"/>
    </row>
    <row r="69" ht="15" customHeight="1" s="63">
      <c r="A69" s="85">
        <f>IF($B69="","",ROW()-5)</f>
        <v/>
      </c>
      <c r="B69" s="97" t="n"/>
      <c r="C69" s="81" t="n"/>
      <c r="D69" s="81" t="n"/>
      <c r="E69" s="81" t="n"/>
      <c r="F69" s="86" t="n"/>
      <c r="G69" s="86" t="n"/>
      <c r="H69" s="98" t="n"/>
      <c r="I69" s="99" t="n"/>
      <c r="J69" s="81" t="n"/>
    </row>
    <row r="70" ht="15" customHeight="1" s="63">
      <c r="A70" s="85">
        <f>IF($B70="","",ROW()-5)</f>
        <v/>
      </c>
      <c r="B70" s="97" t="n"/>
      <c r="C70" s="81" t="n"/>
      <c r="D70" s="81" t="n"/>
      <c r="E70" s="81" t="n"/>
      <c r="F70" s="86" t="n"/>
      <c r="G70" s="86" t="n"/>
      <c r="H70" s="98" t="n"/>
      <c r="I70" s="99" t="n"/>
      <c r="J70" s="81" t="n"/>
    </row>
    <row r="71" ht="15" customHeight="1" s="63">
      <c r="A71" s="85">
        <f>IF($B71="","",ROW()-5)</f>
        <v/>
      </c>
      <c r="B71" s="97" t="n"/>
      <c r="C71" s="81" t="n"/>
      <c r="D71" s="81" t="n"/>
      <c r="E71" s="81" t="n"/>
      <c r="F71" s="86" t="n"/>
      <c r="G71" s="86" t="n"/>
      <c r="H71" s="98" t="n"/>
      <c r="I71" s="99" t="n"/>
      <c r="J71" s="81" t="n"/>
    </row>
    <row r="72" ht="15" customHeight="1" s="63">
      <c r="A72" s="85">
        <f>IF($B72="","",ROW()-5)</f>
        <v/>
      </c>
      <c r="B72" s="97" t="n"/>
      <c r="C72" s="81" t="n"/>
      <c r="D72" s="81" t="n"/>
      <c r="E72" s="81" t="n"/>
      <c r="F72" s="86" t="n"/>
      <c r="G72" s="86" t="n"/>
      <c r="H72" s="98" t="n"/>
      <c r="I72" s="99" t="n"/>
      <c r="J72" s="81" t="n"/>
    </row>
    <row r="73" ht="15" customHeight="1" s="63">
      <c r="A73" s="85">
        <f>IF($B73="","",ROW()-5)</f>
        <v/>
      </c>
      <c r="B73" s="97" t="n"/>
      <c r="C73" s="81" t="n"/>
      <c r="D73" s="81" t="n"/>
      <c r="E73" s="81" t="n"/>
      <c r="F73" s="86" t="n"/>
      <c r="G73" s="86" t="n"/>
      <c r="H73" s="98" t="n"/>
      <c r="I73" s="99" t="n"/>
      <c r="J73" s="81" t="n"/>
    </row>
    <row r="74" ht="15" customHeight="1" s="63">
      <c r="A74" s="85">
        <f>IF($B74="","",ROW()-5)</f>
        <v/>
      </c>
      <c r="B74" s="97" t="n"/>
      <c r="C74" s="81" t="n"/>
      <c r="D74" s="81" t="n"/>
      <c r="E74" s="81" t="n"/>
      <c r="F74" s="86" t="n"/>
      <c r="G74" s="86" t="n"/>
      <c r="H74" s="98" t="n"/>
      <c r="I74" s="99" t="n"/>
      <c r="J74" s="81" t="n"/>
    </row>
    <row r="75" ht="15" customHeight="1" s="63">
      <c r="A75" s="85">
        <f>IF($B75="","",ROW()-5)</f>
        <v/>
      </c>
      <c r="B75" s="97" t="n"/>
      <c r="C75" s="81" t="n"/>
      <c r="D75" s="81" t="n"/>
      <c r="E75" s="81" t="n"/>
      <c r="F75" s="86" t="n"/>
      <c r="G75" s="86" t="n"/>
      <c r="H75" s="98" t="n"/>
      <c r="I75" s="99" t="n"/>
      <c r="J75" s="81" t="n"/>
    </row>
    <row r="76" ht="15" customHeight="1" s="63">
      <c r="A76" s="85">
        <f>IF($B76="","",ROW()-5)</f>
        <v/>
      </c>
      <c r="B76" s="97" t="n"/>
      <c r="C76" s="81" t="n"/>
      <c r="D76" s="81" t="n"/>
      <c r="E76" s="81" t="n"/>
      <c r="F76" s="86" t="n"/>
      <c r="G76" s="86" t="n"/>
      <c r="H76" s="98" t="n"/>
      <c r="I76" s="99" t="n"/>
      <c r="J76" s="81" t="n"/>
    </row>
    <row r="77" ht="15" customHeight="1" s="63">
      <c r="A77" s="85">
        <f>IF($B77="","",ROW()-5)</f>
        <v/>
      </c>
      <c r="B77" s="97" t="n"/>
      <c r="C77" s="81" t="n"/>
      <c r="D77" s="81" t="n"/>
      <c r="E77" s="81" t="n"/>
      <c r="F77" s="86" t="n"/>
      <c r="G77" s="86" t="n"/>
      <c r="H77" s="98" t="n"/>
      <c r="I77" s="99" t="n"/>
      <c r="J77" s="81" t="n"/>
    </row>
    <row r="78" ht="15" customHeight="1" s="63">
      <c r="A78" s="85">
        <f>IF($B78="","",ROW()-5)</f>
        <v/>
      </c>
      <c r="B78" s="97" t="n"/>
      <c r="C78" s="81" t="n"/>
      <c r="D78" s="81" t="n"/>
      <c r="E78" s="81" t="n"/>
      <c r="F78" s="86" t="n"/>
      <c r="G78" s="86" t="n"/>
      <c r="H78" s="98" t="n"/>
      <c r="I78" s="99" t="n"/>
      <c r="J78" s="81" t="n"/>
    </row>
    <row r="79" ht="15" customHeight="1" s="63">
      <c r="A79" s="85">
        <f>IF($B79="","",ROW()-5)</f>
        <v/>
      </c>
      <c r="B79" s="97" t="n"/>
      <c r="C79" s="81" t="n"/>
      <c r="D79" s="81" t="n"/>
      <c r="E79" s="81" t="n"/>
      <c r="F79" s="86" t="n"/>
      <c r="G79" s="86" t="n"/>
      <c r="H79" s="98" t="n"/>
      <c r="I79" s="99" t="n"/>
      <c r="J79" s="81" t="n"/>
    </row>
    <row r="80" ht="15" customHeight="1" s="63">
      <c r="A80" s="85">
        <f>IF($B80="","",ROW()-5)</f>
        <v/>
      </c>
      <c r="B80" s="97" t="n"/>
      <c r="C80" s="81" t="n"/>
      <c r="D80" s="81" t="n"/>
      <c r="E80" s="81" t="n"/>
      <c r="F80" s="86" t="n"/>
      <c r="G80" s="86" t="n"/>
      <c r="H80" s="98" t="n"/>
      <c r="I80" s="99" t="n"/>
      <c r="J80" s="81" t="n"/>
    </row>
    <row r="81" ht="15" customHeight="1" s="63">
      <c r="A81" s="85">
        <f>IF($B81="","",ROW()-5)</f>
        <v/>
      </c>
      <c r="B81" s="97" t="n"/>
      <c r="C81" s="81" t="n"/>
      <c r="D81" s="81" t="n"/>
      <c r="E81" s="81" t="n"/>
      <c r="F81" s="86" t="n"/>
      <c r="G81" s="86" t="n"/>
      <c r="H81" s="98" t="n"/>
      <c r="I81" s="99" t="n"/>
      <c r="J81" s="81" t="n"/>
    </row>
    <row r="82" ht="15" customHeight="1" s="63">
      <c r="A82" s="85">
        <f>IF($B82="","",ROW()-5)</f>
        <v/>
      </c>
      <c r="B82" s="97" t="n"/>
      <c r="C82" s="81" t="n"/>
      <c r="D82" s="81" t="n"/>
      <c r="E82" s="81" t="n"/>
      <c r="F82" s="86" t="n"/>
      <c r="G82" s="86" t="n"/>
      <c r="H82" s="98" t="n"/>
      <c r="I82" s="99" t="n"/>
      <c r="J82" s="81" t="n"/>
    </row>
    <row r="83" ht="15" customHeight="1" s="63">
      <c r="A83" s="85">
        <f>IF($B83="","",ROW()-5)</f>
        <v/>
      </c>
      <c r="B83" s="97" t="n"/>
      <c r="C83" s="81" t="n"/>
      <c r="D83" s="81" t="n"/>
      <c r="E83" s="81" t="n"/>
      <c r="F83" s="86" t="n"/>
      <c r="G83" s="86" t="n"/>
      <c r="H83" s="98" t="n"/>
      <c r="I83" s="99" t="n"/>
      <c r="J83" s="81" t="n"/>
    </row>
    <row r="84" ht="15" customHeight="1" s="63">
      <c r="A84" s="85">
        <f>IF($B84="","",ROW()-5)</f>
        <v/>
      </c>
      <c r="B84" s="97" t="n"/>
      <c r="C84" s="81" t="n"/>
      <c r="D84" s="81" t="n"/>
      <c r="E84" s="81" t="n"/>
      <c r="F84" s="86" t="n"/>
      <c r="G84" s="86" t="n"/>
      <c r="H84" s="98" t="n"/>
      <c r="I84" s="99" t="n"/>
      <c r="J84" s="81" t="n"/>
    </row>
    <row r="85" ht="15" customHeight="1" s="63">
      <c r="A85" s="85">
        <f>IF($B85="","",ROW()-5)</f>
        <v/>
      </c>
      <c r="B85" s="97" t="n"/>
      <c r="C85" s="81" t="n"/>
      <c r="D85" s="81" t="n"/>
      <c r="E85" s="81" t="n"/>
      <c r="F85" s="86" t="n"/>
      <c r="G85" s="86" t="n"/>
      <c r="H85" s="98" t="n"/>
      <c r="I85" s="99" t="n"/>
      <c r="J85" s="81" t="n"/>
    </row>
    <row r="86" ht="15" customHeight="1" s="63">
      <c r="A86" s="85">
        <f>IF($B86="","",ROW()-5)</f>
        <v/>
      </c>
      <c r="B86" s="97" t="n"/>
      <c r="C86" s="81" t="n"/>
      <c r="D86" s="81" t="n"/>
      <c r="E86" s="81" t="n"/>
      <c r="F86" s="86" t="n"/>
      <c r="G86" s="86" t="n"/>
      <c r="H86" s="98" t="n"/>
      <c r="I86" s="99" t="n"/>
      <c r="J86" s="81" t="n"/>
    </row>
    <row r="87" ht="15" customHeight="1" s="63">
      <c r="A87" s="85">
        <f>IF($B87="","",ROW()-5)</f>
        <v/>
      </c>
      <c r="B87" s="97" t="n"/>
      <c r="C87" s="81" t="n"/>
      <c r="D87" s="81" t="n"/>
      <c r="E87" s="81" t="n"/>
      <c r="F87" s="86" t="n"/>
      <c r="G87" s="86" t="n"/>
      <c r="H87" s="98" t="n"/>
      <c r="I87" s="99" t="n"/>
      <c r="J87" s="81" t="n"/>
    </row>
    <row r="88" ht="15" customHeight="1" s="63">
      <c r="A88" s="85">
        <f>IF($B88="","",ROW()-5)</f>
        <v/>
      </c>
      <c r="B88" s="97" t="n"/>
      <c r="C88" s="81" t="n"/>
      <c r="D88" s="81" t="n"/>
      <c r="E88" s="81" t="n"/>
      <c r="F88" s="86" t="n"/>
      <c r="G88" s="86" t="n"/>
      <c r="H88" s="98" t="n"/>
      <c r="I88" s="99" t="n"/>
      <c r="J88" s="81" t="n"/>
    </row>
    <row r="89" ht="15" customHeight="1" s="63">
      <c r="A89" s="85">
        <f>IF($B89="","",ROW()-5)</f>
        <v/>
      </c>
      <c r="B89" s="97" t="n"/>
      <c r="C89" s="81" t="n"/>
      <c r="D89" s="81" t="n"/>
      <c r="E89" s="81" t="n"/>
      <c r="F89" s="86" t="n"/>
      <c r="G89" s="86" t="n"/>
      <c r="H89" s="98" t="n"/>
      <c r="I89" s="99" t="n"/>
      <c r="J89" s="81" t="n"/>
    </row>
    <row r="90" ht="15" customHeight="1" s="63">
      <c r="A90" s="85">
        <f>IF($B90="","",ROW()-5)</f>
        <v/>
      </c>
      <c r="B90" s="97" t="n"/>
      <c r="C90" s="81" t="n"/>
      <c r="D90" s="81" t="n"/>
      <c r="E90" s="81" t="n"/>
      <c r="F90" s="86" t="n"/>
      <c r="G90" s="86" t="n"/>
      <c r="H90" s="98" t="n"/>
      <c r="I90" s="99" t="n"/>
      <c r="J90" s="81" t="n"/>
    </row>
    <row r="91" ht="15" customHeight="1" s="63">
      <c r="A91" s="85">
        <f>IF($B91="","",ROW()-5)</f>
        <v/>
      </c>
      <c r="B91" s="97" t="n"/>
      <c r="C91" s="81" t="n"/>
      <c r="D91" s="81" t="n"/>
      <c r="E91" s="81" t="n"/>
      <c r="F91" s="86" t="n"/>
      <c r="G91" s="86" t="n"/>
      <c r="H91" s="98" t="n"/>
      <c r="I91" s="99" t="n"/>
      <c r="J91" s="81" t="n"/>
    </row>
    <row r="92" ht="15" customHeight="1" s="63">
      <c r="A92" s="85">
        <f>IF($B92="","",ROW()-5)</f>
        <v/>
      </c>
      <c r="B92" s="97" t="n"/>
      <c r="C92" s="81" t="n"/>
      <c r="D92" s="81" t="n"/>
      <c r="E92" s="81" t="n"/>
      <c r="F92" s="86" t="n"/>
      <c r="G92" s="86" t="n"/>
      <c r="H92" s="98" t="n"/>
      <c r="I92" s="99" t="n"/>
      <c r="J92" s="81" t="n"/>
    </row>
    <row r="93" ht="15" customHeight="1" s="63">
      <c r="A93" s="85">
        <f>IF($B93="","",ROW()-5)</f>
        <v/>
      </c>
      <c r="B93" s="97" t="n"/>
      <c r="C93" s="81" t="n"/>
      <c r="D93" s="81" t="n"/>
      <c r="E93" s="81" t="n"/>
      <c r="F93" s="86" t="n"/>
      <c r="G93" s="86" t="n"/>
      <c r="H93" s="98" t="n"/>
      <c r="I93" s="99" t="n"/>
      <c r="J93" s="81" t="n"/>
    </row>
    <row r="94" ht="15" customHeight="1" s="63">
      <c r="A94" s="85">
        <f>IF($B94="","",ROW()-5)</f>
        <v/>
      </c>
      <c r="B94" s="97" t="n"/>
      <c r="C94" s="81" t="n"/>
      <c r="D94" s="81" t="n"/>
      <c r="E94" s="81" t="n"/>
      <c r="F94" s="86" t="n"/>
      <c r="G94" s="86" t="n"/>
      <c r="H94" s="98" t="n"/>
      <c r="I94" s="99" t="n"/>
      <c r="J94" s="81" t="n"/>
    </row>
    <row r="95" ht="15" customHeight="1" s="63">
      <c r="A95" s="85">
        <f>IF($B95="","",ROW()-5)</f>
        <v/>
      </c>
      <c r="B95" s="97" t="n"/>
      <c r="C95" s="81" t="n"/>
      <c r="D95" s="81" t="n"/>
      <c r="E95" s="81" t="n"/>
      <c r="F95" s="86" t="n"/>
      <c r="G95" s="86" t="n"/>
      <c r="H95" s="98" t="n"/>
      <c r="I95" s="99" t="n"/>
      <c r="J95" s="81" t="n"/>
    </row>
    <row r="96" ht="15" customHeight="1" s="63">
      <c r="A96" s="85">
        <f>IF($B96="","",ROW()-5)</f>
        <v/>
      </c>
      <c r="B96" s="97" t="n"/>
      <c r="C96" s="81" t="n"/>
      <c r="D96" s="81" t="n"/>
      <c r="E96" s="81" t="n"/>
      <c r="F96" s="86" t="n"/>
      <c r="G96" s="86" t="n"/>
      <c r="H96" s="98" t="n"/>
      <c r="I96" s="99" t="n"/>
      <c r="J96" s="81" t="n"/>
    </row>
    <row r="97" ht="15" customHeight="1" s="63">
      <c r="A97" s="85">
        <f>IF($B97="","",ROW()-5)</f>
        <v/>
      </c>
      <c r="B97" s="97" t="n"/>
      <c r="C97" s="81" t="n"/>
      <c r="D97" s="81" t="n"/>
      <c r="E97" s="81" t="n"/>
      <c r="F97" s="86" t="n"/>
      <c r="G97" s="86" t="n"/>
      <c r="H97" s="98" t="n"/>
      <c r="I97" s="99" t="n"/>
      <c r="J97" s="81" t="n"/>
    </row>
    <row r="98" ht="15" customHeight="1" s="63">
      <c r="A98" s="85">
        <f>IF($B98="","",ROW()-5)</f>
        <v/>
      </c>
      <c r="B98" s="97" t="n"/>
      <c r="C98" s="81" t="n"/>
      <c r="D98" s="81" t="n"/>
      <c r="E98" s="81" t="n"/>
      <c r="F98" s="86" t="n"/>
      <c r="G98" s="86" t="n"/>
      <c r="H98" s="98" t="n"/>
      <c r="I98" s="99" t="n"/>
      <c r="J98" s="81" t="n"/>
    </row>
    <row r="99" ht="15" customHeight="1" s="63">
      <c r="A99" s="85">
        <f>IF($B99="","",ROW()-5)</f>
        <v/>
      </c>
      <c r="B99" s="97" t="n"/>
      <c r="C99" s="81" t="n"/>
      <c r="D99" s="81" t="n"/>
      <c r="E99" s="81" t="n"/>
      <c r="F99" s="86" t="n"/>
      <c r="G99" s="86" t="n"/>
      <c r="H99" s="98" t="n"/>
      <c r="I99" s="99" t="n"/>
      <c r="J99" s="81" t="n"/>
    </row>
    <row r="100" ht="15" customHeight="1" s="63">
      <c r="A100" s="85">
        <f>IF($B100="","",ROW()-5)</f>
        <v/>
      </c>
      <c r="B100" s="97" t="n"/>
      <c r="C100" s="81" t="n"/>
      <c r="D100" s="81" t="n"/>
      <c r="E100" s="81" t="n"/>
      <c r="F100" s="86" t="n"/>
      <c r="G100" s="86" t="n"/>
      <c r="H100" s="98" t="n"/>
      <c r="I100" s="99" t="n"/>
      <c r="J100" s="81" t="n"/>
    </row>
    <row r="101" ht="15" customHeight="1" s="63">
      <c r="A101" s="85">
        <f>IF($B101="","",ROW()-5)</f>
        <v/>
      </c>
      <c r="B101" s="97" t="n"/>
      <c r="C101" s="81" t="n"/>
      <c r="D101" s="81" t="n"/>
      <c r="E101" s="81" t="n"/>
      <c r="F101" s="86" t="n"/>
      <c r="G101" s="86" t="n"/>
      <c r="H101" s="98" t="n"/>
      <c r="I101" s="99" t="n"/>
      <c r="J101" s="81" t="n"/>
    </row>
    <row r="102" ht="15" customHeight="1" s="63">
      <c r="A102" s="85">
        <f>IF($B102="","",ROW()-5)</f>
        <v/>
      </c>
      <c r="B102" s="97" t="n"/>
      <c r="C102" s="81" t="n"/>
      <c r="D102" s="81" t="n"/>
      <c r="E102" s="81" t="n"/>
      <c r="F102" s="86" t="n"/>
      <c r="G102" s="86" t="n"/>
      <c r="H102" s="98" t="n"/>
      <c r="I102" s="99" t="n"/>
      <c r="J102" s="81" t="n"/>
    </row>
    <row r="103" ht="15" customHeight="1" s="63">
      <c r="A103" s="85">
        <f>IF($B103="","",ROW()-5)</f>
        <v/>
      </c>
      <c r="B103" s="97" t="n"/>
      <c r="C103" s="81" t="n"/>
      <c r="D103" s="81" t="n"/>
      <c r="E103" s="81" t="n"/>
      <c r="F103" s="86" t="n"/>
      <c r="G103" s="86" t="n"/>
      <c r="H103" s="98" t="n"/>
      <c r="I103" s="99" t="n"/>
      <c r="J103" s="81" t="n"/>
    </row>
    <row r="104" ht="15" customHeight="1" s="63">
      <c r="A104" s="85">
        <f>IF($B104="","",ROW()-5)</f>
        <v/>
      </c>
      <c r="B104" s="97" t="n"/>
      <c r="C104" s="81" t="n"/>
      <c r="D104" s="81" t="n"/>
      <c r="E104" s="81" t="n"/>
      <c r="F104" s="86" t="n"/>
      <c r="G104" s="86" t="n"/>
      <c r="H104" s="98" t="n"/>
      <c r="I104" s="99" t="n"/>
      <c r="J104" s="81" t="n"/>
    </row>
    <row r="105" ht="15" customHeight="1" s="63">
      <c r="A105" s="85">
        <f>IF($B105="","",ROW()-5)</f>
        <v/>
      </c>
      <c r="B105" s="97" t="n"/>
      <c r="C105" s="81" t="n"/>
      <c r="D105" s="81" t="n"/>
      <c r="E105" s="81" t="n"/>
      <c r="F105" s="86" t="n"/>
      <c r="G105" s="86" t="n"/>
      <c r="H105" s="98" t="n"/>
      <c r="I105" s="99" t="n"/>
      <c r="J105" s="81" t="n"/>
    </row>
    <row r="106" ht="15" customHeight="1" s="63">
      <c r="A106" s="85">
        <f>IF($B106="","",ROW()-5)</f>
        <v/>
      </c>
      <c r="B106" s="97" t="n"/>
      <c r="C106" s="81" t="n"/>
      <c r="D106" s="81" t="n"/>
      <c r="E106" s="81" t="n"/>
      <c r="F106" s="86" t="n"/>
      <c r="G106" s="86" t="n"/>
      <c r="H106" s="98" t="n"/>
      <c r="I106" s="99" t="n"/>
      <c r="J106" s="81" t="n"/>
    </row>
    <row r="107" ht="15" customHeight="1" s="63">
      <c r="A107" s="85">
        <f>IF($B107="","",ROW()-5)</f>
        <v/>
      </c>
      <c r="B107" s="97" t="n"/>
      <c r="C107" s="81" t="n"/>
      <c r="D107" s="81" t="n"/>
      <c r="E107" s="81" t="n"/>
      <c r="F107" s="86" t="n"/>
      <c r="G107" s="86" t="n"/>
      <c r="H107" s="98" t="n"/>
      <c r="I107" s="99" t="n"/>
      <c r="J107" s="81" t="n"/>
    </row>
    <row r="108" ht="15" customHeight="1" s="63">
      <c r="A108" s="85">
        <f>IF($B108="","",ROW()-5)</f>
        <v/>
      </c>
      <c r="B108" s="97" t="n"/>
      <c r="C108" s="81" t="n"/>
      <c r="D108" s="81" t="n"/>
      <c r="E108" s="81" t="n"/>
      <c r="F108" s="86" t="n"/>
      <c r="G108" s="86" t="n"/>
      <c r="H108" s="98" t="n"/>
      <c r="I108" s="99" t="n"/>
      <c r="J108" s="81" t="n"/>
    </row>
    <row r="109" ht="15" customHeight="1" s="63">
      <c r="A109" s="85">
        <f>IF($B109="","",ROW()-5)</f>
        <v/>
      </c>
      <c r="B109" s="97" t="n"/>
      <c r="C109" s="81" t="n"/>
      <c r="D109" s="81" t="n"/>
      <c r="E109" s="81" t="n"/>
      <c r="F109" s="86" t="n"/>
      <c r="G109" s="86" t="n"/>
      <c r="H109" s="98" t="n"/>
      <c r="I109" s="99" t="n"/>
      <c r="J109" s="81" t="n"/>
    </row>
    <row r="110" ht="15" customHeight="1" s="63">
      <c r="A110" s="85">
        <f>IF($B110="","",ROW()-5)</f>
        <v/>
      </c>
      <c r="B110" s="97" t="n"/>
      <c r="C110" s="81" t="n"/>
      <c r="D110" s="81" t="n"/>
      <c r="E110" s="81" t="n"/>
      <c r="F110" s="86" t="n"/>
      <c r="G110" s="86" t="n"/>
      <c r="H110" s="98" t="n"/>
      <c r="I110" s="99" t="n"/>
      <c r="J110" s="81" t="n"/>
    </row>
    <row r="111" ht="15" customHeight="1" s="63">
      <c r="A111" s="85">
        <f>IF($B111="","",ROW()-5)</f>
        <v/>
      </c>
      <c r="B111" s="97" t="n"/>
      <c r="C111" s="81" t="n"/>
      <c r="D111" s="81" t="n"/>
      <c r="E111" s="81" t="n"/>
      <c r="F111" s="86" t="n"/>
      <c r="G111" s="86" t="n"/>
      <c r="H111" s="98" t="n"/>
      <c r="I111" s="99" t="n"/>
      <c r="J111" s="81" t="n"/>
    </row>
    <row r="112" ht="15" customHeight="1" s="63">
      <c r="A112" s="85">
        <f>IF($B112="","",ROW()-5)</f>
        <v/>
      </c>
      <c r="B112" s="97" t="n"/>
      <c r="C112" s="81" t="n"/>
      <c r="D112" s="81" t="n"/>
      <c r="E112" s="81" t="n"/>
      <c r="F112" s="86" t="n"/>
      <c r="G112" s="86" t="n"/>
      <c r="H112" s="98" t="n"/>
      <c r="I112" s="99" t="n"/>
      <c r="J112" s="81" t="n"/>
    </row>
    <row r="113" ht="15" customHeight="1" s="63">
      <c r="A113" s="85">
        <f>IF($B113="","",ROW()-5)</f>
        <v/>
      </c>
      <c r="B113" s="97" t="n"/>
      <c r="C113" s="81" t="n"/>
      <c r="D113" s="81" t="n"/>
      <c r="E113" s="81" t="n"/>
      <c r="F113" s="86" t="n"/>
      <c r="G113" s="86" t="n"/>
      <c r="H113" s="98" t="n"/>
      <c r="I113" s="99" t="n"/>
      <c r="J113" s="81" t="n"/>
    </row>
    <row r="114" ht="15" customHeight="1" s="63">
      <c r="A114" s="85">
        <f>IF($B114="","",ROW()-5)</f>
        <v/>
      </c>
      <c r="B114" s="97" t="n"/>
      <c r="C114" s="81" t="n"/>
      <c r="D114" s="81" t="n"/>
      <c r="E114" s="81" t="n"/>
      <c r="F114" s="86" t="n"/>
      <c r="G114" s="86" t="n"/>
      <c r="H114" s="98" t="n"/>
      <c r="I114" s="99" t="n"/>
      <c r="J114" s="81" t="n"/>
    </row>
    <row r="115" ht="15" customHeight="1" s="63">
      <c r="A115" s="85">
        <f>IF($B115="","",ROW()-5)</f>
        <v/>
      </c>
      <c r="B115" s="97" t="n"/>
      <c r="C115" s="81" t="n"/>
      <c r="D115" s="81" t="n"/>
      <c r="E115" s="81" t="n"/>
      <c r="F115" s="86" t="n"/>
      <c r="G115" s="86" t="n"/>
      <c r="H115" s="98" t="n"/>
      <c r="I115" s="99" t="n"/>
      <c r="J115" s="81" t="n"/>
    </row>
    <row r="116" ht="15" customHeight="1" s="63">
      <c r="A116" s="85">
        <f>IF($B116="","",ROW()-5)</f>
        <v/>
      </c>
      <c r="B116" s="97" t="n"/>
      <c r="C116" s="81" t="n"/>
      <c r="D116" s="81" t="n"/>
      <c r="E116" s="81" t="n"/>
      <c r="F116" s="86" t="n"/>
      <c r="G116" s="86" t="n"/>
      <c r="H116" s="98" t="n"/>
      <c r="I116" s="99" t="n"/>
      <c r="J116" s="81" t="n"/>
    </row>
    <row r="117" ht="15" customHeight="1" s="63">
      <c r="A117" s="85">
        <f>IF($B117="","",ROW()-5)</f>
        <v/>
      </c>
      <c r="B117" s="97" t="n"/>
      <c r="C117" s="81" t="n"/>
      <c r="D117" s="81" t="n"/>
      <c r="E117" s="81" t="n"/>
      <c r="F117" s="86" t="n"/>
      <c r="G117" s="86" t="n"/>
      <c r="H117" s="98" t="n"/>
      <c r="I117" s="99" t="n"/>
      <c r="J117" s="81" t="n"/>
    </row>
    <row r="118" ht="15" customHeight="1" s="63">
      <c r="A118" s="85">
        <f>IF($B118="","",ROW()-5)</f>
        <v/>
      </c>
      <c r="B118" s="97" t="n"/>
      <c r="C118" s="81" t="n"/>
      <c r="D118" s="81" t="n"/>
      <c r="E118" s="81" t="n"/>
      <c r="F118" s="86" t="n"/>
      <c r="G118" s="86" t="n"/>
      <c r="H118" s="98" t="n"/>
      <c r="I118" s="99" t="n"/>
      <c r="J118" s="81" t="n"/>
    </row>
    <row r="119" ht="15" customHeight="1" s="63">
      <c r="A119" s="85">
        <f>IF($B119="","",ROW()-5)</f>
        <v/>
      </c>
      <c r="B119" s="97" t="n"/>
      <c r="C119" s="81" t="n"/>
      <c r="D119" s="81" t="n"/>
      <c r="E119" s="81" t="n"/>
      <c r="F119" s="86" t="n"/>
      <c r="G119" s="86" t="n"/>
      <c r="H119" s="98" t="n"/>
      <c r="I119" s="99" t="n"/>
      <c r="J119" s="81" t="n"/>
    </row>
    <row r="120" ht="15" customHeight="1" s="63">
      <c r="A120" s="85">
        <f>IF($B120="","",ROW()-5)</f>
        <v/>
      </c>
      <c r="B120" s="97" t="n"/>
      <c r="C120" s="81" t="n"/>
      <c r="D120" s="81" t="n"/>
      <c r="E120" s="81" t="n"/>
      <c r="F120" s="86" t="n"/>
      <c r="G120" s="86" t="n"/>
      <c r="H120" s="98" t="n"/>
      <c r="I120" s="99" t="n"/>
      <c r="J120" s="81" t="n"/>
    </row>
    <row r="121" ht="15" customHeight="1" s="63">
      <c r="A121" s="85">
        <f>IF($B121="","",ROW()-5)</f>
        <v/>
      </c>
      <c r="B121" s="97" t="n"/>
      <c r="C121" s="81" t="n"/>
      <c r="D121" s="81" t="n"/>
      <c r="E121" s="81" t="n"/>
      <c r="F121" s="86" t="n"/>
      <c r="G121" s="86" t="n"/>
      <c r="H121" s="98" t="n"/>
      <c r="I121" s="99" t="n"/>
      <c r="J121" s="81" t="n"/>
    </row>
    <row r="122" ht="15" customHeight="1" s="63">
      <c r="A122" s="85">
        <f>IF($B122="","",ROW()-5)</f>
        <v/>
      </c>
      <c r="B122" s="97" t="n"/>
      <c r="C122" s="81" t="n"/>
      <c r="D122" s="81" t="n"/>
      <c r="E122" s="81" t="n"/>
      <c r="F122" s="86" t="n"/>
      <c r="G122" s="86" t="n"/>
      <c r="H122" s="98" t="n"/>
      <c r="I122" s="99" t="n"/>
      <c r="J122" s="81" t="n"/>
    </row>
    <row r="123" ht="15" customHeight="1" s="63">
      <c r="A123" s="85">
        <f>IF($B123="","",ROW()-5)</f>
        <v/>
      </c>
      <c r="B123" s="97" t="n"/>
      <c r="C123" s="81" t="n"/>
      <c r="D123" s="81" t="n"/>
      <c r="E123" s="81" t="n"/>
      <c r="F123" s="86" t="n"/>
      <c r="G123" s="86" t="n"/>
      <c r="H123" s="98" t="n"/>
      <c r="I123" s="99" t="n"/>
      <c r="J123" s="81" t="n"/>
    </row>
    <row r="124" ht="15" customHeight="1" s="63">
      <c r="A124" s="85">
        <f>IF($B124="","",ROW()-5)</f>
        <v/>
      </c>
      <c r="B124" s="97" t="n"/>
      <c r="C124" s="81" t="n"/>
      <c r="D124" s="81" t="n"/>
      <c r="E124" s="81" t="n"/>
      <c r="F124" s="86" t="n"/>
      <c r="G124" s="86" t="n"/>
      <c r="H124" s="98" t="n"/>
      <c r="I124" s="99" t="n"/>
      <c r="J124" s="81" t="n"/>
    </row>
    <row r="125" ht="15" customHeight="1" s="63">
      <c r="A125" s="85">
        <f>IF($B125="","",ROW()-5)</f>
        <v/>
      </c>
      <c r="B125" s="97" t="n"/>
      <c r="C125" s="81" t="n"/>
      <c r="D125" s="81" t="n"/>
      <c r="E125" s="81" t="n"/>
      <c r="F125" s="86" t="n"/>
      <c r="G125" s="86" t="n"/>
      <c r="H125" s="98" t="n"/>
      <c r="I125" s="99" t="n"/>
      <c r="J125" s="81" t="n"/>
    </row>
    <row r="126" ht="15" customHeight="1" s="63">
      <c r="A126" s="85">
        <f>IF($B126="","",ROW()-5)</f>
        <v/>
      </c>
      <c r="B126" s="97" t="n"/>
      <c r="C126" s="81" t="n"/>
      <c r="D126" s="81" t="n"/>
      <c r="E126" s="81" t="n"/>
      <c r="F126" s="86" t="n"/>
      <c r="G126" s="86" t="n"/>
      <c r="H126" s="98" t="n"/>
      <c r="I126" s="99" t="n"/>
      <c r="J126" s="81" t="n"/>
    </row>
    <row r="127" ht="15" customHeight="1" s="63">
      <c r="A127" s="85">
        <f>IF($B127="","",ROW()-5)</f>
        <v/>
      </c>
      <c r="B127" s="97" t="n"/>
      <c r="C127" s="81" t="n"/>
      <c r="D127" s="81" t="n"/>
      <c r="E127" s="81" t="n"/>
      <c r="F127" s="86" t="n"/>
      <c r="G127" s="86" t="n"/>
      <c r="H127" s="98" t="n"/>
      <c r="I127" s="99" t="n"/>
      <c r="J127" s="81" t="n"/>
    </row>
    <row r="128" ht="15" customHeight="1" s="63">
      <c r="A128" s="85">
        <f>IF($B128="","",ROW()-5)</f>
        <v/>
      </c>
      <c r="B128" s="97" t="n"/>
      <c r="C128" s="81" t="n"/>
      <c r="D128" s="81" t="n"/>
      <c r="E128" s="81" t="n"/>
      <c r="F128" s="86" t="n"/>
      <c r="G128" s="86" t="n"/>
      <c r="H128" s="98" t="n"/>
      <c r="I128" s="99" t="n"/>
      <c r="J128" s="81" t="n"/>
    </row>
    <row r="129" ht="15" customHeight="1" s="63">
      <c r="A129" s="85">
        <f>IF($B129="","",ROW()-5)</f>
        <v/>
      </c>
      <c r="B129" s="97" t="n"/>
      <c r="C129" s="81" t="n"/>
      <c r="D129" s="81" t="n"/>
      <c r="E129" s="81" t="n"/>
      <c r="F129" s="86" t="n"/>
      <c r="G129" s="86" t="n"/>
      <c r="H129" s="98" t="n"/>
      <c r="I129" s="99" t="n"/>
      <c r="J129" s="81" t="n"/>
    </row>
    <row r="130" ht="15" customHeight="1" s="63">
      <c r="A130" s="85">
        <f>IF($B130="","",ROW()-5)</f>
        <v/>
      </c>
      <c r="B130" s="97" t="n"/>
      <c r="C130" s="81" t="n"/>
      <c r="D130" s="81" t="n"/>
      <c r="E130" s="81" t="n"/>
      <c r="F130" s="86" t="n"/>
      <c r="G130" s="86" t="n"/>
      <c r="H130" s="98" t="n"/>
      <c r="I130" s="99" t="n"/>
      <c r="J130" s="81" t="n"/>
    </row>
    <row r="131" ht="15" customHeight="1" s="63">
      <c r="A131" s="85">
        <f>IF($B131="","",ROW()-5)</f>
        <v/>
      </c>
      <c r="B131" s="97" t="n"/>
      <c r="C131" s="81" t="n"/>
      <c r="D131" s="81" t="n"/>
      <c r="E131" s="81" t="n"/>
      <c r="F131" s="86" t="n"/>
      <c r="G131" s="86" t="n"/>
      <c r="H131" s="98" t="n"/>
      <c r="I131" s="99" t="n"/>
      <c r="J131" s="81" t="n"/>
    </row>
    <row r="132" ht="15" customHeight="1" s="63">
      <c r="A132" s="85">
        <f>IF($B132="","",ROW()-5)</f>
        <v/>
      </c>
      <c r="B132" s="97" t="n"/>
      <c r="C132" s="81" t="n"/>
      <c r="D132" s="81" t="n"/>
      <c r="E132" s="81" t="n"/>
      <c r="F132" s="86" t="n"/>
      <c r="G132" s="86" t="n"/>
      <c r="H132" s="98" t="n"/>
      <c r="I132" s="99" t="n"/>
      <c r="J132" s="81" t="n"/>
    </row>
    <row r="133" ht="15" customHeight="1" s="63">
      <c r="A133" s="85">
        <f>IF($B133="","",ROW()-5)</f>
        <v/>
      </c>
      <c r="B133" s="97" t="n"/>
      <c r="C133" s="81" t="n"/>
      <c r="D133" s="81" t="n"/>
      <c r="E133" s="81" t="n"/>
      <c r="F133" s="86" t="n"/>
      <c r="G133" s="86" t="n"/>
      <c r="H133" s="98" t="n"/>
      <c r="I133" s="99" t="n"/>
      <c r="J133" s="81" t="n"/>
    </row>
    <row r="134" ht="15" customHeight="1" s="63">
      <c r="A134" s="85">
        <f>IF($B134="","",ROW()-5)</f>
        <v/>
      </c>
      <c r="B134" s="97" t="n"/>
      <c r="C134" s="81" t="n"/>
      <c r="D134" s="81" t="n"/>
      <c r="E134" s="81" t="n"/>
      <c r="F134" s="86" t="n"/>
      <c r="G134" s="86" t="n"/>
      <c r="H134" s="98" t="n"/>
      <c r="I134" s="99" t="n"/>
      <c r="J134" s="81" t="n"/>
    </row>
    <row r="135" ht="15" customHeight="1" s="63">
      <c r="A135" s="85">
        <f>IF($B135="","",ROW()-5)</f>
        <v/>
      </c>
      <c r="B135" s="97" t="n"/>
      <c r="C135" s="81" t="n"/>
      <c r="D135" s="81" t="n"/>
      <c r="E135" s="81" t="n"/>
      <c r="F135" s="86" t="n"/>
      <c r="G135" s="86" t="n"/>
      <c r="H135" s="98" t="n"/>
      <c r="I135" s="99" t="n"/>
      <c r="J135" s="81" t="n"/>
    </row>
    <row r="136" ht="15" customHeight="1" s="63">
      <c r="A136" s="85">
        <f>IF($B136="","",ROW()-5)</f>
        <v/>
      </c>
      <c r="B136" s="97" t="n"/>
      <c r="C136" s="81" t="n"/>
      <c r="D136" s="81" t="n"/>
      <c r="E136" s="81" t="n"/>
      <c r="F136" s="86" t="n"/>
      <c r="G136" s="86" t="n"/>
      <c r="H136" s="98" t="n"/>
      <c r="I136" s="99" t="n"/>
      <c r="J136" s="81" t="n"/>
    </row>
    <row r="137" ht="15" customHeight="1" s="63">
      <c r="A137" s="85">
        <f>IF($B137="","",ROW()-5)</f>
        <v/>
      </c>
      <c r="B137" s="97" t="n"/>
      <c r="C137" s="81" t="n"/>
      <c r="D137" s="81" t="n"/>
      <c r="E137" s="81" t="n"/>
      <c r="F137" s="86" t="n"/>
      <c r="G137" s="86" t="n"/>
      <c r="H137" s="98" t="n"/>
      <c r="I137" s="99" t="n"/>
      <c r="J137" s="81" t="n"/>
    </row>
    <row r="138" ht="15" customHeight="1" s="63">
      <c r="A138" s="85">
        <f>IF($B138="","",ROW()-5)</f>
        <v/>
      </c>
      <c r="B138" s="97" t="n"/>
      <c r="C138" s="81" t="n"/>
      <c r="D138" s="81" t="n"/>
      <c r="E138" s="81" t="n"/>
      <c r="F138" s="86" t="n"/>
      <c r="G138" s="86" t="n"/>
      <c r="H138" s="98" t="n"/>
      <c r="I138" s="99" t="n"/>
      <c r="J138" s="81" t="n"/>
    </row>
    <row r="139" ht="15" customHeight="1" s="63">
      <c r="A139" s="85">
        <f>IF($B139="","",ROW()-5)</f>
        <v/>
      </c>
      <c r="B139" s="97" t="n"/>
      <c r="C139" s="81" t="n"/>
      <c r="D139" s="81" t="n"/>
      <c r="E139" s="81" t="n"/>
      <c r="F139" s="86" t="n"/>
      <c r="G139" s="86" t="n"/>
      <c r="H139" s="98" t="n"/>
      <c r="I139" s="99" t="n"/>
      <c r="J139" s="81" t="n"/>
    </row>
    <row r="140" ht="15" customHeight="1" s="63">
      <c r="A140" s="85">
        <f>IF($B140="","",ROW()-5)</f>
        <v/>
      </c>
      <c r="B140" s="97" t="n"/>
      <c r="C140" s="81" t="n"/>
      <c r="D140" s="81" t="n"/>
      <c r="E140" s="81" t="n"/>
      <c r="F140" s="86" t="n"/>
      <c r="G140" s="86" t="n"/>
      <c r="H140" s="98" t="n"/>
      <c r="I140" s="99" t="n"/>
      <c r="J140" s="81" t="n"/>
    </row>
    <row r="141" ht="15" customHeight="1" s="63">
      <c r="A141" s="85">
        <f>IF($B141="","",ROW()-5)</f>
        <v/>
      </c>
      <c r="B141" s="97" t="n"/>
      <c r="C141" s="81" t="n"/>
      <c r="D141" s="81" t="n"/>
      <c r="E141" s="81" t="n"/>
      <c r="F141" s="86" t="n"/>
      <c r="G141" s="86" t="n"/>
      <c r="H141" s="98" t="n"/>
      <c r="I141" s="99" t="n"/>
      <c r="J141" s="81" t="n"/>
    </row>
    <row r="142" ht="15" customHeight="1" s="63">
      <c r="A142" s="85">
        <f>IF($B142="","",ROW()-5)</f>
        <v/>
      </c>
      <c r="B142" s="97" t="n"/>
      <c r="C142" s="81" t="n"/>
      <c r="D142" s="81" t="n"/>
      <c r="E142" s="81" t="n"/>
      <c r="F142" s="86" t="n"/>
      <c r="G142" s="86" t="n"/>
      <c r="H142" s="98" t="n"/>
      <c r="I142" s="99" t="n"/>
      <c r="J142" s="81" t="n"/>
    </row>
    <row r="143" ht="15" customHeight="1" s="63">
      <c r="A143" s="85">
        <f>IF($B143="","",ROW()-5)</f>
        <v/>
      </c>
      <c r="B143" s="97" t="n"/>
      <c r="C143" s="81" t="n"/>
      <c r="D143" s="81" t="n"/>
      <c r="E143" s="81" t="n"/>
      <c r="F143" s="86" t="n"/>
      <c r="G143" s="86" t="n"/>
      <c r="H143" s="98" t="n"/>
      <c r="I143" s="99" t="n"/>
      <c r="J143" s="81" t="n"/>
    </row>
    <row r="144" ht="15" customHeight="1" s="63">
      <c r="A144" s="85">
        <f>IF($B144="","",ROW()-5)</f>
        <v/>
      </c>
      <c r="B144" s="97" t="n"/>
      <c r="C144" s="81" t="n"/>
      <c r="D144" s="81" t="n"/>
      <c r="E144" s="81" t="n"/>
      <c r="F144" s="86" t="n"/>
      <c r="G144" s="86" t="n"/>
      <c r="H144" s="98" t="n"/>
      <c r="I144" s="99" t="n"/>
      <c r="J144" s="81" t="n"/>
    </row>
    <row r="145" ht="15" customHeight="1" s="63">
      <c r="A145" s="85">
        <f>IF($B145="","",ROW()-5)</f>
        <v/>
      </c>
      <c r="B145" s="97" t="n"/>
      <c r="C145" s="81" t="n"/>
      <c r="D145" s="81" t="n"/>
      <c r="E145" s="81" t="n"/>
      <c r="F145" s="86" t="n"/>
      <c r="G145" s="86" t="n"/>
      <c r="H145" s="98" t="n"/>
      <c r="I145" s="99" t="n"/>
      <c r="J145" s="81" t="n"/>
    </row>
    <row r="146" ht="15" customHeight="1" s="63">
      <c r="A146" s="85">
        <f>IF($B146="","",ROW()-5)</f>
        <v/>
      </c>
      <c r="B146" s="97" t="n"/>
      <c r="C146" s="81" t="n"/>
      <c r="D146" s="81" t="n"/>
      <c r="E146" s="81" t="n"/>
      <c r="F146" s="86" t="n"/>
      <c r="G146" s="86" t="n"/>
      <c r="H146" s="98" t="n"/>
      <c r="I146" s="99" t="n"/>
      <c r="J146" s="81" t="n"/>
    </row>
    <row r="147" ht="15" customHeight="1" s="63">
      <c r="A147" s="85">
        <f>IF($B147="","",ROW()-5)</f>
        <v/>
      </c>
      <c r="B147" s="97" t="n"/>
      <c r="C147" s="81" t="n"/>
      <c r="D147" s="81" t="n"/>
      <c r="E147" s="81" t="n"/>
      <c r="F147" s="86" t="n"/>
      <c r="G147" s="86" t="n"/>
      <c r="H147" s="98" t="n"/>
      <c r="I147" s="99" t="n"/>
      <c r="J147" s="81" t="n"/>
    </row>
    <row r="148" ht="15" customHeight="1" s="63">
      <c r="A148" s="85">
        <f>IF($B148="","",ROW()-5)</f>
        <v/>
      </c>
      <c r="B148" s="97" t="n"/>
      <c r="C148" s="81" t="n"/>
      <c r="D148" s="81" t="n"/>
      <c r="E148" s="81" t="n"/>
      <c r="F148" s="86" t="n"/>
      <c r="G148" s="86" t="n"/>
      <c r="H148" s="98" t="n"/>
      <c r="I148" s="99" t="n"/>
      <c r="J148" s="81" t="n"/>
    </row>
    <row r="149" ht="15" customHeight="1" s="63">
      <c r="A149" s="85">
        <f>IF($B149="","",ROW()-5)</f>
        <v/>
      </c>
      <c r="B149" s="97" t="n"/>
      <c r="C149" s="81" t="n"/>
      <c r="D149" s="81" t="n"/>
      <c r="E149" s="81" t="n"/>
      <c r="F149" s="86" t="n"/>
      <c r="G149" s="86" t="n"/>
      <c r="H149" s="98" t="n"/>
      <c r="I149" s="99" t="n"/>
      <c r="J149" s="81" t="n"/>
    </row>
    <row r="150" ht="15" customHeight="1" s="63">
      <c r="A150" s="85">
        <f>IF($B150="","",ROW()-5)</f>
        <v/>
      </c>
      <c r="B150" s="97" t="n"/>
      <c r="C150" s="81" t="n"/>
      <c r="D150" s="81" t="n"/>
      <c r="E150" s="81" t="n"/>
      <c r="F150" s="86" t="n"/>
      <c r="G150" s="86" t="n"/>
      <c r="H150" s="98" t="n"/>
      <c r="I150" s="99" t="n"/>
      <c r="J150" s="81" t="n"/>
    </row>
    <row r="151" ht="15" customHeight="1" s="63">
      <c r="A151" s="85">
        <f>IF($B151="","",ROW()-5)</f>
        <v/>
      </c>
      <c r="B151" s="97" t="n"/>
      <c r="C151" s="81" t="n"/>
      <c r="D151" s="81" t="n"/>
      <c r="E151" s="81" t="n"/>
      <c r="F151" s="86" t="n"/>
      <c r="G151" s="86" t="n"/>
      <c r="H151" s="98" t="n"/>
      <c r="I151" s="99" t="n"/>
      <c r="J151" s="81" t="n"/>
    </row>
    <row r="152" ht="15" customHeight="1" s="63">
      <c r="A152" s="85">
        <f>IF($B152="","",ROW()-5)</f>
        <v/>
      </c>
      <c r="B152" s="97" t="n"/>
      <c r="C152" s="81" t="n"/>
      <c r="D152" s="81" t="n"/>
      <c r="E152" s="81" t="n"/>
      <c r="F152" s="86" t="n"/>
      <c r="G152" s="86" t="n"/>
      <c r="H152" s="98" t="n"/>
      <c r="I152" s="99" t="n"/>
      <c r="J152" s="81" t="n"/>
    </row>
    <row r="153" ht="15" customHeight="1" s="63">
      <c r="A153" s="85">
        <f>IF($B153="","",ROW()-5)</f>
        <v/>
      </c>
      <c r="B153" s="97" t="n"/>
      <c r="C153" s="81" t="n"/>
      <c r="D153" s="81" t="n"/>
      <c r="E153" s="81" t="n"/>
      <c r="F153" s="86" t="n"/>
      <c r="G153" s="86" t="n"/>
      <c r="H153" s="98" t="n"/>
      <c r="I153" s="99" t="n"/>
      <c r="J153" s="81" t="n"/>
    </row>
    <row r="154" ht="15" customHeight="1" s="63">
      <c r="A154" s="85">
        <f>IF($B154="","",ROW()-5)</f>
        <v/>
      </c>
      <c r="B154" s="97" t="n"/>
      <c r="C154" s="81" t="n"/>
      <c r="D154" s="81" t="n"/>
      <c r="E154" s="81" t="n"/>
      <c r="F154" s="86" t="n"/>
      <c r="G154" s="86" t="n"/>
      <c r="H154" s="98" t="n"/>
      <c r="I154" s="99" t="n"/>
      <c r="J154" s="81" t="n"/>
    </row>
    <row r="155" ht="15" customHeight="1" s="63">
      <c r="A155" s="85">
        <f>IF($B155="","",ROW()-5)</f>
        <v/>
      </c>
      <c r="B155" s="97" t="n"/>
      <c r="C155" s="81" t="n"/>
      <c r="D155" s="81" t="n"/>
      <c r="E155" s="81" t="n"/>
      <c r="F155" s="86" t="n"/>
      <c r="G155" s="86" t="n"/>
      <c r="H155" s="98" t="n"/>
      <c r="I155" s="99" t="n"/>
      <c r="J155" s="81" t="n"/>
    </row>
  </sheetData>
  <mergeCells count="2">
    <mergeCell ref="A1:J1"/>
    <mergeCell ref="A2:J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U155"/>
  <sheetViews>
    <sheetView showFormulas="0" showGridLines="0" showRowColHeaders="1" showZeros="1" rightToLeft="0" tabSelected="0" showOutlineSymbols="1" defaultGridColor="1"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baseColWidth="8" defaultColWidth="8.6796875" defaultRowHeight="15" zeroHeight="0" outlineLevelRow="0"/>
  <cols>
    <col width="5" customWidth="1" style="62" min="1" max="1"/>
    <col width="11" customWidth="1" style="62" min="2" max="2"/>
    <col width="24" customWidth="1" style="62" min="3" max="3"/>
    <col width="16" customWidth="1" style="62" min="4" max="4"/>
    <col width="20" customWidth="1" style="62" min="5" max="5"/>
    <col width="4.8" customWidth="1" style="62" min="6" max="36"/>
    <col width="11" customWidth="1" style="62" min="37" max="37"/>
    <col width="10" customWidth="1" style="62" min="38" max="39"/>
    <col width="11" customWidth="1" style="62" min="40" max="40"/>
    <col width="10" customWidth="1" style="62" min="41" max="42"/>
    <col width="11" customWidth="1" style="62" min="43" max="43"/>
    <col width="13" customWidth="1" style="62" min="44" max="44"/>
    <col width="12" customWidth="1" style="62" min="45" max="45"/>
    <col width="11" customWidth="1" style="62" min="46" max="46"/>
    <col width="36" customWidth="1" style="62" min="47" max="47"/>
  </cols>
  <sheetData>
    <row r="1" ht="30" customHeight="1" s="63">
      <c r="A1" s="64" t="inlineStr">
        <is>
          <t>BẢNG CHẤM CÔNG THÁNG – LƯỚI NGÀY 1 ĐẾN 31</t>
        </is>
      </c>
    </row>
    <row r="2" ht="15" customHeight="1" s="63">
      <c r="A2" s="65" t="inlineStr">
        <is>
          <t>Mỗi ngày chỉ chấm một ký hiệu, chọn từ danh sách xổ xuống. Cột xanh nhạt là ngày nghỉ hằng tuần, cột cam là ngày lễ – Tết, cột xám đậm là ngày không thuộc kỳ. Nửa ngày làm việc ghép nửa ngày nghỉ thì dùng ký hiệu ghép X-P, X-R, X-O, X-KL. Bảy cột tổng hợp bên phải chạy theo sheet KY_HIEU, không sửa.</t>
        </is>
      </c>
    </row>
    <row r="3" ht="15" customHeight="1" s="63"/>
    <row r="4" ht="24" customHeight="1" s="63">
      <c r="A4" s="100" t="inlineStr">
        <is>
          <t>Thứ trong tuần →</t>
        </is>
      </c>
      <c r="B4" s="67" t="n"/>
      <c r="C4" s="67" t="n"/>
      <c r="D4" s="67" t="n"/>
      <c r="E4" s="68" t="n"/>
      <c r="F4" s="101">
        <f>IF(THAM_SO_CC!$B$8+0&gt;THAM_SO_CC!$B$9,"",CHOOSE(WEEKDAY(THAM_SO_CC!$B$8+0,2),"T2","T3","T4","T5","T6","T7","CN"))</f>
        <v/>
      </c>
      <c r="G4" s="101">
        <f>IF(THAM_SO_CC!$B$8+1&gt;THAM_SO_CC!$B$9,"",CHOOSE(WEEKDAY(THAM_SO_CC!$B$8+1,2),"T2","T3","T4","T5","T6","T7","CN"))</f>
        <v/>
      </c>
      <c r="H4" s="101">
        <f>IF(THAM_SO_CC!$B$8+2&gt;THAM_SO_CC!$B$9,"",CHOOSE(WEEKDAY(THAM_SO_CC!$B$8+2,2),"T2","T3","T4","T5","T6","T7","CN"))</f>
        <v/>
      </c>
      <c r="I4" s="101">
        <f>IF(THAM_SO_CC!$B$8+3&gt;THAM_SO_CC!$B$9,"",CHOOSE(WEEKDAY(THAM_SO_CC!$B$8+3,2),"T2","T3","T4","T5","T6","T7","CN"))</f>
        <v/>
      </c>
      <c r="J4" s="101">
        <f>IF(THAM_SO_CC!$B$8+4&gt;THAM_SO_CC!$B$9,"",CHOOSE(WEEKDAY(THAM_SO_CC!$B$8+4,2),"T2","T3","T4","T5","T6","T7","CN"))</f>
        <v/>
      </c>
      <c r="K4" s="101">
        <f>IF(THAM_SO_CC!$B$8+5&gt;THAM_SO_CC!$B$9,"",CHOOSE(WEEKDAY(THAM_SO_CC!$B$8+5,2),"T2","T3","T4","T5","T6","T7","CN"))</f>
        <v/>
      </c>
      <c r="L4" s="101">
        <f>IF(THAM_SO_CC!$B$8+6&gt;THAM_SO_CC!$B$9,"",CHOOSE(WEEKDAY(THAM_SO_CC!$B$8+6,2),"T2","T3","T4","T5","T6","T7","CN"))</f>
        <v/>
      </c>
      <c r="M4" s="101">
        <f>IF(THAM_SO_CC!$B$8+7&gt;THAM_SO_CC!$B$9,"",CHOOSE(WEEKDAY(THAM_SO_CC!$B$8+7,2),"T2","T3","T4","T5","T6","T7","CN"))</f>
        <v/>
      </c>
      <c r="N4" s="101">
        <f>IF(THAM_SO_CC!$B$8+8&gt;THAM_SO_CC!$B$9,"",CHOOSE(WEEKDAY(THAM_SO_CC!$B$8+8,2),"T2","T3","T4","T5","T6","T7","CN"))</f>
        <v/>
      </c>
      <c r="O4" s="101">
        <f>IF(THAM_SO_CC!$B$8+9&gt;THAM_SO_CC!$B$9,"",CHOOSE(WEEKDAY(THAM_SO_CC!$B$8+9,2),"T2","T3","T4","T5","T6","T7","CN"))</f>
        <v/>
      </c>
      <c r="P4" s="101">
        <f>IF(THAM_SO_CC!$B$8+10&gt;THAM_SO_CC!$B$9,"",CHOOSE(WEEKDAY(THAM_SO_CC!$B$8+10,2),"T2","T3","T4","T5","T6","T7","CN"))</f>
        <v/>
      </c>
      <c r="Q4" s="101">
        <f>IF(THAM_SO_CC!$B$8+11&gt;THAM_SO_CC!$B$9,"",CHOOSE(WEEKDAY(THAM_SO_CC!$B$8+11,2),"T2","T3","T4","T5","T6","T7","CN"))</f>
        <v/>
      </c>
      <c r="R4" s="101">
        <f>IF(THAM_SO_CC!$B$8+12&gt;THAM_SO_CC!$B$9,"",CHOOSE(WEEKDAY(THAM_SO_CC!$B$8+12,2),"T2","T3","T4","T5","T6","T7","CN"))</f>
        <v/>
      </c>
      <c r="S4" s="101">
        <f>IF(THAM_SO_CC!$B$8+13&gt;THAM_SO_CC!$B$9,"",CHOOSE(WEEKDAY(THAM_SO_CC!$B$8+13,2),"T2","T3","T4","T5","T6","T7","CN"))</f>
        <v/>
      </c>
      <c r="T4" s="101">
        <f>IF(THAM_SO_CC!$B$8+14&gt;THAM_SO_CC!$B$9,"",CHOOSE(WEEKDAY(THAM_SO_CC!$B$8+14,2),"T2","T3","T4","T5","T6","T7","CN"))</f>
        <v/>
      </c>
      <c r="U4" s="101">
        <f>IF(THAM_SO_CC!$B$8+15&gt;THAM_SO_CC!$B$9,"",CHOOSE(WEEKDAY(THAM_SO_CC!$B$8+15,2),"T2","T3","T4","T5","T6","T7","CN"))</f>
        <v/>
      </c>
      <c r="V4" s="101">
        <f>IF(THAM_SO_CC!$B$8+16&gt;THAM_SO_CC!$B$9,"",CHOOSE(WEEKDAY(THAM_SO_CC!$B$8+16,2),"T2","T3","T4","T5","T6","T7","CN"))</f>
        <v/>
      </c>
      <c r="W4" s="101">
        <f>IF(THAM_SO_CC!$B$8+17&gt;THAM_SO_CC!$B$9,"",CHOOSE(WEEKDAY(THAM_SO_CC!$B$8+17,2),"T2","T3","T4","T5","T6","T7","CN"))</f>
        <v/>
      </c>
      <c r="X4" s="101">
        <f>IF(THAM_SO_CC!$B$8+18&gt;THAM_SO_CC!$B$9,"",CHOOSE(WEEKDAY(THAM_SO_CC!$B$8+18,2),"T2","T3","T4","T5","T6","T7","CN"))</f>
        <v/>
      </c>
      <c r="Y4" s="101">
        <f>IF(THAM_SO_CC!$B$8+19&gt;THAM_SO_CC!$B$9,"",CHOOSE(WEEKDAY(THAM_SO_CC!$B$8+19,2),"T2","T3","T4","T5","T6","T7","CN"))</f>
        <v/>
      </c>
      <c r="Z4" s="101">
        <f>IF(THAM_SO_CC!$B$8+20&gt;THAM_SO_CC!$B$9,"",CHOOSE(WEEKDAY(THAM_SO_CC!$B$8+20,2),"T2","T3","T4","T5","T6","T7","CN"))</f>
        <v/>
      </c>
      <c r="AA4" s="101">
        <f>IF(THAM_SO_CC!$B$8+21&gt;THAM_SO_CC!$B$9,"",CHOOSE(WEEKDAY(THAM_SO_CC!$B$8+21,2),"T2","T3","T4","T5","T6","T7","CN"))</f>
        <v/>
      </c>
      <c r="AB4" s="101">
        <f>IF(THAM_SO_CC!$B$8+22&gt;THAM_SO_CC!$B$9,"",CHOOSE(WEEKDAY(THAM_SO_CC!$B$8+22,2),"T2","T3","T4","T5","T6","T7","CN"))</f>
        <v/>
      </c>
      <c r="AC4" s="101">
        <f>IF(THAM_SO_CC!$B$8+23&gt;THAM_SO_CC!$B$9,"",CHOOSE(WEEKDAY(THAM_SO_CC!$B$8+23,2),"T2","T3","T4","T5","T6","T7","CN"))</f>
        <v/>
      </c>
      <c r="AD4" s="101">
        <f>IF(THAM_SO_CC!$B$8+24&gt;THAM_SO_CC!$B$9,"",CHOOSE(WEEKDAY(THAM_SO_CC!$B$8+24,2),"T2","T3","T4","T5","T6","T7","CN"))</f>
        <v/>
      </c>
      <c r="AE4" s="101">
        <f>IF(THAM_SO_CC!$B$8+25&gt;THAM_SO_CC!$B$9,"",CHOOSE(WEEKDAY(THAM_SO_CC!$B$8+25,2),"T2","T3","T4","T5","T6","T7","CN"))</f>
        <v/>
      </c>
      <c r="AF4" s="101">
        <f>IF(THAM_SO_CC!$B$8+26&gt;THAM_SO_CC!$B$9,"",CHOOSE(WEEKDAY(THAM_SO_CC!$B$8+26,2),"T2","T3","T4","T5","T6","T7","CN"))</f>
        <v/>
      </c>
      <c r="AG4" s="101">
        <f>IF(THAM_SO_CC!$B$8+27&gt;THAM_SO_CC!$B$9,"",CHOOSE(WEEKDAY(THAM_SO_CC!$B$8+27,2),"T2","T3","T4","T5","T6","T7","CN"))</f>
        <v/>
      </c>
      <c r="AH4" s="101">
        <f>IF(THAM_SO_CC!$B$8+28&gt;THAM_SO_CC!$B$9,"",CHOOSE(WEEKDAY(THAM_SO_CC!$B$8+28,2),"T2","T3","T4","T5","T6","T7","CN"))</f>
        <v/>
      </c>
      <c r="AI4" s="101">
        <f>IF(THAM_SO_CC!$B$8+29&gt;THAM_SO_CC!$B$9,"",CHOOSE(WEEKDAY(THAM_SO_CC!$B$8+29,2),"T2","T3","T4","T5","T6","T7","CN"))</f>
        <v/>
      </c>
      <c r="AJ4" s="101">
        <f>IF(THAM_SO_CC!$B$8+30&gt;THAM_SO_CC!$B$9,"",CHOOSE(WEEKDAY(THAM_SO_CC!$B$8+30,2),"T2","T3","T4","T5","T6","T7","CN"))</f>
        <v/>
      </c>
      <c r="AK4" s="83" t="inlineStr">
        <is>
          <t>Làm việc</t>
        </is>
      </c>
      <c r="AL4" s="83" t="inlineStr">
        <is>
          <t>Phép năm</t>
        </is>
      </c>
      <c r="AM4" s="83" t="inlineStr">
        <is>
          <t>Lễ/Tết</t>
        </is>
      </c>
      <c r="AN4" s="83" t="inlineStr">
        <is>
          <t>Việc riêng</t>
        </is>
      </c>
      <c r="AO4" s="83" t="inlineStr">
        <is>
          <t>Ốm BHXH</t>
        </is>
      </c>
      <c r="AP4" s="83" t="inlineStr">
        <is>
          <t>Thai sản</t>
        </is>
      </c>
      <c r="AQ4" s="83" t="inlineStr">
        <is>
          <t>Không lương</t>
        </is>
      </c>
      <c r="AR4" s="102" t="n"/>
      <c r="AS4" s="102" t="n"/>
      <c r="AT4" s="102" t="n"/>
      <c r="AU4" s="102" t="n"/>
    </row>
    <row r="5" ht="63.75" customHeight="1" s="63">
      <c r="A5" s="92" t="inlineStr">
        <is>
          <t>STT</t>
        </is>
      </c>
      <c r="B5" s="92" t="inlineStr">
        <is>
          <t>Mã NV</t>
        </is>
      </c>
      <c r="C5" s="92" t="inlineStr">
        <is>
          <t>Họ và tên</t>
        </is>
      </c>
      <c r="D5" s="92" t="inlineStr">
        <is>
          <t>Bộ phận</t>
        </is>
      </c>
      <c r="E5" s="92" t="inlineStr">
        <is>
          <t>Chức danh</t>
        </is>
      </c>
      <c r="F5" s="92">
        <f>IF(THAM_SO_CC!$B$8+0&gt;THAM_SO_CC!$B$9,"",DAY(THAM_SO_CC!$B$8+0))</f>
        <v/>
      </c>
      <c r="G5" s="92">
        <f>IF(THAM_SO_CC!$B$8+1&gt;THAM_SO_CC!$B$9,"",DAY(THAM_SO_CC!$B$8+1))</f>
        <v/>
      </c>
      <c r="H5" s="92">
        <f>IF(THAM_SO_CC!$B$8+2&gt;THAM_SO_CC!$B$9,"",DAY(THAM_SO_CC!$B$8+2))</f>
        <v/>
      </c>
      <c r="I5" s="92">
        <f>IF(THAM_SO_CC!$B$8+3&gt;THAM_SO_CC!$B$9,"",DAY(THAM_SO_CC!$B$8+3))</f>
        <v/>
      </c>
      <c r="J5" s="92">
        <f>IF(THAM_SO_CC!$B$8+4&gt;THAM_SO_CC!$B$9,"",DAY(THAM_SO_CC!$B$8+4))</f>
        <v/>
      </c>
      <c r="K5" s="92">
        <f>IF(THAM_SO_CC!$B$8+5&gt;THAM_SO_CC!$B$9,"",DAY(THAM_SO_CC!$B$8+5))</f>
        <v/>
      </c>
      <c r="L5" s="92">
        <f>IF(THAM_SO_CC!$B$8+6&gt;THAM_SO_CC!$B$9,"",DAY(THAM_SO_CC!$B$8+6))</f>
        <v/>
      </c>
      <c r="M5" s="92">
        <f>IF(THAM_SO_CC!$B$8+7&gt;THAM_SO_CC!$B$9,"",DAY(THAM_SO_CC!$B$8+7))</f>
        <v/>
      </c>
      <c r="N5" s="92">
        <f>IF(THAM_SO_CC!$B$8+8&gt;THAM_SO_CC!$B$9,"",DAY(THAM_SO_CC!$B$8+8))</f>
        <v/>
      </c>
      <c r="O5" s="92">
        <f>IF(THAM_SO_CC!$B$8+9&gt;THAM_SO_CC!$B$9,"",DAY(THAM_SO_CC!$B$8+9))</f>
        <v/>
      </c>
      <c r="P5" s="92">
        <f>IF(THAM_SO_CC!$B$8+10&gt;THAM_SO_CC!$B$9,"",DAY(THAM_SO_CC!$B$8+10))</f>
        <v/>
      </c>
      <c r="Q5" s="92">
        <f>IF(THAM_SO_CC!$B$8+11&gt;THAM_SO_CC!$B$9,"",DAY(THAM_SO_CC!$B$8+11))</f>
        <v/>
      </c>
      <c r="R5" s="92">
        <f>IF(THAM_SO_CC!$B$8+12&gt;THAM_SO_CC!$B$9,"",DAY(THAM_SO_CC!$B$8+12))</f>
        <v/>
      </c>
      <c r="S5" s="92">
        <f>IF(THAM_SO_CC!$B$8+13&gt;THAM_SO_CC!$B$9,"",DAY(THAM_SO_CC!$B$8+13))</f>
        <v/>
      </c>
      <c r="T5" s="92">
        <f>IF(THAM_SO_CC!$B$8+14&gt;THAM_SO_CC!$B$9,"",DAY(THAM_SO_CC!$B$8+14))</f>
        <v/>
      </c>
      <c r="U5" s="92">
        <f>IF(THAM_SO_CC!$B$8+15&gt;THAM_SO_CC!$B$9,"",DAY(THAM_SO_CC!$B$8+15))</f>
        <v/>
      </c>
      <c r="V5" s="92">
        <f>IF(THAM_SO_CC!$B$8+16&gt;THAM_SO_CC!$B$9,"",DAY(THAM_SO_CC!$B$8+16))</f>
        <v/>
      </c>
      <c r="W5" s="92">
        <f>IF(THAM_SO_CC!$B$8+17&gt;THAM_SO_CC!$B$9,"",DAY(THAM_SO_CC!$B$8+17))</f>
        <v/>
      </c>
      <c r="X5" s="92">
        <f>IF(THAM_SO_CC!$B$8+18&gt;THAM_SO_CC!$B$9,"",DAY(THAM_SO_CC!$B$8+18))</f>
        <v/>
      </c>
      <c r="Y5" s="92">
        <f>IF(THAM_SO_CC!$B$8+19&gt;THAM_SO_CC!$B$9,"",DAY(THAM_SO_CC!$B$8+19))</f>
        <v/>
      </c>
      <c r="Z5" s="92">
        <f>IF(THAM_SO_CC!$B$8+20&gt;THAM_SO_CC!$B$9,"",DAY(THAM_SO_CC!$B$8+20))</f>
        <v/>
      </c>
      <c r="AA5" s="92">
        <f>IF(THAM_SO_CC!$B$8+21&gt;THAM_SO_CC!$B$9,"",DAY(THAM_SO_CC!$B$8+21))</f>
        <v/>
      </c>
      <c r="AB5" s="92">
        <f>IF(THAM_SO_CC!$B$8+22&gt;THAM_SO_CC!$B$9,"",DAY(THAM_SO_CC!$B$8+22))</f>
        <v/>
      </c>
      <c r="AC5" s="92">
        <f>IF(THAM_SO_CC!$B$8+23&gt;THAM_SO_CC!$B$9,"",DAY(THAM_SO_CC!$B$8+23))</f>
        <v/>
      </c>
      <c r="AD5" s="92">
        <f>IF(THAM_SO_CC!$B$8+24&gt;THAM_SO_CC!$B$9,"",DAY(THAM_SO_CC!$B$8+24))</f>
        <v/>
      </c>
      <c r="AE5" s="92">
        <f>IF(THAM_SO_CC!$B$8+25&gt;THAM_SO_CC!$B$9,"",DAY(THAM_SO_CC!$B$8+25))</f>
        <v/>
      </c>
      <c r="AF5" s="92">
        <f>IF(THAM_SO_CC!$B$8+26&gt;THAM_SO_CC!$B$9,"",DAY(THAM_SO_CC!$B$8+26))</f>
        <v/>
      </c>
      <c r="AG5" s="92">
        <f>IF(THAM_SO_CC!$B$8+27&gt;THAM_SO_CC!$B$9,"",DAY(THAM_SO_CC!$B$8+27))</f>
        <v/>
      </c>
      <c r="AH5" s="92">
        <f>IF(THAM_SO_CC!$B$8+28&gt;THAM_SO_CC!$B$9,"",DAY(THAM_SO_CC!$B$8+28))</f>
        <v/>
      </c>
      <c r="AI5" s="92">
        <f>IF(THAM_SO_CC!$B$8+29&gt;THAM_SO_CC!$B$9,"",DAY(THAM_SO_CC!$B$8+29))</f>
        <v/>
      </c>
      <c r="AJ5" s="92">
        <f>IF(THAM_SO_CC!$B$8+30&gt;THAM_SO_CC!$B$9,"",DAY(THAM_SO_CC!$B$8+30))</f>
        <v/>
      </c>
      <c r="AK5" s="92" t="inlineStr">
        <is>
          <t>Công làm việc</t>
        </is>
      </c>
      <c r="AL5" s="92" t="inlineStr">
        <is>
          <t>Phép năm hưởng lương</t>
        </is>
      </c>
      <c r="AM5" s="92" t="inlineStr">
        <is>
          <t>Lễ/Tết hưởng lương</t>
        </is>
      </c>
      <c r="AN5" s="92" t="inlineStr">
        <is>
          <t>Việc riêng hưởng lương</t>
        </is>
      </c>
      <c r="AO5" s="92" t="inlineStr">
        <is>
          <t>Nghỉ ốm hưởng BHXH</t>
        </is>
      </c>
      <c r="AP5" s="92" t="inlineStr">
        <is>
          <t>Nghỉ thai sản</t>
        </is>
      </c>
      <c r="AQ5" s="92" t="inlineStr">
        <is>
          <t>Nghỉ không lương</t>
        </is>
      </c>
      <c r="AR5" s="92" t="inlineStr">
        <is>
          <t>Tổng ngày phải làm đã chấm</t>
        </is>
      </c>
      <c r="AS5" s="92" t="inlineStr">
        <is>
          <t>Ngày công chuẩn kỳ</t>
        </is>
      </c>
      <c r="AT5" s="92" t="inlineStr">
        <is>
          <t>Chênh lệch</t>
        </is>
      </c>
      <c r="AU5" s="92" t="inlineStr">
        <is>
          <t>Cảnh báo</t>
        </is>
      </c>
    </row>
    <row r="6" ht="15" customHeight="1" s="63">
      <c r="A6" s="85">
        <f>IF($B6="","",ROW()-5)</f>
        <v/>
      </c>
      <c r="B6" s="103">
        <f>IF(DM_NHAN_SU!B6="","",DM_NHAN_SU!B6)</f>
        <v/>
      </c>
      <c r="C6" s="96">
        <f>IF($B6="","",DM_NHAN_SU!C6)</f>
        <v/>
      </c>
      <c r="D6" s="96">
        <f>IF($B6="","",DM_NHAN_SU!D6)</f>
        <v/>
      </c>
      <c r="E6" s="96">
        <f>IF($B6="","",DM_NHAN_SU!E6)</f>
        <v/>
      </c>
      <c r="F6" s="93" t="n"/>
      <c r="G6" s="93" t="n"/>
      <c r="H6" s="93" t="n"/>
      <c r="I6" s="93" t="n"/>
      <c r="J6" s="93" t="n"/>
      <c r="K6" s="93" t="n"/>
      <c r="L6" s="93" t="n"/>
      <c r="M6" s="93" t="n"/>
      <c r="N6" s="93" t="n"/>
      <c r="O6" s="93" t="n"/>
      <c r="P6" s="93" t="n"/>
      <c r="Q6" s="93" t="n"/>
      <c r="R6" s="93" t="n"/>
      <c r="S6" s="93" t="n"/>
      <c r="T6" s="93" t="n"/>
      <c r="U6" s="93" t="n"/>
      <c r="V6" s="93" t="n"/>
      <c r="W6" s="93" t="n"/>
      <c r="X6" s="93" t="n"/>
      <c r="Y6" s="93" t="n"/>
      <c r="Z6" s="93" t="n"/>
      <c r="AA6" s="93" t="n"/>
      <c r="AB6" s="93" t="n"/>
      <c r="AC6" s="93" t="n"/>
      <c r="AD6" s="93" t="n"/>
      <c r="AE6" s="93" t="n"/>
      <c r="AF6" s="93" t="n"/>
      <c r="AG6" s="93" t="n"/>
      <c r="AH6" s="93" t="n"/>
      <c r="AI6" s="93" t="n"/>
      <c r="AJ6" s="93" t="n"/>
      <c r="AK6" s="104">
        <f>IF($B6="","",SUMPRODUCT(COUNTIF($F6:$AJ6,KY_HIEU!$A$6:$A$45)*KY_HIEU!$C$6:$C$45))</f>
        <v/>
      </c>
      <c r="AL6" s="104">
        <f>IF($B6="","",SUMPRODUCT(COUNTIF($F6:$AJ6,KY_HIEU!$A$6:$A$45)*KY_HIEU!$D$6:$D$45))</f>
        <v/>
      </c>
      <c r="AM6" s="104">
        <f>IF($B6="","",SUMPRODUCT(COUNTIF($F6:$AJ6,KY_HIEU!$A$6:$A$45)*KY_HIEU!$E$6:$E$45))</f>
        <v/>
      </c>
      <c r="AN6" s="104">
        <f>IF($B6="","",SUMPRODUCT(COUNTIF($F6:$AJ6,KY_HIEU!$A$6:$A$45)*KY_HIEU!$F$6:$F$45))</f>
        <v/>
      </c>
      <c r="AO6" s="104">
        <f>IF($B6="","",SUMPRODUCT(COUNTIF($F6:$AJ6,KY_HIEU!$A$6:$A$45)*KY_HIEU!$G$6:$G$45))</f>
        <v/>
      </c>
      <c r="AP6" s="104">
        <f>IF($B6="","",SUMPRODUCT(COUNTIF($F6:$AJ6,KY_HIEU!$A$6:$A$45)*KY_HIEU!$H$6:$H$45))</f>
        <v/>
      </c>
      <c r="AQ6" s="104">
        <f>IF($B6="","",SUMPRODUCT(COUNTIF($F6:$AJ6,KY_HIEU!$A$6:$A$45)*KY_HIEU!$I$6:$I$45))</f>
        <v/>
      </c>
      <c r="AR6" s="105">
        <f>IF($B6="","",$AK6+$AL6+$AN6+$AO6+$AP6+$AQ6)</f>
        <v/>
      </c>
      <c r="AS6" s="105">
        <f>IF($B6="","",IF(DM_NHAN_SU!$I6&lt;&gt;"",DM_NHAN_SU!$I6,IF(THAM_SO_CC!$B$20="Nhập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THAM_SO_CC!$B$8,DM_NHAN_SU!$F6))*(ROW(INDIRECT(THAM_SO_CC!$B$8&amp;":"&amp;THAM_SO_CC!$B$9))&lt;=IF(DM_NHAN_SU!$G6="",THAM_SO_CC!$B$9,DM_NHAN_SU!$G6))))))</f>
        <v/>
      </c>
      <c r="AT6" s="106">
        <f>IF($B6="","",$AR6-$AS6)</f>
        <v/>
      </c>
      <c r="AU6" s="96">
        <f>IF($B6="","",TRIM(IF(SUMPRODUCT(--($F6:$AJ6&lt;&gt;""))-SUMPRODUCT(COUNTIF($F6:$AJ6,KY_HIEU!$A$6:$A$45))&gt;0,"Ký hiệu lạ; ","")&amp;IF(ROUND($AT6,2)&lt;&gt;0,"Lệch ngày công "&amp;TEXT($AT6,"0.0")&amp;"; ","")&amp;IF(SUMPRODUCT(--($F6:$AJ6&lt;&gt;""),--((THAM_SO_CC!$B$8+COLUMN($F$1:$AJ$1)-6)&gt;THAM_SO_CC!$B$9))&gt;0,"Chấm ngoài kỳ; ","")&amp;IF(AND(DM_NHAN_SU!$F6&lt;&gt;"",SUMPRODUCT(--($F6:$AJ6&lt;&gt;""),--($F6:$AJ6&lt;&gt;"NV"),--($F6:$AJ6&lt;&gt;"NT"),--($F6:$AJ6&lt;&gt;"TN"),--((THAM_SO_CC!$B$8+COLUMN($F$1:$AJ$1)-6)&lt;DM_NHAN_SU!$F6))&gt;0),"Chấm trước ngày vào; ","")&amp;IF(AND(DM_NHAN_SU!$G6&lt;&gt;"",SUMPRODUCT(--($F6:$AJ6&lt;&gt;""),--($F6:$AJ6&lt;&gt;"NV"),--($F6:$AJ6&lt;&gt;"NT"),--($F6:$AJ6&lt;&gt;"TN"),--((THAM_SO_CC!$B$8+COLUMN($F$1:$AJ$1)-6)&gt;DM_NHAN_SU!$G6))&gt;0),"Chấm sau ngày nghỉ việc; ","")))</f>
        <v/>
      </c>
    </row>
    <row r="7" ht="15" customHeight="1" s="63">
      <c r="A7" s="85">
        <f>IF($B7="","",ROW()-5)</f>
        <v/>
      </c>
      <c r="B7" s="103">
        <f>IF(DM_NHAN_SU!B7="","",DM_NHAN_SU!B7)</f>
        <v/>
      </c>
      <c r="C7" s="96">
        <f>IF($B7="","",DM_NHAN_SU!C7)</f>
        <v/>
      </c>
      <c r="D7" s="96">
        <f>IF($B7="","",DM_NHAN_SU!D7)</f>
        <v/>
      </c>
      <c r="E7" s="96">
        <f>IF($B7="","",DM_NHAN_SU!E7)</f>
        <v/>
      </c>
      <c r="F7" s="93" t="n"/>
      <c r="G7" s="93" t="n"/>
      <c r="H7" s="93" t="n"/>
      <c r="I7" s="93" t="n"/>
      <c r="J7" s="93" t="n"/>
      <c r="K7" s="93" t="n"/>
      <c r="L7" s="93" t="n"/>
      <c r="M7" s="93" t="n"/>
      <c r="N7" s="93" t="n"/>
      <c r="O7" s="93" t="n"/>
      <c r="P7" s="93" t="n"/>
      <c r="Q7" s="93" t="n"/>
      <c r="R7" s="93" t="n"/>
      <c r="S7" s="93" t="n"/>
      <c r="T7" s="93" t="n"/>
      <c r="U7" s="93" t="n"/>
      <c r="V7" s="93" t="n"/>
      <c r="W7" s="93" t="n"/>
      <c r="X7" s="93" t="n"/>
      <c r="Y7" s="93" t="n"/>
      <c r="Z7" s="93" t="n"/>
      <c r="AA7" s="93" t="n"/>
      <c r="AB7" s="93" t="n"/>
      <c r="AC7" s="93" t="n"/>
      <c r="AD7" s="93" t="n"/>
      <c r="AE7" s="93" t="n"/>
      <c r="AF7" s="93" t="n"/>
      <c r="AG7" s="93" t="n"/>
      <c r="AH7" s="93" t="n"/>
      <c r="AI7" s="93" t="n"/>
      <c r="AJ7" s="93" t="n"/>
      <c r="AK7" s="104">
        <f>IF($B7="","",SUMPRODUCT(COUNTIF($F7:$AJ7,KY_HIEU!$A$6:$A$45)*KY_HIEU!$C$6:$C$45))</f>
        <v/>
      </c>
      <c r="AL7" s="104">
        <f>IF($B7="","",SUMPRODUCT(COUNTIF($F7:$AJ7,KY_HIEU!$A$6:$A$45)*KY_HIEU!$D$6:$D$45))</f>
        <v/>
      </c>
      <c r="AM7" s="104">
        <f>IF($B7="","",SUMPRODUCT(COUNTIF($F7:$AJ7,KY_HIEU!$A$6:$A$45)*KY_HIEU!$E$6:$E$45))</f>
        <v/>
      </c>
      <c r="AN7" s="104">
        <f>IF($B7="","",SUMPRODUCT(COUNTIF($F7:$AJ7,KY_HIEU!$A$6:$A$45)*KY_HIEU!$F$6:$F$45))</f>
        <v/>
      </c>
      <c r="AO7" s="104">
        <f>IF($B7="","",SUMPRODUCT(COUNTIF($F7:$AJ7,KY_HIEU!$A$6:$A$45)*KY_HIEU!$G$6:$G$45))</f>
        <v/>
      </c>
      <c r="AP7" s="104">
        <f>IF($B7="","",SUMPRODUCT(COUNTIF($F7:$AJ7,KY_HIEU!$A$6:$A$45)*KY_HIEU!$H$6:$H$45))</f>
        <v/>
      </c>
      <c r="AQ7" s="104">
        <f>IF($B7="","",SUMPRODUCT(COUNTIF($F7:$AJ7,KY_HIEU!$A$6:$A$45)*KY_HIEU!$I$6:$I$45))</f>
        <v/>
      </c>
      <c r="AR7" s="105">
        <f>IF($B7="","",$AK7+$AL7+$AN7+$AO7+$AP7+$AQ7)</f>
        <v/>
      </c>
      <c r="AS7" s="105">
        <f>IF($B7="","",IF(DM_NHAN_SU!$I7&lt;&gt;"",DM_NHAN_SU!$I7,IF(THAM_SO_CC!$B$20="Nhập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THAM_SO_CC!$B$8,DM_NHAN_SU!$F7))*(ROW(INDIRECT(THAM_SO_CC!$B$8&amp;":"&amp;THAM_SO_CC!$B$9))&lt;=IF(DM_NHAN_SU!$G7="",THAM_SO_CC!$B$9,DM_NHAN_SU!$G7))))))</f>
        <v/>
      </c>
      <c r="AT7" s="106">
        <f>IF($B7="","",$AR7-$AS7)</f>
        <v/>
      </c>
      <c r="AU7" s="96">
        <f>IF($B7="","",TRIM(IF(SUMPRODUCT(--($F7:$AJ7&lt;&gt;""))-SUMPRODUCT(COUNTIF($F7:$AJ7,KY_HIEU!$A$6:$A$45))&gt;0,"Ký hiệu lạ; ","")&amp;IF(ROUND($AT7,2)&lt;&gt;0,"Lệch ngày công "&amp;TEXT($AT7,"0.0")&amp;"; ","")&amp;IF(SUMPRODUCT(--($F7:$AJ7&lt;&gt;""),--((THAM_SO_CC!$B$8+COLUMN($F$1:$AJ$1)-6)&gt;THAM_SO_CC!$B$9))&gt;0,"Chấm ngoài kỳ; ","")&amp;IF(AND(DM_NHAN_SU!$F7&lt;&gt;"",SUMPRODUCT(--($F7:$AJ7&lt;&gt;""),--($F7:$AJ7&lt;&gt;"NV"),--($F7:$AJ7&lt;&gt;"NT"),--($F7:$AJ7&lt;&gt;"TN"),--((THAM_SO_CC!$B$8+COLUMN($F$1:$AJ$1)-6)&lt;DM_NHAN_SU!$F7))&gt;0),"Chấm trước ngày vào; ","")&amp;IF(AND(DM_NHAN_SU!$G7&lt;&gt;"",SUMPRODUCT(--($F7:$AJ7&lt;&gt;""),--($F7:$AJ7&lt;&gt;"NV"),--($F7:$AJ7&lt;&gt;"NT"),--($F7:$AJ7&lt;&gt;"TN"),--((THAM_SO_CC!$B$8+COLUMN($F$1:$AJ$1)-6)&gt;DM_NHAN_SU!$G7))&gt;0),"Chấm sau ngày nghỉ việc; ","")))</f>
        <v/>
      </c>
    </row>
    <row r="8" ht="15" customHeight="1" s="63">
      <c r="A8" s="85">
        <f>IF($B8="","",ROW()-5)</f>
        <v/>
      </c>
      <c r="B8" s="103">
        <f>IF(DM_NHAN_SU!B8="","",DM_NHAN_SU!B8)</f>
        <v/>
      </c>
      <c r="C8" s="96">
        <f>IF($B8="","",DM_NHAN_SU!C8)</f>
        <v/>
      </c>
      <c r="D8" s="96">
        <f>IF($B8="","",DM_NHAN_SU!D8)</f>
        <v/>
      </c>
      <c r="E8" s="96">
        <f>IF($B8="","",DM_NHAN_SU!E8)</f>
        <v/>
      </c>
      <c r="F8" s="93" t="n"/>
      <c r="G8" s="93" t="n"/>
      <c r="H8" s="93" t="n"/>
      <c r="I8" s="93" t="n"/>
      <c r="J8" s="93" t="n"/>
      <c r="K8" s="93" t="n"/>
      <c r="L8" s="93" t="n"/>
      <c r="M8" s="93" t="n"/>
      <c r="N8" s="93" t="n"/>
      <c r="O8" s="93" t="n"/>
      <c r="P8" s="93" t="n"/>
      <c r="Q8" s="93" t="n"/>
      <c r="R8" s="93" t="n"/>
      <c r="S8" s="93" t="n"/>
      <c r="T8" s="93" t="n"/>
      <c r="U8" s="93" t="n"/>
      <c r="V8" s="93" t="n"/>
      <c r="W8" s="93" t="n"/>
      <c r="X8" s="93" t="n"/>
      <c r="Y8" s="93" t="n"/>
      <c r="Z8" s="93" t="n"/>
      <c r="AA8" s="93" t="n"/>
      <c r="AB8" s="93" t="n"/>
      <c r="AC8" s="93" t="n"/>
      <c r="AD8" s="93" t="n"/>
      <c r="AE8" s="93" t="n"/>
      <c r="AF8" s="93" t="n"/>
      <c r="AG8" s="93" t="n"/>
      <c r="AH8" s="93" t="n"/>
      <c r="AI8" s="93" t="n"/>
      <c r="AJ8" s="93" t="n"/>
      <c r="AK8" s="104">
        <f>IF($B8="","",SUMPRODUCT(COUNTIF($F8:$AJ8,KY_HIEU!$A$6:$A$45)*KY_HIEU!$C$6:$C$45))</f>
        <v/>
      </c>
      <c r="AL8" s="104">
        <f>IF($B8="","",SUMPRODUCT(COUNTIF($F8:$AJ8,KY_HIEU!$A$6:$A$45)*KY_HIEU!$D$6:$D$45))</f>
        <v/>
      </c>
      <c r="AM8" s="104">
        <f>IF($B8="","",SUMPRODUCT(COUNTIF($F8:$AJ8,KY_HIEU!$A$6:$A$45)*KY_HIEU!$E$6:$E$45))</f>
        <v/>
      </c>
      <c r="AN8" s="104">
        <f>IF($B8="","",SUMPRODUCT(COUNTIF($F8:$AJ8,KY_HIEU!$A$6:$A$45)*KY_HIEU!$F$6:$F$45))</f>
        <v/>
      </c>
      <c r="AO8" s="104">
        <f>IF($B8="","",SUMPRODUCT(COUNTIF($F8:$AJ8,KY_HIEU!$A$6:$A$45)*KY_HIEU!$G$6:$G$45))</f>
        <v/>
      </c>
      <c r="AP8" s="104">
        <f>IF($B8="","",SUMPRODUCT(COUNTIF($F8:$AJ8,KY_HIEU!$A$6:$A$45)*KY_HIEU!$H$6:$H$45))</f>
        <v/>
      </c>
      <c r="AQ8" s="104">
        <f>IF($B8="","",SUMPRODUCT(COUNTIF($F8:$AJ8,KY_HIEU!$A$6:$A$45)*KY_HIEU!$I$6:$I$45))</f>
        <v/>
      </c>
      <c r="AR8" s="105">
        <f>IF($B8="","",$AK8+$AL8+$AN8+$AO8+$AP8+$AQ8)</f>
        <v/>
      </c>
      <c r="AS8" s="105">
        <f>IF($B8="","",IF(DM_NHAN_SU!$I8&lt;&gt;"",DM_NHAN_SU!$I8,IF(THAM_SO_CC!$B$20="Nhập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THAM_SO_CC!$B$8,DM_NHAN_SU!$F8))*(ROW(INDIRECT(THAM_SO_CC!$B$8&amp;":"&amp;THAM_SO_CC!$B$9))&lt;=IF(DM_NHAN_SU!$G8="",THAM_SO_CC!$B$9,DM_NHAN_SU!$G8))))))</f>
        <v/>
      </c>
      <c r="AT8" s="106">
        <f>IF($B8="","",$AR8-$AS8)</f>
        <v/>
      </c>
      <c r="AU8" s="96">
        <f>IF($B8="","",TRIM(IF(SUMPRODUCT(--($F8:$AJ8&lt;&gt;""))-SUMPRODUCT(COUNTIF($F8:$AJ8,KY_HIEU!$A$6:$A$45))&gt;0,"Ký hiệu lạ; ","")&amp;IF(ROUND($AT8,2)&lt;&gt;0,"Lệch ngày công "&amp;TEXT($AT8,"0.0")&amp;"; ","")&amp;IF(SUMPRODUCT(--($F8:$AJ8&lt;&gt;""),--((THAM_SO_CC!$B$8+COLUMN($F$1:$AJ$1)-6)&gt;THAM_SO_CC!$B$9))&gt;0,"Chấm ngoài kỳ; ","")&amp;IF(AND(DM_NHAN_SU!$F8&lt;&gt;"",SUMPRODUCT(--($F8:$AJ8&lt;&gt;""),--($F8:$AJ8&lt;&gt;"NV"),--($F8:$AJ8&lt;&gt;"NT"),--($F8:$AJ8&lt;&gt;"TN"),--((THAM_SO_CC!$B$8+COLUMN($F$1:$AJ$1)-6)&lt;DM_NHAN_SU!$F8))&gt;0),"Chấm trước ngày vào; ","")&amp;IF(AND(DM_NHAN_SU!$G8&lt;&gt;"",SUMPRODUCT(--($F8:$AJ8&lt;&gt;""),--($F8:$AJ8&lt;&gt;"NV"),--($F8:$AJ8&lt;&gt;"NT"),--($F8:$AJ8&lt;&gt;"TN"),--((THAM_SO_CC!$B$8+COLUMN($F$1:$AJ$1)-6)&gt;DM_NHAN_SU!$G8))&gt;0),"Chấm sau ngày nghỉ việc; ","")))</f>
        <v/>
      </c>
    </row>
    <row r="9" ht="15" customHeight="1" s="63">
      <c r="A9" s="85">
        <f>IF($B9="","",ROW()-5)</f>
        <v/>
      </c>
      <c r="B9" s="103">
        <f>IF(DM_NHAN_SU!B9="","",DM_NHAN_SU!B9)</f>
        <v/>
      </c>
      <c r="C9" s="96">
        <f>IF($B9="","",DM_NHAN_SU!C9)</f>
        <v/>
      </c>
      <c r="D9" s="96">
        <f>IF($B9="","",DM_NHAN_SU!D9)</f>
        <v/>
      </c>
      <c r="E9" s="96">
        <f>IF($B9="","",DM_NHAN_SU!E9)</f>
        <v/>
      </c>
      <c r="F9" s="93" t="n"/>
      <c r="G9" s="93" t="n"/>
      <c r="H9" s="93" t="n"/>
      <c r="I9" s="93" t="n"/>
      <c r="J9" s="93" t="n"/>
      <c r="K9" s="93" t="n"/>
      <c r="L9" s="93" t="n"/>
      <c r="M9" s="93" t="n"/>
      <c r="N9" s="93" t="n"/>
      <c r="O9" s="93" t="n"/>
      <c r="P9" s="93" t="n"/>
      <c r="Q9" s="93" t="n"/>
      <c r="R9" s="93" t="n"/>
      <c r="S9" s="93" t="n"/>
      <c r="T9" s="93" t="n"/>
      <c r="U9" s="93" t="n"/>
      <c r="V9" s="93" t="n"/>
      <c r="W9" s="93" t="n"/>
      <c r="X9" s="93" t="n"/>
      <c r="Y9" s="93" t="n"/>
      <c r="Z9" s="93" t="n"/>
      <c r="AA9" s="93" t="n"/>
      <c r="AB9" s="93" t="n"/>
      <c r="AC9" s="93" t="n"/>
      <c r="AD9" s="93" t="n"/>
      <c r="AE9" s="93" t="n"/>
      <c r="AF9" s="93" t="n"/>
      <c r="AG9" s="93" t="n"/>
      <c r="AH9" s="93" t="n"/>
      <c r="AI9" s="93" t="n"/>
      <c r="AJ9" s="93" t="n"/>
      <c r="AK9" s="104">
        <f>IF($B9="","",SUMPRODUCT(COUNTIF($F9:$AJ9,KY_HIEU!$A$6:$A$45)*KY_HIEU!$C$6:$C$45))</f>
        <v/>
      </c>
      <c r="AL9" s="104">
        <f>IF($B9="","",SUMPRODUCT(COUNTIF($F9:$AJ9,KY_HIEU!$A$6:$A$45)*KY_HIEU!$D$6:$D$45))</f>
        <v/>
      </c>
      <c r="AM9" s="104">
        <f>IF($B9="","",SUMPRODUCT(COUNTIF($F9:$AJ9,KY_HIEU!$A$6:$A$45)*KY_HIEU!$E$6:$E$45))</f>
        <v/>
      </c>
      <c r="AN9" s="104">
        <f>IF($B9="","",SUMPRODUCT(COUNTIF($F9:$AJ9,KY_HIEU!$A$6:$A$45)*KY_HIEU!$F$6:$F$45))</f>
        <v/>
      </c>
      <c r="AO9" s="104">
        <f>IF($B9="","",SUMPRODUCT(COUNTIF($F9:$AJ9,KY_HIEU!$A$6:$A$45)*KY_HIEU!$G$6:$G$45))</f>
        <v/>
      </c>
      <c r="AP9" s="104">
        <f>IF($B9="","",SUMPRODUCT(COUNTIF($F9:$AJ9,KY_HIEU!$A$6:$A$45)*KY_HIEU!$H$6:$H$45))</f>
        <v/>
      </c>
      <c r="AQ9" s="104">
        <f>IF($B9="","",SUMPRODUCT(COUNTIF($F9:$AJ9,KY_HIEU!$A$6:$A$45)*KY_HIEU!$I$6:$I$45))</f>
        <v/>
      </c>
      <c r="AR9" s="105">
        <f>IF($B9="","",$AK9+$AL9+$AN9+$AO9+$AP9+$AQ9)</f>
        <v/>
      </c>
      <c r="AS9" s="105">
        <f>IF($B9="","",IF(DM_NHAN_SU!$I9&lt;&gt;"",DM_NHAN_SU!$I9,IF(THAM_SO_CC!$B$20="Nhập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THAM_SO_CC!$B$8,DM_NHAN_SU!$F9))*(ROW(INDIRECT(THAM_SO_CC!$B$8&amp;":"&amp;THAM_SO_CC!$B$9))&lt;=IF(DM_NHAN_SU!$G9="",THAM_SO_CC!$B$9,DM_NHAN_SU!$G9))))))</f>
        <v/>
      </c>
      <c r="AT9" s="106">
        <f>IF($B9="","",$AR9-$AS9)</f>
        <v/>
      </c>
      <c r="AU9" s="96">
        <f>IF($B9="","",TRIM(IF(SUMPRODUCT(--($F9:$AJ9&lt;&gt;""))-SUMPRODUCT(COUNTIF($F9:$AJ9,KY_HIEU!$A$6:$A$45))&gt;0,"Ký hiệu lạ; ","")&amp;IF(ROUND($AT9,2)&lt;&gt;0,"Lệch ngày công "&amp;TEXT($AT9,"0.0")&amp;"; ","")&amp;IF(SUMPRODUCT(--($F9:$AJ9&lt;&gt;""),--((THAM_SO_CC!$B$8+COLUMN($F$1:$AJ$1)-6)&gt;THAM_SO_CC!$B$9))&gt;0,"Chấm ngoài kỳ; ","")&amp;IF(AND(DM_NHAN_SU!$F9&lt;&gt;"",SUMPRODUCT(--($F9:$AJ9&lt;&gt;""),--($F9:$AJ9&lt;&gt;"NV"),--($F9:$AJ9&lt;&gt;"NT"),--($F9:$AJ9&lt;&gt;"TN"),--((THAM_SO_CC!$B$8+COLUMN($F$1:$AJ$1)-6)&lt;DM_NHAN_SU!$F9))&gt;0),"Chấm trước ngày vào; ","")&amp;IF(AND(DM_NHAN_SU!$G9&lt;&gt;"",SUMPRODUCT(--($F9:$AJ9&lt;&gt;""),--($F9:$AJ9&lt;&gt;"NV"),--($F9:$AJ9&lt;&gt;"NT"),--($F9:$AJ9&lt;&gt;"TN"),--((THAM_SO_CC!$B$8+COLUMN($F$1:$AJ$1)-6)&gt;DM_NHAN_SU!$G9))&gt;0),"Chấm sau ngày nghỉ việc; ","")))</f>
        <v/>
      </c>
    </row>
    <row r="10" ht="15" customHeight="1" s="63">
      <c r="A10" s="85">
        <f>IF($B10="","",ROW()-5)</f>
        <v/>
      </c>
      <c r="B10" s="103">
        <f>IF(DM_NHAN_SU!B10="","",DM_NHAN_SU!B10)</f>
        <v/>
      </c>
      <c r="C10" s="96">
        <f>IF($B10="","",DM_NHAN_SU!C10)</f>
        <v/>
      </c>
      <c r="D10" s="96">
        <f>IF($B10="","",DM_NHAN_SU!D10)</f>
        <v/>
      </c>
      <c r="E10" s="96">
        <f>IF($B10="","",DM_NHAN_SU!E10)</f>
        <v/>
      </c>
      <c r="F10" s="93" t="n"/>
      <c r="G10" s="93" t="n"/>
      <c r="H10" s="93" t="n"/>
      <c r="I10" s="93" t="n"/>
      <c r="J10" s="93" t="n"/>
      <c r="K10" s="93" t="n"/>
      <c r="L10" s="93" t="n"/>
      <c r="M10" s="93" t="n"/>
      <c r="N10" s="93" t="n"/>
      <c r="O10" s="93" t="n"/>
      <c r="P10" s="93" t="n"/>
      <c r="Q10" s="93" t="n"/>
      <c r="R10" s="93" t="n"/>
      <c r="S10" s="93" t="n"/>
      <c r="T10" s="93" t="n"/>
      <c r="U10" s="93" t="n"/>
      <c r="V10" s="93" t="n"/>
      <c r="W10" s="93" t="n"/>
      <c r="X10" s="93" t="n"/>
      <c r="Y10" s="93" t="n"/>
      <c r="Z10" s="93" t="n"/>
      <c r="AA10" s="93" t="n"/>
      <c r="AB10" s="93" t="n"/>
      <c r="AC10" s="93" t="n"/>
      <c r="AD10" s="93" t="n"/>
      <c r="AE10" s="93" t="n"/>
      <c r="AF10" s="93" t="n"/>
      <c r="AG10" s="93" t="n"/>
      <c r="AH10" s="93" t="n"/>
      <c r="AI10" s="93" t="n"/>
      <c r="AJ10" s="93" t="n"/>
      <c r="AK10" s="104">
        <f>IF($B10="","",SUMPRODUCT(COUNTIF($F10:$AJ10,KY_HIEU!$A$6:$A$45)*KY_HIEU!$C$6:$C$45))</f>
        <v/>
      </c>
      <c r="AL10" s="104">
        <f>IF($B10="","",SUMPRODUCT(COUNTIF($F10:$AJ10,KY_HIEU!$A$6:$A$45)*KY_HIEU!$D$6:$D$45))</f>
        <v/>
      </c>
      <c r="AM10" s="104">
        <f>IF($B10="","",SUMPRODUCT(COUNTIF($F10:$AJ10,KY_HIEU!$A$6:$A$45)*KY_HIEU!$E$6:$E$45))</f>
        <v/>
      </c>
      <c r="AN10" s="104">
        <f>IF($B10="","",SUMPRODUCT(COUNTIF($F10:$AJ10,KY_HIEU!$A$6:$A$45)*KY_HIEU!$F$6:$F$45))</f>
        <v/>
      </c>
      <c r="AO10" s="104">
        <f>IF($B10="","",SUMPRODUCT(COUNTIF($F10:$AJ10,KY_HIEU!$A$6:$A$45)*KY_HIEU!$G$6:$G$45))</f>
        <v/>
      </c>
      <c r="AP10" s="104">
        <f>IF($B10="","",SUMPRODUCT(COUNTIF($F10:$AJ10,KY_HIEU!$A$6:$A$45)*KY_HIEU!$H$6:$H$45))</f>
        <v/>
      </c>
      <c r="AQ10" s="104">
        <f>IF($B10="","",SUMPRODUCT(COUNTIF($F10:$AJ10,KY_HIEU!$A$6:$A$45)*KY_HIEU!$I$6:$I$45))</f>
        <v/>
      </c>
      <c r="AR10" s="105">
        <f>IF($B10="","",$AK10+$AL10+$AN10+$AO10+$AP10+$AQ10)</f>
        <v/>
      </c>
      <c r="AS10" s="105">
        <f>IF($B10="","",IF(DM_NHAN_SU!$I10&lt;&gt;"",DM_NHAN_SU!$I10,IF(THAM_SO_CC!$B$20="Nhập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THAM_SO_CC!$B$8,DM_NHAN_SU!$F10))*(ROW(INDIRECT(THAM_SO_CC!$B$8&amp;":"&amp;THAM_SO_CC!$B$9))&lt;=IF(DM_NHAN_SU!$G10="",THAM_SO_CC!$B$9,DM_NHAN_SU!$G10))))))</f>
        <v/>
      </c>
      <c r="AT10" s="106">
        <f>IF($B10="","",$AR10-$AS10)</f>
        <v/>
      </c>
      <c r="AU10" s="96">
        <f>IF($B10="","",TRIM(IF(SUMPRODUCT(--($F10:$AJ10&lt;&gt;""))-SUMPRODUCT(COUNTIF($F10:$AJ10,KY_HIEU!$A$6:$A$45))&gt;0,"Ký hiệu lạ; ","")&amp;IF(ROUND($AT10,2)&lt;&gt;0,"Lệch ngày công "&amp;TEXT($AT10,"0.0")&amp;"; ","")&amp;IF(SUMPRODUCT(--($F10:$AJ10&lt;&gt;""),--((THAM_SO_CC!$B$8+COLUMN($F$1:$AJ$1)-6)&gt;THAM_SO_CC!$B$9))&gt;0,"Chấm ngoài kỳ; ","")&amp;IF(AND(DM_NHAN_SU!$F10&lt;&gt;"",SUMPRODUCT(--($F10:$AJ10&lt;&gt;""),--($F10:$AJ10&lt;&gt;"NV"),--($F10:$AJ10&lt;&gt;"NT"),--($F10:$AJ10&lt;&gt;"TN"),--((THAM_SO_CC!$B$8+COLUMN($F$1:$AJ$1)-6)&lt;DM_NHAN_SU!$F10))&gt;0),"Chấm trước ngày vào; ","")&amp;IF(AND(DM_NHAN_SU!$G10&lt;&gt;"",SUMPRODUCT(--($F10:$AJ10&lt;&gt;""),--($F10:$AJ10&lt;&gt;"NV"),--($F10:$AJ10&lt;&gt;"NT"),--($F10:$AJ10&lt;&gt;"TN"),--((THAM_SO_CC!$B$8+COLUMN($F$1:$AJ$1)-6)&gt;DM_NHAN_SU!$G10))&gt;0),"Chấm sau ngày nghỉ việc; ","")))</f>
        <v/>
      </c>
    </row>
    <row r="11" ht="15" customHeight="1" s="63">
      <c r="A11" s="85">
        <f>IF($B11="","",ROW()-5)</f>
        <v/>
      </c>
      <c r="B11" s="103">
        <f>IF(DM_NHAN_SU!B11="","",DM_NHAN_SU!B11)</f>
        <v/>
      </c>
      <c r="C11" s="96">
        <f>IF($B11="","",DM_NHAN_SU!C11)</f>
        <v/>
      </c>
      <c r="D11" s="96">
        <f>IF($B11="","",DM_NHAN_SU!D11)</f>
        <v/>
      </c>
      <c r="E11" s="96">
        <f>IF($B11="","",DM_NHAN_SU!E11)</f>
        <v/>
      </c>
      <c r="F11" s="93" t="n"/>
      <c r="G11" s="93" t="n"/>
      <c r="H11" s="93" t="n"/>
      <c r="I11" s="93" t="n"/>
      <c r="J11" s="93" t="n"/>
      <c r="K11" s="93" t="n"/>
      <c r="L11" s="93" t="n"/>
      <c r="M11" s="93" t="n"/>
      <c r="N11" s="93" t="n"/>
      <c r="O11" s="93" t="n"/>
      <c r="P11" s="93" t="n"/>
      <c r="Q11" s="93" t="n"/>
      <c r="R11" s="93" t="n"/>
      <c r="S11" s="93" t="n"/>
      <c r="T11" s="93" t="n"/>
      <c r="U11" s="93" t="n"/>
      <c r="V11" s="93" t="n"/>
      <c r="W11" s="93" t="n"/>
      <c r="X11" s="93" t="n"/>
      <c r="Y11" s="93" t="n"/>
      <c r="Z11" s="93" t="n"/>
      <c r="AA11" s="93" t="n"/>
      <c r="AB11" s="93" t="n"/>
      <c r="AC11" s="93" t="n"/>
      <c r="AD11" s="93" t="n"/>
      <c r="AE11" s="93" t="n"/>
      <c r="AF11" s="93" t="n"/>
      <c r="AG11" s="93" t="n"/>
      <c r="AH11" s="93" t="n"/>
      <c r="AI11" s="93" t="n"/>
      <c r="AJ11" s="93" t="n"/>
      <c r="AK11" s="104">
        <f>IF($B11="","",SUMPRODUCT(COUNTIF($F11:$AJ11,KY_HIEU!$A$6:$A$45)*KY_HIEU!$C$6:$C$45))</f>
        <v/>
      </c>
      <c r="AL11" s="104">
        <f>IF($B11="","",SUMPRODUCT(COUNTIF($F11:$AJ11,KY_HIEU!$A$6:$A$45)*KY_HIEU!$D$6:$D$45))</f>
        <v/>
      </c>
      <c r="AM11" s="104">
        <f>IF($B11="","",SUMPRODUCT(COUNTIF($F11:$AJ11,KY_HIEU!$A$6:$A$45)*KY_HIEU!$E$6:$E$45))</f>
        <v/>
      </c>
      <c r="AN11" s="104">
        <f>IF($B11="","",SUMPRODUCT(COUNTIF($F11:$AJ11,KY_HIEU!$A$6:$A$45)*KY_HIEU!$F$6:$F$45))</f>
        <v/>
      </c>
      <c r="AO11" s="104">
        <f>IF($B11="","",SUMPRODUCT(COUNTIF($F11:$AJ11,KY_HIEU!$A$6:$A$45)*KY_HIEU!$G$6:$G$45))</f>
        <v/>
      </c>
      <c r="AP11" s="104">
        <f>IF($B11="","",SUMPRODUCT(COUNTIF($F11:$AJ11,KY_HIEU!$A$6:$A$45)*KY_HIEU!$H$6:$H$45))</f>
        <v/>
      </c>
      <c r="AQ11" s="104">
        <f>IF($B11="","",SUMPRODUCT(COUNTIF($F11:$AJ11,KY_HIEU!$A$6:$A$45)*KY_HIEU!$I$6:$I$45))</f>
        <v/>
      </c>
      <c r="AR11" s="105">
        <f>IF($B11="","",$AK11+$AL11+$AN11+$AO11+$AP11+$AQ11)</f>
        <v/>
      </c>
      <c r="AS11" s="105">
        <f>IF($B11="","",IF(DM_NHAN_SU!$I11&lt;&gt;"",DM_NHAN_SU!$I11,IF(THAM_SO_CC!$B$20="Nhập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THAM_SO_CC!$B$8,DM_NHAN_SU!$F11))*(ROW(INDIRECT(THAM_SO_CC!$B$8&amp;":"&amp;THAM_SO_CC!$B$9))&lt;=IF(DM_NHAN_SU!$G11="",THAM_SO_CC!$B$9,DM_NHAN_SU!$G11))))))</f>
        <v/>
      </c>
      <c r="AT11" s="106">
        <f>IF($B11="","",$AR11-$AS11)</f>
        <v/>
      </c>
      <c r="AU11" s="96">
        <f>IF($B11="","",TRIM(IF(SUMPRODUCT(--($F11:$AJ11&lt;&gt;""))-SUMPRODUCT(COUNTIF($F11:$AJ11,KY_HIEU!$A$6:$A$45))&gt;0,"Ký hiệu lạ; ","")&amp;IF(ROUND($AT11,2)&lt;&gt;0,"Lệch ngày công "&amp;TEXT($AT11,"0.0")&amp;"; ","")&amp;IF(SUMPRODUCT(--($F11:$AJ11&lt;&gt;""),--((THAM_SO_CC!$B$8+COLUMN($F$1:$AJ$1)-6)&gt;THAM_SO_CC!$B$9))&gt;0,"Chấm ngoài kỳ; ","")&amp;IF(AND(DM_NHAN_SU!$F11&lt;&gt;"",SUMPRODUCT(--($F11:$AJ11&lt;&gt;""),--($F11:$AJ11&lt;&gt;"NV"),--($F11:$AJ11&lt;&gt;"NT"),--($F11:$AJ11&lt;&gt;"TN"),--((THAM_SO_CC!$B$8+COLUMN($F$1:$AJ$1)-6)&lt;DM_NHAN_SU!$F11))&gt;0),"Chấm trước ngày vào; ","")&amp;IF(AND(DM_NHAN_SU!$G11&lt;&gt;"",SUMPRODUCT(--($F11:$AJ11&lt;&gt;""),--($F11:$AJ11&lt;&gt;"NV"),--($F11:$AJ11&lt;&gt;"NT"),--($F11:$AJ11&lt;&gt;"TN"),--((THAM_SO_CC!$B$8+COLUMN($F$1:$AJ$1)-6)&gt;DM_NHAN_SU!$G11))&gt;0),"Chấm sau ngày nghỉ việc; ","")))</f>
        <v/>
      </c>
    </row>
    <row r="12" ht="15" customHeight="1" s="63">
      <c r="A12" s="85">
        <f>IF($B12="","",ROW()-5)</f>
        <v/>
      </c>
      <c r="B12" s="103">
        <f>IF(DM_NHAN_SU!B12="","",DM_NHAN_SU!B12)</f>
        <v/>
      </c>
      <c r="C12" s="96">
        <f>IF($B12="","",DM_NHAN_SU!C12)</f>
        <v/>
      </c>
      <c r="D12" s="96">
        <f>IF($B12="","",DM_NHAN_SU!D12)</f>
        <v/>
      </c>
      <c r="E12" s="96">
        <f>IF($B12="","",DM_NHAN_SU!E12)</f>
        <v/>
      </c>
      <c r="F12" s="93" t="n"/>
      <c r="G12" s="93" t="n"/>
      <c r="H12" s="93" t="n"/>
      <c r="I12" s="93" t="n"/>
      <c r="J12" s="93" t="n"/>
      <c r="K12" s="93" t="n"/>
      <c r="L12" s="93" t="n"/>
      <c r="M12" s="93" t="n"/>
      <c r="N12" s="93" t="n"/>
      <c r="O12" s="93" t="n"/>
      <c r="P12" s="93" t="n"/>
      <c r="Q12" s="93" t="n"/>
      <c r="R12" s="93" t="n"/>
      <c r="S12" s="93" t="n"/>
      <c r="T12" s="93" t="n"/>
      <c r="U12" s="93" t="n"/>
      <c r="V12" s="93" t="n"/>
      <c r="W12" s="93" t="n"/>
      <c r="X12" s="93" t="n"/>
      <c r="Y12" s="93" t="n"/>
      <c r="Z12" s="93" t="n"/>
      <c r="AA12" s="93" t="n"/>
      <c r="AB12" s="93" t="n"/>
      <c r="AC12" s="93" t="n"/>
      <c r="AD12" s="93" t="n"/>
      <c r="AE12" s="93" t="n"/>
      <c r="AF12" s="93" t="n"/>
      <c r="AG12" s="93" t="n"/>
      <c r="AH12" s="93" t="n"/>
      <c r="AI12" s="93" t="n"/>
      <c r="AJ12" s="93" t="n"/>
      <c r="AK12" s="104">
        <f>IF($B12="","",SUMPRODUCT(COUNTIF($F12:$AJ12,KY_HIEU!$A$6:$A$45)*KY_HIEU!$C$6:$C$45))</f>
        <v/>
      </c>
      <c r="AL12" s="104">
        <f>IF($B12="","",SUMPRODUCT(COUNTIF($F12:$AJ12,KY_HIEU!$A$6:$A$45)*KY_HIEU!$D$6:$D$45))</f>
        <v/>
      </c>
      <c r="AM12" s="104">
        <f>IF($B12="","",SUMPRODUCT(COUNTIF($F12:$AJ12,KY_HIEU!$A$6:$A$45)*KY_HIEU!$E$6:$E$45))</f>
        <v/>
      </c>
      <c r="AN12" s="104">
        <f>IF($B12="","",SUMPRODUCT(COUNTIF($F12:$AJ12,KY_HIEU!$A$6:$A$45)*KY_HIEU!$F$6:$F$45))</f>
        <v/>
      </c>
      <c r="AO12" s="104">
        <f>IF($B12="","",SUMPRODUCT(COUNTIF($F12:$AJ12,KY_HIEU!$A$6:$A$45)*KY_HIEU!$G$6:$G$45))</f>
        <v/>
      </c>
      <c r="AP12" s="104">
        <f>IF($B12="","",SUMPRODUCT(COUNTIF($F12:$AJ12,KY_HIEU!$A$6:$A$45)*KY_HIEU!$H$6:$H$45))</f>
        <v/>
      </c>
      <c r="AQ12" s="104">
        <f>IF($B12="","",SUMPRODUCT(COUNTIF($F12:$AJ12,KY_HIEU!$A$6:$A$45)*KY_HIEU!$I$6:$I$45))</f>
        <v/>
      </c>
      <c r="AR12" s="105">
        <f>IF($B12="","",$AK12+$AL12+$AN12+$AO12+$AP12+$AQ12)</f>
        <v/>
      </c>
      <c r="AS12" s="105">
        <f>IF($B12="","",IF(DM_NHAN_SU!$I12&lt;&gt;"",DM_NHAN_SU!$I12,IF(THAM_SO_CC!$B$20="Nhập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THAM_SO_CC!$B$8,DM_NHAN_SU!$F12))*(ROW(INDIRECT(THAM_SO_CC!$B$8&amp;":"&amp;THAM_SO_CC!$B$9))&lt;=IF(DM_NHAN_SU!$G12="",THAM_SO_CC!$B$9,DM_NHAN_SU!$G12))))))</f>
        <v/>
      </c>
      <c r="AT12" s="106">
        <f>IF($B12="","",$AR12-$AS12)</f>
        <v/>
      </c>
      <c r="AU12" s="96">
        <f>IF($B12="","",TRIM(IF(SUMPRODUCT(--($F12:$AJ12&lt;&gt;""))-SUMPRODUCT(COUNTIF($F12:$AJ12,KY_HIEU!$A$6:$A$45))&gt;0,"Ký hiệu lạ; ","")&amp;IF(ROUND($AT12,2)&lt;&gt;0,"Lệch ngày công "&amp;TEXT($AT12,"0.0")&amp;"; ","")&amp;IF(SUMPRODUCT(--($F12:$AJ12&lt;&gt;""),--((THAM_SO_CC!$B$8+COLUMN($F$1:$AJ$1)-6)&gt;THAM_SO_CC!$B$9))&gt;0,"Chấm ngoài kỳ; ","")&amp;IF(AND(DM_NHAN_SU!$F12&lt;&gt;"",SUMPRODUCT(--($F12:$AJ12&lt;&gt;""),--($F12:$AJ12&lt;&gt;"NV"),--($F12:$AJ12&lt;&gt;"NT"),--($F12:$AJ12&lt;&gt;"TN"),--((THAM_SO_CC!$B$8+COLUMN($F$1:$AJ$1)-6)&lt;DM_NHAN_SU!$F12))&gt;0),"Chấm trước ngày vào; ","")&amp;IF(AND(DM_NHAN_SU!$G12&lt;&gt;"",SUMPRODUCT(--($F12:$AJ12&lt;&gt;""),--($F12:$AJ12&lt;&gt;"NV"),--($F12:$AJ12&lt;&gt;"NT"),--($F12:$AJ12&lt;&gt;"TN"),--((THAM_SO_CC!$B$8+COLUMN($F$1:$AJ$1)-6)&gt;DM_NHAN_SU!$G12))&gt;0),"Chấm sau ngày nghỉ việc; ","")))</f>
        <v/>
      </c>
    </row>
    <row r="13" ht="15" customHeight="1" s="63">
      <c r="A13" s="85">
        <f>IF($B13="","",ROW()-5)</f>
        <v/>
      </c>
      <c r="B13" s="103">
        <f>IF(DM_NHAN_SU!B13="","",DM_NHAN_SU!B13)</f>
        <v/>
      </c>
      <c r="C13" s="96">
        <f>IF($B13="","",DM_NHAN_SU!C13)</f>
        <v/>
      </c>
      <c r="D13" s="96">
        <f>IF($B13="","",DM_NHAN_SU!D13)</f>
        <v/>
      </c>
      <c r="E13" s="96">
        <f>IF($B13="","",DM_NHAN_SU!E13)</f>
        <v/>
      </c>
      <c r="F13" s="93" t="n"/>
      <c r="G13" s="93" t="n"/>
      <c r="H13" s="93" t="n"/>
      <c r="I13" s="93" t="n"/>
      <c r="J13" s="93" t="n"/>
      <c r="K13" s="93" t="n"/>
      <c r="L13" s="93" t="n"/>
      <c r="M13" s="93" t="n"/>
      <c r="N13" s="93" t="n"/>
      <c r="O13" s="93" t="n"/>
      <c r="P13" s="93" t="n"/>
      <c r="Q13" s="93" t="n"/>
      <c r="R13" s="93" t="n"/>
      <c r="S13" s="93" t="n"/>
      <c r="T13" s="93" t="n"/>
      <c r="U13" s="93" t="n"/>
      <c r="V13" s="93" t="n"/>
      <c r="W13" s="93" t="n"/>
      <c r="X13" s="93" t="n"/>
      <c r="Y13" s="93" t="n"/>
      <c r="Z13" s="93" t="n"/>
      <c r="AA13" s="93" t="n"/>
      <c r="AB13" s="93" t="n"/>
      <c r="AC13" s="93" t="n"/>
      <c r="AD13" s="93" t="n"/>
      <c r="AE13" s="93" t="n"/>
      <c r="AF13" s="93" t="n"/>
      <c r="AG13" s="93" t="n"/>
      <c r="AH13" s="93" t="n"/>
      <c r="AI13" s="93" t="n"/>
      <c r="AJ13" s="93" t="n"/>
      <c r="AK13" s="104">
        <f>IF($B13="","",SUMPRODUCT(COUNTIF($F13:$AJ13,KY_HIEU!$A$6:$A$45)*KY_HIEU!$C$6:$C$45))</f>
        <v/>
      </c>
      <c r="AL13" s="104">
        <f>IF($B13="","",SUMPRODUCT(COUNTIF($F13:$AJ13,KY_HIEU!$A$6:$A$45)*KY_HIEU!$D$6:$D$45))</f>
        <v/>
      </c>
      <c r="AM13" s="104">
        <f>IF($B13="","",SUMPRODUCT(COUNTIF($F13:$AJ13,KY_HIEU!$A$6:$A$45)*KY_HIEU!$E$6:$E$45))</f>
        <v/>
      </c>
      <c r="AN13" s="104">
        <f>IF($B13="","",SUMPRODUCT(COUNTIF($F13:$AJ13,KY_HIEU!$A$6:$A$45)*KY_HIEU!$F$6:$F$45))</f>
        <v/>
      </c>
      <c r="AO13" s="104">
        <f>IF($B13="","",SUMPRODUCT(COUNTIF($F13:$AJ13,KY_HIEU!$A$6:$A$45)*KY_HIEU!$G$6:$G$45))</f>
        <v/>
      </c>
      <c r="AP13" s="104">
        <f>IF($B13="","",SUMPRODUCT(COUNTIF($F13:$AJ13,KY_HIEU!$A$6:$A$45)*KY_HIEU!$H$6:$H$45))</f>
        <v/>
      </c>
      <c r="AQ13" s="104">
        <f>IF($B13="","",SUMPRODUCT(COUNTIF($F13:$AJ13,KY_HIEU!$A$6:$A$45)*KY_HIEU!$I$6:$I$45))</f>
        <v/>
      </c>
      <c r="AR13" s="105">
        <f>IF($B13="","",$AK13+$AL13+$AN13+$AO13+$AP13+$AQ13)</f>
        <v/>
      </c>
      <c r="AS13" s="105">
        <f>IF($B13="","",IF(DM_NHAN_SU!$I13&lt;&gt;"",DM_NHAN_SU!$I13,IF(THAM_SO_CC!$B$20="Nhập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THAM_SO_CC!$B$8,DM_NHAN_SU!$F13))*(ROW(INDIRECT(THAM_SO_CC!$B$8&amp;":"&amp;THAM_SO_CC!$B$9))&lt;=IF(DM_NHAN_SU!$G13="",THAM_SO_CC!$B$9,DM_NHAN_SU!$G13))))))</f>
        <v/>
      </c>
      <c r="AT13" s="106">
        <f>IF($B13="","",$AR13-$AS13)</f>
        <v/>
      </c>
      <c r="AU13" s="96">
        <f>IF($B13="","",TRIM(IF(SUMPRODUCT(--($F13:$AJ13&lt;&gt;""))-SUMPRODUCT(COUNTIF($F13:$AJ13,KY_HIEU!$A$6:$A$45))&gt;0,"Ký hiệu lạ; ","")&amp;IF(ROUND($AT13,2)&lt;&gt;0,"Lệch ngày công "&amp;TEXT($AT13,"0.0")&amp;"; ","")&amp;IF(SUMPRODUCT(--($F13:$AJ13&lt;&gt;""),--((THAM_SO_CC!$B$8+COLUMN($F$1:$AJ$1)-6)&gt;THAM_SO_CC!$B$9))&gt;0,"Chấm ngoài kỳ; ","")&amp;IF(AND(DM_NHAN_SU!$F13&lt;&gt;"",SUMPRODUCT(--($F13:$AJ13&lt;&gt;""),--($F13:$AJ13&lt;&gt;"NV"),--($F13:$AJ13&lt;&gt;"NT"),--($F13:$AJ13&lt;&gt;"TN"),--((THAM_SO_CC!$B$8+COLUMN($F$1:$AJ$1)-6)&lt;DM_NHAN_SU!$F13))&gt;0),"Chấm trước ngày vào; ","")&amp;IF(AND(DM_NHAN_SU!$G13&lt;&gt;"",SUMPRODUCT(--($F13:$AJ13&lt;&gt;""),--($F13:$AJ13&lt;&gt;"NV"),--($F13:$AJ13&lt;&gt;"NT"),--($F13:$AJ13&lt;&gt;"TN"),--((THAM_SO_CC!$B$8+COLUMN($F$1:$AJ$1)-6)&gt;DM_NHAN_SU!$G13))&gt;0),"Chấm sau ngày nghỉ việc; ","")))</f>
        <v/>
      </c>
    </row>
    <row r="14" ht="15" customHeight="1" s="63">
      <c r="A14" s="85">
        <f>IF($B14="","",ROW()-5)</f>
        <v/>
      </c>
      <c r="B14" s="103">
        <f>IF(DM_NHAN_SU!B14="","",DM_NHAN_SU!B14)</f>
        <v/>
      </c>
      <c r="C14" s="96">
        <f>IF($B14="","",DM_NHAN_SU!C14)</f>
        <v/>
      </c>
      <c r="D14" s="96">
        <f>IF($B14="","",DM_NHAN_SU!D14)</f>
        <v/>
      </c>
      <c r="E14" s="96">
        <f>IF($B14="","",DM_NHAN_SU!E14)</f>
        <v/>
      </c>
      <c r="F14" s="93" t="n"/>
      <c r="G14" s="93" t="n"/>
      <c r="H14" s="93" t="n"/>
      <c r="I14" s="93" t="n"/>
      <c r="J14" s="93" t="n"/>
      <c r="K14" s="93" t="n"/>
      <c r="L14" s="93" t="n"/>
      <c r="M14" s="93" t="n"/>
      <c r="N14" s="93" t="n"/>
      <c r="O14" s="93" t="n"/>
      <c r="P14" s="93" t="n"/>
      <c r="Q14" s="93" t="n"/>
      <c r="R14" s="93" t="n"/>
      <c r="S14" s="93" t="n"/>
      <c r="T14" s="93" t="n"/>
      <c r="U14" s="93" t="n"/>
      <c r="V14" s="93" t="n"/>
      <c r="W14" s="93" t="n"/>
      <c r="X14" s="93" t="n"/>
      <c r="Y14" s="93" t="n"/>
      <c r="Z14" s="93" t="n"/>
      <c r="AA14" s="93" t="n"/>
      <c r="AB14" s="93" t="n"/>
      <c r="AC14" s="93" t="n"/>
      <c r="AD14" s="93" t="n"/>
      <c r="AE14" s="93" t="n"/>
      <c r="AF14" s="93" t="n"/>
      <c r="AG14" s="93" t="n"/>
      <c r="AH14" s="93" t="n"/>
      <c r="AI14" s="93" t="n"/>
      <c r="AJ14" s="93" t="n"/>
      <c r="AK14" s="104">
        <f>IF($B14="","",SUMPRODUCT(COUNTIF($F14:$AJ14,KY_HIEU!$A$6:$A$45)*KY_HIEU!$C$6:$C$45))</f>
        <v/>
      </c>
      <c r="AL14" s="104">
        <f>IF($B14="","",SUMPRODUCT(COUNTIF($F14:$AJ14,KY_HIEU!$A$6:$A$45)*KY_HIEU!$D$6:$D$45))</f>
        <v/>
      </c>
      <c r="AM14" s="104">
        <f>IF($B14="","",SUMPRODUCT(COUNTIF($F14:$AJ14,KY_HIEU!$A$6:$A$45)*KY_HIEU!$E$6:$E$45))</f>
        <v/>
      </c>
      <c r="AN14" s="104">
        <f>IF($B14="","",SUMPRODUCT(COUNTIF($F14:$AJ14,KY_HIEU!$A$6:$A$45)*KY_HIEU!$F$6:$F$45))</f>
        <v/>
      </c>
      <c r="AO14" s="104">
        <f>IF($B14="","",SUMPRODUCT(COUNTIF($F14:$AJ14,KY_HIEU!$A$6:$A$45)*KY_HIEU!$G$6:$G$45))</f>
        <v/>
      </c>
      <c r="AP14" s="104">
        <f>IF($B14="","",SUMPRODUCT(COUNTIF($F14:$AJ14,KY_HIEU!$A$6:$A$45)*KY_HIEU!$H$6:$H$45))</f>
        <v/>
      </c>
      <c r="AQ14" s="104">
        <f>IF($B14="","",SUMPRODUCT(COUNTIF($F14:$AJ14,KY_HIEU!$A$6:$A$45)*KY_HIEU!$I$6:$I$45))</f>
        <v/>
      </c>
      <c r="AR14" s="105">
        <f>IF($B14="","",$AK14+$AL14+$AN14+$AO14+$AP14+$AQ14)</f>
        <v/>
      </c>
      <c r="AS14" s="105">
        <f>IF($B14="","",IF(DM_NHAN_SU!$I14&lt;&gt;"",DM_NHAN_SU!$I14,IF(THAM_SO_CC!$B$20="Nhập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THAM_SO_CC!$B$8,DM_NHAN_SU!$F14))*(ROW(INDIRECT(THAM_SO_CC!$B$8&amp;":"&amp;THAM_SO_CC!$B$9))&lt;=IF(DM_NHAN_SU!$G14="",THAM_SO_CC!$B$9,DM_NHAN_SU!$G14))))))</f>
        <v/>
      </c>
      <c r="AT14" s="106">
        <f>IF($B14="","",$AR14-$AS14)</f>
        <v/>
      </c>
      <c r="AU14" s="96">
        <f>IF($B14="","",TRIM(IF(SUMPRODUCT(--($F14:$AJ14&lt;&gt;""))-SUMPRODUCT(COUNTIF($F14:$AJ14,KY_HIEU!$A$6:$A$45))&gt;0,"Ký hiệu lạ; ","")&amp;IF(ROUND($AT14,2)&lt;&gt;0,"Lệch ngày công "&amp;TEXT($AT14,"0.0")&amp;"; ","")&amp;IF(SUMPRODUCT(--($F14:$AJ14&lt;&gt;""),--((THAM_SO_CC!$B$8+COLUMN($F$1:$AJ$1)-6)&gt;THAM_SO_CC!$B$9))&gt;0,"Chấm ngoài kỳ; ","")&amp;IF(AND(DM_NHAN_SU!$F14&lt;&gt;"",SUMPRODUCT(--($F14:$AJ14&lt;&gt;""),--($F14:$AJ14&lt;&gt;"NV"),--($F14:$AJ14&lt;&gt;"NT"),--($F14:$AJ14&lt;&gt;"TN"),--((THAM_SO_CC!$B$8+COLUMN($F$1:$AJ$1)-6)&lt;DM_NHAN_SU!$F14))&gt;0),"Chấm trước ngày vào; ","")&amp;IF(AND(DM_NHAN_SU!$G14&lt;&gt;"",SUMPRODUCT(--($F14:$AJ14&lt;&gt;""),--($F14:$AJ14&lt;&gt;"NV"),--($F14:$AJ14&lt;&gt;"NT"),--($F14:$AJ14&lt;&gt;"TN"),--((THAM_SO_CC!$B$8+COLUMN($F$1:$AJ$1)-6)&gt;DM_NHAN_SU!$G14))&gt;0),"Chấm sau ngày nghỉ việc; ","")))</f>
        <v/>
      </c>
    </row>
    <row r="15" ht="15" customHeight="1" s="63">
      <c r="A15" s="85">
        <f>IF($B15="","",ROW()-5)</f>
        <v/>
      </c>
      <c r="B15" s="103">
        <f>IF(DM_NHAN_SU!B15="","",DM_NHAN_SU!B15)</f>
        <v/>
      </c>
      <c r="C15" s="96">
        <f>IF($B15="","",DM_NHAN_SU!C15)</f>
        <v/>
      </c>
      <c r="D15" s="96">
        <f>IF($B15="","",DM_NHAN_SU!D15)</f>
        <v/>
      </c>
      <c r="E15" s="96">
        <f>IF($B15="","",DM_NHAN_SU!E15)</f>
        <v/>
      </c>
      <c r="F15" s="93" t="n"/>
      <c r="G15" s="93" t="n"/>
      <c r="H15" s="93" t="n"/>
      <c r="I15" s="93" t="n"/>
      <c r="J15" s="93" t="n"/>
      <c r="K15" s="93" t="n"/>
      <c r="L15" s="93" t="n"/>
      <c r="M15" s="93" t="n"/>
      <c r="N15" s="93" t="n"/>
      <c r="O15" s="93" t="n"/>
      <c r="P15" s="93" t="n"/>
      <c r="Q15" s="93" t="n"/>
      <c r="R15" s="93" t="n"/>
      <c r="S15" s="93" t="n"/>
      <c r="T15" s="93" t="n"/>
      <c r="U15" s="93" t="n"/>
      <c r="V15" s="93" t="n"/>
      <c r="W15" s="93" t="n"/>
      <c r="X15" s="93" t="n"/>
      <c r="Y15" s="93" t="n"/>
      <c r="Z15" s="93" t="n"/>
      <c r="AA15" s="93" t="n"/>
      <c r="AB15" s="93" t="n"/>
      <c r="AC15" s="93" t="n"/>
      <c r="AD15" s="93" t="n"/>
      <c r="AE15" s="93" t="n"/>
      <c r="AF15" s="93" t="n"/>
      <c r="AG15" s="93" t="n"/>
      <c r="AH15" s="93" t="n"/>
      <c r="AI15" s="93" t="n"/>
      <c r="AJ15" s="93" t="n"/>
      <c r="AK15" s="104">
        <f>IF($B15="","",SUMPRODUCT(COUNTIF($F15:$AJ15,KY_HIEU!$A$6:$A$45)*KY_HIEU!$C$6:$C$45))</f>
        <v/>
      </c>
      <c r="AL15" s="104">
        <f>IF($B15="","",SUMPRODUCT(COUNTIF($F15:$AJ15,KY_HIEU!$A$6:$A$45)*KY_HIEU!$D$6:$D$45))</f>
        <v/>
      </c>
      <c r="AM15" s="104">
        <f>IF($B15="","",SUMPRODUCT(COUNTIF($F15:$AJ15,KY_HIEU!$A$6:$A$45)*KY_HIEU!$E$6:$E$45))</f>
        <v/>
      </c>
      <c r="AN15" s="104">
        <f>IF($B15="","",SUMPRODUCT(COUNTIF($F15:$AJ15,KY_HIEU!$A$6:$A$45)*KY_HIEU!$F$6:$F$45))</f>
        <v/>
      </c>
      <c r="AO15" s="104">
        <f>IF($B15="","",SUMPRODUCT(COUNTIF($F15:$AJ15,KY_HIEU!$A$6:$A$45)*KY_HIEU!$G$6:$G$45))</f>
        <v/>
      </c>
      <c r="AP15" s="104">
        <f>IF($B15="","",SUMPRODUCT(COUNTIF($F15:$AJ15,KY_HIEU!$A$6:$A$45)*KY_HIEU!$H$6:$H$45))</f>
        <v/>
      </c>
      <c r="AQ15" s="104">
        <f>IF($B15="","",SUMPRODUCT(COUNTIF($F15:$AJ15,KY_HIEU!$A$6:$A$45)*KY_HIEU!$I$6:$I$45))</f>
        <v/>
      </c>
      <c r="AR15" s="105">
        <f>IF($B15="","",$AK15+$AL15+$AN15+$AO15+$AP15+$AQ15)</f>
        <v/>
      </c>
      <c r="AS15" s="105">
        <f>IF($B15="","",IF(DM_NHAN_SU!$I15&lt;&gt;"",DM_NHAN_SU!$I15,IF(THAM_SO_CC!$B$20="Nhập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THAM_SO_CC!$B$8,DM_NHAN_SU!$F15))*(ROW(INDIRECT(THAM_SO_CC!$B$8&amp;":"&amp;THAM_SO_CC!$B$9))&lt;=IF(DM_NHAN_SU!$G15="",THAM_SO_CC!$B$9,DM_NHAN_SU!$G15))))))</f>
        <v/>
      </c>
      <c r="AT15" s="106">
        <f>IF($B15="","",$AR15-$AS15)</f>
        <v/>
      </c>
      <c r="AU15" s="96">
        <f>IF($B15="","",TRIM(IF(SUMPRODUCT(--($F15:$AJ15&lt;&gt;""))-SUMPRODUCT(COUNTIF($F15:$AJ15,KY_HIEU!$A$6:$A$45))&gt;0,"Ký hiệu lạ; ","")&amp;IF(ROUND($AT15,2)&lt;&gt;0,"Lệch ngày công "&amp;TEXT($AT15,"0.0")&amp;"; ","")&amp;IF(SUMPRODUCT(--($F15:$AJ15&lt;&gt;""),--((THAM_SO_CC!$B$8+COLUMN($F$1:$AJ$1)-6)&gt;THAM_SO_CC!$B$9))&gt;0,"Chấm ngoài kỳ; ","")&amp;IF(AND(DM_NHAN_SU!$F15&lt;&gt;"",SUMPRODUCT(--($F15:$AJ15&lt;&gt;""),--($F15:$AJ15&lt;&gt;"NV"),--($F15:$AJ15&lt;&gt;"NT"),--($F15:$AJ15&lt;&gt;"TN"),--((THAM_SO_CC!$B$8+COLUMN($F$1:$AJ$1)-6)&lt;DM_NHAN_SU!$F15))&gt;0),"Chấm trước ngày vào; ","")&amp;IF(AND(DM_NHAN_SU!$G15&lt;&gt;"",SUMPRODUCT(--($F15:$AJ15&lt;&gt;""),--($F15:$AJ15&lt;&gt;"NV"),--($F15:$AJ15&lt;&gt;"NT"),--($F15:$AJ15&lt;&gt;"TN"),--((THAM_SO_CC!$B$8+COLUMN($F$1:$AJ$1)-6)&gt;DM_NHAN_SU!$G15))&gt;0),"Chấm sau ngày nghỉ việc; ","")))</f>
        <v/>
      </c>
    </row>
    <row r="16" ht="15" customHeight="1" s="63">
      <c r="A16" s="85">
        <f>IF($B16="","",ROW()-5)</f>
        <v/>
      </c>
      <c r="B16" s="103">
        <f>IF(DM_NHAN_SU!B16="","",DM_NHAN_SU!B16)</f>
        <v/>
      </c>
      <c r="C16" s="96">
        <f>IF($B16="","",DM_NHAN_SU!C16)</f>
        <v/>
      </c>
      <c r="D16" s="96">
        <f>IF($B16="","",DM_NHAN_SU!D16)</f>
        <v/>
      </c>
      <c r="E16" s="96">
        <f>IF($B16="","",DM_NHAN_SU!E16)</f>
        <v/>
      </c>
      <c r="F16" s="93" t="n"/>
      <c r="G16" s="93" t="n"/>
      <c r="H16" s="93" t="n"/>
      <c r="I16" s="93" t="n"/>
      <c r="J16" s="93" t="n"/>
      <c r="K16" s="93" t="n"/>
      <c r="L16" s="93" t="n"/>
      <c r="M16" s="93" t="n"/>
      <c r="N16" s="93" t="n"/>
      <c r="O16" s="93" t="n"/>
      <c r="P16" s="93" t="n"/>
      <c r="Q16" s="93" t="n"/>
      <c r="R16" s="93" t="n"/>
      <c r="S16" s="93" t="n"/>
      <c r="T16" s="93" t="n"/>
      <c r="U16" s="93" t="n"/>
      <c r="V16" s="93" t="n"/>
      <c r="W16" s="93" t="n"/>
      <c r="X16" s="93" t="n"/>
      <c r="Y16" s="93" t="n"/>
      <c r="Z16" s="93" t="n"/>
      <c r="AA16" s="93" t="n"/>
      <c r="AB16" s="93" t="n"/>
      <c r="AC16" s="93" t="n"/>
      <c r="AD16" s="93" t="n"/>
      <c r="AE16" s="93" t="n"/>
      <c r="AF16" s="93" t="n"/>
      <c r="AG16" s="93" t="n"/>
      <c r="AH16" s="93" t="n"/>
      <c r="AI16" s="93" t="n"/>
      <c r="AJ16" s="93" t="n"/>
      <c r="AK16" s="104">
        <f>IF($B16="","",SUMPRODUCT(COUNTIF($F16:$AJ16,KY_HIEU!$A$6:$A$45)*KY_HIEU!$C$6:$C$45))</f>
        <v/>
      </c>
      <c r="AL16" s="104">
        <f>IF($B16="","",SUMPRODUCT(COUNTIF($F16:$AJ16,KY_HIEU!$A$6:$A$45)*KY_HIEU!$D$6:$D$45))</f>
        <v/>
      </c>
      <c r="AM16" s="104">
        <f>IF($B16="","",SUMPRODUCT(COUNTIF($F16:$AJ16,KY_HIEU!$A$6:$A$45)*KY_HIEU!$E$6:$E$45))</f>
        <v/>
      </c>
      <c r="AN16" s="104">
        <f>IF($B16="","",SUMPRODUCT(COUNTIF($F16:$AJ16,KY_HIEU!$A$6:$A$45)*KY_HIEU!$F$6:$F$45))</f>
        <v/>
      </c>
      <c r="AO16" s="104">
        <f>IF($B16="","",SUMPRODUCT(COUNTIF($F16:$AJ16,KY_HIEU!$A$6:$A$45)*KY_HIEU!$G$6:$G$45))</f>
        <v/>
      </c>
      <c r="AP16" s="104">
        <f>IF($B16="","",SUMPRODUCT(COUNTIF($F16:$AJ16,KY_HIEU!$A$6:$A$45)*KY_HIEU!$H$6:$H$45))</f>
        <v/>
      </c>
      <c r="AQ16" s="104">
        <f>IF($B16="","",SUMPRODUCT(COUNTIF($F16:$AJ16,KY_HIEU!$A$6:$A$45)*KY_HIEU!$I$6:$I$45))</f>
        <v/>
      </c>
      <c r="AR16" s="105">
        <f>IF($B16="","",$AK16+$AL16+$AN16+$AO16+$AP16+$AQ16)</f>
        <v/>
      </c>
      <c r="AS16" s="105">
        <f>IF($B16="","",IF(DM_NHAN_SU!$I16&lt;&gt;"",DM_NHAN_SU!$I16,IF(THAM_SO_CC!$B$20="Nhập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16="",THAM_SO_CC!$B$8,DM_NHAN_SU!$F16))*(ROW(INDIRECT(THAM_SO_CC!$B$8&amp;":"&amp;THAM_SO_CC!$B$9))&lt;=IF(DM_NHAN_SU!$G16="",THAM_SO_CC!$B$9,DM_NHAN_SU!$G16))))))</f>
        <v/>
      </c>
      <c r="AT16" s="106">
        <f>IF($B16="","",$AR16-$AS16)</f>
        <v/>
      </c>
      <c r="AU16" s="96">
        <f>IF($B16="","",TRIM(IF(SUMPRODUCT(--($F16:$AJ16&lt;&gt;""))-SUMPRODUCT(COUNTIF($F16:$AJ16,KY_HIEU!$A$6:$A$45))&gt;0,"Ký hiệu lạ; ","")&amp;IF(ROUND($AT16,2)&lt;&gt;0,"Lệch ngày công "&amp;TEXT($AT16,"0.0")&amp;"; ","")&amp;IF(SUMPRODUCT(--($F16:$AJ16&lt;&gt;""),--((THAM_SO_CC!$B$8+COLUMN($F$1:$AJ$1)-6)&gt;THAM_SO_CC!$B$9))&gt;0,"Chấm ngoài kỳ; ","")&amp;IF(AND(DM_NHAN_SU!$F16&lt;&gt;"",SUMPRODUCT(--($F16:$AJ16&lt;&gt;""),--($F16:$AJ16&lt;&gt;"NV"),--($F16:$AJ16&lt;&gt;"NT"),--($F16:$AJ16&lt;&gt;"TN"),--((THAM_SO_CC!$B$8+COLUMN($F$1:$AJ$1)-6)&lt;DM_NHAN_SU!$F16))&gt;0),"Chấm trước ngày vào; ","")&amp;IF(AND(DM_NHAN_SU!$G16&lt;&gt;"",SUMPRODUCT(--($F16:$AJ16&lt;&gt;""),--($F16:$AJ16&lt;&gt;"NV"),--($F16:$AJ16&lt;&gt;"NT"),--($F16:$AJ16&lt;&gt;"TN"),--((THAM_SO_CC!$B$8+COLUMN($F$1:$AJ$1)-6)&gt;DM_NHAN_SU!$G16))&gt;0),"Chấm sau ngày nghỉ việc; ","")))</f>
        <v/>
      </c>
    </row>
    <row r="17" ht="15" customHeight="1" s="63">
      <c r="A17" s="85">
        <f>IF($B17="","",ROW()-5)</f>
        <v/>
      </c>
      <c r="B17" s="103">
        <f>IF(DM_NHAN_SU!B17="","",DM_NHAN_SU!B17)</f>
        <v/>
      </c>
      <c r="C17" s="96">
        <f>IF($B17="","",DM_NHAN_SU!C17)</f>
        <v/>
      </c>
      <c r="D17" s="96">
        <f>IF($B17="","",DM_NHAN_SU!D17)</f>
        <v/>
      </c>
      <c r="E17" s="96">
        <f>IF($B17="","",DM_NHAN_SU!E17)</f>
        <v/>
      </c>
      <c r="F17" s="93" t="n"/>
      <c r="G17" s="93" t="n"/>
      <c r="H17" s="93" t="n"/>
      <c r="I17" s="93" t="n"/>
      <c r="J17" s="93" t="n"/>
      <c r="K17" s="93" t="n"/>
      <c r="L17" s="93" t="n"/>
      <c r="M17" s="93" t="n"/>
      <c r="N17" s="93" t="n"/>
      <c r="O17" s="93" t="n"/>
      <c r="P17" s="93" t="n"/>
      <c r="Q17" s="93" t="n"/>
      <c r="R17" s="93" t="n"/>
      <c r="S17" s="93" t="n"/>
      <c r="T17" s="93" t="n"/>
      <c r="U17" s="93" t="n"/>
      <c r="V17" s="93" t="n"/>
      <c r="W17" s="93" t="n"/>
      <c r="X17" s="93" t="n"/>
      <c r="Y17" s="93" t="n"/>
      <c r="Z17" s="93" t="n"/>
      <c r="AA17" s="93" t="n"/>
      <c r="AB17" s="93" t="n"/>
      <c r="AC17" s="93" t="n"/>
      <c r="AD17" s="93" t="n"/>
      <c r="AE17" s="93" t="n"/>
      <c r="AF17" s="93" t="n"/>
      <c r="AG17" s="93" t="n"/>
      <c r="AH17" s="93" t="n"/>
      <c r="AI17" s="93" t="n"/>
      <c r="AJ17" s="93" t="n"/>
      <c r="AK17" s="104">
        <f>IF($B17="","",SUMPRODUCT(COUNTIF($F17:$AJ17,KY_HIEU!$A$6:$A$45)*KY_HIEU!$C$6:$C$45))</f>
        <v/>
      </c>
      <c r="AL17" s="104">
        <f>IF($B17="","",SUMPRODUCT(COUNTIF($F17:$AJ17,KY_HIEU!$A$6:$A$45)*KY_HIEU!$D$6:$D$45))</f>
        <v/>
      </c>
      <c r="AM17" s="104">
        <f>IF($B17="","",SUMPRODUCT(COUNTIF($F17:$AJ17,KY_HIEU!$A$6:$A$45)*KY_HIEU!$E$6:$E$45))</f>
        <v/>
      </c>
      <c r="AN17" s="104">
        <f>IF($B17="","",SUMPRODUCT(COUNTIF($F17:$AJ17,KY_HIEU!$A$6:$A$45)*KY_HIEU!$F$6:$F$45))</f>
        <v/>
      </c>
      <c r="AO17" s="104">
        <f>IF($B17="","",SUMPRODUCT(COUNTIF($F17:$AJ17,KY_HIEU!$A$6:$A$45)*KY_HIEU!$G$6:$G$45))</f>
        <v/>
      </c>
      <c r="AP17" s="104">
        <f>IF($B17="","",SUMPRODUCT(COUNTIF($F17:$AJ17,KY_HIEU!$A$6:$A$45)*KY_HIEU!$H$6:$H$45))</f>
        <v/>
      </c>
      <c r="AQ17" s="104">
        <f>IF($B17="","",SUMPRODUCT(COUNTIF($F17:$AJ17,KY_HIEU!$A$6:$A$45)*KY_HIEU!$I$6:$I$45))</f>
        <v/>
      </c>
      <c r="AR17" s="105">
        <f>IF($B17="","",$AK17+$AL17+$AN17+$AO17+$AP17+$AQ17)</f>
        <v/>
      </c>
      <c r="AS17" s="105">
        <f>IF($B17="","",IF(DM_NHAN_SU!$I17&lt;&gt;"",DM_NHAN_SU!$I17,IF(THAM_SO_CC!$B$20="Nhập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17="",THAM_SO_CC!$B$8,DM_NHAN_SU!$F17))*(ROW(INDIRECT(THAM_SO_CC!$B$8&amp;":"&amp;THAM_SO_CC!$B$9))&lt;=IF(DM_NHAN_SU!$G17="",THAM_SO_CC!$B$9,DM_NHAN_SU!$G17))))))</f>
        <v/>
      </c>
      <c r="AT17" s="106">
        <f>IF($B17="","",$AR17-$AS17)</f>
        <v/>
      </c>
      <c r="AU17" s="96">
        <f>IF($B17="","",TRIM(IF(SUMPRODUCT(--($F17:$AJ17&lt;&gt;""))-SUMPRODUCT(COUNTIF($F17:$AJ17,KY_HIEU!$A$6:$A$45))&gt;0,"Ký hiệu lạ; ","")&amp;IF(ROUND($AT17,2)&lt;&gt;0,"Lệch ngày công "&amp;TEXT($AT17,"0.0")&amp;"; ","")&amp;IF(SUMPRODUCT(--($F17:$AJ17&lt;&gt;""),--((THAM_SO_CC!$B$8+COLUMN($F$1:$AJ$1)-6)&gt;THAM_SO_CC!$B$9))&gt;0,"Chấm ngoài kỳ; ","")&amp;IF(AND(DM_NHAN_SU!$F17&lt;&gt;"",SUMPRODUCT(--($F17:$AJ17&lt;&gt;""),--($F17:$AJ17&lt;&gt;"NV"),--($F17:$AJ17&lt;&gt;"NT"),--($F17:$AJ17&lt;&gt;"TN"),--((THAM_SO_CC!$B$8+COLUMN($F$1:$AJ$1)-6)&lt;DM_NHAN_SU!$F17))&gt;0),"Chấm trước ngày vào; ","")&amp;IF(AND(DM_NHAN_SU!$G17&lt;&gt;"",SUMPRODUCT(--($F17:$AJ17&lt;&gt;""),--($F17:$AJ17&lt;&gt;"NV"),--($F17:$AJ17&lt;&gt;"NT"),--($F17:$AJ17&lt;&gt;"TN"),--((THAM_SO_CC!$B$8+COLUMN($F$1:$AJ$1)-6)&gt;DM_NHAN_SU!$G17))&gt;0),"Chấm sau ngày nghỉ việc; ","")))</f>
        <v/>
      </c>
    </row>
    <row r="18" ht="15" customHeight="1" s="63">
      <c r="A18" s="85">
        <f>IF($B18="","",ROW()-5)</f>
        <v/>
      </c>
      <c r="B18" s="103">
        <f>IF(DM_NHAN_SU!B18="","",DM_NHAN_SU!B18)</f>
        <v/>
      </c>
      <c r="C18" s="96">
        <f>IF($B18="","",DM_NHAN_SU!C18)</f>
        <v/>
      </c>
      <c r="D18" s="96">
        <f>IF($B18="","",DM_NHAN_SU!D18)</f>
        <v/>
      </c>
      <c r="E18" s="96">
        <f>IF($B18="","",DM_NHAN_SU!E18)</f>
        <v/>
      </c>
      <c r="F18" s="93" t="n"/>
      <c r="G18" s="93" t="n"/>
      <c r="H18" s="93" t="n"/>
      <c r="I18" s="93" t="n"/>
      <c r="J18" s="93" t="n"/>
      <c r="K18" s="93" t="n"/>
      <c r="L18" s="93" t="n"/>
      <c r="M18" s="93" t="n"/>
      <c r="N18" s="93" t="n"/>
      <c r="O18" s="93" t="n"/>
      <c r="P18" s="93" t="n"/>
      <c r="Q18" s="93" t="n"/>
      <c r="R18" s="93" t="n"/>
      <c r="S18" s="93" t="n"/>
      <c r="T18" s="93" t="n"/>
      <c r="U18" s="93" t="n"/>
      <c r="V18" s="93" t="n"/>
      <c r="W18" s="93" t="n"/>
      <c r="X18" s="93" t="n"/>
      <c r="Y18" s="93" t="n"/>
      <c r="Z18" s="93" t="n"/>
      <c r="AA18" s="93" t="n"/>
      <c r="AB18" s="93" t="n"/>
      <c r="AC18" s="93" t="n"/>
      <c r="AD18" s="93" t="n"/>
      <c r="AE18" s="93" t="n"/>
      <c r="AF18" s="93" t="n"/>
      <c r="AG18" s="93" t="n"/>
      <c r="AH18" s="93" t="n"/>
      <c r="AI18" s="93" t="n"/>
      <c r="AJ18" s="93" t="n"/>
      <c r="AK18" s="104">
        <f>IF($B18="","",SUMPRODUCT(COUNTIF($F18:$AJ18,KY_HIEU!$A$6:$A$45)*KY_HIEU!$C$6:$C$45))</f>
        <v/>
      </c>
      <c r="AL18" s="104">
        <f>IF($B18="","",SUMPRODUCT(COUNTIF($F18:$AJ18,KY_HIEU!$A$6:$A$45)*KY_HIEU!$D$6:$D$45))</f>
        <v/>
      </c>
      <c r="AM18" s="104">
        <f>IF($B18="","",SUMPRODUCT(COUNTIF($F18:$AJ18,KY_HIEU!$A$6:$A$45)*KY_HIEU!$E$6:$E$45))</f>
        <v/>
      </c>
      <c r="AN18" s="104">
        <f>IF($B18="","",SUMPRODUCT(COUNTIF($F18:$AJ18,KY_HIEU!$A$6:$A$45)*KY_HIEU!$F$6:$F$45))</f>
        <v/>
      </c>
      <c r="AO18" s="104">
        <f>IF($B18="","",SUMPRODUCT(COUNTIF($F18:$AJ18,KY_HIEU!$A$6:$A$45)*KY_HIEU!$G$6:$G$45))</f>
        <v/>
      </c>
      <c r="AP18" s="104">
        <f>IF($B18="","",SUMPRODUCT(COUNTIF($F18:$AJ18,KY_HIEU!$A$6:$A$45)*KY_HIEU!$H$6:$H$45))</f>
        <v/>
      </c>
      <c r="AQ18" s="104">
        <f>IF($B18="","",SUMPRODUCT(COUNTIF($F18:$AJ18,KY_HIEU!$A$6:$A$45)*KY_HIEU!$I$6:$I$45))</f>
        <v/>
      </c>
      <c r="AR18" s="105">
        <f>IF($B18="","",$AK18+$AL18+$AN18+$AO18+$AP18+$AQ18)</f>
        <v/>
      </c>
      <c r="AS18" s="105">
        <f>IF($B18="","",IF(DM_NHAN_SU!$I18&lt;&gt;"",DM_NHAN_SU!$I18,IF(THAM_SO_CC!$B$20="Nhập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18="",THAM_SO_CC!$B$8,DM_NHAN_SU!$F18))*(ROW(INDIRECT(THAM_SO_CC!$B$8&amp;":"&amp;THAM_SO_CC!$B$9))&lt;=IF(DM_NHAN_SU!$G18="",THAM_SO_CC!$B$9,DM_NHAN_SU!$G18))))))</f>
        <v/>
      </c>
      <c r="AT18" s="106">
        <f>IF($B18="","",$AR18-$AS18)</f>
        <v/>
      </c>
      <c r="AU18" s="96">
        <f>IF($B18="","",TRIM(IF(SUMPRODUCT(--($F18:$AJ18&lt;&gt;""))-SUMPRODUCT(COUNTIF($F18:$AJ18,KY_HIEU!$A$6:$A$45))&gt;0,"Ký hiệu lạ; ","")&amp;IF(ROUND($AT18,2)&lt;&gt;0,"Lệch ngày công "&amp;TEXT($AT18,"0.0")&amp;"; ","")&amp;IF(SUMPRODUCT(--($F18:$AJ18&lt;&gt;""),--((THAM_SO_CC!$B$8+COLUMN($F$1:$AJ$1)-6)&gt;THAM_SO_CC!$B$9))&gt;0,"Chấm ngoài kỳ; ","")&amp;IF(AND(DM_NHAN_SU!$F18&lt;&gt;"",SUMPRODUCT(--($F18:$AJ18&lt;&gt;""),--($F18:$AJ18&lt;&gt;"NV"),--($F18:$AJ18&lt;&gt;"NT"),--($F18:$AJ18&lt;&gt;"TN"),--((THAM_SO_CC!$B$8+COLUMN($F$1:$AJ$1)-6)&lt;DM_NHAN_SU!$F18))&gt;0),"Chấm trước ngày vào; ","")&amp;IF(AND(DM_NHAN_SU!$G18&lt;&gt;"",SUMPRODUCT(--($F18:$AJ18&lt;&gt;""),--($F18:$AJ18&lt;&gt;"NV"),--($F18:$AJ18&lt;&gt;"NT"),--($F18:$AJ18&lt;&gt;"TN"),--((THAM_SO_CC!$B$8+COLUMN($F$1:$AJ$1)-6)&gt;DM_NHAN_SU!$G18))&gt;0),"Chấm sau ngày nghỉ việc; ","")))</f>
        <v/>
      </c>
    </row>
    <row r="19" ht="15" customHeight="1" s="63">
      <c r="A19" s="85">
        <f>IF($B19="","",ROW()-5)</f>
        <v/>
      </c>
      <c r="B19" s="103">
        <f>IF(DM_NHAN_SU!B19="","",DM_NHAN_SU!B19)</f>
        <v/>
      </c>
      <c r="C19" s="96">
        <f>IF($B19="","",DM_NHAN_SU!C19)</f>
        <v/>
      </c>
      <c r="D19" s="96">
        <f>IF($B19="","",DM_NHAN_SU!D19)</f>
        <v/>
      </c>
      <c r="E19" s="96">
        <f>IF($B19="","",DM_NHAN_SU!E19)</f>
        <v/>
      </c>
      <c r="F19" s="93" t="n"/>
      <c r="G19" s="93" t="n"/>
      <c r="H19" s="93" t="n"/>
      <c r="I19" s="93" t="n"/>
      <c r="J19" s="93" t="n"/>
      <c r="K19" s="93" t="n"/>
      <c r="L19" s="93" t="n"/>
      <c r="M19" s="93" t="n"/>
      <c r="N19" s="93" t="n"/>
      <c r="O19" s="93" t="n"/>
      <c r="P19" s="93" t="n"/>
      <c r="Q19" s="93" t="n"/>
      <c r="R19" s="93" t="n"/>
      <c r="S19" s="93" t="n"/>
      <c r="T19" s="93" t="n"/>
      <c r="U19" s="93" t="n"/>
      <c r="V19" s="93" t="n"/>
      <c r="W19" s="93" t="n"/>
      <c r="X19" s="93" t="n"/>
      <c r="Y19" s="93" t="n"/>
      <c r="Z19" s="93" t="n"/>
      <c r="AA19" s="93" t="n"/>
      <c r="AB19" s="93" t="n"/>
      <c r="AC19" s="93" t="n"/>
      <c r="AD19" s="93" t="n"/>
      <c r="AE19" s="93" t="n"/>
      <c r="AF19" s="93" t="n"/>
      <c r="AG19" s="93" t="n"/>
      <c r="AH19" s="93" t="n"/>
      <c r="AI19" s="93" t="n"/>
      <c r="AJ19" s="93" t="n"/>
      <c r="AK19" s="104">
        <f>IF($B19="","",SUMPRODUCT(COUNTIF($F19:$AJ19,KY_HIEU!$A$6:$A$45)*KY_HIEU!$C$6:$C$45))</f>
        <v/>
      </c>
      <c r="AL19" s="104">
        <f>IF($B19="","",SUMPRODUCT(COUNTIF($F19:$AJ19,KY_HIEU!$A$6:$A$45)*KY_HIEU!$D$6:$D$45))</f>
        <v/>
      </c>
      <c r="AM19" s="104">
        <f>IF($B19="","",SUMPRODUCT(COUNTIF($F19:$AJ19,KY_HIEU!$A$6:$A$45)*KY_HIEU!$E$6:$E$45))</f>
        <v/>
      </c>
      <c r="AN19" s="104">
        <f>IF($B19="","",SUMPRODUCT(COUNTIF($F19:$AJ19,KY_HIEU!$A$6:$A$45)*KY_HIEU!$F$6:$F$45))</f>
        <v/>
      </c>
      <c r="AO19" s="104">
        <f>IF($B19="","",SUMPRODUCT(COUNTIF($F19:$AJ19,KY_HIEU!$A$6:$A$45)*KY_HIEU!$G$6:$G$45))</f>
        <v/>
      </c>
      <c r="AP19" s="104">
        <f>IF($B19="","",SUMPRODUCT(COUNTIF($F19:$AJ19,KY_HIEU!$A$6:$A$45)*KY_HIEU!$H$6:$H$45))</f>
        <v/>
      </c>
      <c r="AQ19" s="104">
        <f>IF($B19="","",SUMPRODUCT(COUNTIF($F19:$AJ19,KY_HIEU!$A$6:$A$45)*KY_HIEU!$I$6:$I$45))</f>
        <v/>
      </c>
      <c r="AR19" s="105">
        <f>IF($B19="","",$AK19+$AL19+$AN19+$AO19+$AP19+$AQ19)</f>
        <v/>
      </c>
      <c r="AS19" s="105">
        <f>IF($B19="","",IF(DM_NHAN_SU!$I19&lt;&gt;"",DM_NHAN_SU!$I19,IF(THAM_SO_CC!$B$20="Nhập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19="",THAM_SO_CC!$B$8,DM_NHAN_SU!$F19))*(ROW(INDIRECT(THAM_SO_CC!$B$8&amp;":"&amp;THAM_SO_CC!$B$9))&lt;=IF(DM_NHAN_SU!$G19="",THAM_SO_CC!$B$9,DM_NHAN_SU!$G19))))))</f>
        <v/>
      </c>
      <c r="AT19" s="106">
        <f>IF($B19="","",$AR19-$AS19)</f>
        <v/>
      </c>
      <c r="AU19" s="96">
        <f>IF($B19="","",TRIM(IF(SUMPRODUCT(--($F19:$AJ19&lt;&gt;""))-SUMPRODUCT(COUNTIF($F19:$AJ19,KY_HIEU!$A$6:$A$45))&gt;0,"Ký hiệu lạ; ","")&amp;IF(ROUND($AT19,2)&lt;&gt;0,"Lệch ngày công "&amp;TEXT($AT19,"0.0")&amp;"; ","")&amp;IF(SUMPRODUCT(--($F19:$AJ19&lt;&gt;""),--((THAM_SO_CC!$B$8+COLUMN($F$1:$AJ$1)-6)&gt;THAM_SO_CC!$B$9))&gt;0,"Chấm ngoài kỳ; ","")&amp;IF(AND(DM_NHAN_SU!$F19&lt;&gt;"",SUMPRODUCT(--($F19:$AJ19&lt;&gt;""),--($F19:$AJ19&lt;&gt;"NV"),--($F19:$AJ19&lt;&gt;"NT"),--($F19:$AJ19&lt;&gt;"TN"),--((THAM_SO_CC!$B$8+COLUMN($F$1:$AJ$1)-6)&lt;DM_NHAN_SU!$F19))&gt;0),"Chấm trước ngày vào; ","")&amp;IF(AND(DM_NHAN_SU!$G19&lt;&gt;"",SUMPRODUCT(--($F19:$AJ19&lt;&gt;""),--($F19:$AJ19&lt;&gt;"NV"),--($F19:$AJ19&lt;&gt;"NT"),--($F19:$AJ19&lt;&gt;"TN"),--((THAM_SO_CC!$B$8+COLUMN($F$1:$AJ$1)-6)&gt;DM_NHAN_SU!$G19))&gt;0),"Chấm sau ngày nghỉ việc; ","")))</f>
        <v/>
      </c>
    </row>
    <row r="20" ht="15" customHeight="1" s="63">
      <c r="A20" s="85">
        <f>IF($B20="","",ROW()-5)</f>
        <v/>
      </c>
      <c r="B20" s="103">
        <f>IF(DM_NHAN_SU!B20="","",DM_NHAN_SU!B20)</f>
        <v/>
      </c>
      <c r="C20" s="96">
        <f>IF($B20="","",DM_NHAN_SU!C20)</f>
        <v/>
      </c>
      <c r="D20" s="96">
        <f>IF($B20="","",DM_NHAN_SU!D20)</f>
        <v/>
      </c>
      <c r="E20" s="96">
        <f>IF($B20="","",DM_NHAN_SU!E20)</f>
        <v/>
      </c>
      <c r="F20" s="93" t="n"/>
      <c r="G20" s="93" t="n"/>
      <c r="H20" s="93" t="n"/>
      <c r="I20" s="93" t="n"/>
      <c r="J20" s="93" t="n"/>
      <c r="K20" s="93" t="n"/>
      <c r="L20" s="93" t="n"/>
      <c r="M20" s="93" t="n"/>
      <c r="N20" s="93" t="n"/>
      <c r="O20" s="93" t="n"/>
      <c r="P20" s="93" t="n"/>
      <c r="Q20" s="93" t="n"/>
      <c r="R20" s="93" t="n"/>
      <c r="S20" s="93" t="n"/>
      <c r="T20" s="93" t="n"/>
      <c r="U20" s="93" t="n"/>
      <c r="V20" s="93" t="n"/>
      <c r="W20" s="93" t="n"/>
      <c r="X20" s="93" t="n"/>
      <c r="Y20" s="93" t="n"/>
      <c r="Z20" s="93" t="n"/>
      <c r="AA20" s="93" t="n"/>
      <c r="AB20" s="93" t="n"/>
      <c r="AC20" s="93" t="n"/>
      <c r="AD20" s="93" t="n"/>
      <c r="AE20" s="93" t="n"/>
      <c r="AF20" s="93" t="n"/>
      <c r="AG20" s="93" t="n"/>
      <c r="AH20" s="93" t="n"/>
      <c r="AI20" s="93" t="n"/>
      <c r="AJ20" s="93" t="n"/>
      <c r="AK20" s="104">
        <f>IF($B20="","",SUMPRODUCT(COUNTIF($F20:$AJ20,KY_HIEU!$A$6:$A$45)*KY_HIEU!$C$6:$C$45))</f>
        <v/>
      </c>
      <c r="AL20" s="104">
        <f>IF($B20="","",SUMPRODUCT(COUNTIF($F20:$AJ20,KY_HIEU!$A$6:$A$45)*KY_HIEU!$D$6:$D$45))</f>
        <v/>
      </c>
      <c r="AM20" s="104">
        <f>IF($B20="","",SUMPRODUCT(COUNTIF($F20:$AJ20,KY_HIEU!$A$6:$A$45)*KY_HIEU!$E$6:$E$45))</f>
        <v/>
      </c>
      <c r="AN20" s="104">
        <f>IF($B20="","",SUMPRODUCT(COUNTIF($F20:$AJ20,KY_HIEU!$A$6:$A$45)*KY_HIEU!$F$6:$F$45))</f>
        <v/>
      </c>
      <c r="AO20" s="104">
        <f>IF($B20="","",SUMPRODUCT(COUNTIF($F20:$AJ20,KY_HIEU!$A$6:$A$45)*KY_HIEU!$G$6:$G$45))</f>
        <v/>
      </c>
      <c r="AP20" s="104">
        <f>IF($B20="","",SUMPRODUCT(COUNTIF($F20:$AJ20,KY_HIEU!$A$6:$A$45)*KY_HIEU!$H$6:$H$45))</f>
        <v/>
      </c>
      <c r="AQ20" s="104">
        <f>IF($B20="","",SUMPRODUCT(COUNTIF($F20:$AJ20,KY_HIEU!$A$6:$A$45)*KY_HIEU!$I$6:$I$45))</f>
        <v/>
      </c>
      <c r="AR20" s="105">
        <f>IF($B20="","",$AK20+$AL20+$AN20+$AO20+$AP20+$AQ20)</f>
        <v/>
      </c>
      <c r="AS20" s="105">
        <f>IF($B20="","",IF(DM_NHAN_SU!$I20&lt;&gt;"",DM_NHAN_SU!$I20,IF(THAM_SO_CC!$B$20="Nhập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20="",THAM_SO_CC!$B$8,DM_NHAN_SU!$F20))*(ROW(INDIRECT(THAM_SO_CC!$B$8&amp;":"&amp;THAM_SO_CC!$B$9))&lt;=IF(DM_NHAN_SU!$G20="",THAM_SO_CC!$B$9,DM_NHAN_SU!$G20))))))</f>
        <v/>
      </c>
      <c r="AT20" s="106">
        <f>IF($B20="","",$AR20-$AS20)</f>
        <v/>
      </c>
      <c r="AU20" s="96">
        <f>IF($B20="","",TRIM(IF(SUMPRODUCT(--($F20:$AJ20&lt;&gt;""))-SUMPRODUCT(COUNTIF($F20:$AJ20,KY_HIEU!$A$6:$A$45))&gt;0,"Ký hiệu lạ; ","")&amp;IF(ROUND($AT20,2)&lt;&gt;0,"Lệch ngày công "&amp;TEXT($AT20,"0.0")&amp;"; ","")&amp;IF(SUMPRODUCT(--($F20:$AJ20&lt;&gt;""),--((THAM_SO_CC!$B$8+COLUMN($F$1:$AJ$1)-6)&gt;THAM_SO_CC!$B$9))&gt;0,"Chấm ngoài kỳ; ","")&amp;IF(AND(DM_NHAN_SU!$F20&lt;&gt;"",SUMPRODUCT(--($F20:$AJ20&lt;&gt;""),--($F20:$AJ20&lt;&gt;"NV"),--($F20:$AJ20&lt;&gt;"NT"),--($F20:$AJ20&lt;&gt;"TN"),--((THAM_SO_CC!$B$8+COLUMN($F$1:$AJ$1)-6)&lt;DM_NHAN_SU!$F20))&gt;0),"Chấm trước ngày vào; ","")&amp;IF(AND(DM_NHAN_SU!$G20&lt;&gt;"",SUMPRODUCT(--($F20:$AJ20&lt;&gt;""),--($F20:$AJ20&lt;&gt;"NV"),--($F20:$AJ20&lt;&gt;"NT"),--($F20:$AJ20&lt;&gt;"TN"),--((THAM_SO_CC!$B$8+COLUMN($F$1:$AJ$1)-6)&gt;DM_NHAN_SU!$G20))&gt;0),"Chấm sau ngày nghỉ việc; ","")))</f>
        <v/>
      </c>
    </row>
    <row r="21" ht="15" customHeight="1" s="63">
      <c r="A21" s="85">
        <f>IF($B21="","",ROW()-5)</f>
        <v/>
      </c>
      <c r="B21" s="103">
        <f>IF(DM_NHAN_SU!B21="","",DM_NHAN_SU!B21)</f>
        <v/>
      </c>
      <c r="C21" s="96">
        <f>IF($B21="","",DM_NHAN_SU!C21)</f>
        <v/>
      </c>
      <c r="D21" s="96">
        <f>IF($B21="","",DM_NHAN_SU!D21)</f>
        <v/>
      </c>
      <c r="E21" s="96">
        <f>IF($B21="","",DM_NHAN_SU!E21)</f>
        <v/>
      </c>
      <c r="F21" s="93" t="n"/>
      <c r="G21" s="93" t="n"/>
      <c r="H21" s="93" t="n"/>
      <c r="I21" s="93" t="n"/>
      <c r="J21" s="93" t="n"/>
      <c r="K21" s="93" t="n"/>
      <c r="L21" s="93" t="n"/>
      <c r="M21" s="93" t="n"/>
      <c r="N21" s="93" t="n"/>
      <c r="O21" s="93" t="n"/>
      <c r="P21" s="93" t="n"/>
      <c r="Q21" s="93" t="n"/>
      <c r="R21" s="93" t="n"/>
      <c r="S21" s="93" t="n"/>
      <c r="T21" s="93" t="n"/>
      <c r="U21" s="93" t="n"/>
      <c r="V21" s="93" t="n"/>
      <c r="W21" s="93" t="n"/>
      <c r="X21" s="93" t="n"/>
      <c r="Y21" s="93" t="n"/>
      <c r="Z21" s="93" t="n"/>
      <c r="AA21" s="93" t="n"/>
      <c r="AB21" s="93" t="n"/>
      <c r="AC21" s="93" t="n"/>
      <c r="AD21" s="93" t="n"/>
      <c r="AE21" s="93" t="n"/>
      <c r="AF21" s="93" t="n"/>
      <c r="AG21" s="93" t="n"/>
      <c r="AH21" s="93" t="n"/>
      <c r="AI21" s="93" t="n"/>
      <c r="AJ21" s="93" t="n"/>
      <c r="AK21" s="104">
        <f>IF($B21="","",SUMPRODUCT(COUNTIF($F21:$AJ21,KY_HIEU!$A$6:$A$45)*KY_HIEU!$C$6:$C$45))</f>
        <v/>
      </c>
      <c r="AL21" s="104">
        <f>IF($B21="","",SUMPRODUCT(COUNTIF($F21:$AJ21,KY_HIEU!$A$6:$A$45)*KY_HIEU!$D$6:$D$45))</f>
        <v/>
      </c>
      <c r="AM21" s="104">
        <f>IF($B21="","",SUMPRODUCT(COUNTIF($F21:$AJ21,KY_HIEU!$A$6:$A$45)*KY_HIEU!$E$6:$E$45))</f>
        <v/>
      </c>
      <c r="AN21" s="104">
        <f>IF($B21="","",SUMPRODUCT(COUNTIF($F21:$AJ21,KY_HIEU!$A$6:$A$45)*KY_HIEU!$F$6:$F$45))</f>
        <v/>
      </c>
      <c r="AO21" s="104">
        <f>IF($B21="","",SUMPRODUCT(COUNTIF($F21:$AJ21,KY_HIEU!$A$6:$A$45)*KY_HIEU!$G$6:$G$45))</f>
        <v/>
      </c>
      <c r="AP21" s="104">
        <f>IF($B21="","",SUMPRODUCT(COUNTIF($F21:$AJ21,KY_HIEU!$A$6:$A$45)*KY_HIEU!$H$6:$H$45))</f>
        <v/>
      </c>
      <c r="AQ21" s="104">
        <f>IF($B21="","",SUMPRODUCT(COUNTIF($F21:$AJ21,KY_HIEU!$A$6:$A$45)*KY_HIEU!$I$6:$I$45))</f>
        <v/>
      </c>
      <c r="AR21" s="105">
        <f>IF($B21="","",$AK21+$AL21+$AN21+$AO21+$AP21+$AQ21)</f>
        <v/>
      </c>
      <c r="AS21" s="105">
        <f>IF($B21="","",IF(DM_NHAN_SU!$I21&lt;&gt;"",DM_NHAN_SU!$I21,IF(THAM_SO_CC!$B$20="Nhập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21="",THAM_SO_CC!$B$8,DM_NHAN_SU!$F21))*(ROW(INDIRECT(THAM_SO_CC!$B$8&amp;":"&amp;THAM_SO_CC!$B$9))&lt;=IF(DM_NHAN_SU!$G21="",THAM_SO_CC!$B$9,DM_NHAN_SU!$G21))))))</f>
        <v/>
      </c>
      <c r="AT21" s="106">
        <f>IF($B21="","",$AR21-$AS21)</f>
        <v/>
      </c>
      <c r="AU21" s="96">
        <f>IF($B21="","",TRIM(IF(SUMPRODUCT(--($F21:$AJ21&lt;&gt;""))-SUMPRODUCT(COUNTIF($F21:$AJ21,KY_HIEU!$A$6:$A$45))&gt;0,"Ký hiệu lạ; ","")&amp;IF(ROUND($AT21,2)&lt;&gt;0,"Lệch ngày công "&amp;TEXT($AT21,"0.0")&amp;"; ","")&amp;IF(SUMPRODUCT(--($F21:$AJ21&lt;&gt;""),--((THAM_SO_CC!$B$8+COLUMN($F$1:$AJ$1)-6)&gt;THAM_SO_CC!$B$9))&gt;0,"Chấm ngoài kỳ; ","")&amp;IF(AND(DM_NHAN_SU!$F21&lt;&gt;"",SUMPRODUCT(--($F21:$AJ21&lt;&gt;""),--($F21:$AJ21&lt;&gt;"NV"),--($F21:$AJ21&lt;&gt;"NT"),--($F21:$AJ21&lt;&gt;"TN"),--((THAM_SO_CC!$B$8+COLUMN($F$1:$AJ$1)-6)&lt;DM_NHAN_SU!$F21))&gt;0),"Chấm trước ngày vào; ","")&amp;IF(AND(DM_NHAN_SU!$G21&lt;&gt;"",SUMPRODUCT(--($F21:$AJ21&lt;&gt;""),--($F21:$AJ21&lt;&gt;"NV"),--($F21:$AJ21&lt;&gt;"NT"),--($F21:$AJ21&lt;&gt;"TN"),--((THAM_SO_CC!$B$8+COLUMN($F$1:$AJ$1)-6)&gt;DM_NHAN_SU!$G21))&gt;0),"Chấm sau ngày nghỉ việc; ","")))</f>
        <v/>
      </c>
    </row>
    <row r="22" ht="15" customHeight="1" s="63">
      <c r="A22" s="85">
        <f>IF($B22="","",ROW()-5)</f>
        <v/>
      </c>
      <c r="B22" s="103">
        <f>IF(DM_NHAN_SU!B22="","",DM_NHAN_SU!B22)</f>
        <v/>
      </c>
      <c r="C22" s="96">
        <f>IF($B22="","",DM_NHAN_SU!C22)</f>
        <v/>
      </c>
      <c r="D22" s="96">
        <f>IF($B22="","",DM_NHAN_SU!D22)</f>
        <v/>
      </c>
      <c r="E22" s="96">
        <f>IF($B22="","",DM_NHAN_SU!E22)</f>
        <v/>
      </c>
      <c r="F22" s="93" t="n"/>
      <c r="G22" s="93" t="n"/>
      <c r="H22" s="93" t="n"/>
      <c r="I22" s="93" t="n"/>
      <c r="J22" s="93" t="n"/>
      <c r="K22" s="93" t="n"/>
      <c r="L22" s="93" t="n"/>
      <c r="M22" s="93" t="n"/>
      <c r="N22" s="93" t="n"/>
      <c r="O22" s="93" t="n"/>
      <c r="P22" s="93" t="n"/>
      <c r="Q22" s="93" t="n"/>
      <c r="R22" s="93" t="n"/>
      <c r="S22" s="93" t="n"/>
      <c r="T22" s="93" t="n"/>
      <c r="U22" s="93" t="n"/>
      <c r="V22" s="93" t="n"/>
      <c r="W22" s="93" t="n"/>
      <c r="X22" s="93" t="n"/>
      <c r="Y22" s="93" t="n"/>
      <c r="Z22" s="93" t="n"/>
      <c r="AA22" s="93" t="n"/>
      <c r="AB22" s="93" t="n"/>
      <c r="AC22" s="93" t="n"/>
      <c r="AD22" s="93" t="n"/>
      <c r="AE22" s="93" t="n"/>
      <c r="AF22" s="93" t="n"/>
      <c r="AG22" s="93" t="n"/>
      <c r="AH22" s="93" t="n"/>
      <c r="AI22" s="93" t="n"/>
      <c r="AJ22" s="93" t="n"/>
      <c r="AK22" s="104">
        <f>IF($B22="","",SUMPRODUCT(COUNTIF($F22:$AJ22,KY_HIEU!$A$6:$A$45)*KY_HIEU!$C$6:$C$45))</f>
        <v/>
      </c>
      <c r="AL22" s="104">
        <f>IF($B22="","",SUMPRODUCT(COUNTIF($F22:$AJ22,KY_HIEU!$A$6:$A$45)*KY_HIEU!$D$6:$D$45))</f>
        <v/>
      </c>
      <c r="AM22" s="104">
        <f>IF($B22="","",SUMPRODUCT(COUNTIF($F22:$AJ22,KY_HIEU!$A$6:$A$45)*KY_HIEU!$E$6:$E$45))</f>
        <v/>
      </c>
      <c r="AN22" s="104">
        <f>IF($B22="","",SUMPRODUCT(COUNTIF($F22:$AJ22,KY_HIEU!$A$6:$A$45)*KY_HIEU!$F$6:$F$45))</f>
        <v/>
      </c>
      <c r="AO22" s="104">
        <f>IF($B22="","",SUMPRODUCT(COUNTIF($F22:$AJ22,KY_HIEU!$A$6:$A$45)*KY_HIEU!$G$6:$G$45))</f>
        <v/>
      </c>
      <c r="AP22" s="104">
        <f>IF($B22="","",SUMPRODUCT(COUNTIF($F22:$AJ22,KY_HIEU!$A$6:$A$45)*KY_HIEU!$H$6:$H$45))</f>
        <v/>
      </c>
      <c r="AQ22" s="104">
        <f>IF($B22="","",SUMPRODUCT(COUNTIF($F22:$AJ22,KY_HIEU!$A$6:$A$45)*KY_HIEU!$I$6:$I$45))</f>
        <v/>
      </c>
      <c r="AR22" s="105">
        <f>IF($B22="","",$AK22+$AL22+$AN22+$AO22+$AP22+$AQ22)</f>
        <v/>
      </c>
      <c r="AS22" s="105">
        <f>IF($B22="","",IF(DM_NHAN_SU!$I22&lt;&gt;"",DM_NHAN_SU!$I22,IF(THAM_SO_CC!$B$20="Nhập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22="",THAM_SO_CC!$B$8,DM_NHAN_SU!$F22))*(ROW(INDIRECT(THAM_SO_CC!$B$8&amp;":"&amp;THAM_SO_CC!$B$9))&lt;=IF(DM_NHAN_SU!$G22="",THAM_SO_CC!$B$9,DM_NHAN_SU!$G22))))))</f>
        <v/>
      </c>
      <c r="AT22" s="106">
        <f>IF($B22="","",$AR22-$AS22)</f>
        <v/>
      </c>
      <c r="AU22" s="96">
        <f>IF($B22="","",TRIM(IF(SUMPRODUCT(--($F22:$AJ22&lt;&gt;""))-SUMPRODUCT(COUNTIF($F22:$AJ22,KY_HIEU!$A$6:$A$45))&gt;0,"Ký hiệu lạ; ","")&amp;IF(ROUND($AT22,2)&lt;&gt;0,"Lệch ngày công "&amp;TEXT($AT22,"0.0")&amp;"; ","")&amp;IF(SUMPRODUCT(--($F22:$AJ22&lt;&gt;""),--((THAM_SO_CC!$B$8+COLUMN($F$1:$AJ$1)-6)&gt;THAM_SO_CC!$B$9))&gt;0,"Chấm ngoài kỳ; ","")&amp;IF(AND(DM_NHAN_SU!$F22&lt;&gt;"",SUMPRODUCT(--($F22:$AJ22&lt;&gt;""),--($F22:$AJ22&lt;&gt;"NV"),--($F22:$AJ22&lt;&gt;"NT"),--($F22:$AJ22&lt;&gt;"TN"),--((THAM_SO_CC!$B$8+COLUMN($F$1:$AJ$1)-6)&lt;DM_NHAN_SU!$F22))&gt;0),"Chấm trước ngày vào; ","")&amp;IF(AND(DM_NHAN_SU!$G22&lt;&gt;"",SUMPRODUCT(--($F22:$AJ22&lt;&gt;""),--($F22:$AJ22&lt;&gt;"NV"),--($F22:$AJ22&lt;&gt;"NT"),--($F22:$AJ22&lt;&gt;"TN"),--((THAM_SO_CC!$B$8+COLUMN($F$1:$AJ$1)-6)&gt;DM_NHAN_SU!$G22))&gt;0),"Chấm sau ngày nghỉ việc; ","")))</f>
        <v/>
      </c>
    </row>
    <row r="23" ht="15" customHeight="1" s="63">
      <c r="A23" s="85">
        <f>IF($B23="","",ROW()-5)</f>
        <v/>
      </c>
      <c r="B23" s="103">
        <f>IF(DM_NHAN_SU!B23="","",DM_NHAN_SU!B23)</f>
        <v/>
      </c>
      <c r="C23" s="96">
        <f>IF($B23="","",DM_NHAN_SU!C23)</f>
        <v/>
      </c>
      <c r="D23" s="96">
        <f>IF($B23="","",DM_NHAN_SU!D23)</f>
        <v/>
      </c>
      <c r="E23" s="96">
        <f>IF($B23="","",DM_NHAN_SU!E23)</f>
        <v/>
      </c>
      <c r="F23" s="93" t="n"/>
      <c r="G23" s="93" t="n"/>
      <c r="H23" s="93" t="n"/>
      <c r="I23" s="93" t="n"/>
      <c r="J23" s="93" t="n"/>
      <c r="K23" s="93" t="n"/>
      <c r="L23" s="93" t="n"/>
      <c r="M23" s="93" t="n"/>
      <c r="N23" s="93" t="n"/>
      <c r="O23" s="93" t="n"/>
      <c r="P23" s="93" t="n"/>
      <c r="Q23" s="93" t="n"/>
      <c r="R23" s="93" t="n"/>
      <c r="S23" s="93" t="n"/>
      <c r="T23" s="93" t="n"/>
      <c r="U23" s="93" t="n"/>
      <c r="V23" s="93" t="n"/>
      <c r="W23" s="93" t="n"/>
      <c r="X23" s="93" t="n"/>
      <c r="Y23" s="93" t="n"/>
      <c r="Z23" s="93" t="n"/>
      <c r="AA23" s="93" t="n"/>
      <c r="AB23" s="93" t="n"/>
      <c r="AC23" s="93" t="n"/>
      <c r="AD23" s="93" t="n"/>
      <c r="AE23" s="93" t="n"/>
      <c r="AF23" s="93" t="n"/>
      <c r="AG23" s="93" t="n"/>
      <c r="AH23" s="93" t="n"/>
      <c r="AI23" s="93" t="n"/>
      <c r="AJ23" s="93" t="n"/>
      <c r="AK23" s="104">
        <f>IF($B23="","",SUMPRODUCT(COUNTIF($F23:$AJ23,KY_HIEU!$A$6:$A$45)*KY_HIEU!$C$6:$C$45))</f>
        <v/>
      </c>
      <c r="AL23" s="104">
        <f>IF($B23="","",SUMPRODUCT(COUNTIF($F23:$AJ23,KY_HIEU!$A$6:$A$45)*KY_HIEU!$D$6:$D$45))</f>
        <v/>
      </c>
      <c r="AM23" s="104">
        <f>IF($B23="","",SUMPRODUCT(COUNTIF($F23:$AJ23,KY_HIEU!$A$6:$A$45)*KY_HIEU!$E$6:$E$45))</f>
        <v/>
      </c>
      <c r="AN23" s="104">
        <f>IF($B23="","",SUMPRODUCT(COUNTIF($F23:$AJ23,KY_HIEU!$A$6:$A$45)*KY_HIEU!$F$6:$F$45))</f>
        <v/>
      </c>
      <c r="AO23" s="104">
        <f>IF($B23="","",SUMPRODUCT(COUNTIF($F23:$AJ23,KY_HIEU!$A$6:$A$45)*KY_HIEU!$G$6:$G$45))</f>
        <v/>
      </c>
      <c r="AP23" s="104">
        <f>IF($B23="","",SUMPRODUCT(COUNTIF($F23:$AJ23,KY_HIEU!$A$6:$A$45)*KY_HIEU!$H$6:$H$45))</f>
        <v/>
      </c>
      <c r="AQ23" s="104">
        <f>IF($B23="","",SUMPRODUCT(COUNTIF($F23:$AJ23,KY_HIEU!$A$6:$A$45)*KY_HIEU!$I$6:$I$45))</f>
        <v/>
      </c>
      <c r="AR23" s="105">
        <f>IF($B23="","",$AK23+$AL23+$AN23+$AO23+$AP23+$AQ23)</f>
        <v/>
      </c>
      <c r="AS23" s="105">
        <f>IF($B23="","",IF(DM_NHAN_SU!$I23&lt;&gt;"",DM_NHAN_SU!$I23,IF(THAM_SO_CC!$B$20="Nhập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23="",THAM_SO_CC!$B$8,DM_NHAN_SU!$F23))*(ROW(INDIRECT(THAM_SO_CC!$B$8&amp;":"&amp;THAM_SO_CC!$B$9))&lt;=IF(DM_NHAN_SU!$G23="",THAM_SO_CC!$B$9,DM_NHAN_SU!$G23))))))</f>
        <v/>
      </c>
      <c r="AT23" s="106">
        <f>IF($B23="","",$AR23-$AS23)</f>
        <v/>
      </c>
      <c r="AU23" s="96">
        <f>IF($B23="","",TRIM(IF(SUMPRODUCT(--($F23:$AJ23&lt;&gt;""))-SUMPRODUCT(COUNTIF($F23:$AJ23,KY_HIEU!$A$6:$A$45))&gt;0,"Ký hiệu lạ; ","")&amp;IF(ROUND($AT23,2)&lt;&gt;0,"Lệch ngày công "&amp;TEXT($AT23,"0.0")&amp;"; ","")&amp;IF(SUMPRODUCT(--($F23:$AJ23&lt;&gt;""),--((THAM_SO_CC!$B$8+COLUMN($F$1:$AJ$1)-6)&gt;THAM_SO_CC!$B$9))&gt;0,"Chấm ngoài kỳ; ","")&amp;IF(AND(DM_NHAN_SU!$F23&lt;&gt;"",SUMPRODUCT(--($F23:$AJ23&lt;&gt;""),--($F23:$AJ23&lt;&gt;"NV"),--($F23:$AJ23&lt;&gt;"NT"),--($F23:$AJ23&lt;&gt;"TN"),--((THAM_SO_CC!$B$8+COLUMN($F$1:$AJ$1)-6)&lt;DM_NHAN_SU!$F23))&gt;0),"Chấm trước ngày vào; ","")&amp;IF(AND(DM_NHAN_SU!$G23&lt;&gt;"",SUMPRODUCT(--($F23:$AJ23&lt;&gt;""),--($F23:$AJ23&lt;&gt;"NV"),--($F23:$AJ23&lt;&gt;"NT"),--($F23:$AJ23&lt;&gt;"TN"),--((THAM_SO_CC!$B$8+COLUMN($F$1:$AJ$1)-6)&gt;DM_NHAN_SU!$G23))&gt;0),"Chấm sau ngày nghỉ việc; ","")))</f>
        <v/>
      </c>
    </row>
    <row r="24" ht="15" customHeight="1" s="63">
      <c r="A24" s="85">
        <f>IF($B24="","",ROW()-5)</f>
        <v/>
      </c>
      <c r="B24" s="103">
        <f>IF(DM_NHAN_SU!B24="","",DM_NHAN_SU!B24)</f>
        <v/>
      </c>
      <c r="C24" s="96">
        <f>IF($B24="","",DM_NHAN_SU!C24)</f>
        <v/>
      </c>
      <c r="D24" s="96">
        <f>IF($B24="","",DM_NHAN_SU!D24)</f>
        <v/>
      </c>
      <c r="E24" s="96">
        <f>IF($B24="","",DM_NHAN_SU!E24)</f>
        <v/>
      </c>
      <c r="F24" s="93" t="n"/>
      <c r="G24" s="93" t="n"/>
      <c r="H24" s="93" t="n"/>
      <c r="I24" s="93" t="n"/>
      <c r="J24" s="93" t="n"/>
      <c r="K24" s="93" t="n"/>
      <c r="L24" s="93" t="n"/>
      <c r="M24" s="93" t="n"/>
      <c r="N24" s="93" t="n"/>
      <c r="O24" s="93" t="n"/>
      <c r="P24" s="93" t="n"/>
      <c r="Q24" s="93" t="n"/>
      <c r="R24" s="93" t="n"/>
      <c r="S24" s="93" t="n"/>
      <c r="T24" s="93" t="n"/>
      <c r="U24" s="93" t="n"/>
      <c r="V24" s="93" t="n"/>
      <c r="W24" s="93" t="n"/>
      <c r="X24" s="93" t="n"/>
      <c r="Y24" s="93" t="n"/>
      <c r="Z24" s="93" t="n"/>
      <c r="AA24" s="93" t="n"/>
      <c r="AB24" s="93" t="n"/>
      <c r="AC24" s="93" t="n"/>
      <c r="AD24" s="93" t="n"/>
      <c r="AE24" s="93" t="n"/>
      <c r="AF24" s="93" t="n"/>
      <c r="AG24" s="93" t="n"/>
      <c r="AH24" s="93" t="n"/>
      <c r="AI24" s="93" t="n"/>
      <c r="AJ24" s="93" t="n"/>
      <c r="AK24" s="104">
        <f>IF($B24="","",SUMPRODUCT(COUNTIF($F24:$AJ24,KY_HIEU!$A$6:$A$45)*KY_HIEU!$C$6:$C$45))</f>
        <v/>
      </c>
      <c r="AL24" s="104">
        <f>IF($B24="","",SUMPRODUCT(COUNTIF($F24:$AJ24,KY_HIEU!$A$6:$A$45)*KY_HIEU!$D$6:$D$45))</f>
        <v/>
      </c>
      <c r="AM24" s="104">
        <f>IF($B24="","",SUMPRODUCT(COUNTIF($F24:$AJ24,KY_HIEU!$A$6:$A$45)*KY_HIEU!$E$6:$E$45))</f>
        <v/>
      </c>
      <c r="AN24" s="104">
        <f>IF($B24="","",SUMPRODUCT(COUNTIF($F24:$AJ24,KY_HIEU!$A$6:$A$45)*KY_HIEU!$F$6:$F$45))</f>
        <v/>
      </c>
      <c r="AO24" s="104">
        <f>IF($B24="","",SUMPRODUCT(COUNTIF($F24:$AJ24,KY_HIEU!$A$6:$A$45)*KY_HIEU!$G$6:$G$45))</f>
        <v/>
      </c>
      <c r="AP24" s="104">
        <f>IF($B24="","",SUMPRODUCT(COUNTIF($F24:$AJ24,KY_HIEU!$A$6:$A$45)*KY_HIEU!$H$6:$H$45))</f>
        <v/>
      </c>
      <c r="AQ24" s="104">
        <f>IF($B24="","",SUMPRODUCT(COUNTIF($F24:$AJ24,KY_HIEU!$A$6:$A$45)*KY_HIEU!$I$6:$I$45))</f>
        <v/>
      </c>
      <c r="AR24" s="105">
        <f>IF($B24="","",$AK24+$AL24+$AN24+$AO24+$AP24+$AQ24)</f>
        <v/>
      </c>
      <c r="AS24" s="105">
        <f>IF($B24="","",IF(DM_NHAN_SU!$I24&lt;&gt;"",DM_NHAN_SU!$I24,IF(THAM_SO_CC!$B$20="Nhập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24="",THAM_SO_CC!$B$8,DM_NHAN_SU!$F24))*(ROW(INDIRECT(THAM_SO_CC!$B$8&amp;":"&amp;THAM_SO_CC!$B$9))&lt;=IF(DM_NHAN_SU!$G24="",THAM_SO_CC!$B$9,DM_NHAN_SU!$G24))))))</f>
        <v/>
      </c>
      <c r="AT24" s="106">
        <f>IF($B24="","",$AR24-$AS24)</f>
        <v/>
      </c>
      <c r="AU24" s="96">
        <f>IF($B24="","",TRIM(IF(SUMPRODUCT(--($F24:$AJ24&lt;&gt;""))-SUMPRODUCT(COUNTIF($F24:$AJ24,KY_HIEU!$A$6:$A$45))&gt;0,"Ký hiệu lạ; ","")&amp;IF(ROUND($AT24,2)&lt;&gt;0,"Lệch ngày công "&amp;TEXT($AT24,"0.0")&amp;"; ","")&amp;IF(SUMPRODUCT(--($F24:$AJ24&lt;&gt;""),--((THAM_SO_CC!$B$8+COLUMN($F$1:$AJ$1)-6)&gt;THAM_SO_CC!$B$9))&gt;0,"Chấm ngoài kỳ; ","")&amp;IF(AND(DM_NHAN_SU!$F24&lt;&gt;"",SUMPRODUCT(--($F24:$AJ24&lt;&gt;""),--($F24:$AJ24&lt;&gt;"NV"),--($F24:$AJ24&lt;&gt;"NT"),--($F24:$AJ24&lt;&gt;"TN"),--((THAM_SO_CC!$B$8+COLUMN($F$1:$AJ$1)-6)&lt;DM_NHAN_SU!$F24))&gt;0),"Chấm trước ngày vào; ","")&amp;IF(AND(DM_NHAN_SU!$G24&lt;&gt;"",SUMPRODUCT(--($F24:$AJ24&lt;&gt;""),--($F24:$AJ24&lt;&gt;"NV"),--($F24:$AJ24&lt;&gt;"NT"),--($F24:$AJ24&lt;&gt;"TN"),--((THAM_SO_CC!$B$8+COLUMN($F$1:$AJ$1)-6)&gt;DM_NHAN_SU!$G24))&gt;0),"Chấm sau ngày nghỉ việc; ","")))</f>
        <v/>
      </c>
    </row>
    <row r="25" ht="15" customHeight="1" s="63">
      <c r="A25" s="85">
        <f>IF($B25="","",ROW()-5)</f>
        <v/>
      </c>
      <c r="B25" s="103">
        <f>IF(DM_NHAN_SU!B25="","",DM_NHAN_SU!B25)</f>
        <v/>
      </c>
      <c r="C25" s="96">
        <f>IF($B25="","",DM_NHAN_SU!C25)</f>
        <v/>
      </c>
      <c r="D25" s="96">
        <f>IF($B25="","",DM_NHAN_SU!D25)</f>
        <v/>
      </c>
      <c r="E25" s="96">
        <f>IF($B25="","",DM_NHAN_SU!E25)</f>
        <v/>
      </c>
      <c r="F25" s="93" t="n"/>
      <c r="G25" s="93" t="n"/>
      <c r="H25" s="93" t="n"/>
      <c r="I25" s="93" t="n"/>
      <c r="J25" s="93" t="n"/>
      <c r="K25" s="93" t="n"/>
      <c r="L25" s="93" t="n"/>
      <c r="M25" s="93" t="n"/>
      <c r="N25" s="93" t="n"/>
      <c r="O25" s="93" t="n"/>
      <c r="P25" s="93" t="n"/>
      <c r="Q25" s="93" t="n"/>
      <c r="R25" s="93" t="n"/>
      <c r="S25" s="93" t="n"/>
      <c r="T25" s="93" t="n"/>
      <c r="U25" s="93" t="n"/>
      <c r="V25" s="93" t="n"/>
      <c r="W25" s="93" t="n"/>
      <c r="X25" s="93" t="n"/>
      <c r="Y25" s="93" t="n"/>
      <c r="Z25" s="93" t="n"/>
      <c r="AA25" s="93" t="n"/>
      <c r="AB25" s="93" t="n"/>
      <c r="AC25" s="93" t="n"/>
      <c r="AD25" s="93" t="n"/>
      <c r="AE25" s="93" t="n"/>
      <c r="AF25" s="93" t="n"/>
      <c r="AG25" s="93" t="n"/>
      <c r="AH25" s="93" t="n"/>
      <c r="AI25" s="93" t="n"/>
      <c r="AJ25" s="93" t="n"/>
      <c r="AK25" s="104">
        <f>IF($B25="","",SUMPRODUCT(COUNTIF($F25:$AJ25,KY_HIEU!$A$6:$A$45)*KY_HIEU!$C$6:$C$45))</f>
        <v/>
      </c>
      <c r="AL25" s="104">
        <f>IF($B25="","",SUMPRODUCT(COUNTIF($F25:$AJ25,KY_HIEU!$A$6:$A$45)*KY_HIEU!$D$6:$D$45))</f>
        <v/>
      </c>
      <c r="AM25" s="104">
        <f>IF($B25="","",SUMPRODUCT(COUNTIF($F25:$AJ25,KY_HIEU!$A$6:$A$45)*KY_HIEU!$E$6:$E$45))</f>
        <v/>
      </c>
      <c r="AN25" s="104">
        <f>IF($B25="","",SUMPRODUCT(COUNTIF($F25:$AJ25,KY_HIEU!$A$6:$A$45)*KY_HIEU!$F$6:$F$45))</f>
        <v/>
      </c>
      <c r="AO25" s="104">
        <f>IF($B25="","",SUMPRODUCT(COUNTIF($F25:$AJ25,KY_HIEU!$A$6:$A$45)*KY_HIEU!$G$6:$G$45))</f>
        <v/>
      </c>
      <c r="AP25" s="104">
        <f>IF($B25="","",SUMPRODUCT(COUNTIF($F25:$AJ25,KY_HIEU!$A$6:$A$45)*KY_HIEU!$H$6:$H$45))</f>
        <v/>
      </c>
      <c r="AQ25" s="104">
        <f>IF($B25="","",SUMPRODUCT(COUNTIF($F25:$AJ25,KY_HIEU!$A$6:$A$45)*KY_HIEU!$I$6:$I$45))</f>
        <v/>
      </c>
      <c r="AR25" s="105">
        <f>IF($B25="","",$AK25+$AL25+$AN25+$AO25+$AP25+$AQ25)</f>
        <v/>
      </c>
      <c r="AS25" s="105">
        <f>IF($B25="","",IF(DM_NHAN_SU!$I25&lt;&gt;"",DM_NHAN_SU!$I25,IF(THAM_SO_CC!$B$20="Nhập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25="",THAM_SO_CC!$B$8,DM_NHAN_SU!$F25))*(ROW(INDIRECT(THAM_SO_CC!$B$8&amp;":"&amp;THAM_SO_CC!$B$9))&lt;=IF(DM_NHAN_SU!$G25="",THAM_SO_CC!$B$9,DM_NHAN_SU!$G25))))))</f>
        <v/>
      </c>
      <c r="AT25" s="106">
        <f>IF($B25="","",$AR25-$AS25)</f>
        <v/>
      </c>
      <c r="AU25" s="96">
        <f>IF($B25="","",TRIM(IF(SUMPRODUCT(--($F25:$AJ25&lt;&gt;""))-SUMPRODUCT(COUNTIF($F25:$AJ25,KY_HIEU!$A$6:$A$45))&gt;0,"Ký hiệu lạ; ","")&amp;IF(ROUND($AT25,2)&lt;&gt;0,"Lệch ngày công "&amp;TEXT($AT25,"0.0")&amp;"; ","")&amp;IF(SUMPRODUCT(--($F25:$AJ25&lt;&gt;""),--((THAM_SO_CC!$B$8+COLUMN($F$1:$AJ$1)-6)&gt;THAM_SO_CC!$B$9))&gt;0,"Chấm ngoài kỳ; ","")&amp;IF(AND(DM_NHAN_SU!$F25&lt;&gt;"",SUMPRODUCT(--($F25:$AJ25&lt;&gt;""),--($F25:$AJ25&lt;&gt;"NV"),--($F25:$AJ25&lt;&gt;"NT"),--($F25:$AJ25&lt;&gt;"TN"),--((THAM_SO_CC!$B$8+COLUMN($F$1:$AJ$1)-6)&lt;DM_NHAN_SU!$F25))&gt;0),"Chấm trước ngày vào; ","")&amp;IF(AND(DM_NHAN_SU!$G25&lt;&gt;"",SUMPRODUCT(--($F25:$AJ25&lt;&gt;""),--($F25:$AJ25&lt;&gt;"NV"),--($F25:$AJ25&lt;&gt;"NT"),--($F25:$AJ25&lt;&gt;"TN"),--((THAM_SO_CC!$B$8+COLUMN($F$1:$AJ$1)-6)&gt;DM_NHAN_SU!$G25))&gt;0),"Chấm sau ngày nghỉ việc; ","")))</f>
        <v/>
      </c>
    </row>
    <row r="26" ht="15" customHeight="1" s="63">
      <c r="A26" s="85">
        <f>IF($B26="","",ROW()-5)</f>
        <v/>
      </c>
      <c r="B26" s="103">
        <f>IF(DM_NHAN_SU!B26="","",DM_NHAN_SU!B26)</f>
        <v/>
      </c>
      <c r="C26" s="96">
        <f>IF($B26="","",DM_NHAN_SU!C26)</f>
        <v/>
      </c>
      <c r="D26" s="96">
        <f>IF($B26="","",DM_NHAN_SU!D26)</f>
        <v/>
      </c>
      <c r="E26" s="96">
        <f>IF($B26="","",DM_NHAN_SU!E26)</f>
        <v/>
      </c>
      <c r="F26" s="93" t="n"/>
      <c r="G26" s="93" t="n"/>
      <c r="H26" s="93" t="n"/>
      <c r="I26" s="93" t="n"/>
      <c r="J26" s="93" t="n"/>
      <c r="K26" s="93" t="n"/>
      <c r="L26" s="93" t="n"/>
      <c r="M26" s="93" t="n"/>
      <c r="N26" s="93" t="n"/>
      <c r="O26" s="93" t="n"/>
      <c r="P26" s="93" t="n"/>
      <c r="Q26" s="93" t="n"/>
      <c r="R26" s="93" t="n"/>
      <c r="S26" s="93" t="n"/>
      <c r="T26" s="93" t="n"/>
      <c r="U26" s="93" t="n"/>
      <c r="V26" s="93" t="n"/>
      <c r="W26" s="93" t="n"/>
      <c r="X26" s="93" t="n"/>
      <c r="Y26" s="93" t="n"/>
      <c r="Z26" s="93" t="n"/>
      <c r="AA26" s="93" t="n"/>
      <c r="AB26" s="93" t="n"/>
      <c r="AC26" s="93" t="n"/>
      <c r="AD26" s="93" t="n"/>
      <c r="AE26" s="93" t="n"/>
      <c r="AF26" s="93" t="n"/>
      <c r="AG26" s="93" t="n"/>
      <c r="AH26" s="93" t="n"/>
      <c r="AI26" s="93" t="n"/>
      <c r="AJ26" s="93" t="n"/>
      <c r="AK26" s="104">
        <f>IF($B26="","",SUMPRODUCT(COUNTIF($F26:$AJ26,KY_HIEU!$A$6:$A$45)*KY_HIEU!$C$6:$C$45))</f>
        <v/>
      </c>
      <c r="AL26" s="104">
        <f>IF($B26="","",SUMPRODUCT(COUNTIF($F26:$AJ26,KY_HIEU!$A$6:$A$45)*KY_HIEU!$D$6:$D$45))</f>
        <v/>
      </c>
      <c r="AM26" s="104">
        <f>IF($B26="","",SUMPRODUCT(COUNTIF($F26:$AJ26,KY_HIEU!$A$6:$A$45)*KY_HIEU!$E$6:$E$45))</f>
        <v/>
      </c>
      <c r="AN26" s="104">
        <f>IF($B26="","",SUMPRODUCT(COUNTIF($F26:$AJ26,KY_HIEU!$A$6:$A$45)*KY_HIEU!$F$6:$F$45))</f>
        <v/>
      </c>
      <c r="AO26" s="104">
        <f>IF($B26="","",SUMPRODUCT(COUNTIF($F26:$AJ26,KY_HIEU!$A$6:$A$45)*KY_HIEU!$G$6:$G$45))</f>
        <v/>
      </c>
      <c r="AP26" s="104">
        <f>IF($B26="","",SUMPRODUCT(COUNTIF($F26:$AJ26,KY_HIEU!$A$6:$A$45)*KY_HIEU!$H$6:$H$45))</f>
        <v/>
      </c>
      <c r="AQ26" s="104">
        <f>IF($B26="","",SUMPRODUCT(COUNTIF($F26:$AJ26,KY_HIEU!$A$6:$A$45)*KY_HIEU!$I$6:$I$45))</f>
        <v/>
      </c>
      <c r="AR26" s="105">
        <f>IF($B26="","",$AK26+$AL26+$AN26+$AO26+$AP26+$AQ26)</f>
        <v/>
      </c>
      <c r="AS26" s="105">
        <f>IF($B26="","",IF(DM_NHAN_SU!$I26&lt;&gt;"",DM_NHAN_SU!$I26,IF(THAM_SO_CC!$B$20="Nhập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26="",THAM_SO_CC!$B$8,DM_NHAN_SU!$F26))*(ROW(INDIRECT(THAM_SO_CC!$B$8&amp;":"&amp;THAM_SO_CC!$B$9))&lt;=IF(DM_NHAN_SU!$G26="",THAM_SO_CC!$B$9,DM_NHAN_SU!$G26))))))</f>
        <v/>
      </c>
      <c r="AT26" s="106">
        <f>IF($B26="","",$AR26-$AS26)</f>
        <v/>
      </c>
      <c r="AU26" s="96">
        <f>IF($B26="","",TRIM(IF(SUMPRODUCT(--($F26:$AJ26&lt;&gt;""))-SUMPRODUCT(COUNTIF($F26:$AJ26,KY_HIEU!$A$6:$A$45))&gt;0,"Ký hiệu lạ; ","")&amp;IF(ROUND($AT26,2)&lt;&gt;0,"Lệch ngày công "&amp;TEXT($AT26,"0.0")&amp;"; ","")&amp;IF(SUMPRODUCT(--($F26:$AJ26&lt;&gt;""),--((THAM_SO_CC!$B$8+COLUMN($F$1:$AJ$1)-6)&gt;THAM_SO_CC!$B$9))&gt;0,"Chấm ngoài kỳ; ","")&amp;IF(AND(DM_NHAN_SU!$F26&lt;&gt;"",SUMPRODUCT(--($F26:$AJ26&lt;&gt;""),--($F26:$AJ26&lt;&gt;"NV"),--($F26:$AJ26&lt;&gt;"NT"),--($F26:$AJ26&lt;&gt;"TN"),--((THAM_SO_CC!$B$8+COLUMN($F$1:$AJ$1)-6)&lt;DM_NHAN_SU!$F26))&gt;0),"Chấm trước ngày vào; ","")&amp;IF(AND(DM_NHAN_SU!$G26&lt;&gt;"",SUMPRODUCT(--($F26:$AJ26&lt;&gt;""),--($F26:$AJ26&lt;&gt;"NV"),--($F26:$AJ26&lt;&gt;"NT"),--($F26:$AJ26&lt;&gt;"TN"),--((THAM_SO_CC!$B$8+COLUMN($F$1:$AJ$1)-6)&gt;DM_NHAN_SU!$G26))&gt;0),"Chấm sau ngày nghỉ việc; ","")))</f>
        <v/>
      </c>
    </row>
    <row r="27" ht="15" customHeight="1" s="63">
      <c r="A27" s="85">
        <f>IF($B27="","",ROW()-5)</f>
        <v/>
      </c>
      <c r="B27" s="103">
        <f>IF(DM_NHAN_SU!B27="","",DM_NHAN_SU!B27)</f>
        <v/>
      </c>
      <c r="C27" s="96">
        <f>IF($B27="","",DM_NHAN_SU!C27)</f>
        <v/>
      </c>
      <c r="D27" s="96">
        <f>IF($B27="","",DM_NHAN_SU!D27)</f>
        <v/>
      </c>
      <c r="E27" s="96">
        <f>IF($B27="","",DM_NHAN_SU!E27)</f>
        <v/>
      </c>
      <c r="F27" s="93" t="n"/>
      <c r="G27" s="93" t="n"/>
      <c r="H27" s="93" t="n"/>
      <c r="I27" s="93" t="n"/>
      <c r="J27" s="93" t="n"/>
      <c r="K27" s="93" t="n"/>
      <c r="L27" s="93" t="n"/>
      <c r="M27" s="93" t="n"/>
      <c r="N27" s="93" t="n"/>
      <c r="O27" s="93" t="n"/>
      <c r="P27" s="93" t="n"/>
      <c r="Q27" s="93" t="n"/>
      <c r="R27" s="93" t="n"/>
      <c r="S27" s="93" t="n"/>
      <c r="T27" s="93" t="n"/>
      <c r="U27" s="93" t="n"/>
      <c r="V27" s="93" t="n"/>
      <c r="W27" s="93" t="n"/>
      <c r="X27" s="93" t="n"/>
      <c r="Y27" s="93" t="n"/>
      <c r="Z27" s="93" t="n"/>
      <c r="AA27" s="93" t="n"/>
      <c r="AB27" s="93" t="n"/>
      <c r="AC27" s="93" t="n"/>
      <c r="AD27" s="93" t="n"/>
      <c r="AE27" s="93" t="n"/>
      <c r="AF27" s="93" t="n"/>
      <c r="AG27" s="93" t="n"/>
      <c r="AH27" s="93" t="n"/>
      <c r="AI27" s="93" t="n"/>
      <c r="AJ27" s="93" t="n"/>
      <c r="AK27" s="104">
        <f>IF($B27="","",SUMPRODUCT(COUNTIF($F27:$AJ27,KY_HIEU!$A$6:$A$45)*KY_HIEU!$C$6:$C$45))</f>
        <v/>
      </c>
      <c r="AL27" s="104">
        <f>IF($B27="","",SUMPRODUCT(COUNTIF($F27:$AJ27,KY_HIEU!$A$6:$A$45)*KY_HIEU!$D$6:$D$45))</f>
        <v/>
      </c>
      <c r="AM27" s="104">
        <f>IF($B27="","",SUMPRODUCT(COUNTIF($F27:$AJ27,KY_HIEU!$A$6:$A$45)*KY_HIEU!$E$6:$E$45))</f>
        <v/>
      </c>
      <c r="AN27" s="104">
        <f>IF($B27="","",SUMPRODUCT(COUNTIF($F27:$AJ27,KY_HIEU!$A$6:$A$45)*KY_HIEU!$F$6:$F$45))</f>
        <v/>
      </c>
      <c r="AO27" s="104">
        <f>IF($B27="","",SUMPRODUCT(COUNTIF($F27:$AJ27,KY_HIEU!$A$6:$A$45)*KY_HIEU!$G$6:$G$45))</f>
        <v/>
      </c>
      <c r="AP27" s="104">
        <f>IF($B27="","",SUMPRODUCT(COUNTIF($F27:$AJ27,KY_HIEU!$A$6:$A$45)*KY_HIEU!$H$6:$H$45))</f>
        <v/>
      </c>
      <c r="AQ27" s="104">
        <f>IF($B27="","",SUMPRODUCT(COUNTIF($F27:$AJ27,KY_HIEU!$A$6:$A$45)*KY_HIEU!$I$6:$I$45))</f>
        <v/>
      </c>
      <c r="AR27" s="105">
        <f>IF($B27="","",$AK27+$AL27+$AN27+$AO27+$AP27+$AQ27)</f>
        <v/>
      </c>
      <c r="AS27" s="105">
        <f>IF($B27="","",IF(DM_NHAN_SU!$I27&lt;&gt;"",DM_NHAN_SU!$I27,IF(THAM_SO_CC!$B$20="Nhập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27="",THAM_SO_CC!$B$8,DM_NHAN_SU!$F27))*(ROW(INDIRECT(THAM_SO_CC!$B$8&amp;":"&amp;THAM_SO_CC!$B$9))&lt;=IF(DM_NHAN_SU!$G27="",THAM_SO_CC!$B$9,DM_NHAN_SU!$G27))))))</f>
        <v/>
      </c>
      <c r="AT27" s="106">
        <f>IF($B27="","",$AR27-$AS27)</f>
        <v/>
      </c>
      <c r="AU27" s="96">
        <f>IF($B27="","",TRIM(IF(SUMPRODUCT(--($F27:$AJ27&lt;&gt;""))-SUMPRODUCT(COUNTIF($F27:$AJ27,KY_HIEU!$A$6:$A$45))&gt;0,"Ký hiệu lạ; ","")&amp;IF(ROUND($AT27,2)&lt;&gt;0,"Lệch ngày công "&amp;TEXT($AT27,"0.0")&amp;"; ","")&amp;IF(SUMPRODUCT(--($F27:$AJ27&lt;&gt;""),--((THAM_SO_CC!$B$8+COLUMN($F$1:$AJ$1)-6)&gt;THAM_SO_CC!$B$9))&gt;0,"Chấm ngoài kỳ; ","")&amp;IF(AND(DM_NHAN_SU!$F27&lt;&gt;"",SUMPRODUCT(--($F27:$AJ27&lt;&gt;""),--($F27:$AJ27&lt;&gt;"NV"),--($F27:$AJ27&lt;&gt;"NT"),--($F27:$AJ27&lt;&gt;"TN"),--((THAM_SO_CC!$B$8+COLUMN($F$1:$AJ$1)-6)&lt;DM_NHAN_SU!$F27))&gt;0),"Chấm trước ngày vào; ","")&amp;IF(AND(DM_NHAN_SU!$G27&lt;&gt;"",SUMPRODUCT(--($F27:$AJ27&lt;&gt;""),--($F27:$AJ27&lt;&gt;"NV"),--($F27:$AJ27&lt;&gt;"NT"),--($F27:$AJ27&lt;&gt;"TN"),--((THAM_SO_CC!$B$8+COLUMN($F$1:$AJ$1)-6)&gt;DM_NHAN_SU!$G27))&gt;0),"Chấm sau ngày nghỉ việc; ","")))</f>
        <v/>
      </c>
    </row>
    <row r="28" ht="15" customHeight="1" s="63">
      <c r="A28" s="85">
        <f>IF($B28="","",ROW()-5)</f>
        <v/>
      </c>
      <c r="B28" s="103">
        <f>IF(DM_NHAN_SU!B28="","",DM_NHAN_SU!B28)</f>
        <v/>
      </c>
      <c r="C28" s="96">
        <f>IF($B28="","",DM_NHAN_SU!C28)</f>
        <v/>
      </c>
      <c r="D28" s="96">
        <f>IF($B28="","",DM_NHAN_SU!D28)</f>
        <v/>
      </c>
      <c r="E28" s="96">
        <f>IF($B28="","",DM_NHAN_SU!E28)</f>
        <v/>
      </c>
      <c r="F28" s="93" t="n"/>
      <c r="G28" s="93" t="n"/>
      <c r="H28" s="93" t="n"/>
      <c r="I28" s="93" t="n"/>
      <c r="J28" s="93" t="n"/>
      <c r="K28" s="93" t="n"/>
      <c r="L28" s="93" t="n"/>
      <c r="M28" s="93" t="n"/>
      <c r="N28" s="93" t="n"/>
      <c r="O28" s="93" t="n"/>
      <c r="P28" s="93" t="n"/>
      <c r="Q28" s="93" t="n"/>
      <c r="R28" s="93" t="n"/>
      <c r="S28" s="93" t="n"/>
      <c r="T28" s="93" t="n"/>
      <c r="U28" s="93" t="n"/>
      <c r="V28" s="93" t="n"/>
      <c r="W28" s="93" t="n"/>
      <c r="X28" s="93" t="n"/>
      <c r="Y28" s="93" t="n"/>
      <c r="Z28" s="93" t="n"/>
      <c r="AA28" s="93" t="n"/>
      <c r="AB28" s="93" t="n"/>
      <c r="AC28" s="93" t="n"/>
      <c r="AD28" s="93" t="n"/>
      <c r="AE28" s="93" t="n"/>
      <c r="AF28" s="93" t="n"/>
      <c r="AG28" s="93" t="n"/>
      <c r="AH28" s="93" t="n"/>
      <c r="AI28" s="93" t="n"/>
      <c r="AJ28" s="93" t="n"/>
      <c r="AK28" s="104">
        <f>IF($B28="","",SUMPRODUCT(COUNTIF($F28:$AJ28,KY_HIEU!$A$6:$A$45)*KY_HIEU!$C$6:$C$45))</f>
        <v/>
      </c>
      <c r="AL28" s="104">
        <f>IF($B28="","",SUMPRODUCT(COUNTIF($F28:$AJ28,KY_HIEU!$A$6:$A$45)*KY_HIEU!$D$6:$D$45))</f>
        <v/>
      </c>
      <c r="AM28" s="104">
        <f>IF($B28="","",SUMPRODUCT(COUNTIF($F28:$AJ28,KY_HIEU!$A$6:$A$45)*KY_HIEU!$E$6:$E$45))</f>
        <v/>
      </c>
      <c r="AN28" s="104">
        <f>IF($B28="","",SUMPRODUCT(COUNTIF($F28:$AJ28,KY_HIEU!$A$6:$A$45)*KY_HIEU!$F$6:$F$45))</f>
        <v/>
      </c>
      <c r="AO28" s="104">
        <f>IF($B28="","",SUMPRODUCT(COUNTIF($F28:$AJ28,KY_HIEU!$A$6:$A$45)*KY_HIEU!$G$6:$G$45))</f>
        <v/>
      </c>
      <c r="AP28" s="104">
        <f>IF($B28="","",SUMPRODUCT(COUNTIF($F28:$AJ28,KY_HIEU!$A$6:$A$45)*KY_HIEU!$H$6:$H$45))</f>
        <v/>
      </c>
      <c r="AQ28" s="104">
        <f>IF($B28="","",SUMPRODUCT(COUNTIF($F28:$AJ28,KY_HIEU!$A$6:$A$45)*KY_HIEU!$I$6:$I$45))</f>
        <v/>
      </c>
      <c r="AR28" s="105">
        <f>IF($B28="","",$AK28+$AL28+$AN28+$AO28+$AP28+$AQ28)</f>
        <v/>
      </c>
      <c r="AS28" s="105">
        <f>IF($B28="","",IF(DM_NHAN_SU!$I28&lt;&gt;"",DM_NHAN_SU!$I28,IF(THAM_SO_CC!$B$20="Nhập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28="",THAM_SO_CC!$B$8,DM_NHAN_SU!$F28))*(ROW(INDIRECT(THAM_SO_CC!$B$8&amp;":"&amp;THAM_SO_CC!$B$9))&lt;=IF(DM_NHAN_SU!$G28="",THAM_SO_CC!$B$9,DM_NHAN_SU!$G28))))))</f>
        <v/>
      </c>
      <c r="AT28" s="106">
        <f>IF($B28="","",$AR28-$AS28)</f>
        <v/>
      </c>
      <c r="AU28" s="96">
        <f>IF($B28="","",TRIM(IF(SUMPRODUCT(--($F28:$AJ28&lt;&gt;""))-SUMPRODUCT(COUNTIF($F28:$AJ28,KY_HIEU!$A$6:$A$45))&gt;0,"Ký hiệu lạ; ","")&amp;IF(ROUND($AT28,2)&lt;&gt;0,"Lệch ngày công "&amp;TEXT($AT28,"0.0")&amp;"; ","")&amp;IF(SUMPRODUCT(--($F28:$AJ28&lt;&gt;""),--((THAM_SO_CC!$B$8+COLUMN($F$1:$AJ$1)-6)&gt;THAM_SO_CC!$B$9))&gt;0,"Chấm ngoài kỳ; ","")&amp;IF(AND(DM_NHAN_SU!$F28&lt;&gt;"",SUMPRODUCT(--($F28:$AJ28&lt;&gt;""),--($F28:$AJ28&lt;&gt;"NV"),--($F28:$AJ28&lt;&gt;"NT"),--($F28:$AJ28&lt;&gt;"TN"),--((THAM_SO_CC!$B$8+COLUMN($F$1:$AJ$1)-6)&lt;DM_NHAN_SU!$F28))&gt;0),"Chấm trước ngày vào; ","")&amp;IF(AND(DM_NHAN_SU!$G28&lt;&gt;"",SUMPRODUCT(--($F28:$AJ28&lt;&gt;""),--($F28:$AJ28&lt;&gt;"NV"),--($F28:$AJ28&lt;&gt;"NT"),--($F28:$AJ28&lt;&gt;"TN"),--((THAM_SO_CC!$B$8+COLUMN($F$1:$AJ$1)-6)&gt;DM_NHAN_SU!$G28))&gt;0),"Chấm sau ngày nghỉ việc; ","")))</f>
        <v/>
      </c>
    </row>
    <row r="29" ht="15" customHeight="1" s="63">
      <c r="A29" s="85">
        <f>IF($B29="","",ROW()-5)</f>
        <v/>
      </c>
      <c r="B29" s="103">
        <f>IF(DM_NHAN_SU!B29="","",DM_NHAN_SU!B29)</f>
        <v/>
      </c>
      <c r="C29" s="96">
        <f>IF($B29="","",DM_NHAN_SU!C29)</f>
        <v/>
      </c>
      <c r="D29" s="96">
        <f>IF($B29="","",DM_NHAN_SU!D29)</f>
        <v/>
      </c>
      <c r="E29" s="96">
        <f>IF($B29="","",DM_NHAN_SU!E29)</f>
        <v/>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93" t="n"/>
      <c r="AA29" s="93" t="n"/>
      <c r="AB29" s="93" t="n"/>
      <c r="AC29" s="93" t="n"/>
      <c r="AD29" s="93" t="n"/>
      <c r="AE29" s="93" t="n"/>
      <c r="AF29" s="93" t="n"/>
      <c r="AG29" s="93" t="n"/>
      <c r="AH29" s="93" t="n"/>
      <c r="AI29" s="93" t="n"/>
      <c r="AJ29" s="93" t="n"/>
      <c r="AK29" s="104">
        <f>IF($B29="","",SUMPRODUCT(COUNTIF($F29:$AJ29,KY_HIEU!$A$6:$A$45)*KY_HIEU!$C$6:$C$45))</f>
        <v/>
      </c>
      <c r="AL29" s="104">
        <f>IF($B29="","",SUMPRODUCT(COUNTIF($F29:$AJ29,KY_HIEU!$A$6:$A$45)*KY_HIEU!$D$6:$D$45))</f>
        <v/>
      </c>
      <c r="AM29" s="104">
        <f>IF($B29="","",SUMPRODUCT(COUNTIF($F29:$AJ29,KY_HIEU!$A$6:$A$45)*KY_HIEU!$E$6:$E$45))</f>
        <v/>
      </c>
      <c r="AN29" s="104">
        <f>IF($B29="","",SUMPRODUCT(COUNTIF($F29:$AJ29,KY_HIEU!$A$6:$A$45)*KY_HIEU!$F$6:$F$45))</f>
        <v/>
      </c>
      <c r="AO29" s="104">
        <f>IF($B29="","",SUMPRODUCT(COUNTIF($F29:$AJ29,KY_HIEU!$A$6:$A$45)*KY_HIEU!$G$6:$G$45))</f>
        <v/>
      </c>
      <c r="AP29" s="104">
        <f>IF($B29="","",SUMPRODUCT(COUNTIF($F29:$AJ29,KY_HIEU!$A$6:$A$45)*KY_HIEU!$H$6:$H$45))</f>
        <v/>
      </c>
      <c r="AQ29" s="104">
        <f>IF($B29="","",SUMPRODUCT(COUNTIF($F29:$AJ29,KY_HIEU!$A$6:$A$45)*KY_HIEU!$I$6:$I$45))</f>
        <v/>
      </c>
      <c r="AR29" s="105">
        <f>IF($B29="","",$AK29+$AL29+$AN29+$AO29+$AP29+$AQ29)</f>
        <v/>
      </c>
      <c r="AS29" s="105">
        <f>IF($B29="","",IF(DM_NHAN_SU!$I29&lt;&gt;"",DM_NHAN_SU!$I29,IF(THAM_SO_CC!$B$20="Nhập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29="",THAM_SO_CC!$B$8,DM_NHAN_SU!$F29))*(ROW(INDIRECT(THAM_SO_CC!$B$8&amp;":"&amp;THAM_SO_CC!$B$9))&lt;=IF(DM_NHAN_SU!$G29="",THAM_SO_CC!$B$9,DM_NHAN_SU!$G29))))))</f>
        <v/>
      </c>
      <c r="AT29" s="106">
        <f>IF($B29="","",$AR29-$AS29)</f>
        <v/>
      </c>
      <c r="AU29" s="96">
        <f>IF($B29="","",TRIM(IF(SUMPRODUCT(--($F29:$AJ29&lt;&gt;""))-SUMPRODUCT(COUNTIF($F29:$AJ29,KY_HIEU!$A$6:$A$45))&gt;0,"Ký hiệu lạ; ","")&amp;IF(ROUND($AT29,2)&lt;&gt;0,"Lệch ngày công "&amp;TEXT($AT29,"0.0")&amp;"; ","")&amp;IF(SUMPRODUCT(--($F29:$AJ29&lt;&gt;""),--((THAM_SO_CC!$B$8+COLUMN($F$1:$AJ$1)-6)&gt;THAM_SO_CC!$B$9))&gt;0,"Chấm ngoài kỳ; ","")&amp;IF(AND(DM_NHAN_SU!$F29&lt;&gt;"",SUMPRODUCT(--($F29:$AJ29&lt;&gt;""),--($F29:$AJ29&lt;&gt;"NV"),--($F29:$AJ29&lt;&gt;"NT"),--($F29:$AJ29&lt;&gt;"TN"),--((THAM_SO_CC!$B$8+COLUMN($F$1:$AJ$1)-6)&lt;DM_NHAN_SU!$F29))&gt;0),"Chấm trước ngày vào; ","")&amp;IF(AND(DM_NHAN_SU!$G29&lt;&gt;"",SUMPRODUCT(--($F29:$AJ29&lt;&gt;""),--($F29:$AJ29&lt;&gt;"NV"),--($F29:$AJ29&lt;&gt;"NT"),--($F29:$AJ29&lt;&gt;"TN"),--((THAM_SO_CC!$B$8+COLUMN($F$1:$AJ$1)-6)&gt;DM_NHAN_SU!$G29))&gt;0),"Chấm sau ngày nghỉ việc; ","")))</f>
        <v/>
      </c>
    </row>
    <row r="30" ht="15" customHeight="1" s="63">
      <c r="A30" s="85">
        <f>IF($B30="","",ROW()-5)</f>
        <v/>
      </c>
      <c r="B30" s="103">
        <f>IF(DM_NHAN_SU!B30="","",DM_NHAN_SU!B30)</f>
        <v/>
      </c>
      <c r="C30" s="96">
        <f>IF($B30="","",DM_NHAN_SU!C30)</f>
        <v/>
      </c>
      <c r="D30" s="96">
        <f>IF($B30="","",DM_NHAN_SU!D30)</f>
        <v/>
      </c>
      <c r="E30" s="96">
        <f>IF($B30="","",DM_NHAN_SU!E30)</f>
        <v/>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93" t="n"/>
      <c r="AA30" s="93" t="n"/>
      <c r="AB30" s="93" t="n"/>
      <c r="AC30" s="93" t="n"/>
      <c r="AD30" s="93" t="n"/>
      <c r="AE30" s="93" t="n"/>
      <c r="AF30" s="93" t="n"/>
      <c r="AG30" s="93" t="n"/>
      <c r="AH30" s="93" t="n"/>
      <c r="AI30" s="93" t="n"/>
      <c r="AJ30" s="93" t="n"/>
      <c r="AK30" s="104">
        <f>IF($B30="","",SUMPRODUCT(COUNTIF($F30:$AJ30,KY_HIEU!$A$6:$A$45)*KY_HIEU!$C$6:$C$45))</f>
        <v/>
      </c>
      <c r="AL30" s="104">
        <f>IF($B30="","",SUMPRODUCT(COUNTIF($F30:$AJ30,KY_HIEU!$A$6:$A$45)*KY_HIEU!$D$6:$D$45))</f>
        <v/>
      </c>
      <c r="AM30" s="104">
        <f>IF($B30="","",SUMPRODUCT(COUNTIF($F30:$AJ30,KY_HIEU!$A$6:$A$45)*KY_HIEU!$E$6:$E$45))</f>
        <v/>
      </c>
      <c r="AN30" s="104">
        <f>IF($B30="","",SUMPRODUCT(COUNTIF($F30:$AJ30,KY_HIEU!$A$6:$A$45)*KY_HIEU!$F$6:$F$45))</f>
        <v/>
      </c>
      <c r="AO30" s="104">
        <f>IF($B30="","",SUMPRODUCT(COUNTIF($F30:$AJ30,KY_HIEU!$A$6:$A$45)*KY_HIEU!$G$6:$G$45))</f>
        <v/>
      </c>
      <c r="AP30" s="104">
        <f>IF($B30="","",SUMPRODUCT(COUNTIF($F30:$AJ30,KY_HIEU!$A$6:$A$45)*KY_HIEU!$H$6:$H$45))</f>
        <v/>
      </c>
      <c r="AQ30" s="104">
        <f>IF($B30="","",SUMPRODUCT(COUNTIF($F30:$AJ30,KY_HIEU!$A$6:$A$45)*KY_HIEU!$I$6:$I$45))</f>
        <v/>
      </c>
      <c r="AR30" s="105">
        <f>IF($B30="","",$AK30+$AL30+$AN30+$AO30+$AP30+$AQ30)</f>
        <v/>
      </c>
      <c r="AS30" s="105">
        <f>IF($B30="","",IF(DM_NHAN_SU!$I30&lt;&gt;"",DM_NHAN_SU!$I30,IF(THAM_SO_CC!$B$20="Nhập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30="",THAM_SO_CC!$B$8,DM_NHAN_SU!$F30))*(ROW(INDIRECT(THAM_SO_CC!$B$8&amp;":"&amp;THAM_SO_CC!$B$9))&lt;=IF(DM_NHAN_SU!$G30="",THAM_SO_CC!$B$9,DM_NHAN_SU!$G30))))))</f>
        <v/>
      </c>
      <c r="AT30" s="106">
        <f>IF($B30="","",$AR30-$AS30)</f>
        <v/>
      </c>
      <c r="AU30" s="96">
        <f>IF($B30="","",TRIM(IF(SUMPRODUCT(--($F30:$AJ30&lt;&gt;""))-SUMPRODUCT(COUNTIF($F30:$AJ30,KY_HIEU!$A$6:$A$45))&gt;0,"Ký hiệu lạ; ","")&amp;IF(ROUND($AT30,2)&lt;&gt;0,"Lệch ngày công "&amp;TEXT($AT30,"0.0")&amp;"; ","")&amp;IF(SUMPRODUCT(--($F30:$AJ30&lt;&gt;""),--((THAM_SO_CC!$B$8+COLUMN($F$1:$AJ$1)-6)&gt;THAM_SO_CC!$B$9))&gt;0,"Chấm ngoài kỳ; ","")&amp;IF(AND(DM_NHAN_SU!$F30&lt;&gt;"",SUMPRODUCT(--($F30:$AJ30&lt;&gt;""),--($F30:$AJ30&lt;&gt;"NV"),--($F30:$AJ30&lt;&gt;"NT"),--($F30:$AJ30&lt;&gt;"TN"),--((THAM_SO_CC!$B$8+COLUMN($F$1:$AJ$1)-6)&lt;DM_NHAN_SU!$F30))&gt;0),"Chấm trước ngày vào; ","")&amp;IF(AND(DM_NHAN_SU!$G30&lt;&gt;"",SUMPRODUCT(--($F30:$AJ30&lt;&gt;""),--($F30:$AJ30&lt;&gt;"NV"),--($F30:$AJ30&lt;&gt;"NT"),--($F30:$AJ30&lt;&gt;"TN"),--((THAM_SO_CC!$B$8+COLUMN($F$1:$AJ$1)-6)&gt;DM_NHAN_SU!$G30))&gt;0),"Chấm sau ngày nghỉ việc; ","")))</f>
        <v/>
      </c>
    </row>
    <row r="31" ht="15" customHeight="1" s="63">
      <c r="A31" s="85">
        <f>IF($B31="","",ROW()-5)</f>
        <v/>
      </c>
      <c r="B31" s="103">
        <f>IF(DM_NHAN_SU!B31="","",DM_NHAN_SU!B31)</f>
        <v/>
      </c>
      <c r="C31" s="96">
        <f>IF($B31="","",DM_NHAN_SU!C31)</f>
        <v/>
      </c>
      <c r="D31" s="96">
        <f>IF($B31="","",DM_NHAN_SU!D31)</f>
        <v/>
      </c>
      <c r="E31" s="96">
        <f>IF($B31="","",DM_NHAN_SU!E31)</f>
        <v/>
      </c>
      <c r="F31" s="93" t="n"/>
      <c r="G31" s="93" t="n"/>
      <c r="H31" s="93" t="n"/>
      <c r="I31" s="93" t="n"/>
      <c r="J31" s="93" t="n"/>
      <c r="K31" s="93" t="n"/>
      <c r="L31" s="93" t="n"/>
      <c r="M31" s="93" t="n"/>
      <c r="N31" s="93" t="n"/>
      <c r="O31" s="93" t="n"/>
      <c r="P31" s="93" t="n"/>
      <c r="Q31" s="93" t="n"/>
      <c r="R31" s="93" t="n"/>
      <c r="S31" s="93" t="n"/>
      <c r="T31" s="93" t="n"/>
      <c r="U31" s="93" t="n"/>
      <c r="V31" s="93" t="n"/>
      <c r="W31" s="93" t="n"/>
      <c r="X31" s="93" t="n"/>
      <c r="Y31" s="93" t="n"/>
      <c r="Z31" s="93" t="n"/>
      <c r="AA31" s="93" t="n"/>
      <c r="AB31" s="93" t="n"/>
      <c r="AC31" s="93" t="n"/>
      <c r="AD31" s="93" t="n"/>
      <c r="AE31" s="93" t="n"/>
      <c r="AF31" s="93" t="n"/>
      <c r="AG31" s="93" t="n"/>
      <c r="AH31" s="93" t="n"/>
      <c r="AI31" s="93" t="n"/>
      <c r="AJ31" s="93" t="n"/>
      <c r="AK31" s="104">
        <f>IF($B31="","",SUMPRODUCT(COUNTIF($F31:$AJ31,KY_HIEU!$A$6:$A$45)*KY_HIEU!$C$6:$C$45))</f>
        <v/>
      </c>
      <c r="AL31" s="104">
        <f>IF($B31="","",SUMPRODUCT(COUNTIF($F31:$AJ31,KY_HIEU!$A$6:$A$45)*KY_HIEU!$D$6:$D$45))</f>
        <v/>
      </c>
      <c r="AM31" s="104">
        <f>IF($B31="","",SUMPRODUCT(COUNTIF($F31:$AJ31,KY_HIEU!$A$6:$A$45)*KY_HIEU!$E$6:$E$45))</f>
        <v/>
      </c>
      <c r="AN31" s="104">
        <f>IF($B31="","",SUMPRODUCT(COUNTIF($F31:$AJ31,KY_HIEU!$A$6:$A$45)*KY_HIEU!$F$6:$F$45))</f>
        <v/>
      </c>
      <c r="AO31" s="104">
        <f>IF($B31="","",SUMPRODUCT(COUNTIF($F31:$AJ31,KY_HIEU!$A$6:$A$45)*KY_HIEU!$G$6:$G$45))</f>
        <v/>
      </c>
      <c r="AP31" s="104">
        <f>IF($B31="","",SUMPRODUCT(COUNTIF($F31:$AJ31,KY_HIEU!$A$6:$A$45)*KY_HIEU!$H$6:$H$45))</f>
        <v/>
      </c>
      <c r="AQ31" s="104">
        <f>IF($B31="","",SUMPRODUCT(COUNTIF($F31:$AJ31,KY_HIEU!$A$6:$A$45)*KY_HIEU!$I$6:$I$45))</f>
        <v/>
      </c>
      <c r="AR31" s="105">
        <f>IF($B31="","",$AK31+$AL31+$AN31+$AO31+$AP31+$AQ31)</f>
        <v/>
      </c>
      <c r="AS31" s="105">
        <f>IF($B31="","",IF(DM_NHAN_SU!$I31&lt;&gt;"",DM_NHAN_SU!$I31,IF(THAM_SO_CC!$B$20="Nhập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31="",THAM_SO_CC!$B$8,DM_NHAN_SU!$F31))*(ROW(INDIRECT(THAM_SO_CC!$B$8&amp;":"&amp;THAM_SO_CC!$B$9))&lt;=IF(DM_NHAN_SU!$G31="",THAM_SO_CC!$B$9,DM_NHAN_SU!$G31))))))</f>
        <v/>
      </c>
      <c r="AT31" s="106">
        <f>IF($B31="","",$AR31-$AS31)</f>
        <v/>
      </c>
      <c r="AU31" s="96">
        <f>IF($B31="","",TRIM(IF(SUMPRODUCT(--($F31:$AJ31&lt;&gt;""))-SUMPRODUCT(COUNTIF($F31:$AJ31,KY_HIEU!$A$6:$A$45))&gt;0,"Ký hiệu lạ; ","")&amp;IF(ROUND($AT31,2)&lt;&gt;0,"Lệch ngày công "&amp;TEXT($AT31,"0.0")&amp;"; ","")&amp;IF(SUMPRODUCT(--($F31:$AJ31&lt;&gt;""),--((THAM_SO_CC!$B$8+COLUMN($F$1:$AJ$1)-6)&gt;THAM_SO_CC!$B$9))&gt;0,"Chấm ngoài kỳ; ","")&amp;IF(AND(DM_NHAN_SU!$F31&lt;&gt;"",SUMPRODUCT(--($F31:$AJ31&lt;&gt;""),--($F31:$AJ31&lt;&gt;"NV"),--($F31:$AJ31&lt;&gt;"NT"),--($F31:$AJ31&lt;&gt;"TN"),--((THAM_SO_CC!$B$8+COLUMN($F$1:$AJ$1)-6)&lt;DM_NHAN_SU!$F31))&gt;0),"Chấm trước ngày vào; ","")&amp;IF(AND(DM_NHAN_SU!$G31&lt;&gt;"",SUMPRODUCT(--($F31:$AJ31&lt;&gt;""),--($F31:$AJ31&lt;&gt;"NV"),--($F31:$AJ31&lt;&gt;"NT"),--($F31:$AJ31&lt;&gt;"TN"),--((THAM_SO_CC!$B$8+COLUMN($F$1:$AJ$1)-6)&gt;DM_NHAN_SU!$G31))&gt;0),"Chấm sau ngày nghỉ việc; ","")))</f>
        <v/>
      </c>
    </row>
    <row r="32" ht="15" customHeight="1" s="63">
      <c r="A32" s="85">
        <f>IF($B32="","",ROW()-5)</f>
        <v/>
      </c>
      <c r="B32" s="103">
        <f>IF(DM_NHAN_SU!B32="","",DM_NHAN_SU!B32)</f>
        <v/>
      </c>
      <c r="C32" s="96">
        <f>IF($B32="","",DM_NHAN_SU!C32)</f>
        <v/>
      </c>
      <c r="D32" s="96">
        <f>IF($B32="","",DM_NHAN_SU!D32)</f>
        <v/>
      </c>
      <c r="E32" s="96">
        <f>IF($B32="","",DM_NHAN_SU!E32)</f>
        <v/>
      </c>
      <c r="F32" s="93" t="n"/>
      <c r="G32" s="93" t="n"/>
      <c r="H32" s="93" t="n"/>
      <c r="I32" s="93" t="n"/>
      <c r="J32" s="93" t="n"/>
      <c r="K32" s="93" t="n"/>
      <c r="L32" s="93" t="n"/>
      <c r="M32" s="93" t="n"/>
      <c r="N32" s="93" t="n"/>
      <c r="O32" s="93" t="n"/>
      <c r="P32" s="93" t="n"/>
      <c r="Q32" s="93" t="n"/>
      <c r="R32" s="93" t="n"/>
      <c r="S32" s="93" t="n"/>
      <c r="T32" s="93" t="n"/>
      <c r="U32" s="93" t="n"/>
      <c r="V32" s="93" t="n"/>
      <c r="W32" s="93" t="n"/>
      <c r="X32" s="93" t="n"/>
      <c r="Y32" s="93" t="n"/>
      <c r="Z32" s="93" t="n"/>
      <c r="AA32" s="93" t="n"/>
      <c r="AB32" s="93" t="n"/>
      <c r="AC32" s="93" t="n"/>
      <c r="AD32" s="93" t="n"/>
      <c r="AE32" s="93" t="n"/>
      <c r="AF32" s="93" t="n"/>
      <c r="AG32" s="93" t="n"/>
      <c r="AH32" s="93" t="n"/>
      <c r="AI32" s="93" t="n"/>
      <c r="AJ32" s="93" t="n"/>
      <c r="AK32" s="104">
        <f>IF($B32="","",SUMPRODUCT(COUNTIF($F32:$AJ32,KY_HIEU!$A$6:$A$45)*KY_HIEU!$C$6:$C$45))</f>
        <v/>
      </c>
      <c r="AL32" s="104">
        <f>IF($B32="","",SUMPRODUCT(COUNTIF($F32:$AJ32,KY_HIEU!$A$6:$A$45)*KY_HIEU!$D$6:$D$45))</f>
        <v/>
      </c>
      <c r="AM32" s="104">
        <f>IF($B32="","",SUMPRODUCT(COUNTIF($F32:$AJ32,KY_HIEU!$A$6:$A$45)*KY_HIEU!$E$6:$E$45))</f>
        <v/>
      </c>
      <c r="AN32" s="104">
        <f>IF($B32="","",SUMPRODUCT(COUNTIF($F32:$AJ32,KY_HIEU!$A$6:$A$45)*KY_HIEU!$F$6:$F$45))</f>
        <v/>
      </c>
      <c r="AO32" s="104">
        <f>IF($B32="","",SUMPRODUCT(COUNTIF($F32:$AJ32,KY_HIEU!$A$6:$A$45)*KY_HIEU!$G$6:$G$45))</f>
        <v/>
      </c>
      <c r="AP32" s="104">
        <f>IF($B32="","",SUMPRODUCT(COUNTIF($F32:$AJ32,KY_HIEU!$A$6:$A$45)*KY_HIEU!$H$6:$H$45))</f>
        <v/>
      </c>
      <c r="AQ32" s="104">
        <f>IF($B32="","",SUMPRODUCT(COUNTIF($F32:$AJ32,KY_HIEU!$A$6:$A$45)*KY_HIEU!$I$6:$I$45))</f>
        <v/>
      </c>
      <c r="AR32" s="105">
        <f>IF($B32="","",$AK32+$AL32+$AN32+$AO32+$AP32+$AQ32)</f>
        <v/>
      </c>
      <c r="AS32" s="105">
        <f>IF($B32="","",IF(DM_NHAN_SU!$I32&lt;&gt;"",DM_NHAN_SU!$I32,IF(THAM_SO_CC!$B$20="Nhập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32="",THAM_SO_CC!$B$8,DM_NHAN_SU!$F32))*(ROW(INDIRECT(THAM_SO_CC!$B$8&amp;":"&amp;THAM_SO_CC!$B$9))&lt;=IF(DM_NHAN_SU!$G32="",THAM_SO_CC!$B$9,DM_NHAN_SU!$G32))))))</f>
        <v/>
      </c>
      <c r="AT32" s="106">
        <f>IF($B32="","",$AR32-$AS32)</f>
        <v/>
      </c>
      <c r="AU32" s="96">
        <f>IF($B32="","",TRIM(IF(SUMPRODUCT(--($F32:$AJ32&lt;&gt;""))-SUMPRODUCT(COUNTIF($F32:$AJ32,KY_HIEU!$A$6:$A$45))&gt;0,"Ký hiệu lạ; ","")&amp;IF(ROUND($AT32,2)&lt;&gt;0,"Lệch ngày công "&amp;TEXT($AT32,"0.0")&amp;"; ","")&amp;IF(SUMPRODUCT(--($F32:$AJ32&lt;&gt;""),--((THAM_SO_CC!$B$8+COLUMN($F$1:$AJ$1)-6)&gt;THAM_SO_CC!$B$9))&gt;0,"Chấm ngoài kỳ; ","")&amp;IF(AND(DM_NHAN_SU!$F32&lt;&gt;"",SUMPRODUCT(--($F32:$AJ32&lt;&gt;""),--($F32:$AJ32&lt;&gt;"NV"),--($F32:$AJ32&lt;&gt;"NT"),--($F32:$AJ32&lt;&gt;"TN"),--((THAM_SO_CC!$B$8+COLUMN($F$1:$AJ$1)-6)&lt;DM_NHAN_SU!$F32))&gt;0),"Chấm trước ngày vào; ","")&amp;IF(AND(DM_NHAN_SU!$G32&lt;&gt;"",SUMPRODUCT(--($F32:$AJ32&lt;&gt;""),--($F32:$AJ32&lt;&gt;"NV"),--($F32:$AJ32&lt;&gt;"NT"),--($F32:$AJ32&lt;&gt;"TN"),--((THAM_SO_CC!$B$8+COLUMN($F$1:$AJ$1)-6)&gt;DM_NHAN_SU!$G32))&gt;0),"Chấm sau ngày nghỉ việc; ","")))</f>
        <v/>
      </c>
    </row>
    <row r="33" ht="15" customHeight="1" s="63">
      <c r="A33" s="85">
        <f>IF($B33="","",ROW()-5)</f>
        <v/>
      </c>
      <c r="B33" s="103">
        <f>IF(DM_NHAN_SU!B33="","",DM_NHAN_SU!B33)</f>
        <v/>
      </c>
      <c r="C33" s="96">
        <f>IF($B33="","",DM_NHAN_SU!C33)</f>
        <v/>
      </c>
      <c r="D33" s="96">
        <f>IF($B33="","",DM_NHAN_SU!D33)</f>
        <v/>
      </c>
      <c r="E33" s="96">
        <f>IF($B33="","",DM_NHAN_SU!E33)</f>
        <v/>
      </c>
      <c r="F33" s="93" t="n"/>
      <c r="G33" s="93" t="n"/>
      <c r="H33" s="93" t="n"/>
      <c r="I33" s="93" t="n"/>
      <c r="J33" s="93" t="n"/>
      <c r="K33" s="93" t="n"/>
      <c r="L33" s="93" t="n"/>
      <c r="M33" s="93" t="n"/>
      <c r="N33" s="93" t="n"/>
      <c r="O33" s="93" t="n"/>
      <c r="P33" s="93" t="n"/>
      <c r="Q33" s="93" t="n"/>
      <c r="R33" s="93" t="n"/>
      <c r="S33" s="93" t="n"/>
      <c r="T33" s="93" t="n"/>
      <c r="U33" s="93" t="n"/>
      <c r="V33" s="93" t="n"/>
      <c r="W33" s="93" t="n"/>
      <c r="X33" s="93" t="n"/>
      <c r="Y33" s="93" t="n"/>
      <c r="Z33" s="93" t="n"/>
      <c r="AA33" s="93" t="n"/>
      <c r="AB33" s="93" t="n"/>
      <c r="AC33" s="93" t="n"/>
      <c r="AD33" s="93" t="n"/>
      <c r="AE33" s="93" t="n"/>
      <c r="AF33" s="93" t="n"/>
      <c r="AG33" s="93" t="n"/>
      <c r="AH33" s="93" t="n"/>
      <c r="AI33" s="93" t="n"/>
      <c r="AJ33" s="93" t="n"/>
      <c r="AK33" s="104">
        <f>IF($B33="","",SUMPRODUCT(COUNTIF($F33:$AJ33,KY_HIEU!$A$6:$A$45)*KY_HIEU!$C$6:$C$45))</f>
        <v/>
      </c>
      <c r="AL33" s="104">
        <f>IF($B33="","",SUMPRODUCT(COUNTIF($F33:$AJ33,KY_HIEU!$A$6:$A$45)*KY_HIEU!$D$6:$D$45))</f>
        <v/>
      </c>
      <c r="AM33" s="104">
        <f>IF($B33="","",SUMPRODUCT(COUNTIF($F33:$AJ33,KY_HIEU!$A$6:$A$45)*KY_HIEU!$E$6:$E$45))</f>
        <v/>
      </c>
      <c r="AN33" s="104">
        <f>IF($B33="","",SUMPRODUCT(COUNTIF($F33:$AJ33,KY_HIEU!$A$6:$A$45)*KY_HIEU!$F$6:$F$45))</f>
        <v/>
      </c>
      <c r="AO33" s="104">
        <f>IF($B33="","",SUMPRODUCT(COUNTIF($F33:$AJ33,KY_HIEU!$A$6:$A$45)*KY_HIEU!$G$6:$G$45))</f>
        <v/>
      </c>
      <c r="AP33" s="104">
        <f>IF($B33="","",SUMPRODUCT(COUNTIF($F33:$AJ33,KY_HIEU!$A$6:$A$45)*KY_HIEU!$H$6:$H$45))</f>
        <v/>
      </c>
      <c r="AQ33" s="104">
        <f>IF($B33="","",SUMPRODUCT(COUNTIF($F33:$AJ33,KY_HIEU!$A$6:$A$45)*KY_HIEU!$I$6:$I$45))</f>
        <v/>
      </c>
      <c r="AR33" s="105">
        <f>IF($B33="","",$AK33+$AL33+$AN33+$AO33+$AP33+$AQ33)</f>
        <v/>
      </c>
      <c r="AS33" s="105">
        <f>IF($B33="","",IF(DM_NHAN_SU!$I33&lt;&gt;"",DM_NHAN_SU!$I33,IF(THAM_SO_CC!$B$20="Nhập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33="",THAM_SO_CC!$B$8,DM_NHAN_SU!$F33))*(ROW(INDIRECT(THAM_SO_CC!$B$8&amp;":"&amp;THAM_SO_CC!$B$9))&lt;=IF(DM_NHAN_SU!$G33="",THAM_SO_CC!$B$9,DM_NHAN_SU!$G33))))))</f>
        <v/>
      </c>
      <c r="AT33" s="106">
        <f>IF($B33="","",$AR33-$AS33)</f>
        <v/>
      </c>
      <c r="AU33" s="96">
        <f>IF($B33="","",TRIM(IF(SUMPRODUCT(--($F33:$AJ33&lt;&gt;""))-SUMPRODUCT(COUNTIF($F33:$AJ33,KY_HIEU!$A$6:$A$45))&gt;0,"Ký hiệu lạ; ","")&amp;IF(ROUND($AT33,2)&lt;&gt;0,"Lệch ngày công "&amp;TEXT($AT33,"0.0")&amp;"; ","")&amp;IF(SUMPRODUCT(--($F33:$AJ33&lt;&gt;""),--((THAM_SO_CC!$B$8+COLUMN($F$1:$AJ$1)-6)&gt;THAM_SO_CC!$B$9))&gt;0,"Chấm ngoài kỳ; ","")&amp;IF(AND(DM_NHAN_SU!$F33&lt;&gt;"",SUMPRODUCT(--($F33:$AJ33&lt;&gt;""),--($F33:$AJ33&lt;&gt;"NV"),--($F33:$AJ33&lt;&gt;"NT"),--($F33:$AJ33&lt;&gt;"TN"),--((THAM_SO_CC!$B$8+COLUMN($F$1:$AJ$1)-6)&lt;DM_NHAN_SU!$F33))&gt;0),"Chấm trước ngày vào; ","")&amp;IF(AND(DM_NHAN_SU!$G33&lt;&gt;"",SUMPRODUCT(--($F33:$AJ33&lt;&gt;""),--($F33:$AJ33&lt;&gt;"NV"),--($F33:$AJ33&lt;&gt;"NT"),--($F33:$AJ33&lt;&gt;"TN"),--((THAM_SO_CC!$B$8+COLUMN($F$1:$AJ$1)-6)&gt;DM_NHAN_SU!$G33))&gt;0),"Chấm sau ngày nghỉ việc; ","")))</f>
        <v/>
      </c>
    </row>
    <row r="34" ht="15" customHeight="1" s="63">
      <c r="A34" s="85">
        <f>IF($B34="","",ROW()-5)</f>
        <v/>
      </c>
      <c r="B34" s="103">
        <f>IF(DM_NHAN_SU!B34="","",DM_NHAN_SU!B34)</f>
        <v/>
      </c>
      <c r="C34" s="96">
        <f>IF($B34="","",DM_NHAN_SU!C34)</f>
        <v/>
      </c>
      <c r="D34" s="96">
        <f>IF($B34="","",DM_NHAN_SU!D34)</f>
        <v/>
      </c>
      <c r="E34" s="96">
        <f>IF($B34="","",DM_NHAN_SU!E34)</f>
        <v/>
      </c>
      <c r="F34" s="93" t="n"/>
      <c r="G34" s="93" t="n"/>
      <c r="H34" s="93" t="n"/>
      <c r="I34" s="93" t="n"/>
      <c r="J34" s="93" t="n"/>
      <c r="K34" s="93" t="n"/>
      <c r="L34" s="93" t="n"/>
      <c r="M34" s="93" t="n"/>
      <c r="N34" s="93" t="n"/>
      <c r="O34" s="93" t="n"/>
      <c r="P34" s="93" t="n"/>
      <c r="Q34" s="93" t="n"/>
      <c r="R34" s="93" t="n"/>
      <c r="S34" s="93" t="n"/>
      <c r="T34" s="93" t="n"/>
      <c r="U34" s="93" t="n"/>
      <c r="V34" s="93" t="n"/>
      <c r="W34" s="93" t="n"/>
      <c r="X34" s="93" t="n"/>
      <c r="Y34" s="93" t="n"/>
      <c r="Z34" s="93" t="n"/>
      <c r="AA34" s="93" t="n"/>
      <c r="AB34" s="93" t="n"/>
      <c r="AC34" s="93" t="n"/>
      <c r="AD34" s="93" t="n"/>
      <c r="AE34" s="93" t="n"/>
      <c r="AF34" s="93" t="n"/>
      <c r="AG34" s="93" t="n"/>
      <c r="AH34" s="93" t="n"/>
      <c r="AI34" s="93" t="n"/>
      <c r="AJ34" s="93" t="n"/>
      <c r="AK34" s="104">
        <f>IF($B34="","",SUMPRODUCT(COUNTIF($F34:$AJ34,KY_HIEU!$A$6:$A$45)*KY_HIEU!$C$6:$C$45))</f>
        <v/>
      </c>
      <c r="AL34" s="104">
        <f>IF($B34="","",SUMPRODUCT(COUNTIF($F34:$AJ34,KY_HIEU!$A$6:$A$45)*KY_HIEU!$D$6:$D$45))</f>
        <v/>
      </c>
      <c r="AM34" s="104">
        <f>IF($B34="","",SUMPRODUCT(COUNTIF($F34:$AJ34,KY_HIEU!$A$6:$A$45)*KY_HIEU!$E$6:$E$45))</f>
        <v/>
      </c>
      <c r="AN34" s="104">
        <f>IF($B34="","",SUMPRODUCT(COUNTIF($F34:$AJ34,KY_HIEU!$A$6:$A$45)*KY_HIEU!$F$6:$F$45))</f>
        <v/>
      </c>
      <c r="AO34" s="104">
        <f>IF($B34="","",SUMPRODUCT(COUNTIF($F34:$AJ34,KY_HIEU!$A$6:$A$45)*KY_HIEU!$G$6:$G$45))</f>
        <v/>
      </c>
      <c r="AP34" s="104">
        <f>IF($B34="","",SUMPRODUCT(COUNTIF($F34:$AJ34,KY_HIEU!$A$6:$A$45)*KY_HIEU!$H$6:$H$45))</f>
        <v/>
      </c>
      <c r="AQ34" s="104">
        <f>IF($B34="","",SUMPRODUCT(COUNTIF($F34:$AJ34,KY_HIEU!$A$6:$A$45)*KY_HIEU!$I$6:$I$45))</f>
        <v/>
      </c>
      <c r="AR34" s="105">
        <f>IF($B34="","",$AK34+$AL34+$AN34+$AO34+$AP34+$AQ34)</f>
        <v/>
      </c>
      <c r="AS34" s="105">
        <f>IF($B34="","",IF(DM_NHAN_SU!$I34&lt;&gt;"",DM_NHAN_SU!$I34,IF(THAM_SO_CC!$B$20="Nhập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34="",THAM_SO_CC!$B$8,DM_NHAN_SU!$F34))*(ROW(INDIRECT(THAM_SO_CC!$B$8&amp;":"&amp;THAM_SO_CC!$B$9))&lt;=IF(DM_NHAN_SU!$G34="",THAM_SO_CC!$B$9,DM_NHAN_SU!$G34))))))</f>
        <v/>
      </c>
      <c r="AT34" s="106">
        <f>IF($B34="","",$AR34-$AS34)</f>
        <v/>
      </c>
      <c r="AU34" s="96">
        <f>IF($B34="","",TRIM(IF(SUMPRODUCT(--($F34:$AJ34&lt;&gt;""))-SUMPRODUCT(COUNTIF($F34:$AJ34,KY_HIEU!$A$6:$A$45))&gt;0,"Ký hiệu lạ; ","")&amp;IF(ROUND($AT34,2)&lt;&gt;0,"Lệch ngày công "&amp;TEXT($AT34,"0.0")&amp;"; ","")&amp;IF(SUMPRODUCT(--($F34:$AJ34&lt;&gt;""),--((THAM_SO_CC!$B$8+COLUMN($F$1:$AJ$1)-6)&gt;THAM_SO_CC!$B$9))&gt;0,"Chấm ngoài kỳ; ","")&amp;IF(AND(DM_NHAN_SU!$F34&lt;&gt;"",SUMPRODUCT(--($F34:$AJ34&lt;&gt;""),--($F34:$AJ34&lt;&gt;"NV"),--($F34:$AJ34&lt;&gt;"NT"),--($F34:$AJ34&lt;&gt;"TN"),--((THAM_SO_CC!$B$8+COLUMN($F$1:$AJ$1)-6)&lt;DM_NHAN_SU!$F34))&gt;0),"Chấm trước ngày vào; ","")&amp;IF(AND(DM_NHAN_SU!$G34&lt;&gt;"",SUMPRODUCT(--($F34:$AJ34&lt;&gt;""),--($F34:$AJ34&lt;&gt;"NV"),--($F34:$AJ34&lt;&gt;"NT"),--($F34:$AJ34&lt;&gt;"TN"),--((THAM_SO_CC!$B$8+COLUMN($F$1:$AJ$1)-6)&gt;DM_NHAN_SU!$G34))&gt;0),"Chấm sau ngày nghỉ việc; ","")))</f>
        <v/>
      </c>
    </row>
    <row r="35" ht="15" customHeight="1" s="63">
      <c r="A35" s="85">
        <f>IF($B35="","",ROW()-5)</f>
        <v/>
      </c>
      <c r="B35" s="103">
        <f>IF(DM_NHAN_SU!B35="","",DM_NHAN_SU!B35)</f>
        <v/>
      </c>
      <c r="C35" s="96">
        <f>IF($B35="","",DM_NHAN_SU!C35)</f>
        <v/>
      </c>
      <c r="D35" s="96">
        <f>IF($B35="","",DM_NHAN_SU!D35)</f>
        <v/>
      </c>
      <c r="E35" s="96">
        <f>IF($B35="","",DM_NHAN_SU!E35)</f>
        <v/>
      </c>
      <c r="F35" s="93" t="n"/>
      <c r="G35" s="93" t="n"/>
      <c r="H35" s="93" t="n"/>
      <c r="I35" s="93" t="n"/>
      <c r="J35" s="93" t="n"/>
      <c r="K35" s="93" t="n"/>
      <c r="L35" s="93" t="n"/>
      <c r="M35" s="93" t="n"/>
      <c r="N35" s="93" t="n"/>
      <c r="O35" s="93" t="n"/>
      <c r="P35" s="93" t="n"/>
      <c r="Q35" s="93" t="n"/>
      <c r="R35" s="93" t="n"/>
      <c r="S35" s="93" t="n"/>
      <c r="T35" s="93" t="n"/>
      <c r="U35" s="93" t="n"/>
      <c r="V35" s="93" t="n"/>
      <c r="W35" s="93" t="n"/>
      <c r="X35" s="93" t="n"/>
      <c r="Y35" s="93" t="n"/>
      <c r="Z35" s="93" t="n"/>
      <c r="AA35" s="93" t="n"/>
      <c r="AB35" s="93" t="n"/>
      <c r="AC35" s="93" t="n"/>
      <c r="AD35" s="93" t="n"/>
      <c r="AE35" s="93" t="n"/>
      <c r="AF35" s="93" t="n"/>
      <c r="AG35" s="93" t="n"/>
      <c r="AH35" s="93" t="n"/>
      <c r="AI35" s="93" t="n"/>
      <c r="AJ35" s="93" t="n"/>
      <c r="AK35" s="104">
        <f>IF($B35="","",SUMPRODUCT(COUNTIF($F35:$AJ35,KY_HIEU!$A$6:$A$45)*KY_HIEU!$C$6:$C$45))</f>
        <v/>
      </c>
      <c r="AL35" s="104">
        <f>IF($B35="","",SUMPRODUCT(COUNTIF($F35:$AJ35,KY_HIEU!$A$6:$A$45)*KY_HIEU!$D$6:$D$45))</f>
        <v/>
      </c>
      <c r="AM35" s="104">
        <f>IF($B35="","",SUMPRODUCT(COUNTIF($F35:$AJ35,KY_HIEU!$A$6:$A$45)*KY_HIEU!$E$6:$E$45))</f>
        <v/>
      </c>
      <c r="AN35" s="104">
        <f>IF($B35="","",SUMPRODUCT(COUNTIF($F35:$AJ35,KY_HIEU!$A$6:$A$45)*KY_HIEU!$F$6:$F$45))</f>
        <v/>
      </c>
      <c r="AO35" s="104">
        <f>IF($B35="","",SUMPRODUCT(COUNTIF($F35:$AJ35,KY_HIEU!$A$6:$A$45)*KY_HIEU!$G$6:$G$45))</f>
        <v/>
      </c>
      <c r="AP35" s="104">
        <f>IF($B35="","",SUMPRODUCT(COUNTIF($F35:$AJ35,KY_HIEU!$A$6:$A$45)*KY_HIEU!$H$6:$H$45))</f>
        <v/>
      </c>
      <c r="AQ35" s="104">
        <f>IF($B35="","",SUMPRODUCT(COUNTIF($F35:$AJ35,KY_HIEU!$A$6:$A$45)*KY_HIEU!$I$6:$I$45))</f>
        <v/>
      </c>
      <c r="AR35" s="105">
        <f>IF($B35="","",$AK35+$AL35+$AN35+$AO35+$AP35+$AQ35)</f>
        <v/>
      </c>
      <c r="AS35" s="105">
        <f>IF($B35="","",IF(DM_NHAN_SU!$I35&lt;&gt;"",DM_NHAN_SU!$I35,IF(THAM_SO_CC!$B$20="Nhập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35="",THAM_SO_CC!$B$8,DM_NHAN_SU!$F35))*(ROW(INDIRECT(THAM_SO_CC!$B$8&amp;":"&amp;THAM_SO_CC!$B$9))&lt;=IF(DM_NHAN_SU!$G35="",THAM_SO_CC!$B$9,DM_NHAN_SU!$G35))))))</f>
        <v/>
      </c>
      <c r="AT35" s="106">
        <f>IF($B35="","",$AR35-$AS35)</f>
        <v/>
      </c>
      <c r="AU35" s="96">
        <f>IF($B35="","",TRIM(IF(SUMPRODUCT(--($F35:$AJ35&lt;&gt;""))-SUMPRODUCT(COUNTIF($F35:$AJ35,KY_HIEU!$A$6:$A$45))&gt;0,"Ký hiệu lạ; ","")&amp;IF(ROUND($AT35,2)&lt;&gt;0,"Lệch ngày công "&amp;TEXT($AT35,"0.0")&amp;"; ","")&amp;IF(SUMPRODUCT(--($F35:$AJ35&lt;&gt;""),--((THAM_SO_CC!$B$8+COLUMN($F$1:$AJ$1)-6)&gt;THAM_SO_CC!$B$9))&gt;0,"Chấm ngoài kỳ; ","")&amp;IF(AND(DM_NHAN_SU!$F35&lt;&gt;"",SUMPRODUCT(--($F35:$AJ35&lt;&gt;""),--($F35:$AJ35&lt;&gt;"NV"),--($F35:$AJ35&lt;&gt;"NT"),--($F35:$AJ35&lt;&gt;"TN"),--((THAM_SO_CC!$B$8+COLUMN($F$1:$AJ$1)-6)&lt;DM_NHAN_SU!$F35))&gt;0),"Chấm trước ngày vào; ","")&amp;IF(AND(DM_NHAN_SU!$G35&lt;&gt;"",SUMPRODUCT(--($F35:$AJ35&lt;&gt;""),--($F35:$AJ35&lt;&gt;"NV"),--($F35:$AJ35&lt;&gt;"NT"),--($F35:$AJ35&lt;&gt;"TN"),--((THAM_SO_CC!$B$8+COLUMN($F$1:$AJ$1)-6)&gt;DM_NHAN_SU!$G35))&gt;0),"Chấm sau ngày nghỉ việc; ","")))</f>
        <v/>
      </c>
    </row>
    <row r="36" ht="15" customHeight="1" s="63">
      <c r="A36" s="85">
        <f>IF($B36="","",ROW()-5)</f>
        <v/>
      </c>
      <c r="B36" s="103">
        <f>IF(DM_NHAN_SU!B36="","",DM_NHAN_SU!B36)</f>
        <v/>
      </c>
      <c r="C36" s="96">
        <f>IF($B36="","",DM_NHAN_SU!C36)</f>
        <v/>
      </c>
      <c r="D36" s="96">
        <f>IF($B36="","",DM_NHAN_SU!D36)</f>
        <v/>
      </c>
      <c r="E36" s="96">
        <f>IF($B36="","",DM_NHAN_SU!E36)</f>
        <v/>
      </c>
      <c r="F36" s="93" t="n"/>
      <c r="G36" s="93" t="n"/>
      <c r="H36" s="93" t="n"/>
      <c r="I36" s="93" t="n"/>
      <c r="J36" s="93" t="n"/>
      <c r="K36" s="93" t="n"/>
      <c r="L36" s="93" t="n"/>
      <c r="M36" s="93" t="n"/>
      <c r="N36" s="93" t="n"/>
      <c r="O36" s="93" t="n"/>
      <c r="P36" s="93" t="n"/>
      <c r="Q36" s="93" t="n"/>
      <c r="R36" s="93" t="n"/>
      <c r="S36" s="93" t="n"/>
      <c r="T36" s="93" t="n"/>
      <c r="U36" s="93" t="n"/>
      <c r="V36" s="93" t="n"/>
      <c r="W36" s="93" t="n"/>
      <c r="X36" s="93" t="n"/>
      <c r="Y36" s="93" t="n"/>
      <c r="Z36" s="93" t="n"/>
      <c r="AA36" s="93" t="n"/>
      <c r="AB36" s="93" t="n"/>
      <c r="AC36" s="93" t="n"/>
      <c r="AD36" s="93" t="n"/>
      <c r="AE36" s="93" t="n"/>
      <c r="AF36" s="93" t="n"/>
      <c r="AG36" s="93" t="n"/>
      <c r="AH36" s="93" t="n"/>
      <c r="AI36" s="93" t="n"/>
      <c r="AJ36" s="93" t="n"/>
      <c r="AK36" s="104">
        <f>IF($B36="","",SUMPRODUCT(COUNTIF($F36:$AJ36,KY_HIEU!$A$6:$A$45)*KY_HIEU!$C$6:$C$45))</f>
        <v/>
      </c>
      <c r="AL36" s="104">
        <f>IF($B36="","",SUMPRODUCT(COUNTIF($F36:$AJ36,KY_HIEU!$A$6:$A$45)*KY_HIEU!$D$6:$D$45))</f>
        <v/>
      </c>
      <c r="AM36" s="104">
        <f>IF($B36="","",SUMPRODUCT(COUNTIF($F36:$AJ36,KY_HIEU!$A$6:$A$45)*KY_HIEU!$E$6:$E$45))</f>
        <v/>
      </c>
      <c r="AN36" s="104">
        <f>IF($B36="","",SUMPRODUCT(COUNTIF($F36:$AJ36,KY_HIEU!$A$6:$A$45)*KY_HIEU!$F$6:$F$45))</f>
        <v/>
      </c>
      <c r="AO36" s="104">
        <f>IF($B36="","",SUMPRODUCT(COUNTIF($F36:$AJ36,KY_HIEU!$A$6:$A$45)*KY_HIEU!$G$6:$G$45))</f>
        <v/>
      </c>
      <c r="AP36" s="104">
        <f>IF($B36="","",SUMPRODUCT(COUNTIF($F36:$AJ36,KY_HIEU!$A$6:$A$45)*KY_HIEU!$H$6:$H$45))</f>
        <v/>
      </c>
      <c r="AQ36" s="104">
        <f>IF($B36="","",SUMPRODUCT(COUNTIF($F36:$AJ36,KY_HIEU!$A$6:$A$45)*KY_HIEU!$I$6:$I$45))</f>
        <v/>
      </c>
      <c r="AR36" s="105">
        <f>IF($B36="","",$AK36+$AL36+$AN36+$AO36+$AP36+$AQ36)</f>
        <v/>
      </c>
      <c r="AS36" s="105">
        <f>IF($B36="","",IF(DM_NHAN_SU!$I36&lt;&gt;"",DM_NHAN_SU!$I36,IF(THAM_SO_CC!$B$20="Nhập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36="",THAM_SO_CC!$B$8,DM_NHAN_SU!$F36))*(ROW(INDIRECT(THAM_SO_CC!$B$8&amp;":"&amp;THAM_SO_CC!$B$9))&lt;=IF(DM_NHAN_SU!$G36="",THAM_SO_CC!$B$9,DM_NHAN_SU!$G36))))))</f>
        <v/>
      </c>
      <c r="AT36" s="106">
        <f>IF($B36="","",$AR36-$AS36)</f>
        <v/>
      </c>
      <c r="AU36" s="96">
        <f>IF($B36="","",TRIM(IF(SUMPRODUCT(--($F36:$AJ36&lt;&gt;""))-SUMPRODUCT(COUNTIF($F36:$AJ36,KY_HIEU!$A$6:$A$45))&gt;0,"Ký hiệu lạ; ","")&amp;IF(ROUND($AT36,2)&lt;&gt;0,"Lệch ngày công "&amp;TEXT($AT36,"0.0")&amp;"; ","")&amp;IF(SUMPRODUCT(--($F36:$AJ36&lt;&gt;""),--((THAM_SO_CC!$B$8+COLUMN($F$1:$AJ$1)-6)&gt;THAM_SO_CC!$B$9))&gt;0,"Chấm ngoài kỳ; ","")&amp;IF(AND(DM_NHAN_SU!$F36&lt;&gt;"",SUMPRODUCT(--($F36:$AJ36&lt;&gt;""),--($F36:$AJ36&lt;&gt;"NV"),--($F36:$AJ36&lt;&gt;"NT"),--($F36:$AJ36&lt;&gt;"TN"),--((THAM_SO_CC!$B$8+COLUMN($F$1:$AJ$1)-6)&lt;DM_NHAN_SU!$F36))&gt;0),"Chấm trước ngày vào; ","")&amp;IF(AND(DM_NHAN_SU!$G36&lt;&gt;"",SUMPRODUCT(--($F36:$AJ36&lt;&gt;""),--($F36:$AJ36&lt;&gt;"NV"),--($F36:$AJ36&lt;&gt;"NT"),--($F36:$AJ36&lt;&gt;"TN"),--((THAM_SO_CC!$B$8+COLUMN($F$1:$AJ$1)-6)&gt;DM_NHAN_SU!$G36))&gt;0),"Chấm sau ngày nghỉ việc; ","")))</f>
        <v/>
      </c>
    </row>
    <row r="37" ht="15" customHeight="1" s="63">
      <c r="A37" s="85">
        <f>IF($B37="","",ROW()-5)</f>
        <v/>
      </c>
      <c r="B37" s="103">
        <f>IF(DM_NHAN_SU!B37="","",DM_NHAN_SU!B37)</f>
        <v/>
      </c>
      <c r="C37" s="96">
        <f>IF($B37="","",DM_NHAN_SU!C37)</f>
        <v/>
      </c>
      <c r="D37" s="96">
        <f>IF($B37="","",DM_NHAN_SU!D37)</f>
        <v/>
      </c>
      <c r="E37" s="96">
        <f>IF($B37="","",DM_NHAN_SU!E37)</f>
        <v/>
      </c>
      <c r="F37" s="93" t="n"/>
      <c r="G37" s="93" t="n"/>
      <c r="H37" s="93" t="n"/>
      <c r="I37" s="93" t="n"/>
      <c r="J37" s="93" t="n"/>
      <c r="K37" s="93" t="n"/>
      <c r="L37" s="93" t="n"/>
      <c r="M37" s="93" t="n"/>
      <c r="N37" s="93" t="n"/>
      <c r="O37" s="93" t="n"/>
      <c r="P37" s="93" t="n"/>
      <c r="Q37" s="93" t="n"/>
      <c r="R37" s="93" t="n"/>
      <c r="S37" s="93" t="n"/>
      <c r="T37" s="93" t="n"/>
      <c r="U37" s="93" t="n"/>
      <c r="V37" s="93" t="n"/>
      <c r="W37" s="93" t="n"/>
      <c r="X37" s="93" t="n"/>
      <c r="Y37" s="93" t="n"/>
      <c r="Z37" s="93" t="n"/>
      <c r="AA37" s="93" t="n"/>
      <c r="AB37" s="93" t="n"/>
      <c r="AC37" s="93" t="n"/>
      <c r="AD37" s="93" t="n"/>
      <c r="AE37" s="93" t="n"/>
      <c r="AF37" s="93" t="n"/>
      <c r="AG37" s="93" t="n"/>
      <c r="AH37" s="93" t="n"/>
      <c r="AI37" s="93" t="n"/>
      <c r="AJ37" s="93" t="n"/>
      <c r="AK37" s="104">
        <f>IF($B37="","",SUMPRODUCT(COUNTIF($F37:$AJ37,KY_HIEU!$A$6:$A$45)*KY_HIEU!$C$6:$C$45))</f>
        <v/>
      </c>
      <c r="AL37" s="104">
        <f>IF($B37="","",SUMPRODUCT(COUNTIF($F37:$AJ37,KY_HIEU!$A$6:$A$45)*KY_HIEU!$D$6:$D$45))</f>
        <v/>
      </c>
      <c r="AM37" s="104">
        <f>IF($B37="","",SUMPRODUCT(COUNTIF($F37:$AJ37,KY_HIEU!$A$6:$A$45)*KY_HIEU!$E$6:$E$45))</f>
        <v/>
      </c>
      <c r="AN37" s="104">
        <f>IF($B37="","",SUMPRODUCT(COUNTIF($F37:$AJ37,KY_HIEU!$A$6:$A$45)*KY_HIEU!$F$6:$F$45))</f>
        <v/>
      </c>
      <c r="AO37" s="104">
        <f>IF($B37="","",SUMPRODUCT(COUNTIF($F37:$AJ37,KY_HIEU!$A$6:$A$45)*KY_HIEU!$G$6:$G$45))</f>
        <v/>
      </c>
      <c r="AP37" s="104">
        <f>IF($B37="","",SUMPRODUCT(COUNTIF($F37:$AJ37,KY_HIEU!$A$6:$A$45)*KY_HIEU!$H$6:$H$45))</f>
        <v/>
      </c>
      <c r="AQ37" s="104">
        <f>IF($B37="","",SUMPRODUCT(COUNTIF($F37:$AJ37,KY_HIEU!$A$6:$A$45)*KY_HIEU!$I$6:$I$45))</f>
        <v/>
      </c>
      <c r="AR37" s="105">
        <f>IF($B37="","",$AK37+$AL37+$AN37+$AO37+$AP37+$AQ37)</f>
        <v/>
      </c>
      <c r="AS37" s="105">
        <f>IF($B37="","",IF(DM_NHAN_SU!$I37&lt;&gt;"",DM_NHAN_SU!$I37,IF(THAM_SO_CC!$B$20="Nhập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37="",THAM_SO_CC!$B$8,DM_NHAN_SU!$F37))*(ROW(INDIRECT(THAM_SO_CC!$B$8&amp;":"&amp;THAM_SO_CC!$B$9))&lt;=IF(DM_NHAN_SU!$G37="",THAM_SO_CC!$B$9,DM_NHAN_SU!$G37))))))</f>
        <v/>
      </c>
      <c r="AT37" s="106">
        <f>IF($B37="","",$AR37-$AS37)</f>
        <v/>
      </c>
      <c r="AU37" s="96">
        <f>IF($B37="","",TRIM(IF(SUMPRODUCT(--($F37:$AJ37&lt;&gt;""))-SUMPRODUCT(COUNTIF($F37:$AJ37,KY_HIEU!$A$6:$A$45))&gt;0,"Ký hiệu lạ; ","")&amp;IF(ROUND($AT37,2)&lt;&gt;0,"Lệch ngày công "&amp;TEXT($AT37,"0.0")&amp;"; ","")&amp;IF(SUMPRODUCT(--($F37:$AJ37&lt;&gt;""),--((THAM_SO_CC!$B$8+COLUMN($F$1:$AJ$1)-6)&gt;THAM_SO_CC!$B$9))&gt;0,"Chấm ngoài kỳ; ","")&amp;IF(AND(DM_NHAN_SU!$F37&lt;&gt;"",SUMPRODUCT(--($F37:$AJ37&lt;&gt;""),--($F37:$AJ37&lt;&gt;"NV"),--($F37:$AJ37&lt;&gt;"NT"),--($F37:$AJ37&lt;&gt;"TN"),--((THAM_SO_CC!$B$8+COLUMN($F$1:$AJ$1)-6)&lt;DM_NHAN_SU!$F37))&gt;0),"Chấm trước ngày vào; ","")&amp;IF(AND(DM_NHAN_SU!$G37&lt;&gt;"",SUMPRODUCT(--($F37:$AJ37&lt;&gt;""),--($F37:$AJ37&lt;&gt;"NV"),--($F37:$AJ37&lt;&gt;"NT"),--($F37:$AJ37&lt;&gt;"TN"),--((THAM_SO_CC!$B$8+COLUMN($F$1:$AJ$1)-6)&gt;DM_NHAN_SU!$G37))&gt;0),"Chấm sau ngày nghỉ việc; ","")))</f>
        <v/>
      </c>
    </row>
    <row r="38" ht="15" customHeight="1" s="63">
      <c r="A38" s="85">
        <f>IF($B38="","",ROW()-5)</f>
        <v/>
      </c>
      <c r="B38" s="103">
        <f>IF(DM_NHAN_SU!B38="","",DM_NHAN_SU!B38)</f>
        <v/>
      </c>
      <c r="C38" s="96">
        <f>IF($B38="","",DM_NHAN_SU!C38)</f>
        <v/>
      </c>
      <c r="D38" s="96">
        <f>IF($B38="","",DM_NHAN_SU!D38)</f>
        <v/>
      </c>
      <c r="E38" s="96">
        <f>IF($B38="","",DM_NHAN_SU!E38)</f>
        <v/>
      </c>
      <c r="F38" s="93" t="n"/>
      <c r="G38" s="93" t="n"/>
      <c r="H38" s="93" t="n"/>
      <c r="I38" s="93" t="n"/>
      <c r="J38" s="93" t="n"/>
      <c r="K38" s="93" t="n"/>
      <c r="L38" s="93" t="n"/>
      <c r="M38" s="93" t="n"/>
      <c r="N38" s="93" t="n"/>
      <c r="O38" s="93" t="n"/>
      <c r="P38" s="93" t="n"/>
      <c r="Q38" s="93" t="n"/>
      <c r="R38" s="93" t="n"/>
      <c r="S38" s="93" t="n"/>
      <c r="T38" s="93" t="n"/>
      <c r="U38" s="93" t="n"/>
      <c r="V38" s="93" t="n"/>
      <c r="W38" s="93" t="n"/>
      <c r="X38" s="93" t="n"/>
      <c r="Y38" s="93" t="n"/>
      <c r="Z38" s="93" t="n"/>
      <c r="AA38" s="93" t="n"/>
      <c r="AB38" s="93" t="n"/>
      <c r="AC38" s="93" t="n"/>
      <c r="AD38" s="93" t="n"/>
      <c r="AE38" s="93" t="n"/>
      <c r="AF38" s="93" t="n"/>
      <c r="AG38" s="93" t="n"/>
      <c r="AH38" s="93" t="n"/>
      <c r="AI38" s="93" t="n"/>
      <c r="AJ38" s="93" t="n"/>
      <c r="AK38" s="104">
        <f>IF($B38="","",SUMPRODUCT(COUNTIF($F38:$AJ38,KY_HIEU!$A$6:$A$45)*KY_HIEU!$C$6:$C$45))</f>
        <v/>
      </c>
      <c r="AL38" s="104">
        <f>IF($B38="","",SUMPRODUCT(COUNTIF($F38:$AJ38,KY_HIEU!$A$6:$A$45)*KY_HIEU!$D$6:$D$45))</f>
        <v/>
      </c>
      <c r="AM38" s="104">
        <f>IF($B38="","",SUMPRODUCT(COUNTIF($F38:$AJ38,KY_HIEU!$A$6:$A$45)*KY_HIEU!$E$6:$E$45))</f>
        <v/>
      </c>
      <c r="AN38" s="104">
        <f>IF($B38="","",SUMPRODUCT(COUNTIF($F38:$AJ38,KY_HIEU!$A$6:$A$45)*KY_HIEU!$F$6:$F$45))</f>
        <v/>
      </c>
      <c r="AO38" s="104">
        <f>IF($B38="","",SUMPRODUCT(COUNTIF($F38:$AJ38,KY_HIEU!$A$6:$A$45)*KY_HIEU!$G$6:$G$45))</f>
        <v/>
      </c>
      <c r="AP38" s="104">
        <f>IF($B38="","",SUMPRODUCT(COUNTIF($F38:$AJ38,KY_HIEU!$A$6:$A$45)*KY_HIEU!$H$6:$H$45))</f>
        <v/>
      </c>
      <c r="AQ38" s="104">
        <f>IF($B38="","",SUMPRODUCT(COUNTIF($F38:$AJ38,KY_HIEU!$A$6:$A$45)*KY_HIEU!$I$6:$I$45))</f>
        <v/>
      </c>
      <c r="AR38" s="105">
        <f>IF($B38="","",$AK38+$AL38+$AN38+$AO38+$AP38+$AQ38)</f>
        <v/>
      </c>
      <c r="AS38" s="105">
        <f>IF($B38="","",IF(DM_NHAN_SU!$I38&lt;&gt;"",DM_NHAN_SU!$I38,IF(THAM_SO_CC!$B$20="Nhập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38="",THAM_SO_CC!$B$8,DM_NHAN_SU!$F38))*(ROW(INDIRECT(THAM_SO_CC!$B$8&amp;":"&amp;THAM_SO_CC!$B$9))&lt;=IF(DM_NHAN_SU!$G38="",THAM_SO_CC!$B$9,DM_NHAN_SU!$G38))))))</f>
        <v/>
      </c>
      <c r="AT38" s="106">
        <f>IF($B38="","",$AR38-$AS38)</f>
        <v/>
      </c>
      <c r="AU38" s="96">
        <f>IF($B38="","",TRIM(IF(SUMPRODUCT(--($F38:$AJ38&lt;&gt;""))-SUMPRODUCT(COUNTIF($F38:$AJ38,KY_HIEU!$A$6:$A$45))&gt;0,"Ký hiệu lạ; ","")&amp;IF(ROUND($AT38,2)&lt;&gt;0,"Lệch ngày công "&amp;TEXT($AT38,"0.0")&amp;"; ","")&amp;IF(SUMPRODUCT(--($F38:$AJ38&lt;&gt;""),--((THAM_SO_CC!$B$8+COLUMN($F$1:$AJ$1)-6)&gt;THAM_SO_CC!$B$9))&gt;0,"Chấm ngoài kỳ; ","")&amp;IF(AND(DM_NHAN_SU!$F38&lt;&gt;"",SUMPRODUCT(--($F38:$AJ38&lt;&gt;""),--($F38:$AJ38&lt;&gt;"NV"),--($F38:$AJ38&lt;&gt;"NT"),--($F38:$AJ38&lt;&gt;"TN"),--((THAM_SO_CC!$B$8+COLUMN($F$1:$AJ$1)-6)&lt;DM_NHAN_SU!$F38))&gt;0),"Chấm trước ngày vào; ","")&amp;IF(AND(DM_NHAN_SU!$G38&lt;&gt;"",SUMPRODUCT(--($F38:$AJ38&lt;&gt;""),--($F38:$AJ38&lt;&gt;"NV"),--($F38:$AJ38&lt;&gt;"NT"),--($F38:$AJ38&lt;&gt;"TN"),--((THAM_SO_CC!$B$8+COLUMN($F$1:$AJ$1)-6)&gt;DM_NHAN_SU!$G38))&gt;0),"Chấm sau ngày nghỉ việc; ","")))</f>
        <v/>
      </c>
    </row>
    <row r="39" ht="15" customHeight="1" s="63">
      <c r="A39" s="85">
        <f>IF($B39="","",ROW()-5)</f>
        <v/>
      </c>
      <c r="B39" s="103">
        <f>IF(DM_NHAN_SU!B39="","",DM_NHAN_SU!B39)</f>
        <v/>
      </c>
      <c r="C39" s="96">
        <f>IF($B39="","",DM_NHAN_SU!C39)</f>
        <v/>
      </c>
      <c r="D39" s="96">
        <f>IF($B39="","",DM_NHAN_SU!D39)</f>
        <v/>
      </c>
      <c r="E39" s="96">
        <f>IF($B39="","",DM_NHAN_SU!E39)</f>
        <v/>
      </c>
      <c r="F39" s="93" t="n"/>
      <c r="G39" s="93" t="n"/>
      <c r="H39" s="93" t="n"/>
      <c r="I39" s="93" t="n"/>
      <c r="J39" s="93" t="n"/>
      <c r="K39" s="93" t="n"/>
      <c r="L39" s="93" t="n"/>
      <c r="M39" s="93" t="n"/>
      <c r="N39" s="93" t="n"/>
      <c r="O39" s="93" t="n"/>
      <c r="P39" s="93" t="n"/>
      <c r="Q39" s="93" t="n"/>
      <c r="R39" s="93" t="n"/>
      <c r="S39" s="93" t="n"/>
      <c r="T39" s="93" t="n"/>
      <c r="U39" s="93" t="n"/>
      <c r="V39" s="93" t="n"/>
      <c r="W39" s="93" t="n"/>
      <c r="X39" s="93" t="n"/>
      <c r="Y39" s="93" t="n"/>
      <c r="Z39" s="93" t="n"/>
      <c r="AA39" s="93" t="n"/>
      <c r="AB39" s="93" t="n"/>
      <c r="AC39" s="93" t="n"/>
      <c r="AD39" s="93" t="n"/>
      <c r="AE39" s="93" t="n"/>
      <c r="AF39" s="93" t="n"/>
      <c r="AG39" s="93" t="n"/>
      <c r="AH39" s="93" t="n"/>
      <c r="AI39" s="93" t="n"/>
      <c r="AJ39" s="93" t="n"/>
      <c r="AK39" s="104">
        <f>IF($B39="","",SUMPRODUCT(COUNTIF($F39:$AJ39,KY_HIEU!$A$6:$A$45)*KY_HIEU!$C$6:$C$45))</f>
        <v/>
      </c>
      <c r="AL39" s="104">
        <f>IF($B39="","",SUMPRODUCT(COUNTIF($F39:$AJ39,KY_HIEU!$A$6:$A$45)*KY_HIEU!$D$6:$D$45))</f>
        <v/>
      </c>
      <c r="AM39" s="104">
        <f>IF($B39="","",SUMPRODUCT(COUNTIF($F39:$AJ39,KY_HIEU!$A$6:$A$45)*KY_HIEU!$E$6:$E$45))</f>
        <v/>
      </c>
      <c r="AN39" s="104">
        <f>IF($B39="","",SUMPRODUCT(COUNTIF($F39:$AJ39,KY_HIEU!$A$6:$A$45)*KY_HIEU!$F$6:$F$45))</f>
        <v/>
      </c>
      <c r="AO39" s="104">
        <f>IF($B39="","",SUMPRODUCT(COUNTIF($F39:$AJ39,KY_HIEU!$A$6:$A$45)*KY_HIEU!$G$6:$G$45))</f>
        <v/>
      </c>
      <c r="AP39" s="104">
        <f>IF($B39="","",SUMPRODUCT(COUNTIF($F39:$AJ39,KY_HIEU!$A$6:$A$45)*KY_HIEU!$H$6:$H$45))</f>
        <v/>
      </c>
      <c r="AQ39" s="104">
        <f>IF($B39="","",SUMPRODUCT(COUNTIF($F39:$AJ39,KY_HIEU!$A$6:$A$45)*KY_HIEU!$I$6:$I$45))</f>
        <v/>
      </c>
      <c r="AR39" s="105">
        <f>IF($B39="","",$AK39+$AL39+$AN39+$AO39+$AP39+$AQ39)</f>
        <v/>
      </c>
      <c r="AS39" s="105">
        <f>IF($B39="","",IF(DM_NHAN_SU!$I39&lt;&gt;"",DM_NHAN_SU!$I39,IF(THAM_SO_CC!$B$20="Nhập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39="",THAM_SO_CC!$B$8,DM_NHAN_SU!$F39))*(ROW(INDIRECT(THAM_SO_CC!$B$8&amp;":"&amp;THAM_SO_CC!$B$9))&lt;=IF(DM_NHAN_SU!$G39="",THAM_SO_CC!$B$9,DM_NHAN_SU!$G39))))))</f>
        <v/>
      </c>
      <c r="AT39" s="106">
        <f>IF($B39="","",$AR39-$AS39)</f>
        <v/>
      </c>
      <c r="AU39" s="96">
        <f>IF($B39="","",TRIM(IF(SUMPRODUCT(--($F39:$AJ39&lt;&gt;""))-SUMPRODUCT(COUNTIF($F39:$AJ39,KY_HIEU!$A$6:$A$45))&gt;0,"Ký hiệu lạ; ","")&amp;IF(ROUND($AT39,2)&lt;&gt;0,"Lệch ngày công "&amp;TEXT($AT39,"0.0")&amp;"; ","")&amp;IF(SUMPRODUCT(--($F39:$AJ39&lt;&gt;""),--((THAM_SO_CC!$B$8+COLUMN($F$1:$AJ$1)-6)&gt;THAM_SO_CC!$B$9))&gt;0,"Chấm ngoài kỳ; ","")&amp;IF(AND(DM_NHAN_SU!$F39&lt;&gt;"",SUMPRODUCT(--($F39:$AJ39&lt;&gt;""),--($F39:$AJ39&lt;&gt;"NV"),--($F39:$AJ39&lt;&gt;"NT"),--($F39:$AJ39&lt;&gt;"TN"),--((THAM_SO_CC!$B$8+COLUMN($F$1:$AJ$1)-6)&lt;DM_NHAN_SU!$F39))&gt;0),"Chấm trước ngày vào; ","")&amp;IF(AND(DM_NHAN_SU!$G39&lt;&gt;"",SUMPRODUCT(--($F39:$AJ39&lt;&gt;""),--($F39:$AJ39&lt;&gt;"NV"),--($F39:$AJ39&lt;&gt;"NT"),--($F39:$AJ39&lt;&gt;"TN"),--((THAM_SO_CC!$B$8+COLUMN($F$1:$AJ$1)-6)&gt;DM_NHAN_SU!$G39))&gt;0),"Chấm sau ngày nghỉ việc; ","")))</f>
        <v/>
      </c>
    </row>
    <row r="40" ht="15" customHeight="1" s="63">
      <c r="A40" s="85">
        <f>IF($B40="","",ROW()-5)</f>
        <v/>
      </c>
      <c r="B40" s="103">
        <f>IF(DM_NHAN_SU!B40="","",DM_NHAN_SU!B40)</f>
        <v/>
      </c>
      <c r="C40" s="96">
        <f>IF($B40="","",DM_NHAN_SU!C40)</f>
        <v/>
      </c>
      <c r="D40" s="96">
        <f>IF($B40="","",DM_NHAN_SU!D40)</f>
        <v/>
      </c>
      <c r="E40" s="96">
        <f>IF($B40="","",DM_NHAN_SU!E40)</f>
        <v/>
      </c>
      <c r="F40" s="93" t="n"/>
      <c r="G40" s="93" t="n"/>
      <c r="H40" s="93" t="n"/>
      <c r="I40" s="93" t="n"/>
      <c r="J40" s="93" t="n"/>
      <c r="K40" s="93" t="n"/>
      <c r="L40" s="93" t="n"/>
      <c r="M40" s="93" t="n"/>
      <c r="N40" s="93" t="n"/>
      <c r="O40" s="93" t="n"/>
      <c r="P40" s="93" t="n"/>
      <c r="Q40" s="93" t="n"/>
      <c r="R40" s="93" t="n"/>
      <c r="S40" s="93" t="n"/>
      <c r="T40" s="93" t="n"/>
      <c r="U40" s="93" t="n"/>
      <c r="V40" s="93" t="n"/>
      <c r="W40" s="93" t="n"/>
      <c r="X40" s="93" t="n"/>
      <c r="Y40" s="93" t="n"/>
      <c r="Z40" s="93" t="n"/>
      <c r="AA40" s="93" t="n"/>
      <c r="AB40" s="93" t="n"/>
      <c r="AC40" s="93" t="n"/>
      <c r="AD40" s="93" t="n"/>
      <c r="AE40" s="93" t="n"/>
      <c r="AF40" s="93" t="n"/>
      <c r="AG40" s="93" t="n"/>
      <c r="AH40" s="93" t="n"/>
      <c r="AI40" s="93" t="n"/>
      <c r="AJ40" s="93" t="n"/>
      <c r="AK40" s="104">
        <f>IF($B40="","",SUMPRODUCT(COUNTIF($F40:$AJ40,KY_HIEU!$A$6:$A$45)*KY_HIEU!$C$6:$C$45))</f>
        <v/>
      </c>
      <c r="AL40" s="104">
        <f>IF($B40="","",SUMPRODUCT(COUNTIF($F40:$AJ40,KY_HIEU!$A$6:$A$45)*KY_HIEU!$D$6:$D$45))</f>
        <v/>
      </c>
      <c r="AM40" s="104">
        <f>IF($B40="","",SUMPRODUCT(COUNTIF($F40:$AJ40,KY_HIEU!$A$6:$A$45)*KY_HIEU!$E$6:$E$45))</f>
        <v/>
      </c>
      <c r="AN40" s="104">
        <f>IF($B40="","",SUMPRODUCT(COUNTIF($F40:$AJ40,KY_HIEU!$A$6:$A$45)*KY_HIEU!$F$6:$F$45))</f>
        <v/>
      </c>
      <c r="AO40" s="104">
        <f>IF($B40="","",SUMPRODUCT(COUNTIF($F40:$AJ40,KY_HIEU!$A$6:$A$45)*KY_HIEU!$G$6:$G$45))</f>
        <v/>
      </c>
      <c r="AP40" s="104">
        <f>IF($B40="","",SUMPRODUCT(COUNTIF($F40:$AJ40,KY_HIEU!$A$6:$A$45)*KY_HIEU!$H$6:$H$45))</f>
        <v/>
      </c>
      <c r="AQ40" s="104">
        <f>IF($B40="","",SUMPRODUCT(COUNTIF($F40:$AJ40,KY_HIEU!$A$6:$A$45)*KY_HIEU!$I$6:$I$45))</f>
        <v/>
      </c>
      <c r="AR40" s="105">
        <f>IF($B40="","",$AK40+$AL40+$AN40+$AO40+$AP40+$AQ40)</f>
        <v/>
      </c>
      <c r="AS40" s="105">
        <f>IF($B40="","",IF(DM_NHAN_SU!$I40&lt;&gt;"",DM_NHAN_SU!$I40,IF(THAM_SO_CC!$B$20="Nhập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40="",THAM_SO_CC!$B$8,DM_NHAN_SU!$F40))*(ROW(INDIRECT(THAM_SO_CC!$B$8&amp;":"&amp;THAM_SO_CC!$B$9))&lt;=IF(DM_NHAN_SU!$G40="",THAM_SO_CC!$B$9,DM_NHAN_SU!$G40))))))</f>
        <v/>
      </c>
      <c r="AT40" s="106">
        <f>IF($B40="","",$AR40-$AS40)</f>
        <v/>
      </c>
      <c r="AU40" s="96">
        <f>IF($B40="","",TRIM(IF(SUMPRODUCT(--($F40:$AJ40&lt;&gt;""))-SUMPRODUCT(COUNTIF($F40:$AJ40,KY_HIEU!$A$6:$A$45))&gt;0,"Ký hiệu lạ; ","")&amp;IF(ROUND($AT40,2)&lt;&gt;0,"Lệch ngày công "&amp;TEXT($AT40,"0.0")&amp;"; ","")&amp;IF(SUMPRODUCT(--($F40:$AJ40&lt;&gt;""),--((THAM_SO_CC!$B$8+COLUMN($F$1:$AJ$1)-6)&gt;THAM_SO_CC!$B$9))&gt;0,"Chấm ngoài kỳ; ","")&amp;IF(AND(DM_NHAN_SU!$F40&lt;&gt;"",SUMPRODUCT(--($F40:$AJ40&lt;&gt;""),--($F40:$AJ40&lt;&gt;"NV"),--($F40:$AJ40&lt;&gt;"NT"),--($F40:$AJ40&lt;&gt;"TN"),--((THAM_SO_CC!$B$8+COLUMN($F$1:$AJ$1)-6)&lt;DM_NHAN_SU!$F40))&gt;0),"Chấm trước ngày vào; ","")&amp;IF(AND(DM_NHAN_SU!$G40&lt;&gt;"",SUMPRODUCT(--($F40:$AJ40&lt;&gt;""),--($F40:$AJ40&lt;&gt;"NV"),--($F40:$AJ40&lt;&gt;"NT"),--($F40:$AJ40&lt;&gt;"TN"),--((THAM_SO_CC!$B$8+COLUMN($F$1:$AJ$1)-6)&gt;DM_NHAN_SU!$G40))&gt;0),"Chấm sau ngày nghỉ việc; ","")))</f>
        <v/>
      </c>
    </row>
    <row r="41" ht="15" customHeight="1" s="63">
      <c r="A41" s="85">
        <f>IF($B41="","",ROW()-5)</f>
        <v/>
      </c>
      <c r="B41" s="103">
        <f>IF(DM_NHAN_SU!B41="","",DM_NHAN_SU!B41)</f>
        <v/>
      </c>
      <c r="C41" s="96">
        <f>IF($B41="","",DM_NHAN_SU!C41)</f>
        <v/>
      </c>
      <c r="D41" s="96">
        <f>IF($B41="","",DM_NHAN_SU!D41)</f>
        <v/>
      </c>
      <c r="E41" s="96">
        <f>IF($B41="","",DM_NHAN_SU!E41)</f>
        <v/>
      </c>
      <c r="F41" s="93" t="n"/>
      <c r="G41" s="93" t="n"/>
      <c r="H41" s="93" t="n"/>
      <c r="I41" s="93" t="n"/>
      <c r="J41" s="93" t="n"/>
      <c r="K41" s="93" t="n"/>
      <c r="L41" s="93" t="n"/>
      <c r="M41" s="93" t="n"/>
      <c r="N41" s="93" t="n"/>
      <c r="O41" s="93" t="n"/>
      <c r="P41" s="93" t="n"/>
      <c r="Q41" s="93" t="n"/>
      <c r="R41" s="93" t="n"/>
      <c r="S41" s="93" t="n"/>
      <c r="T41" s="93" t="n"/>
      <c r="U41" s="93" t="n"/>
      <c r="V41" s="93" t="n"/>
      <c r="W41" s="93" t="n"/>
      <c r="X41" s="93" t="n"/>
      <c r="Y41" s="93" t="n"/>
      <c r="Z41" s="93" t="n"/>
      <c r="AA41" s="93" t="n"/>
      <c r="AB41" s="93" t="n"/>
      <c r="AC41" s="93" t="n"/>
      <c r="AD41" s="93" t="n"/>
      <c r="AE41" s="93" t="n"/>
      <c r="AF41" s="93" t="n"/>
      <c r="AG41" s="93" t="n"/>
      <c r="AH41" s="93" t="n"/>
      <c r="AI41" s="93" t="n"/>
      <c r="AJ41" s="93" t="n"/>
      <c r="AK41" s="104">
        <f>IF($B41="","",SUMPRODUCT(COUNTIF($F41:$AJ41,KY_HIEU!$A$6:$A$45)*KY_HIEU!$C$6:$C$45))</f>
        <v/>
      </c>
      <c r="AL41" s="104">
        <f>IF($B41="","",SUMPRODUCT(COUNTIF($F41:$AJ41,KY_HIEU!$A$6:$A$45)*KY_HIEU!$D$6:$D$45))</f>
        <v/>
      </c>
      <c r="AM41" s="104">
        <f>IF($B41="","",SUMPRODUCT(COUNTIF($F41:$AJ41,KY_HIEU!$A$6:$A$45)*KY_HIEU!$E$6:$E$45))</f>
        <v/>
      </c>
      <c r="AN41" s="104">
        <f>IF($B41="","",SUMPRODUCT(COUNTIF($F41:$AJ41,KY_HIEU!$A$6:$A$45)*KY_HIEU!$F$6:$F$45))</f>
        <v/>
      </c>
      <c r="AO41" s="104">
        <f>IF($B41="","",SUMPRODUCT(COUNTIF($F41:$AJ41,KY_HIEU!$A$6:$A$45)*KY_HIEU!$G$6:$G$45))</f>
        <v/>
      </c>
      <c r="AP41" s="104">
        <f>IF($B41="","",SUMPRODUCT(COUNTIF($F41:$AJ41,KY_HIEU!$A$6:$A$45)*KY_HIEU!$H$6:$H$45))</f>
        <v/>
      </c>
      <c r="AQ41" s="104">
        <f>IF($B41="","",SUMPRODUCT(COUNTIF($F41:$AJ41,KY_HIEU!$A$6:$A$45)*KY_HIEU!$I$6:$I$45))</f>
        <v/>
      </c>
      <c r="AR41" s="105">
        <f>IF($B41="","",$AK41+$AL41+$AN41+$AO41+$AP41+$AQ41)</f>
        <v/>
      </c>
      <c r="AS41" s="105">
        <f>IF($B41="","",IF(DM_NHAN_SU!$I41&lt;&gt;"",DM_NHAN_SU!$I41,IF(THAM_SO_CC!$B$20="Nhập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41="",THAM_SO_CC!$B$8,DM_NHAN_SU!$F41))*(ROW(INDIRECT(THAM_SO_CC!$B$8&amp;":"&amp;THAM_SO_CC!$B$9))&lt;=IF(DM_NHAN_SU!$G41="",THAM_SO_CC!$B$9,DM_NHAN_SU!$G41))))))</f>
        <v/>
      </c>
      <c r="AT41" s="106">
        <f>IF($B41="","",$AR41-$AS41)</f>
        <v/>
      </c>
      <c r="AU41" s="96">
        <f>IF($B41="","",TRIM(IF(SUMPRODUCT(--($F41:$AJ41&lt;&gt;""))-SUMPRODUCT(COUNTIF($F41:$AJ41,KY_HIEU!$A$6:$A$45))&gt;0,"Ký hiệu lạ; ","")&amp;IF(ROUND($AT41,2)&lt;&gt;0,"Lệch ngày công "&amp;TEXT($AT41,"0.0")&amp;"; ","")&amp;IF(SUMPRODUCT(--($F41:$AJ41&lt;&gt;""),--((THAM_SO_CC!$B$8+COLUMN($F$1:$AJ$1)-6)&gt;THAM_SO_CC!$B$9))&gt;0,"Chấm ngoài kỳ; ","")&amp;IF(AND(DM_NHAN_SU!$F41&lt;&gt;"",SUMPRODUCT(--($F41:$AJ41&lt;&gt;""),--($F41:$AJ41&lt;&gt;"NV"),--($F41:$AJ41&lt;&gt;"NT"),--($F41:$AJ41&lt;&gt;"TN"),--((THAM_SO_CC!$B$8+COLUMN($F$1:$AJ$1)-6)&lt;DM_NHAN_SU!$F41))&gt;0),"Chấm trước ngày vào; ","")&amp;IF(AND(DM_NHAN_SU!$G41&lt;&gt;"",SUMPRODUCT(--($F41:$AJ41&lt;&gt;""),--($F41:$AJ41&lt;&gt;"NV"),--($F41:$AJ41&lt;&gt;"NT"),--($F41:$AJ41&lt;&gt;"TN"),--((THAM_SO_CC!$B$8+COLUMN($F$1:$AJ$1)-6)&gt;DM_NHAN_SU!$G41))&gt;0),"Chấm sau ngày nghỉ việc; ","")))</f>
        <v/>
      </c>
    </row>
    <row r="42" ht="15" customHeight="1" s="63">
      <c r="A42" s="85">
        <f>IF($B42="","",ROW()-5)</f>
        <v/>
      </c>
      <c r="B42" s="103">
        <f>IF(DM_NHAN_SU!B42="","",DM_NHAN_SU!B42)</f>
        <v/>
      </c>
      <c r="C42" s="96">
        <f>IF($B42="","",DM_NHAN_SU!C42)</f>
        <v/>
      </c>
      <c r="D42" s="96">
        <f>IF($B42="","",DM_NHAN_SU!D42)</f>
        <v/>
      </c>
      <c r="E42" s="96">
        <f>IF($B42="","",DM_NHAN_SU!E42)</f>
        <v/>
      </c>
      <c r="F42" s="93" t="n"/>
      <c r="G42" s="93" t="n"/>
      <c r="H42" s="93" t="n"/>
      <c r="I42" s="93" t="n"/>
      <c r="J42" s="93" t="n"/>
      <c r="K42" s="93" t="n"/>
      <c r="L42" s="93" t="n"/>
      <c r="M42" s="93" t="n"/>
      <c r="N42" s="93" t="n"/>
      <c r="O42" s="93" t="n"/>
      <c r="P42" s="93" t="n"/>
      <c r="Q42" s="93" t="n"/>
      <c r="R42" s="93" t="n"/>
      <c r="S42" s="93" t="n"/>
      <c r="T42" s="93" t="n"/>
      <c r="U42" s="93" t="n"/>
      <c r="V42" s="93" t="n"/>
      <c r="W42" s="93" t="n"/>
      <c r="X42" s="93" t="n"/>
      <c r="Y42" s="93" t="n"/>
      <c r="Z42" s="93" t="n"/>
      <c r="AA42" s="93" t="n"/>
      <c r="AB42" s="93" t="n"/>
      <c r="AC42" s="93" t="n"/>
      <c r="AD42" s="93" t="n"/>
      <c r="AE42" s="93" t="n"/>
      <c r="AF42" s="93" t="n"/>
      <c r="AG42" s="93" t="n"/>
      <c r="AH42" s="93" t="n"/>
      <c r="AI42" s="93" t="n"/>
      <c r="AJ42" s="93" t="n"/>
      <c r="AK42" s="104">
        <f>IF($B42="","",SUMPRODUCT(COUNTIF($F42:$AJ42,KY_HIEU!$A$6:$A$45)*KY_HIEU!$C$6:$C$45))</f>
        <v/>
      </c>
      <c r="AL42" s="104">
        <f>IF($B42="","",SUMPRODUCT(COUNTIF($F42:$AJ42,KY_HIEU!$A$6:$A$45)*KY_HIEU!$D$6:$D$45))</f>
        <v/>
      </c>
      <c r="AM42" s="104">
        <f>IF($B42="","",SUMPRODUCT(COUNTIF($F42:$AJ42,KY_HIEU!$A$6:$A$45)*KY_HIEU!$E$6:$E$45))</f>
        <v/>
      </c>
      <c r="AN42" s="104">
        <f>IF($B42="","",SUMPRODUCT(COUNTIF($F42:$AJ42,KY_HIEU!$A$6:$A$45)*KY_HIEU!$F$6:$F$45))</f>
        <v/>
      </c>
      <c r="AO42" s="104">
        <f>IF($B42="","",SUMPRODUCT(COUNTIF($F42:$AJ42,KY_HIEU!$A$6:$A$45)*KY_HIEU!$G$6:$G$45))</f>
        <v/>
      </c>
      <c r="AP42" s="104">
        <f>IF($B42="","",SUMPRODUCT(COUNTIF($F42:$AJ42,KY_HIEU!$A$6:$A$45)*KY_HIEU!$H$6:$H$45))</f>
        <v/>
      </c>
      <c r="AQ42" s="104">
        <f>IF($B42="","",SUMPRODUCT(COUNTIF($F42:$AJ42,KY_HIEU!$A$6:$A$45)*KY_HIEU!$I$6:$I$45))</f>
        <v/>
      </c>
      <c r="AR42" s="105">
        <f>IF($B42="","",$AK42+$AL42+$AN42+$AO42+$AP42+$AQ42)</f>
        <v/>
      </c>
      <c r="AS42" s="105">
        <f>IF($B42="","",IF(DM_NHAN_SU!$I42&lt;&gt;"",DM_NHAN_SU!$I42,IF(THAM_SO_CC!$B$20="Nhập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42="",THAM_SO_CC!$B$8,DM_NHAN_SU!$F42))*(ROW(INDIRECT(THAM_SO_CC!$B$8&amp;":"&amp;THAM_SO_CC!$B$9))&lt;=IF(DM_NHAN_SU!$G42="",THAM_SO_CC!$B$9,DM_NHAN_SU!$G42))))))</f>
        <v/>
      </c>
      <c r="AT42" s="106">
        <f>IF($B42="","",$AR42-$AS42)</f>
        <v/>
      </c>
      <c r="AU42" s="96">
        <f>IF($B42="","",TRIM(IF(SUMPRODUCT(--($F42:$AJ42&lt;&gt;""))-SUMPRODUCT(COUNTIF($F42:$AJ42,KY_HIEU!$A$6:$A$45))&gt;0,"Ký hiệu lạ; ","")&amp;IF(ROUND($AT42,2)&lt;&gt;0,"Lệch ngày công "&amp;TEXT($AT42,"0.0")&amp;"; ","")&amp;IF(SUMPRODUCT(--($F42:$AJ42&lt;&gt;""),--((THAM_SO_CC!$B$8+COLUMN($F$1:$AJ$1)-6)&gt;THAM_SO_CC!$B$9))&gt;0,"Chấm ngoài kỳ; ","")&amp;IF(AND(DM_NHAN_SU!$F42&lt;&gt;"",SUMPRODUCT(--($F42:$AJ42&lt;&gt;""),--($F42:$AJ42&lt;&gt;"NV"),--($F42:$AJ42&lt;&gt;"NT"),--($F42:$AJ42&lt;&gt;"TN"),--((THAM_SO_CC!$B$8+COLUMN($F$1:$AJ$1)-6)&lt;DM_NHAN_SU!$F42))&gt;0),"Chấm trước ngày vào; ","")&amp;IF(AND(DM_NHAN_SU!$G42&lt;&gt;"",SUMPRODUCT(--($F42:$AJ42&lt;&gt;""),--($F42:$AJ42&lt;&gt;"NV"),--($F42:$AJ42&lt;&gt;"NT"),--($F42:$AJ42&lt;&gt;"TN"),--((THAM_SO_CC!$B$8+COLUMN($F$1:$AJ$1)-6)&gt;DM_NHAN_SU!$G42))&gt;0),"Chấm sau ngày nghỉ việc; ","")))</f>
        <v/>
      </c>
    </row>
    <row r="43" ht="15" customHeight="1" s="63">
      <c r="A43" s="85">
        <f>IF($B43="","",ROW()-5)</f>
        <v/>
      </c>
      <c r="B43" s="103">
        <f>IF(DM_NHAN_SU!B43="","",DM_NHAN_SU!B43)</f>
        <v/>
      </c>
      <c r="C43" s="96">
        <f>IF($B43="","",DM_NHAN_SU!C43)</f>
        <v/>
      </c>
      <c r="D43" s="96">
        <f>IF($B43="","",DM_NHAN_SU!D43)</f>
        <v/>
      </c>
      <c r="E43" s="96">
        <f>IF($B43="","",DM_NHAN_SU!E43)</f>
        <v/>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93" t="n"/>
      <c r="AA43" s="93" t="n"/>
      <c r="AB43" s="93" t="n"/>
      <c r="AC43" s="93" t="n"/>
      <c r="AD43" s="93" t="n"/>
      <c r="AE43" s="93" t="n"/>
      <c r="AF43" s="93" t="n"/>
      <c r="AG43" s="93" t="n"/>
      <c r="AH43" s="93" t="n"/>
      <c r="AI43" s="93" t="n"/>
      <c r="AJ43" s="93" t="n"/>
      <c r="AK43" s="104">
        <f>IF($B43="","",SUMPRODUCT(COUNTIF($F43:$AJ43,KY_HIEU!$A$6:$A$45)*KY_HIEU!$C$6:$C$45))</f>
        <v/>
      </c>
      <c r="AL43" s="104">
        <f>IF($B43="","",SUMPRODUCT(COUNTIF($F43:$AJ43,KY_HIEU!$A$6:$A$45)*KY_HIEU!$D$6:$D$45))</f>
        <v/>
      </c>
      <c r="AM43" s="104">
        <f>IF($B43="","",SUMPRODUCT(COUNTIF($F43:$AJ43,KY_HIEU!$A$6:$A$45)*KY_HIEU!$E$6:$E$45))</f>
        <v/>
      </c>
      <c r="AN43" s="104">
        <f>IF($B43="","",SUMPRODUCT(COUNTIF($F43:$AJ43,KY_HIEU!$A$6:$A$45)*KY_HIEU!$F$6:$F$45))</f>
        <v/>
      </c>
      <c r="AO43" s="104">
        <f>IF($B43="","",SUMPRODUCT(COUNTIF($F43:$AJ43,KY_HIEU!$A$6:$A$45)*KY_HIEU!$G$6:$G$45))</f>
        <v/>
      </c>
      <c r="AP43" s="104">
        <f>IF($B43="","",SUMPRODUCT(COUNTIF($F43:$AJ43,KY_HIEU!$A$6:$A$45)*KY_HIEU!$H$6:$H$45))</f>
        <v/>
      </c>
      <c r="AQ43" s="104">
        <f>IF($B43="","",SUMPRODUCT(COUNTIF($F43:$AJ43,KY_HIEU!$A$6:$A$45)*KY_HIEU!$I$6:$I$45))</f>
        <v/>
      </c>
      <c r="AR43" s="105">
        <f>IF($B43="","",$AK43+$AL43+$AN43+$AO43+$AP43+$AQ43)</f>
        <v/>
      </c>
      <c r="AS43" s="105">
        <f>IF($B43="","",IF(DM_NHAN_SU!$I43&lt;&gt;"",DM_NHAN_SU!$I43,IF(THAM_SO_CC!$B$20="Nhập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43="",THAM_SO_CC!$B$8,DM_NHAN_SU!$F43))*(ROW(INDIRECT(THAM_SO_CC!$B$8&amp;":"&amp;THAM_SO_CC!$B$9))&lt;=IF(DM_NHAN_SU!$G43="",THAM_SO_CC!$B$9,DM_NHAN_SU!$G43))))))</f>
        <v/>
      </c>
      <c r="AT43" s="106">
        <f>IF($B43="","",$AR43-$AS43)</f>
        <v/>
      </c>
      <c r="AU43" s="96">
        <f>IF($B43="","",TRIM(IF(SUMPRODUCT(--($F43:$AJ43&lt;&gt;""))-SUMPRODUCT(COUNTIF($F43:$AJ43,KY_HIEU!$A$6:$A$45))&gt;0,"Ký hiệu lạ; ","")&amp;IF(ROUND($AT43,2)&lt;&gt;0,"Lệch ngày công "&amp;TEXT($AT43,"0.0")&amp;"; ","")&amp;IF(SUMPRODUCT(--($F43:$AJ43&lt;&gt;""),--((THAM_SO_CC!$B$8+COLUMN($F$1:$AJ$1)-6)&gt;THAM_SO_CC!$B$9))&gt;0,"Chấm ngoài kỳ; ","")&amp;IF(AND(DM_NHAN_SU!$F43&lt;&gt;"",SUMPRODUCT(--($F43:$AJ43&lt;&gt;""),--($F43:$AJ43&lt;&gt;"NV"),--($F43:$AJ43&lt;&gt;"NT"),--($F43:$AJ43&lt;&gt;"TN"),--((THAM_SO_CC!$B$8+COLUMN($F$1:$AJ$1)-6)&lt;DM_NHAN_SU!$F43))&gt;0),"Chấm trước ngày vào; ","")&amp;IF(AND(DM_NHAN_SU!$G43&lt;&gt;"",SUMPRODUCT(--($F43:$AJ43&lt;&gt;""),--($F43:$AJ43&lt;&gt;"NV"),--($F43:$AJ43&lt;&gt;"NT"),--($F43:$AJ43&lt;&gt;"TN"),--((THAM_SO_CC!$B$8+COLUMN($F$1:$AJ$1)-6)&gt;DM_NHAN_SU!$G43))&gt;0),"Chấm sau ngày nghỉ việc; ","")))</f>
        <v/>
      </c>
    </row>
    <row r="44" ht="15" customHeight="1" s="63">
      <c r="A44" s="85">
        <f>IF($B44="","",ROW()-5)</f>
        <v/>
      </c>
      <c r="B44" s="103">
        <f>IF(DM_NHAN_SU!B44="","",DM_NHAN_SU!B44)</f>
        <v/>
      </c>
      <c r="C44" s="96">
        <f>IF($B44="","",DM_NHAN_SU!C44)</f>
        <v/>
      </c>
      <c r="D44" s="96">
        <f>IF($B44="","",DM_NHAN_SU!D44)</f>
        <v/>
      </c>
      <c r="E44" s="96">
        <f>IF($B44="","",DM_NHAN_SU!E44)</f>
        <v/>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93" t="n"/>
      <c r="AA44" s="93" t="n"/>
      <c r="AB44" s="93" t="n"/>
      <c r="AC44" s="93" t="n"/>
      <c r="AD44" s="93" t="n"/>
      <c r="AE44" s="93" t="n"/>
      <c r="AF44" s="93" t="n"/>
      <c r="AG44" s="93" t="n"/>
      <c r="AH44" s="93" t="n"/>
      <c r="AI44" s="93" t="n"/>
      <c r="AJ44" s="93" t="n"/>
      <c r="AK44" s="104">
        <f>IF($B44="","",SUMPRODUCT(COUNTIF($F44:$AJ44,KY_HIEU!$A$6:$A$45)*KY_HIEU!$C$6:$C$45))</f>
        <v/>
      </c>
      <c r="AL44" s="104">
        <f>IF($B44="","",SUMPRODUCT(COUNTIF($F44:$AJ44,KY_HIEU!$A$6:$A$45)*KY_HIEU!$D$6:$D$45))</f>
        <v/>
      </c>
      <c r="AM44" s="104">
        <f>IF($B44="","",SUMPRODUCT(COUNTIF($F44:$AJ44,KY_HIEU!$A$6:$A$45)*KY_HIEU!$E$6:$E$45))</f>
        <v/>
      </c>
      <c r="AN44" s="104">
        <f>IF($B44="","",SUMPRODUCT(COUNTIF($F44:$AJ44,KY_HIEU!$A$6:$A$45)*KY_HIEU!$F$6:$F$45))</f>
        <v/>
      </c>
      <c r="AO44" s="104">
        <f>IF($B44="","",SUMPRODUCT(COUNTIF($F44:$AJ44,KY_HIEU!$A$6:$A$45)*KY_HIEU!$G$6:$G$45))</f>
        <v/>
      </c>
      <c r="AP44" s="104">
        <f>IF($B44="","",SUMPRODUCT(COUNTIF($F44:$AJ44,KY_HIEU!$A$6:$A$45)*KY_HIEU!$H$6:$H$45))</f>
        <v/>
      </c>
      <c r="AQ44" s="104">
        <f>IF($B44="","",SUMPRODUCT(COUNTIF($F44:$AJ44,KY_HIEU!$A$6:$A$45)*KY_HIEU!$I$6:$I$45))</f>
        <v/>
      </c>
      <c r="AR44" s="105">
        <f>IF($B44="","",$AK44+$AL44+$AN44+$AO44+$AP44+$AQ44)</f>
        <v/>
      </c>
      <c r="AS44" s="105">
        <f>IF($B44="","",IF(DM_NHAN_SU!$I44&lt;&gt;"",DM_NHAN_SU!$I44,IF(THAM_SO_CC!$B$20="Nhập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44="",THAM_SO_CC!$B$8,DM_NHAN_SU!$F44))*(ROW(INDIRECT(THAM_SO_CC!$B$8&amp;":"&amp;THAM_SO_CC!$B$9))&lt;=IF(DM_NHAN_SU!$G44="",THAM_SO_CC!$B$9,DM_NHAN_SU!$G44))))))</f>
        <v/>
      </c>
      <c r="AT44" s="106">
        <f>IF($B44="","",$AR44-$AS44)</f>
        <v/>
      </c>
      <c r="AU44" s="96">
        <f>IF($B44="","",TRIM(IF(SUMPRODUCT(--($F44:$AJ44&lt;&gt;""))-SUMPRODUCT(COUNTIF($F44:$AJ44,KY_HIEU!$A$6:$A$45))&gt;0,"Ký hiệu lạ; ","")&amp;IF(ROUND($AT44,2)&lt;&gt;0,"Lệch ngày công "&amp;TEXT($AT44,"0.0")&amp;"; ","")&amp;IF(SUMPRODUCT(--($F44:$AJ44&lt;&gt;""),--((THAM_SO_CC!$B$8+COLUMN($F$1:$AJ$1)-6)&gt;THAM_SO_CC!$B$9))&gt;0,"Chấm ngoài kỳ; ","")&amp;IF(AND(DM_NHAN_SU!$F44&lt;&gt;"",SUMPRODUCT(--($F44:$AJ44&lt;&gt;""),--($F44:$AJ44&lt;&gt;"NV"),--($F44:$AJ44&lt;&gt;"NT"),--($F44:$AJ44&lt;&gt;"TN"),--((THAM_SO_CC!$B$8+COLUMN($F$1:$AJ$1)-6)&lt;DM_NHAN_SU!$F44))&gt;0),"Chấm trước ngày vào; ","")&amp;IF(AND(DM_NHAN_SU!$G44&lt;&gt;"",SUMPRODUCT(--($F44:$AJ44&lt;&gt;""),--($F44:$AJ44&lt;&gt;"NV"),--($F44:$AJ44&lt;&gt;"NT"),--($F44:$AJ44&lt;&gt;"TN"),--((THAM_SO_CC!$B$8+COLUMN($F$1:$AJ$1)-6)&gt;DM_NHAN_SU!$G44))&gt;0),"Chấm sau ngày nghỉ việc; ","")))</f>
        <v/>
      </c>
    </row>
    <row r="45" ht="15" customHeight="1" s="63">
      <c r="A45" s="85">
        <f>IF($B45="","",ROW()-5)</f>
        <v/>
      </c>
      <c r="B45" s="103">
        <f>IF(DM_NHAN_SU!B45="","",DM_NHAN_SU!B45)</f>
        <v/>
      </c>
      <c r="C45" s="96">
        <f>IF($B45="","",DM_NHAN_SU!C45)</f>
        <v/>
      </c>
      <c r="D45" s="96">
        <f>IF($B45="","",DM_NHAN_SU!D45)</f>
        <v/>
      </c>
      <c r="E45" s="96">
        <f>IF($B45="","",DM_NHAN_SU!E45)</f>
        <v/>
      </c>
      <c r="F45" s="93" t="n"/>
      <c r="G45" s="93" t="n"/>
      <c r="H45" s="93" t="n"/>
      <c r="I45" s="93" t="n"/>
      <c r="J45" s="93" t="n"/>
      <c r="K45" s="93" t="n"/>
      <c r="L45" s="93" t="n"/>
      <c r="M45" s="93" t="n"/>
      <c r="N45" s="93" t="n"/>
      <c r="O45" s="93" t="n"/>
      <c r="P45" s="93" t="n"/>
      <c r="Q45" s="93" t="n"/>
      <c r="R45" s="93" t="n"/>
      <c r="S45" s="93" t="n"/>
      <c r="T45" s="93" t="n"/>
      <c r="U45" s="93" t="n"/>
      <c r="V45" s="93" t="n"/>
      <c r="W45" s="93" t="n"/>
      <c r="X45" s="93" t="n"/>
      <c r="Y45" s="93" t="n"/>
      <c r="Z45" s="93" t="n"/>
      <c r="AA45" s="93" t="n"/>
      <c r="AB45" s="93" t="n"/>
      <c r="AC45" s="93" t="n"/>
      <c r="AD45" s="93" t="n"/>
      <c r="AE45" s="93" t="n"/>
      <c r="AF45" s="93" t="n"/>
      <c r="AG45" s="93" t="n"/>
      <c r="AH45" s="93" t="n"/>
      <c r="AI45" s="93" t="n"/>
      <c r="AJ45" s="93" t="n"/>
      <c r="AK45" s="104">
        <f>IF($B45="","",SUMPRODUCT(COUNTIF($F45:$AJ45,KY_HIEU!$A$6:$A$45)*KY_HIEU!$C$6:$C$45))</f>
        <v/>
      </c>
      <c r="AL45" s="104">
        <f>IF($B45="","",SUMPRODUCT(COUNTIF($F45:$AJ45,KY_HIEU!$A$6:$A$45)*KY_HIEU!$D$6:$D$45))</f>
        <v/>
      </c>
      <c r="AM45" s="104">
        <f>IF($B45="","",SUMPRODUCT(COUNTIF($F45:$AJ45,KY_HIEU!$A$6:$A$45)*KY_HIEU!$E$6:$E$45))</f>
        <v/>
      </c>
      <c r="AN45" s="104">
        <f>IF($B45="","",SUMPRODUCT(COUNTIF($F45:$AJ45,KY_HIEU!$A$6:$A$45)*KY_HIEU!$F$6:$F$45))</f>
        <v/>
      </c>
      <c r="AO45" s="104">
        <f>IF($B45="","",SUMPRODUCT(COUNTIF($F45:$AJ45,KY_HIEU!$A$6:$A$45)*KY_HIEU!$G$6:$G$45))</f>
        <v/>
      </c>
      <c r="AP45" s="104">
        <f>IF($B45="","",SUMPRODUCT(COUNTIF($F45:$AJ45,KY_HIEU!$A$6:$A$45)*KY_HIEU!$H$6:$H$45))</f>
        <v/>
      </c>
      <c r="AQ45" s="104">
        <f>IF($B45="","",SUMPRODUCT(COUNTIF($F45:$AJ45,KY_HIEU!$A$6:$A$45)*KY_HIEU!$I$6:$I$45))</f>
        <v/>
      </c>
      <c r="AR45" s="105">
        <f>IF($B45="","",$AK45+$AL45+$AN45+$AO45+$AP45+$AQ45)</f>
        <v/>
      </c>
      <c r="AS45" s="105">
        <f>IF($B45="","",IF(DM_NHAN_SU!$I45&lt;&gt;"",DM_NHAN_SU!$I45,IF(THAM_SO_CC!$B$20="Nhập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45="",THAM_SO_CC!$B$8,DM_NHAN_SU!$F45))*(ROW(INDIRECT(THAM_SO_CC!$B$8&amp;":"&amp;THAM_SO_CC!$B$9))&lt;=IF(DM_NHAN_SU!$G45="",THAM_SO_CC!$B$9,DM_NHAN_SU!$G45))))))</f>
        <v/>
      </c>
      <c r="AT45" s="106">
        <f>IF($B45="","",$AR45-$AS45)</f>
        <v/>
      </c>
      <c r="AU45" s="96">
        <f>IF($B45="","",TRIM(IF(SUMPRODUCT(--($F45:$AJ45&lt;&gt;""))-SUMPRODUCT(COUNTIF($F45:$AJ45,KY_HIEU!$A$6:$A$45))&gt;0,"Ký hiệu lạ; ","")&amp;IF(ROUND($AT45,2)&lt;&gt;0,"Lệch ngày công "&amp;TEXT($AT45,"0.0")&amp;"; ","")&amp;IF(SUMPRODUCT(--($F45:$AJ45&lt;&gt;""),--((THAM_SO_CC!$B$8+COLUMN($F$1:$AJ$1)-6)&gt;THAM_SO_CC!$B$9))&gt;0,"Chấm ngoài kỳ; ","")&amp;IF(AND(DM_NHAN_SU!$F45&lt;&gt;"",SUMPRODUCT(--($F45:$AJ45&lt;&gt;""),--($F45:$AJ45&lt;&gt;"NV"),--($F45:$AJ45&lt;&gt;"NT"),--($F45:$AJ45&lt;&gt;"TN"),--((THAM_SO_CC!$B$8+COLUMN($F$1:$AJ$1)-6)&lt;DM_NHAN_SU!$F45))&gt;0),"Chấm trước ngày vào; ","")&amp;IF(AND(DM_NHAN_SU!$G45&lt;&gt;"",SUMPRODUCT(--($F45:$AJ45&lt;&gt;""),--($F45:$AJ45&lt;&gt;"NV"),--($F45:$AJ45&lt;&gt;"NT"),--($F45:$AJ45&lt;&gt;"TN"),--((THAM_SO_CC!$B$8+COLUMN($F$1:$AJ$1)-6)&gt;DM_NHAN_SU!$G45))&gt;0),"Chấm sau ngày nghỉ việc; ","")))</f>
        <v/>
      </c>
    </row>
    <row r="46" ht="15" customHeight="1" s="63">
      <c r="A46" s="85">
        <f>IF($B46="","",ROW()-5)</f>
        <v/>
      </c>
      <c r="B46" s="103">
        <f>IF(DM_NHAN_SU!B46="","",DM_NHAN_SU!B46)</f>
        <v/>
      </c>
      <c r="C46" s="96">
        <f>IF($B46="","",DM_NHAN_SU!C46)</f>
        <v/>
      </c>
      <c r="D46" s="96">
        <f>IF($B46="","",DM_NHAN_SU!D46)</f>
        <v/>
      </c>
      <c r="E46" s="96">
        <f>IF($B46="","",DM_NHAN_SU!E46)</f>
        <v/>
      </c>
      <c r="F46" s="93" t="n"/>
      <c r="G46" s="93" t="n"/>
      <c r="H46" s="93" t="n"/>
      <c r="I46" s="93" t="n"/>
      <c r="J46" s="93" t="n"/>
      <c r="K46" s="93" t="n"/>
      <c r="L46" s="93" t="n"/>
      <c r="M46" s="93" t="n"/>
      <c r="N46" s="93" t="n"/>
      <c r="O46" s="93" t="n"/>
      <c r="P46" s="93" t="n"/>
      <c r="Q46" s="93" t="n"/>
      <c r="R46" s="93" t="n"/>
      <c r="S46" s="93" t="n"/>
      <c r="T46" s="93" t="n"/>
      <c r="U46" s="93" t="n"/>
      <c r="V46" s="93" t="n"/>
      <c r="W46" s="93" t="n"/>
      <c r="X46" s="93" t="n"/>
      <c r="Y46" s="93" t="n"/>
      <c r="Z46" s="93" t="n"/>
      <c r="AA46" s="93" t="n"/>
      <c r="AB46" s="93" t="n"/>
      <c r="AC46" s="93" t="n"/>
      <c r="AD46" s="93" t="n"/>
      <c r="AE46" s="93" t="n"/>
      <c r="AF46" s="93" t="n"/>
      <c r="AG46" s="93" t="n"/>
      <c r="AH46" s="93" t="n"/>
      <c r="AI46" s="93" t="n"/>
      <c r="AJ46" s="93" t="n"/>
      <c r="AK46" s="104">
        <f>IF($B46="","",SUMPRODUCT(COUNTIF($F46:$AJ46,KY_HIEU!$A$6:$A$45)*KY_HIEU!$C$6:$C$45))</f>
        <v/>
      </c>
      <c r="AL46" s="104">
        <f>IF($B46="","",SUMPRODUCT(COUNTIF($F46:$AJ46,KY_HIEU!$A$6:$A$45)*KY_HIEU!$D$6:$D$45))</f>
        <v/>
      </c>
      <c r="AM46" s="104">
        <f>IF($B46="","",SUMPRODUCT(COUNTIF($F46:$AJ46,KY_HIEU!$A$6:$A$45)*KY_HIEU!$E$6:$E$45))</f>
        <v/>
      </c>
      <c r="AN46" s="104">
        <f>IF($B46="","",SUMPRODUCT(COUNTIF($F46:$AJ46,KY_HIEU!$A$6:$A$45)*KY_HIEU!$F$6:$F$45))</f>
        <v/>
      </c>
      <c r="AO46" s="104">
        <f>IF($B46="","",SUMPRODUCT(COUNTIF($F46:$AJ46,KY_HIEU!$A$6:$A$45)*KY_HIEU!$G$6:$G$45))</f>
        <v/>
      </c>
      <c r="AP46" s="104">
        <f>IF($B46="","",SUMPRODUCT(COUNTIF($F46:$AJ46,KY_HIEU!$A$6:$A$45)*KY_HIEU!$H$6:$H$45))</f>
        <v/>
      </c>
      <c r="AQ46" s="104">
        <f>IF($B46="","",SUMPRODUCT(COUNTIF($F46:$AJ46,KY_HIEU!$A$6:$A$45)*KY_HIEU!$I$6:$I$45))</f>
        <v/>
      </c>
      <c r="AR46" s="105">
        <f>IF($B46="","",$AK46+$AL46+$AN46+$AO46+$AP46+$AQ46)</f>
        <v/>
      </c>
      <c r="AS46" s="105">
        <f>IF($B46="","",IF(DM_NHAN_SU!$I46&lt;&gt;"",DM_NHAN_SU!$I46,IF(THAM_SO_CC!$B$20="Nhập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46="",THAM_SO_CC!$B$8,DM_NHAN_SU!$F46))*(ROW(INDIRECT(THAM_SO_CC!$B$8&amp;":"&amp;THAM_SO_CC!$B$9))&lt;=IF(DM_NHAN_SU!$G46="",THAM_SO_CC!$B$9,DM_NHAN_SU!$G46))))))</f>
        <v/>
      </c>
      <c r="AT46" s="106">
        <f>IF($B46="","",$AR46-$AS46)</f>
        <v/>
      </c>
      <c r="AU46" s="96">
        <f>IF($B46="","",TRIM(IF(SUMPRODUCT(--($F46:$AJ46&lt;&gt;""))-SUMPRODUCT(COUNTIF($F46:$AJ46,KY_HIEU!$A$6:$A$45))&gt;0,"Ký hiệu lạ; ","")&amp;IF(ROUND($AT46,2)&lt;&gt;0,"Lệch ngày công "&amp;TEXT($AT46,"0.0")&amp;"; ","")&amp;IF(SUMPRODUCT(--($F46:$AJ46&lt;&gt;""),--((THAM_SO_CC!$B$8+COLUMN($F$1:$AJ$1)-6)&gt;THAM_SO_CC!$B$9))&gt;0,"Chấm ngoài kỳ; ","")&amp;IF(AND(DM_NHAN_SU!$F46&lt;&gt;"",SUMPRODUCT(--($F46:$AJ46&lt;&gt;""),--($F46:$AJ46&lt;&gt;"NV"),--($F46:$AJ46&lt;&gt;"NT"),--($F46:$AJ46&lt;&gt;"TN"),--((THAM_SO_CC!$B$8+COLUMN($F$1:$AJ$1)-6)&lt;DM_NHAN_SU!$F46))&gt;0),"Chấm trước ngày vào; ","")&amp;IF(AND(DM_NHAN_SU!$G46&lt;&gt;"",SUMPRODUCT(--($F46:$AJ46&lt;&gt;""),--($F46:$AJ46&lt;&gt;"NV"),--($F46:$AJ46&lt;&gt;"NT"),--($F46:$AJ46&lt;&gt;"TN"),--((THAM_SO_CC!$B$8+COLUMN($F$1:$AJ$1)-6)&gt;DM_NHAN_SU!$G46))&gt;0),"Chấm sau ngày nghỉ việc; ","")))</f>
        <v/>
      </c>
    </row>
    <row r="47" ht="15" customHeight="1" s="63">
      <c r="A47" s="85">
        <f>IF($B47="","",ROW()-5)</f>
        <v/>
      </c>
      <c r="B47" s="103">
        <f>IF(DM_NHAN_SU!B47="","",DM_NHAN_SU!B47)</f>
        <v/>
      </c>
      <c r="C47" s="96">
        <f>IF($B47="","",DM_NHAN_SU!C47)</f>
        <v/>
      </c>
      <c r="D47" s="96">
        <f>IF($B47="","",DM_NHAN_SU!D47)</f>
        <v/>
      </c>
      <c r="E47" s="96">
        <f>IF($B47="","",DM_NHAN_SU!E47)</f>
        <v/>
      </c>
      <c r="F47" s="93" t="n"/>
      <c r="G47" s="93" t="n"/>
      <c r="H47" s="93" t="n"/>
      <c r="I47" s="93" t="n"/>
      <c r="J47" s="93" t="n"/>
      <c r="K47" s="93" t="n"/>
      <c r="L47" s="93" t="n"/>
      <c r="M47" s="93" t="n"/>
      <c r="N47" s="93" t="n"/>
      <c r="O47" s="93" t="n"/>
      <c r="P47" s="93" t="n"/>
      <c r="Q47" s="93" t="n"/>
      <c r="R47" s="93" t="n"/>
      <c r="S47" s="93" t="n"/>
      <c r="T47" s="93" t="n"/>
      <c r="U47" s="93" t="n"/>
      <c r="V47" s="93" t="n"/>
      <c r="W47" s="93" t="n"/>
      <c r="X47" s="93" t="n"/>
      <c r="Y47" s="93" t="n"/>
      <c r="Z47" s="93" t="n"/>
      <c r="AA47" s="93" t="n"/>
      <c r="AB47" s="93" t="n"/>
      <c r="AC47" s="93" t="n"/>
      <c r="AD47" s="93" t="n"/>
      <c r="AE47" s="93" t="n"/>
      <c r="AF47" s="93" t="n"/>
      <c r="AG47" s="93" t="n"/>
      <c r="AH47" s="93" t="n"/>
      <c r="AI47" s="93" t="n"/>
      <c r="AJ47" s="93" t="n"/>
      <c r="AK47" s="104">
        <f>IF($B47="","",SUMPRODUCT(COUNTIF($F47:$AJ47,KY_HIEU!$A$6:$A$45)*KY_HIEU!$C$6:$C$45))</f>
        <v/>
      </c>
      <c r="AL47" s="104">
        <f>IF($B47="","",SUMPRODUCT(COUNTIF($F47:$AJ47,KY_HIEU!$A$6:$A$45)*KY_HIEU!$D$6:$D$45))</f>
        <v/>
      </c>
      <c r="AM47" s="104">
        <f>IF($B47="","",SUMPRODUCT(COUNTIF($F47:$AJ47,KY_HIEU!$A$6:$A$45)*KY_HIEU!$E$6:$E$45))</f>
        <v/>
      </c>
      <c r="AN47" s="104">
        <f>IF($B47="","",SUMPRODUCT(COUNTIF($F47:$AJ47,KY_HIEU!$A$6:$A$45)*KY_HIEU!$F$6:$F$45))</f>
        <v/>
      </c>
      <c r="AO47" s="104">
        <f>IF($B47="","",SUMPRODUCT(COUNTIF($F47:$AJ47,KY_HIEU!$A$6:$A$45)*KY_HIEU!$G$6:$G$45))</f>
        <v/>
      </c>
      <c r="AP47" s="104">
        <f>IF($B47="","",SUMPRODUCT(COUNTIF($F47:$AJ47,KY_HIEU!$A$6:$A$45)*KY_HIEU!$H$6:$H$45))</f>
        <v/>
      </c>
      <c r="AQ47" s="104">
        <f>IF($B47="","",SUMPRODUCT(COUNTIF($F47:$AJ47,KY_HIEU!$A$6:$A$45)*KY_HIEU!$I$6:$I$45))</f>
        <v/>
      </c>
      <c r="AR47" s="105">
        <f>IF($B47="","",$AK47+$AL47+$AN47+$AO47+$AP47+$AQ47)</f>
        <v/>
      </c>
      <c r="AS47" s="105">
        <f>IF($B47="","",IF(DM_NHAN_SU!$I47&lt;&gt;"",DM_NHAN_SU!$I47,IF(THAM_SO_CC!$B$20="Nhập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47="",THAM_SO_CC!$B$8,DM_NHAN_SU!$F47))*(ROW(INDIRECT(THAM_SO_CC!$B$8&amp;":"&amp;THAM_SO_CC!$B$9))&lt;=IF(DM_NHAN_SU!$G47="",THAM_SO_CC!$B$9,DM_NHAN_SU!$G47))))))</f>
        <v/>
      </c>
      <c r="AT47" s="106">
        <f>IF($B47="","",$AR47-$AS47)</f>
        <v/>
      </c>
      <c r="AU47" s="96">
        <f>IF($B47="","",TRIM(IF(SUMPRODUCT(--($F47:$AJ47&lt;&gt;""))-SUMPRODUCT(COUNTIF($F47:$AJ47,KY_HIEU!$A$6:$A$45))&gt;0,"Ký hiệu lạ; ","")&amp;IF(ROUND($AT47,2)&lt;&gt;0,"Lệch ngày công "&amp;TEXT($AT47,"0.0")&amp;"; ","")&amp;IF(SUMPRODUCT(--($F47:$AJ47&lt;&gt;""),--((THAM_SO_CC!$B$8+COLUMN($F$1:$AJ$1)-6)&gt;THAM_SO_CC!$B$9))&gt;0,"Chấm ngoài kỳ; ","")&amp;IF(AND(DM_NHAN_SU!$F47&lt;&gt;"",SUMPRODUCT(--($F47:$AJ47&lt;&gt;""),--($F47:$AJ47&lt;&gt;"NV"),--($F47:$AJ47&lt;&gt;"NT"),--($F47:$AJ47&lt;&gt;"TN"),--((THAM_SO_CC!$B$8+COLUMN($F$1:$AJ$1)-6)&lt;DM_NHAN_SU!$F47))&gt;0),"Chấm trước ngày vào; ","")&amp;IF(AND(DM_NHAN_SU!$G47&lt;&gt;"",SUMPRODUCT(--($F47:$AJ47&lt;&gt;""),--($F47:$AJ47&lt;&gt;"NV"),--($F47:$AJ47&lt;&gt;"NT"),--($F47:$AJ47&lt;&gt;"TN"),--((THAM_SO_CC!$B$8+COLUMN($F$1:$AJ$1)-6)&gt;DM_NHAN_SU!$G47))&gt;0),"Chấm sau ngày nghỉ việc; ","")))</f>
        <v/>
      </c>
    </row>
    <row r="48" ht="15" customHeight="1" s="63">
      <c r="A48" s="85">
        <f>IF($B48="","",ROW()-5)</f>
        <v/>
      </c>
      <c r="B48" s="103">
        <f>IF(DM_NHAN_SU!B48="","",DM_NHAN_SU!B48)</f>
        <v/>
      </c>
      <c r="C48" s="96">
        <f>IF($B48="","",DM_NHAN_SU!C48)</f>
        <v/>
      </c>
      <c r="D48" s="96">
        <f>IF($B48="","",DM_NHAN_SU!D48)</f>
        <v/>
      </c>
      <c r="E48" s="96">
        <f>IF($B48="","",DM_NHAN_SU!E48)</f>
        <v/>
      </c>
      <c r="F48" s="93" t="n"/>
      <c r="G48" s="93" t="n"/>
      <c r="H48" s="93" t="n"/>
      <c r="I48" s="93" t="n"/>
      <c r="J48" s="93" t="n"/>
      <c r="K48" s="93" t="n"/>
      <c r="L48" s="93" t="n"/>
      <c r="M48" s="93" t="n"/>
      <c r="N48" s="93" t="n"/>
      <c r="O48" s="93" t="n"/>
      <c r="P48" s="93" t="n"/>
      <c r="Q48" s="93" t="n"/>
      <c r="R48" s="93" t="n"/>
      <c r="S48" s="93" t="n"/>
      <c r="T48" s="93" t="n"/>
      <c r="U48" s="93" t="n"/>
      <c r="V48" s="93" t="n"/>
      <c r="W48" s="93" t="n"/>
      <c r="X48" s="93" t="n"/>
      <c r="Y48" s="93" t="n"/>
      <c r="Z48" s="93" t="n"/>
      <c r="AA48" s="93" t="n"/>
      <c r="AB48" s="93" t="n"/>
      <c r="AC48" s="93" t="n"/>
      <c r="AD48" s="93" t="n"/>
      <c r="AE48" s="93" t="n"/>
      <c r="AF48" s="93" t="n"/>
      <c r="AG48" s="93" t="n"/>
      <c r="AH48" s="93" t="n"/>
      <c r="AI48" s="93" t="n"/>
      <c r="AJ48" s="93" t="n"/>
      <c r="AK48" s="104">
        <f>IF($B48="","",SUMPRODUCT(COUNTIF($F48:$AJ48,KY_HIEU!$A$6:$A$45)*KY_HIEU!$C$6:$C$45))</f>
        <v/>
      </c>
      <c r="AL48" s="104">
        <f>IF($B48="","",SUMPRODUCT(COUNTIF($F48:$AJ48,KY_HIEU!$A$6:$A$45)*KY_HIEU!$D$6:$D$45))</f>
        <v/>
      </c>
      <c r="AM48" s="104">
        <f>IF($B48="","",SUMPRODUCT(COUNTIF($F48:$AJ48,KY_HIEU!$A$6:$A$45)*KY_HIEU!$E$6:$E$45))</f>
        <v/>
      </c>
      <c r="AN48" s="104">
        <f>IF($B48="","",SUMPRODUCT(COUNTIF($F48:$AJ48,KY_HIEU!$A$6:$A$45)*KY_HIEU!$F$6:$F$45))</f>
        <v/>
      </c>
      <c r="AO48" s="104">
        <f>IF($B48="","",SUMPRODUCT(COUNTIF($F48:$AJ48,KY_HIEU!$A$6:$A$45)*KY_HIEU!$G$6:$G$45))</f>
        <v/>
      </c>
      <c r="AP48" s="104">
        <f>IF($B48="","",SUMPRODUCT(COUNTIF($F48:$AJ48,KY_HIEU!$A$6:$A$45)*KY_HIEU!$H$6:$H$45))</f>
        <v/>
      </c>
      <c r="AQ48" s="104">
        <f>IF($B48="","",SUMPRODUCT(COUNTIF($F48:$AJ48,KY_HIEU!$A$6:$A$45)*KY_HIEU!$I$6:$I$45))</f>
        <v/>
      </c>
      <c r="AR48" s="105">
        <f>IF($B48="","",$AK48+$AL48+$AN48+$AO48+$AP48+$AQ48)</f>
        <v/>
      </c>
      <c r="AS48" s="105">
        <f>IF($B48="","",IF(DM_NHAN_SU!$I48&lt;&gt;"",DM_NHAN_SU!$I48,IF(THAM_SO_CC!$B$20="Nhập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48="",THAM_SO_CC!$B$8,DM_NHAN_SU!$F48))*(ROW(INDIRECT(THAM_SO_CC!$B$8&amp;":"&amp;THAM_SO_CC!$B$9))&lt;=IF(DM_NHAN_SU!$G48="",THAM_SO_CC!$B$9,DM_NHAN_SU!$G48))))))</f>
        <v/>
      </c>
      <c r="AT48" s="106">
        <f>IF($B48="","",$AR48-$AS48)</f>
        <v/>
      </c>
      <c r="AU48" s="96">
        <f>IF($B48="","",TRIM(IF(SUMPRODUCT(--($F48:$AJ48&lt;&gt;""))-SUMPRODUCT(COUNTIF($F48:$AJ48,KY_HIEU!$A$6:$A$45))&gt;0,"Ký hiệu lạ; ","")&amp;IF(ROUND($AT48,2)&lt;&gt;0,"Lệch ngày công "&amp;TEXT($AT48,"0.0")&amp;"; ","")&amp;IF(SUMPRODUCT(--($F48:$AJ48&lt;&gt;""),--((THAM_SO_CC!$B$8+COLUMN($F$1:$AJ$1)-6)&gt;THAM_SO_CC!$B$9))&gt;0,"Chấm ngoài kỳ; ","")&amp;IF(AND(DM_NHAN_SU!$F48&lt;&gt;"",SUMPRODUCT(--($F48:$AJ48&lt;&gt;""),--($F48:$AJ48&lt;&gt;"NV"),--($F48:$AJ48&lt;&gt;"NT"),--($F48:$AJ48&lt;&gt;"TN"),--((THAM_SO_CC!$B$8+COLUMN($F$1:$AJ$1)-6)&lt;DM_NHAN_SU!$F48))&gt;0),"Chấm trước ngày vào; ","")&amp;IF(AND(DM_NHAN_SU!$G48&lt;&gt;"",SUMPRODUCT(--($F48:$AJ48&lt;&gt;""),--($F48:$AJ48&lt;&gt;"NV"),--($F48:$AJ48&lt;&gt;"NT"),--($F48:$AJ48&lt;&gt;"TN"),--((THAM_SO_CC!$B$8+COLUMN($F$1:$AJ$1)-6)&gt;DM_NHAN_SU!$G48))&gt;0),"Chấm sau ngày nghỉ việc; ","")))</f>
        <v/>
      </c>
    </row>
    <row r="49" ht="15" customHeight="1" s="63">
      <c r="A49" s="85">
        <f>IF($B49="","",ROW()-5)</f>
        <v/>
      </c>
      <c r="B49" s="103">
        <f>IF(DM_NHAN_SU!B49="","",DM_NHAN_SU!B49)</f>
        <v/>
      </c>
      <c r="C49" s="96">
        <f>IF($B49="","",DM_NHAN_SU!C49)</f>
        <v/>
      </c>
      <c r="D49" s="96">
        <f>IF($B49="","",DM_NHAN_SU!D49)</f>
        <v/>
      </c>
      <c r="E49" s="96">
        <f>IF($B49="","",DM_NHAN_SU!E49)</f>
        <v/>
      </c>
      <c r="F49" s="93" t="n"/>
      <c r="G49" s="93" t="n"/>
      <c r="H49" s="93" t="n"/>
      <c r="I49" s="93" t="n"/>
      <c r="J49" s="93" t="n"/>
      <c r="K49" s="93" t="n"/>
      <c r="L49" s="93" t="n"/>
      <c r="M49" s="93" t="n"/>
      <c r="N49" s="93" t="n"/>
      <c r="O49" s="93" t="n"/>
      <c r="P49" s="93" t="n"/>
      <c r="Q49" s="93" t="n"/>
      <c r="R49" s="93" t="n"/>
      <c r="S49" s="93" t="n"/>
      <c r="T49" s="93" t="n"/>
      <c r="U49" s="93" t="n"/>
      <c r="V49" s="93" t="n"/>
      <c r="W49" s="93" t="n"/>
      <c r="X49" s="93" t="n"/>
      <c r="Y49" s="93" t="n"/>
      <c r="Z49" s="93" t="n"/>
      <c r="AA49" s="93" t="n"/>
      <c r="AB49" s="93" t="n"/>
      <c r="AC49" s="93" t="n"/>
      <c r="AD49" s="93" t="n"/>
      <c r="AE49" s="93" t="n"/>
      <c r="AF49" s="93" t="n"/>
      <c r="AG49" s="93" t="n"/>
      <c r="AH49" s="93" t="n"/>
      <c r="AI49" s="93" t="n"/>
      <c r="AJ49" s="93" t="n"/>
      <c r="AK49" s="104">
        <f>IF($B49="","",SUMPRODUCT(COUNTIF($F49:$AJ49,KY_HIEU!$A$6:$A$45)*KY_HIEU!$C$6:$C$45))</f>
        <v/>
      </c>
      <c r="AL49" s="104">
        <f>IF($B49="","",SUMPRODUCT(COUNTIF($F49:$AJ49,KY_HIEU!$A$6:$A$45)*KY_HIEU!$D$6:$D$45))</f>
        <v/>
      </c>
      <c r="AM49" s="104">
        <f>IF($B49="","",SUMPRODUCT(COUNTIF($F49:$AJ49,KY_HIEU!$A$6:$A$45)*KY_HIEU!$E$6:$E$45))</f>
        <v/>
      </c>
      <c r="AN49" s="104">
        <f>IF($B49="","",SUMPRODUCT(COUNTIF($F49:$AJ49,KY_HIEU!$A$6:$A$45)*KY_HIEU!$F$6:$F$45))</f>
        <v/>
      </c>
      <c r="AO49" s="104">
        <f>IF($B49="","",SUMPRODUCT(COUNTIF($F49:$AJ49,KY_HIEU!$A$6:$A$45)*KY_HIEU!$G$6:$G$45))</f>
        <v/>
      </c>
      <c r="AP49" s="104">
        <f>IF($B49="","",SUMPRODUCT(COUNTIF($F49:$AJ49,KY_HIEU!$A$6:$A$45)*KY_HIEU!$H$6:$H$45))</f>
        <v/>
      </c>
      <c r="AQ49" s="104">
        <f>IF($B49="","",SUMPRODUCT(COUNTIF($F49:$AJ49,KY_HIEU!$A$6:$A$45)*KY_HIEU!$I$6:$I$45))</f>
        <v/>
      </c>
      <c r="AR49" s="105">
        <f>IF($B49="","",$AK49+$AL49+$AN49+$AO49+$AP49+$AQ49)</f>
        <v/>
      </c>
      <c r="AS49" s="105">
        <f>IF($B49="","",IF(DM_NHAN_SU!$I49&lt;&gt;"",DM_NHAN_SU!$I49,IF(THAM_SO_CC!$B$20="Nhập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49="",THAM_SO_CC!$B$8,DM_NHAN_SU!$F49))*(ROW(INDIRECT(THAM_SO_CC!$B$8&amp;":"&amp;THAM_SO_CC!$B$9))&lt;=IF(DM_NHAN_SU!$G49="",THAM_SO_CC!$B$9,DM_NHAN_SU!$G49))))))</f>
        <v/>
      </c>
      <c r="AT49" s="106">
        <f>IF($B49="","",$AR49-$AS49)</f>
        <v/>
      </c>
      <c r="AU49" s="96">
        <f>IF($B49="","",TRIM(IF(SUMPRODUCT(--($F49:$AJ49&lt;&gt;""))-SUMPRODUCT(COUNTIF($F49:$AJ49,KY_HIEU!$A$6:$A$45))&gt;0,"Ký hiệu lạ; ","")&amp;IF(ROUND($AT49,2)&lt;&gt;0,"Lệch ngày công "&amp;TEXT($AT49,"0.0")&amp;"; ","")&amp;IF(SUMPRODUCT(--($F49:$AJ49&lt;&gt;""),--((THAM_SO_CC!$B$8+COLUMN($F$1:$AJ$1)-6)&gt;THAM_SO_CC!$B$9))&gt;0,"Chấm ngoài kỳ; ","")&amp;IF(AND(DM_NHAN_SU!$F49&lt;&gt;"",SUMPRODUCT(--($F49:$AJ49&lt;&gt;""),--($F49:$AJ49&lt;&gt;"NV"),--($F49:$AJ49&lt;&gt;"NT"),--($F49:$AJ49&lt;&gt;"TN"),--((THAM_SO_CC!$B$8+COLUMN($F$1:$AJ$1)-6)&lt;DM_NHAN_SU!$F49))&gt;0),"Chấm trước ngày vào; ","")&amp;IF(AND(DM_NHAN_SU!$G49&lt;&gt;"",SUMPRODUCT(--($F49:$AJ49&lt;&gt;""),--($F49:$AJ49&lt;&gt;"NV"),--($F49:$AJ49&lt;&gt;"NT"),--($F49:$AJ49&lt;&gt;"TN"),--((THAM_SO_CC!$B$8+COLUMN($F$1:$AJ$1)-6)&gt;DM_NHAN_SU!$G49))&gt;0),"Chấm sau ngày nghỉ việc; ","")))</f>
        <v/>
      </c>
    </row>
    <row r="50" ht="15" customHeight="1" s="63">
      <c r="A50" s="85">
        <f>IF($B50="","",ROW()-5)</f>
        <v/>
      </c>
      <c r="B50" s="103">
        <f>IF(DM_NHAN_SU!B50="","",DM_NHAN_SU!B50)</f>
        <v/>
      </c>
      <c r="C50" s="96">
        <f>IF($B50="","",DM_NHAN_SU!C50)</f>
        <v/>
      </c>
      <c r="D50" s="96">
        <f>IF($B50="","",DM_NHAN_SU!D50)</f>
        <v/>
      </c>
      <c r="E50" s="96">
        <f>IF($B50="","",DM_NHAN_SU!E50)</f>
        <v/>
      </c>
      <c r="F50" s="93" t="n"/>
      <c r="G50" s="93" t="n"/>
      <c r="H50" s="93" t="n"/>
      <c r="I50" s="93" t="n"/>
      <c r="J50" s="93" t="n"/>
      <c r="K50" s="93" t="n"/>
      <c r="L50" s="93" t="n"/>
      <c r="M50" s="93" t="n"/>
      <c r="N50" s="93" t="n"/>
      <c r="O50" s="93" t="n"/>
      <c r="P50" s="93" t="n"/>
      <c r="Q50" s="93" t="n"/>
      <c r="R50" s="93" t="n"/>
      <c r="S50" s="93" t="n"/>
      <c r="T50" s="93" t="n"/>
      <c r="U50" s="93" t="n"/>
      <c r="V50" s="93" t="n"/>
      <c r="W50" s="93" t="n"/>
      <c r="X50" s="93" t="n"/>
      <c r="Y50" s="93" t="n"/>
      <c r="Z50" s="93" t="n"/>
      <c r="AA50" s="93" t="n"/>
      <c r="AB50" s="93" t="n"/>
      <c r="AC50" s="93" t="n"/>
      <c r="AD50" s="93" t="n"/>
      <c r="AE50" s="93" t="n"/>
      <c r="AF50" s="93" t="n"/>
      <c r="AG50" s="93" t="n"/>
      <c r="AH50" s="93" t="n"/>
      <c r="AI50" s="93" t="n"/>
      <c r="AJ50" s="93" t="n"/>
      <c r="AK50" s="104">
        <f>IF($B50="","",SUMPRODUCT(COUNTIF($F50:$AJ50,KY_HIEU!$A$6:$A$45)*KY_HIEU!$C$6:$C$45))</f>
        <v/>
      </c>
      <c r="AL50" s="104">
        <f>IF($B50="","",SUMPRODUCT(COUNTIF($F50:$AJ50,KY_HIEU!$A$6:$A$45)*KY_HIEU!$D$6:$D$45))</f>
        <v/>
      </c>
      <c r="AM50" s="104">
        <f>IF($B50="","",SUMPRODUCT(COUNTIF($F50:$AJ50,KY_HIEU!$A$6:$A$45)*KY_HIEU!$E$6:$E$45))</f>
        <v/>
      </c>
      <c r="AN50" s="104">
        <f>IF($B50="","",SUMPRODUCT(COUNTIF($F50:$AJ50,KY_HIEU!$A$6:$A$45)*KY_HIEU!$F$6:$F$45))</f>
        <v/>
      </c>
      <c r="AO50" s="104">
        <f>IF($B50="","",SUMPRODUCT(COUNTIF($F50:$AJ50,KY_HIEU!$A$6:$A$45)*KY_HIEU!$G$6:$G$45))</f>
        <v/>
      </c>
      <c r="AP50" s="104">
        <f>IF($B50="","",SUMPRODUCT(COUNTIF($F50:$AJ50,KY_HIEU!$A$6:$A$45)*KY_HIEU!$H$6:$H$45))</f>
        <v/>
      </c>
      <c r="AQ50" s="104">
        <f>IF($B50="","",SUMPRODUCT(COUNTIF($F50:$AJ50,KY_HIEU!$A$6:$A$45)*KY_HIEU!$I$6:$I$45))</f>
        <v/>
      </c>
      <c r="AR50" s="105">
        <f>IF($B50="","",$AK50+$AL50+$AN50+$AO50+$AP50+$AQ50)</f>
        <v/>
      </c>
      <c r="AS50" s="105">
        <f>IF($B50="","",IF(DM_NHAN_SU!$I50&lt;&gt;"",DM_NHAN_SU!$I50,IF(THAM_SO_CC!$B$20="Nhập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50="",THAM_SO_CC!$B$8,DM_NHAN_SU!$F50))*(ROW(INDIRECT(THAM_SO_CC!$B$8&amp;":"&amp;THAM_SO_CC!$B$9))&lt;=IF(DM_NHAN_SU!$G50="",THAM_SO_CC!$B$9,DM_NHAN_SU!$G50))))))</f>
        <v/>
      </c>
      <c r="AT50" s="106">
        <f>IF($B50="","",$AR50-$AS50)</f>
        <v/>
      </c>
      <c r="AU50" s="96">
        <f>IF($B50="","",TRIM(IF(SUMPRODUCT(--($F50:$AJ50&lt;&gt;""))-SUMPRODUCT(COUNTIF($F50:$AJ50,KY_HIEU!$A$6:$A$45))&gt;0,"Ký hiệu lạ; ","")&amp;IF(ROUND($AT50,2)&lt;&gt;0,"Lệch ngày công "&amp;TEXT($AT50,"0.0")&amp;"; ","")&amp;IF(SUMPRODUCT(--($F50:$AJ50&lt;&gt;""),--((THAM_SO_CC!$B$8+COLUMN($F$1:$AJ$1)-6)&gt;THAM_SO_CC!$B$9))&gt;0,"Chấm ngoài kỳ; ","")&amp;IF(AND(DM_NHAN_SU!$F50&lt;&gt;"",SUMPRODUCT(--($F50:$AJ50&lt;&gt;""),--($F50:$AJ50&lt;&gt;"NV"),--($F50:$AJ50&lt;&gt;"NT"),--($F50:$AJ50&lt;&gt;"TN"),--((THAM_SO_CC!$B$8+COLUMN($F$1:$AJ$1)-6)&lt;DM_NHAN_SU!$F50))&gt;0),"Chấm trước ngày vào; ","")&amp;IF(AND(DM_NHAN_SU!$G50&lt;&gt;"",SUMPRODUCT(--($F50:$AJ50&lt;&gt;""),--($F50:$AJ50&lt;&gt;"NV"),--($F50:$AJ50&lt;&gt;"NT"),--($F50:$AJ50&lt;&gt;"TN"),--((THAM_SO_CC!$B$8+COLUMN($F$1:$AJ$1)-6)&gt;DM_NHAN_SU!$G50))&gt;0),"Chấm sau ngày nghỉ việc; ","")))</f>
        <v/>
      </c>
    </row>
    <row r="51" ht="15" customHeight="1" s="63">
      <c r="A51" s="85">
        <f>IF($B51="","",ROW()-5)</f>
        <v/>
      </c>
      <c r="B51" s="103">
        <f>IF(DM_NHAN_SU!B51="","",DM_NHAN_SU!B51)</f>
        <v/>
      </c>
      <c r="C51" s="96">
        <f>IF($B51="","",DM_NHAN_SU!C51)</f>
        <v/>
      </c>
      <c r="D51" s="96">
        <f>IF($B51="","",DM_NHAN_SU!D51)</f>
        <v/>
      </c>
      <c r="E51" s="96">
        <f>IF($B51="","",DM_NHAN_SU!E51)</f>
        <v/>
      </c>
      <c r="F51" s="93" t="n"/>
      <c r="G51" s="93" t="n"/>
      <c r="H51" s="93" t="n"/>
      <c r="I51" s="93" t="n"/>
      <c r="J51" s="93" t="n"/>
      <c r="K51" s="93" t="n"/>
      <c r="L51" s="93" t="n"/>
      <c r="M51" s="93" t="n"/>
      <c r="N51" s="93" t="n"/>
      <c r="O51" s="93" t="n"/>
      <c r="P51" s="93" t="n"/>
      <c r="Q51" s="93" t="n"/>
      <c r="R51" s="93" t="n"/>
      <c r="S51" s="93" t="n"/>
      <c r="T51" s="93" t="n"/>
      <c r="U51" s="93" t="n"/>
      <c r="V51" s="93" t="n"/>
      <c r="W51" s="93" t="n"/>
      <c r="X51" s="93" t="n"/>
      <c r="Y51" s="93" t="n"/>
      <c r="Z51" s="93" t="n"/>
      <c r="AA51" s="93" t="n"/>
      <c r="AB51" s="93" t="n"/>
      <c r="AC51" s="93" t="n"/>
      <c r="AD51" s="93" t="n"/>
      <c r="AE51" s="93" t="n"/>
      <c r="AF51" s="93" t="n"/>
      <c r="AG51" s="93" t="n"/>
      <c r="AH51" s="93" t="n"/>
      <c r="AI51" s="93" t="n"/>
      <c r="AJ51" s="93" t="n"/>
      <c r="AK51" s="104">
        <f>IF($B51="","",SUMPRODUCT(COUNTIF($F51:$AJ51,KY_HIEU!$A$6:$A$45)*KY_HIEU!$C$6:$C$45))</f>
        <v/>
      </c>
      <c r="AL51" s="104">
        <f>IF($B51="","",SUMPRODUCT(COUNTIF($F51:$AJ51,KY_HIEU!$A$6:$A$45)*KY_HIEU!$D$6:$D$45))</f>
        <v/>
      </c>
      <c r="AM51" s="104">
        <f>IF($B51="","",SUMPRODUCT(COUNTIF($F51:$AJ51,KY_HIEU!$A$6:$A$45)*KY_HIEU!$E$6:$E$45))</f>
        <v/>
      </c>
      <c r="AN51" s="104">
        <f>IF($B51="","",SUMPRODUCT(COUNTIF($F51:$AJ51,KY_HIEU!$A$6:$A$45)*KY_HIEU!$F$6:$F$45))</f>
        <v/>
      </c>
      <c r="AO51" s="104">
        <f>IF($B51="","",SUMPRODUCT(COUNTIF($F51:$AJ51,KY_HIEU!$A$6:$A$45)*KY_HIEU!$G$6:$G$45))</f>
        <v/>
      </c>
      <c r="AP51" s="104">
        <f>IF($B51="","",SUMPRODUCT(COUNTIF($F51:$AJ51,KY_HIEU!$A$6:$A$45)*KY_HIEU!$H$6:$H$45))</f>
        <v/>
      </c>
      <c r="AQ51" s="104">
        <f>IF($B51="","",SUMPRODUCT(COUNTIF($F51:$AJ51,KY_HIEU!$A$6:$A$45)*KY_HIEU!$I$6:$I$45))</f>
        <v/>
      </c>
      <c r="AR51" s="105">
        <f>IF($B51="","",$AK51+$AL51+$AN51+$AO51+$AP51+$AQ51)</f>
        <v/>
      </c>
      <c r="AS51" s="105">
        <f>IF($B51="","",IF(DM_NHAN_SU!$I51&lt;&gt;"",DM_NHAN_SU!$I51,IF(THAM_SO_CC!$B$20="Nhập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51="",THAM_SO_CC!$B$8,DM_NHAN_SU!$F51))*(ROW(INDIRECT(THAM_SO_CC!$B$8&amp;":"&amp;THAM_SO_CC!$B$9))&lt;=IF(DM_NHAN_SU!$G51="",THAM_SO_CC!$B$9,DM_NHAN_SU!$G51))))))</f>
        <v/>
      </c>
      <c r="AT51" s="106">
        <f>IF($B51="","",$AR51-$AS51)</f>
        <v/>
      </c>
      <c r="AU51" s="96">
        <f>IF($B51="","",TRIM(IF(SUMPRODUCT(--($F51:$AJ51&lt;&gt;""))-SUMPRODUCT(COUNTIF($F51:$AJ51,KY_HIEU!$A$6:$A$45))&gt;0,"Ký hiệu lạ; ","")&amp;IF(ROUND($AT51,2)&lt;&gt;0,"Lệch ngày công "&amp;TEXT($AT51,"0.0")&amp;"; ","")&amp;IF(SUMPRODUCT(--($F51:$AJ51&lt;&gt;""),--((THAM_SO_CC!$B$8+COLUMN($F$1:$AJ$1)-6)&gt;THAM_SO_CC!$B$9))&gt;0,"Chấm ngoài kỳ; ","")&amp;IF(AND(DM_NHAN_SU!$F51&lt;&gt;"",SUMPRODUCT(--($F51:$AJ51&lt;&gt;""),--($F51:$AJ51&lt;&gt;"NV"),--($F51:$AJ51&lt;&gt;"NT"),--($F51:$AJ51&lt;&gt;"TN"),--((THAM_SO_CC!$B$8+COLUMN($F$1:$AJ$1)-6)&lt;DM_NHAN_SU!$F51))&gt;0),"Chấm trước ngày vào; ","")&amp;IF(AND(DM_NHAN_SU!$G51&lt;&gt;"",SUMPRODUCT(--($F51:$AJ51&lt;&gt;""),--($F51:$AJ51&lt;&gt;"NV"),--($F51:$AJ51&lt;&gt;"NT"),--($F51:$AJ51&lt;&gt;"TN"),--((THAM_SO_CC!$B$8+COLUMN($F$1:$AJ$1)-6)&gt;DM_NHAN_SU!$G51))&gt;0),"Chấm sau ngày nghỉ việc; ","")))</f>
        <v/>
      </c>
    </row>
    <row r="52" ht="15" customHeight="1" s="63">
      <c r="A52" s="85">
        <f>IF($B52="","",ROW()-5)</f>
        <v/>
      </c>
      <c r="B52" s="103">
        <f>IF(DM_NHAN_SU!B52="","",DM_NHAN_SU!B52)</f>
        <v/>
      </c>
      <c r="C52" s="96">
        <f>IF($B52="","",DM_NHAN_SU!C52)</f>
        <v/>
      </c>
      <c r="D52" s="96">
        <f>IF($B52="","",DM_NHAN_SU!D52)</f>
        <v/>
      </c>
      <c r="E52" s="96">
        <f>IF($B52="","",DM_NHAN_SU!E52)</f>
        <v/>
      </c>
      <c r="F52" s="93" t="n"/>
      <c r="G52" s="93" t="n"/>
      <c r="H52" s="93" t="n"/>
      <c r="I52" s="93" t="n"/>
      <c r="J52" s="93" t="n"/>
      <c r="K52" s="93" t="n"/>
      <c r="L52" s="93" t="n"/>
      <c r="M52" s="93" t="n"/>
      <c r="N52" s="93" t="n"/>
      <c r="O52" s="93" t="n"/>
      <c r="P52" s="93" t="n"/>
      <c r="Q52" s="93" t="n"/>
      <c r="R52" s="93" t="n"/>
      <c r="S52" s="93" t="n"/>
      <c r="T52" s="93" t="n"/>
      <c r="U52" s="93" t="n"/>
      <c r="V52" s="93" t="n"/>
      <c r="W52" s="93" t="n"/>
      <c r="X52" s="93" t="n"/>
      <c r="Y52" s="93" t="n"/>
      <c r="Z52" s="93" t="n"/>
      <c r="AA52" s="93" t="n"/>
      <c r="AB52" s="93" t="n"/>
      <c r="AC52" s="93" t="n"/>
      <c r="AD52" s="93" t="n"/>
      <c r="AE52" s="93" t="n"/>
      <c r="AF52" s="93" t="n"/>
      <c r="AG52" s="93" t="n"/>
      <c r="AH52" s="93" t="n"/>
      <c r="AI52" s="93" t="n"/>
      <c r="AJ52" s="93" t="n"/>
      <c r="AK52" s="104">
        <f>IF($B52="","",SUMPRODUCT(COUNTIF($F52:$AJ52,KY_HIEU!$A$6:$A$45)*KY_HIEU!$C$6:$C$45))</f>
        <v/>
      </c>
      <c r="AL52" s="104">
        <f>IF($B52="","",SUMPRODUCT(COUNTIF($F52:$AJ52,KY_HIEU!$A$6:$A$45)*KY_HIEU!$D$6:$D$45))</f>
        <v/>
      </c>
      <c r="AM52" s="104">
        <f>IF($B52="","",SUMPRODUCT(COUNTIF($F52:$AJ52,KY_HIEU!$A$6:$A$45)*KY_HIEU!$E$6:$E$45))</f>
        <v/>
      </c>
      <c r="AN52" s="104">
        <f>IF($B52="","",SUMPRODUCT(COUNTIF($F52:$AJ52,KY_HIEU!$A$6:$A$45)*KY_HIEU!$F$6:$F$45))</f>
        <v/>
      </c>
      <c r="AO52" s="104">
        <f>IF($B52="","",SUMPRODUCT(COUNTIF($F52:$AJ52,KY_HIEU!$A$6:$A$45)*KY_HIEU!$G$6:$G$45))</f>
        <v/>
      </c>
      <c r="AP52" s="104">
        <f>IF($B52="","",SUMPRODUCT(COUNTIF($F52:$AJ52,KY_HIEU!$A$6:$A$45)*KY_HIEU!$H$6:$H$45))</f>
        <v/>
      </c>
      <c r="AQ52" s="104">
        <f>IF($B52="","",SUMPRODUCT(COUNTIF($F52:$AJ52,KY_HIEU!$A$6:$A$45)*KY_HIEU!$I$6:$I$45))</f>
        <v/>
      </c>
      <c r="AR52" s="105">
        <f>IF($B52="","",$AK52+$AL52+$AN52+$AO52+$AP52+$AQ52)</f>
        <v/>
      </c>
      <c r="AS52" s="105">
        <f>IF($B52="","",IF(DM_NHAN_SU!$I52&lt;&gt;"",DM_NHAN_SU!$I52,IF(THAM_SO_CC!$B$20="Nhập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52="",THAM_SO_CC!$B$8,DM_NHAN_SU!$F52))*(ROW(INDIRECT(THAM_SO_CC!$B$8&amp;":"&amp;THAM_SO_CC!$B$9))&lt;=IF(DM_NHAN_SU!$G52="",THAM_SO_CC!$B$9,DM_NHAN_SU!$G52))))))</f>
        <v/>
      </c>
      <c r="AT52" s="106">
        <f>IF($B52="","",$AR52-$AS52)</f>
        <v/>
      </c>
      <c r="AU52" s="96">
        <f>IF($B52="","",TRIM(IF(SUMPRODUCT(--($F52:$AJ52&lt;&gt;""))-SUMPRODUCT(COUNTIF($F52:$AJ52,KY_HIEU!$A$6:$A$45))&gt;0,"Ký hiệu lạ; ","")&amp;IF(ROUND($AT52,2)&lt;&gt;0,"Lệch ngày công "&amp;TEXT($AT52,"0.0")&amp;"; ","")&amp;IF(SUMPRODUCT(--($F52:$AJ52&lt;&gt;""),--((THAM_SO_CC!$B$8+COLUMN($F$1:$AJ$1)-6)&gt;THAM_SO_CC!$B$9))&gt;0,"Chấm ngoài kỳ; ","")&amp;IF(AND(DM_NHAN_SU!$F52&lt;&gt;"",SUMPRODUCT(--($F52:$AJ52&lt;&gt;""),--($F52:$AJ52&lt;&gt;"NV"),--($F52:$AJ52&lt;&gt;"NT"),--($F52:$AJ52&lt;&gt;"TN"),--((THAM_SO_CC!$B$8+COLUMN($F$1:$AJ$1)-6)&lt;DM_NHAN_SU!$F52))&gt;0),"Chấm trước ngày vào; ","")&amp;IF(AND(DM_NHAN_SU!$G52&lt;&gt;"",SUMPRODUCT(--($F52:$AJ52&lt;&gt;""),--($F52:$AJ52&lt;&gt;"NV"),--($F52:$AJ52&lt;&gt;"NT"),--($F52:$AJ52&lt;&gt;"TN"),--((THAM_SO_CC!$B$8+COLUMN($F$1:$AJ$1)-6)&gt;DM_NHAN_SU!$G52))&gt;0),"Chấm sau ngày nghỉ việc; ","")))</f>
        <v/>
      </c>
    </row>
    <row r="53" ht="15" customHeight="1" s="63">
      <c r="A53" s="85">
        <f>IF($B53="","",ROW()-5)</f>
        <v/>
      </c>
      <c r="B53" s="103">
        <f>IF(DM_NHAN_SU!B53="","",DM_NHAN_SU!B53)</f>
        <v/>
      </c>
      <c r="C53" s="96">
        <f>IF($B53="","",DM_NHAN_SU!C53)</f>
        <v/>
      </c>
      <c r="D53" s="96">
        <f>IF($B53="","",DM_NHAN_SU!D53)</f>
        <v/>
      </c>
      <c r="E53" s="96">
        <f>IF($B53="","",DM_NHAN_SU!E53)</f>
        <v/>
      </c>
      <c r="F53" s="93" t="n"/>
      <c r="G53" s="93" t="n"/>
      <c r="H53" s="93" t="n"/>
      <c r="I53" s="93" t="n"/>
      <c r="J53" s="93" t="n"/>
      <c r="K53" s="93" t="n"/>
      <c r="L53" s="93" t="n"/>
      <c r="M53" s="93" t="n"/>
      <c r="N53" s="93" t="n"/>
      <c r="O53" s="93" t="n"/>
      <c r="P53" s="93" t="n"/>
      <c r="Q53" s="93" t="n"/>
      <c r="R53" s="93" t="n"/>
      <c r="S53" s="93" t="n"/>
      <c r="T53" s="93" t="n"/>
      <c r="U53" s="93" t="n"/>
      <c r="V53" s="93" t="n"/>
      <c r="W53" s="93" t="n"/>
      <c r="X53" s="93" t="n"/>
      <c r="Y53" s="93" t="n"/>
      <c r="Z53" s="93" t="n"/>
      <c r="AA53" s="93" t="n"/>
      <c r="AB53" s="93" t="n"/>
      <c r="AC53" s="93" t="n"/>
      <c r="AD53" s="93" t="n"/>
      <c r="AE53" s="93" t="n"/>
      <c r="AF53" s="93" t="n"/>
      <c r="AG53" s="93" t="n"/>
      <c r="AH53" s="93" t="n"/>
      <c r="AI53" s="93" t="n"/>
      <c r="AJ53" s="93" t="n"/>
      <c r="AK53" s="104">
        <f>IF($B53="","",SUMPRODUCT(COUNTIF($F53:$AJ53,KY_HIEU!$A$6:$A$45)*KY_HIEU!$C$6:$C$45))</f>
        <v/>
      </c>
      <c r="AL53" s="104">
        <f>IF($B53="","",SUMPRODUCT(COUNTIF($F53:$AJ53,KY_HIEU!$A$6:$A$45)*KY_HIEU!$D$6:$D$45))</f>
        <v/>
      </c>
      <c r="AM53" s="104">
        <f>IF($B53="","",SUMPRODUCT(COUNTIF($F53:$AJ53,KY_HIEU!$A$6:$A$45)*KY_HIEU!$E$6:$E$45))</f>
        <v/>
      </c>
      <c r="AN53" s="104">
        <f>IF($B53="","",SUMPRODUCT(COUNTIF($F53:$AJ53,KY_HIEU!$A$6:$A$45)*KY_HIEU!$F$6:$F$45))</f>
        <v/>
      </c>
      <c r="AO53" s="104">
        <f>IF($B53="","",SUMPRODUCT(COUNTIF($F53:$AJ53,KY_HIEU!$A$6:$A$45)*KY_HIEU!$G$6:$G$45))</f>
        <v/>
      </c>
      <c r="AP53" s="104">
        <f>IF($B53="","",SUMPRODUCT(COUNTIF($F53:$AJ53,KY_HIEU!$A$6:$A$45)*KY_HIEU!$H$6:$H$45))</f>
        <v/>
      </c>
      <c r="AQ53" s="104">
        <f>IF($B53="","",SUMPRODUCT(COUNTIF($F53:$AJ53,KY_HIEU!$A$6:$A$45)*KY_HIEU!$I$6:$I$45))</f>
        <v/>
      </c>
      <c r="AR53" s="105">
        <f>IF($B53="","",$AK53+$AL53+$AN53+$AO53+$AP53+$AQ53)</f>
        <v/>
      </c>
      <c r="AS53" s="105">
        <f>IF($B53="","",IF(DM_NHAN_SU!$I53&lt;&gt;"",DM_NHAN_SU!$I53,IF(THAM_SO_CC!$B$20="Nhập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53="",THAM_SO_CC!$B$8,DM_NHAN_SU!$F53))*(ROW(INDIRECT(THAM_SO_CC!$B$8&amp;":"&amp;THAM_SO_CC!$B$9))&lt;=IF(DM_NHAN_SU!$G53="",THAM_SO_CC!$B$9,DM_NHAN_SU!$G53))))))</f>
        <v/>
      </c>
      <c r="AT53" s="106">
        <f>IF($B53="","",$AR53-$AS53)</f>
        <v/>
      </c>
      <c r="AU53" s="96">
        <f>IF($B53="","",TRIM(IF(SUMPRODUCT(--($F53:$AJ53&lt;&gt;""))-SUMPRODUCT(COUNTIF($F53:$AJ53,KY_HIEU!$A$6:$A$45))&gt;0,"Ký hiệu lạ; ","")&amp;IF(ROUND($AT53,2)&lt;&gt;0,"Lệch ngày công "&amp;TEXT($AT53,"0.0")&amp;"; ","")&amp;IF(SUMPRODUCT(--($F53:$AJ53&lt;&gt;""),--((THAM_SO_CC!$B$8+COLUMN($F$1:$AJ$1)-6)&gt;THAM_SO_CC!$B$9))&gt;0,"Chấm ngoài kỳ; ","")&amp;IF(AND(DM_NHAN_SU!$F53&lt;&gt;"",SUMPRODUCT(--($F53:$AJ53&lt;&gt;""),--($F53:$AJ53&lt;&gt;"NV"),--($F53:$AJ53&lt;&gt;"NT"),--($F53:$AJ53&lt;&gt;"TN"),--((THAM_SO_CC!$B$8+COLUMN($F$1:$AJ$1)-6)&lt;DM_NHAN_SU!$F53))&gt;0),"Chấm trước ngày vào; ","")&amp;IF(AND(DM_NHAN_SU!$G53&lt;&gt;"",SUMPRODUCT(--($F53:$AJ53&lt;&gt;""),--($F53:$AJ53&lt;&gt;"NV"),--($F53:$AJ53&lt;&gt;"NT"),--($F53:$AJ53&lt;&gt;"TN"),--((THAM_SO_CC!$B$8+COLUMN($F$1:$AJ$1)-6)&gt;DM_NHAN_SU!$G53))&gt;0),"Chấm sau ngày nghỉ việc; ","")))</f>
        <v/>
      </c>
    </row>
    <row r="54" ht="15" customHeight="1" s="63">
      <c r="A54" s="85">
        <f>IF($B54="","",ROW()-5)</f>
        <v/>
      </c>
      <c r="B54" s="103">
        <f>IF(DM_NHAN_SU!B54="","",DM_NHAN_SU!B54)</f>
        <v/>
      </c>
      <c r="C54" s="96">
        <f>IF($B54="","",DM_NHAN_SU!C54)</f>
        <v/>
      </c>
      <c r="D54" s="96">
        <f>IF($B54="","",DM_NHAN_SU!D54)</f>
        <v/>
      </c>
      <c r="E54" s="96">
        <f>IF($B54="","",DM_NHAN_SU!E54)</f>
        <v/>
      </c>
      <c r="F54" s="93" t="n"/>
      <c r="G54" s="93" t="n"/>
      <c r="H54" s="93" t="n"/>
      <c r="I54" s="93" t="n"/>
      <c r="J54" s="93" t="n"/>
      <c r="K54" s="93" t="n"/>
      <c r="L54" s="93" t="n"/>
      <c r="M54" s="93" t="n"/>
      <c r="N54" s="93" t="n"/>
      <c r="O54" s="93" t="n"/>
      <c r="P54" s="93" t="n"/>
      <c r="Q54" s="93" t="n"/>
      <c r="R54" s="93" t="n"/>
      <c r="S54" s="93" t="n"/>
      <c r="T54" s="93" t="n"/>
      <c r="U54" s="93" t="n"/>
      <c r="V54" s="93" t="n"/>
      <c r="W54" s="93" t="n"/>
      <c r="X54" s="93" t="n"/>
      <c r="Y54" s="93" t="n"/>
      <c r="Z54" s="93" t="n"/>
      <c r="AA54" s="93" t="n"/>
      <c r="AB54" s="93" t="n"/>
      <c r="AC54" s="93" t="n"/>
      <c r="AD54" s="93" t="n"/>
      <c r="AE54" s="93" t="n"/>
      <c r="AF54" s="93" t="n"/>
      <c r="AG54" s="93" t="n"/>
      <c r="AH54" s="93" t="n"/>
      <c r="AI54" s="93" t="n"/>
      <c r="AJ54" s="93" t="n"/>
      <c r="AK54" s="104">
        <f>IF($B54="","",SUMPRODUCT(COUNTIF($F54:$AJ54,KY_HIEU!$A$6:$A$45)*KY_HIEU!$C$6:$C$45))</f>
        <v/>
      </c>
      <c r="AL54" s="104">
        <f>IF($B54="","",SUMPRODUCT(COUNTIF($F54:$AJ54,KY_HIEU!$A$6:$A$45)*KY_HIEU!$D$6:$D$45))</f>
        <v/>
      </c>
      <c r="AM54" s="104">
        <f>IF($B54="","",SUMPRODUCT(COUNTIF($F54:$AJ54,KY_HIEU!$A$6:$A$45)*KY_HIEU!$E$6:$E$45))</f>
        <v/>
      </c>
      <c r="AN54" s="104">
        <f>IF($B54="","",SUMPRODUCT(COUNTIF($F54:$AJ54,KY_HIEU!$A$6:$A$45)*KY_HIEU!$F$6:$F$45))</f>
        <v/>
      </c>
      <c r="AO54" s="104">
        <f>IF($B54="","",SUMPRODUCT(COUNTIF($F54:$AJ54,KY_HIEU!$A$6:$A$45)*KY_HIEU!$G$6:$G$45))</f>
        <v/>
      </c>
      <c r="AP54" s="104">
        <f>IF($B54="","",SUMPRODUCT(COUNTIF($F54:$AJ54,KY_HIEU!$A$6:$A$45)*KY_HIEU!$H$6:$H$45))</f>
        <v/>
      </c>
      <c r="AQ54" s="104">
        <f>IF($B54="","",SUMPRODUCT(COUNTIF($F54:$AJ54,KY_HIEU!$A$6:$A$45)*KY_HIEU!$I$6:$I$45))</f>
        <v/>
      </c>
      <c r="AR54" s="105">
        <f>IF($B54="","",$AK54+$AL54+$AN54+$AO54+$AP54+$AQ54)</f>
        <v/>
      </c>
      <c r="AS54" s="105">
        <f>IF($B54="","",IF(DM_NHAN_SU!$I54&lt;&gt;"",DM_NHAN_SU!$I54,IF(THAM_SO_CC!$B$20="Nhập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54="",THAM_SO_CC!$B$8,DM_NHAN_SU!$F54))*(ROW(INDIRECT(THAM_SO_CC!$B$8&amp;":"&amp;THAM_SO_CC!$B$9))&lt;=IF(DM_NHAN_SU!$G54="",THAM_SO_CC!$B$9,DM_NHAN_SU!$G54))))))</f>
        <v/>
      </c>
      <c r="AT54" s="106">
        <f>IF($B54="","",$AR54-$AS54)</f>
        <v/>
      </c>
      <c r="AU54" s="96">
        <f>IF($B54="","",TRIM(IF(SUMPRODUCT(--($F54:$AJ54&lt;&gt;""))-SUMPRODUCT(COUNTIF($F54:$AJ54,KY_HIEU!$A$6:$A$45))&gt;0,"Ký hiệu lạ; ","")&amp;IF(ROUND($AT54,2)&lt;&gt;0,"Lệch ngày công "&amp;TEXT($AT54,"0.0")&amp;"; ","")&amp;IF(SUMPRODUCT(--($F54:$AJ54&lt;&gt;""),--((THAM_SO_CC!$B$8+COLUMN($F$1:$AJ$1)-6)&gt;THAM_SO_CC!$B$9))&gt;0,"Chấm ngoài kỳ; ","")&amp;IF(AND(DM_NHAN_SU!$F54&lt;&gt;"",SUMPRODUCT(--($F54:$AJ54&lt;&gt;""),--($F54:$AJ54&lt;&gt;"NV"),--($F54:$AJ54&lt;&gt;"NT"),--($F54:$AJ54&lt;&gt;"TN"),--((THAM_SO_CC!$B$8+COLUMN($F$1:$AJ$1)-6)&lt;DM_NHAN_SU!$F54))&gt;0),"Chấm trước ngày vào; ","")&amp;IF(AND(DM_NHAN_SU!$G54&lt;&gt;"",SUMPRODUCT(--($F54:$AJ54&lt;&gt;""),--($F54:$AJ54&lt;&gt;"NV"),--($F54:$AJ54&lt;&gt;"NT"),--($F54:$AJ54&lt;&gt;"TN"),--((THAM_SO_CC!$B$8+COLUMN($F$1:$AJ$1)-6)&gt;DM_NHAN_SU!$G54))&gt;0),"Chấm sau ngày nghỉ việc; ","")))</f>
        <v/>
      </c>
    </row>
    <row r="55" ht="15" customHeight="1" s="63">
      <c r="A55" s="85">
        <f>IF($B55="","",ROW()-5)</f>
        <v/>
      </c>
      <c r="B55" s="103">
        <f>IF(DM_NHAN_SU!B55="","",DM_NHAN_SU!B55)</f>
        <v/>
      </c>
      <c r="C55" s="96">
        <f>IF($B55="","",DM_NHAN_SU!C55)</f>
        <v/>
      </c>
      <c r="D55" s="96">
        <f>IF($B55="","",DM_NHAN_SU!D55)</f>
        <v/>
      </c>
      <c r="E55" s="96">
        <f>IF($B55="","",DM_NHAN_SU!E55)</f>
        <v/>
      </c>
      <c r="F55" s="93" t="n"/>
      <c r="G55" s="93" t="n"/>
      <c r="H55" s="93" t="n"/>
      <c r="I55" s="93" t="n"/>
      <c r="J55" s="93" t="n"/>
      <c r="K55" s="93" t="n"/>
      <c r="L55" s="93" t="n"/>
      <c r="M55" s="93" t="n"/>
      <c r="N55" s="93" t="n"/>
      <c r="O55" s="93" t="n"/>
      <c r="P55" s="93" t="n"/>
      <c r="Q55" s="93" t="n"/>
      <c r="R55" s="93" t="n"/>
      <c r="S55" s="93" t="n"/>
      <c r="T55" s="93" t="n"/>
      <c r="U55" s="93" t="n"/>
      <c r="V55" s="93" t="n"/>
      <c r="W55" s="93" t="n"/>
      <c r="X55" s="93" t="n"/>
      <c r="Y55" s="93" t="n"/>
      <c r="Z55" s="93" t="n"/>
      <c r="AA55" s="93" t="n"/>
      <c r="AB55" s="93" t="n"/>
      <c r="AC55" s="93" t="n"/>
      <c r="AD55" s="93" t="n"/>
      <c r="AE55" s="93" t="n"/>
      <c r="AF55" s="93" t="n"/>
      <c r="AG55" s="93" t="n"/>
      <c r="AH55" s="93" t="n"/>
      <c r="AI55" s="93" t="n"/>
      <c r="AJ55" s="93" t="n"/>
      <c r="AK55" s="104">
        <f>IF($B55="","",SUMPRODUCT(COUNTIF($F55:$AJ55,KY_HIEU!$A$6:$A$45)*KY_HIEU!$C$6:$C$45))</f>
        <v/>
      </c>
      <c r="AL55" s="104">
        <f>IF($B55="","",SUMPRODUCT(COUNTIF($F55:$AJ55,KY_HIEU!$A$6:$A$45)*KY_HIEU!$D$6:$D$45))</f>
        <v/>
      </c>
      <c r="AM55" s="104">
        <f>IF($B55="","",SUMPRODUCT(COUNTIF($F55:$AJ55,KY_HIEU!$A$6:$A$45)*KY_HIEU!$E$6:$E$45))</f>
        <v/>
      </c>
      <c r="AN55" s="104">
        <f>IF($B55="","",SUMPRODUCT(COUNTIF($F55:$AJ55,KY_HIEU!$A$6:$A$45)*KY_HIEU!$F$6:$F$45))</f>
        <v/>
      </c>
      <c r="AO55" s="104">
        <f>IF($B55="","",SUMPRODUCT(COUNTIF($F55:$AJ55,KY_HIEU!$A$6:$A$45)*KY_HIEU!$G$6:$G$45))</f>
        <v/>
      </c>
      <c r="AP55" s="104">
        <f>IF($B55="","",SUMPRODUCT(COUNTIF($F55:$AJ55,KY_HIEU!$A$6:$A$45)*KY_HIEU!$H$6:$H$45))</f>
        <v/>
      </c>
      <c r="AQ55" s="104">
        <f>IF($B55="","",SUMPRODUCT(COUNTIF($F55:$AJ55,KY_HIEU!$A$6:$A$45)*KY_HIEU!$I$6:$I$45))</f>
        <v/>
      </c>
      <c r="AR55" s="105">
        <f>IF($B55="","",$AK55+$AL55+$AN55+$AO55+$AP55+$AQ55)</f>
        <v/>
      </c>
      <c r="AS55" s="105">
        <f>IF($B55="","",IF(DM_NHAN_SU!$I55&lt;&gt;"",DM_NHAN_SU!$I55,IF(THAM_SO_CC!$B$20="Nhập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55="",THAM_SO_CC!$B$8,DM_NHAN_SU!$F55))*(ROW(INDIRECT(THAM_SO_CC!$B$8&amp;":"&amp;THAM_SO_CC!$B$9))&lt;=IF(DM_NHAN_SU!$G55="",THAM_SO_CC!$B$9,DM_NHAN_SU!$G55))))))</f>
        <v/>
      </c>
      <c r="AT55" s="106">
        <f>IF($B55="","",$AR55-$AS55)</f>
        <v/>
      </c>
      <c r="AU55" s="96">
        <f>IF($B55="","",TRIM(IF(SUMPRODUCT(--($F55:$AJ55&lt;&gt;""))-SUMPRODUCT(COUNTIF($F55:$AJ55,KY_HIEU!$A$6:$A$45))&gt;0,"Ký hiệu lạ; ","")&amp;IF(ROUND($AT55,2)&lt;&gt;0,"Lệch ngày công "&amp;TEXT($AT55,"0.0")&amp;"; ","")&amp;IF(SUMPRODUCT(--($F55:$AJ55&lt;&gt;""),--((THAM_SO_CC!$B$8+COLUMN($F$1:$AJ$1)-6)&gt;THAM_SO_CC!$B$9))&gt;0,"Chấm ngoài kỳ; ","")&amp;IF(AND(DM_NHAN_SU!$F55&lt;&gt;"",SUMPRODUCT(--($F55:$AJ55&lt;&gt;""),--($F55:$AJ55&lt;&gt;"NV"),--($F55:$AJ55&lt;&gt;"NT"),--($F55:$AJ55&lt;&gt;"TN"),--((THAM_SO_CC!$B$8+COLUMN($F$1:$AJ$1)-6)&lt;DM_NHAN_SU!$F55))&gt;0),"Chấm trước ngày vào; ","")&amp;IF(AND(DM_NHAN_SU!$G55&lt;&gt;"",SUMPRODUCT(--($F55:$AJ55&lt;&gt;""),--($F55:$AJ55&lt;&gt;"NV"),--($F55:$AJ55&lt;&gt;"NT"),--($F55:$AJ55&lt;&gt;"TN"),--((THAM_SO_CC!$B$8+COLUMN($F$1:$AJ$1)-6)&gt;DM_NHAN_SU!$G55))&gt;0),"Chấm sau ngày nghỉ việc; ","")))</f>
        <v/>
      </c>
    </row>
    <row r="56" ht="15" customHeight="1" s="63">
      <c r="A56" s="85">
        <f>IF($B56="","",ROW()-5)</f>
        <v/>
      </c>
      <c r="B56" s="103">
        <f>IF(DM_NHAN_SU!B56="","",DM_NHAN_SU!B56)</f>
        <v/>
      </c>
      <c r="C56" s="96">
        <f>IF($B56="","",DM_NHAN_SU!C56)</f>
        <v/>
      </c>
      <c r="D56" s="96">
        <f>IF($B56="","",DM_NHAN_SU!D56)</f>
        <v/>
      </c>
      <c r="E56" s="96">
        <f>IF($B56="","",DM_NHAN_SU!E56)</f>
        <v/>
      </c>
      <c r="F56" s="93" t="n"/>
      <c r="G56" s="93" t="n"/>
      <c r="H56" s="93" t="n"/>
      <c r="I56" s="93" t="n"/>
      <c r="J56" s="93" t="n"/>
      <c r="K56" s="93" t="n"/>
      <c r="L56" s="93" t="n"/>
      <c r="M56" s="93" t="n"/>
      <c r="N56" s="93" t="n"/>
      <c r="O56" s="93" t="n"/>
      <c r="P56" s="93" t="n"/>
      <c r="Q56" s="93" t="n"/>
      <c r="R56" s="93" t="n"/>
      <c r="S56" s="93" t="n"/>
      <c r="T56" s="93" t="n"/>
      <c r="U56" s="93" t="n"/>
      <c r="V56" s="93" t="n"/>
      <c r="W56" s="93" t="n"/>
      <c r="X56" s="93" t="n"/>
      <c r="Y56" s="93" t="n"/>
      <c r="Z56" s="93" t="n"/>
      <c r="AA56" s="93" t="n"/>
      <c r="AB56" s="93" t="n"/>
      <c r="AC56" s="93" t="n"/>
      <c r="AD56" s="93" t="n"/>
      <c r="AE56" s="93" t="n"/>
      <c r="AF56" s="93" t="n"/>
      <c r="AG56" s="93" t="n"/>
      <c r="AH56" s="93" t="n"/>
      <c r="AI56" s="93" t="n"/>
      <c r="AJ56" s="93" t="n"/>
      <c r="AK56" s="104">
        <f>IF($B56="","",SUMPRODUCT(COUNTIF($F56:$AJ56,KY_HIEU!$A$6:$A$45)*KY_HIEU!$C$6:$C$45))</f>
        <v/>
      </c>
      <c r="AL56" s="104">
        <f>IF($B56="","",SUMPRODUCT(COUNTIF($F56:$AJ56,KY_HIEU!$A$6:$A$45)*KY_HIEU!$D$6:$D$45))</f>
        <v/>
      </c>
      <c r="AM56" s="104">
        <f>IF($B56="","",SUMPRODUCT(COUNTIF($F56:$AJ56,KY_HIEU!$A$6:$A$45)*KY_HIEU!$E$6:$E$45))</f>
        <v/>
      </c>
      <c r="AN56" s="104">
        <f>IF($B56="","",SUMPRODUCT(COUNTIF($F56:$AJ56,KY_HIEU!$A$6:$A$45)*KY_HIEU!$F$6:$F$45))</f>
        <v/>
      </c>
      <c r="AO56" s="104">
        <f>IF($B56="","",SUMPRODUCT(COUNTIF($F56:$AJ56,KY_HIEU!$A$6:$A$45)*KY_HIEU!$G$6:$G$45))</f>
        <v/>
      </c>
      <c r="AP56" s="104">
        <f>IF($B56="","",SUMPRODUCT(COUNTIF($F56:$AJ56,KY_HIEU!$A$6:$A$45)*KY_HIEU!$H$6:$H$45))</f>
        <v/>
      </c>
      <c r="AQ56" s="104">
        <f>IF($B56="","",SUMPRODUCT(COUNTIF($F56:$AJ56,KY_HIEU!$A$6:$A$45)*KY_HIEU!$I$6:$I$45))</f>
        <v/>
      </c>
      <c r="AR56" s="105">
        <f>IF($B56="","",$AK56+$AL56+$AN56+$AO56+$AP56+$AQ56)</f>
        <v/>
      </c>
      <c r="AS56" s="105">
        <f>IF($B56="","",IF(DM_NHAN_SU!$I56&lt;&gt;"",DM_NHAN_SU!$I56,IF(THAM_SO_CC!$B$20="Nhập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56="",THAM_SO_CC!$B$8,DM_NHAN_SU!$F56))*(ROW(INDIRECT(THAM_SO_CC!$B$8&amp;":"&amp;THAM_SO_CC!$B$9))&lt;=IF(DM_NHAN_SU!$G56="",THAM_SO_CC!$B$9,DM_NHAN_SU!$G56))))))</f>
        <v/>
      </c>
      <c r="AT56" s="106">
        <f>IF($B56="","",$AR56-$AS56)</f>
        <v/>
      </c>
      <c r="AU56" s="96">
        <f>IF($B56="","",TRIM(IF(SUMPRODUCT(--($F56:$AJ56&lt;&gt;""))-SUMPRODUCT(COUNTIF($F56:$AJ56,KY_HIEU!$A$6:$A$45))&gt;0,"Ký hiệu lạ; ","")&amp;IF(ROUND($AT56,2)&lt;&gt;0,"Lệch ngày công "&amp;TEXT($AT56,"0.0")&amp;"; ","")&amp;IF(SUMPRODUCT(--($F56:$AJ56&lt;&gt;""),--((THAM_SO_CC!$B$8+COLUMN($F$1:$AJ$1)-6)&gt;THAM_SO_CC!$B$9))&gt;0,"Chấm ngoài kỳ; ","")&amp;IF(AND(DM_NHAN_SU!$F56&lt;&gt;"",SUMPRODUCT(--($F56:$AJ56&lt;&gt;""),--($F56:$AJ56&lt;&gt;"NV"),--($F56:$AJ56&lt;&gt;"NT"),--($F56:$AJ56&lt;&gt;"TN"),--((THAM_SO_CC!$B$8+COLUMN($F$1:$AJ$1)-6)&lt;DM_NHAN_SU!$F56))&gt;0),"Chấm trước ngày vào; ","")&amp;IF(AND(DM_NHAN_SU!$G56&lt;&gt;"",SUMPRODUCT(--($F56:$AJ56&lt;&gt;""),--($F56:$AJ56&lt;&gt;"NV"),--($F56:$AJ56&lt;&gt;"NT"),--($F56:$AJ56&lt;&gt;"TN"),--((THAM_SO_CC!$B$8+COLUMN($F$1:$AJ$1)-6)&gt;DM_NHAN_SU!$G56))&gt;0),"Chấm sau ngày nghỉ việc; ","")))</f>
        <v/>
      </c>
    </row>
    <row r="57" ht="15" customHeight="1" s="63">
      <c r="A57" s="85">
        <f>IF($B57="","",ROW()-5)</f>
        <v/>
      </c>
      <c r="B57" s="103">
        <f>IF(DM_NHAN_SU!B57="","",DM_NHAN_SU!B57)</f>
        <v/>
      </c>
      <c r="C57" s="96">
        <f>IF($B57="","",DM_NHAN_SU!C57)</f>
        <v/>
      </c>
      <c r="D57" s="96">
        <f>IF($B57="","",DM_NHAN_SU!D57)</f>
        <v/>
      </c>
      <c r="E57" s="96">
        <f>IF($B57="","",DM_NHAN_SU!E57)</f>
        <v/>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93" t="n"/>
      <c r="AA57" s="93" t="n"/>
      <c r="AB57" s="93" t="n"/>
      <c r="AC57" s="93" t="n"/>
      <c r="AD57" s="93" t="n"/>
      <c r="AE57" s="93" t="n"/>
      <c r="AF57" s="93" t="n"/>
      <c r="AG57" s="93" t="n"/>
      <c r="AH57" s="93" t="n"/>
      <c r="AI57" s="93" t="n"/>
      <c r="AJ57" s="93" t="n"/>
      <c r="AK57" s="104">
        <f>IF($B57="","",SUMPRODUCT(COUNTIF($F57:$AJ57,KY_HIEU!$A$6:$A$45)*KY_HIEU!$C$6:$C$45))</f>
        <v/>
      </c>
      <c r="AL57" s="104">
        <f>IF($B57="","",SUMPRODUCT(COUNTIF($F57:$AJ57,KY_HIEU!$A$6:$A$45)*KY_HIEU!$D$6:$D$45))</f>
        <v/>
      </c>
      <c r="AM57" s="104">
        <f>IF($B57="","",SUMPRODUCT(COUNTIF($F57:$AJ57,KY_HIEU!$A$6:$A$45)*KY_HIEU!$E$6:$E$45))</f>
        <v/>
      </c>
      <c r="AN57" s="104">
        <f>IF($B57="","",SUMPRODUCT(COUNTIF($F57:$AJ57,KY_HIEU!$A$6:$A$45)*KY_HIEU!$F$6:$F$45))</f>
        <v/>
      </c>
      <c r="AO57" s="104">
        <f>IF($B57="","",SUMPRODUCT(COUNTIF($F57:$AJ57,KY_HIEU!$A$6:$A$45)*KY_HIEU!$G$6:$G$45))</f>
        <v/>
      </c>
      <c r="AP57" s="104">
        <f>IF($B57="","",SUMPRODUCT(COUNTIF($F57:$AJ57,KY_HIEU!$A$6:$A$45)*KY_HIEU!$H$6:$H$45))</f>
        <v/>
      </c>
      <c r="AQ57" s="104">
        <f>IF($B57="","",SUMPRODUCT(COUNTIF($F57:$AJ57,KY_HIEU!$A$6:$A$45)*KY_HIEU!$I$6:$I$45))</f>
        <v/>
      </c>
      <c r="AR57" s="105">
        <f>IF($B57="","",$AK57+$AL57+$AN57+$AO57+$AP57+$AQ57)</f>
        <v/>
      </c>
      <c r="AS57" s="105">
        <f>IF($B57="","",IF(DM_NHAN_SU!$I57&lt;&gt;"",DM_NHAN_SU!$I57,IF(THAM_SO_CC!$B$20="Nhập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57="",THAM_SO_CC!$B$8,DM_NHAN_SU!$F57))*(ROW(INDIRECT(THAM_SO_CC!$B$8&amp;":"&amp;THAM_SO_CC!$B$9))&lt;=IF(DM_NHAN_SU!$G57="",THAM_SO_CC!$B$9,DM_NHAN_SU!$G57))))))</f>
        <v/>
      </c>
      <c r="AT57" s="106">
        <f>IF($B57="","",$AR57-$AS57)</f>
        <v/>
      </c>
      <c r="AU57" s="96">
        <f>IF($B57="","",TRIM(IF(SUMPRODUCT(--($F57:$AJ57&lt;&gt;""))-SUMPRODUCT(COUNTIF($F57:$AJ57,KY_HIEU!$A$6:$A$45))&gt;0,"Ký hiệu lạ; ","")&amp;IF(ROUND($AT57,2)&lt;&gt;0,"Lệch ngày công "&amp;TEXT($AT57,"0.0")&amp;"; ","")&amp;IF(SUMPRODUCT(--($F57:$AJ57&lt;&gt;""),--((THAM_SO_CC!$B$8+COLUMN($F$1:$AJ$1)-6)&gt;THAM_SO_CC!$B$9))&gt;0,"Chấm ngoài kỳ; ","")&amp;IF(AND(DM_NHAN_SU!$F57&lt;&gt;"",SUMPRODUCT(--($F57:$AJ57&lt;&gt;""),--($F57:$AJ57&lt;&gt;"NV"),--($F57:$AJ57&lt;&gt;"NT"),--($F57:$AJ57&lt;&gt;"TN"),--((THAM_SO_CC!$B$8+COLUMN($F$1:$AJ$1)-6)&lt;DM_NHAN_SU!$F57))&gt;0),"Chấm trước ngày vào; ","")&amp;IF(AND(DM_NHAN_SU!$G57&lt;&gt;"",SUMPRODUCT(--($F57:$AJ57&lt;&gt;""),--($F57:$AJ57&lt;&gt;"NV"),--($F57:$AJ57&lt;&gt;"NT"),--($F57:$AJ57&lt;&gt;"TN"),--((THAM_SO_CC!$B$8+COLUMN($F$1:$AJ$1)-6)&gt;DM_NHAN_SU!$G57))&gt;0),"Chấm sau ngày nghỉ việc; ","")))</f>
        <v/>
      </c>
    </row>
    <row r="58" ht="15" customHeight="1" s="63">
      <c r="A58" s="85">
        <f>IF($B58="","",ROW()-5)</f>
        <v/>
      </c>
      <c r="B58" s="103">
        <f>IF(DM_NHAN_SU!B58="","",DM_NHAN_SU!B58)</f>
        <v/>
      </c>
      <c r="C58" s="96">
        <f>IF($B58="","",DM_NHAN_SU!C58)</f>
        <v/>
      </c>
      <c r="D58" s="96">
        <f>IF($B58="","",DM_NHAN_SU!D58)</f>
        <v/>
      </c>
      <c r="E58" s="96">
        <f>IF($B58="","",DM_NHAN_SU!E58)</f>
        <v/>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93" t="n"/>
      <c r="AA58" s="93" t="n"/>
      <c r="AB58" s="93" t="n"/>
      <c r="AC58" s="93" t="n"/>
      <c r="AD58" s="93" t="n"/>
      <c r="AE58" s="93" t="n"/>
      <c r="AF58" s="93" t="n"/>
      <c r="AG58" s="93" t="n"/>
      <c r="AH58" s="93" t="n"/>
      <c r="AI58" s="93" t="n"/>
      <c r="AJ58" s="93" t="n"/>
      <c r="AK58" s="104">
        <f>IF($B58="","",SUMPRODUCT(COUNTIF($F58:$AJ58,KY_HIEU!$A$6:$A$45)*KY_HIEU!$C$6:$C$45))</f>
        <v/>
      </c>
      <c r="AL58" s="104">
        <f>IF($B58="","",SUMPRODUCT(COUNTIF($F58:$AJ58,KY_HIEU!$A$6:$A$45)*KY_HIEU!$D$6:$D$45))</f>
        <v/>
      </c>
      <c r="AM58" s="104">
        <f>IF($B58="","",SUMPRODUCT(COUNTIF($F58:$AJ58,KY_HIEU!$A$6:$A$45)*KY_HIEU!$E$6:$E$45))</f>
        <v/>
      </c>
      <c r="AN58" s="104">
        <f>IF($B58="","",SUMPRODUCT(COUNTIF($F58:$AJ58,KY_HIEU!$A$6:$A$45)*KY_HIEU!$F$6:$F$45))</f>
        <v/>
      </c>
      <c r="AO58" s="104">
        <f>IF($B58="","",SUMPRODUCT(COUNTIF($F58:$AJ58,KY_HIEU!$A$6:$A$45)*KY_HIEU!$G$6:$G$45))</f>
        <v/>
      </c>
      <c r="AP58" s="104">
        <f>IF($B58="","",SUMPRODUCT(COUNTIF($F58:$AJ58,KY_HIEU!$A$6:$A$45)*KY_HIEU!$H$6:$H$45))</f>
        <v/>
      </c>
      <c r="AQ58" s="104">
        <f>IF($B58="","",SUMPRODUCT(COUNTIF($F58:$AJ58,KY_HIEU!$A$6:$A$45)*KY_HIEU!$I$6:$I$45))</f>
        <v/>
      </c>
      <c r="AR58" s="105">
        <f>IF($B58="","",$AK58+$AL58+$AN58+$AO58+$AP58+$AQ58)</f>
        <v/>
      </c>
      <c r="AS58" s="105">
        <f>IF($B58="","",IF(DM_NHAN_SU!$I58&lt;&gt;"",DM_NHAN_SU!$I58,IF(THAM_SO_CC!$B$20="Nhập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58="",THAM_SO_CC!$B$8,DM_NHAN_SU!$F58))*(ROW(INDIRECT(THAM_SO_CC!$B$8&amp;":"&amp;THAM_SO_CC!$B$9))&lt;=IF(DM_NHAN_SU!$G58="",THAM_SO_CC!$B$9,DM_NHAN_SU!$G58))))))</f>
        <v/>
      </c>
      <c r="AT58" s="106">
        <f>IF($B58="","",$AR58-$AS58)</f>
        <v/>
      </c>
      <c r="AU58" s="96">
        <f>IF($B58="","",TRIM(IF(SUMPRODUCT(--($F58:$AJ58&lt;&gt;""))-SUMPRODUCT(COUNTIF($F58:$AJ58,KY_HIEU!$A$6:$A$45))&gt;0,"Ký hiệu lạ; ","")&amp;IF(ROUND($AT58,2)&lt;&gt;0,"Lệch ngày công "&amp;TEXT($AT58,"0.0")&amp;"; ","")&amp;IF(SUMPRODUCT(--($F58:$AJ58&lt;&gt;""),--((THAM_SO_CC!$B$8+COLUMN($F$1:$AJ$1)-6)&gt;THAM_SO_CC!$B$9))&gt;0,"Chấm ngoài kỳ; ","")&amp;IF(AND(DM_NHAN_SU!$F58&lt;&gt;"",SUMPRODUCT(--($F58:$AJ58&lt;&gt;""),--($F58:$AJ58&lt;&gt;"NV"),--($F58:$AJ58&lt;&gt;"NT"),--($F58:$AJ58&lt;&gt;"TN"),--((THAM_SO_CC!$B$8+COLUMN($F$1:$AJ$1)-6)&lt;DM_NHAN_SU!$F58))&gt;0),"Chấm trước ngày vào; ","")&amp;IF(AND(DM_NHAN_SU!$G58&lt;&gt;"",SUMPRODUCT(--($F58:$AJ58&lt;&gt;""),--($F58:$AJ58&lt;&gt;"NV"),--($F58:$AJ58&lt;&gt;"NT"),--($F58:$AJ58&lt;&gt;"TN"),--((THAM_SO_CC!$B$8+COLUMN($F$1:$AJ$1)-6)&gt;DM_NHAN_SU!$G58))&gt;0),"Chấm sau ngày nghỉ việc; ","")))</f>
        <v/>
      </c>
    </row>
    <row r="59" ht="15" customHeight="1" s="63">
      <c r="A59" s="85">
        <f>IF($B59="","",ROW()-5)</f>
        <v/>
      </c>
      <c r="B59" s="103">
        <f>IF(DM_NHAN_SU!B59="","",DM_NHAN_SU!B59)</f>
        <v/>
      </c>
      <c r="C59" s="96">
        <f>IF($B59="","",DM_NHAN_SU!C59)</f>
        <v/>
      </c>
      <c r="D59" s="96">
        <f>IF($B59="","",DM_NHAN_SU!D59)</f>
        <v/>
      </c>
      <c r="E59" s="96">
        <f>IF($B59="","",DM_NHAN_SU!E59)</f>
        <v/>
      </c>
      <c r="F59" s="93" t="n"/>
      <c r="G59" s="93" t="n"/>
      <c r="H59" s="93" t="n"/>
      <c r="I59" s="93" t="n"/>
      <c r="J59" s="93" t="n"/>
      <c r="K59" s="93" t="n"/>
      <c r="L59" s="93" t="n"/>
      <c r="M59" s="93" t="n"/>
      <c r="N59" s="93" t="n"/>
      <c r="O59" s="93" t="n"/>
      <c r="P59" s="93" t="n"/>
      <c r="Q59" s="93" t="n"/>
      <c r="R59" s="93" t="n"/>
      <c r="S59" s="93" t="n"/>
      <c r="T59" s="93" t="n"/>
      <c r="U59" s="93" t="n"/>
      <c r="V59" s="93" t="n"/>
      <c r="W59" s="93" t="n"/>
      <c r="X59" s="93" t="n"/>
      <c r="Y59" s="93" t="n"/>
      <c r="Z59" s="93" t="n"/>
      <c r="AA59" s="93" t="n"/>
      <c r="AB59" s="93" t="n"/>
      <c r="AC59" s="93" t="n"/>
      <c r="AD59" s="93" t="n"/>
      <c r="AE59" s="93" t="n"/>
      <c r="AF59" s="93" t="n"/>
      <c r="AG59" s="93" t="n"/>
      <c r="AH59" s="93" t="n"/>
      <c r="AI59" s="93" t="n"/>
      <c r="AJ59" s="93" t="n"/>
      <c r="AK59" s="104">
        <f>IF($B59="","",SUMPRODUCT(COUNTIF($F59:$AJ59,KY_HIEU!$A$6:$A$45)*KY_HIEU!$C$6:$C$45))</f>
        <v/>
      </c>
      <c r="AL59" s="104">
        <f>IF($B59="","",SUMPRODUCT(COUNTIF($F59:$AJ59,KY_HIEU!$A$6:$A$45)*KY_HIEU!$D$6:$D$45))</f>
        <v/>
      </c>
      <c r="AM59" s="104">
        <f>IF($B59="","",SUMPRODUCT(COUNTIF($F59:$AJ59,KY_HIEU!$A$6:$A$45)*KY_HIEU!$E$6:$E$45))</f>
        <v/>
      </c>
      <c r="AN59" s="104">
        <f>IF($B59="","",SUMPRODUCT(COUNTIF($F59:$AJ59,KY_HIEU!$A$6:$A$45)*KY_HIEU!$F$6:$F$45))</f>
        <v/>
      </c>
      <c r="AO59" s="104">
        <f>IF($B59="","",SUMPRODUCT(COUNTIF($F59:$AJ59,KY_HIEU!$A$6:$A$45)*KY_HIEU!$G$6:$G$45))</f>
        <v/>
      </c>
      <c r="AP59" s="104">
        <f>IF($B59="","",SUMPRODUCT(COUNTIF($F59:$AJ59,KY_HIEU!$A$6:$A$45)*KY_HIEU!$H$6:$H$45))</f>
        <v/>
      </c>
      <c r="AQ59" s="104">
        <f>IF($B59="","",SUMPRODUCT(COUNTIF($F59:$AJ59,KY_HIEU!$A$6:$A$45)*KY_HIEU!$I$6:$I$45))</f>
        <v/>
      </c>
      <c r="AR59" s="105">
        <f>IF($B59="","",$AK59+$AL59+$AN59+$AO59+$AP59+$AQ59)</f>
        <v/>
      </c>
      <c r="AS59" s="105">
        <f>IF($B59="","",IF(DM_NHAN_SU!$I59&lt;&gt;"",DM_NHAN_SU!$I59,IF(THAM_SO_CC!$B$20="Nhập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59="",THAM_SO_CC!$B$8,DM_NHAN_SU!$F59))*(ROW(INDIRECT(THAM_SO_CC!$B$8&amp;":"&amp;THAM_SO_CC!$B$9))&lt;=IF(DM_NHAN_SU!$G59="",THAM_SO_CC!$B$9,DM_NHAN_SU!$G59))))))</f>
        <v/>
      </c>
      <c r="AT59" s="106">
        <f>IF($B59="","",$AR59-$AS59)</f>
        <v/>
      </c>
      <c r="AU59" s="96">
        <f>IF($B59="","",TRIM(IF(SUMPRODUCT(--($F59:$AJ59&lt;&gt;""))-SUMPRODUCT(COUNTIF($F59:$AJ59,KY_HIEU!$A$6:$A$45))&gt;0,"Ký hiệu lạ; ","")&amp;IF(ROUND($AT59,2)&lt;&gt;0,"Lệch ngày công "&amp;TEXT($AT59,"0.0")&amp;"; ","")&amp;IF(SUMPRODUCT(--($F59:$AJ59&lt;&gt;""),--((THAM_SO_CC!$B$8+COLUMN($F$1:$AJ$1)-6)&gt;THAM_SO_CC!$B$9))&gt;0,"Chấm ngoài kỳ; ","")&amp;IF(AND(DM_NHAN_SU!$F59&lt;&gt;"",SUMPRODUCT(--($F59:$AJ59&lt;&gt;""),--($F59:$AJ59&lt;&gt;"NV"),--($F59:$AJ59&lt;&gt;"NT"),--($F59:$AJ59&lt;&gt;"TN"),--((THAM_SO_CC!$B$8+COLUMN($F$1:$AJ$1)-6)&lt;DM_NHAN_SU!$F59))&gt;0),"Chấm trước ngày vào; ","")&amp;IF(AND(DM_NHAN_SU!$G59&lt;&gt;"",SUMPRODUCT(--($F59:$AJ59&lt;&gt;""),--($F59:$AJ59&lt;&gt;"NV"),--($F59:$AJ59&lt;&gt;"NT"),--($F59:$AJ59&lt;&gt;"TN"),--((THAM_SO_CC!$B$8+COLUMN($F$1:$AJ$1)-6)&gt;DM_NHAN_SU!$G59))&gt;0),"Chấm sau ngày nghỉ việc; ","")))</f>
        <v/>
      </c>
    </row>
    <row r="60" ht="15" customHeight="1" s="63">
      <c r="A60" s="85">
        <f>IF($B60="","",ROW()-5)</f>
        <v/>
      </c>
      <c r="B60" s="103">
        <f>IF(DM_NHAN_SU!B60="","",DM_NHAN_SU!B60)</f>
        <v/>
      </c>
      <c r="C60" s="96">
        <f>IF($B60="","",DM_NHAN_SU!C60)</f>
        <v/>
      </c>
      <c r="D60" s="96">
        <f>IF($B60="","",DM_NHAN_SU!D60)</f>
        <v/>
      </c>
      <c r="E60" s="96">
        <f>IF($B60="","",DM_NHAN_SU!E60)</f>
        <v/>
      </c>
      <c r="F60" s="93" t="n"/>
      <c r="G60" s="93" t="n"/>
      <c r="H60" s="93" t="n"/>
      <c r="I60" s="93" t="n"/>
      <c r="J60" s="93" t="n"/>
      <c r="K60" s="93" t="n"/>
      <c r="L60" s="93" t="n"/>
      <c r="M60" s="93" t="n"/>
      <c r="N60" s="93" t="n"/>
      <c r="O60" s="93" t="n"/>
      <c r="P60" s="93" t="n"/>
      <c r="Q60" s="93" t="n"/>
      <c r="R60" s="93" t="n"/>
      <c r="S60" s="93" t="n"/>
      <c r="T60" s="93" t="n"/>
      <c r="U60" s="93" t="n"/>
      <c r="V60" s="93" t="n"/>
      <c r="W60" s="93" t="n"/>
      <c r="X60" s="93" t="n"/>
      <c r="Y60" s="93" t="n"/>
      <c r="Z60" s="93" t="n"/>
      <c r="AA60" s="93" t="n"/>
      <c r="AB60" s="93" t="n"/>
      <c r="AC60" s="93" t="n"/>
      <c r="AD60" s="93" t="n"/>
      <c r="AE60" s="93" t="n"/>
      <c r="AF60" s="93" t="n"/>
      <c r="AG60" s="93" t="n"/>
      <c r="AH60" s="93" t="n"/>
      <c r="AI60" s="93" t="n"/>
      <c r="AJ60" s="93" t="n"/>
      <c r="AK60" s="104">
        <f>IF($B60="","",SUMPRODUCT(COUNTIF($F60:$AJ60,KY_HIEU!$A$6:$A$45)*KY_HIEU!$C$6:$C$45))</f>
        <v/>
      </c>
      <c r="AL60" s="104">
        <f>IF($B60="","",SUMPRODUCT(COUNTIF($F60:$AJ60,KY_HIEU!$A$6:$A$45)*KY_HIEU!$D$6:$D$45))</f>
        <v/>
      </c>
      <c r="AM60" s="104">
        <f>IF($B60="","",SUMPRODUCT(COUNTIF($F60:$AJ60,KY_HIEU!$A$6:$A$45)*KY_HIEU!$E$6:$E$45))</f>
        <v/>
      </c>
      <c r="AN60" s="104">
        <f>IF($B60="","",SUMPRODUCT(COUNTIF($F60:$AJ60,KY_HIEU!$A$6:$A$45)*KY_HIEU!$F$6:$F$45))</f>
        <v/>
      </c>
      <c r="AO60" s="104">
        <f>IF($B60="","",SUMPRODUCT(COUNTIF($F60:$AJ60,KY_HIEU!$A$6:$A$45)*KY_HIEU!$G$6:$G$45))</f>
        <v/>
      </c>
      <c r="AP60" s="104">
        <f>IF($B60="","",SUMPRODUCT(COUNTIF($F60:$AJ60,KY_HIEU!$A$6:$A$45)*KY_HIEU!$H$6:$H$45))</f>
        <v/>
      </c>
      <c r="AQ60" s="104">
        <f>IF($B60="","",SUMPRODUCT(COUNTIF($F60:$AJ60,KY_HIEU!$A$6:$A$45)*KY_HIEU!$I$6:$I$45))</f>
        <v/>
      </c>
      <c r="AR60" s="105">
        <f>IF($B60="","",$AK60+$AL60+$AN60+$AO60+$AP60+$AQ60)</f>
        <v/>
      </c>
      <c r="AS60" s="105">
        <f>IF($B60="","",IF(DM_NHAN_SU!$I60&lt;&gt;"",DM_NHAN_SU!$I60,IF(THAM_SO_CC!$B$20="Nhập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60="",THAM_SO_CC!$B$8,DM_NHAN_SU!$F60))*(ROW(INDIRECT(THAM_SO_CC!$B$8&amp;":"&amp;THAM_SO_CC!$B$9))&lt;=IF(DM_NHAN_SU!$G60="",THAM_SO_CC!$B$9,DM_NHAN_SU!$G60))))))</f>
        <v/>
      </c>
      <c r="AT60" s="106">
        <f>IF($B60="","",$AR60-$AS60)</f>
        <v/>
      </c>
      <c r="AU60" s="96">
        <f>IF($B60="","",TRIM(IF(SUMPRODUCT(--($F60:$AJ60&lt;&gt;""))-SUMPRODUCT(COUNTIF($F60:$AJ60,KY_HIEU!$A$6:$A$45))&gt;0,"Ký hiệu lạ; ","")&amp;IF(ROUND($AT60,2)&lt;&gt;0,"Lệch ngày công "&amp;TEXT($AT60,"0.0")&amp;"; ","")&amp;IF(SUMPRODUCT(--($F60:$AJ60&lt;&gt;""),--((THAM_SO_CC!$B$8+COLUMN($F$1:$AJ$1)-6)&gt;THAM_SO_CC!$B$9))&gt;0,"Chấm ngoài kỳ; ","")&amp;IF(AND(DM_NHAN_SU!$F60&lt;&gt;"",SUMPRODUCT(--($F60:$AJ60&lt;&gt;""),--($F60:$AJ60&lt;&gt;"NV"),--($F60:$AJ60&lt;&gt;"NT"),--($F60:$AJ60&lt;&gt;"TN"),--((THAM_SO_CC!$B$8+COLUMN($F$1:$AJ$1)-6)&lt;DM_NHAN_SU!$F60))&gt;0),"Chấm trước ngày vào; ","")&amp;IF(AND(DM_NHAN_SU!$G60&lt;&gt;"",SUMPRODUCT(--($F60:$AJ60&lt;&gt;""),--($F60:$AJ60&lt;&gt;"NV"),--($F60:$AJ60&lt;&gt;"NT"),--($F60:$AJ60&lt;&gt;"TN"),--((THAM_SO_CC!$B$8+COLUMN($F$1:$AJ$1)-6)&gt;DM_NHAN_SU!$G60))&gt;0),"Chấm sau ngày nghỉ việc; ","")))</f>
        <v/>
      </c>
    </row>
    <row r="61" ht="15" customHeight="1" s="63">
      <c r="A61" s="85">
        <f>IF($B61="","",ROW()-5)</f>
        <v/>
      </c>
      <c r="B61" s="103">
        <f>IF(DM_NHAN_SU!B61="","",DM_NHAN_SU!B61)</f>
        <v/>
      </c>
      <c r="C61" s="96">
        <f>IF($B61="","",DM_NHAN_SU!C61)</f>
        <v/>
      </c>
      <c r="D61" s="96">
        <f>IF($B61="","",DM_NHAN_SU!D61)</f>
        <v/>
      </c>
      <c r="E61" s="96">
        <f>IF($B61="","",DM_NHAN_SU!E61)</f>
        <v/>
      </c>
      <c r="F61" s="93" t="n"/>
      <c r="G61" s="93" t="n"/>
      <c r="H61" s="93" t="n"/>
      <c r="I61" s="93" t="n"/>
      <c r="J61" s="93" t="n"/>
      <c r="K61" s="93" t="n"/>
      <c r="L61" s="93" t="n"/>
      <c r="M61" s="93" t="n"/>
      <c r="N61" s="93" t="n"/>
      <c r="O61" s="93" t="n"/>
      <c r="P61" s="93" t="n"/>
      <c r="Q61" s="93" t="n"/>
      <c r="R61" s="93" t="n"/>
      <c r="S61" s="93" t="n"/>
      <c r="T61" s="93" t="n"/>
      <c r="U61" s="93" t="n"/>
      <c r="V61" s="93" t="n"/>
      <c r="W61" s="93" t="n"/>
      <c r="X61" s="93" t="n"/>
      <c r="Y61" s="93" t="n"/>
      <c r="Z61" s="93" t="n"/>
      <c r="AA61" s="93" t="n"/>
      <c r="AB61" s="93" t="n"/>
      <c r="AC61" s="93" t="n"/>
      <c r="AD61" s="93" t="n"/>
      <c r="AE61" s="93" t="n"/>
      <c r="AF61" s="93" t="n"/>
      <c r="AG61" s="93" t="n"/>
      <c r="AH61" s="93" t="n"/>
      <c r="AI61" s="93" t="n"/>
      <c r="AJ61" s="93" t="n"/>
      <c r="AK61" s="104">
        <f>IF($B61="","",SUMPRODUCT(COUNTIF($F61:$AJ61,KY_HIEU!$A$6:$A$45)*KY_HIEU!$C$6:$C$45))</f>
        <v/>
      </c>
      <c r="AL61" s="104">
        <f>IF($B61="","",SUMPRODUCT(COUNTIF($F61:$AJ61,KY_HIEU!$A$6:$A$45)*KY_HIEU!$D$6:$D$45))</f>
        <v/>
      </c>
      <c r="AM61" s="104">
        <f>IF($B61="","",SUMPRODUCT(COUNTIF($F61:$AJ61,KY_HIEU!$A$6:$A$45)*KY_HIEU!$E$6:$E$45))</f>
        <v/>
      </c>
      <c r="AN61" s="104">
        <f>IF($B61="","",SUMPRODUCT(COUNTIF($F61:$AJ61,KY_HIEU!$A$6:$A$45)*KY_HIEU!$F$6:$F$45))</f>
        <v/>
      </c>
      <c r="AO61" s="104">
        <f>IF($B61="","",SUMPRODUCT(COUNTIF($F61:$AJ61,KY_HIEU!$A$6:$A$45)*KY_HIEU!$G$6:$G$45))</f>
        <v/>
      </c>
      <c r="AP61" s="104">
        <f>IF($B61="","",SUMPRODUCT(COUNTIF($F61:$AJ61,KY_HIEU!$A$6:$A$45)*KY_HIEU!$H$6:$H$45))</f>
        <v/>
      </c>
      <c r="AQ61" s="104">
        <f>IF($B61="","",SUMPRODUCT(COUNTIF($F61:$AJ61,KY_HIEU!$A$6:$A$45)*KY_HIEU!$I$6:$I$45))</f>
        <v/>
      </c>
      <c r="AR61" s="105">
        <f>IF($B61="","",$AK61+$AL61+$AN61+$AO61+$AP61+$AQ61)</f>
        <v/>
      </c>
      <c r="AS61" s="105">
        <f>IF($B61="","",IF(DM_NHAN_SU!$I61&lt;&gt;"",DM_NHAN_SU!$I61,IF(THAM_SO_CC!$B$20="Nhập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61="",THAM_SO_CC!$B$8,DM_NHAN_SU!$F61))*(ROW(INDIRECT(THAM_SO_CC!$B$8&amp;":"&amp;THAM_SO_CC!$B$9))&lt;=IF(DM_NHAN_SU!$G61="",THAM_SO_CC!$B$9,DM_NHAN_SU!$G61))))))</f>
        <v/>
      </c>
      <c r="AT61" s="106">
        <f>IF($B61="","",$AR61-$AS61)</f>
        <v/>
      </c>
      <c r="AU61" s="96">
        <f>IF($B61="","",TRIM(IF(SUMPRODUCT(--($F61:$AJ61&lt;&gt;""))-SUMPRODUCT(COUNTIF($F61:$AJ61,KY_HIEU!$A$6:$A$45))&gt;0,"Ký hiệu lạ; ","")&amp;IF(ROUND($AT61,2)&lt;&gt;0,"Lệch ngày công "&amp;TEXT($AT61,"0.0")&amp;"; ","")&amp;IF(SUMPRODUCT(--($F61:$AJ61&lt;&gt;""),--((THAM_SO_CC!$B$8+COLUMN($F$1:$AJ$1)-6)&gt;THAM_SO_CC!$B$9))&gt;0,"Chấm ngoài kỳ; ","")&amp;IF(AND(DM_NHAN_SU!$F61&lt;&gt;"",SUMPRODUCT(--($F61:$AJ61&lt;&gt;""),--($F61:$AJ61&lt;&gt;"NV"),--($F61:$AJ61&lt;&gt;"NT"),--($F61:$AJ61&lt;&gt;"TN"),--((THAM_SO_CC!$B$8+COLUMN($F$1:$AJ$1)-6)&lt;DM_NHAN_SU!$F61))&gt;0),"Chấm trước ngày vào; ","")&amp;IF(AND(DM_NHAN_SU!$G61&lt;&gt;"",SUMPRODUCT(--($F61:$AJ61&lt;&gt;""),--($F61:$AJ61&lt;&gt;"NV"),--($F61:$AJ61&lt;&gt;"NT"),--($F61:$AJ61&lt;&gt;"TN"),--((THAM_SO_CC!$B$8+COLUMN($F$1:$AJ$1)-6)&gt;DM_NHAN_SU!$G61))&gt;0),"Chấm sau ngày nghỉ việc; ","")))</f>
        <v/>
      </c>
    </row>
    <row r="62" ht="15" customHeight="1" s="63">
      <c r="A62" s="85">
        <f>IF($B62="","",ROW()-5)</f>
        <v/>
      </c>
      <c r="B62" s="103">
        <f>IF(DM_NHAN_SU!B62="","",DM_NHAN_SU!B62)</f>
        <v/>
      </c>
      <c r="C62" s="96">
        <f>IF($B62="","",DM_NHAN_SU!C62)</f>
        <v/>
      </c>
      <c r="D62" s="96">
        <f>IF($B62="","",DM_NHAN_SU!D62)</f>
        <v/>
      </c>
      <c r="E62" s="96">
        <f>IF($B62="","",DM_NHAN_SU!E62)</f>
        <v/>
      </c>
      <c r="F62" s="93" t="n"/>
      <c r="G62" s="93" t="n"/>
      <c r="H62" s="93" t="n"/>
      <c r="I62" s="93" t="n"/>
      <c r="J62" s="93" t="n"/>
      <c r="K62" s="93" t="n"/>
      <c r="L62" s="93" t="n"/>
      <c r="M62" s="93" t="n"/>
      <c r="N62" s="93" t="n"/>
      <c r="O62" s="93" t="n"/>
      <c r="P62" s="93" t="n"/>
      <c r="Q62" s="93" t="n"/>
      <c r="R62" s="93" t="n"/>
      <c r="S62" s="93" t="n"/>
      <c r="T62" s="93" t="n"/>
      <c r="U62" s="93" t="n"/>
      <c r="V62" s="93" t="n"/>
      <c r="W62" s="93" t="n"/>
      <c r="X62" s="93" t="n"/>
      <c r="Y62" s="93" t="n"/>
      <c r="Z62" s="93" t="n"/>
      <c r="AA62" s="93" t="n"/>
      <c r="AB62" s="93" t="n"/>
      <c r="AC62" s="93" t="n"/>
      <c r="AD62" s="93" t="n"/>
      <c r="AE62" s="93" t="n"/>
      <c r="AF62" s="93" t="n"/>
      <c r="AG62" s="93" t="n"/>
      <c r="AH62" s="93" t="n"/>
      <c r="AI62" s="93" t="n"/>
      <c r="AJ62" s="93" t="n"/>
      <c r="AK62" s="104">
        <f>IF($B62="","",SUMPRODUCT(COUNTIF($F62:$AJ62,KY_HIEU!$A$6:$A$45)*KY_HIEU!$C$6:$C$45))</f>
        <v/>
      </c>
      <c r="AL62" s="104">
        <f>IF($B62="","",SUMPRODUCT(COUNTIF($F62:$AJ62,KY_HIEU!$A$6:$A$45)*KY_HIEU!$D$6:$D$45))</f>
        <v/>
      </c>
      <c r="AM62" s="104">
        <f>IF($B62="","",SUMPRODUCT(COUNTIF($F62:$AJ62,KY_HIEU!$A$6:$A$45)*KY_HIEU!$E$6:$E$45))</f>
        <v/>
      </c>
      <c r="AN62" s="104">
        <f>IF($B62="","",SUMPRODUCT(COUNTIF($F62:$AJ62,KY_HIEU!$A$6:$A$45)*KY_HIEU!$F$6:$F$45))</f>
        <v/>
      </c>
      <c r="AO62" s="104">
        <f>IF($B62="","",SUMPRODUCT(COUNTIF($F62:$AJ62,KY_HIEU!$A$6:$A$45)*KY_HIEU!$G$6:$G$45))</f>
        <v/>
      </c>
      <c r="AP62" s="104">
        <f>IF($B62="","",SUMPRODUCT(COUNTIF($F62:$AJ62,KY_HIEU!$A$6:$A$45)*KY_HIEU!$H$6:$H$45))</f>
        <v/>
      </c>
      <c r="AQ62" s="104">
        <f>IF($B62="","",SUMPRODUCT(COUNTIF($F62:$AJ62,KY_HIEU!$A$6:$A$45)*KY_HIEU!$I$6:$I$45))</f>
        <v/>
      </c>
      <c r="AR62" s="105">
        <f>IF($B62="","",$AK62+$AL62+$AN62+$AO62+$AP62+$AQ62)</f>
        <v/>
      </c>
      <c r="AS62" s="105">
        <f>IF($B62="","",IF(DM_NHAN_SU!$I62&lt;&gt;"",DM_NHAN_SU!$I62,IF(THAM_SO_CC!$B$20="Nhập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62="",THAM_SO_CC!$B$8,DM_NHAN_SU!$F62))*(ROW(INDIRECT(THAM_SO_CC!$B$8&amp;":"&amp;THAM_SO_CC!$B$9))&lt;=IF(DM_NHAN_SU!$G62="",THAM_SO_CC!$B$9,DM_NHAN_SU!$G62))))))</f>
        <v/>
      </c>
      <c r="AT62" s="106">
        <f>IF($B62="","",$AR62-$AS62)</f>
        <v/>
      </c>
      <c r="AU62" s="96">
        <f>IF($B62="","",TRIM(IF(SUMPRODUCT(--($F62:$AJ62&lt;&gt;""))-SUMPRODUCT(COUNTIF($F62:$AJ62,KY_HIEU!$A$6:$A$45))&gt;0,"Ký hiệu lạ; ","")&amp;IF(ROUND($AT62,2)&lt;&gt;0,"Lệch ngày công "&amp;TEXT($AT62,"0.0")&amp;"; ","")&amp;IF(SUMPRODUCT(--($F62:$AJ62&lt;&gt;""),--((THAM_SO_CC!$B$8+COLUMN($F$1:$AJ$1)-6)&gt;THAM_SO_CC!$B$9))&gt;0,"Chấm ngoài kỳ; ","")&amp;IF(AND(DM_NHAN_SU!$F62&lt;&gt;"",SUMPRODUCT(--($F62:$AJ62&lt;&gt;""),--($F62:$AJ62&lt;&gt;"NV"),--($F62:$AJ62&lt;&gt;"NT"),--($F62:$AJ62&lt;&gt;"TN"),--((THAM_SO_CC!$B$8+COLUMN($F$1:$AJ$1)-6)&lt;DM_NHAN_SU!$F62))&gt;0),"Chấm trước ngày vào; ","")&amp;IF(AND(DM_NHAN_SU!$G62&lt;&gt;"",SUMPRODUCT(--($F62:$AJ62&lt;&gt;""),--($F62:$AJ62&lt;&gt;"NV"),--($F62:$AJ62&lt;&gt;"NT"),--($F62:$AJ62&lt;&gt;"TN"),--((THAM_SO_CC!$B$8+COLUMN($F$1:$AJ$1)-6)&gt;DM_NHAN_SU!$G62))&gt;0),"Chấm sau ngày nghỉ việc; ","")))</f>
        <v/>
      </c>
    </row>
    <row r="63" ht="15" customHeight="1" s="63">
      <c r="A63" s="85">
        <f>IF($B63="","",ROW()-5)</f>
        <v/>
      </c>
      <c r="B63" s="103">
        <f>IF(DM_NHAN_SU!B63="","",DM_NHAN_SU!B63)</f>
        <v/>
      </c>
      <c r="C63" s="96">
        <f>IF($B63="","",DM_NHAN_SU!C63)</f>
        <v/>
      </c>
      <c r="D63" s="96">
        <f>IF($B63="","",DM_NHAN_SU!D63)</f>
        <v/>
      </c>
      <c r="E63" s="96">
        <f>IF($B63="","",DM_NHAN_SU!E63)</f>
        <v/>
      </c>
      <c r="F63" s="93" t="n"/>
      <c r="G63" s="93" t="n"/>
      <c r="H63" s="93" t="n"/>
      <c r="I63" s="93" t="n"/>
      <c r="J63" s="93" t="n"/>
      <c r="K63" s="93" t="n"/>
      <c r="L63" s="93" t="n"/>
      <c r="M63" s="93" t="n"/>
      <c r="N63" s="93" t="n"/>
      <c r="O63" s="93" t="n"/>
      <c r="P63" s="93" t="n"/>
      <c r="Q63" s="93" t="n"/>
      <c r="R63" s="93" t="n"/>
      <c r="S63" s="93" t="n"/>
      <c r="T63" s="93" t="n"/>
      <c r="U63" s="93" t="n"/>
      <c r="V63" s="93" t="n"/>
      <c r="W63" s="93" t="n"/>
      <c r="X63" s="93" t="n"/>
      <c r="Y63" s="93" t="n"/>
      <c r="Z63" s="93" t="n"/>
      <c r="AA63" s="93" t="n"/>
      <c r="AB63" s="93" t="n"/>
      <c r="AC63" s="93" t="n"/>
      <c r="AD63" s="93" t="n"/>
      <c r="AE63" s="93" t="n"/>
      <c r="AF63" s="93" t="n"/>
      <c r="AG63" s="93" t="n"/>
      <c r="AH63" s="93" t="n"/>
      <c r="AI63" s="93" t="n"/>
      <c r="AJ63" s="93" t="n"/>
      <c r="AK63" s="104">
        <f>IF($B63="","",SUMPRODUCT(COUNTIF($F63:$AJ63,KY_HIEU!$A$6:$A$45)*KY_HIEU!$C$6:$C$45))</f>
        <v/>
      </c>
      <c r="AL63" s="104">
        <f>IF($B63="","",SUMPRODUCT(COUNTIF($F63:$AJ63,KY_HIEU!$A$6:$A$45)*KY_HIEU!$D$6:$D$45))</f>
        <v/>
      </c>
      <c r="AM63" s="104">
        <f>IF($B63="","",SUMPRODUCT(COUNTIF($F63:$AJ63,KY_HIEU!$A$6:$A$45)*KY_HIEU!$E$6:$E$45))</f>
        <v/>
      </c>
      <c r="AN63" s="104">
        <f>IF($B63="","",SUMPRODUCT(COUNTIF($F63:$AJ63,KY_HIEU!$A$6:$A$45)*KY_HIEU!$F$6:$F$45))</f>
        <v/>
      </c>
      <c r="AO63" s="104">
        <f>IF($B63="","",SUMPRODUCT(COUNTIF($F63:$AJ63,KY_HIEU!$A$6:$A$45)*KY_HIEU!$G$6:$G$45))</f>
        <v/>
      </c>
      <c r="AP63" s="104">
        <f>IF($B63="","",SUMPRODUCT(COUNTIF($F63:$AJ63,KY_HIEU!$A$6:$A$45)*KY_HIEU!$H$6:$H$45))</f>
        <v/>
      </c>
      <c r="AQ63" s="104">
        <f>IF($B63="","",SUMPRODUCT(COUNTIF($F63:$AJ63,KY_HIEU!$A$6:$A$45)*KY_HIEU!$I$6:$I$45))</f>
        <v/>
      </c>
      <c r="AR63" s="105">
        <f>IF($B63="","",$AK63+$AL63+$AN63+$AO63+$AP63+$AQ63)</f>
        <v/>
      </c>
      <c r="AS63" s="105">
        <f>IF($B63="","",IF(DM_NHAN_SU!$I63&lt;&gt;"",DM_NHAN_SU!$I63,IF(THAM_SO_CC!$B$20="Nhập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63="",THAM_SO_CC!$B$8,DM_NHAN_SU!$F63))*(ROW(INDIRECT(THAM_SO_CC!$B$8&amp;":"&amp;THAM_SO_CC!$B$9))&lt;=IF(DM_NHAN_SU!$G63="",THAM_SO_CC!$B$9,DM_NHAN_SU!$G63))))))</f>
        <v/>
      </c>
      <c r="AT63" s="106">
        <f>IF($B63="","",$AR63-$AS63)</f>
        <v/>
      </c>
      <c r="AU63" s="96">
        <f>IF($B63="","",TRIM(IF(SUMPRODUCT(--($F63:$AJ63&lt;&gt;""))-SUMPRODUCT(COUNTIF($F63:$AJ63,KY_HIEU!$A$6:$A$45))&gt;0,"Ký hiệu lạ; ","")&amp;IF(ROUND($AT63,2)&lt;&gt;0,"Lệch ngày công "&amp;TEXT($AT63,"0.0")&amp;"; ","")&amp;IF(SUMPRODUCT(--($F63:$AJ63&lt;&gt;""),--((THAM_SO_CC!$B$8+COLUMN($F$1:$AJ$1)-6)&gt;THAM_SO_CC!$B$9))&gt;0,"Chấm ngoài kỳ; ","")&amp;IF(AND(DM_NHAN_SU!$F63&lt;&gt;"",SUMPRODUCT(--($F63:$AJ63&lt;&gt;""),--($F63:$AJ63&lt;&gt;"NV"),--($F63:$AJ63&lt;&gt;"NT"),--($F63:$AJ63&lt;&gt;"TN"),--((THAM_SO_CC!$B$8+COLUMN($F$1:$AJ$1)-6)&lt;DM_NHAN_SU!$F63))&gt;0),"Chấm trước ngày vào; ","")&amp;IF(AND(DM_NHAN_SU!$G63&lt;&gt;"",SUMPRODUCT(--($F63:$AJ63&lt;&gt;""),--($F63:$AJ63&lt;&gt;"NV"),--($F63:$AJ63&lt;&gt;"NT"),--($F63:$AJ63&lt;&gt;"TN"),--((THAM_SO_CC!$B$8+COLUMN($F$1:$AJ$1)-6)&gt;DM_NHAN_SU!$G63))&gt;0),"Chấm sau ngày nghỉ việc; ","")))</f>
        <v/>
      </c>
    </row>
    <row r="64" ht="15" customHeight="1" s="63">
      <c r="A64" s="85">
        <f>IF($B64="","",ROW()-5)</f>
        <v/>
      </c>
      <c r="B64" s="103">
        <f>IF(DM_NHAN_SU!B64="","",DM_NHAN_SU!B64)</f>
        <v/>
      </c>
      <c r="C64" s="96">
        <f>IF($B64="","",DM_NHAN_SU!C64)</f>
        <v/>
      </c>
      <c r="D64" s="96">
        <f>IF($B64="","",DM_NHAN_SU!D64)</f>
        <v/>
      </c>
      <c r="E64" s="96">
        <f>IF($B64="","",DM_NHAN_SU!E64)</f>
        <v/>
      </c>
      <c r="F64" s="93" t="n"/>
      <c r="G64" s="93" t="n"/>
      <c r="H64" s="93" t="n"/>
      <c r="I64" s="93" t="n"/>
      <c r="J64" s="93" t="n"/>
      <c r="K64" s="93" t="n"/>
      <c r="L64" s="93" t="n"/>
      <c r="M64" s="93" t="n"/>
      <c r="N64" s="93" t="n"/>
      <c r="O64" s="93" t="n"/>
      <c r="P64" s="93" t="n"/>
      <c r="Q64" s="93" t="n"/>
      <c r="R64" s="93" t="n"/>
      <c r="S64" s="93" t="n"/>
      <c r="T64" s="93" t="n"/>
      <c r="U64" s="93" t="n"/>
      <c r="V64" s="93" t="n"/>
      <c r="W64" s="93" t="n"/>
      <c r="X64" s="93" t="n"/>
      <c r="Y64" s="93" t="n"/>
      <c r="Z64" s="93" t="n"/>
      <c r="AA64" s="93" t="n"/>
      <c r="AB64" s="93" t="n"/>
      <c r="AC64" s="93" t="n"/>
      <c r="AD64" s="93" t="n"/>
      <c r="AE64" s="93" t="n"/>
      <c r="AF64" s="93" t="n"/>
      <c r="AG64" s="93" t="n"/>
      <c r="AH64" s="93" t="n"/>
      <c r="AI64" s="93" t="n"/>
      <c r="AJ64" s="93" t="n"/>
      <c r="AK64" s="104">
        <f>IF($B64="","",SUMPRODUCT(COUNTIF($F64:$AJ64,KY_HIEU!$A$6:$A$45)*KY_HIEU!$C$6:$C$45))</f>
        <v/>
      </c>
      <c r="AL64" s="104">
        <f>IF($B64="","",SUMPRODUCT(COUNTIF($F64:$AJ64,KY_HIEU!$A$6:$A$45)*KY_HIEU!$D$6:$D$45))</f>
        <v/>
      </c>
      <c r="AM64" s="104">
        <f>IF($B64="","",SUMPRODUCT(COUNTIF($F64:$AJ64,KY_HIEU!$A$6:$A$45)*KY_HIEU!$E$6:$E$45))</f>
        <v/>
      </c>
      <c r="AN64" s="104">
        <f>IF($B64="","",SUMPRODUCT(COUNTIF($F64:$AJ64,KY_HIEU!$A$6:$A$45)*KY_HIEU!$F$6:$F$45))</f>
        <v/>
      </c>
      <c r="AO64" s="104">
        <f>IF($B64="","",SUMPRODUCT(COUNTIF($F64:$AJ64,KY_HIEU!$A$6:$A$45)*KY_HIEU!$G$6:$G$45))</f>
        <v/>
      </c>
      <c r="AP64" s="104">
        <f>IF($B64="","",SUMPRODUCT(COUNTIF($F64:$AJ64,KY_HIEU!$A$6:$A$45)*KY_HIEU!$H$6:$H$45))</f>
        <v/>
      </c>
      <c r="AQ64" s="104">
        <f>IF($B64="","",SUMPRODUCT(COUNTIF($F64:$AJ64,KY_HIEU!$A$6:$A$45)*KY_HIEU!$I$6:$I$45))</f>
        <v/>
      </c>
      <c r="AR64" s="105">
        <f>IF($B64="","",$AK64+$AL64+$AN64+$AO64+$AP64+$AQ64)</f>
        <v/>
      </c>
      <c r="AS64" s="105">
        <f>IF($B64="","",IF(DM_NHAN_SU!$I64&lt;&gt;"",DM_NHAN_SU!$I64,IF(THAM_SO_CC!$B$20="Nhập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64="",THAM_SO_CC!$B$8,DM_NHAN_SU!$F64))*(ROW(INDIRECT(THAM_SO_CC!$B$8&amp;":"&amp;THAM_SO_CC!$B$9))&lt;=IF(DM_NHAN_SU!$G64="",THAM_SO_CC!$B$9,DM_NHAN_SU!$G64))))))</f>
        <v/>
      </c>
      <c r="AT64" s="106">
        <f>IF($B64="","",$AR64-$AS64)</f>
        <v/>
      </c>
      <c r="AU64" s="96">
        <f>IF($B64="","",TRIM(IF(SUMPRODUCT(--($F64:$AJ64&lt;&gt;""))-SUMPRODUCT(COUNTIF($F64:$AJ64,KY_HIEU!$A$6:$A$45))&gt;0,"Ký hiệu lạ; ","")&amp;IF(ROUND($AT64,2)&lt;&gt;0,"Lệch ngày công "&amp;TEXT($AT64,"0.0")&amp;"; ","")&amp;IF(SUMPRODUCT(--($F64:$AJ64&lt;&gt;""),--((THAM_SO_CC!$B$8+COLUMN($F$1:$AJ$1)-6)&gt;THAM_SO_CC!$B$9))&gt;0,"Chấm ngoài kỳ; ","")&amp;IF(AND(DM_NHAN_SU!$F64&lt;&gt;"",SUMPRODUCT(--($F64:$AJ64&lt;&gt;""),--($F64:$AJ64&lt;&gt;"NV"),--($F64:$AJ64&lt;&gt;"NT"),--($F64:$AJ64&lt;&gt;"TN"),--((THAM_SO_CC!$B$8+COLUMN($F$1:$AJ$1)-6)&lt;DM_NHAN_SU!$F64))&gt;0),"Chấm trước ngày vào; ","")&amp;IF(AND(DM_NHAN_SU!$G64&lt;&gt;"",SUMPRODUCT(--($F64:$AJ64&lt;&gt;""),--($F64:$AJ64&lt;&gt;"NV"),--($F64:$AJ64&lt;&gt;"NT"),--($F64:$AJ64&lt;&gt;"TN"),--((THAM_SO_CC!$B$8+COLUMN($F$1:$AJ$1)-6)&gt;DM_NHAN_SU!$G64))&gt;0),"Chấm sau ngày nghỉ việc; ","")))</f>
        <v/>
      </c>
    </row>
    <row r="65" ht="15" customHeight="1" s="63">
      <c r="A65" s="85">
        <f>IF($B65="","",ROW()-5)</f>
        <v/>
      </c>
      <c r="B65" s="103">
        <f>IF(DM_NHAN_SU!B65="","",DM_NHAN_SU!B65)</f>
        <v/>
      </c>
      <c r="C65" s="96">
        <f>IF($B65="","",DM_NHAN_SU!C65)</f>
        <v/>
      </c>
      <c r="D65" s="96">
        <f>IF($B65="","",DM_NHAN_SU!D65)</f>
        <v/>
      </c>
      <c r="E65" s="96">
        <f>IF($B65="","",DM_NHAN_SU!E65)</f>
        <v/>
      </c>
      <c r="F65" s="93" t="n"/>
      <c r="G65" s="93" t="n"/>
      <c r="H65" s="93" t="n"/>
      <c r="I65" s="93" t="n"/>
      <c r="J65" s="93" t="n"/>
      <c r="K65" s="93" t="n"/>
      <c r="L65" s="93" t="n"/>
      <c r="M65" s="93" t="n"/>
      <c r="N65" s="93" t="n"/>
      <c r="O65" s="93" t="n"/>
      <c r="P65" s="93" t="n"/>
      <c r="Q65" s="93" t="n"/>
      <c r="R65" s="93" t="n"/>
      <c r="S65" s="93" t="n"/>
      <c r="T65" s="93" t="n"/>
      <c r="U65" s="93" t="n"/>
      <c r="V65" s="93" t="n"/>
      <c r="W65" s="93" t="n"/>
      <c r="X65" s="93" t="n"/>
      <c r="Y65" s="93" t="n"/>
      <c r="Z65" s="93" t="n"/>
      <c r="AA65" s="93" t="n"/>
      <c r="AB65" s="93" t="n"/>
      <c r="AC65" s="93" t="n"/>
      <c r="AD65" s="93" t="n"/>
      <c r="AE65" s="93" t="n"/>
      <c r="AF65" s="93" t="n"/>
      <c r="AG65" s="93" t="n"/>
      <c r="AH65" s="93" t="n"/>
      <c r="AI65" s="93" t="n"/>
      <c r="AJ65" s="93" t="n"/>
      <c r="AK65" s="104">
        <f>IF($B65="","",SUMPRODUCT(COUNTIF($F65:$AJ65,KY_HIEU!$A$6:$A$45)*KY_HIEU!$C$6:$C$45))</f>
        <v/>
      </c>
      <c r="AL65" s="104">
        <f>IF($B65="","",SUMPRODUCT(COUNTIF($F65:$AJ65,KY_HIEU!$A$6:$A$45)*KY_HIEU!$D$6:$D$45))</f>
        <v/>
      </c>
      <c r="AM65" s="104">
        <f>IF($B65="","",SUMPRODUCT(COUNTIF($F65:$AJ65,KY_HIEU!$A$6:$A$45)*KY_HIEU!$E$6:$E$45))</f>
        <v/>
      </c>
      <c r="AN65" s="104">
        <f>IF($B65="","",SUMPRODUCT(COUNTIF($F65:$AJ65,KY_HIEU!$A$6:$A$45)*KY_HIEU!$F$6:$F$45))</f>
        <v/>
      </c>
      <c r="AO65" s="104">
        <f>IF($B65="","",SUMPRODUCT(COUNTIF($F65:$AJ65,KY_HIEU!$A$6:$A$45)*KY_HIEU!$G$6:$G$45))</f>
        <v/>
      </c>
      <c r="AP65" s="104">
        <f>IF($B65="","",SUMPRODUCT(COUNTIF($F65:$AJ65,KY_HIEU!$A$6:$A$45)*KY_HIEU!$H$6:$H$45))</f>
        <v/>
      </c>
      <c r="AQ65" s="104">
        <f>IF($B65="","",SUMPRODUCT(COUNTIF($F65:$AJ65,KY_HIEU!$A$6:$A$45)*KY_HIEU!$I$6:$I$45))</f>
        <v/>
      </c>
      <c r="AR65" s="105">
        <f>IF($B65="","",$AK65+$AL65+$AN65+$AO65+$AP65+$AQ65)</f>
        <v/>
      </c>
      <c r="AS65" s="105">
        <f>IF($B65="","",IF(DM_NHAN_SU!$I65&lt;&gt;"",DM_NHAN_SU!$I65,IF(THAM_SO_CC!$B$20="Nhập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65="",THAM_SO_CC!$B$8,DM_NHAN_SU!$F65))*(ROW(INDIRECT(THAM_SO_CC!$B$8&amp;":"&amp;THAM_SO_CC!$B$9))&lt;=IF(DM_NHAN_SU!$G65="",THAM_SO_CC!$B$9,DM_NHAN_SU!$G65))))))</f>
        <v/>
      </c>
      <c r="AT65" s="106">
        <f>IF($B65="","",$AR65-$AS65)</f>
        <v/>
      </c>
      <c r="AU65" s="96">
        <f>IF($B65="","",TRIM(IF(SUMPRODUCT(--($F65:$AJ65&lt;&gt;""))-SUMPRODUCT(COUNTIF($F65:$AJ65,KY_HIEU!$A$6:$A$45))&gt;0,"Ký hiệu lạ; ","")&amp;IF(ROUND($AT65,2)&lt;&gt;0,"Lệch ngày công "&amp;TEXT($AT65,"0.0")&amp;"; ","")&amp;IF(SUMPRODUCT(--($F65:$AJ65&lt;&gt;""),--((THAM_SO_CC!$B$8+COLUMN($F$1:$AJ$1)-6)&gt;THAM_SO_CC!$B$9))&gt;0,"Chấm ngoài kỳ; ","")&amp;IF(AND(DM_NHAN_SU!$F65&lt;&gt;"",SUMPRODUCT(--($F65:$AJ65&lt;&gt;""),--($F65:$AJ65&lt;&gt;"NV"),--($F65:$AJ65&lt;&gt;"NT"),--($F65:$AJ65&lt;&gt;"TN"),--((THAM_SO_CC!$B$8+COLUMN($F$1:$AJ$1)-6)&lt;DM_NHAN_SU!$F65))&gt;0),"Chấm trước ngày vào; ","")&amp;IF(AND(DM_NHAN_SU!$G65&lt;&gt;"",SUMPRODUCT(--($F65:$AJ65&lt;&gt;""),--($F65:$AJ65&lt;&gt;"NV"),--($F65:$AJ65&lt;&gt;"NT"),--($F65:$AJ65&lt;&gt;"TN"),--((THAM_SO_CC!$B$8+COLUMN($F$1:$AJ$1)-6)&gt;DM_NHAN_SU!$G65))&gt;0),"Chấm sau ngày nghỉ việc; ","")))</f>
        <v/>
      </c>
    </row>
    <row r="66" ht="15" customHeight="1" s="63">
      <c r="A66" s="85">
        <f>IF($B66="","",ROW()-5)</f>
        <v/>
      </c>
      <c r="B66" s="103">
        <f>IF(DM_NHAN_SU!B66="","",DM_NHAN_SU!B66)</f>
        <v/>
      </c>
      <c r="C66" s="96">
        <f>IF($B66="","",DM_NHAN_SU!C66)</f>
        <v/>
      </c>
      <c r="D66" s="96">
        <f>IF($B66="","",DM_NHAN_SU!D66)</f>
        <v/>
      </c>
      <c r="E66" s="96">
        <f>IF($B66="","",DM_NHAN_SU!E66)</f>
        <v/>
      </c>
      <c r="F66" s="93" t="n"/>
      <c r="G66" s="93" t="n"/>
      <c r="H66" s="93" t="n"/>
      <c r="I66" s="93" t="n"/>
      <c r="J66" s="93" t="n"/>
      <c r="K66" s="93" t="n"/>
      <c r="L66" s="93" t="n"/>
      <c r="M66" s="93" t="n"/>
      <c r="N66" s="93" t="n"/>
      <c r="O66" s="93" t="n"/>
      <c r="P66" s="93" t="n"/>
      <c r="Q66" s="93" t="n"/>
      <c r="R66" s="93" t="n"/>
      <c r="S66" s="93" t="n"/>
      <c r="T66" s="93" t="n"/>
      <c r="U66" s="93" t="n"/>
      <c r="V66" s="93" t="n"/>
      <c r="W66" s="93" t="n"/>
      <c r="X66" s="93" t="n"/>
      <c r="Y66" s="93" t="n"/>
      <c r="Z66" s="93" t="n"/>
      <c r="AA66" s="93" t="n"/>
      <c r="AB66" s="93" t="n"/>
      <c r="AC66" s="93" t="n"/>
      <c r="AD66" s="93" t="n"/>
      <c r="AE66" s="93" t="n"/>
      <c r="AF66" s="93" t="n"/>
      <c r="AG66" s="93" t="n"/>
      <c r="AH66" s="93" t="n"/>
      <c r="AI66" s="93" t="n"/>
      <c r="AJ66" s="93" t="n"/>
      <c r="AK66" s="104">
        <f>IF($B66="","",SUMPRODUCT(COUNTIF($F66:$AJ66,KY_HIEU!$A$6:$A$45)*KY_HIEU!$C$6:$C$45))</f>
        <v/>
      </c>
      <c r="AL66" s="104">
        <f>IF($B66="","",SUMPRODUCT(COUNTIF($F66:$AJ66,KY_HIEU!$A$6:$A$45)*KY_HIEU!$D$6:$D$45))</f>
        <v/>
      </c>
      <c r="AM66" s="104">
        <f>IF($B66="","",SUMPRODUCT(COUNTIF($F66:$AJ66,KY_HIEU!$A$6:$A$45)*KY_HIEU!$E$6:$E$45))</f>
        <v/>
      </c>
      <c r="AN66" s="104">
        <f>IF($B66="","",SUMPRODUCT(COUNTIF($F66:$AJ66,KY_HIEU!$A$6:$A$45)*KY_HIEU!$F$6:$F$45))</f>
        <v/>
      </c>
      <c r="AO66" s="104">
        <f>IF($B66="","",SUMPRODUCT(COUNTIF($F66:$AJ66,KY_HIEU!$A$6:$A$45)*KY_HIEU!$G$6:$G$45))</f>
        <v/>
      </c>
      <c r="AP66" s="104">
        <f>IF($B66="","",SUMPRODUCT(COUNTIF($F66:$AJ66,KY_HIEU!$A$6:$A$45)*KY_HIEU!$H$6:$H$45))</f>
        <v/>
      </c>
      <c r="AQ66" s="104">
        <f>IF($B66="","",SUMPRODUCT(COUNTIF($F66:$AJ66,KY_HIEU!$A$6:$A$45)*KY_HIEU!$I$6:$I$45))</f>
        <v/>
      </c>
      <c r="AR66" s="105">
        <f>IF($B66="","",$AK66+$AL66+$AN66+$AO66+$AP66+$AQ66)</f>
        <v/>
      </c>
      <c r="AS66" s="105">
        <f>IF($B66="","",IF(DM_NHAN_SU!$I66&lt;&gt;"",DM_NHAN_SU!$I66,IF(THAM_SO_CC!$B$20="Nhập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66="",THAM_SO_CC!$B$8,DM_NHAN_SU!$F66))*(ROW(INDIRECT(THAM_SO_CC!$B$8&amp;":"&amp;THAM_SO_CC!$B$9))&lt;=IF(DM_NHAN_SU!$G66="",THAM_SO_CC!$B$9,DM_NHAN_SU!$G66))))))</f>
        <v/>
      </c>
      <c r="AT66" s="106">
        <f>IF($B66="","",$AR66-$AS66)</f>
        <v/>
      </c>
      <c r="AU66" s="96">
        <f>IF($B66="","",TRIM(IF(SUMPRODUCT(--($F66:$AJ66&lt;&gt;""))-SUMPRODUCT(COUNTIF($F66:$AJ66,KY_HIEU!$A$6:$A$45))&gt;0,"Ký hiệu lạ; ","")&amp;IF(ROUND($AT66,2)&lt;&gt;0,"Lệch ngày công "&amp;TEXT($AT66,"0.0")&amp;"; ","")&amp;IF(SUMPRODUCT(--($F66:$AJ66&lt;&gt;""),--((THAM_SO_CC!$B$8+COLUMN($F$1:$AJ$1)-6)&gt;THAM_SO_CC!$B$9))&gt;0,"Chấm ngoài kỳ; ","")&amp;IF(AND(DM_NHAN_SU!$F66&lt;&gt;"",SUMPRODUCT(--($F66:$AJ66&lt;&gt;""),--($F66:$AJ66&lt;&gt;"NV"),--($F66:$AJ66&lt;&gt;"NT"),--($F66:$AJ66&lt;&gt;"TN"),--((THAM_SO_CC!$B$8+COLUMN($F$1:$AJ$1)-6)&lt;DM_NHAN_SU!$F66))&gt;0),"Chấm trước ngày vào; ","")&amp;IF(AND(DM_NHAN_SU!$G66&lt;&gt;"",SUMPRODUCT(--($F66:$AJ66&lt;&gt;""),--($F66:$AJ66&lt;&gt;"NV"),--($F66:$AJ66&lt;&gt;"NT"),--($F66:$AJ66&lt;&gt;"TN"),--((THAM_SO_CC!$B$8+COLUMN($F$1:$AJ$1)-6)&gt;DM_NHAN_SU!$G66))&gt;0),"Chấm sau ngày nghỉ việc; ","")))</f>
        <v/>
      </c>
    </row>
    <row r="67" ht="15" customHeight="1" s="63">
      <c r="A67" s="85">
        <f>IF($B67="","",ROW()-5)</f>
        <v/>
      </c>
      <c r="B67" s="103">
        <f>IF(DM_NHAN_SU!B67="","",DM_NHAN_SU!B67)</f>
        <v/>
      </c>
      <c r="C67" s="96">
        <f>IF($B67="","",DM_NHAN_SU!C67)</f>
        <v/>
      </c>
      <c r="D67" s="96">
        <f>IF($B67="","",DM_NHAN_SU!D67)</f>
        <v/>
      </c>
      <c r="E67" s="96">
        <f>IF($B67="","",DM_NHAN_SU!E67)</f>
        <v/>
      </c>
      <c r="F67" s="93" t="n"/>
      <c r="G67" s="93" t="n"/>
      <c r="H67" s="93" t="n"/>
      <c r="I67" s="93" t="n"/>
      <c r="J67" s="93" t="n"/>
      <c r="K67" s="93" t="n"/>
      <c r="L67" s="93" t="n"/>
      <c r="M67" s="93" t="n"/>
      <c r="N67" s="93" t="n"/>
      <c r="O67" s="93" t="n"/>
      <c r="P67" s="93" t="n"/>
      <c r="Q67" s="93" t="n"/>
      <c r="R67" s="93" t="n"/>
      <c r="S67" s="93" t="n"/>
      <c r="T67" s="93" t="n"/>
      <c r="U67" s="93" t="n"/>
      <c r="V67" s="93" t="n"/>
      <c r="W67" s="93" t="n"/>
      <c r="X67" s="93" t="n"/>
      <c r="Y67" s="93" t="n"/>
      <c r="Z67" s="93" t="n"/>
      <c r="AA67" s="93" t="n"/>
      <c r="AB67" s="93" t="n"/>
      <c r="AC67" s="93" t="n"/>
      <c r="AD67" s="93" t="n"/>
      <c r="AE67" s="93" t="n"/>
      <c r="AF67" s="93" t="n"/>
      <c r="AG67" s="93" t="n"/>
      <c r="AH67" s="93" t="n"/>
      <c r="AI67" s="93" t="n"/>
      <c r="AJ67" s="93" t="n"/>
      <c r="AK67" s="104">
        <f>IF($B67="","",SUMPRODUCT(COUNTIF($F67:$AJ67,KY_HIEU!$A$6:$A$45)*KY_HIEU!$C$6:$C$45))</f>
        <v/>
      </c>
      <c r="AL67" s="104">
        <f>IF($B67="","",SUMPRODUCT(COUNTIF($F67:$AJ67,KY_HIEU!$A$6:$A$45)*KY_HIEU!$D$6:$D$45))</f>
        <v/>
      </c>
      <c r="AM67" s="104">
        <f>IF($B67="","",SUMPRODUCT(COUNTIF($F67:$AJ67,KY_HIEU!$A$6:$A$45)*KY_HIEU!$E$6:$E$45))</f>
        <v/>
      </c>
      <c r="AN67" s="104">
        <f>IF($B67="","",SUMPRODUCT(COUNTIF($F67:$AJ67,KY_HIEU!$A$6:$A$45)*KY_HIEU!$F$6:$F$45))</f>
        <v/>
      </c>
      <c r="AO67" s="104">
        <f>IF($B67="","",SUMPRODUCT(COUNTIF($F67:$AJ67,KY_HIEU!$A$6:$A$45)*KY_HIEU!$G$6:$G$45))</f>
        <v/>
      </c>
      <c r="AP67" s="104">
        <f>IF($B67="","",SUMPRODUCT(COUNTIF($F67:$AJ67,KY_HIEU!$A$6:$A$45)*KY_HIEU!$H$6:$H$45))</f>
        <v/>
      </c>
      <c r="AQ67" s="104">
        <f>IF($B67="","",SUMPRODUCT(COUNTIF($F67:$AJ67,KY_HIEU!$A$6:$A$45)*KY_HIEU!$I$6:$I$45))</f>
        <v/>
      </c>
      <c r="AR67" s="105">
        <f>IF($B67="","",$AK67+$AL67+$AN67+$AO67+$AP67+$AQ67)</f>
        <v/>
      </c>
      <c r="AS67" s="105">
        <f>IF($B67="","",IF(DM_NHAN_SU!$I67&lt;&gt;"",DM_NHAN_SU!$I67,IF(THAM_SO_CC!$B$20="Nhập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67="",THAM_SO_CC!$B$8,DM_NHAN_SU!$F67))*(ROW(INDIRECT(THAM_SO_CC!$B$8&amp;":"&amp;THAM_SO_CC!$B$9))&lt;=IF(DM_NHAN_SU!$G67="",THAM_SO_CC!$B$9,DM_NHAN_SU!$G67))))))</f>
        <v/>
      </c>
      <c r="AT67" s="106">
        <f>IF($B67="","",$AR67-$AS67)</f>
        <v/>
      </c>
      <c r="AU67" s="96">
        <f>IF($B67="","",TRIM(IF(SUMPRODUCT(--($F67:$AJ67&lt;&gt;""))-SUMPRODUCT(COUNTIF($F67:$AJ67,KY_HIEU!$A$6:$A$45))&gt;0,"Ký hiệu lạ; ","")&amp;IF(ROUND($AT67,2)&lt;&gt;0,"Lệch ngày công "&amp;TEXT($AT67,"0.0")&amp;"; ","")&amp;IF(SUMPRODUCT(--($F67:$AJ67&lt;&gt;""),--((THAM_SO_CC!$B$8+COLUMN($F$1:$AJ$1)-6)&gt;THAM_SO_CC!$B$9))&gt;0,"Chấm ngoài kỳ; ","")&amp;IF(AND(DM_NHAN_SU!$F67&lt;&gt;"",SUMPRODUCT(--($F67:$AJ67&lt;&gt;""),--($F67:$AJ67&lt;&gt;"NV"),--($F67:$AJ67&lt;&gt;"NT"),--($F67:$AJ67&lt;&gt;"TN"),--((THAM_SO_CC!$B$8+COLUMN($F$1:$AJ$1)-6)&lt;DM_NHAN_SU!$F67))&gt;0),"Chấm trước ngày vào; ","")&amp;IF(AND(DM_NHAN_SU!$G67&lt;&gt;"",SUMPRODUCT(--($F67:$AJ67&lt;&gt;""),--($F67:$AJ67&lt;&gt;"NV"),--($F67:$AJ67&lt;&gt;"NT"),--($F67:$AJ67&lt;&gt;"TN"),--((THAM_SO_CC!$B$8+COLUMN($F$1:$AJ$1)-6)&gt;DM_NHAN_SU!$G67))&gt;0),"Chấm sau ngày nghỉ việc; ","")))</f>
        <v/>
      </c>
    </row>
    <row r="68" ht="15" customHeight="1" s="63">
      <c r="A68" s="85">
        <f>IF($B68="","",ROW()-5)</f>
        <v/>
      </c>
      <c r="B68" s="103">
        <f>IF(DM_NHAN_SU!B68="","",DM_NHAN_SU!B68)</f>
        <v/>
      </c>
      <c r="C68" s="96">
        <f>IF($B68="","",DM_NHAN_SU!C68)</f>
        <v/>
      </c>
      <c r="D68" s="96">
        <f>IF($B68="","",DM_NHAN_SU!D68)</f>
        <v/>
      </c>
      <c r="E68" s="96">
        <f>IF($B68="","",DM_NHAN_SU!E68)</f>
        <v/>
      </c>
      <c r="F68" s="93" t="n"/>
      <c r="G68" s="93" t="n"/>
      <c r="H68" s="93" t="n"/>
      <c r="I68" s="93" t="n"/>
      <c r="J68" s="93" t="n"/>
      <c r="K68" s="93" t="n"/>
      <c r="L68" s="93" t="n"/>
      <c r="M68" s="93" t="n"/>
      <c r="N68" s="93" t="n"/>
      <c r="O68" s="93" t="n"/>
      <c r="P68" s="93" t="n"/>
      <c r="Q68" s="93" t="n"/>
      <c r="R68" s="93" t="n"/>
      <c r="S68" s="93" t="n"/>
      <c r="T68" s="93" t="n"/>
      <c r="U68" s="93" t="n"/>
      <c r="V68" s="93" t="n"/>
      <c r="W68" s="93" t="n"/>
      <c r="X68" s="93" t="n"/>
      <c r="Y68" s="93" t="n"/>
      <c r="Z68" s="93" t="n"/>
      <c r="AA68" s="93" t="n"/>
      <c r="AB68" s="93" t="n"/>
      <c r="AC68" s="93" t="n"/>
      <c r="AD68" s="93" t="n"/>
      <c r="AE68" s="93" t="n"/>
      <c r="AF68" s="93" t="n"/>
      <c r="AG68" s="93" t="n"/>
      <c r="AH68" s="93" t="n"/>
      <c r="AI68" s="93" t="n"/>
      <c r="AJ68" s="93" t="n"/>
      <c r="AK68" s="104">
        <f>IF($B68="","",SUMPRODUCT(COUNTIF($F68:$AJ68,KY_HIEU!$A$6:$A$45)*KY_HIEU!$C$6:$C$45))</f>
        <v/>
      </c>
      <c r="AL68" s="104">
        <f>IF($B68="","",SUMPRODUCT(COUNTIF($F68:$AJ68,KY_HIEU!$A$6:$A$45)*KY_HIEU!$D$6:$D$45))</f>
        <v/>
      </c>
      <c r="AM68" s="104">
        <f>IF($B68="","",SUMPRODUCT(COUNTIF($F68:$AJ68,KY_HIEU!$A$6:$A$45)*KY_HIEU!$E$6:$E$45))</f>
        <v/>
      </c>
      <c r="AN68" s="104">
        <f>IF($B68="","",SUMPRODUCT(COUNTIF($F68:$AJ68,KY_HIEU!$A$6:$A$45)*KY_HIEU!$F$6:$F$45))</f>
        <v/>
      </c>
      <c r="AO68" s="104">
        <f>IF($B68="","",SUMPRODUCT(COUNTIF($F68:$AJ68,KY_HIEU!$A$6:$A$45)*KY_HIEU!$G$6:$G$45))</f>
        <v/>
      </c>
      <c r="AP68" s="104">
        <f>IF($B68="","",SUMPRODUCT(COUNTIF($F68:$AJ68,KY_HIEU!$A$6:$A$45)*KY_HIEU!$H$6:$H$45))</f>
        <v/>
      </c>
      <c r="AQ68" s="104">
        <f>IF($B68="","",SUMPRODUCT(COUNTIF($F68:$AJ68,KY_HIEU!$A$6:$A$45)*KY_HIEU!$I$6:$I$45))</f>
        <v/>
      </c>
      <c r="AR68" s="105">
        <f>IF($B68="","",$AK68+$AL68+$AN68+$AO68+$AP68+$AQ68)</f>
        <v/>
      </c>
      <c r="AS68" s="105">
        <f>IF($B68="","",IF(DM_NHAN_SU!$I68&lt;&gt;"",DM_NHAN_SU!$I68,IF(THAM_SO_CC!$B$20="Nhập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68="",THAM_SO_CC!$B$8,DM_NHAN_SU!$F68))*(ROW(INDIRECT(THAM_SO_CC!$B$8&amp;":"&amp;THAM_SO_CC!$B$9))&lt;=IF(DM_NHAN_SU!$G68="",THAM_SO_CC!$B$9,DM_NHAN_SU!$G68))))))</f>
        <v/>
      </c>
      <c r="AT68" s="106">
        <f>IF($B68="","",$AR68-$AS68)</f>
        <v/>
      </c>
      <c r="AU68" s="96">
        <f>IF($B68="","",TRIM(IF(SUMPRODUCT(--($F68:$AJ68&lt;&gt;""))-SUMPRODUCT(COUNTIF($F68:$AJ68,KY_HIEU!$A$6:$A$45))&gt;0,"Ký hiệu lạ; ","")&amp;IF(ROUND($AT68,2)&lt;&gt;0,"Lệch ngày công "&amp;TEXT($AT68,"0.0")&amp;"; ","")&amp;IF(SUMPRODUCT(--($F68:$AJ68&lt;&gt;""),--((THAM_SO_CC!$B$8+COLUMN($F$1:$AJ$1)-6)&gt;THAM_SO_CC!$B$9))&gt;0,"Chấm ngoài kỳ; ","")&amp;IF(AND(DM_NHAN_SU!$F68&lt;&gt;"",SUMPRODUCT(--($F68:$AJ68&lt;&gt;""),--($F68:$AJ68&lt;&gt;"NV"),--($F68:$AJ68&lt;&gt;"NT"),--($F68:$AJ68&lt;&gt;"TN"),--((THAM_SO_CC!$B$8+COLUMN($F$1:$AJ$1)-6)&lt;DM_NHAN_SU!$F68))&gt;0),"Chấm trước ngày vào; ","")&amp;IF(AND(DM_NHAN_SU!$G68&lt;&gt;"",SUMPRODUCT(--($F68:$AJ68&lt;&gt;""),--($F68:$AJ68&lt;&gt;"NV"),--($F68:$AJ68&lt;&gt;"NT"),--($F68:$AJ68&lt;&gt;"TN"),--((THAM_SO_CC!$B$8+COLUMN($F$1:$AJ$1)-6)&gt;DM_NHAN_SU!$G68))&gt;0),"Chấm sau ngày nghỉ việc; ","")))</f>
        <v/>
      </c>
    </row>
    <row r="69" ht="15" customHeight="1" s="63">
      <c r="A69" s="85">
        <f>IF($B69="","",ROW()-5)</f>
        <v/>
      </c>
      <c r="B69" s="103">
        <f>IF(DM_NHAN_SU!B69="","",DM_NHAN_SU!B69)</f>
        <v/>
      </c>
      <c r="C69" s="96">
        <f>IF($B69="","",DM_NHAN_SU!C69)</f>
        <v/>
      </c>
      <c r="D69" s="96">
        <f>IF($B69="","",DM_NHAN_SU!D69)</f>
        <v/>
      </c>
      <c r="E69" s="96">
        <f>IF($B69="","",DM_NHAN_SU!E69)</f>
        <v/>
      </c>
      <c r="F69" s="93" t="n"/>
      <c r="G69" s="93" t="n"/>
      <c r="H69" s="93" t="n"/>
      <c r="I69" s="93" t="n"/>
      <c r="J69" s="93" t="n"/>
      <c r="K69" s="93" t="n"/>
      <c r="L69" s="93" t="n"/>
      <c r="M69" s="93" t="n"/>
      <c r="N69" s="93" t="n"/>
      <c r="O69" s="93" t="n"/>
      <c r="P69" s="93" t="n"/>
      <c r="Q69" s="93" t="n"/>
      <c r="R69" s="93" t="n"/>
      <c r="S69" s="93" t="n"/>
      <c r="T69" s="93" t="n"/>
      <c r="U69" s="93" t="n"/>
      <c r="V69" s="93" t="n"/>
      <c r="W69" s="93" t="n"/>
      <c r="X69" s="93" t="n"/>
      <c r="Y69" s="93" t="n"/>
      <c r="Z69" s="93" t="n"/>
      <c r="AA69" s="93" t="n"/>
      <c r="AB69" s="93" t="n"/>
      <c r="AC69" s="93" t="n"/>
      <c r="AD69" s="93" t="n"/>
      <c r="AE69" s="93" t="n"/>
      <c r="AF69" s="93" t="n"/>
      <c r="AG69" s="93" t="n"/>
      <c r="AH69" s="93" t="n"/>
      <c r="AI69" s="93" t="n"/>
      <c r="AJ69" s="93" t="n"/>
      <c r="AK69" s="104">
        <f>IF($B69="","",SUMPRODUCT(COUNTIF($F69:$AJ69,KY_HIEU!$A$6:$A$45)*KY_HIEU!$C$6:$C$45))</f>
        <v/>
      </c>
      <c r="AL69" s="104">
        <f>IF($B69="","",SUMPRODUCT(COUNTIF($F69:$AJ69,KY_HIEU!$A$6:$A$45)*KY_HIEU!$D$6:$D$45))</f>
        <v/>
      </c>
      <c r="AM69" s="104">
        <f>IF($B69="","",SUMPRODUCT(COUNTIF($F69:$AJ69,KY_HIEU!$A$6:$A$45)*KY_HIEU!$E$6:$E$45))</f>
        <v/>
      </c>
      <c r="AN69" s="104">
        <f>IF($B69="","",SUMPRODUCT(COUNTIF($F69:$AJ69,KY_HIEU!$A$6:$A$45)*KY_HIEU!$F$6:$F$45))</f>
        <v/>
      </c>
      <c r="AO69" s="104">
        <f>IF($B69="","",SUMPRODUCT(COUNTIF($F69:$AJ69,KY_HIEU!$A$6:$A$45)*KY_HIEU!$G$6:$G$45))</f>
        <v/>
      </c>
      <c r="AP69" s="104">
        <f>IF($B69="","",SUMPRODUCT(COUNTIF($F69:$AJ69,KY_HIEU!$A$6:$A$45)*KY_HIEU!$H$6:$H$45))</f>
        <v/>
      </c>
      <c r="AQ69" s="104">
        <f>IF($B69="","",SUMPRODUCT(COUNTIF($F69:$AJ69,KY_HIEU!$A$6:$A$45)*KY_HIEU!$I$6:$I$45))</f>
        <v/>
      </c>
      <c r="AR69" s="105">
        <f>IF($B69="","",$AK69+$AL69+$AN69+$AO69+$AP69+$AQ69)</f>
        <v/>
      </c>
      <c r="AS69" s="105">
        <f>IF($B69="","",IF(DM_NHAN_SU!$I69&lt;&gt;"",DM_NHAN_SU!$I69,IF(THAM_SO_CC!$B$20="Nhập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69="",THAM_SO_CC!$B$8,DM_NHAN_SU!$F69))*(ROW(INDIRECT(THAM_SO_CC!$B$8&amp;":"&amp;THAM_SO_CC!$B$9))&lt;=IF(DM_NHAN_SU!$G69="",THAM_SO_CC!$B$9,DM_NHAN_SU!$G69))))))</f>
        <v/>
      </c>
      <c r="AT69" s="106">
        <f>IF($B69="","",$AR69-$AS69)</f>
        <v/>
      </c>
      <c r="AU69" s="96">
        <f>IF($B69="","",TRIM(IF(SUMPRODUCT(--($F69:$AJ69&lt;&gt;""))-SUMPRODUCT(COUNTIF($F69:$AJ69,KY_HIEU!$A$6:$A$45))&gt;0,"Ký hiệu lạ; ","")&amp;IF(ROUND($AT69,2)&lt;&gt;0,"Lệch ngày công "&amp;TEXT($AT69,"0.0")&amp;"; ","")&amp;IF(SUMPRODUCT(--($F69:$AJ69&lt;&gt;""),--((THAM_SO_CC!$B$8+COLUMN($F$1:$AJ$1)-6)&gt;THAM_SO_CC!$B$9))&gt;0,"Chấm ngoài kỳ; ","")&amp;IF(AND(DM_NHAN_SU!$F69&lt;&gt;"",SUMPRODUCT(--($F69:$AJ69&lt;&gt;""),--($F69:$AJ69&lt;&gt;"NV"),--($F69:$AJ69&lt;&gt;"NT"),--($F69:$AJ69&lt;&gt;"TN"),--((THAM_SO_CC!$B$8+COLUMN($F$1:$AJ$1)-6)&lt;DM_NHAN_SU!$F69))&gt;0),"Chấm trước ngày vào; ","")&amp;IF(AND(DM_NHAN_SU!$G69&lt;&gt;"",SUMPRODUCT(--($F69:$AJ69&lt;&gt;""),--($F69:$AJ69&lt;&gt;"NV"),--($F69:$AJ69&lt;&gt;"NT"),--($F69:$AJ69&lt;&gt;"TN"),--((THAM_SO_CC!$B$8+COLUMN($F$1:$AJ$1)-6)&gt;DM_NHAN_SU!$G69))&gt;0),"Chấm sau ngày nghỉ việc; ","")))</f>
        <v/>
      </c>
    </row>
    <row r="70" ht="15" customHeight="1" s="63">
      <c r="A70" s="85">
        <f>IF($B70="","",ROW()-5)</f>
        <v/>
      </c>
      <c r="B70" s="103">
        <f>IF(DM_NHAN_SU!B70="","",DM_NHAN_SU!B70)</f>
        <v/>
      </c>
      <c r="C70" s="96">
        <f>IF($B70="","",DM_NHAN_SU!C70)</f>
        <v/>
      </c>
      <c r="D70" s="96">
        <f>IF($B70="","",DM_NHAN_SU!D70)</f>
        <v/>
      </c>
      <c r="E70" s="96">
        <f>IF($B70="","",DM_NHAN_SU!E70)</f>
        <v/>
      </c>
      <c r="F70" s="93" t="n"/>
      <c r="G70" s="93" t="n"/>
      <c r="H70" s="93" t="n"/>
      <c r="I70" s="93" t="n"/>
      <c r="J70" s="93" t="n"/>
      <c r="K70" s="93" t="n"/>
      <c r="L70" s="93" t="n"/>
      <c r="M70" s="93" t="n"/>
      <c r="N70" s="93" t="n"/>
      <c r="O70" s="93" t="n"/>
      <c r="P70" s="93" t="n"/>
      <c r="Q70" s="93" t="n"/>
      <c r="R70" s="93" t="n"/>
      <c r="S70" s="93" t="n"/>
      <c r="T70" s="93" t="n"/>
      <c r="U70" s="93" t="n"/>
      <c r="V70" s="93" t="n"/>
      <c r="W70" s="93" t="n"/>
      <c r="X70" s="93" t="n"/>
      <c r="Y70" s="93" t="n"/>
      <c r="Z70" s="93" t="n"/>
      <c r="AA70" s="93" t="n"/>
      <c r="AB70" s="93" t="n"/>
      <c r="AC70" s="93" t="n"/>
      <c r="AD70" s="93" t="n"/>
      <c r="AE70" s="93" t="n"/>
      <c r="AF70" s="93" t="n"/>
      <c r="AG70" s="93" t="n"/>
      <c r="AH70" s="93" t="n"/>
      <c r="AI70" s="93" t="n"/>
      <c r="AJ70" s="93" t="n"/>
      <c r="AK70" s="104">
        <f>IF($B70="","",SUMPRODUCT(COUNTIF($F70:$AJ70,KY_HIEU!$A$6:$A$45)*KY_HIEU!$C$6:$C$45))</f>
        <v/>
      </c>
      <c r="AL70" s="104">
        <f>IF($B70="","",SUMPRODUCT(COUNTIF($F70:$AJ70,KY_HIEU!$A$6:$A$45)*KY_HIEU!$D$6:$D$45))</f>
        <v/>
      </c>
      <c r="AM70" s="104">
        <f>IF($B70="","",SUMPRODUCT(COUNTIF($F70:$AJ70,KY_HIEU!$A$6:$A$45)*KY_HIEU!$E$6:$E$45))</f>
        <v/>
      </c>
      <c r="AN70" s="104">
        <f>IF($B70="","",SUMPRODUCT(COUNTIF($F70:$AJ70,KY_HIEU!$A$6:$A$45)*KY_HIEU!$F$6:$F$45))</f>
        <v/>
      </c>
      <c r="AO70" s="104">
        <f>IF($B70="","",SUMPRODUCT(COUNTIF($F70:$AJ70,KY_HIEU!$A$6:$A$45)*KY_HIEU!$G$6:$G$45))</f>
        <v/>
      </c>
      <c r="AP70" s="104">
        <f>IF($B70="","",SUMPRODUCT(COUNTIF($F70:$AJ70,KY_HIEU!$A$6:$A$45)*KY_HIEU!$H$6:$H$45))</f>
        <v/>
      </c>
      <c r="AQ70" s="104">
        <f>IF($B70="","",SUMPRODUCT(COUNTIF($F70:$AJ70,KY_HIEU!$A$6:$A$45)*KY_HIEU!$I$6:$I$45))</f>
        <v/>
      </c>
      <c r="AR70" s="105">
        <f>IF($B70="","",$AK70+$AL70+$AN70+$AO70+$AP70+$AQ70)</f>
        <v/>
      </c>
      <c r="AS70" s="105">
        <f>IF($B70="","",IF(DM_NHAN_SU!$I70&lt;&gt;"",DM_NHAN_SU!$I70,IF(THAM_SO_CC!$B$20="Nhập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70="",THAM_SO_CC!$B$8,DM_NHAN_SU!$F70))*(ROW(INDIRECT(THAM_SO_CC!$B$8&amp;":"&amp;THAM_SO_CC!$B$9))&lt;=IF(DM_NHAN_SU!$G70="",THAM_SO_CC!$B$9,DM_NHAN_SU!$G70))))))</f>
        <v/>
      </c>
      <c r="AT70" s="106">
        <f>IF($B70="","",$AR70-$AS70)</f>
        <v/>
      </c>
      <c r="AU70" s="96">
        <f>IF($B70="","",TRIM(IF(SUMPRODUCT(--($F70:$AJ70&lt;&gt;""))-SUMPRODUCT(COUNTIF($F70:$AJ70,KY_HIEU!$A$6:$A$45))&gt;0,"Ký hiệu lạ; ","")&amp;IF(ROUND($AT70,2)&lt;&gt;0,"Lệch ngày công "&amp;TEXT($AT70,"0.0")&amp;"; ","")&amp;IF(SUMPRODUCT(--($F70:$AJ70&lt;&gt;""),--((THAM_SO_CC!$B$8+COLUMN($F$1:$AJ$1)-6)&gt;THAM_SO_CC!$B$9))&gt;0,"Chấm ngoài kỳ; ","")&amp;IF(AND(DM_NHAN_SU!$F70&lt;&gt;"",SUMPRODUCT(--($F70:$AJ70&lt;&gt;""),--($F70:$AJ70&lt;&gt;"NV"),--($F70:$AJ70&lt;&gt;"NT"),--($F70:$AJ70&lt;&gt;"TN"),--((THAM_SO_CC!$B$8+COLUMN($F$1:$AJ$1)-6)&lt;DM_NHAN_SU!$F70))&gt;0),"Chấm trước ngày vào; ","")&amp;IF(AND(DM_NHAN_SU!$G70&lt;&gt;"",SUMPRODUCT(--($F70:$AJ70&lt;&gt;""),--($F70:$AJ70&lt;&gt;"NV"),--($F70:$AJ70&lt;&gt;"NT"),--($F70:$AJ70&lt;&gt;"TN"),--((THAM_SO_CC!$B$8+COLUMN($F$1:$AJ$1)-6)&gt;DM_NHAN_SU!$G70))&gt;0),"Chấm sau ngày nghỉ việc; ","")))</f>
        <v/>
      </c>
    </row>
    <row r="71" ht="15" customHeight="1" s="63">
      <c r="A71" s="85">
        <f>IF($B71="","",ROW()-5)</f>
        <v/>
      </c>
      <c r="B71" s="103">
        <f>IF(DM_NHAN_SU!B71="","",DM_NHAN_SU!B71)</f>
        <v/>
      </c>
      <c r="C71" s="96">
        <f>IF($B71="","",DM_NHAN_SU!C71)</f>
        <v/>
      </c>
      <c r="D71" s="96">
        <f>IF($B71="","",DM_NHAN_SU!D71)</f>
        <v/>
      </c>
      <c r="E71" s="96">
        <f>IF($B71="","",DM_NHAN_SU!E71)</f>
        <v/>
      </c>
      <c r="F71" s="93" t="n"/>
      <c r="G71" s="93" t="n"/>
      <c r="H71" s="93" t="n"/>
      <c r="I71" s="93" t="n"/>
      <c r="J71" s="93" t="n"/>
      <c r="K71" s="93" t="n"/>
      <c r="L71" s="93" t="n"/>
      <c r="M71" s="93" t="n"/>
      <c r="N71" s="93" t="n"/>
      <c r="O71" s="93" t="n"/>
      <c r="P71" s="93" t="n"/>
      <c r="Q71" s="93" t="n"/>
      <c r="R71" s="93" t="n"/>
      <c r="S71" s="93" t="n"/>
      <c r="T71" s="93" t="n"/>
      <c r="U71" s="93" t="n"/>
      <c r="V71" s="93" t="n"/>
      <c r="W71" s="93" t="n"/>
      <c r="X71" s="93" t="n"/>
      <c r="Y71" s="93" t="n"/>
      <c r="Z71" s="93" t="n"/>
      <c r="AA71" s="93" t="n"/>
      <c r="AB71" s="93" t="n"/>
      <c r="AC71" s="93" t="n"/>
      <c r="AD71" s="93" t="n"/>
      <c r="AE71" s="93" t="n"/>
      <c r="AF71" s="93" t="n"/>
      <c r="AG71" s="93" t="n"/>
      <c r="AH71" s="93" t="n"/>
      <c r="AI71" s="93" t="n"/>
      <c r="AJ71" s="93" t="n"/>
      <c r="AK71" s="104">
        <f>IF($B71="","",SUMPRODUCT(COUNTIF($F71:$AJ71,KY_HIEU!$A$6:$A$45)*KY_HIEU!$C$6:$C$45))</f>
        <v/>
      </c>
      <c r="AL71" s="104">
        <f>IF($B71="","",SUMPRODUCT(COUNTIF($F71:$AJ71,KY_HIEU!$A$6:$A$45)*KY_HIEU!$D$6:$D$45))</f>
        <v/>
      </c>
      <c r="AM71" s="104">
        <f>IF($B71="","",SUMPRODUCT(COUNTIF($F71:$AJ71,KY_HIEU!$A$6:$A$45)*KY_HIEU!$E$6:$E$45))</f>
        <v/>
      </c>
      <c r="AN71" s="104">
        <f>IF($B71="","",SUMPRODUCT(COUNTIF($F71:$AJ71,KY_HIEU!$A$6:$A$45)*KY_HIEU!$F$6:$F$45))</f>
        <v/>
      </c>
      <c r="AO71" s="104">
        <f>IF($B71="","",SUMPRODUCT(COUNTIF($F71:$AJ71,KY_HIEU!$A$6:$A$45)*KY_HIEU!$G$6:$G$45))</f>
        <v/>
      </c>
      <c r="AP71" s="104">
        <f>IF($B71="","",SUMPRODUCT(COUNTIF($F71:$AJ71,KY_HIEU!$A$6:$A$45)*KY_HIEU!$H$6:$H$45))</f>
        <v/>
      </c>
      <c r="AQ71" s="104">
        <f>IF($B71="","",SUMPRODUCT(COUNTIF($F71:$AJ71,KY_HIEU!$A$6:$A$45)*KY_HIEU!$I$6:$I$45))</f>
        <v/>
      </c>
      <c r="AR71" s="105">
        <f>IF($B71="","",$AK71+$AL71+$AN71+$AO71+$AP71+$AQ71)</f>
        <v/>
      </c>
      <c r="AS71" s="105">
        <f>IF($B71="","",IF(DM_NHAN_SU!$I71&lt;&gt;"",DM_NHAN_SU!$I71,IF(THAM_SO_CC!$B$20="Nhập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71="",THAM_SO_CC!$B$8,DM_NHAN_SU!$F71))*(ROW(INDIRECT(THAM_SO_CC!$B$8&amp;":"&amp;THAM_SO_CC!$B$9))&lt;=IF(DM_NHAN_SU!$G71="",THAM_SO_CC!$B$9,DM_NHAN_SU!$G71))))))</f>
        <v/>
      </c>
      <c r="AT71" s="106">
        <f>IF($B71="","",$AR71-$AS71)</f>
        <v/>
      </c>
      <c r="AU71" s="96">
        <f>IF($B71="","",TRIM(IF(SUMPRODUCT(--($F71:$AJ71&lt;&gt;""))-SUMPRODUCT(COUNTIF($F71:$AJ71,KY_HIEU!$A$6:$A$45))&gt;0,"Ký hiệu lạ; ","")&amp;IF(ROUND($AT71,2)&lt;&gt;0,"Lệch ngày công "&amp;TEXT($AT71,"0.0")&amp;"; ","")&amp;IF(SUMPRODUCT(--($F71:$AJ71&lt;&gt;""),--((THAM_SO_CC!$B$8+COLUMN($F$1:$AJ$1)-6)&gt;THAM_SO_CC!$B$9))&gt;0,"Chấm ngoài kỳ; ","")&amp;IF(AND(DM_NHAN_SU!$F71&lt;&gt;"",SUMPRODUCT(--($F71:$AJ71&lt;&gt;""),--($F71:$AJ71&lt;&gt;"NV"),--($F71:$AJ71&lt;&gt;"NT"),--($F71:$AJ71&lt;&gt;"TN"),--((THAM_SO_CC!$B$8+COLUMN($F$1:$AJ$1)-6)&lt;DM_NHAN_SU!$F71))&gt;0),"Chấm trước ngày vào; ","")&amp;IF(AND(DM_NHAN_SU!$G71&lt;&gt;"",SUMPRODUCT(--($F71:$AJ71&lt;&gt;""),--($F71:$AJ71&lt;&gt;"NV"),--($F71:$AJ71&lt;&gt;"NT"),--($F71:$AJ71&lt;&gt;"TN"),--((THAM_SO_CC!$B$8+COLUMN($F$1:$AJ$1)-6)&gt;DM_NHAN_SU!$G71))&gt;0),"Chấm sau ngày nghỉ việc; ","")))</f>
        <v/>
      </c>
    </row>
    <row r="72" ht="15" customHeight="1" s="63">
      <c r="A72" s="85">
        <f>IF($B72="","",ROW()-5)</f>
        <v/>
      </c>
      <c r="B72" s="103">
        <f>IF(DM_NHAN_SU!B72="","",DM_NHAN_SU!B72)</f>
        <v/>
      </c>
      <c r="C72" s="96">
        <f>IF($B72="","",DM_NHAN_SU!C72)</f>
        <v/>
      </c>
      <c r="D72" s="96">
        <f>IF($B72="","",DM_NHAN_SU!D72)</f>
        <v/>
      </c>
      <c r="E72" s="96">
        <f>IF($B72="","",DM_NHAN_SU!E72)</f>
        <v/>
      </c>
      <c r="F72" s="93" t="n"/>
      <c r="G72" s="93" t="n"/>
      <c r="H72" s="93" t="n"/>
      <c r="I72" s="93" t="n"/>
      <c r="J72" s="93" t="n"/>
      <c r="K72" s="93" t="n"/>
      <c r="L72" s="93" t="n"/>
      <c r="M72" s="93" t="n"/>
      <c r="N72" s="93" t="n"/>
      <c r="O72" s="93" t="n"/>
      <c r="P72" s="93" t="n"/>
      <c r="Q72" s="93" t="n"/>
      <c r="R72" s="93" t="n"/>
      <c r="S72" s="93" t="n"/>
      <c r="T72" s="93" t="n"/>
      <c r="U72" s="93" t="n"/>
      <c r="V72" s="93" t="n"/>
      <c r="W72" s="93" t="n"/>
      <c r="X72" s="93" t="n"/>
      <c r="Y72" s="93" t="n"/>
      <c r="Z72" s="93" t="n"/>
      <c r="AA72" s="93" t="n"/>
      <c r="AB72" s="93" t="n"/>
      <c r="AC72" s="93" t="n"/>
      <c r="AD72" s="93" t="n"/>
      <c r="AE72" s="93" t="n"/>
      <c r="AF72" s="93" t="n"/>
      <c r="AG72" s="93" t="n"/>
      <c r="AH72" s="93" t="n"/>
      <c r="AI72" s="93" t="n"/>
      <c r="AJ72" s="93" t="n"/>
      <c r="AK72" s="104">
        <f>IF($B72="","",SUMPRODUCT(COUNTIF($F72:$AJ72,KY_HIEU!$A$6:$A$45)*KY_HIEU!$C$6:$C$45))</f>
        <v/>
      </c>
      <c r="AL72" s="104">
        <f>IF($B72="","",SUMPRODUCT(COUNTIF($F72:$AJ72,KY_HIEU!$A$6:$A$45)*KY_HIEU!$D$6:$D$45))</f>
        <v/>
      </c>
      <c r="AM72" s="104">
        <f>IF($B72="","",SUMPRODUCT(COUNTIF($F72:$AJ72,KY_HIEU!$A$6:$A$45)*KY_HIEU!$E$6:$E$45))</f>
        <v/>
      </c>
      <c r="AN72" s="104">
        <f>IF($B72="","",SUMPRODUCT(COUNTIF($F72:$AJ72,KY_HIEU!$A$6:$A$45)*KY_HIEU!$F$6:$F$45))</f>
        <v/>
      </c>
      <c r="AO72" s="104">
        <f>IF($B72="","",SUMPRODUCT(COUNTIF($F72:$AJ72,KY_HIEU!$A$6:$A$45)*KY_HIEU!$G$6:$G$45))</f>
        <v/>
      </c>
      <c r="AP72" s="104">
        <f>IF($B72="","",SUMPRODUCT(COUNTIF($F72:$AJ72,KY_HIEU!$A$6:$A$45)*KY_HIEU!$H$6:$H$45))</f>
        <v/>
      </c>
      <c r="AQ72" s="104">
        <f>IF($B72="","",SUMPRODUCT(COUNTIF($F72:$AJ72,KY_HIEU!$A$6:$A$45)*KY_HIEU!$I$6:$I$45))</f>
        <v/>
      </c>
      <c r="AR72" s="105">
        <f>IF($B72="","",$AK72+$AL72+$AN72+$AO72+$AP72+$AQ72)</f>
        <v/>
      </c>
      <c r="AS72" s="105">
        <f>IF($B72="","",IF(DM_NHAN_SU!$I72&lt;&gt;"",DM_NHAN_SU!$I72,IF(THAM_SO_CC!$B$20="Nhập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72="",THAM_SO_CC!$B$8,DM_NHAN_SU!$F72))*(ROW(INDIRECT(THAM_SO_CC!$B$8&amp;":"&amp;THAM_SO_CC!$B$9))&lt;=IF(DM_NHAN_SU!$G72="",THAM_SO_CC!$B$9,DM_NHAN_SU!$G72))))))</f>
        <v/>
      </c>
      <c r="AT72" s="106">
        <f>IF($B72="","",$AR72-$AS72)</f>
        <v/>
      </c>
      <c r="AU72" s="96">
        <f>IF($B72="","",TRIM(IF(SUMPRODUCT(--($F72:$AJ72&lt;&gt;""))-SUMPRODUCT(COUNTIF($F72:$AJ72,KY_HIEU!$A$6:$A$45))&gt;0,"Ký hiệu lạ; ","")&amp;IF(ROUND($AT72,2)&lt;&gt;0,"Lệch ngày công "&amp;TEXT($AT72,"0.0")&amp;"; ","")&amp;IF(SUMPRODUCT(--($F72:$AJ72&lt;&gt;""),--((THAM_SO_CC!$B$8+COLUMN($F$1:$AJ$1)-6)&gt;THAM_SO_CC!$B$9))&gt;0,"Chấm ngoài kỳ; ","")&amp;IF(AND(DM_NHAN_SU!$F72&lt;&gt;"",SUMPRODUCT(--($F72:$AJ72&lt;&gt;""),--($F72:$AJ72&lt;&gt;"NV"),--($F72:$AJ72&lt;&gt;"NT"),--($F72:$AJ72&lt;&gt;"TN"),--((THAM_SO_CC!$B$8+COLUMN($F$1:$AJ$1)-6)&lt;DM_NHAN_SU!$F72))&gt;0),"Chấm trước ngày vào; ","")&amp;IF(AND(DM_NHAN_SU!$G72&lt;&gt;"",SUMPRODUCT(--($F72:$AJ72&lt;&gt;""),--($F72:$AJ72&lt;&gt;"NV"),--($F72:$AJ72&lt;&gt;"NT"),--($F72:$AJ72&lt;&gt;"TN"),--((THAM_SO_CC!$B$8+COLUMN($F$1:$AJ$1)-6)&gt;DM_NHAN_SU!$G72))&gt;0),"Chấm sau ngày nghỉ việc; ","")))</f>
        <v/>
      </c>
    </row>
    <row r="73" ht="15" customHeight="1" s="63">
      <c r="A73" s="85">
        <f>IF($B73="","",ROW()-5)</f>
        <v/>
      </c>
      <c r="B73" s="103">
        <f>IF(DM_NHAN_SU!B73="","",DM_NHAN_SU!B73)</f>
        <v/>
      </c>
      <c r="C73" s="96">
        <f>IF($B73="","",DM_NHAN_SU!C73)</f>
        <v/>
      </c>
      <c r="D73" s="96">
        <f>IF($B73="","",DM_NHAN_SU!D73)</f>
        <v/>
      </c>
      <c r="E73" s="96">
        <f>IF($B73="","",DM_NHAN_SU!E73)</f>
        <v/>
      </c>
      <c r="F73" s="93" t="n"/>
      <c r="G73" s="93" t="n"/>
      <c r="H73" s="93" t="n"/>
      <c r="I73" s="93" t="n"/>
      <c r="J73" s="93" t="n"/>
      <c r="K73" s="93" t="n"/>
      <c r="L73" s="93" t="n"/>
      <c r="M73" s="93" t="n"/>
      <c r="N73" s="93" t="n"/>
      <c r="O73" s="93" t="n"/>
      <c r="P73" s="93" t="n"/>
      <c r="Q73" s="93" t="n"/>
      <c r="R73" s="93" t="n"/>
      <c r="S73" s="93" t="n"/>
      <c r="T73" s="93" t="n"/>
      <c r="U73" s="93" t="n"/>
      <c r="V73" s="93" t="n"/>
      <c r="W73" s="93" t="n"/>
      <c r="X73" s="93" t="n"/>
      <c r="Y73" s="93" t="n"/>
      <c r="Z73" s="93" t="n"/>
      <c r="AA73" s="93" t="n"/>
      <c r="AB73" s="93" t="n"/>
      <c r="AC73" s="93" t="n"/>
      <c r="AD73" s="93" t="n"/>
      <c r="AE73" s="93" t="n"/>
      <c r="AF73" s="93" t="n"/>
      <c r="AG73" s="93" t="n"/>
      <c r="AH73" s="93" t="n"/>
      <c r="AI73" s="93" t="n"/>
      <c r="AJ73" s="93" t="n"/>
      <c r="AK73" s="104">
        <f>IF($B73="","",SUMPRODUCT(COUNTIF($F73:$AJ73,KY_HIEU!$A$6:$A$45)*KY_HIEU!$C$6:$C$45))</f>
        <v/>
      </c>
      <c r="AL73" s="104">
        <f>IF($B73="","",SUMPRODUCT(COUNTIF($F73:$AJ73,KY_HIEU!$A$6:$A$45)*KY_HIEU!$D$6:$D$45))</f>
        <v/>
      </c>
      <c r="AM73" s="104">
        <f>IF($B73="","",SUMPRODUCT(COUNTIF($F73:$AJ73,KY_HIEU!$A$6:$A$45)*KY_HIEU!$E$6:$E$45))</f>
        <v/>
      </c>
      <c r="AN73" s="104">
        <f>IF($B73="","",SUMPRODUCT(COUNTIF($F73:$AJ73,KY_HIEU!$A$6:$A$45)*KY_HIEU!$F$6:$F$45))</f>
        <v/>
      </c>
      <c r="AO73" s="104">
        <f>IF($B73="","",SUMPRODUCT(COUNTIF($F73:$AJ73,KY_HIEU!$A$6:$A$45)*KY_HIEU!$G$6:$G$45))</f>
        <v/>
      </c>
      <c r="AP73" s="104">
        <f>IF($B73="","",SUMPRODUCT(COUNTIF($F73:$AJ73,KY_HIEU!$A$6:$A$45)*KY_HIEU!$H$6:$H$45))</f>
        <v/>
      </c>
      <c r="AQ73" s="104">
        <f>IF($B73="","",SUMPRODUCT(COUNTIF($F73:$AJ73,KY_HIEU!$A$6:$A$45)*KY_HIEU!$I$6:$I$45))</f>
        <v/>
      </c>
      <c r="AR73" s="105">
        <f>IF($B73="","",$AK73+$AL73+$AN73+$AO73+$AP73+$AQ73)</f>
        <v/>
      </c>
      <c r="AS73" s="105">
        <f>IF($B73="","",IF(DM_NHAN_SU!$I73&lt;&gt;"",DM_NHAN_SU!$I73,IF(THAM_SO_CC!$B$20="Nhập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73="",THAM_SO_CC!$B$8,DM_NHAN_SU!$F73))*(ROW(INDIRECT(THAM_SO_CC!$B$8&amp;":"&amp;THAM_SO_CC!$B$9))&lt;=IF(DM_NHAN_SU!$G73="",THAM_SO_CC!$B$9,DM_NHAN_SU!$G73))))))</f>
        <v/>
      </c>
      <c r="AT73" s="106">
        <f>IF($B73="","",$AR73-$AS73)</f>
        <v/>
      </c>
      <c r="AU73" s="96">
        <f>IF($B73="","",TRIM(IF(SUMPRODUCT(--($F73:$AJ73&lt;&gt;""))-SUMPRODUCT(COUNTIF($F73:$AJ73,KY_HIEU!$A$6:$A$45))&gt;0,"Ký hiệu lạ; ","")&amp;IF(ROUND($AT73,2)&lt;&gt;0,"Lệch ngày công "&amp;TEXT($AT73,"0.0")&amp;"; ","")&amp;IF(SUMPRODUCT(--($F73:$AJ73&lt;&gt;""),--((THAM_SO_CC!$B$8+COLUMN($F$1:$AJ$1)-6)&gt;THAM_SO_CC!$B$9))&gt;0,"Chấm ngoài kỳ; ","")&amp;IF(AND(DM_NHAN_SU!$F73&lt;&gt;"",SUMPRODUCT(--($F73:$AJ73&lt;&gt;""),--($F73:$AJ73&lt;&gt;"NV"),--($F73:$AJ73&lt;&gt;"NT"),--($F73:$AJ73&lt;&gt;"TN"),--((THAM_SO_CC!$B$8+COLUMN($F$1:$AJ$1)-6)&lt;DM_NHAN_SU!$F73))&gt;0),"Chấm trước ngày vào; ","")&amp;IF(AND(DM_NHAN_SU!$G73&lt;&gt;"",SUMPRODUCT(--($F73:$AJ73&lt;&gt;""),--($F73:$AJ73&lt;&gt;"NV"),--($F73:$AJ73&lt;&gt;"NT"),--($F73:$AJ73&lt;&gt;"TN"),--((THAM_SO_CC!$B$8+COLUMN($F$1:$AJ$1)-6)&gt;DM_NHAN_SU!$G73))&gt;0),"Chấm sau ngày nghỉ việc; ","")))</f>
        <v/>
      </c>
    </row>
    <row r="74" ht="15" customHeight="1" s="63">
      <c r="A74" s="85">
        <f>IF($B74="","",ROW()-5)</f>
        <v/>
      </c>
      <c r="B74" s="103">
        <f>IF(DM_NHAN_SU!B74="","",DM_NHAN_SU!B74)</f>
        <v/>
      </c>
      <c r="C74" s="96">
        <f>IF($B74="","",DM_NHAN_SU!C74)</f>
        <v/>
      </c>
      <c r="D74" s="96">
        <f>IF($B74="","",DM_NHAN_SU!D74)</f>
        <v/>
      </c>
      <c r="E74" s="96">
        <f>IF($B74="","",DM_NHAN_SU!E74)</f>
        <v/>
      </c>
      <c r="F74" s="93" t="n"/>
      <c r="G74" s="93" t="n"/>
      <c r="H74" s="93" t="n"/>
      <c r="I74" s="93" t="n"/>
      <c r="J74" s="93" t="n"/>
      <c r="K74" s="93" t="n"/>
      <c r="L74" s="93" t="n"/>
      <c r="M74" s="93" t="n"/>
      <c r="N74" s="93" t="n"/>
      <c r="O74" s="93" t="n"/>
      <c r="P74" s="93" t="n"/>
      <c r="Q74" s="93" t="n"/>
      <c r="R74" s="93" t="n"/>
      <c r="S74" s="93" t="n"/>
      <c r="T74" s="93" t="n"/>
      <c r="U74" s="93" t="n"/>
      <c r="V74" s="93" t="n"/>
      <c r="W74" s="93" t="n"/>
      <c r="X74" s="93" t="n"/>
      <c r="Y74" s="93" t="n"/>
      <c r="Z74" s="93" t="n"/>
      <c r="AA74" s="93" t="n"/>
      <c r="AB74" s="93" t="n"/>
      <c r="AC74" s="93" t="n"/>
      <c r="AD74" s="93" t="n"/>
      <c r="AE74" s="93" t="n"/>
      <c r="AF74" s="93" t="n"/>
      <c r="AG74" s="93" t="n"/>
      <c r="AH74" s="93" t="n"/>
      <c r="AI74" s="93" t="n"/>
      <c r="AJ74" s="93" t="n"/>
      <c r="AK74" s="104">
        <f>IF($B74="","",SUMPRODUCT(COUNTIF($F74:$AJ74,KY_HIEU!$A$6:$A$45)*KY_HIEU!$C$6:$C$45))</f>
        <v/>
      </c>
      <c r="AL74" s="104">
        <f>IF($B74="","",SUMPRODUCT(COUNTIF($F74:$AJ74,KY_HIEU!$A$6:$A$45)*KY_HIEU!$D$6:$D$45))</f>
        <v/>
      </c>
      <c r="AM74" s="104">
        <f>IF($B74="","",SUMPRODUCT(COUNTIF($F74:$AJ74,KY_HIEU!$A$6:$A$45)*KY_HIEU!$E$6:$E$45))</f>
        <v/>
      </c>
      <c r="AN74" s="104">
        <f>IF($B74="","",SUMPRODUCT(COUNTIF($F74:$AJ74,KY_HIEU!$A$6:$A$45)*KY_HIEU!$F$6:$F$45))</f>
        <v/>
      </c>
      <c r="AO74" s="104">
        <f>IF($B74="","",SUMPRODUCT(COUNTIF($F74:$AJ74,KY_HIEU!$A$6:$A$45)*KY_HIEU!$G$6:$G$45))</f>
        <v/>
      </c>
      <c r="AP74" s="104">
        <f>IF($B74="","",SUMPRODUCT(COUNTIF($F74:$AJ74,KY_HIEU!$A$6:$A$45)*KY_HIEU!$H$6:$H$45))</f>
        <v/>
      </c>
      <c r="AQ74" s="104">
        <f>IF($B74="","",SUMPRODUCT(COUNTIF($F74:$AJ74,KY_HIEU!$A$6:$A$45)*KY_HIEU!$I$6:$I$45))</f>
        <v/>
      </c>
      <c r="AR74" s="105">
        <f>IF($B74="","",$AK74+$AL74+$AN74+$AO74+$AP74+$AQ74)</f>
        <v/>
      </c>
      <c r="AS74" s="105">
        <f>IF($B74="","",IF(DM_NHAN_SU!$I74&lt;&gt;"",DM_NHAN_SU!$I74,IF(THAM_SO_CC!$B$20="Nhập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74="",THAM_SO_CC!$B$8,DM_NHAN_SU!$F74))*(ROW(INDIRECT(THAM_SO_CC!$B$8&amp;":"&amp;THAM_SO_CC!$B$9))&lt;=IF(DM_NHAN_SU!$G74="",THAM_SO_CC!$B$9,DM_NHAN_SU!$G74))))))</f>
        <v/>
      </c>
      <c r="AT74" s="106">
        <f>IF($B74="","",$AR74-$AS74)</f>
        <v/>
      </c>
      <c r="AU74" s="96">
        <f>IF($B74="","",TRIM(IF(SUMPRODUCT(--($F74:$AJ74&lt;&gt;""))-SUMPRODUCT(COUNTIF($F74:$AJ74,KY_HIEU!$A$6:$A$45))&gt;0,"Ký hiệu lạ; ","")&amp;IF(ROUND($AT74,2)&lt;&gt;0,"Lệch ngày công "&amp;TEXT($AT74,"0.0")&amp;"; ","")&amp;IF(SUMPRODUCT(--($F74:$AJ74&lt;&gt;""),--((THAM_SO_CC!$B$8+COLUMN($F$1:$AJ$1)-6)&gt;THAM_SO_CC!$B$9))&gt;0,"Chấm ngoài kỳ; ","")&amp;IF(AND(DM_NHAN_SU!$F74&lt;&gt;"",SUMPRODUCT(--($F74:$AJ74&lt;&gt;""),--($F74:$AJ74&lt;&gt;"NV"),--($F74:$AJ74&lt;&gt;"NT"),--($F74:$AJ74&lt;&gt;"TN"),--((THAM_SO_CC!$B$8+COLUMN($F$1:$AJ$1)-6)&lt;DM_NHAN_SU!$F74))&gt;0),"Chấm trước ngày vào; ","")&amp;IF(AND(DM_NHAN_SU!$G74&lt;&gt;"",SUMPRODUCT(--($F74:$AJ74&lt;&gt;""),--($F74:$AJ74&lt;&gt;"NV"),--($F74:$AJ74&lt;&gt;"NT"),--($F74:$AJ74&lt;&gt;"TN"),--((THAM_SO_CC!$B$8+COLUMN($F$1:$AJ$1)-6)&gt;DM_NHAN_SU!$G74))&gt;0),"Chấm sau ngày nghỉ việc; ","")))</f>
        <v/>
      </c>
    </row>
    <row r="75" ht="15" customHeight="1" s="63">
      <c r="A75" s="85">
        <f>IF($B75="","",ROW()-5)</f>
        <v/>
      </c>
      <c r="B75" s="103">
        <f>IF(DM_NHAN_SU!B75="","",DM_NHAN_SU!B75)</f>
        <v/>
      </c>
      <c r="C75" s="96">
        <f>IF($B75="","",DM_NHAN_SU!C75)</f>
        <v/>
      </c>
      <c r="D75" s="96">
        <f>IF($B75="","",DM_NHAN_SU!D75)</f>
        <v/>
      </c>
      <c r="E75" s="96">
        <f>IF($B75="","",DM_NHAN_SU!E75)</f>
        <v/>
      </c>
      <c r="F75" s="93" t="n"/>
      <c r="G75" s="93" t="n"/>
      <c r="H75" s="93" t="n"/>
      <c r="I75" s="93" t="n"/>
      <c r="J75" s="93" t="n"/>
      <c r="K75" s="93" t="n"/>
      <c r="L75" s="93" t="n"/>
      <c r="M75" s="93" t="n"/>
      <c r="N75" s="93" t="n"/>
      <c r="O75" s="93" t="n"/>
      <c r="P75" s="93" t="n"/>
      <c r="Q75" s="93" t="n"/>
      <c r="R75" s="93" t="n"/>
      <c r="S75" s="93" t="n"/>
      <c r="T75" s="93" t="n"/>
      <c r="U75" s="93" t="n"/>
      <c r="V75" s="93" t="n"/>
      <c r="W75" s="93" t="n"/>
      <c r="X75" s="93" t="n"/>
      <c r="Y75" s="93" t="n"/>
      <c r="Z75" s="93" t="n"/>
      <c r="AA75" s="93" t="n"/>
      <c r="AB75" s="93" t="n"/>
      <c r="AC75" s="93" t="n"/>
      <c r="AD75" s="93" t="n"/>
      <c r="AE75" s="93" t="n"/>
      <c r="AF75" s="93" t="n"/>
      <c r="AG75" s="93" t="n"/>
      <c r="AH75" s="93" t="n"/>
      <c r="AI75" s="93" t="n"/>
      <c r="AJ75" s="93" t="n"/>
      <c r="AK75" s="104">
        <f>IF($B75="","",SUMPRODUCT(COUNTIF($F75:$AJ75,KY_HIEU!$A$6:$A$45)*KY_HIEU!$C$6:$C$45))</f>
        <v/>
      </c>
      <c r="AL75" s="104">
        <f>IF($B75="","",SUMPRODUCT(COUNTIF($F75:$AJ75,KY_HIEU!$A$6:$A$45)*KY_HIEU!$D$6:$D$45))</f>
        <v/>
      </c>
      <c r="AM75" s="104">
        <f>IF($B75="","",SUMPRODUCT(COUNTIF($F75:$AJ75,KY_HIEU!$A$6:$A$45)*KY_HIEU!$E$6:$E$45))</f>
        <v/>
      </c>
      <c r="AN75" s="104">
        <f>IF($B75="","",SUMPRODUCT(COUNTIF($F75:$AJ75,KY_HIEU!$A$6:$A$45)*KY_HIEU!$F$6:$F$45))</f>
        <v/>
      </c>
      <c r="AO75" s="104">
        <f>IF($B75="","",SUMPRODUCT(COUNTIF($F75:$AJ75,KY_HIEU!$A$6:$A$45)*KY_HIEU!$G$6:$G$45))</f>
        <v/>
      </c>
      <c r="AP75" s="104">
        <f>IF($B75="","",SUMPRODUCT(COUNTIF($F75:$AJ75,KY_HIEU!$A$6:$A$45)*KY_HIEU!$H$6:$H$45))</f>
        <v/>
      </c>
      <c r="AQ75" s="104">
        <f>IF($B75="","",SUMPRODUCT(COUNTIF($F75:$AJ75,KY_HIEU!$A$6:$A$45)*KY_HIEU!$I$6:$I$45))</f>
        <v/>
      </c>
      <c r="AR75" s="105">
        <f>IF($B75="","",$AK75+$AL75+$AN75+$AO75+$AP75+$AQ75)</f>
        <v/>
      </c>
      <c r="AS75" s="105">
        <f>IF($B75="","",IF(DM_NHAN_SU!$I75&lt;&gt;"",DM_NHAN_SU!$I75,IF(THAM_SO_CC!$B$20="Nhập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75="",THAM_SO_CC!$B$8,DM_NHAN_SU!$F75))*(ROW(INDIRECT(THAM_SO_CC!$B$8&amp;":"&amp;THAM_SO_CC!$B$9))&lt;=IF(DM_NHAN_SU!$G75="",THAM_SO_CC!$B$9,DM_NHAN_SU!$G75))))))</f>
        <v/>
      </c>
      <c r="AT75" s="106">
        <f>IF($B75="","",$AR75-$AS75)</f>
        <v/>
      </c>
      <c r="AU75" s="96">
        <f>IF($B75="","",TRIM(IF(SUMPRODUCT(--($F75:$AJ75&lt;&gt;""))-SUMPRODUCT(COUNTIF($F75:$AJ75,KY_HIEU!$A$6:$A$45))&gt;0,"Ký hiệu lạ; ","")&amp;IF(ROUND($AT75,2)&lt;&gt;0,"Lệch ngày công "&amp;TEXT($AT75,"0.0")&amp;"; ","")&amp;IF(SUMPRODUCT(--($F75:$AJ75&lt;&gt;""),--((THAM_SO_CC!$B$8+COLUMN($F$1:$AJ$1)-6)&gt;THAM_SO_CC!$B$9))&gt;0,"Chấm ngoài kỳ; ","")&amp;IF(AND(DM_NHAN_SU!$F75&lt;&gt;"",SUMPRODUCT(--($F75:$AJ75&lt;&gt;""),--($F75:$AJ75&lt;&gt;"NV"),--($F75:$AJ75&lt;&gt;"NT"),--($F75:$AJ75&lt;&gt;"TN"),--((THAM_SO_CC!$B$8+COLUMN($F$1:$AJ$1)-6)&lt;DM_NHAN_SU!$F75))&gt;0),"Chấm trước ngày vào; ","")&amp;IF(AND(DM_NHAN_SU!$G75&lt;&gt;"",SUMPRODUCT(--($F75:$AJ75&lt;&gt;""),--($F75:$AJ75&lt;&gt;"NV"),--($F75:$AJ75&lt;&gt;"NT"),--($F75:$AJ75&lt;&gt;"TN"),--((THAM_SO_CC!$B$8+COLUMN($F$1:$AJ$1)-6)&gt;DM_NHAN_SU!$G75))&gt;0),"Chấm sau ngày nghỉ việc; ","")))</f>
        <v/>
      </c>
    </row>
    <row r="76" ht="15" customHeight="1" s="63">
      <c r="A76" s="85">
        <f>IF($B76="","",ROW()-5)</f>
        <v/>
      </c>
      <c r="B76" s="103">
        <f>IF(DM_NHAN_SU!B76="","",DM_NHAN_SU!B76)</f>
        <v/>
      </c>
      <c r="C76" s="96">
        <f>IF($B76="","",DM_NHAN_SU!C76)</f>
        <v/>
      </c>
      <c r="D76" s="96">
        <f>IF($B76="","",DM_NHAN_SU!D76)</f>
        <v/>
      </c>
      <c r="E76" s="96">
        <f>IF($B76="","",DM_NHAN_SU!E76)</f>
        <v/>
      </c>
      <c r="F76" s="93" t="n"/>
      <c r="G76" s="93" t="n"/>
      <c r="H76" s="93" t="n"/>
      <c r="I76" s="93" t="n"/>
      <c r="J76" s="93" t="n"/>
      <c r="K76" s="93" t="n"/>
      <c r="L76" s="93" t="n"/>
      <c r="M76" s="93" t="n"/>
      <c r="N76" s="93" t="n"/>
      <c r="O76" s="93" t="n"/>
      <c r="P76" s="93" t="n"/>
      <c r="Q76" s="93" t="n"/>
      <c r="R76" s="93" t="n"/>
      <c r="S76" s="93" t="n"/>
      <c r="T76" s="93" t="n"/>
      <c r="U76" s="93" t="n"/>
      <c r="V76" s="93" t="n"/>
      <c r="W76" s="93" t="n"/>
      <c r="X76" s="93" t="n"/>
      <c r="Y76" s="93" t="n"/>
      <c r="Z76" s="93" t="n"/>
      <c r="AA76" s="93" t="n"/>
      <c r="AB76" s="93" t="n"/>
      <c r="AC76" s="93" t="n"/>
      <c r="AD76" s="93" t="n"/>
      <c r="AE76" s="93" t="n"/>
      <c r="AF76" s="93" t="n"/>
      <c r="AG76" s="93" t="n"/>
      <c r="AH76" s="93" t="n"/>
      <c r="AI76" s="93" t="n"/>
      <c r="AJ76" s="93" t="n"/>
      <c r="AK76" s="104">
        <f>IF($B76="","",SUMPRODUCT(COUNTIF($F76:$AJ76,KY_HIEU!$A$6:$A$45)*KY_HIEU!$C$6:$C$45))</f>
        <v/>
      </c>
      <c r="AL76" s="104">
        <f>IF($B76="","",SUMPRODUCT(COUNTIF($F76:$AJ76,KY_HIEU!$A$6:$A$45)*KY_HIEU!$D$6:$D$45))</f>
        <v/>
      </c>
      <c r="AM76" s="104">
        <f>IF($B76="","",SUMPRODUCT(COUNTIF($F76:$AJ76,KY_HIEU!$A$6:$A$45)*KY_HIEU!$E$6:$E$45))</f>
        <v/>
      </c>
      <c r="AN76" s="104">
        <f>IF($B76="","",SUMPRODUCT(COUNTIF($F76:$AJ76,KY_HIEU!$A$6:$A$45)*KY_HIEU!$F$6:$F$45))</f>
        <v/>
      </c>
      <c r="AO76" s="104">
        <f>IF($B76="","",SUMPRODUCT(COUNTIF($F76:$AJ76,KY_HIEU!$A$6:$A$45)*KY_HIEU!$G$6:$G$45))</f>
        <v/>
      </c>
      <c r="AP76" s="104">
        <f>IF($B76="","",SUMPRODUCT(COUNTIF($F76:$AJ76,KY_HIEU!$A$6:$A$45)*KY_HIEU!$H$6:$H$45))</f>
        <v/>
      </c>
      <c r="AQ76" s="104">
        <f>IF($B76="","",SUMPRODUCT(COUNTIF($F76:$AJ76,KY_HIEU!$A$6:$A$45)*KY_HIEU!$I$6:$I$45))</f>
        <v/>
      </c>
      <c r="AR76" s="105">
        <f>IF($B76="","",$AK76+$AL76+$AN76+$AO76+$AP76+$AQ76)</f>
        <v/>
      </c>
      <c r="AS76" s="105">
        <f>IF($B76="","",IF(DM_NHAN_SU!$I76&lt;&gt;"",DM_NHAN_SU!$I76,IF(THAM_SO_CC!$B$20="Nhập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76="",THAM_SO_CC!$B$8,DM_NHAN_SU!$F76))*(ROW(INDIRECT(THAM_SO_CC!$B$8&amp;":"&amp;THAM_SO_CC!$B$9))&lt;=IF(DM_NHAN_SU!$G76="",THAM_SO_CC!$B$9,DM_NHAN_SU!$G76))))))</f>
        <v/>
      </c>
      <c r="AT76" s="106">
        <f>IF($B76="","",$AR76-$AS76)</f>
        <v/>
      </c>
      <c r="AU76" s="96">
        <f>IF($B76="","",TRIM(IF(SUMPRODUCT(--($F76:$AJ76&lt;&gt;""))-SUMPRODUCT(COUNTIF($F76:$AJ76,KY_HIEU!$A$6:$A$45))&gt;0,"Ký hiệu lạ; ","")&amp;IF(ROUND($AT76,2)&lt;&gt;0,"Lệch ngày công "&amp;TEXT($AT76,"0.0")&amp;"; ","")&amp;IF(SUMPRODUCT(--($F76:$AJ76&lt;&gt;""),--((THAM_SO_CC!$B$8+COLUMN($F$1:$AJ$1)-6)&gt;THAM_SO_CC!$B$9))&gt;0,"Chấm ngoài kỳ; ","")&amp;IF(AND(DM_NHAN_SU!$F76&lt;&gt;"",SUMPRODUCT(--($F76:$AJ76&lt;&gt;""),--($F76:$AJ76&lt;&gt;"NV"),--($F76:$AJ76&lt;&gt;"NT"),--($F76:$AJ76&lt;&gt;"TN"),--((THAM_SO_CC!$B$8+COLUMN($F$1:$AJ$1)-6)&lt;DM_NHAN_SU!$F76))&gt;0),"Chấm trước ngày vào; ","")&amp;IF(AND(DM_NHAN_SU!$G76&lt;&gt;"",SUMPRODUCT(--($F76:$AJ76&lt;&gt;""),--($F76:$AJ76&lt;&gt;"NV"),--($F76:$AJ76&lt;&gt;"NT"),--($F76:$AJ76&lt;&gt;"TN"),--((THAM_SO_CC!$B$8+COLUMN($F$1:$AJ$1)-6)&gt;DM_NHAN_SU!$G76))&gt;0),"Chấm sau ngày nghỉ việc; ","")))</f>
        <v/>
      </c>
    </row>
    <row r="77" ht="15" customHeight="1" s="63">
      <c r="A77" s="85">
        <f>IF($B77="","",ROW()-5)</f>
        <v/>
      </c>
      <c r="B77" s="103">
        <f>IF(DM_NHAN_SU!B77="","",DM_NHAN_SU!B77)</f>
        <v/>
      </c>
      <c r="C77" s="96">
        <f>IF($B77="","",DM_NHAN_SU!C77)</f>
        <v/>
      </c>
      <c r="D77" s="96">
        <f>IF($B77="","",DM_NHAN_SU!D77)</f>
        <v/>
      </c>
      <c r="E77" s="96">
        <f>IF($B77="","",DM_NHAN_SU!E77)</f>
        <v/>
      </c>
      <c r="F77" s="93" t="n"/>
      <c r="G77" s="93" t="n"/>
      <c r="H77" s="93" t="n"/>
      <c r="I77" s="93" t="n"/>
      <c r="J77" s="93" t="n"/>
      <c r="K77" s="93" t="n"/>
      <c r="L77" s="93" t="n"/>
      <c r="M77" s="93" t="n"/>
      <c r="N77" s="93" t="n"/>
      <c r="O77" s="93" t="n"/>
      <c r="P77" s="93" t="n"/>
      <c r="Q77" s="93" t="n"/>
      <c r="R77" s="93" t="n"/>
      <c r="S77" s="93" t="n"/>
      <c r="T77" s="93" t="n"/>
      <c r="U77" s="93" t="n"/>
      <c r="V77" s="93" t="n"/>
      <c r="W77" s="93" t="n"/>
      <c r="X77" s="93" t="n"/>
      <c r="Y77" s="93" t="n"/>
      <c r="Z77" s="93" t="n"/>
      <c r="AA77" s="93" t="n"/>
      <c r="AB77" s="93" t="n"/>
      <c r="AC77" s="93" t="n"/>
      <c r="AD77" s="93" t="n"/>
      <c r="AE77" s="93" t="n"/>
      <c r="AF77" s="93" t="n"/>
      <c r="AG77" s="93" t="n"/>
      <c r="AH77" s="93" t="n"/>
      <c r="AI77" s="93" t="n"/>
      <c r="AJ77" s="93" t="n"/>
      <c r="AK77" s="104">
        <f>IF($B77="","",SUMPRODUCT(COUNTIF($F77:$AJ77,KY_HIEU!$A$6:$A$45)*KY_HIEU!$C$6:$C$45))</f>
        <v/>
      </c>
      <c r="AL77" s="104">
        <f>IF($B77="","",SUMPRODUCT(COUNTIF($F77:$AJ77,KY_HIEU!$A$6:$A$45)*KY_HIEU!$D$6:$D$45))</f>
        <v/>
      </c>
      <c r="AM77" s="104">
        <f>IF($B77="","",SUMPRODUCT(COUNTIF($F77:$AJ77,KY_HIEU!$A$6:$A$45)*KY_HIEU!$E$6:$E$45))</f>
        <v/>
      </c>
      <c r="AN77" s="104">
        <f>IF($B77="","",SUMPRODUCT(COUNTIF($F77:$AJ77,KY_HIEU!$A$6:$A$45)*KY_HIEU!$F$6:$F$45))</f>
        <v/>
      </c>
      <c r="AO77" s="104">
        <f>IF($B77="","",SUMPRODUCT(COUNTIF($F77:$AJ77,KY_HIEU!$A$6:$A$45)*KY_HIEU!$G$6:$G$45))</f>
        <v/>
      </c>
      <c r="AP77" s="104">
        <f>IF($B77="","",SUMPRODUCT(COUNTIF($F77:$AJ77,KY_HIEU!$A$6:$A$45)*KY_HIEU!$H$6:$H$45))</f>
        <v/>
      </c>
      <c r="AQ77" s="104">
        <f>IF($B77="","",SUMPRODUCT(COUNTIF($F77:$AJ77,KY_HIEU!$A$6:$A$45)*KY_HIEU!$I$6:$I$45))</f>
        <v/>
      </c>
      <c r="AR77" s="105">
        <f>IF($B77="","",$AK77+$AL77+$AN77+$AO77+$AP77+$AQ77)</f>
        <v/>
      </c>
      <c r="AS77" s="105">
        <f>IF($B77="","",IF(DM_NHAN_SU!$I77&lt;&gt;"",DM_NHAN_SU!$I77,IF(THAM_SO_CC!$B$20="Nhập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77="",THAM_SO_CC!$B$8,DM_NHAN_SU!$F77))*(ROW(INDIRECT(THAM_SO_CC!$B$8&amp;":"&amp;THAM_SO_CC!$B$9))&lt;=IF(DM_NHAN_SU!$G77="",THAM_SO_CC!$B$9,DM_NHAN_SU!$G77))))))</f>
        <v/>
      </c>
      <c r="AT77" s="106">
        <f>IF($B77="","",$AR77-$AS77)</f>
        <v/>
      </c>
      <c r="AU77" s="96">
        <f>IF($B77="","",TRIM(IF(SUMPRODUCT(--($F77:$AJ77&lt;&gt;""))-SUMPRODUCT(COUNTIF($F77:$AJ77,KY_HIEU!$A$6:$A$45))&gt;0,"Ký hiệu lạ; ","")&amp;IF(ROUND($AT77,2)&lt;&gt;0,"Lệch ngày công "&amp;TEXT($AT77,"0.0")&amp;"; ","")&amp;IF(SUMPRODUCT(--($F77:$AJ77&lt;&gt;""),--((THAM_SO_CC!$B$8+COLUMN($F$1:$AJ$1)-6)&gt;THAM_SO_CC!$B$9))&gt;0,"Chấm ngoài kỳ; ","")&amp;IF(AND(DM_NHAN_SU!$F77&lt;&gt;"",SUMPRODUCT(--($F77:$AJ77&lt;&gt;""),--($F77:$AJ77&lt;&gt;"NV"),--($F77:$AJ77&lt;&gt;"NT"),--($F77:$AJ77&lt;&gt;"TN"),--((THAM_SO_CC!$B$8+COLUMN($F$1:$AJ$1)-6)&lt;DM_NHAN_SU!$F77))&gt;0),"Chấm trước ngày vào; ","")&amp;IF(AND(DM_NHAN_SU!$G77&lt;&gt;"",SUMPRODUCT(--($F77:$AJ77&lt;&gt;""),--($F77:$AJ77&lt;&gt;"NV"),--($F77:$AJ77&lt;&gt;"NT"),--($F77:$AJ77&lt;&gt;"TN"),--((THAM_SO_CC!$B$8+COLUMN($F$1:$AJ$1)-6)&gt;DM_NHAN_SU!$G77))&gt;0),"Chấm sau ngày nghỉ việc; ","")))</f>
        <v/>
      </c>
    </row>
    <row r="78" ht="15" customHeight="1" s="63">
      <c r="A78" s="85">
        <f>IF($B78="","",ROW()-5)</f>
        <v/>
      </c>
      <c r="B78" s="103">
        <f>IF(DM_NHAN_SU!B78="","",DM_NHAN_SU!B78)</f>
        <v/>
      </c>
      <c r="C78" s="96">
        <f>IF($B78="","",DM_NHAN_SU!C78)</f>
        <v/>
      </c>
      <c r="D78" s="96">
        <f>IF($B78="","",DM_NHAN_SU!D78)</f>
        <v/>
      </c>
      <c r="E78" s="96">
        <f>IF($B78="","",DM_NHAN_SU!E78)</f>
        <v/>
      </c>
      <c r="F78" s="93" t="n"/>
      <c r="G78" s="93" t="n"/>
      <c r="H78" s="93" t="n"/>
      <c r="I78" s="93" t="n"/>
      <c r="J78" s="93" t="n"/>
      <c r="K78" s="93" t="n"/>
      <c r="L78" s="93" t="n"/>
      <c r="M78" s="93" t="n"/>
      <c r="N78" s="93" t="n"/>
      <c r="O78" s="93" t="n"/>
      <c r="P78" s="93" t="n"/>
      <c r="Q78" s="93" t="n"/>
      <c r="R78" s="93" t="n"/>
      <c r="S78" s="93" t="n"/>
      <c r="T78" s="93" t="n"/>
      <c r="U78" s="93" t="n"/>
      <c r="V78" s="93" t="n"/>
      <c r="W78" s="93" t="n"/>
      <c r="X78" s="93" t="n"/>
      <c r="Y78" s="93" t="n"/>
      <c r="Z78" s="93" t="n"/>
      <c r="AA78" s="93" t="n"/>
      <c r="AB78" s="93" t="n"/>
      <c r="AC78" s="93" t="n"/>
      <c r="AD78" s="93" t="n"/>
      <c r="AE78" s="93" t="n"/>
      <c r="AF78" s="93" t="n"/>
      <c r="AG78" s="93" t="n"/>
      <c r="AH78" s="93" t="n"/>
      <c r="AI78" s="93" t="n"/>
      <c r="AJ78" s="93" t="n"/>
      <c r="AK78" s="104">
        <f>IF($B78="","",SUMPRODUCT(COUNTIF($F78:$AJ78,KY_HIEU!$A$6:$A$45)*KY_HIEU!$C$6:$C$45))</f>
        <v/>
      </c>
      <c r="AL78" s="104">
        <f>IF($B78="","",SUMPRODUCT(COUNTIF($F78:$AJ78,KY_HIEU!$A$6:$A$45)*KY_HIEU!$D$6:$D$45))</f>
        <v/>
      </c>
      <c r="AM78" s="104">
        <f>IF($B78="","",SUMPRODUCT(COUNTIF($F78:$AJ78,KY_HIEU!$A$6:$A$45)*KY_HIEU!$E$6:$E$45))</f>
        <v/>
      </c>
      <c r="AN78" s="104">
        <f>IF($B78="","",SUMPRODUCT(COUNTIF($F78:$AJ78,KY_HIEU!$A$6:$A$45)*KY_HIEU!$F$6:$F$45))</f>
        <v/>
      </c>
      <c r="AO78" s="104">
        <f>IF($B78="","",SUMPRODUCT(COUNTIF($F78:$AJ78,KY_HIEU!$A$6:$A$45)*KY_HIEU!$G$6:$G$45))</f>
        <v/>
      </c>
      <c r="AP78" s="104">
        <f>IF($B78="","",SUMPRODUCT(COUNTIF($F78:$AJ78,KY_HIEU!$A$6:$A$45)*KY_HIEU!$H$6:$H$45))</f>
        <v/>
      </c>
      <c r="AQ78" s="104">
        <f>IF($B78="","",SUMPRODUCT(COUNTIF($F78:$AJ78,KY_HIEU!$A$6:$A$45)*KY_HIEU!$I$6:$I$45))</f>
        <v/>
      </c>
      <c r="AR78" s="105">
        <f>IF($B78="","",$AK78+$AL78+$AN78+$AO78+$AP78+$AQ78)</f>
        <v/>
      </c>
      <c r="AS78" s="105">
        <f>IF($B78="","",IF(DM_NHAN_SU!$I78&lt;&gt;"",DM_NHAN_SU!$I78,IF(THAM_SO_CC!$B$20="Nhập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78="",THAM_SO_CC!$B$8,DM_NHAN_SU!$F78))*(ROW(INDIRECT(THAM_SO_CC!$B$8&amp;":"&amp;THAM_SO_CC!$B$9))&lt;=IF(DM_NHAN_SU!$G78="",THAM_SO_CC!$B$9,DM_NHAN_SU!$G78))))))</f>
        <v/>
      </c>
      <c r="AT78" s="106">
        <f>IF($B78="","",$AR78-$AS78)</f>
        <v/>
      </c>
      <c r="AU78" s="96">
        <f>IF($B78="","",TRIM(IF(SUMPRODUCT(--($F78:$AJ78&lt;&gt;""))-SUMPRODUCT(COUNTIF($F78:$AJ78,KY_HIEU!$A$6:$A$45))&gt;0,"Ký hiệu lạ; ","")&amp;IF(ROUND($AT78,2)&lt;&gt;0,"Lệch ngày công "&amp;TEXT($AT78,"0.0")&amp;"; ","")&amp;IF(SUMPRODUCT(--($F78:$AJ78&lt;&gt;""),--((THAM_SO_CC!$B$8+COLUMN($F$1:$AJ$1)-6)&gt;THAM_SO_CC!$B$9))&gt;0,"Chấm ngoài kỳ; ","")&amp;IF(AND(DM_NHAN_SU!$F78&lt;&gt;"",SUMPRODUCT(--($F78:$AJ78&lt;&gt;""),--($F78:$AJ78&lt;&gt;"NV"),--($F78:$AJ78&lt;&gt;"NT"),--($F78:$AJ78&lt;&gt;"TN"),--((THAM_SO_CC!$B$8+COLUMN($F$1:$AJ$1)-6)&lt;DM_NHAN_SU!$F78))&gt;0),"Chấm trước ngày vào; ","")&amp;IF(AND(DM_NHAN_SU!$G78&lt;&gt;"",SUMPRODUCT(--($F78:$AJ78&lt;&gt;""),--($F78:$AJ78&lt;&gt;"NV"),--($F78:$AJ78&lt;&gt;"NT"),--($F78:$AJ78&lt;&gt;"TN"),--((THAM_SO_CC!$B$8+COLUMN($F$1:$AJ$1)-6)&gt;DM_NHAN_SU!$G78))&gt;0),"Chấm sau ngày nghỉ việc; ","")))</f>
        <v/>
      </c>
    </row>
    <row r="79" ht="15" customHeight="1" s="63">
      <c r="A79" s="85">
        <f>IF($B79="","",ROW()-5)</f>
        <v/>
      </c>
      <c r="B79" s="103">
        <f>IF(DM_NHAN_SU!B79="","",DM_NHAN_SU!B79)</f>
        <v/>
      </c>
      <c r="C79" s="96">
        <f>IF($B79="","",DM_NHAN_SU!C79)</f>
        <v/>
      </c>
      <c r="D79" s="96">
        <f>IF($B79="","",DM_NHAN_SU!D79)</f>
        <v/>
      </c>
      <c r="E79" s="96">
        <f>IF($B79="","",DM_NHAN_SU!E79)</f>
        <v/>
      </c>
      <c r="F79" s="93" t="n"/>
      <c r="G79" s="93" t="n"/>
      <c r="H79" s="93" t="n"/>
      <c r="I79" s="93" t="n"/>
      <c r="J79" s="93" t="n"/>
      <c r="K79" s="93" t="n"/>
      <c r="L79" s="93" t="n"/>
      <c r="M79" s="93" t="n"/>
      <c r="N79" s="93" t="n"/>
      <c r="O79" s="93" t="n"/>
      <c r="P79" s="93" t="n"/>
      <c r="Q79" s="93" t="n"/>
      <c r="R79" s="93" t="n"/>
      <c r="S79" s="93" t="n"/>
      <c r="T79" s="93" t="n"/>
      <c r="U79" s="93" t="n"/>
      <c r="V79" s="93" t="n"/>
      <c r="W79" s="93" t="n"/>
      <c r="X79" s="93" t="n"/>
      <c r="Y79" s="93" t="n"/>
      <c r="Z79" s="93" t="n"/>
      <c r="AA79" s="93" t="n"/>
      <c r="AB79" s="93" t="n"/>
      <c r="AC79" s="93" t="n"/>
      <c r="AD79" s="93" t="n"/>
      <c r="AE79" s="93" t="n"/>
      <c r="AF79" s="93" t="n"/>
      <c r="AG79" s="93" t="n"/>
      <c r="AH79" s="93" t="n"/>
      <c r="AI79" s="93" t="n"/>
      <c r="AJ79" s="93" t="n"/>
      <c r="AK79" s="104">
        <f>IF($B79="","",SUMPRODUCT(COUNTIF($F79:$AJ79,KY_HIEU!$A$6:$A$45)*KY_HIEU!$C$6:$C$45))</f>
        <v/>
      </c>
      <c r="AL79" s="104">
        <f>IF($B79="","",SUMPRODUCT(COUNTIF($F79:$AJ79,KY_HIEU!$A$6:$A$45)*KY_HIEU!$D$6:$D$45))</f>
        <v/>
      </c>
      <c r="AM79" s="104">
        <f>IF($B79="","",SUMPRODUCT(COUNTIF($F79:$AJ79,KY_HIEU!$A$6:$A$45)*KY_HIEU!$E$6:$E$45))</f>
        <v/>
      </c>
      <c r="AN79" s="104">
        <f>IF($B79="","",SUMPRODUCT(COUNTIF($F79:$AJ79,KY_HIEU!$A$6:$A$45)*KY_HIEU!$F$6:$F$45))</f>
        <v/>
      </c>
      <c r="AO79" s="104">
        <f>IF($B79="","",SUMPRODUCT(COUNTIF($F79:$AJ79,KY_HIEU!$A$6:$A$45)*KY_HIEU!$G$6:$G$45))</f>
        <v/>
      </c>
      <c r="AP79" s="104">
        <f>IF($B79="","",SUMPRODUCT(COUNTIF($F79:$AJ79,KY_HIEU!$A$6:$A$45)*KY_HIEU!$H$6:$H$45))</f>
        <v/>
      </c>
      <c r="AQ79" s="104">
        <f>IF($B79="","",SUMPRODUCT(COUNTIF($F79:$AJ79,KY_HIEU!$A$6:$A$45)*KY_HIEU!$I$6:$I$45))</f>
        <v/>
      </c>
      <c r="AR79" s="105">
        <f>IF($B79="","",$AK79+$AL79+$AN79+$AO79+$AP79+$AQ79)</f>
        <v/>
      </c>
      <c r="AS79" s="105">
        <f>IF($B79="","",IF(DM_NHAN_SU!$I79&lt;&gt;"",DM_NHAN_SU!$I79,IF(THAM_SO_CC!$B$20="Nhập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79="",THAM_SO_CC!$B$8,DM_NHAN_SU!$F79))*(ROW(INDIRECT(THAM_SO_CC!$B$8&amp;":"&amp;THAM_SO_CC!$B$9))&lt;=IF(DM_NHAN_SU!$G79="",THAM_SO_CC!$B$9,DM_NHAN_SU!$G79))))))</f>
        <v/>
      </c>
      <c r="AT79" s="106">
        <f>IF($B79="","",$AR79-$AS79)</f>
        <v/>
      </c>
      <c r="AU79" s="96">
        <f>IF($B79="","",TRIM(IF(SUMPRODUCT(--($F79:$AJ79&lt;&gt;""))-SUMPRODUCT(COUNTIF($F79:$AJ79,KY_HIEU!$A$6:$A$45))&gt;0,"Ký hiệu lạ; ","")&amp;IF(ROUND($AT79,2)&lt;&gt;0,"Lệch ngày công "&amp;TEXT($AT79,"0.0")&amp;"; ","")&amp;IF(SUMPRODUCT(--($F79:$AJ79&lt;&gt;""),--((THAM_SO_CC!$B$8+COLUMN($F$1:$AJ$1)-6)&gt;THAM_SO_CC!$B$9))&gt;0,"Chấm ngoài kỳ; ","")&amp;IF(AND(DM_NHAN_SU!$F79&lt;&gt;"",SUMPRODUCT(--($F79:$AJ79&lt;&gt;""),--($F79:$AJ79&lt;&gt;"NV"),--($F79:$AJ79&lt;&gt;"NT"),--($F79:$AJ79&lt;&gt;"TN"),--((THAM_SO_CC!$B$8+COLUMN($F$1:$AJ$1)-6)&lt;DM_NHAN_SU!$F79))&gt;0),"Chấm trước ngày vào; ","")&amp;IF(AND(DM_NHAN_SU!$G79&lt;&gt;"",SUMPRODUCT(--($F79:$AJ79&lt;&gt;""),--($F79:$AJ79&lt;&gt;"NV"),--($F79:$AJ79&lt;&gt;"NT"),--($F79:$AJ79&lt;&gt;"TN"),--((THAM_SO_CC!$B$8+COLUMN($F$1:$AJ$1)-6)&gt;DM_NHAN_SU!$G79))&gt;0),"Chấm sau ngày nghỉ việc; ","")))</f>
        <v/>
      </c>
    </row>
    <row r="80" ht="15" customHeight="1" s="63">
      <c r="A80" s="85">
        <f>IF($B80="","",ROW()-5)</f>
        <v/>
      </c>
      <c r="B80" s="103">
        <f>IF(DM_NHAN_SU!B80="","",DM_NHAN_SU!B80)</f>
        <v/>
      </c>
      <c r="C80" s="96">
        <f>IF($B80="","",DM_NHAN_SU!C80)</f>
        <v/>
      </c>
      <c r="D80" s="96">
        <f>IF($B80="","",DM_NHAN_SU!D80)</f>
        <v/>
      </c>
      <c r="E80" s="96">
        <f>IF($B80="","",DM_NHAN_SU!E80)</f>
        <v/>
      </c>
      <c r="F80" s="93" t="n"/>
      <c r="G80" s="93" t="n"/>
      <c r="H80" s="93" t="n"/>
      <c r="I80" s="93" t="n"/>
      <c r="J80" s="93" t="n"/>
      <c r="K80" s="93" t="n"/>
      <c r="L80" s="93" t="n"/>
      <c r="M80" s="93" t="n"/>
      <c r="N80" s="93" t="n"/>
      <c r="O80" s="93" t="n"/>
      <c r="P80" s="93" t="n"/>
      <c r="Q80" s="93" t="n"/>
      <c r="R80" s="93" t="n"/>
      <c r="S80" s="93" t="n"/>
      <c r="T80" s="93" t="n"/>
      <c r="U80" s="93" t="n"/>
      <c r="V80" s="93" t="n"/>
      <c r="W80" s="93" t="n"/>
      <c r="X80" s="93" t="n"/>
      <c r="Y80" s="93" t="n"/>
      <c r="Z80" s="93" t="n"/>
      <c r="AA80" s="93" t="n"/>
      <c r="AB80" s="93" t="n"/>
      <c r="AC80" s="93" t="n"/>
      <c r="AD80" s="93" t="n"/>
      <c r="AE80" s="93" t="n"/>
      <c r="AF80" s="93" t="n"/>
      <c r="AG80" s="93" t="n"/>
      <c r="AH80" s="93" t="n"/>
      <c r="AI80" s="93" t="n"/>
      <c r="AJ80" s="93" t="n"/>
      <c r="AK80" s="104">
        <f>IF($B80="","",SUMPRODUCT(COUNTIF($F80:$AJ80,KY_HIEU!$A$6:$A$45)*KY_HIEU!$C$6:$C$45))</f>
        <v/>
      </c>
      <c r="AL80" s="104">
        <f>IF($B80="","",SUMPRODUCT(COUNTIF($F80:$AJ80,KY_HIEU!$A$6:$A$45)*KY_HIEU!$D$6:$D$45))</f>
        <v/>
      </c>
      <c r="AM80" s="104">
        <f>IF($B80="","",SUMPRODUCT(COUNTIF($F80:$AJ80,KY_HIEU!$A$6:$A$45)*KY_HIEU!$E$6:$E$45))</f>
        <v/>
      </c>
      <c r="AN80" s="104">
        <f>IF($B80="","",SUMPRODUCT(COUNTIF($F80:$AJ80,KY_HIEU!$A$6:$A$45)*KY_HIEU!$F$6:$F$45))</f>
        <v/>
      </c>
      <c r="AO80" s="104">
        <f>IF($B80="","",SUMPRODUCT(COUNTIF($F80:$AJ80,KY_HIEU!$A$6:$A$45)*KY_HIEU!$G$6:$G$45))</f>
        <v/>
      </c>
      <c r="AP80" s="104">
        <f>IF($B80="","",SUMPRODUCT(COUNTIF($F80:$AJ80,KY_HIEU!$A$6:$A$45)*KY_HIEU!$H$6:$H$45))</f>
        <v/>
      </c>
      <c r="AQ80" s="104">
        <f>IF($B80="","",SUMPRODUCT(COUNTIF($F80:$AJ80,KY_HIEU!$A$6:$A$45)*KY_HIEU!$I$6:$I$45))</f>
        <v/>
      </c>
      <c r="AR80" s="105">
        <f>IF($B80="","",$AK80+$AL80+$AN80+$AO80+$AP80+$AQ80)</f>
        <v/>
      </c>
      <c r="AS80" s="105">
        <f>IF($B80="","",IF(DM_NHAN_SU!$I80&lt;&gt;"",DM_NHAN_SU!$I80,IF(THAM_SO_CC!$B$20="Nhập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80="",THAM_SO_CC!$B$8,DM_NHAN_SU!$F80))*(ROW(INDIRECT(THAM_SO_CC!$B$8&amp;":"&amp;THAM_SO_CC!$B$9))&lt;=IF(DM_NHAN_SU!$G80="",THAM_SO_CC!$B$9,DM_NHAN_SU!$G80))))))</f>
        <v/>
      </c>
      <c r="AT80" s="106">
        <f>IF($B80="","",$AR80-$AS80)</f>
        <v/>
      </c>
      <c r="AU80" s="96">
        <f>IF($B80="","",TRIM(IF(SUMPRODUCT(--($F80:$AJ80&lt;&gt;""))-SUMPRODUCT(COUNTIF($F80:$AJ80,KY_HIEU!$A$6:$A$45))&gt;0,"Ký hiệu lạ; ","")&amp;IF(ROUND($AT80,2)&lt;&gt;0,"Lệch ngày công "&amp;TEXT($AT80,"0.0")&amp;"; ","")&amp;IF(SUMPRODUCT(--($F80:$AJ80&lt;&gt;""),--((THAM_SO_CC!$B$8+COLUMN($F$1:$AJ$1)-6)&gt;THAM_SO_CC!$B$9))&gt;0,"Chấm ngoài kỳ; ","")&amp;IF(AND(DM_NHAN_SU!$F80&lt;&gt;"",SUMPRODUCT(--($F80:$AJ80&lt;&gt;""),--($F80:$AJ80&lt;&gt;"NV"),--($F80:$AJ80&lt;&gt;"NT"),--($F80:$AJ80&lt;&gt;"TN"),--((THAM_SO_CC!$B$8+COLUMN($F$1:$AJ$1)-6)&lt;DM_NHAN_SU!$F80))&gt;0),"Chấm trước ngày vào; ","")&amp;IF(AND(DM_NHAN_SU!$G80&lt;&gt;"",SUMPRODUCT(--($F80:$AJ80&lt;&gt;""),--($F80:$AJ80&lt;&gt;"NV"),--($F80:$AJ80&lt;&gt;"NT"),--($F80:$AJ80&lt;&gt;"TN"),--((THAM_SO_CC!$B$8+COLUMN($F$1:$AJ$1)-6)&gt;DM_NHAN_SU!$G80))&gt;0),"Chấm sau ngày nghỉ việc; ","")))</f>
        <v/>
      </c>
    </row>
    <row r="81" ht="15" customHeight="1" s="63">
      <c r="A81" s="85">
        <f>IF($B81="","",ROW()-5)</f>
        <v/>
      </c>
      <c r="B81" s="103">
        <f>IF(DM_NHAN_SU!B81="","",DM_NHAN_SU!B81)</f>
        <v/>
      </c>
      <c r="C81" s="96">
        <f>IF($B81="","",DM_NHAN_SU!C81)</f>
        <v/>
      </c>
      <c r="D81" s="96">
        <f>IF($B81="","",DM_NHAN_SU!D81)</f>
        <v/>
      </c>
      <c r="E81" s="96">
        <f>IF($B81="","",DM_NHAN_SU!E81)</f>
        <v/>
      </c>
      <c r="F81" s="93" t="n"/>
      <c r="G81" s="93" t="n"/>
      <c r="H81" s="93" t="n"/>
      <c r="I81" s="93" t="n"/>
      <c r="J81" s="93" t="n"/>
      <c r="K81" s="93" t="n"/>
      <c r="L81" s="93" t="n"/>
      <c r="M81" s="93" t="n"/>
      <c r="N81" s="93" t="n"/>
      <c r="O81" s="93" t="n"/>
      <c r="P81" s="93" t="n"/>
      <c r="Q81" s="93" t="n"/>
      <c r="R81" s="93" t="n"/>
      <c r="S81" s="93" t="n"/>
      <c r="T81" s="93" t="n"/>
      <c r="U81" s="93" t="n"/>
      <c r="V81" s="93" t="n"/>
      <c r="W81" s="93" t="n"/>
      <c r="X81" s="93" t="n"/>
      <c r="Y81" s="93" t="n"/>
      <c r="Z81" s="93" t="n"/>
      <c r="AA81" s="93" t="n"/>
      <c r="AB81" s="93" t="n"/>
      <c r="AC81" s="93" t="n"/>
      <c r="AD81" s="93" t="n"/>
      <c r="AE81" s="93" t="n"/>
      <c r="AF81" s="93" t="n"/>
      <c r="AG81" s="93" t="n"/>
      <c r="AH81" s="93" t="n"/>
      <c r="AI81" s="93" t="n"/>
      <c r="AJ81" s="93" t="n"/>
      <c r="AK81" s="104">
        <f>IF($B81="","",SUMPRODUCT(COUNTIF($F81:$AJ81,KY_HIEU!$A$6:$A$45)*KY_HIEU!$C$6:$C$45))</f>
        <v/>
      </c>
      <c r="AL81" s="104">
        <f>IF($B81="","",SUMPRODUCT(COUNTIF($F81:$AJ81,KY_HIEU!$A$6:$A$45)*KY_HIEU!$D$6:$D$45))</f>
        <v/>
      </c>
      <c r="AM81" s="104">
        <f>IF($B81="","",SUMPRODUCT(COUNTIF($F81:$AJ81,KY_HIEU!$A$6:$A$45)*KY_HIEU!$E$6:$E$45))</f>
        <v/>
      </c>
      <c r="AN81" s="104">
        <f>IF($B81="","",SUMPRODUCT(COUNTIF($F81:$AJ81,KY_HIEU!$A$6:$A$45)*KY_HIEU!$F$6:$F$45))</f>
        <v/>
      </c>
      <c r="AO81" s="104">
        <f>IF($B81="","",SUMPRODUCT(COUNTIF($F81:$AJ81,KY_HIEU!$A$6:$A$45)*KY_HIEU!$G$6:$G$45))</f>
        <v/>
      </c>
      <c r="AP81" s="104">
        <f>IF($B81="","",SUMPRODUCT(COUNTIF($F81:$AJ81,KY_HIEU!$A$6:$A$45)*KY_HIEU!$H$6:$H$45))</f>
        <v/>
      </c>
      <c r="AQ81" s="104">
        <f>IF($B81="","",SUMPRODUCT(COUNTIF($F81:$AJ81,KY_HIEU!$A$6:$A$45)*KY_HIEU!$I$6:$I$45))</f>
        <v/>
      </c>
      <c r="AR81" s="105">
        <f>IF($B81="","",$AK81+$AL81+$AN81+$AO81+$AP81+$AQ81)</f>
        <v/>
      </c>
      <c r="AS81" s="105">
        <f>IF($B81="","",IF(DM_NHAN_SU!$I81&lt;&gt;"",DM_NHAN_SU!$I81,IF(THAM_SO_CC!$B$20="Nhập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81="",THAM_SO_CC!$B$8,DM_NHAN_SU!$F81))*(ROW(INDIRECT(THAM_SO_CC!$B$8&amp;":"&amp;THAM_SO_CC!$B$9))&lt;=IF(DM_NHAN_SU!$G81="",THAM_SO_CC!$B$9,DM_NHAN_SU!$G81))))))</f>
        <v/>
      </c>
      <c r="AT81" s="106">
        <f>IF($B81="","",$AR81-$AS81)</f>
        <v/>
      </c>
      <c r="AU81" s="96">
        <f>IF($B81="","",TRIM(IF(SUMPRODUCT(--($F81:$AJ81&lt;&gt;""))-SUMPRODUCT(COUNTIF($F81:$AJ81,KY_HIEU!$A$6:$A$45))&gt;0,"Ký hiệu lạ; ","")&amp;IF(ROUND($AT81,2)&lt;&gt;0,"Lệch ngày công "&amp;TEXT($AT81,"0.0")&amp;"; ","")&amp;IF(SUMPRODUCT(--($F81:$AJ81&lt;&gt;""),--((THAM_SO_CC!$B$8+COLUMN($F$1:$AJ$1)-6)&gt;THAM_SO_CC!$B$9))&gt;0,"Chấm ngoài kỳ; ","")&amp;IF(AND(DM_NHAN_SU!$F81&lt;&gt;"",SUMPRODUCT(--($F81:$AJ81&lt;&gt;""),--($F81:$AJ81&lt;&gt;"NV"),--($F81:$AJ81&lt;&gt;"NT"),--($F81:$AJ81&lt;&gt;"TN"),--((THAM_SO_CC!$B$8+COLUMN($F$1:$AJ$1)-6)&lt;DM_NHAN_SU!$F81))&gt;0),"Chấm trước ngày vào; ","")&amp;IF(AND(DM_NHAN_SU!$G81&lt;&gt;"",SUMPRODUCT(--($F81:$AJ81&lt;&gt;""),--($F81:$AJ81&lt;&gt;"NV"),--($F81:$AJ81&lt;&gt;"NT"),--($F81:$AJ81&lt;&gt;"TN"),--((THAM_SO_CC!$B$8+COLUMN($F$1:$AJ$1)-6)&gt;DM_NHAN_SU!$G81))&gt;0),"Chấm sau ngày nghỉ việc; ","")))</f>
        <v/>
      </c>
    </row>
    <row r="82" ht="15" customHeight="1" s="63">
      <c r="A82" s="85">
        <f>IF($B82="","",ROW()-5)</f>
        <v/>
      </c>
      <c r="B82" s="103">
        <f>IF(DM_NHAN_SU!B82="","",DM_NHAN_SU!B82)</f>
        <v/>
      </c>
      <c r="C82" s="96">
        <f>IF($B82="","",DM_NHAN_SU!C82)</f>
        <v/>
      </c>
      <c r="D82" s="96">
        <f>IF($B82="","",DM_NHAN_SU!D82)</f>
        <v/>
      </c>
      <c r="E82" s="96">
        <f>IF($B82="","",DM_NHAN_SU!E82)</f>
        <v/>
      </c>
      <c r="F82" s="93" t="n"/>
      <c r="G82" s="93" t="n"/>
      <c r="H82" s="93" t="n"/>
      <c r="I82" s="93" t="n"/>
      <c r="J82" s="93" t="n"/>
      <c r="K82" s="93" t="n"/>
      <c r="L82" s="93" t="n"/>
      <c r="M82" s="93" t="n"/>
      <c r="N82" s="93" t="n"/>
      <c r="O82" s="93" t="n"/>
      <c r="P82" s="93" t="n"/>
      <c r="Q82" s="93" t="n"/>
      <c r="R82" s="93" t="n"/>
      <c r="S82" s="93" t="n"/>
      <c r="T82" s="93" t="n"/>
      <c r="U82" s="93" t="n"/>
      <c r="V82" s="93" t="n"/>
      <c r="W82" s="93" t="n"/>
      <c r="X82" s="93" t="n"/>
      <c r="Y82" s="93" t="n"/>
      <c r="Z82" s="93" t="n"/>
      <c r="AA82" s="93" t="n"/>
      <c r="AB82" s="93" t="n"/>
      <c r="AC82" s="93" t="n"/>
      <c r="AD82" s="93" t="n"/>
      <c r="AE82" s="93" t="n"/>
      <c r="AF82" s="93" t="n"/>
      <c r="AG82" s="93" t="n"/>
      <c r="AH82" s="93" t="n"/>
      <c r="AI82" s="93" t="n"/>
      <c r="AJ82" s="93" t="n"/>
      <c r="AK82" s="104">
        <f>IF($B82="","",SUMPRODUCT(COUNTIF($F82:$AJ82,KY_HIEU!$A$6:$A$45)*KY_HIEU!$C$6:$C$45))</f>
        <v/>
      </c>
      <c r="AL82" s="104">
        <f>IF($B82="","",SUMPRODUCT(COUNTIF($F82:$AJ82,KY_HIEU!$A$6:$A$45)*KY_HIEU!$D$6:$D$45))</f>
        <v/>
      </c>
      <c r="AM82" s="104">
        <f>IF($B82="","",SUMPRODUCT(COUNTIF($F82:$AJ82,KY_HIEU!$A$6:$A$45)*KY_HIEU!$E$6:$E$45))</f>
        <v/>
      </c>
      <c r="AN82" s="104">
        <f>IF($B82="","",SUMPRODUCT(COUNTIF($F82:$AJ82,KY_HIEU!$A$6:$A$45)*KY_HIEU!$F$6:$F$45))</f>
        <v/>
      </c>
      <c r="AO82" s="104">
        <f>IF($B82="","",SUMPRODUCT(COUNTIF($F82:$AJ82,KY_HIEU!$A$6:$A$45)*KY_HIEU!$G$6:$G$45))</f>
        <v/>
      </c>
      <c r="AP82" s="104">
        <f>IF($B82="","",SUMPRODUCT(COUNTIF($F82:$AJ82,KY_HIEU!$A$6:$A$45)*KY_HIEU!$H$6:$H$45))</f>
        <v/>
      </c>
      <c r="AQ82" s="104">
        <f>IF($B82="","",SUMPRODUCT(COUNTIF($F82:$AJ82,KY_HIEU!$A$6:$A$45)*KY_HIEU!$I$6:$I$45))</f>
        <v/>
      </c>
      <c r="AR82" s="105">
        <f>IF($B82="","",$AK82+$AL82+$AN82+$AO82+$AP82+$AQ82)</f>
        <v/>
      </c>
      <c r="AS82" s="105">
        <f>IF($B82="","",IF(DM_NHAN_SU!$I82&lt;&gt;"",DM_NHAN_SU!$I82,IF(THAM_SO_CC!$B$20="Nhập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82="",THAM_SO_CC!$B$8,DM_NHAN_SU!$F82))*(ROW(INDIRECT(THAM_SO_CC!$B$8&amp;":"&amp;THAM_SO_CC!$B$9))&lt;=IF(DM_NHAN_SU!$G82="",THAM_SO_CC!$B$9,DM_NHAN_SU!$G82))))))</f>
        <v/>
      </c>
      <c r="AT82" s="106">
        <f>IF($B82="","",$AR82-$AS82)</f>
        <v/>
      </c>
      <c r="AU82" s="96">
        <f>IF($B82="","",TRIM(IF(SUMPRODUCT(--($F82:$AJ82&lt;&gt;""))-SUMPRODUCT(COUNTIF($F82:$AJ82,KY_HIEU!$A$6:$A$45))&gt;0,"Ký hiệu lạ; ","")&amp;IF(ROUND($AT82,2)&lt;&gt;0,"Lệch ngày công "&amp;TEXT($AT82,"0.0")&amp;"; ","")&amp;IF(SUMPRODUCT(--($F82:$AJ82&lt;&gt;""),--((THAM_SO_CC!$B$8+COLUMN($F$1:$AJ$1)-6)&gt;THAM_SO_CC!$B$9))&gt;0,"Chấm ngoài kỳ; ","")&amp;IF(AND(DM_NHAN_SU!$F82&lt;&gt;"",SUMPRODUCT(--($F82:$AJ82&lt;&gt;""),--($F82:$AJ82&lt;&gt;"NV"),--($F82:$AJ82&lt;&gt;"NT"),--($F82:$AJ82&lt;&gt;"TN"),--((THAM_SO_CC!$B$8+COLUMN($F$1:$AJ$1)-6)&lt;DM_NHAN_SU!$F82))&gt;0),"Chấm trước ngày vào; ","")&amp;IF(AND(DM_NHAN_SU!$G82&lt;&gt;"",SUMPRODUCT(--($F82:$AJ82&lt;&gt;""),--($F82:$AJ82&lt;&gt;"NV"),--($F82:$AJ82&lt;&gt;"NT"),--($F82:$AJ82&lt;&gt;"TN"),--((THAM_SO_CC!$B$8+COLUMN($F$1:$AJ$1)-6)&gt;DM_NHAN_SU!$G82))&gt;0),"Chấm sau ngày nghỉ việc; ","")))</f>
        <v/>
      </c>
    </row>
    <row r="83" ht="15" customHeight="1" s="63">
      <c r="A83" s="85">
        <f>IF($B83="","",ROW()-5)</f>
        <v/>
      </c>
      <c r="B83" s="103">
        <f>IF(DM_NHAN_SU!B83="","",DM_NHAN_SU!B83)</f>
        <v/>
      </c>
      <c r="C83" s="96">
        <f>IF($B83="","",DM_NHAN_SU!C83)</f>
        <v/>
      </c>
      <c r="D83" s="96">
        <f>IF($B83="","",DM_NHAN_SU!D83)</f>
        <v/>
      </c>
      <c r="E83" s="96">
        <f>IF($B83="","",DM_NHAN_SU!E83)</f>
        <v/>
      </c>
      <c r="F83" s="93" t="n"/>
      <c r="G83" s="93" t="n"/>
      <c r="H83" s="93" t="n"/>
      <c r="I83" s="93" t="n"/>
      <c r="J83" s="93" t="n"/>
      <c r="K83" s="93" t="n"/>
      <c r="L83" s="93" t="n"/>
      <c r="M83" s="93" t="n"/>
      <c r="N83" s="93" t="n"/>
      <c r="O83" s="93" t="n"/>
      <c r="P83" s="93" t="n"/>
      <c r="Q83" s="93" t="n"/>
      <c r="R83" s="93" t="n"/>
      <c r="S83" s="93" t="n"/>
      <c r="T83" s="93" t="n"/>
      <c r="U83" s="93" t="n"/>
      <c r="V83" s="93" t="n"/>
      <c r="W83" s="93" t="n"/>
      <c r="X83" s="93" t="n"/>
      <c r="Y83" s="93" t="n"/>
      <c r="Z83" s="93" t="n"/>
      <c r="AA83" s="93" t="n"/>
      <c r="AB83" s="93" t="n"/>
      <c r="AC83" s="93" t="n"/>
      <c r="AD83" s="93" t="n"/>
      <c r="AE83" s="93" t="n"/>
      <c r="AF83" s="93" t="n"/>
      <c r="AG83" s="93" t="n"/>
      <c r="AH83" s="93" t="n"/>
      <c r="AI83" s="93" t="n"/>
      <c r="AJ83" s="93" t="n"/>
      <c r="AK83" s="104">
        <f>IF($B83="","",SUMPRODUCT(COUNTIF($F83:$AJ83,KY_HIEU!$A$6:$A$45)*KY_HIEU!$C$6:$C$45))</f>
        <v/>
      </c>
      <c r="AL83" s="104">
        <f>IF($B83="","",SUMPRODUCT(COUNTIF($F83:$AJ83,KY_HIEU!$A$6:$A$45)*KY_HIEU!$D$6:$D$45))</f>
        <v/>
      </c>
      <c r="AM83" s="104">
        <f>IF($B83="","",SUMPRODUCT(COUNTIF($F83:$AJ83,KY_HIEU!$A$6:$A$45)*KY_HIEU!$E$6:$E$45))</f>
        <v/>
      </c>
      <c r="AN83" s="104">
        <f>IF($B83="","",SUMPRODUCT(COUNTIF($F83:$AJ83,KY_HIEU!$A$6:$A$45)*KY_HIEU!$F$6:$F$45))</f>
        <v/>
      </c>
      <c r="AO83" s="104">
        <f>IF($B83="","",SUMPRODUCT(COUNTIF($F83:$AJ83,KY_HIEU!$A$6:$A$45)*KY_HIEU!$G$6:$G$45))</f>
        <v/>
      </c>
      <c r="AP83" s="104">
        <f>IF($B83="","",SUMPRODUCT(COUNTIF($F83:$AJ83,KY_HIEU!$A$6:$A$45)*KY_HIEU!$H$6:$H$45))</f>
        <v/>
      </c>
      <c r="AQ83" s="104">
        <f>IF($B83="","",SUMPRODUCT(COUNTIF($F83:$AJ83,KY_HIEU!$A$6:$A$45)*KY_HIEU!$I$6:$I$45))</f>
        <v/>
      </c>
      <c r="AR83" s="105">
        <f>IF($B83="","",$AK83+$AL83+$AN83+$AO83+$AP83+$AQ83)</f>
        <v/>
      </c>
      <c r="AS83" s="105">
        <f>IF($B83="","",IF(DM_NHAN_SU!$I83&lt;&gt;"",DM_NHAN_SU!$I83,IF(THAM_SO_CC!$B$20="Nhập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83="",THAM_SO_CC!$B$8,DM_NHAN_SU!$F83))*(ROW(INDIRECT(THAM_SO_CC!$B$8&amp;":"&amp;THAM_SO_CC!$B$9))&lt;=IF(DM_NHAN_SU!$G83="",THAM_SO_CC!$B$9,DM_NHAN_SU!$G83))))))</f>
        <v/>
      </c>
      <c r="AT83" s="106">
        <f>IF($B83="","",$AR83-$AS83)</f>
        <v/>
      </c>
      <c r="AU83" s="96">
        <f>IF($B83="","",TRIM(IF(SUMPRODUCT(--($F83:$AJ83&lt;&gt;""))-SUMPRODUCT(COUNTIF($F83:$AJ83,KY_HIEU!$A$6:$A$45))&gt;0,"Ký hiệu lạ; ","")&amp;IF(ROUND($AT83,2)&lt;&gt;0,"Lệch ngày công "&amp;TEXT($AT83,"0.0")&amp;"; ","")&amp;IF(SUMPRODUCT(--($F83:$AJ83&lt;&gt;""),--((THAM_SO_CC!$B$8+COLUMN($F$1:$AJ$1)-6)&gt;THAM_SO_CC!$B$9))&gt;0,"Chấm ngoài kỳ; ","")&amp;IF(AND(DM_NHAN_SU!$F83&lt;&gt;"",SUMPRODUCT(--($F83:$AJ83&lt;&gt;""),--($F83:$AJ83&lt;&gt;"NV"),--($F83:$AJ83&lt;&gt;"NT"),--($F83:$AJ83&lt;&gt;"TN"),--((THAM_SO_CC!$B$8+COLUMN($F$1:$AJ$1)-6)&lt;DM_NHAN_SU!$F83))&gt;0),"Chấm trước ngày vào; ","")&amp;IF(AND(DM_NHAN_SU!$G83&lt;&gt;"",SUMPRODUCT(--($F83:$AJ83&lt;&gt;""),--($F83:$AJ83&lt;&gt;"NV"),--($F83:$AJ83&lt;&gt;"NT"),--($F83:$AJ83&lt;&gt;"TN"),--((THAM_SO_CC!$B$8+COLUMN($F$1:$AJ$1)-6)&gt;DM_NHAN_SU!$G83))&gt;0),"Chấm sau ngày nghỉ việc; ","")))</f>
        <v/>
      </c>
    </row>
    <row r="84" ht="15" customHeight="1" s="63">
      <c r="A84" s="85">
        <f>IF($B84="","",ROW()-5)</f>
        <v/>
      </c>
      <c r="B84" s="103">
        <f>IF(DM_NHAN_SU!B84="","",DM_NHAN_SU!B84)</f>
        <v/>
      </c>
      <c r="C84" s="96">
        <f>IF($B84="","",DM_NHAN_SU!C84)</f>
        <v/>
      </c>
      <c r="D84" s="96">
        <f>IF($B84="","",DM_NHAN_SU!D84)</f>
        <v/>
      </c>
      <c r="E84" s="96">
        <f>IF($B84="","",DM_NHAN_SU!E84)</f>
        <v/>
      </c>
      <c r="F84" s="93" t="n"/>
      <c r="G84" s="93" t="n"/>
      <c r="H84" s="93" t="n"/>
      <c r="I84" s="93" t="n"/>
      <c r="J84" s="93" t="n"/>
      <c r="K84" s="93" t="n"/>
      <c r="L84" s="93" t="n"/>
      <c r="M84" s="93" t="n"/>
      <c r="N84" s="93" t="n"/>
      <c r="O84" s="93" t="n"/>
      <c r="P84" s="93" t="n"/>
      <c r="Q84" s="93" t="n"/>
      <c r="R84" s="93" t="n"/>
      <c r="S84" s="93" t="n"/>
      <c r="T84" s="93" t="n"/>
      <c r="U84" s="93" t="n"/>
      <c r="V84" s="93" t="n"/>
      <c r="W84" s="93" t="n"/>
      <c r="X84" s="93" t="n"/>
      <c r="Y84" s="93" t="n"/>
      <c r="Z84" s="93" t="n"/>
      <c r="AA84" s="93" t="n"/>
      <c r="AB84" s="93" t="n"/>
      <c r="AC84" s="93" t="n"/>
      <c r="AD84" s="93" t="n"/>
      <c r="AE84" s="93" t="n"/>
      <c r="AF84" s="93" t="n"/>
      <c r="AG84" s="93" t="n"/>
      <c r="AH84" s="93" t="n"/>
      <c r="AI84" s="93" t="n"/>
      <c r="AJ84" s="93" t="n"/>
      <c r="AK84" s="104">
        <f>IF($B84="","",SUMPRODUCT(COUNTIF($F84:$AJ84,KY_HIEU!$A$6:$A$45)*KY_HIEU!$C$6:$C$45))</f>
        <v/>
      </c>
      <c r="AL84" s="104">
        <f>IF($B84="","",SUMPRODUCT(COUNTIF($F84:$AJ84,KY_HIEU!$A$6:$A$45)*KY_HIEU!$D$6:$D$45))</f>
        <v/>
      </c>
      <c r="AM84" s="104">
        <f>IF($B84="","",SUMPRODUCT(COUNTIF($F84:$AJ84,KY_HIEU!$A$6:$A$45)*KY_HIEU!$E$6:$E$45))</f>
        <v/>
      </c>
      <c r="AN84" s="104">
        <f>IF($B84="","",SUMPRODUCT(COUNTIF($F84:$AJ84,KY_HIEU!$A$6:$A$45)*KY_HIEU!$F$6:$F$45))</f>
        <v/>
      </c>
      <c r="AO84" s="104">
        <f>IF($B84="","",SUMPRODUCT(COUNTIF($F84:$AJ84,KY_HIEU!$A$6:$A$45)*KY_HIEU!$G$6:$G$45))</f>
        <v/>
      </c>
      <c r="AP84" s="104">
        <f>IF($B84="","",SUMPRODUCT(COUNTIF($F84:$AJ84,KY_HIEU!$A$6:$A$45)*KY_HIEU!$H$6:$H$45))</f>
        <v/>
      </c>
      <c r="AQ84" s="104">
        <f>IF($B84="","",SUMPRODUCT(COUNTIF($F84:$AJ84,KY_HIEU!$A$6:$A$45)*KY_HIEU!$I$6:$I$45))</f>
        <v/>
      </c>
      <c r="AR84" s="105">
        <f>IF($B84="","",$AK84+$AL84+$AN84+$AO84+$AP84+$AQ84)</f>
        <v/>
      </c>
      <c r="AS84" s="105">
        <f>IF($B84="","",IF(DM_NHAN_SU!$I84&lt;&gt;"",DM_NHAN_SU!$I84,IF(THAM_SO_CC!$B$20="Nhập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84="",THAM_SO_CC!$B$8,DM_NHAN_SU!$F84))*(ROW(INDIRECT(THAM_SO_CC!$B$8&amp;":"&amp;THAM_SO_CC!$B$9))&lt;=IF(DM_NHAN_SU!$G84="",THAM_SO_CC!$B$9,DM_NHAN_SU!$G84))))))</f>
        <v/>
      </c>
      <c r="AT84" s="106">
        <f>IF($B84="","",$AR84-$AS84)</f>
        <v/>
      </c>
      <c r="AU84" s="96">
        <f>IF($B84="","",TRIM(IF(SUMPRODUCT(--($F84:$AJ84&lt;&gt;""))-SUMPRODUCT(COUNTIF($F84:$AJ84,KY_HIEU!$A$6:$A$45))&gt;0,"Ký hiệu lạ; ","")&amp;IF(ROUND($AT84,2)&lt;&gt;0,"Lệch ngày công "&amp;TEXT($AT84,"0.0")&amp;"; ","")&amp;IF(SUMPRODUCT(--($F84:$AJ84&lt;&gt;""),--((THAM_SO_CC!$B$8+COLUMN($F$1:$AJ$1)-6)&gt;THAM_SO_CC!$B$9))&gt;0,"Chấm ngoài kỳ; ","")&amp;IF(AND(DM_NHAN_SU!$F84&lt;&gt;"",SUMPRODUCT(--($F84:$AJ84&lt;&gt;""),--($F84:$AJ84&lt;&gt;"NV"),--($F84:$AJ84&lt;&gt;"NT"),--($F84:$AJ84&lt;&gt;"TN"),--((THAM_SO_CC!$B$8+COLUMN($F$1:$AJ$1)-6)&lt;DM_NHAN_SU!$F84))&gt;0),"Chấm trước ngày vào; ","")&amp;IF(AND(DM_NHAN_SU!$G84&lt;&gt;"",SUMPRODUCT(--($F84:$AJ84&lt;&gt;""),--($F84:$AJ84&lt;&gt;"NV"),--($F84:$AJ84&lt;&gt;"NT"),--($F84:$AJ84&lt;&gt;"TN"),--((THAM_SO_CC!$B$8+COLUMN($F$1:$AJ$1)-6)&gt;DM_NHAN_SU!$G84))&gt;0),"Chấm sau ngày nghỉ việc; ","")))</f>
        <v/>
      </c>
    </row>
    <row r="85" ht="15" customHeight="1" s="63">
      <c r="A85" s="85">
        <f>IF($B85="","",ROW()-5)</f>
        <v/>
      </c>
      <c r="B85" s="103">
        <f>IF(DM_NHAN_SU!B85="","",DM_NHAN_SU!B85)</f>
        <v/>
      </c>
      <c r="C85" s="96">
        <f>IF($B85="","",DM_NHAN_SU!C85)</f>
        <v/>
      </c>
      <c r="D85" s="96">
        <f>IF($B85="","",DM_NHAN_SU!D85)</f>
        <v/>
      </c>
      <c r="E85" s="96">
        <f>IF($B85="","",DM_NHAN_SU!E85)</f>
        <v/>
      </c>
      <c r="F85" s="93" t="n"/>
      <c r="G85" s="93" t="n"/>
      <c r="H85" s="93" t="n"/>
      <c r="I85" s="93" t="n"/>
      <c r="J85" s="93" t="n"/>
      <c r="K85" s="93" t="n"/>
      <c r="L85" s="93" t="n"/>
      <c r="M85" s="93" t="n"/>
      <c r="N85" s="93" t="n"/>
      <c r="O85" s="93" t="n"/>
      <c r="P85" s="93" t="n"/>
      <c r="Q85" s="93" t="n"/>
      <c r="R85" s="93" t="n"/>
      <c r="S85" s="93" t="n"/>
      <c r="T85" s="93" t="n"/>
      <c r="U85" s="93" t="n"/>
      <c r="V85" s="93" t="n"/>
      <c r="W85" s="93" t="n"/>
      <c r="X85" s="93" t="n"/>
      <c r="Y85" s="93" t="n"/>
      <c r="Z85" s="93" t="n"/>
      <c r="AA85" s="93" t="n"/>
      <c r="AB85" s="93" t="n"/>
      <c r="AC85" s="93" t="n"/>
      <c r="AD85" s="93" t="n"/>
      <c r="AE85" s="93" t="n"/>
      <c r="AF85" s="93" t="n"/>
      <c r="AG85" s="93" t="n"/>
      <c r="AH85" s="93" t="n"/>
      <c r="AI85" s="93" t="n"/>
      <c r="AJ85" s="93" t="n"/>
      <c r="AK85" s="104">
        <f>IF($B85="","",SUMPRODUCT(COUNTIF($F85:$AJ85,KY_HIEU!$A$6:$A$45)*KY_HIEU!$C$6:$C$45))</f>
        <v/>
      </c>
      <c r="AL85" s="104">
        <f>IF($B85="","",SUMPRODUCT(COUNTIF($F85:$AJ85,KY_HIEU!$A$6:$A$45)*KY_HIEU!$D$6:$D$45))</f>
        <v/>
      </c>
      <c r="AM85" s="104">
        <f>IF($B85="","",SUMPRODUCT(COUNTIF($F85:$AJ85,KY_HIEU!$A$6:$A$45)*KY_HIEU!$E$6:$E$45))</f>
        <v/>
      </c>
      <c r="AN85" s="104">
        <f>IF($B85="","",SUMPRODUCT(COUNTIF($F85:$AJ85,KY_HIEU!$A$6:$A$45)*KY_HIEU!$F$6:$F$45))</f>
        <v/>
      </c>
      <c r="AO85" s="104">
        <f>IF($B85="","",SUMPRODUCT(COUNTIF($F85:$AJ85,KY_HIEU!$A$6:$A$45)*KY_HIEU!$G$6:$G$45))</f>
        <v/>
      </c>
      <c r="AP85" s="104">
        <f>IF($B85="","",SUMPRODUCT(COUNTIF($F85:$AJ85,KY_HIEU!$A$6:$A$45)*KY_HIEU!$H$6:$H$45))</f>
        <v/>
      </c>
      <c r="AQ85" s="104">
        <f>IF($B85="","",SUMPRODUCT(COUNTIF($F85:$AJ85,KY_HIEU!$A$6:$A$45)*KY_HIEU!$I$6:$I$45))</f>
        <v/>
      </c>
      <c r="AR85" s="105">
        <f>IF($B85="","",$AK85+$AL85+$AN85+$AO85+$AP85+$AQ85)</f>
        <v/>
      </c>
      <c r="AS85" s="105">
        <f>IF($B85="","",IF(DM_NHAN_SU!$I85&lt;&gt;"",DM_NHAN_SU!$I85,IF(THAM_SO_CC!$B$20="Nhập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85="",THAM_SO_CC!$B$8,DM_NHAN_SU!$F85))*(ROW(INDIRECT(THAM_SO_CC!$B$8&amp;":"&amp;THAM_SO_CC!$B$9))&lt;=IF(DM_NHAN_SU!$G85="",THAM_SO_CC!$B$9,DM_NHAN_SU!$G85))))))</f>
        <v/>
      </c>
      <c r="AT85" s="106">
        <f>IF($B85="","",$AR85-$AS85)</f>
        <v/>
      </c>
      <c r="AU85" s="96">
        <f>IF($B85="","",TRIM(IF(SUMPRODUCT(--($F85:$AJ85&lt;&gt;""))-SUMPRODUCT(COUNTIF($F85:$AJ85,KY_HIEU!$A$6:$A$45))&gt;0,"Ký hiệu lạ; ","")&amp;IF(ROUND($AT85,2)&lt;&gt;0,"Lệch ngày công "&amp;TEXT($AT85,"0.0")&amp;"; ","")&amp;IF(SUMPRODUCT(--($F85:$AJ85&lt;&gt;""),--((THAM_SO_CC!$B$8+COLUMN($F$1:$AJ$1)-6)&gt;THAM_SO_CC!$B$9))&gt;0,"Chấm ngoài kỳ; ","")&amp;IF(AND(DM_NHAN_SU!$F85&lt;&gt;"",SUMPRODUCT(--($F85:$AJ85&lt;&gt;""),--($F85:$AJ85&lt;&gt;"NV"),--($F85:$AJ85&lt;&gt;"NT"),--($F85:$AJ85&lt;&gt;"TN"),--((THAM_SO_CC!$B$8+COLUMN($F$1:$AJ$1)-6)&lt;DM_NHAN_SU!$F85))&gt;0),"Chấm trước ngày vào; ","")&amp;IF(AND(DM_NHAN_SU!$G85&lt;&gt;"",SUMPRODUCT(--($F85:$AJ85&lt;&gt;""),--($F85:$AJ85&lt;&gt;"NV"),--($F85:$AJ85&lt;&gt;"NT"),--($F85:$AJ85&lt;&gt;"TN"),--((THAM_SO_CC!$B$8+COLUMN($F$1:$AJ$1)-6)&gt;DM_NHAN_SU!$G85))&gt;0),"Chấm sau ngày nghỉ việc; ","")))</f>
        <v/>
      </c>
    </row>
    <row r="86" ht="15" customHeight="1" s="63">
      <c r="A86" s="85">
        <f>IF($B86="","",ROW()-5)</f>
        <v/>
      </c>
      <c r="B86" s="103">
        <f>IF(DM_NHAN_SU!B86="","",DM_NHAN_SU!B86)</f>
        <v/>
      </c>
      <c r="C86" s="96">
        <f>IF($B86="","",DM_NHAN_SU!C86)</f>
        <v/>
      </c>
      <c r="D86" s="96">
        <f>IF($B86="","",DM_NHAN_SU!D86)</f>
        <v/>
      </c>
      <c r="E86" s="96">
        <f>IF($B86="","",DM_NHAN_SU!E86)</f>
        <v/>
      </c>
      <c r="F86" s="93" t="n"/>
      <c r="G86" s="93" t="n"/>
      <c r="H86" s="93" t="n"/>
      <c r="I86" s="93" t="n"/>
      <c r="J86" s="93" t="n"/>
      <c r="K86" s="93" t="n"/>
      <c r="L86" s="93" t="n"/>
      <c r="M86" s="93" t="n"/>
      <c r="N86" s="93" t="n"/>
      <c r="O86" s="93" t="n"/>
      <c r="P86" s="93" t="n"/>
      <c r="Q86" s="93" t="n"/>
      <c r="R86" s="93" t="n"/>
      <c r="S86" s="93" t="n"/>
      <c r="T86" s="93" t="n"/>
      <c r="U86" s="93" t="n"/>
      <c r="V86" s="93" t="n"/>
      <c r="W86" s="93" t="n"/>
      <c r="X86" s="93" t="n"/>
      <c r="Y86" s="93" t="n"/>
      <c r="Z86" s="93" t="n"/>
      <c r="AA86" s="93" t="n"/>
      <c r="AB86" s="93" t="n"/>
      <c r="AC86" s="93" t="n"/>
      <c r="AD86" s="93" t="n"/>
      <c r="AE86" s="93" t="n"/>
      <c r="AF86" s="93" t="n"/>
      <c r="AG86" s="93" t="n"/>
      <c r="AH86" s="93" t="n"/>
      <c r="AI86" s="93" t="n"/>
      <c r="AJ86" s="93" t="n"/>
      <c r="AK86" s="104">
        <f>IF($B86="","",SUMPRODUCT(COUNTIF($F86:$AJ86,KY_HIEU!$A$6:$A$45)*KY_HIEU!$C$6:$C$45))</f>
        <v/>
      </c>
      <c r="AL86" s="104">
        <f>IF($B86="","",SUMPRODUCT(COUNTIF($F86:$AJ86,KY_HIEU!$A$6:$A$45)*KY_HIEU!$D$6:$D$45))</f>
        <v/>
      </c>
      <c r="AM86" s="104">
        <f>IF($B86="","",SUMPRODUCT(COUNTIF($F86:$AJ86,KY_HIEU!$A$6:$A$45)*KY_HIEU!$E$6:$E$45))</f>
        <v/>
      </c>
      <c r="AN86" s="104">
        <f>IF($B86="","",SUMPRODUCT(COUNTIF($F86:$AJ86,KY_HIEU!$A$6:$A$45)*KY_HIEU!$F$6:$F$45))</f>
        <v/>
      </c>
      <c r="AO86" s="104">
        <f>IF($B86="","",SUMPRODUCT(COUNTIF($F86:$AJ86,KY_HIEU!$A$6:$A$45)*KY_HIEU!$G$6:$G$45))</f>
        <v/>
      </c>
      <c r="AP86" s="104">
        <f>IF($B86="","",SUMPRODUCT(COUNTIF($F86:$AJ86,KY_HIEU!$A$6:$A$45)*KY_HIEU!$H$6:$H$45))</f>
        <v/>
      </c>
      <c r="AQ86" s="104">
        <f>IF($B86="","",SUMPRODUCT(COUNTIF($F86:$AJ86,KY_HIEU!$A$6:$A$45)*KY_HIEU!$I$6:$I$45))</f>
        <v/>
      </c>
      <c r="AR86" s="105">
        <f>IF($B86="","",$AK86+$AL86+$AN86+$AO86+$AP86+$AQ86)</f>
        <v/>
      </c>
      <c r="AS86" s="105">
        <f>IF($B86="","",IF(DM_NHAN_SU!$I86&lt;&gt;"",DM_NHAN_SU!$I86,IF(THAM_SO_CC!$B$20="Nhập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86="",THAM_SO_CC!$B$8,DM_NHAN_SU!$F86))*(ROW(INDIRECT(THAM_SO_CC!$B$8&amp;":"&amp;THAM_SO_CC!$B$9))&lt;=IF(DM_NHAN_SU!$G86="",THAM_SO_CC!$B$9,DM_NHAN_SU!$G86))))))</f>
        <v/>
      </c>
      <c r="AT86" s="106">
        <f>IF($B86="","",$AR86-$AS86)</f>
        <v/>
      </c>
      <c r="AU86" s="96">
        <f>IF($B86="","",TRIM(IF(SUMPRODUCT(--($F86:$AJ86&lt;&gt;""))-SUMPRODUCT(COUNTIF($F86:$AJ86,KY_HIEU!$A$6:$A$45))&gt;0,"Ký hiệu lạ; ","")&amp;IF(ROUND($AT86,2)&lt;&gt;0,"Lệch ngày công "&amp;TEXT($AT86,"0.0")&amp;"; ","")&amp;IF(SUMPRODUCT(--($F86:$AJ86&lt;&gt;""),--((THAM_SO_CC!$B$8+COLUMN($F$1:$AJ$1)-6)&gt;THAM_SO_CC!$B$9))&gt;0,"Chấm ngoài kỳ; ","")&amp;IF(AND(DM_NHAN_SU!$F86&lt;&gt;"",SUMPRODUCT(--($F86:$AJ86&lt;&gt;""),--($F86:$AJ86&lt;&gt;"NV"),--($F86:$AJ86&lt;&gt;"NT"),--($F86:$AJ86&lt;&gt;"TN"),--((THAM_SO_CC!$B$8+COLUMN($F$1:$AJ$1)-6)&lt;DM_NHAN_SU!$F86))&gt;0),"Chấm trước ngày vào; ","")&amp;IF(AND(DM_NHAN_SU!$G86&lt;&gt;"",SUMPRODUCT(--($F86:$AJ86&lt;&gt;""),--($F86:$AJ86&lt;&gt;"NV"),--($F86:$AJ86&lt;&gt;"NT"),--($F86:$AJ86&lt;&gt;"TN"),--((THAM_SO_CC!$B$8+COLUMN($F$1:$AJ$1)-6)&gt;DM_NHAN_SU!$G86))&gt;0),"Chấm sau ngày nghỉ việc; ","")))</f>
        <v/>
      </c>
    </row>
    <row r="87" ht="15" customHeight="1" s="63">
      <c r="A87" s="85">
        <f>IF($B87="","",ROW()-5)</f>
        <v/>
      </c>
      <c r="B87" s="103">
        <f>IF(DM_NHAN_SU!B87="","",DM_NHAN_SU!B87)</f>
        <v/>
      </c>
      <c r="C87" s="96">
        <f>IF($B87="","",DM_NHAN_SU!C87)</f>
        <v/>
      </c>
      <c r="D87" s="96">
        <f>IF($B87="","",DM_NHAN_SU!D87)</f>
        <v/>
      </c>
      <c r="E87" s="96">
        <f>IF($B87="","",DM_NHAN_SU!E87)</f>
        <v/>
      </c>
      <c r="F87" s="93" t="n"/>
      <c r="G87" s="93" t="n"/>
      <c r="H87" s="93" t="n"/>
      <c r="I87" s="93" t="n"/>
      <c r="J87" s="93" t="n"/>
      <c r="K87" s="93" t="n"/>
      <c r="L87" s="93" t="n"/>
      <c r="M87" s="93" t="n"/>
      <c r="N87" s="93" t="n"/>
      <c r="O87" s="93" t="n"/>
      <c r="P87" s="93" t="n"/>
      <c r="Q87" s="93" t="n"/>
      <c r="R87" s="93" t="n"/>
      <c r="S87" s="93" t="n"/>
      <c r="T87" s="93" t="n"/>
      <c r="U87" s="93" t="n"/>
      <c r="V87" s="93" t="n"/>
      <c r="W87" s="93" t="n"/>
      <c r="X87" s="93" t="n"/>
      <c r="Y87" s="93" t="n"/>
      <c r="Z87" s="93" t="n"/>
      <c r="AA87" s="93" t="n"/>
      <c r="AB87" s="93" t="n"/>
      <c r="AC87" s="93" t="n"/>
      <c r="AD87" s="93" t="n"/>
      <c r="AE87" s="93" t="n"/>
      <c r="AF87" s="93" t="n"/>
      <c r="AG87" s="93" t="n"/>
      <c r="AH87" s="93" t="n"/>
      <c r="AI87" s="93" t="n"/>
      <c r="AJ87" s="93" t="n"/>
      <c r="AK87" s="104">
        <f>IF($B87="","",SUMPRODUCT(COUNTIF($F87:$AJ87,KY_HIEU!$A$6:$A$45)*KY_HIEU!$C$6:$C$45))</f>
        <v/>
      </c>
      <c r="AL87" s="104">
        <f>IF($B87="","",SUMPRODUCT(COUNTIF($F87:$AJ87,KY_HIEU!$A$6:$A$45)*KY_HIEU!$D$6:$D$45))</f>
        <v/>
      </c>
      <c r="AM87" s="104">
        <f>IF($B87="","",SUMPRODUCT(COUNTIF($F87:$AJ87,KY_HIEU!$A$6:$A$45)*KY_HIEU!$E$6:$E$45))</f>
        <v/>
      </c>
      <c r="AN87" s="104">
        <f>IF($B87="","",SUMPRODUCT(COUNTIF($F87:$AJ87,KY_HIEU!$A$6:$A$45)*KY_HIEU!$F$6:$F$45))</f>
        <v/>
      </c>
      <c r="AO87" s="104">
        <f>IF($B87="","",SUMPRODUCT(COUNTIF($F87:$AJ87,KY_HIEU!$A$6:$A$45)*KY_HIEU!$G$6:$G$45))</f>
        <v/>
      </c>
      <c r="AP87" s="104">
        <f>IF($B87="","",SUMPRODUCT(COUNTIF($F87:$AJ87,KY_HIEU!$A$6:$A$45)*KY_HIEU!$H$6:$H$45))</f>
        <v/>
      </c>
      <c r="AQ87" s="104">
        <f>IF($B87="","",SUMPRODUCT(COUNTIF($F87:$AJ87,KY_HIEU!$A$6:$A$45)*KY_HIEU!$I$6:$I$45))</f>
        <v/>
      </c>
      <c r="AR87" s="105">
        <f>IF($B87="","",$AK87+$AL87+$AN87+$AO87+$AP87+$AQ87)</f>
        <v/>
      </c>
      <c r="AS87" s="105">
        <f>IF($B87="","",IF(DM_NHAN_SU!$I87&lt;&gt;"",DM_NHAN_SU!$I87,IF(THAM_SO_CC!$B$20="Nhập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87="",THAM_SO_CC!$B$8,DM_NHAN_SU!$F87))*(ROW(INDIRECT(THAM_SO_CC!$B$8&amp;":"&amp;THAM_SO_CC!$B$9))&lt;=IF(DM_NHAN_SU!$G87="",THAM_SO_CC!$B$9,DM_NHAN_SU!$G87))))))</f>
        <v/>
      </c>
      <c r="AT87" s="106">
        <f>IF($B87="","",$AR87-$AS87)</f>
        <v/>
      </c>
      <c r="AU87" s="96">
        <f>IF($B87="","",TRIM(IF(SUMPRODUCT(--($F87:$AJ87&lt;&gt;""))-SUMPRODUCT(COUNTIF($F87:$AJ87,KY_HIEU!$A$6:$A$45))&gt;0,"Ký hiệu lạ; ","")&amp;IF(ROUND($AT87,2)&lt;&gt;0,"Lệch ngày công "&amp;TEXT($AT87,"0.0")&amp;"; ","")&amp;IF(SUMPRODUCT(--($F87:$AJ87&lt;&gt;""),--((THAM_SO_CC!$B$8+COLUMN($F$1:$AJ$1)-6)&gt;THAM_SO_CC!$B$9))&gt;0,"Chấm ngoài kỳ; ","")&amp;IF(AND(DM_NHAN_SU!$F87&lt;&gt;"",SUMPRODUCT(--($F87:$AJ87&lt;&gt;""),--($F87:$AJ87&lt;&gt;"NV"),--($F87:$AJ87&lt;&gt;"NT"),--($F87:$AJ87&lt;&gt;"TN"),--((THAM_SO_CC!$B$8+COLUMN($F$1:$AJ$1)-6)&lt;DM_NHAN_SU!$F87))&gt;0),"Chấm trước ngày vào; ","")&amp;IF(AND(DM_NHAN_SU!$G87&lt;&gt;"",SUMPRODUCT(--($F87:$AJ87&lt;&gt;""),--($F87:$AJ87&lt;&gt;"NV"),--($F87:$AJ87&lt;&gt;"NT"),--($F87:$AJ87&lt;&gt;"TN"),--((THAM_SO_CC!$B$8+COLUMN($F$1:$AJ$1)-6)&gt;DM_NHAN_SU!$G87))&gt;0),"Chấm sau ngày nghỉ việc; ","")))</f>
        <v/>
      </c>
    </row>
    <row r="88" ht="15" customHeight="1" s="63">
      <c r="A88" s="85">
        <f>IF($B88="","",ROW()-5)</f>
        <v/>
      </c>
      <c r="B88" s="103">
        <f>IF(DM_NHAN_SU!B88="","",DM_NHAN_SU!B88)</f>
        <v/>
      </c>
      <c r="C88" s="96">
        <f>IF($B88="","",DM_NHAN_SU!C88)</f>
        <v/>
      </c>
      <c r="D88" s="96">
        <f>IF($B88="","",DM_NHAN_SU!D88)</f>
        <v/>
      </c>
      <c r="E88" s="96">
        <f>IF($B88="","",DM_NHAN_SU!E88)</f>
        <v/>
      </c>
      <c r="F88" s="93" t="n"/>
      <c r="G88" s="93" t="n"/>
      <c r="H88" s="93" t="n"/>
      <c r="I88" s="93" t="n"/>
      <c r="J88" s="93" t="n"/>
      <c r="K88" s="93" t="n"/>
      <c r="L88" s="93" t="n"/>
      <c r="M88" s="93" t="n"/>
      <c r="N88" s="93" t="n"/>
      <c r="O88" s="93" t="n"/>
      <c r="P88" s="93" t="n"/>
      <c r="Q88" s="93" t="n"/>
      <c r="R88" s="93" t="n"/>
      <c r="S88" s="93" t="n"/>
      <c r="T88" s="93" t="n"/>
      <c r="U88" s="93" t="n"/>
      <c r="V88" s="93" t="n"/>
      <c r="W88" s="93" t="n"/>
      <c r="X88" s="93" t="n"/>
      <c r="Y88" s="93" t="n"/>
      <c r="Z88" s="93" t="n"/>
      <c r="AA88" s="93" t="n"/>
      <c r="AB88" s="93" t="n"/>
      <c r="AC88" s="93" t="n"/>
      <c r="AD88" s="93" t="n"/>
      <c r="AE88" s="93" t="n"/>
      <c r="AF88" s="93" t="n"/>
      <c r="AG88" s="93" t="n"/>
      <c r="AH88" s="93" t="n"/>
      <c r="AI88" s="93" t="n"/>
      <c r="AJ88" s="93" t="n"/>
      <c r="AK88" s="104">
        <f>IF($B88="","",SUMPRODUCT(COUNTIF($F88:$AJ88,KY_HIEU!$A$6:$A$45)*KY_HIEU!$C$6:$C$45))</f>
        <v/>
      </c>
      <c r="AL88" s="104">
        <f>IF($B88="","",SUMPRODUCT(COUNTIF($F88:$AJ88,KY_HIEU!$A$6:$A$45)*KY_HIEU!$D$6:$D$45))</f>
        <v/>
      </c>
      <c r="AM88" s="104">
        <f>IF($B88="","",SUMPRODUCT(COUNTIF($F88:$AJ88,KY_HIEU!$A$6:$A$45)*KY_HIEU!$E$6:$E$45))</f>
        <v/>
      </c>
      <c r="AN88" s="104">
        <f>IF($B88="","",SUMPRODUCT(COUNTIF($F88:$AJ88,KY_HIEU!$A$6:$A$45)*KY_HIEU!$F$6:$F$45))</f>
        <v/>
      </c>
      <c r="AO88" s="104">
        <f>IF($B88="","",SUMPRODUCT(COUNTIF($F88:$AJ88,KY_HIEU!$A$6:$A$45)*KY_HIEU!$G$6:$G$45))</f>
        <v/>
      </c>
      <c r="AP88" s="104">
        <f>IF($B88="","",SUMPRODUCT(COUNTIF($F88:$AJ88,KY_HIEU!$A$6:$A$45)*KY_HIEU!$H$6:$H$45))</f>
        <v/>
      </c>
      <c r="AQ88" s="104">
        <f>IF($B88="","",SUMPRODUCT(COUNTIF($F88:$AJ88,KY_HIEU!$A$6:$A$45)*KY_HIEU!$I$6:$I$45))</f>
        <v/>
      </c>
      <c r="AR88" s="105">
        <f>IF($B88="","",$AK88+$AL88+$AN88+$AO88+$AP88+$AQ88)</f>
        <v/>
      </c>
      <c r="AS88" s="105">
        <f>IF($B88="","",IF(DM_NHAN_SU!$I88&lt;&gt;"",DM_NHAN_SU!$I88,IF(THAM_SO_CC!$B$20="Nhập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88="",THAM_SO_CC!$B$8,DM_NHAN_SU!$F88))*(ROW(INDIRECT(THAM_SO_CC!$B$8&amp;":"&amp;THAM_SO_CC!$B$9))&lt;=IF(DM_NHAN_SU!$G88="",THAM_SO_CC!$B$9,DM_NHAN_SU!$G88))))))</f>
        <v/>
      </c>
      <c r="AT88" s="106">
        <f>IF($B88="","",$AR88-$AS88)</f>
        <v/>
      </c>
      <c r="AU88" s="96">
        <f>IF($B88="","",TRIM(IF(SUMPRODUCT(--($F88:$AJ88&lt;&gt;""))-SUMPRODUCT(COUNTIF($F88:$AJ88,KY_HIEU!$A$6:$A$45))&gt;0,"Ký hiệu lạ; ","")&amp;IF(ROUND($AT88,2)&lt;&gt;0,"Lệch ngày công "&amp;TEXT($AT88,"0.0")&amp;"; ","")&amp;IF(SUMPRODUCT(--($F88:$AJ88&lt;&gt;""),--((THAM_SO_CC!$B$8+COLUMN($F$1:$AJ$1)-6)&gt;THAM_SO_CC!$B$9))&gt;0,"Chấm ngoài kỳ; ","")&amp;IF(AND(DM_NHAN_SU!$F88&lt;&gt;"",SUMPRODUCT(--($F88:$AJ88&lt;&gt;""),--($F88:$AJ88&lt;&gt;"NV"),--($F88:$AJ88&lt;&gt;"NT"),--($F88:$AJ88&lt;&gt;"TN"),--((THAM_SO_CC!$B$8+COLUMN($F$1:$AJ$1)-6)&lt;DM_NHAN_SU!$F88))&gt;0),"Chấm trước ngày vào; ","")&amp;IF(AND(DM_NHAN_SU!$G88&lt;&gt;"",SUMPRODUCT(--($F88:$AJ88&lt;&gt;""),--($F88:$AJ88&lt;&gt;"NV"),--($F88:$AJ88&lt;&gt;"NT"),--($F88:$AJ88&lt;&gt;"TN"),--((THAM_SO_CC!$B$8+COLUMN($F$1:$AJ$1)-6)&gt;DM_NHAN_SU!$G88))&gt;0),"Chấm sau ngày nghỉ việc; ","")))</f>
        <v/>
      </c>
    </row>
    <row r="89" ht="15" customHeight="1" s="63">
      <c r="A89" s="85">
        <f>IF($B89="","",ROW()-5)</f>
        <v/>
      </c>
      <c r="B89" s="103">
        <f>IF(DM_NHAN_SU!B89="","",DM_NHAN_SU!B89)</f>
        <v/>
      </c>
      <c r="C89" s="96">
        <f>IF($B89="","",DM_NHAN_SU!C89)</f>
        <v/>
      </c>
      <c r="D89" s="96">
        <f>IF($B89="","",DM_NHAN_SU!D89)</f>
        <v/>
      </c>
      <c r="E89" s="96">
        <f>IF($B89="","",DM_NHAN_SU!E89)</f>
        <v/>
      </c>
      <c r="F89" s="93" t="n"/>
      <c r="G89" s="93" t="n"/>
      <c r="H89" s="93" t="n"/>
      <c r="I89" s="93" t="n"/>
      <c r="J89" s="93" t="n"/>
      <c r="K89" s="93" t="n"/>
      <c r="L89" s="93" t="n"/>
      <c r="M89" s="93" t="n"/>
      <c r="N89" s="93" t="n"/>
      <c r="O89" s="93" t="n"/>
      <c r="P89" s="93" t="n"/>
      <c r="Q89" s="93" t="n"/>
      <c r="R89" s="93" t="n"/>
      <c r="S89" s="93" t="n"/>
      <c r="T89" s="93" t="n"/>
      <c r="U89" s="93" t="n"/>
      <c r="V89" s="93" t="n"/>
      <c r="W89" s="93" t="n"/>
      <c r="X89" s="93" t="n"/>
      <c r="Y89" s="93" t="n"/>
      <c r="Z89" s="93" t="n"/>
      <c r="AA89" s="93" t="n"/>
      <c r="AB89" s="93" t="n"/>
      <c r="AC89" s="93" t="n"/>
      <c r="AD89" s="93" t="n"/>
      <c r="AE89" s="93" t="n"/>
      <c r="AF89" s="93" t="n"/>
      <c r="AG89" s="93" t="n"/>
      <c r="AH89" s="93" t="n"/>
      <c r="AI89" s="93" t="n"/>
      <c r="AJ89" s="93" t="n"/>
      <c r="AK89" s="104">
        <f>IF($B89="","",SUMPRODUCT(COUNTIF($F89:$AJ89,KY_HIEU!$A$6:$A$45)*KY_HIEU!$C$6:$C$45))</f>
        <v/>
      </c>
      <c r="AL89" s="104">
        <f>IF($B89="","",SUMPRODUCT(COUNTIF($F89:$AJ89,KY_HIEU!$A$6:$A$45)*KY_HIEU!$D$6:$D$45))</f>
        <v/>
      </c>
      <c r="AM89" s="104">
        <f>IF($B89="","",SUMPRODUCT(COUNTIF($F89:$AJ89,KY_HIEU!$A$6:$A$45)*KY_HIEU!$E$6:$E$45))</f>
        <v/>
      </c>
      <c r="AN89" s="104">
        <f>IF($B89="","",SUMPRODUCT(COUNTIF($F89:$AJ89,KY_HIEU!$A$6:$A$45)*KY_HIEU!$F$6:$F$45))</f>
        <v/>
      </c>
      <c r="AO89" s="104">
        <f>IF($B89="","",SUMPRODUCT(COUNTIF($F89:$AJ89,KY_HIEU!$A$6:$A$45)*KY_HIEU!$G$6:$G$45))</f>
        <v/>
      </c>
      <c r="AP89" s="104">
        <f>IF($B89="","",SUMPRODUCT(COUNTIF($F89:$AJ89,KY_HIEU!$A$6:$A$45)*KY_HIEU!$H$6:$H$45))</f>
        <v/>
      </c>
      <c r="AQ89" s="104">
        <f>IF($B89="","",SUMPRODUCT(COUNTIF($F89:$AJ89,KY_HIEU!$A$6:$A$45)*KY_HIEU!$I$6:$I$45))</f>
        <v/>
      </c>
      <c r="AR89" s="105">
        <f>IF($B89="","",$AK89+$AL89+$AN89+$AO89+$AP89+$AQ89)</f>
        <v/>
      </c>
      <c r="AS89" s="105">
        <f>IF($B89="","",IF(DM_NHAN_SU!$I89&lt;&gt;"",DM_NHAN_SU!$I89,IF(THAM_SO_CC!$B$20="Nhập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89="",THAM_SO_CC!$B$8,DM_NHAN_SU!$F89))*(ROW(INDIRECT(THAM_SO_CC!$B$8&amp;":"&amp;THAM_SO_CC!$B$9))&lt;=IF(DM_NHAN_SU!$G89="",THAM_SO_CC!$B$9,DM_NHAN_SU!$G89))))))</f>
        <v/>
      </c>
      <c r="AT89" s="106">
        <f>IF($B89="","",$AR89-$AS89)</f>
        <v/>
      </c>
      <c r="AU89" s="96">
        <f>IF($B89="","",TRIM(IF(SUMPRODUCT(--($F89:$AJ89&lt;&gt;""))-SUMPRODUCT(COUNTIF($F89:$AJ89,KY_HIEU!$A$6:$A$45))&gt;0,"Ký hiệu lạ; ","")&amp;IF(ROUND($AT89,2)&lt;&gt;0,"Lệch ngày công "&amp;TEXT($AT89,"0.0")&amp;"; ","")&amp;IF(SUMPRODUCT(--($F89:$AJ89&lt;&gt;""),--((THAM_SO_CC!$B$8+COLUMN($F$1:$AJ$1)-6)&gt;THAM_SO_CC!$B$9))&gt;0,"Chấm ngoài kỳ; ","")&amp;IF(AND(DM_NHAN_SU!$F89&lt;&gt;"",SUMPRODUCT(--($F89:$AJ89&lt;&gt;""),--($F89:$AJ89&lt;&gt;"NV"),--($F89:$AJ89&lt;&gt;"NT"),--($F89:$AJ89&lt;&gt;"TN"),--((THAM_SO_CC!$B$8+COLUMN($F$1:$AJ$1)-6)&lt;DM_NHAN_SU!$F89))&gt;0),"Chấm trước ngày vào; ","")&amp;IF(AND(DM_NHAN_SU!$G89&lt;&gt;"",SUMPRODUCT(--($F89:$AJ89&lt;&gt;""),--($F89:$AJ89&lt;&gt;"NV"),--($F89:$AJ89&lt;&gt;"NT"),--($F89:$AJ89&lt;&gt;"TN"),--((THAM_SO_CC!$B$8+COLUMN($F$1:$AJ$1)-6)&gt;DM_NHAN_SU!$G89))&gt;0),"Chấm sau ngày nghỉ việc; ","")))</f>
        <v/>
      </c>
    </row>
    <row r="90" ht="15" customHeight="1" s="63">
      <c r="A90" s="85">
        <f>IF($B90="","",ROW()-5)</f>
        <v/>
      </c>
      <c r="B90" s="103">
        <f>IF(DM_NHAN_SU!B90="","",DM_NHAN_SU!B90)</f>
        <v/>
      </c>
      <c r="C90" s="96">
        <f>IF($B90="","",DM_NHAN_SU!C90)</f>
        <v/>
      </c>
      <c r="D90" s="96">
        <f>IF($B90="","",DM_NHAN_SU!D90)</f>
        <v/>
      </c>
      <c r="E90" s="96">
        <f>IF($B90="","",DM_NHAN_SU!E90)</f>
        <v/>
      </c>
      <c r="F90" s="93" t="n"/>
      <c r="G90" s="93" t="n"/>
      <c r="H90" s="93" t="n"/>
      <c r="I90" s="93" t="n"/>
      <c r="J90" s="93" t="n"/>
      <c r="K90" s="93" t="n"/>
      <c r="L90" s="93" t="n"/>
      <c r="M90" s="93" t="n"/>
      <c r="N90" s="93" t="n"/>
      <c r="O90" s="93" t="n"/>
      <c r="P90" s="93" t="n"/>
      <c r="Q90" s="93" t="n"/>
      <c r="R90" s="93" t="n"/>
      <c r="S90" s="93" t="n"/>
      <c r="T90" s="93" t="n"/>
      <c r="U90" s="93" t="n"/>
      <c r="V90" s="93" t="n"/>
      <c r="W90" s="93" t="n"/>
      <c r="X90" s="93" t="n"/>
      <c r="Y90" s="93" t="n"/>
      <c r="Z90" s="93" t="n"/>
      <c r="AA90" s="93" t="n"/>
      <c r="AB90" s="93" t="n"/>
      <c r="AC90" s="93" t="n"/>
      <c r="AD90" s="93" t="n"/>
      <c r="AE90" s="93" t="n"/>
      <c r="AF90" s="93" t="n"/>
      <c r="AG90" s="93" t="n"/>
      <c r="AH90" s="93" t="n"/>
      <c r="AI90" s="93" t="n"/>
      <c r="AJ90" s="93" t="n"/>
      <c r="AK90" s="104">
        <f>IF($B90="","",SUMPRODUCT(COUNTIF($F90:$AJ90,KY_HIEU!$A$6:$A$45)*KY_HIEU!$C$6:$C$45))</f>
        <v/>
      </c>
      <c r="AL90" s="104">
        <f>IF($B90="","",SUMPRODUCT(COUNTIF($F90:$AJ90,KY_HIEU!$A$6:$A$45)*KY_HIEU!$D$6:$D$45))</f>
        <v/>
      </c>
      <c r="AM90" s="104">
        <f>IF($B90="","",SUMPRODUCT(COUNTIF($F90:$AJ90,KY_HIEU!$A$6:$A$45)*KY_HIEU!$E$6:$E$45))</f>
        <v/>
      </c>
      <c r="AN90" s="104">
        <f>IF($B90="","",SUMPRODUCT(COUNTIF($F90:$AJ90,KY_HIEU!$A$6:$A$45)*KY_HIEU!$F$6:$F$45))</f>
        <v/>
      </c>
      <c r="AO90" s="104">
        <f>IF($B90="","",SUMPRODUCT(COUNTIF($F90:$AJ90,KY_HIEU!$A$6:$A$45)*KY_HIEU!$G$6:$G$45))</f>
        <v/>
      </c>
      <c r="AP90" s="104">
        <f>IF($B90="","",SUMPRODUCT(COUNTIF($F90:$AJ90,KY_HIEU!$A$6:$A$45)*KY_HIEU!$H$6:$H$45))</f>
        <v/>
      </c>
      <c r="AQ90" s="104">
        <f>IF($B90="","",SUMPRODUCT(COUNTIF($F90:$AJ90,KY_HIEU!$A$6:$A$45)*KY_HIEU!$I$6:$I$45))</f>
        <v/>
      </c>
      <c r="AR90" s="105">
        <f>IF($B90="","",$AK90+$AL90+$AN90+$AO90+$AP90+$AQ90)</f>
        <v/>
      </c>
      <c r="AS90" s="105">
        <f>IF($B90="","",IF(DM_NHAN_SU!$I90&lt;&gt;"",DM_NHAN_SU!$I90,IF(THAM_SO_CC!$B$20="Nhập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90="",THAM_SO_CC!$B$8,DM_NHAN_SU!$F90))*(ROW(INDIRECT(THAM_SO_CC!$B$8&amp;":"&amp;THAM_SO_CC!$B$9))&lt;=IF(DM_NHAN_SU!$G90="",THAM_SO_CC!$B$9,DM_NHAN_SU!$G90))))))</f>
        <v/>
      </c>
      <c r="AT90" s="106">
        <f>IF($B90="","",$AR90-$AS90)</f>
        <v/>
      </c>
      <c r="AU90" s="96">
        <f>IF($B90="","",TRIM(IF(SUMPRODUCT(--($F90:$AJ90&lt;&gt;""))-SUMPRODUCT(COUNTIF($F90:$AJ90,KY_HIEU!$A$6:$A$45))&gt;0,"Ký hiệu lạ; ","")&amp;IF(ROUND($AT90,2)&lt;&gt;0,"Lệch ngày công "&amp;TEXT($AT90,"0.0")&amp;"; ","")&amp;IF(SUMPRODUCT(--($F90:$AJ90&lt;&gt;""),--((THAM_SO_CC!$B$8+COLUMN($F$1:$AJ$1)-6)&gt;THAM_SO_CC!$B$9))&gt;0,"Chấm ngoài kỳ; ","")&amp;IF(AND(DM_NHAN_SU!$F90&lt;&gt;"",SUMPRODUCT(--($F90:$AJ90&lt;&gt;""),--($F90:$AJ90&lt;&gt;"NV"),--($F90:$AJ90&lt;&gt;"NT"),--($F90:$AJ90&lt;&gt;"TN"),--((THAM_SO_CC!$B$8+COLUMN($F$1:$AJ$1)-6)&lt;DM_NHAN_SU!$F90))&gt;0),"Chấm trước ngày vào; ","")&amp;IF(AND(DM_NHAN_SU!$G90&lt;&gt;"",SUMPRODUCT(--($F90:$AJ90&lt;&gt;""),--($F90:$AJ90&lt;&gt;"NV"),--($F90:$AJ90&lt;&gt;"NT"),--($F90:$AJ90&lt;&gt;"TN"),--((THAM_SO_CC!$B$8+COLUMN($F$1:$AJ$1)-6)&gt;DM_NHAN_SU!$G90))&gt;0),"Chấm sau ngày nghỉ việc; ","")))</f>
        <v/>
      </c>
    </row>
    <row r="91" ht="15" customHeight="1" s="63">
      <c r="A91" s="85">
        <f>IF($B91="","",ROW()-5)</f>
        <v/>
      </c>
      <c r="B91" s="103">
        <f>IF(DM_NHAN_SU!B91="","",DM_NHAN_SU!B91)</f>
        <v/>
      </c>
      <c r="C91" s="96">
        <f>IF($B91="","",DM_NHAN_SU!C91)</f>
        <v/>
      </c>
      <c r="D91" s="96">
        <f>IF($B91="","",DM_NHAN_SU!D91)</f>
        <v/>
      </c>
      <c r="E91" s="96">
        <f>IF($B91="","",DM_NHAN_SU!E91)</f>
        <v/>
      </c>
      <c r="F91" s="93" t="n"/>
      <c r="G91" s="93" t="n"/>
      <c r="H91" s="93" t="n"/>
      <c r="I91" s="93" t="n"/>
      <c r="J91" s="93" t="n"/>
      <c r="K91" s="93" t="n"/>
      <c r="L91" s="93" t="n"/>
      <c r="M91" s="93" t="n"/>
      <c r="N91" s="93" t="n"/>
      <c r="O91" s="93" t="n"/>
      <c r="P91" s="93" t="n"/>
      <c r="Q91" s="93" t="n"/>
      <c r="R91" s="93" t="n"/>
      <c r="S91" s="93" t="n"/>
      <c r="T91" s="93" t="n"/>
      <c r="U91" s="93" t="n"/>
      <c r="V91" s="93" t="n"/>
      <c r="W91" s="93" t="n"/>
      <c r="X91" s="93" t="n"/>
      <c r="Y91" s="93" t="n"/>
      <c r="Z91" s="93" t="n"/>
      <c r="AA91" s="93" t="n"/>
      <c r="AB91" s="93" t="n"/>
      <c r="AC91" s="93" t="n"/>
      <c r="AD91" s="93" t="n"/>
      <c r="AE91" s="93" t="n"/>
      <c r="AF91" s="93" t="n"/>
      <c r="AG91" s="93" t="n"/>
      <c r="AH91" s="93" t="n"/>
      <c r="AI91" s="93" t="n"/>
      <c r="AJ91" s="93" t="n"/>
      <c r="AK91" s="104">
        <f>IF($B91="","",SUMPRODUCT(COUNTIF($F91:$AJ91,KY_HIEU!$A$6:$A$45)*KY_HIEU!$C$6:$C$45))</f>
        <v/>
      </c>
      <c r="AL91" s="104">
        <f>IF($B91="","",SUMPRODUCT(COUNTIF($F91:$AJ91,KY_HIEU!$A$6:$A$45)*KY_HIEU!$D$6:$D$45))</f>
        <v/>
      </c>
      <c r="AM91" s="104">
        <f>IF($B91="","",SUMPRODUCT(COUNTIF($F91:$AJ91,KY_HIEU!$A$6:$A$45)*KY_HIEU!$E$6:$E$45))</f>
        <v/>
      </c>
      <c r="AN91" s="104">
        <f>IF($B91="","",SUMPRODUCT(COUNTIF($F91:$AJ91,KY_HIEU!$A$6:$A$45)*KY_HIEU!$F$6:$F$45))</f>
        <v/>
      </c>
      <c r="AO91" s="104">
        <f>IF($B91="","",SUMPRODUCT(COUNTIF($F91:$AJ91,KY_HIEU!$A$6:$A$45)*KY_HIEU!$G$6:$G$45))</f>
        <v/>
      </c>
      <c r="AP91" s="104">
        <f>IF($B91="","",SUMPRODUCT(COUNTIF($F91:$AJ91,KY_HIEU!$A$6:$A$45)*KY_HIEU!$H$6:$H$45))</f>
        <v/>
      </c>
      <c r="AQ91" s="104">
        <f>IF($B91="","",SUMPRODUCT(COUNTIF($F91:$AJ91,KY_HIEU!$A$6:$A$45)*KY_HIEU!$I$6:$I$45))</f>
        <v/>
      </c>
      <c r="AR91" s="105">
        <f>IF($B91="","",$AK91+$AL91+$AN91+$AO91+$AP91+$AQ91)</f>
        <v/>
      </c>
      <c r="AS91" s="105">
        <f>IF($B91="","",IF(DM_NHAN_SU!$I91&lt;&gt;"",DM_NHAN_SU!$I91,IF(THAM_SO_CC!$B$20="Nhập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91="",THAM_SO_CC!$B$8,DM_NHAN_SU!$F91))*(ROW(INDIRECT(THAM_SO_CC!$B$8&amp;":"&amp;THAM_SO_CC!$B$9))&lt;=IF(DM_NHAN_SU!$G91="",THAM_SO_CC!$B$9,DM_NHAN_SU!$G91))))))</f>
        <v/>
      </c>
      <c r="AT91" s="106">
        <f>IF($B91="","",$AR91-$AS91)</f>
        <v/>
      </c>
      <c r="AU91" s="96">
        <f>IF($B91="","",TRIM(IF(SUMPRODUCT(--($F91:$AJ91&lt;&gt;""))-SUMPRODUCT(COUNTIF($F91:$AJ91,KY_HIEU!$A$6:$A$45))&gt;0,"Ký hiệu lạ; ","")&amp;IF(ROUND($AT91,2)&lt;&gt;0,"Lệch ngày công "&amp;TEXT($AT91,"0.0")&amp;"; ","")&amp;IF(SUMPRODUCT(--($F91:$AJ91&lt;&gt;""),--((THAM_SO_CC!$B$8+COLUMN($F$1:$AJ$1)-6)&gt;THAM_SO_CC!$B$9))&gt;0,"Chấm ngoài kỳ; ","")&amp;IF(AND(DM_NHAN_SU!$F91&lt;&gt;"",SUMPRODUCT(--($F91:$AJ91&lt;&gt;""),--($F91:$AJ91&lt;&gt;"NV"),--($F91:$AJ91&lt;&gt;"NT"),--($F91:$AJ91&lt;&gt;"TN"),--((THAM_SO_CC!$B$8+COLUMN($F$1:$AJ$1)-6)&lt;DM_NHAN_SU!$F91))&gt;0),"Chấm trước ngày vào; ","")&amp;IF(AND(DM_NHAN_SU!$G91&lt;&gt;"",SUMPRODUCT(--($F91:$AJ91&lt;&gt;""),--($F91:$AJ91&lt;&gt;"NV"),--($F91:$AJ91&lt;&gt;"NT"),--($F91:$AJ91&lt;&gt;"TN"),--((THAM_SO_CC!$B$8+COLUMN($F$1:$AJ$1)-6)&gt;DM_NHAN_SU!$G91))&gt;0),"Chấm sau ngày nghỉ việc; ","")))</f>
        <v/>
      </c>
    </row>
    <row r="92" ht="15" customHeight="1" s="63">
      <c r="A92" s="85">
        <f>IF($B92="","",ROW()-5)</f>
        <v/>
      </c>
      <c r="B92" s="103">
        <f>IF(DM_NHAN_SU!B92="","",DM_NHAN_SU!B92)</f>
        <v/>
      </c>
      <c r="C92" s="96">
        <f>IF($B92="","",DM_NHAN_SU!C92)</f>
        <v/>
      </c>
      <c r="D92" s="96">
        <f>IF($B92="","",DM_NHAN_SU!D92)</f>
        <v/>
      </c>
      <c r="E92" s="96">
        <f>IF($B92="","",DM_NHAN_SU!E92)</f>
        <v/>
      </c>
      <c r="F92" s="93" t="n"/>
      <c r="G92" s="93" t="n"/>
      <c r="H92" s="93" t="n"/>
      <c r="I92" s="93" t="n"/>
      <c r="J92" s="93" t="n"/>
      <c r="K92" s="93" t="n"/>
      <c r="L92" s="93" t="n"/>
      <c r="M92" s="93" t="n"/>
      <c r="N92" s="93" t="n"/>
      <c r="O92" s="93" t="n"/>
      <c r="P92" s="93" t="n"/>
      <c r="Q92" s="93" t="n"/>
      <c r="R92" s="93" t="n"/>
      <c r="S92" s="93" t="n"/>
      <c r="T92" s="93" t="n"/>
      <c r="U92" s="93" t="n"/>
      <c r="V92" s="93" t="n"/>
      <c r="W92" s="93" t="n"/>
      <c r="X92" s="93" t="n"/>
      <c r="Y92" s="93" t="n"/>
      <c r="Z92" s="93" t="n"/>
      <c r="AA92" s="93" t="n"/>
      <c r="AB92" s="93" t="n"/>
      <c r="AC92" s="93" t="n"/>
      <c r="AD92" s="93" t="n"/>
      <c r="AE92" s="93" t="n"/>
      <c r="AF92" s="93" t="n"/>
      <c r="AG92" s="93" t="n"/>
      <c r="AH92" s="93" t="n"/>
      <c r="AI92" s="93" t="n"/>
      <c r="AJ92" s="93" t="n"/>
      <c r="AK92" s="104">
        <f>IF($B92="","",SUMPRODUCT(COUNTIF($F92:$AJ92,KY_HIEU!$A$6:$A$45)*KY_HIEU!$C$6:$C$45))</f>
        <v/>
      </c>
      <c r="AL92" s="104">
        <f>IF($B92="","",SUMPRODUCT(COUNTIF($F92:$AJ92,KY_HIEU!$A$6:$A$45)*KY_HIEU!$D$6:$D$45))</f>
        <v/>
      </c>
      <c r="AM92" s="104">
        <f>IF($B92="","",SUMPRODUCT(COUNTIF($F92:$AJ92,KY_HIEU!$A$6:$A$45)*KY_HIEU!$E$6:$E$45))</f>
        <v/>
      </c>
      <c r="AN92" s="104">
        <f>IF($B92="","",SUMPRODUCT(COUNTIF($F92:$AJ92,KY_HIEU!$A$6:$A$45)*KY_HIEU!$F$6:$F$45))</f>
        <v/>
      </c>
      <c r="AO92" s="104">
        <f>IF($B92="","",SUMPRODUCT(COUNTIF($F92:$AJ92,KY_HIEU!$A$6:$A$45)*KY_HIEU!$G$6:$G$45))</f>
        <v/>
      </c>
      <c r="AP92" s="104">
        <f>IF($B92="","",SUMPRODUCT(COUNTIF($F92:$AJ92,KY_HIEU!$A$6:$A$45)*KY_HIEU!$H$6:$H$45))</f>
        <v/>
      </c>
      <c r="AQ92" s="104">
        <f>IF($B92="","",SUMPRODUCT(COUNTIF($F92:$AJ92,KY_HIEU!$A$6:$A$45)*KY_HIEU!$I$6:$I$45))</f>
        <v/>
      </c>
      <c r="AR92" s="105">
        <f>IF($B92="","",$AK92+$AL92+$AN92+$AO92+$AP92+$AQ92)</f>
        <v/>
      </c>
      <c r="AS92" s="105">
        <f>IF($B92="","",IF(DM_NHAN_SU!$I92&lt;&gt;"",DM_NHAN_SU!$I92,IF(THAM_SO_CC!$B$20="Nhập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92="",THAM_SO_CC!$B$8,DM_NHAN_SU!$F92))*(ROW(INDIRECT(THAM_SO_CC!$B$8&amp;":"&amp;THAM_SO_CC!$B$9))&lt;=IF(DM_NHAN_SU!$G92="",THAM_SO_CC!$B$9,DM_NHAN_SU!$G92))))))</f>
        <v/>
      </c>
      <c r="AT92" s="106">
        <f>IF($B92="","",$AR92-$AS92)</f>
        <v/>
      </c>
      <c r="AU92" s="96">
        <f>IF($B92="","",TRIM(IF(SUMPRODUCT(--($F92:$AJ92&lt;&gt;""))-SUMPRODUCT(COUNTIF($F92:$AJ92,KY_HIEU!$A$6:$A$45))&gt;0,"Ký hiệu lạ; ","")&amp;IF(ROUND($AT92,2)&lt;&gt;0,"Lệch ngày công "&amp;TEXT($AT92,"0.0")&amp;"; ","")&amp;IF(SUMPRODUCT(--($F92:$AJ92&lt;&gt;""),--((THAM_SO_CC!$B$8+COLUMN($F$1:$AJ$1)-6)&gt;THAM_SO_CC!$B$9))&gt;0,"Chấm ngoài kỳ; ","")&amp;IF(AND(DM_NHAN_SU!$F92&lt;&gt;"",SUMPRODUCT(--($F92:$AJ92&lt;&gt;""),--($F92:$AJ92&lt;&gt;"NV"),--($F92:$AJ92&lt;&gt;"NT"),--($F92:$AJ92&lt;&gt;"TN"),--((THAM_SO_CC!$B$8+COLUMN($F$1:$AJ$1)-6)&lt;DM_NHAN_SU!$F92))&gt;0),"Chấm trước ngày vào; ","")&amp;IF(AND(DM_NHAN_SU!$G92&lt;&gt;"",SUMPRODUCT(--($F92:$AJ92&lt;&gt;""),--($F92:$AJ92&lt;&gt;"NV"),--($F92:$AJ92&lt;&gt;"NT"),--($F92:$AJ92&lt;&gt;"TN"),--((THAM_SO_CC!$B$8+COLUMN($F$1:$AJ$1)-6)&gt;DM_NHAN_SU!$G92))&gt;0),"Chấm sau ngày nghỉ việc; ","")))</f>
        <v/>
      </c>
    </row>
    <row r="93" ht="15" customHeight="1" s="63">
      <c r="A93" s="85">
        <f>IF($B93="","",ROW()-5)</f>
        <v/>
      </c>
      <c r="B93" s="103">
        <f>IF(DM_NHAN_SU!B93="","",DM_NHAN_SU!B93)</f>
        <v/>
      </c>
      <c r="C93" s="96">
        <f>IF($B93="","",DM_NHAN_SU!C93)</f>
        <v/>
      </c>
      <c r="D93" s="96">
        <f>IF($B93="","",DM_NHAN_SU!D93)</f>
        <v/>
      </c>
      <c r="E93" s="96">
        <f>IF($B93="","",DM_NHAN_SU!E93)</f>
        <v/>
      </c>
      <c r="F93" s="93" t="n"/>
      <c r="G93" s="93" t="n"/>
      <c r="H93" s="93" t="n"/>
      <c r="I93" s="93" t="n"/>
      <c r="J93" s="93" t="n"/>
      <c r="K93" s="93" t="n"/>
      <c r="L93" s="93" t="n"/>
      <c r="M93" s="93" t="n"/>
      <c r="N93" s="93" t="n"/>
      <c r="O93" s="93" t="n"/>
      <c r="P93" s="93" t="n"/>
      <c r="Q93" s="93" t="n"/>
      <c r="R93" s="93" t="n"/>
      <c r="S93" s="93" t="n"/>
      <c r="T93" s="93" t="n"/>
      <c r="U93" s="93" t="n"/>
      <c r="V93" s="93" t="n"/>
      <c r="W93" s="93" t="n"/>
      <c r="X93" s="93" t="n"/>
      <c r="Y93" s="93" t="n"/>
      <c r="Z93" s="93" t="n"/>
      <c r="AA93" s="93" t="n"/>
      <c r="AB93" s="93" t="n"/>
      <c r="AC93" s="93" t="n"/>
      <c r="AD93" s="93" t="n"/>
      <c r="AE93" s="93" t="n"/>
      <c r="AF93" s="93" t="n"/>
      <c r="AG93" s="93" t="n"/>
      <c r="AH93" s="93" t="n"/>
      <c r="AI93" s="93" t="n"/>
      <c r="AJ93" s="93" t="n"/>
      <c r="AK93" s="104">
        <f>IF($B93="","",SUMPRODUCT(COUNTIF($F93:$AJ93,KY_HIEU!$A$6:$A$45)*KY_HIEU!$C$6:$C$45))</f>
        <v/>
      </c>
      <c r="AL93" s="104">
        <f>IF($B93="","",SUMPRODUCT(COUNTIF($F93:$AJ93,KY_HIEU!$A$6:$A$45)*KY_HIEU!$D$6:$D$45))</f>
        <v/>
      </c>
      <c r="AM93" s="104">
        <f>IF($B93="","",SUMPRODUCT(COUNTIF($F93:$AJ93,KY_HIEU!$A$6:$A$45)*KY_HIEU!$E$6:$E$45))</f>
        <v/>
      </c>
      <c r="AN93" s="104">
        <f>IF($B93="","",SUMPRODUCT(COUNTIF($F93:$AJ93,KY_HIEU!$A$6:$A$45)*KY_HIEU!$F$6:$F$45))</f>
        <v/>
      </c>
      <c r="AO93" s="104">
        <f>IF($B93="","",SUMPRODUCT(COUNTIF($F93:$AJ93,KY_HIEU!$A$6:$A$45)*KY_HIEU!$G$6:$G$45))</f>
        <v/>
      </c>
      <c r="AP93" s="104">
        <f>IF($B93="","",SUMPRODUCT(COUNTIF($F93:$AJ93,KY_HIEU!$A$6:$A$45)*KY_HIEU!$H$6:$H$45))</f>
        <v/>
      </c>
      <c r="AQ93" s="104">
        <f>IF($B93="","",SUMPRODUCT(COUNTIF($F93:$AJ93,KY_HIEU!$A$6:$A$45)*KY_HIEU!$I$6:$I$45))</f>
        <v/>
      </c>
      <c r="AR93" s="105">
        <f>IF($B93="","",$AK93+$AL93+$AN93+$AO93+$AP93+$AQ93)</f>
        <v/>
      </c>
      <c r="AS93" s="105">
        <f>IF($B93="","",IF(DM_NHAN_SU!$I93&lt;&gt;"",DM_NHAN_SU!$I93,IF(THAM_SO_CC!$B$20="Nhập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93="",THAM_SO_CC!$B$8,DM_NHAN_SU!$F93))*(ROW(INDIRECT(THAM_SO_CC!$B$8&amp;":"&amp;THAM_SO_CC!$B$9))&lt;=IF(DM_NHAN_SU!$G93="",THAM_SO_CC!$B$9,DM_NHAN_SU!$G93))))))</f>
        <v/>
      </c>
      <c r="AT93" s="106">
        <f>IF($B93="","",$AR93-$AS93)</f>
        <v/>
      </c>
      <c r="AU93" s="96">
        <f>IF($B93="","",TRIM(IF(SUMPRODUCT(--($F93:$AJ93&lt;&gt;""))-SUMPRODUCT(COUNTIF($F93:$AJ93,KY_HIEU!$A$6:$A$45))&gt;0,"Ký hiệu lạ; ","")&amp;IF(ROUND($AT93,2)&lt;&gt;0,"Lệch ngày công "&amp;TEXT($AT93,"0.0")&amp;"; ","")&amp;IF(SUMPRODUCT(--($F93:$AJ93&lt;&gt;""),--((THAM_SO_CC!$B$8+COLUMN($F$1:$AJ$1)-6)&gt;THAM_SO_CC!$B$9))&gt;0,"Chấm ngoài kỳ; ","")&amp;IF(AND(DM_NHAN_SU!$F93&lt;&gt;"",SUMPRODUCT(--($F93:$AJ93&lt;&gt;""),--($F93:$AJ93&lt;&gt;"NV"),--($F93:$AJ93&lt;&gt;"NT"),--($F93:$AJ93&lt;&gt;"TN"),--((THAM_SO_CC!$B$8+COLUMN($F$1:$AJ$1)-6)&lt;DM_NHAN_SU!$F93))&gt;0),"Chấm trước ngày vào; ","")&amp;IF(AND(DM_NHAN_SU!$G93&lt;&gt;"",SUMPRODUCT(--($F93:$AJ93&lt;&gt;""),--($F93:$AJ93&lt;&gt;"NV"),--($F93:$AJ93&lt;&gt;"NT"),--($F93:$AJ93&lt;&gt;"TN"),--((THAM_SO_CC!$B$8+COLUMN($F$1:$AJ$1)-6)&gt;DM_NHAN_SU!$G93))&gt;0),"Chấm sau ngày nghỉ việc; ","")))</f>
        <v/>
      </c>
    </row>
    <row r="94" ht="15" customHeight="1" s="63">
      <c r="A94" s="85">
        <f>IF($B94="","",ROW()-5)</f>
        <v/>
      </c>
      <c r="B94" s="103">
        <f>IF(DM_NHAN_SU!B94="","",DM_NHAN_SU!B94)</f>
        <v/>
      </c>
      <c r="C94" s="96">
        <f>IF($B94="","",DM_NHAN_SU!C94)</f>
        <v/>
      </c>
      <c r="D94" s="96">
        <f>IF($B94="","",DM_NHAN_SU!D94)</f>
        <v/>
      </c>
      <c r="E94" s="96">
        <f>IF($B94="","",DM_NHAN_SU!E94)</f>
        <v/>
      </c>
      <c r="F94" s="93" t="n"/>
      <c r="G94" s="93" t="n"/>
      <c r="H94" s="93" t="n"/>
      <c r="I94" s="93" t="n"/>
      <c r="J94" s="93" t="n"/>
      <c r="K94" s="93" t="n"/>
      <c r="L94" s="93" t="n"/>
      <c r="M94" s="93" t="n"/>
      <c r="N94" s="93" t="n"/>
      <c r="O94" s="93" t="n"/>
      <c r="P94" s="93" t="n"/>
      <c r="Q94" s="93" t="n"/>
      <c r="R94" s="93" t="n"/>
      <c r="S94" s="93" t="n"/>
      <c r="T94" s="93" t="n"/>
      <c r="U94" s="93" t="n"/>
      <c r="V94" s="93" t="n"/>
      <c r="W94" s="93" t="n"/>
      <c r="X94" s="93" t="n"/>
      <c r="Y94" s="93" t="n"/>
      <c r="Z94" s="93" t="n"/>
      <c r="AA94" s="93" t="n"/>
      <c r="AB94" s="93" t="n"/>
      <c r="AC94" s="93" t="n"/>
      <c r="AD94" s="93" t="n"/>
      <c r="AE94" s="93" t="n"/>
      <c r="AF94" s="93" t="n"/>
      <c r="AG94" s="93" t="n"/>
      <c r="AH94" s="93" t="n"/>
      <c r="AI94" s="93" t="n"/>
      <c r="AJ94" s="93" t="n"/>
      <c r="AK94" s="104">
        <f>IF($B94="","",SUMPRODUCT(COUNTIF($F94:$AJ94,KY_HIEU!$A$6:$A$45)*KY_HIEU!$C$6:$C$45))</f>
        <v/>
      </c>
      <c r="AL94" s="104">
        <f>IF($B94="","",SUMPRODUCT(COUNTIF($F94:$AJ94,KY_HIEU!$A$6:$A$45)*KY_HIEU!$D$6:$D$45))</f>
        <v/>
      </c>
      <c r="AM94" s="104">
        <f>IF($B94="","",SUMPRODUCT(COUNTIF($F94:$AJ94,KY_HIEU!$A$6:$A$45)*KY_HIEU!$E$6:$E$45))</f>
        <v/>
      </c>
      <c r="AN94" s="104">
        <f>IF($B94="","",SUMPRODUCT(COUNTIF($F94:$AJ94,KY_HIEU!$A$6:$A$45)*KY_HIEU!$F$6:$F$45))</f>
        <v/>
      </c>
      <c r="AO94" s="104">
        <f>IF($B94="","",SUMPRODUCT(COUNTIF($F94:$AJ94,KY_HIEU!$A$6:$A$45)*KY_HIEU!$G$6:$G$45))</f>
        <v/>
      </c>
      <c r="AP94" s="104">
        <f>IF($B94="","",SUMPRODUCT(COUNTIF($F94:$AJ94,KY_HIEU!$A$6:$A$45)*KY_HIEU!$H$6:$H$45))</f>
        <v/>
      </c>
      <c r="AQ94" s="104">
        <f>IF($B94="","",SUMPRODUCT(COUNTIF($F94:$AJ94,KY_HIEU!$A$6:$A$45)*KY_HIEU!$I$6:$I$45))</f>
        <v/>
      </c>
      <c r="AR94" s="105">
        <f>IF($B94="","",$AK94+$AL94+$AN94+$AO94+$AP94+$AQ94)</f>
        <v/>
      </c>
      <c r="AS94" s="105">
        <f>IF($B94="","",IF(DM_NHAN_SU!$I94&lt;&gt;"",DM_NHAN_SU!$I94,IF(THAM_SO_CC!$B$20="Nhập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94="",THAM_SO_CC!$B$8,DM_NHAN_SU!$F94))*(ROW(INDIRECT(THAM_SO_CC!$B$8&amp;":"&amp;THAM_SO_CC!$B$9))&lt;=IF(DM_NHAN_SU!$G94="",THAM_SO_CC!$B$9,DM_NHAN_SU!$G94))))))</f>
        <v/>
      </c>
      <c r="AT94" s="106">
        <f>IF($B94="","",$AR94-$AS94)</f>
        <v/>
      </c>
      <c r="AU94" s="96">
        <f>IF($B94="","",TRIM(IF(SUMPRODUCT(--($F94:$AJ94&lt;&gt;""))-SUMPRODUCT(COUNTIF($F94:$AJ94,KY_HIEU!$A$6:$A$45))&gt;0,"Ký hiệu lạ; ","")&amp;IF(ROUND($AT94,2)&lt;&gt;0,"Lệch ngày công "&amp;TEXT($AT94,"0.0")&amp;"; ","")&amp;IF(SUMPRODUCT(--($F94:$AJ94&lt;&gt;""),--((THAM_SO_CC!$B$8+COLUMN($F$1:$AJ$1)-6)&gt;THAM_SO_CC!$B$9))&gt;0,"Chấm ngoài kỳ; ","")&amp;IF(AND(DM_NHAN_SU!$F94&lt;&gt;"",SUMPRODUCT(--($F94:$AJ94&lt;&gt;""),--($F94:$AJ94&lt;&gt;"NV"),--($F94:$AJ94&lt;&gt;"NT"),--($F94:$AJ94&lt;&gt;"TN"),--((THAM_SO_CC!$B$8+COLUMN($F$1:$AJ$1)-6)&lt;DM_NHAN_SU!$F94))&gt;0),"Chấm trước ngày vào; ","")&amp;IF(AND(DM_NHAN_SU!$G94&lt;&gt;"",SUMPRODUCT(--($F94:$AJ94&lt;&gt;""),--($F94:$AJ94&lt;&gt;"NV"),--($F94:$AJ94&lt;&gt;"NT"),--($F94:$AJ94&lt;&gt;"TN"),--((THAM_SO_CC!$B$8+COLUMN($F$1:$AJ$1)-6)&gt;DM_NHAN_SU!$G94))&gt;0),"Chấm sau ngày nghỉ việc; ","")))</f>
        <v/>
      </c>
    </row>
    <row r="95" ht="15" customHeight="1" s="63">
      <c r="A95" s="85">
        <f>IF($B95="","",ROW()-5)</f>
        <v/>
      </c>
      <c r="B95" s="103">
        <f>IF(DM_NHAN_SU!B95="","",DM_NHAN_SU!B95)</f>
        <v/>
      </c>
      <c r="C95" s="96">
        <f>IF($B95="","",DM_NHAN_SU!C95)</f>
        <v/>
      </c>
      <c r="D95" s="96">
        <f>IF($B95="","",DM_NHAN_SU!D95)</f>
        <v/>
      </c>
      <c r="E95" s="96">
        <f>IF($B95="","",DM_NHAN_SU!E95)</f>
        <v/>
      </c>
      <c r="F95" s="93" t="n"/>
      <c r="G95" s="93" t="n"/>
      <c r="H95" s="93" t="n"/>
      <c r="I95" s="93" t="n"/>
      <c r="J95" s="93" t="n"/>
      <c r="K95" s="93" t="n"/>
      <c r="L95" s="93" t="n"/>
      <c r="M95" s="93" t="n"/>
      <c r="N95" s="93" t="n"/>
      <c r="O95" s="93" t="n"/>
      <c r="P95" s="93" t="n"/>
      <c r="Q95" s="93" t="n"/>
      <c r="R95" s="93" t="n"/>
      <c r="S95" s="93" t="n"/>
      <c r="T95" s="93" t="n"/>
      <c r="U95" s="93" t="n"/>
      <c r="V95" s="93" t="n"/>
      <c r="W95" s="93" t="n"/>
      <c r="X95" s="93" t="n"/>
      <c r="Y95" s="93" t="n"/>
      <c r="Z95" s="93" t="n"/>
      <c r="AA95" s="93" t="n"/>
      <c r="AB95" s="93" t="n"/>
      <c r="AC95" s="93" t="n"/>
      <c r="AD95" s="93" t="n"/>
      <c r="AE95" s="93" t="n"/>
      <c r="AF95" s="93" t="n"/>
      <c r="AG95" s="93" t="n"/>
      <c r="AH95" s="93" t="n"/>
      <c r="AI95" s="93" t="n"/>
      <c r="AJ95" s="93" t="n"/>
      <c r="AK95" s="104">
        <f>IF($B95="","",SUMPRODUCT(COUNTIF($F95:$AJ95,KY_HIEU!$A$6:$A$45)*KY_HIEU!$C$6:$C$45))</f>
        <v/>
      </c>
      <c r="AL95" s="104">
        <f>IF($B95="","",SUMPRODUCT(COUNTIF($F95:$AJ95,KY_HIEU!$A$6:$A$45)*KY_HIEU!$D$6:$D$45))</f>
        <v/>
      </c>
      <c r="AM95" s="104">
        <f>IF($B95="","",SUMPRODUCT(COUNTIF($F95:$AJ95,KY_HIEU!$A$6:$A$45)*KY_HIEU!$E$6:$E$45))</f>
        <v/>
      </c>
      <c r="AN95" s="104">
        <f>IF($B95="","",SUMPRODUCT(COUNTIF($F95:$AJ95,KY_HIEU!$A$6:$A$45)*KY_HIEU!$F$6:$F$45))</f>
        <v/>
      </c>
      <c r="AO95" s="104">
        <f>IF($B95="","",SUMPRODUCT(COUNTIF($F95:$AJ95,KY_HIEU!$A$6:$A$45)*KY_HIEU!$G$6:$G$45))</f>
        <v/>
      </c>
      <c r="AP95" s="104">
        <f>IF($B95="","",SUMPRODUCT(COUNTIF($F95:$AJ95,KY_HIEU!$A$6:$A$45)*KY_HIEU!$H$6:$H$45))</f>
        <v/>
      </c>
      <c r="AQ95" s="104">
        <f>IF($B95="","",SUMPRODUCT(COUNTIF($F95:$AJ95,KY_HIEU!$A$6:$A$45)*KY_HIEU!$I$6:$I$45))</f>
        <v/>
      </c>
      <c r="AR95" s="105">
        <f>IF($B95="","",$AK95+$AL95+$AN95+$AO95+$AP95+$AQ95)</f>
        <v/>
      </c>
      <c r="AS95" s="105">
        <f>IF($B95="","",IF(DM_NHAN_SU!$I95&lt;&gt;"",DM_NHAN_SU!$I95,IF(THAM_SO_CC!$B$20="Nhập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95="",THAM_SO_CC!$B$8,DM_NHAN_SU!$F95))*(ROW(INDIRECT(THAM_SO_CC!$B$8&amp;":"&amp;THAM_SO_CC!$B$9))&lt;=IF(DM_NHAN_SU!$G95="",THAM_SO_CC!$B$9,DM_NHAN_SU!$G95))))))</f>
        <v/>
      </c>
      <c r="AT95" s="106">
        <f>IF($B95="","",$AR95-$AS95)</f>
        <v/>
      </c>
      <c r="AU95" s="96">
        <f>IF($B95="","",TRIM(IF(SUMPRODUCT(--($F95:$AJ95&lt;&gt;""))-SUMPRODUCT(COUNTIF($F95:$AJ95,KY_HIEU!$A$6:$A$45))&gt;0,"Ký hiệu lạ; ","")&amp;IF(ROUND($AT95,2)&lt;&gt;0,"Lệch ngày công "&amp;TEXT($AT95,"0.0")&amp;"; ","")&amp;IF(SUMPRODUCT(--($F95:$AJ95&lt;&gt;""),--((THAM_SO_CC!$B$8+COLUMN($F$1:$AJ$1)-6)&gt;THAM_SO_CC!$B$9))&gt;0,"Chấm ngoài kỳ; ","")&amp;IF(AND(DM_NHAN_SU!$F95&lt;&gt;"",SUMPRODUCT(--($F95:$AJ95&lt;&gt;""),--($F95:$AJ95&lt;&gt;"NV"),--($F95:$AJ95&lt;&gt;"NT"),--($F95:$AJ95&lt;&gt;"TN"),--((THAM_SO_CC!$B$8+COLUMN($F$1:$AJ$1)-6)&lt;DM_NHAN_SU!$F95))&gt;0),"Chấm trước ngày vào; ","")&amp;IF(AND(DM_NHAN_SU!$G95&lt;&gt;"",SUMPRODUCT(--($F95:$AJ95&lt;&gt;""),--($F95:$AJ95&lt;&gt;"NV"),--($F95:$AJ95&lt;&gt;"NT"),--($F95:$AJ95&lt;&gt;"TN"),--((THAM_SO_CC!$B$8+COLUMN($F$1:$AJ$1)-6)&gt;DM_NHAN_SU!$G95))&gt;0),"Chấm sau ngày nghỉ việc; ","")))</f>
        <v/>
      </c>
    </row>
    <row r="96" ht="15" customHeight="1" s="63">
      <c r="A96" s="85">
        <f>IF($B96="","",ROW()-5)</f>
        <v/>
      </c>
      <c r="B96" s="103">
        <f>IF(DM_NHAN_SU!B96="","",DM_NHAN_SU!B96)</f>
        <v/>
      </c>
      <c r="C96" s="96">
        <f>IF($B96="","",DM_NHAN_SU!C96)</f>
        <v/>
      </c>
      <c r="D96" s="96">
        <f>IF($B96="","",DM_NHAN_SU!D96)</f>
        <v/>
      </c>
      <c r="E96" s="96">
        <f>IF($B96="","",DM_NHAN_SU!E96)</f>
        <v/>
      </c>
      <c r="F96" s="93" t="n"/>
      <c r="G96" s="93" t="n"/>
      <c r="H96" s="93" t="n"/>
      <c r="I96" s="93" t="n"/>
      <c r="J96" s="93" t="n"/>
      <c r="K96" s="93" t="n"/>
      <c r="L96" s="93" t="n"/>
      <c r="M96" s="93" t="n"/>
      <c r="N96" s="93" t="n"/>
      <c r="O96" s="93" t="n"/>
      <c r="P96" s="93" t="n"/>
      <c r="Q96" s="93" t="n"/>
      <c r="R96" s="93" t="n"/>
      <c r="S96" s="93" t="n"/>
      <c r="T96" s="93" t="n"/>
      <c r="U96" s="93" t="n"/>
      <c r="V96" s="93" t="n"/>
      <c r="W96" s="93" t="n"/>
      <c r="X96" s="93" t="n"/>
      <c r="Y96" s="93" t="n"/>
      <c r="Z96" s="93" t="n"/>
      <c r="AA96" s="93" t="n"/>
      <c r="AB96" s="93" t="n"/>
      <c r="AC96" s="93" t="n"/>
      <c r="AD96" s="93" t="n"/>
      <c r="AE96" s="93" t="n"/>
      <c r="AF96" s="93" t="n"/>
      <c r="AG96" s="93" t="n"/>
      <c r="AH96" s="93" t="n"/>
      <c r="AI96" s="93" t="n"/>
      <c r="AJ96" s="93" t="n"/>
      <c r="AK96" s="104">
        <f>IF($B96="","",SUMPRODUCT(COUNTIF($F96:$AJ96,KY_HIEU!$A$6:$A$45)*KY_HIEU!$C$6:$C$45))</f>
        <v/>
      </c>
      <c r="AL96" s="104">
        <f>IF($B96="","",SUMPRODUCT(COUNTIF($F96:$AJ96,KY_HIEU!$A$6:$A$45)*KY_HIEU!$D$6:$D$45))</f>
        <v/>
      </c>
      <c r="AM96" s="104">
        <f>IF($B96="","",SUMPRODUCT(COUNTIF($F96:$AJ96,KY_HIEU!$A$6:$A$45)*KY_HIEU!$E$6:$E$45))</f>
        <v/>
      </c>
      <c r="AN96" s="104">
        <f>IF($B96="","",SUMPRODUCT(COUNTIF($F96:$AJ96,KY_HIEU!$A$6:$A$45)*KY_HIEU!$F$6:$F$45))</f>
        <v/>
      </c>
      <c r="AO96" s="104">
        <f>IF($B96="","",SUMPRODUCT(COUNTIF($F96:$AJ96,KY_HIEU!$A$6:$A$45)*KY_HIEU!$G$6:$G$45))</f>
        <v/>
      </c>
      <c r="AP96" s="104">
        <f>IF($B96="","",SUMPRODUCT(COUNTIF($F96:$AJ96,KY_HIEU!$A$6:$A$45)*KY_HIEU!$H$6:$H$45))</f>
        <v/>
      </c>
      <c r="AQ96" s="104">
        <f>IF($B96="","",SUMPRODUCT(COUNTIF($F96:$AJ96,KY_HIEU!$A$6:$A$45)*KY_HIEU!$I$6:$I$45))</f>
        <v/>
      </c>
      <c r="AR96" s="105">
        <f>IF($B96="","",$AK96+$AL96+$AN96+$AO96+$AP96+$AQ96)</f>
        <v/>
      </c>
      <c r="AS96" s="105">
        <f>IF($B96="","",IF(DM_NHAN_SU!$I96&lt;&gt;"",DM_NHAN_SU!$I96,IF(THAM_SO_CC!$B$20="Nhập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96="",THAM_SO_CC!$B$8,DM_NHAN_SU!$F96))*(ROW(INDIRECT(THAM_SO_CC!$B$8&amp;":"&amp;THAM_SO_CC!$B$9))&lt;=IF(DM_NHAN_SU!$G96="",THAM_SO_CC!$B$9,DM_NHAN_SU!$G96))))))</f>
        <v/>
      </c>
      <c r="AT96" s="106">
        <f>IF($B96="","",$AR96-$AS96)</f>
        <v/>
      </c>
      <c r="AU96" s="96">
        <f>IF($B96="","",TRIM(IF(SUMPRODUCT(--($F96:$AJ96&lt;&gt;""))-SUMPRODUCT(COUNTIF($F96:$AJ96,KY_HIEU!$A$6:$A$45))&gt;0,"Ký hiệu lạ; ","")&amp;IF(ROUND($AT96,2)&lt;&gt;0,"Lệch ngày công "&amp;TEXT($AT96,"0.0")&amp;"; ","")&amp;IF(SUMPRODUCT(--($F96:$AJ96&lt;&gt;""),--((THAM_SO_CC!$B$8+COLUMN($F$1:$AJ$1)-6)&gt;THAM_SO_CC!$B$9))&gt;0,"Chấm ngoài kỳ; ","")&amp;IF(AND(DM_NHAN_SU!$F96&lt;&gt;"",SUMPRODUCT(--($F96:$AJ96&lt;&gt;""),--($F96:$AJ96&lt;&gt;"NV"),--($F96:$AJ96&lt;&gt;"NT"),--($F96:$AJ96&lt;&gt;"TN"),--((THAM_SO_CC!$B$8+COLUMN($F$1:$AJ$1)-6)&lt;DM_NHAN_SU!$F96))&gt;0),"Chấm trước ngày vào; ","")&amp;IF(AND(DM_NHAN_SU!$G96&lt;&gt;"",SUMPRODUCT(--($F96:$AJ96&lt;&gt;""),--($F96:$AJ96&lt;&gt;"NV"),--($F96:$AJ96&lt;&gt;"NT"),--($F96:$AJ96&lt;&gt;"TN"),--((THAM_SO_CC!$B$8+COLUMN($F$1:$AJ$1)-6)&gt;DM_NHAN_SU!$G96))&gt;0),"Chấm sau ngày nghỉ việc; ","")))</f>
        <v/>
      </c>
    </row>
    <row r="97" ht="15" customHeight="1" s="63">
      <c r="A97" s="85">
        <f>IF($B97="","",ROW()-5)</f>
        <v/>
      </c>
      <c r="B97" s="103">
        <f>IF(DM_NHAN_SU!B97="","",DM_NHAN_SU!B97)</f>
        <v/>
      </c>
      <c r="C97" s="96">
        <f>IF($B97="","",DM_NHAN_SU!C97)</f>
        <v/>
      </c>
      <c r="D97" s="96">
        <f>IF($B97="","",DM_NHAN_SU!D97)</f>
        <v/>
      </c>
      <c r="E97" s="96">
        <f>IF($B97="","",DM_NHAN_SU!E97)</f>
        <v/>
      </c>
      <c r="F97" s="93" t="n"/>
      <c r="G97" s="93" t="n"/>
      <c r="H97" s="93" t="n"/>
      <c r="I97" s="93" t="n"/>
      <c r="J97" s="93" t="n"/>
      <c r="K97" s="93" t="n"/>
      <c r="L97" s="93" t="n"/>
      <c r="M97" s="93" t="n"/>
      <c r="N97" s="93" t="n"/>
      <c r="O97" s="93" t="n"/>
      <c r="P97" s="93" t="n"/>
      <c r="Q97" s="93" t="n"/>
      <c r="R97" s="93" t="n"/>
      <c r="S97" s="93" t="n"/>
      <c r="T97" s="93" t="n"/>
      <c r="U97" s="93" t="n"/>
      <c r="V97" s="93" t="n"/>
      <c r="W97" s="93" t="n"/>
      <c r="X97" s="93" t="n"/>
      <c r="Y97" s="93" t="n"/>
      <c r="Z97" s="93" t="n"/>
      <c r="AA97" s="93" t="n"/>
      <c r="AB97" s="93" t="n"/>
      <c r="AC97" s="93" t="n"/>
      <c r="AD97" s="93" t="n"/>
      <c r="AE97" s="93" t="n"/>
      <c r="AF97" s="93" t="n"/>
      <c r="AG97" s="93" t="n"/>
      <c r="AH97" s="93" t="n"/>
      <c r="AI97" s="93" t="n"/>
      <c r="AJ97" s="93" t="n"/>
      <c r="AK97" s="104">
        <f>IF($B97="","",SUMPRODUCT(COUNTIF($F97:$AJ97,KY_HIEU!$A$6:$A$45)*KY_HIEU!$C$6:$C$45))</f>
        <v/>
      </c>
      <c r="AL97" s="104">
        <f>IF($B97="","",SUMPRODUCT(COUNTIF($F97:$AJ97,KY_HIEU!$A$6:$A$45)*KY_HIEU!$D$6:$D$45))</f>
        <v/>
      </c>
      <c r="AM97" s="104">
        <f>IF($B97="","",SUMPRODUCT(COUNTIF($F97:$AJ97,KY_HIEU!$A$6:$A$45)*KY_HIEU!$E$6:$E$45))</f>
        <v/>
      </c>
      <c r="AN97" s="104">
        <f>IF($B97="","",SUMPRODUCT(COUNTIF($F97:$AJ97,KY_HIEU!$A$6:$A$45)*KY_HIEU!$F$6:$F$45))</f>
        <v/>
      </c>
      <c r="AO97" s="104">
        <f>IF($B97="","",SUMPRODUCT(COUNTIF($F97:$AJ97,KY_HIEU!$A$6:$A$45)*KY_HIEU!$G$6:$G$45))</f>
        <v/>
      </c>
      <c r="AP97" s="104">
        <f>IF($B97="","",SUMPRODUCT(COUNTIF($F97:$AJ97,KY_HIEU!$A$6:$A$45)*KY_HIEU!$H$6:$H$45))</f>
        <v/>
      </c>
      <c r="AQ97" s="104">
        <f>IF($B97="","",SUMPRODUCT(COUNTIF($F97:$AJ97,KY_HIEU!$A$6:$A$45)*KY_HIEU!$I$6:$I$45))</f>
        <v/>
      </c>
      <c r="AR97" s="105">
        <f>IF($B97="","",$AK97+$AL97+$AN97+$AO97+$AP97+$AQ97)</f>
        <v/>
      </c>
      <c r="AS97" s="105">
        <f>IF($B97="","",IF(DM_NHAN_SU!$I97&lt;&gt;"",DM_NHAN_SU!$I97,IF(THAM_SO_CC!$B$20="Nhập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97="",THAM_SO_CC!$B$8,DM_NHAN_SU!$F97))*(ROW(INDIRECT(THAM_SO_CC!$B$8&amp;":"&amp;THAM_SO_CC!$B$9))&lt;=IF(DM_NHAN_SU!$G97="",THAM_SO_CC!$B$9,DM_NHAN_SU!$G97))))))</f>
        <v/>
      </c>
      <c r="AT97" s="106">
        <f>IF($B97="","",$AR97-$AS97)</f>
        <v/>
      </c>
      <c r="AU97" s="96">
        <f>IF($B97="","",TRIM(IF(SUMPRODUCT(--($F97:$AJ97&lt;&gt;""))-SUMPRODUCT(COUNTIF($F97:$AJ97,KY_HIEU!$A$6:$A$45))&gt;0,"Ký hiệu lạ; ","")&amp;IF(ROUND($AT97,2)&lt;&gt;0,"Lệch ngày công "&amp;TEXT($AT97,"0.0")&amp;"; ","")&amp;IF(SUMPRODUCT(--($F97:$AJ97&lt;&gt;""),--((THAM_SO_CC!$B$8+COLUMN($F$1:$AJ$1)-6)&gt;THAM_SO_CC!$B$9))&gt;0,"Chấm ngoài kỳ; ","")&amp;IF(AND(DM_NHAN_SU!$F97&lt;&gt;"",SUMPRODUCT(--($F97:$AJ97&lt;&gt;""),--($F97:$AJ97&lt;&gt;"NV"),--($F97:$AJ97&lt;&gt;"NT"),--($F97:$AJ97&lt;&gt;"TN"),--((THAM_SO_CC!$B$8+COLUMN($F$1:$AJ$1)-6)&lt;DM_NHAN_SU!$F97))&gt;0),"Chấm trước ngày vào; ","")&amp;IF(AND(DM_NHAN_SU!$G97&lt;&gt;"",SUMPRODUCT(--($F97:$AJ97&lt;&gt;""),--($F97:$AJ97&lt;&gt;"NV"),--($F97:$AJ97&lt;&gt;"NT"),--($F97:$AJ97&lt;&gt;"TN"),--((THAM_SO_CC!$B$8+COLUMN($F$1:$AJ$1)-6)&gt;DM_NHAN_SU!$G97))&gt;0),"Chấm sau ngày nghỉ việc; ","")))</f>
        <v/>
      </c>
    </row>
    <row r="98" ht="15" customHeight="1" s="63">
      <c r="A98" s="85">
        <f>IF($B98="","",ROW()-5)</f>
        <v/>
      </c>
      <c r="B98" s="103">
        <f>IF(DM_NHAN_SU!B98="","",DM_NHAN_SU!B98)</f>
        <v/>
      </c>
      <c r="C98" s="96">
        <f>IF($B98="","",DM_NHAN_SU!C98)</f>
        <v/>
      </c>
      <c r="D98" s="96">
        <f>IF($B98="","",DM_NHAN_SU!D98)</f>
        <v/>
      </c>
      <c r="E98" s="96">
        <f>IF($B98="","",DM_NHAN_SU!E98)</f>
        <v/>
      </c>
      <c r="F98" s="93" t="n"/>
      <c r="G98" s="93" t="n"/>
      <c r="H98" s="93" t="n"/>
      <c r="I98" s="93" t="n"/>
      <c r="J98" s="93" t="n"/>
      <c r="K98" s="93" t="n"/>
      <c r="L98" s="93" t="n"/>
      <c r="M98" s="93" t="n"/>
      <c r="N98" s="93" t="n"/>
      <c r="O98" s="93" t="n"/>
      <c r="P98" s="93" t="n"/>
      <c r="Q98" s="93" t="n"/>
      <c r="R98" s="93" t="n"/>
      <c r="S98" s="93" t="n"/>
      <c r="T98" s="93" t="n"/>
      <c r="U98" s="93" t="n"/>
      <c r="V98" s="93" t="n"/>
      <c r="W98" s="93" t="n"/>
      <c r="X98" s="93" t="n"/>
      <c r="Y98" s="93" t="n"/>
      <c r="Z98" s="93" t="n"/>
      <c r="AA98" s="93" t="n"/>
      <c r="AB98" s="93" t="n"/>
      <c r="AC98" s="93" t="n"/>
      <c r="AD98" s="93" t="n"/>
      <c r="AE98" s="93" t="n"/>
      <c r="AF98" s="93" t="n"/>
      <c r="AG98" s="93" t="n"/>
      <c r="AH98" s="93" t="n"/>
      <c r="AI98" s="93" t="n"/>
      <c r="AJ98" s="93" t="n"/>
      <c r="AK98" s="104">
        <f>IF($B98="","",SUMPRODUCT(COUNTIF($F98:$AJ98,KY_HIEU!$A$6:$A$45)*KY_HIEU!$C$6:$C$45))</f>
        <v/>
      </c>
      <c r="AL98" s="104">
        <f>IF($B98="","",SUMPRODUCT(COUNTIF($F98:$AJ98,KY_HIEU!$A$6:$A$45)*KY_HIEU!$D$6:$D$45))</f>
        <v/>
      </c>
      <c r="AM98" s="104">
        <f>IF($B98="","",SUMPRODUCT(COUNTIF($F98:$AJ98,KY_HIEU!$A$6:$A$45)*KY_HIEU!$E$6:$E$45))</f>
        <v/>
      </c>
      <c r="AN98" s="104">
        <f>IF($B98="","",SUMPRODUCT(COUNTIF($F98:$AJ98,KY_HIEU!$A$6:$A$45)*KY_HIEU!$F$6:$F$45))</f>
        <v/>
      </c>
      <c r="AO98" s="104">
        <f>IF($B98="","",SUMPRODUCT(COUNTIF($F98:$AJ98,KY_HIEU!$A$6:$A$45)*KY_HIEU!$G$6:$G$45))</f>
        <v/>
      </c>
      <c r="AP98" s="104">
        <f>IF($B98="","",SUMPRODUCT(COUNTIF($F98:$AJ98,KY_HIEU!$A$6:$A$45)*KY_HIEU!$H$6:$H$45))</f>
        <v/>
      </c>
      <c r="AQ98" s="104">
        <f>IF($B98="","",SUMPRODUCT(COUNTIF($F98:$AJ98,KY_HIEU!$A$6:$A$45)*KY_HIEU!$I$6:$I$45))</f>
        <v/>
      </c>
      <c r="AR98" s="105">
        <f>IF($B98="","",$AK98+$AL98+$AN98+$AO98+$AP98+$AQ98)</f>
        <v/>
      </c>
      <c r="AS98" s="105">
        <f>IF($B98="","",IF(DM_NHAN_SU!$I98&lt;&gt;"",DM_NHAN_SU!$I98,IF(THAM_SO_CC!$B$20="Nhập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98="",THAM_SO_CC!$B$8,DM_NHAN_SU!$F98))*(ROW(INDIRECT(THAM_SO_CC!$B$8&amp;":"&amp;THAM_SO_CC!$B$9))&lt;=IF(DM_NHAN_SU!$G98="",THAM_SO_CC!$B$9,DM_NHAN_SU!$G98))))))</f>
        <v/>
      </c>
      <c r="AT98" s="106">
        <f>IF($B98="","",$AR98-$AS98)</f>
        <v/>
      </c>
      <c r="AU98" s="96">
        <f>IF($B98="","",TRIM(IF(SUMPRODUCT(--($F98:$AJ98&lt;&gt;""))-SUMPRODUCT(COUNTIF($F98:$AJ98,KY_HIEU!$A$6:$A$45))&gt;0,"Ký hiệu lạ; ","")&amp;IF(ROUND($AT98,2)&lt;&gt;0,"Lệch ngày công "&amp;TEXT($AT98,"0.0")&amp;"; ","")&amp;IF(SUMPRODUCT(--($F98:$AJ98&lt;&gt;""),--((THAM_SO_CC!$B$8+COLUMN($F$1:$AJ$1)-6)&gt;THAM_SO_CC!$B$9))&gt;0,"Chấm ngoài kỳ; ","")&amp;IF(AND(DM_NHAN_SU!$F98&lt;&gt;"",SUMPRODUCT(--($F98:$AJ98&lt;&gt;""),--($F98:$AJ98&lt;&gt;"NV"),--($F98:$AJ98&lt;&gt;"NT"),--($F98:$AJ98&lt;&gt;"TN"),--((THAM_SO_CC!$B$8+COLUMN($F$1:$AJ$1)-6)&lt;DM_NHAN_SU!$F98))&gt;0),"Chấm trước ngày vào; ","")&amp;IF(AND(DM_NHAN_SU!$G98&lt;&gt;"",SUMPRODUCT(--($F98:$AJ98&lt;&gt;""),--($F98:$AJ98&lt;&gt;"NV"),--($F98:$AJ98&lt;&gt;"NT"),--($F98:$AJ98&lt;&gt;"TN"),--((THAM_SO_CC!$B$8+COLUMN($F$1:$AJ$1)-6)&gt;DM_NHAN_SU!$G98))&gt;0),"Chấm sau ngày nghỉ việc; ","")))</f>
        <v/>
      </c>
    </row>
    <row r="99" ht="15" customHeight="1" s="63">
      <c r="A99" s="85">
        <f>IF($B99="","",ROW()-5)</f>
        <v/>
      </c>
      <c r="B99" s="103">
        <f>IF(DM_NHAN_SU!B99="","",DM_NHAN_SU!B99)</f>
        <v/>
      </c>
      <c r="C99" s="96">
        <f>IF($B99="","",DM_NHAN_SU!C99)</f>
        <v/>
      </c>
      <c r="D99" s="96">
        <f>IF($B99="","",DM_NHAN_SU!D99)</f>
        <v/>
      </c>
      <c r="E99" s="96">
        <f>IF($B99="","",DM_NHAN_SU!E99)</f>
        <v/>
      </c>
      <c r="F99" s="93" t="n"/>
      <c r="G99" s="93" t="n"/>
      <c r="H99" s="93" t="n"/>
      <c r="I99" s="93" t="n"/>
      <c r="J99" s="93" t="n"/>
      <c r="K99" s="93" t="n"/>
      <c r="L99" s="93" t="n"/>
      <c r="M99" s="93" t="n"/>
      <c r="N99" s="93" t="n"/>
      <c r="O99" s="93" t="n"/>
      <c r="P99" s="93" t="n"/>
      <c r="Q99" s="93" t="n"/>
      <c r="R99" s="93" t="n"/>
      <c r="S99" s="93" t="n"/>
      <c r="T99" s="93" t="n"/>
      <c r="U99" s="93" t="n"/>
      <c r="V99" s="93" t="n"/>
      <c r="W99" s="93" t="n"/>
      <c r="X99" s="93" t="n"/>
      <c r="Y99" s="93" t="n"/>
      <c r="Z99" s="93" t="n"/>
      <c r="AA99" s="93" t="n"/>
      <c r="AB99" s="93" t="n"/>
      <c r="AC99" s="93" t="n"/>
      <c r="AD99" s="93" t="n"/>
      <c r="AE99" s="93" t="n"/>
      <c r="AF99" s="93" t="n"/>
      <c r="AG99" s="93" t="n"/>
      <c r="AH99" s="93" t="n"/>
      <c r="AI99" s="93" t="n"/>
      <c r="AJ99" s="93" t="n"/>
      <c r="AK99" s="104">
        <f>IF($B99="","",SUMPRODUCT(COUNTIF($F99:$AJ99,KY_HIEU!$A$6:$A$45)*KY_HIEU!$C$6:$C$45))</f>
        <v/>
      </c>
      <c r="AL99" s="104">
        <f>IF($B99="","",SUMPRODUCT(COUNTIF($F99:$AJ99,KY_HIEU!$A$6:$A$45)*KY_HIEU!$D$6:$D$45))</f>
        <v/>
      </c>
      <c r="AM99" s="104">
        <f>IF($B99="","",SUMPRODUCT(COUNTIF($F99:$AJ99,KY_HIEU!$A$6:$A$45)*KY_HIEU!$E$6:$E$45))</f>
        <v/>
      </c>
      <c r="AN99" s="104">
        <f>IF($B99="","",SUMPRODUCT(COUNTIF($F99:$AJ99,KY_HIEU!$A$6:$A$45)*KY_HIEU!$F$6:$F$45))</f>
        <v/>
      </c>
      <c r="AO99" s="104">
        <f>IF($B99="","",SUMPRODUCT(COUNTIF($F99:$AJ99,KY_HIEU!$A$6:$A$45)*KY_HIEU!$G$6:$G$45))</f>
        <v/>
      </c>
      <c r="AP99" s="104">
        <f>IF($B99="","",SUMPRODUCT(COUNTIF($F99:$AJ99,KY_HIEU!$A$6:$A$45)*KY_HIEU!$H$6:$H$45))</f>
        <v/>
      </c>
      <c r="AQ99" s="104">
        <f>IF($B99="","",SUMPRODUCT(COUNTIF($F99:$AJ99,KY_HIEU!$A$6:$A$45)*KY_HIEU!$I$6:$I$45))</f>
        <v/>
      </c>
      <c r="AR99" s="105">
        <f>IF($B99="","",$AK99+$AL99+$AN99+$AO99+$AP99+$AQ99)</f>
        <v/>
      </c>
      <c r="AS99" s="105">
        <f>IF($B99="","",IF(DM_NHAN_SU!$I99&lt;&gt;"",DM_NHAN_SU!$I99,IF(THAM_SO_CC!$B$20="Nhập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99="",THAM_SO_CC!$B$8,DM_NHAN_SU!$F99))*(ROW(INDIRECT(THAM_SO_CC!$B$8&amp;":"&amp;THAM_SO_CC!$B$9))&lt;=IF(DM_NHAN_SU!$G99="",THAM_SO_CC!$B$9,DM_NHAN_SU!$G99))))))</f>
        <v/>
      </c>
      <c r="AT99" s="106">
        <f>IF($B99="","",$AR99-$AS99)</f>
        <v/>
      </c>
      <c r="AU99" s="96">
        <f>IF($B99="","",TRIM(IF(SUMPRODUCT(--($F99:$AJ99&lt;&gt;""))-SUMPRODUCT(COUNTIF($F99:$AJ99,KY_HIEU!$A$6:$A$45))&gt;0,"Ký hiệu lạ; ","")&amp;IF(ROUND($AT99,2)&lt;&gt;0,"Lệch ngày công "&amp;TEXT($AT99,"0.0")&amp;"; ","")&amp;IF(SUMPRODUCT(--($F99:$AJ99&lt;&gt;""),--((THAM_SO_CC!$B$8+COLUMN($F$1:$AJ$1)-6)&gt;THAM_SO_CC!$B$9))&gt;0,"Chấm ngoài kỳ; ","")&amp;IF(AND(DM_NHAN_SU!$F99&lt;&gt;"",SUMPRODUCT(--($F99:$AJ99&lt;&gt;""),--($F99:$AJ99&lt;&gt;"NV"),--($F99:$AJ99&lt;&gt;"NT"),--($F99:$AJ99&lt;&gt;"TN"),--((THAM_SO_CC!$B$8+COLUMN($F$1:$AJ$1)-6)&lt;DM_NHAN_SU!$F99))&gt;0),"Chấm trước ngày vào; ","")&amp;IF(AND(DM_NHAN_SU!$G99&lt;&gt;"",SUMPRODUCT(--($F99:$AJ99&lt;&gt;""),--($F99:$AJ99&lt;&gt;"NV"),--($F99:$AJ99&lt;&gt;"NT"),--($F99:$AJ99&lt;&gt;"TN"),--((THAM_SO_CC!$B$8+COLUMN($F$1:$AJ$1)-6)&gt;DM_NHAN_SU!$G99))&gt;0),"Chấm sau ngày nghỉ việc; ","")))</f>
        <v/>
      </c>
    </row>
    <row r="100" ht="15" customHeight="1" s="63">
      <c r="A100" s="85">
        <f>IF($B100="","",ROW()-5)</f>
        <v/>
      </c>
      <c r="B100" s="103">
        <f>IF(DM_NHAN_SU!B100="","",DM_NHAN_SU!B100)</f>
        <v/>
      </c>
      <c r="C100" s="96">
        <f>IF($B100="","",DM_NHAN_SU!C100)</f>
        <v/>
      </c>
      <c r="D100" s="96">
        <f>IF($B100="","",DM_NHAN_SU!D100)</f>
        <v/>
      </c>
      <c r="E100" s="96">
        <f>IF($B100="","",DM_NHAN_SU!E100)</f>
        <v/>
      </c>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93" t="n"/>
      <c r="Y100" s="93" t="n"/>
      <c r="Z100" s="93" t="n"/>
      <c r="AA100" s="93" t="n"/>
      <c r="AB100" s="93" t="n"/>
      <c r="AC100" s="93" t="n"/>
      <c r="AD100" s="93" t="n"/>
      <c r="AE100" s="93" t="n"/>
      <c r="AF100" s="93" t="n"/>
      <c r="AG100" s="93" t="n"/>
      <c r="AH100" s="93" t="n"/>
      <c r="AI100" s="93" t="n"/>
      <c r="AJ100" s="93" t="n"/>
      <c r="AK100" s="104">
        <f>IF($B100="","",SUMPRODUCT(COUNTIF($F100:$AJ100,KY_HIEU!$A$6:$A$45)*KY_HIEU!$C$6:$C$45))</f>
        <v/>
      </c>
      <c r="AL100" s="104">
        <f>IF($B100="","",SUMPRODUCT(COUNTIF($F100:$AJ100,KY_HIEU!$A$6:$A$45)*KY_HIEU!$D$6:$D$45))</f>
        <v/>
      </c>
      <c r="AM100" s="104">
        <f>IF($B100="","",SUMPRODUCT(COUNTIF($F100:$AJ100,KY_HIEU!$A$6:$A$45)*KY_HIEU!$E$6:$E$45))</f>
        <v/>
      </c>
      <c r="AN100" s="104">
        <f>IF($B100="","",SUMPRODUCT(COUNTIF($F100:$AJ100,KY_HIEU!$A$6:$A$45)*KY_HIEU!$F$6:$F$45))</f>
        <v/>
      </c>
      <c r="AO100" s="104">
        <f>IF($B100="","",SUMPRODUCT(COUNTIF($F100:$AJ100,KY_HIEU!$A$6:$A$45)*KY_HIEU!$G$6:$G$45))</f>
        <v/>
      </c>
      <c r="AP100" s="104">
        <f>IF($B100="","",SUMPRODUCT(COUNTIF($F100:$AJ100,KY_HIEU!$A$6:$A$45)*KY_HIEU!$H$6:$H$45))</f>
        <v/>
      </c>
      <c r="AQ100" s="104">
        <f>IF($B100="","",SUMPRODUCT(COUNTIF($F100:$AJ100,KY_HIEU!$A$6:$A$45)*KY_HIEU!$I$6:$I$45))</f>
        <v/>
      </c>
      <c r="AR100" s="105">
        <f>IF($B100="","",$AK100+$AL100+$AN100+$AO100+$AP100+$AQ100)</f>
        <v/>
      </c>
      <c r="AS100" s="105">
        <f>IF($B100="","",IF(DM_NHAN_SU!$I100&lt;&gt;"",DM_NHAN_SU!$I100,IF(THAM_SO_CC!$B$20="Nhập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100="",THAM_SO_CC!$B$8,DM_NHAN_SU!$F100))*(ROW(INDIRECT(THAM_SO_CC!$B$8&amp;":"&amp;THAM_SO_CC!$B$9))&lt;=IF(DM_NHAN_SU!$G100="",THAM_SO_CC!$B$9,DM_NHAN_SU!$G100))))))</f>
        <v/>
      </c>
      <c r="AT100" s="106">
        <f>IF($B100="","",$AR100-$AS100)</f>
        <v/>
      </c>
      <c r="AU100" s="96">
        <f>IF($B100="","",TRIM(IF(SUMPRODUCT(--($F100:$AJ100&lt;&gt;""))-SUMPRODUCT(COUNTIF($F100:$AJ100,KY_HIEU!$A$6:$A$45))&gt;0,"Ký hiệu lạ; ","")&amp;IF(ROUND($AT100,2)&lt;&gt;0,"Lệch ngày công "&amp;TEXT($AT100,"0.0")&amp;"; ","")&amp;IF(SUMPRODUCT(--($F100:$AJ100&lt;&gt;""),--((THAM_SO_CC!$B$8+COLUMN($F$1:$AJ$1)-6)&gt;THAM_SO_CC!$B$9))&gt;0,"Chấm ngoài kỳ; ","")&amp;IF(AND(DM_NHAN_SU!$F100&lt;&gt;"",SUMPRODUCT(--($F100:$AJ100&lt;&gt;""),--($F100:$AJ100&lt;&gt;"NV"),--($F100:$AJ100&lt;&gt;"NT"),--($F100:$AJ100&lt;&gt;"TN"),--((THAM_SO_CC!$B$8+COLUMN($F$1:$AJ$1)-6)&lt;DM_NHAN_SU!$F100))&gt;0),"Chấm trước ngày vào; ","")&amp;IF(AND(DM_NHAN_SU!$G100&lt;&gt;"",SUMPRODUCT(--($F100:$AJ100&lt;&gt;""),--($F100:$AJ100&lt;&gt;"NV"),--($F100:$AJ100&lt;&gt;"NT"),--($F100:$AJ100&lt;&gt;"TN"),--((THAM_SO_CC!$B$8+COLUMN($F$1:$AJ$1)-6)&gt;DM_NHAN_SU!$G100))&gt;0),"Chấm sau ngày nghỉ việc; ","")))</f>
        <v/>
      </c>
    </row>
    <row r="101" ht="15" customHeight="1" s="63">
      <c r="A101" s="85">
        <f>IF($B101="","",ROW()-5)</f>
        <v/>
      </c>
      <c r="B101" s="103">
        <f>IF(DM_NHAN_SU!B101="","",DM_NHAN_SU!B101)</f>
        <v/>
      </c>
      <c r="C101" s="96">
        <f>IF($B101="","",DM_NHAN_SU!C101)</f>
        <v/>
      </c>
      <c r="D101" s="96">
        <f>IF($B101="","",DM_NHAN_SU!D101)</f>
        <v/>
      </c>
      <c r="E101" s="96">
        <f>IF($B101="","",DM_NHAN_SU!E101)</f>
        <v/>
      </c>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93" t="n"/>
      <c r="Y101" s="93" t="n"/>
      <c r="Z101" s="93" t="n"/>
      <c r="AA101" s="93" t="n"/>
      <c r="AB101" s="93" t="n"/>
      <c r="AC101" s="93" t="n"/>
      <c r="AD101" s="93" t="n"/>
      <c r="AE101" s="93" t="n"/>
      <c r="AF101" s="93" t="n"/>
      <c r="AG101" s="93" t="n"/>
      <c r="AH101" s="93" t="n"/>
      <c r="AI101" s="93" t="n"/>
      <c r="AJ101" s="93" t="n"/>
      <c r="AK101" s="104">
        <f>IF($B101="","",SUMPRODUCT(COUNTIF($F101:$AJ101,KY_HIEU!$A$6:$A$45)*KY_HIEU!$C$6:$C$45))</f>
        <v/>
      </c>
      <c r="AL101" s="104">
        <f>IF($B101="","",SUMPRODUCT(COUNTIF($F101:$AJ101,KY_HIEU!$A$6:$A$45)*KY_HIEU!$D$6:$D$45))</f>
        <v/>
      </c>
      <c r="AM101" s="104">
        <f>IF($B101="","",SUMPRODUCT(COUNTIF($F101:$AJ101,KY_HIEU!$A$6:$A$45)*KY_HIEU!$E$6:$E$45))</f>
        <v/>
      </c>
      <c r="AN101" s="104">
        <f>IF($B101="","",SUMPRODUCT(COUNTIF($F101:$AJ101,KY_HIEU!$A$6:$A$45)*KY_HIEU!$F$6:$F$45))</f>
        <v/>
      </c>
      <c r="AO101" s="104">
        <f>IF($B101="","",SUMPRODUCT(COUNTIF($F101:$AJ101,KY_HIEU!$A$6:$A$45)*KY_HIEU!$G$6:$G$45))</f>
        <v/>
      </c>
      <c r="AP101" s="104">
        <f>IF($B101="","",SUMPRODUCT(COUNTIF($F101:$AJ101,KY_HIEU!$A$6:$A$45)*KY_HIEU!$H$6:$H$45))</f>
        <v/>
      </c>
      <c r="AQ101" s="104">
        <f>IF($B101="","",SUMPRODUCT(COUNTIF($F101:$AJ101,KY_HIEU!$A$6:$A$45)*KY_HIEU!$I$6:$I$45))</f>
        <v/>
      </c>
      <c r="AR101" s="105">
        <f>IF($B101="","",$AK101+$AL101+$AN101+$AO101+$AP101+$AQ101)</f>
        <v/>
      </c>
      <c r="AS101" s="105">
        <f>IF($B101="","",IF(DM_NHAN_SU!$I101&lt;&gt;"",DM_NHAN_SU!$I101,IF(THAM_SO_CC!$B$20="Nhập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101="",THAM_SO_CC!$B$8,DM_NHAN_SU!$F101))*(ROW(INDIRECT(THAM_SO_CC!$B$8&amp;":"&amp;THAM_SO_CC!$B$9))&lt;=IF(DM_NHAN_SU!$G101="",THAM_SO_CC!$B$9,DM_NHAN_SU!$G101))))))</f>
        <v/>
      </c>
      <c r="AT101" s="106">
        <f>IF($B101="","",$AR101-$AS101)</f>
        <v/>
      </c>
      <c r="AU101" s="96">
        <f>IF($B101="","",TRIM(IF(SUMPRODUCT(--($F101:$AJ101&lt;&gt;""))-SUMPRODUCT(COUNTIF($F101:$AJ101,KY_HIEU!$A$6:$A$45))&gt;0,"Ký hiệu lạ; ","")&amp;IF(ROUND($AT101,2)&lt;&gt;0,"Lệch ngày công "&amp;TEXT($AT101,"0.0")&amp;"; ","")&amp;IF(SUMPRODUCT(--($F101:$AJ101&lt;&gt;""),--((THAM_SO_CC!$B$8+COLUMN($F$1:$AJ$1)-6)&gt;THAM_SO_CC!$B$9))&gt;0,"Chấm ngoài kỳ; ","")&amp;IF(AND(DM_NHAN_SU!$F101&lt;&gt;"",SUMPRODUCT(--($F101:$AJ101&lt;&gt;""),--($F101:$AJ101&lt;&gt;"NV"),--($F101:$AJ101&lt;&gt;"NT"),--($F101:$AJ101&lt;&gt;"TN"),--((THAM_SO_CC!$B$8+COLUMN($F$1:$AJ$1)-6)&lt;DM_NHAN_SU!$F101))&gt;0),"Chấm trước ngày vào; ","")&amp;IF(AND(DM_NHAN_SU!$G101&lt;&gt;"",SUMPRODUCT(--($F101:$AJ101&lt;&gt;""),--($F101:$AJ101&lt;&gt;"NV"),--($F101:$AJ101&lt;&gt;"NT"),--($F101:$AJ101&lt;&gt;"TN"),--((THAM_SO_CC!$B$8+COLUMN($F$1:$AJ$1)-6)&gt;DM_NHAN_SU!$G101))&gt;0),"Chấm sau ngày nghỉ việc; ","")))</f>
        <v/>
      </c>
    </row>
    <row r="102" ht="15" customHeight="1" s="63">
      <c r="A102" s="85">
        <f>IF($B102="","",ROW()-5)</f>
        <v/>
      </c>
      <c r="B102" s="103">
        <f>IF(DM_NHAN_SU!B102="","",DM_NHAN_SU!B102)</f>
        <v/>
      </c>
      <c r="C102" s="96">
        <f>IF($B102="","",DM_NHAN_SU!C102)</f>
        <v/>
      </c>
      <c r="D102" s="96">
        <f>IF($B102="","",DM_NHAN_SU!D102)</f>
        <v/>
      </c>
      <c r="E102" s="96">
        <f>IF($B102="","",DM_NHAN_SU!E102)</f>
        <v/>
      </c>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93" t="n"/>
      <c r="Y102" s="93" t="n"/>
      <c r="Z102" s="93" t="n"/>
      <c r="AA102" s="93" t="n"/>
      <c r="AB102" s="93" t="n"/>
      <c r="AC102" s="93" t="n"/>
      <c r="AD102" s="93" t="n"/>
      <c r="AE102" s="93" t="n"/>
      <c r="AF102" s="93" t="n"/>
      <c r="AG102" s="93" t="n"/>
      <c r="AH102" s="93" t="n"/>
      <c r="AI102" s="93" t="n"/>
      <c r="AJ102" s="93" t="n"/>
      <c r="AK102" s="104">
        <f>IF($B102="","",SUMPRODUCT(COUNTIF($F102:$AJ102,KY_HIEU!$A$6:$A$45)*KY_HIEU!$C$6:$C$45))</f>
        <v/>
      </c>
      <c r="AL102" s="104">
        <f>IF($B102="","",SUMPRODUCT(COUNTIF($F102:$AJ102,KY_HIEU!$A$6:$A$45)*KY_HIEU!$D$6:$D$45))</f>
        <v/>
      </c>
      <c r="AM102" s="104">
        <f>IF($B102="","",SUMPRODUCT(COUNTIF($F102:$AJ102,KY_HIEU!$A$6:$A$45)*KY_HIEU!$E$6:$E$45))</f>
        <v/>
      </c>
      <c r="AN102" s="104">
        <f>IF($B102="","",SUMPRODUCT(COUNTIF($F102:$AJ102,KY_HIEU!$A$6:$A$45)*KY_HIEU!$F$6:$F$45))</f>
        <v/>
      </c>
      <c r="AO102" s="104">
        <f>IF($B102="","",SUMPRODUCT(COUNTIF($F102:$AJ102,KY_HIEU!$A$6:$A$45)*KY_HIEU!$G$6:$G$45))</f>
        <v/>
      </c>
      <c r="AP102" s="104">
        <f>IF($B102="","",SUMPRODUCT(COUNTIF($F102:$AJ102,KY_HIEU!$A$6:$A$45)*KY_HIEU!$H$6:$H$45))</f>
        <v/>
      </c>
      <c r="AQ102" s="104">
        <f>IF($B102="","",SUMPRODUCT(COUNTIF($F102:$AJ102,KY_HIEU!$A$6:$A$45)*KY_HIEU!$I$6:$I$45))</f>
        <v/>
      </c>
      <c r="AR102" s="105">
        <f>IF($B102="","",$AK102+$AL102+$AN102+$AO102+$AP102+$AQ102)</f>
        <v/>
      </c>
      <c r="AS102" s="105">
        <f>IF($B102="","",IF(DM_NHAN_SU!$I102&lt;&gt;"",DM_NHAN_SU!$I102,IF(THAM_SO_CC!$B$20="Nhập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102="",THAM_SO_CC!$B$8,DM_NHAN_SU!$F102))*(ROW(INDIRECT(THAM_SO_CC!$B$8&amp;":"&amp;THAM_SO_CC!$B$9))&lt;=IF(DM_NHAN_SU!$G102="",THAM_SO_CC!$B$9,DM_NHAN_SU!$G102))))))</f>
        <v/>
      </c>
      <c r="AT102" s="106">
        <f>IF($B102="","",$AR102-$AS102)</f>
        <v/>
      </c>
      <c r="AU102" s="96">
        <f>IF($B102="","",TRIM(IF(SUMPRODUCT(--($F102:$AJ102&lt;&gt;""))-SUMPRODUCT(COUNTIF($F102:$AJ102,KY_HIEU!$A$6:$A$45))&gt;0,"Ký hiệu lạ; ","")&amp;IF(ROUND($AT102,2)&lt;&gt;0,"Lệch ngày công "&amp;TEXT($AT102,"0.0")&amp;"; ","")&amp;IF(SUMPRODUCT(--($F102:$AJ102&lt;&gt;""),--((THAM_SO_CC!$B$8+COLUMN($F$1:$AJ$1)-6)&gt;THAM_SO_CC!$B$9))&gt;0,"Chấm ngoài kỳ; ","")&amp;IF(AND(DM_NHAN_SU!$F102&lt;&gt;"",SUMPRODUCT(--($F102:$AJ102&lt;&gt;""),--($F102:$AJ102&lt;&gt;"NV"),--($F102:$AJ102&lt;&gt;"NT"),--($F102:$AJ102&lt;&gt;"TN"),--((THAM_SO_CC!$B$8+COLUMN($F$1:$AJ$1)-6)&lt;DM_NHAN_SU!$F102))&gt;0),"Chấm trước ngày vào; ","")&amp;IF(AND(DM_NHAN_SU!$G102&lt;&gt;"",SUMPRODUCT(--($F102:$AJ102&lt;&gt;""),--($F102:$AJ102&lt;&gt;"NV"),--($F102:$AJ102&lt;&gt;"NT"),--($F102:$AJ102&lt;&gt;"TN"),--((THAM_SO_CC!$B$8+COLUMN($F$1:$AJ$1)-6)&gt;DM_NHAN_SU!$G102))&gt;0),"Chấm sau ngày nghỉ việc; ","")))</f>
        <v/>
      </c>
    </row>
    <row r="103" ht="15" customHeight="1" s="63">
      <c r="A103" s="85">
        <f>IF($B103="","",ROW()-5)</f>
        <v/>
      </c>
      <c r="B103" s="103">
        <f>IF(DM_NHAN_SU!B103="","",DM_NHAN_SU!B103)</f>
        <v/>
      </c>
      <c r="C103" s="96">
        <f>IF($B103="","",DM_NHAN_SU!C103)</f>
        <v/>
      </c>
      <c r="D103" s="96">
        <f>IF($B103="","",DM_NHAN_SU!D103)</f>
        <v/>
      </c>
      <c r="E103" s="96">
        <f>IF($B103="","",DM_NHAN_SU!E103)</f>
        <v/>
      </c>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93" t="n"/>
      <c r="Y103" s="93" t="n"/>
      <c r="Z103" s="93" t="n"/>
      <c r="AA103" s="93" t="n"/>
      <c r="AB103" s="93" t="n"/>
      <c r="AC103" s="93" t="n"/>
      <c r="AD103" s="93" t="n"/>
      <c r="AE103" s="93" t="n"/>
      <c r="AF103" s="93" t="n"/>
      <c r="AG103" s="93" t="n"/>
      <c r="AH103" s="93" t="n"/>
      <c r="AI103" s="93" t="n"/>
      <c r="AJ103" s="93" t="n"/>
      <c r="AK103" s="104">
        <f>IF($B103="","",SUMPRODUCT(COUNTIF($F103:$AJ103,KY_HIEU!$A$6:$A$45)*KY_HIEU!$C$6:$C$45))</f>
        <v/>
      </c>
      <c r="AL103" s="104">
        <f>IF($B103="","",SUMPRODUCT(COUNTIF($F103:$AJ103,KY_HIEU!$A$6:$A$45)*KY_HIEU!$D$6:$D$45))</f>
        <v/>
      </c>
      <c r="AM103" s="104">
        <f>IF($B103="","",SUMPRODUCT(COUNTIF($F103:$AJ103,KY_HIEU!$A$6:$A$45)*KY_HIEU!$E$6:$E$45))</f>
        <v/>
      </c>
      <c r="AN103" s="104">
        <f>IF($B103="","",SUMPRODUCT(COUNTIF($F103:$AJ103,KY_HIEU!$A$6:$A$45)*KY_HIEU!$F$6:$F$45))</f>
        <v/>
      </c>
      <c r="AO103" s="104">
        <f>IF($B103="","",SUMPRODUCT(COUNTIF($F103:$AJ103,KY_HIEU!$A$6:$A$45)*KY_HIEU!$G$6:$G$45))</f>
        <v/>
      </c>
      <c r="AP103" s="104">
        <f>IF($B103="","",SUMPRODUCT(COUNTIF($F103:$AJ103,KY_HIEU!$A$6:$A$45)*KY_HIEU!$H$6:$H$45))</f>
        <v/>
      </c>
      <c r="AQ103" s="104">
        <f>IF($B103="","",SUMPRODUCT(COUNTIF($F103:$AJ103,KY_HIEU!$A$6:$A$45)*KY_HIEU!$I$6:$I$45))</f>
        <v/>
      </c>
      <c r="AR103" s="105">
        <f>IF($B103="","",$AK103+$AL103+$AN103+$AO103+$AP103+$AQ103)</f>
        <v/>
      </c>
      <c r="AS103" s="105">
        <f>IF($B103="","",IF(DM_NHAN_SU!$I103&lt;&gt;"",DM_NHAN_SU!$I103,IF(THAM_SO_CC!$B$20="Nhập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103="",THAM_SO_CC!$B$8,DM_NHAN_SU!$F103))*(ROW(INDIRECT(THAM_SO_CC!$B$8&amp;":"&amp;THAM_SO_CC!$B$9))&lt;=IF(DM_NHAN_SU!$G103="",THAM_SO_CC!$B$9,DM_NHAN_SU!$G103))))))</f>
        <v/>
      </c>
      <c r="AT103" s="106">
        <f>IF($B103="","",$AR103-$AS103)</f>
        <v/>
      </c>
      <c r="AU103" s="96">
        <f>IF($B103="","",TRIM(IF(SUMPRODUCT(--($F103:$AJ103&lt;&gt;""))-SUMPRODUCT(COUNTIF($F103:$AJ103,KY_HIEU!$A$6:$A$45))&gt;0,"Ký hiệu lạ; ","")&amp;IF(ROUND($AT103,2)&lt;&gt;0,"Lệch ngày công "&amp;TEXT($AT103,"0.0")&amp;"; ","")&amp;IF(SUMPRODUCT(--($F103:$AJ103&lt;&gt;""),--((THAM_SO_CC!$B$8+COLUMN($F$1:$AJ$1)-6)&gt;THAM_SO_CC!$B$9))&gt;0,"Chấm ngoài kỳ; ","")&amp;IF(AND(DM_NHAN_SU!$F103&lt;&gt;"",SUMPRODUCT(--($F103:$AJ103&lt;&gt;""),--($F103:$AJ103&lt;&gt;"NV"),--($F103:$AJ103&lt;&gt;"NT"),--($F103:$AJ103&lt;&gt;"TN"),--((THAM_SO_CC!$B$8+COLUMN($F$1:$AJ$1)-6)&lt;DM_NHAN_SU!$F103))&gt;0),"Chấm trước ngày vào; ","")&amp;IF(AND(DM_NHAN_SU!$G103&lt;&gt;"",SUMPRODUCT(--($F103:$AJ103&lt;&gt;""),--($F103:$AJ103&lt;&gt;"NV"),--($F103:$AJ103&lt;&gt;"NT"),--($F103:$AJ103&lt;&gt;"TN"),--((THAM_SO_CC!$B$8+COLUMN($F$1:$AJ$1)-6)&gt;DM_NHAN_SU!$G103))&gt;0),"Chấm sau ngày nghỉ việc; ","")))</f>
        <v/>
      </c>
    </row>
    <row r="104" ht="15" customHeight="1" s="63">
      <c r="A104" s="85">
        <f>IF($B104="","",ROW()-5)</f>
        <v/>
      </c>
      <c r="B104" s="103">
        <f>IF(DM_NHAN_SU!B104="","",DM_NHAN_SU!B104)</f>
        <v/>
      </c>
      <c r="C104" s="96">
        <f>IF($B104="","",DM_NHAN_SU!C104)</f>
        <v/>
      </c>
      <c r="D104" s="96">
        <f>IF($B104="","",DM_NHAN_SU!D104)</f>
        <v/>
      </c>
      <c r="E104" s="96">
        <f>IF($B104="","",DM_NHAN_SU!E104)</f>
        <v/>
      </c>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93" t="n"/>
      <c r="Y104" s="93" t="n"/>
      <c r="Z104" s="93" t="n"/>
      <c r="AA104" s="93" t="n"/>
      <c r="AB104" s="93" t="n"/>
      <c r="AC104" s="93" t="n"/>
      <c r="AD104" s="93" t="n"/>
      <c r="AE104" s="93" t="n"/>
      <c r="AF104" s="93" t="n"/>
      <c r="AG104" s="93" t="n"/>
      <c r="AH104" s="93" t="n"/>
      <c r="AI104" s="93" t="n"/>
      <c r="AJ104" s="93" t="n"/>
      <c r="AK104" s="104">
        <f>IF($B104="","",SUMPRODUCT(COUNTIF($F104:$AJ104,KY_HIEU!$A$6:$A$45)*KY_HIEU!$C$6:$C$45))</f>
        <v/>
      </c>
      <c r="AL104" s="104">
        <f>IF($B104="","",SUMPRODUCT(COUNTIF($F104:$AJ104,KY_HIEU!$A$6:$A$45)*KY_HIEU!$D$6:$D$45))</f>
        <v/>
      </c>
      <c r="AM104" s="104">
        <f>IF($B104="","",SUMPRODUCT(COUNTIF($F104:$AJ104,KY_HIEU!$A$6:$A$45)*KY_HIEU!$E$6:$E$45))</f>
        <v/>
      </c>
      <c r="AN104" s="104">
        <f>IF($B104="","",SUMPRODUCT(COUNTIF($F104:$AJ104,KY_HIEU!$A$6:$A$45)*KY_HIEU!$F$6:$F$45))</f>
        <v/>
      </c>
      <c r="AO104" s="104">
        <f>IF($B104="","",SUMPRODUCT(COUNTIF($F104:$AJ104,KY_HIEU!$A$6:$A$45)*KY_HIEU!$G$6:$G$45))</f>
        <v/>
      </c>
      <c r="AP104" s="104">
        <f>IF($B104="","",SUMPRODUCT(COUNTIF($F104:$AJ104,KY_HIEU!$A$6:$A$45)*KY_HIEU!$H$6:$H$45))</f>
        <v/>
      </c>
      <c r="AQ104" s="104">
        <f>IF($B104="","",SUMPRODUCT(COUNTIF($F104:$AJ104,KY_HIEU!$A$6:$A$45)*KY_HIEU!$I$6:$I$45))</f>
        <v/>
      </c>
      <c r="AR104" s="105">
        <f>IF($B104="","",$AK104+$AL104+$AN104+$AO104+$AP104+$AQ104)</f>
        <v/>
      </c>
      <c r="AS104" s="105">
        <f>IF($B104="","",IF(DM_NHAN_SU!$I104&lt;&gt;"",DM_NHAN_SU!$I104,IF(THAM_SO_CC!$B$20="Nhập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104="",THAM_SO_CC!$B$8,DM_NHAN_SU!$F104))*(ROW(INDIRECT(THAM_SO_CC!$B$8&amp;":"&amp;THAM_SO_CC!$B$9))&lt;=IF(DM_NHAN_SU!$G104="",THAM_SO_CC!$B$9,DM_NHAN_SU!$G104))))))</f>
        <v/>
      </c>
      <c r="AT104" s="106">
        <f>IF($B104="","",$AR104-$AS104)</f>
        <v/>
      </c>
      <c r="AU104" s="96">
        <f>IF($B104="","",TRIM(IF(SUMPRODUCT(--($F104:$AJ104&lt;&gt;""))-SUMPRODUCT(COUNTIF($F104:$AJ104,KY_HIEU!$A$6:$A$45))&gt;0,"Ký hiệu lạ; ","")&amp;IF(ROUND($AT104,2)&lt;&gt;0,"Lệch ngày công "&amp;TEXT($AT104,"0.0")&amp;"; ","")&amp;IF(SUMPRODUCT(--($F104:$AJ104&lt;&gt;""),--((THAM_SO_CC!$B$8+COLUMN($F$1:$AJ$1)-6)&gt;THAM_SO_CC!$B$9))&gt;0,"Chấm ngoài kỳ; ","")&amp;IF(AND(DM_NHAN_SU!$F104&lt;&gt;"",SUMPRODUCT(--($F104:$AJ104&lt;&gt;""),--($F104:$AJ104&lt;&gt;"NV"),--($F104:$AJ104&lt;&gt;"NT"),--($F104:$AJ104&lt;&gt;"TN"),--((THAM_SO_CC!$B$8+COLUMN($F$1:$AJ$1)-6)&lt;DM_NHAN_SU!$F104))&gt;0),"Chấm trước ngày vào; ","")&amp;IF(AND(DM_NHAN_SU!$G104&lt;&gt;"",SUMPRODUCT(--($F104:$AJ104&lt;&gt;""),--($F104:$AJ104&lt;&gt;"NV"),--($F104:$AJ104&lt;&gt;"NT"),--($F104:$AJ104&lt;&gt;"TN"),--((THAM_SO_CC!$B$8+COLUMN($F$1:$AJ$1)-6)&gt;DM_NHAN_SU!$G104))&gt;0),"Chấm sau ngày nghỉ việc; ","")))</f>
        <v/>
      </c>
    </row>
    <row r="105" ht="15" customHeight="1" s="63">
      <c r="A105" s="85">
        <f>IF($B105="","",ROW()-5)</f>
        <v/>
      </c>
      <c r="B105" s="103">
        <f>IF(DM_NHAN_SU!B105="","",DM_NHAN_SU!B105)</f>
        <v/>
      </c>
      <c r="C105" s="96">
        <f>IF($B105="","",DM_NHAN_SU!C105)</f>
        <v/>
      </c>
      <c r="D105" s="96">
        <f>IF($B105="","",DM_NHAN_SU!D105)</f>
        <v/>
      </c>
      <c r="E105" s="96">
        <f>IF($B105="","",DM_NHAN_SU!E105)</f>
        <v/>
      </c>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93" t="n"/>
      <c r="Y105" s="93" t="n"/>
      <c r="Z105" s="93" t="n"/>
      <c r="AA105" s="93" t="n"/>
      <c r="AB105" s="93" t="n"/>
      <c r="AC105" s="93" t="n"/>
      <c r="AD105" s="93" t="n"/>
      <c r="AE105" s="93" t="n"/>
      <c r="AF105" s="93" t="n"/>
      <c r="AG105" s="93" t="n"/>
      <c r="AH105" s="93" t="n"/>
      <c r="AI105" s="93" t="n"/>
      <c r="AJ105" s="93" t="n"/>
      <c r="AK105" s="104">
        <f>IF($B105="","",SUMPRODUCT(COUNTIF($F105:$AJ105,KY_HIEU!$A$6:$A$45)*KY_HIEU!$C$6:$C$45))</f>
        <v/>
      </c>
      <c r="AL105" s="104">
        <f>IF($B105="","",SUMPRODUCT(COUNTIF($F105:$AJ105,KY_HIEU!$A$6:$A$45)*KY_HIEU!$D$6:$D$45))</f>
        <v/>
      </c>
      <c r="AM105" s="104">
        <f>IF($B105="","",SUMPRODUCT(COUNTIF($F105:$AJ105,KY_HIEU!$A$6:$A$45)*KY_HIEU!$E$6:$E$45))</f>
        <v/>
      </c>
      <c r="AN105" s="104">
        <f>IF($B105="","",SUMPRODUCT(COUNTIF($F105:$AJ105,KY_HIEU!$A$6:$A$45)*KY_HIEU!$F$6:$F$45))</f>
        <v/>
      </c>
      <c r="AO105" s="104">
        <f>IF($B105="","",SUMPRODUCT(COUNTIF($F105:$AJ105,KY_HIEU!$A$6:$A$45)*KY_HIEU!$G$6:$G$45))</f>
        <v/>
      </c>
      <c r="AP105" s="104">
        <f>IF($B105="","",SUMPRODUCT(COUNTIF($F105:$AJ105,KY_HIEU!$A$6:$A$45)*KY_HIEU!$H$6:$H$45))</f>
        <v/>
      </c>
      <c r="AQ105" s="104">
        <f>IF($B105="","",SUMPRODUCT(COUNTIF($F105:$AJ105,KY_HIEU!$A$6:$A$45)*KY_HIEU!$I$6:$I$45))</f>
        <v/>
      </c>
      <c r="AR105" s="105">
        <f>IF($B105="","",$AK105+$AL105+$AN105+$AO105+$AP105+$AQ105)</f>
        <v/>
      </c>
      <c r="AS105" s="105">
        <f>IF($B105="","",IF(DM_NHAN_SU!$I105&lt;&gt;"",DM_NHAN_SU!$I105,IF(THAM_SO_CC!$B$20="Nhập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105="",THAM_SO_CC!$B$8,DM_NHAN_SU!$F105))*(ROW(INDIRECT(THAM_SO_CC!$B$8&amp;":"&amp;THAM_SO_CC!$B$9))&lt;=IF(DM_NHAN_SU!$G105="",THAM_SO_CC!$B$9,DM_NHAN_SU!$G105))))))</f>
        <v/>
      </c>
      <c r="AT105" s="106">
        <f>IF($B105="","",$AR105-$AS105)</f>
        <v/>
      </c>
      <c r="AU105" s="96">
        <f>IF($B105="","",TRIM(IF(SUMPRODUCT(--($F105:$AJ105&lt;&gt;""))-SUMPRODUCT(COUNTIF($F105:$AJ105,KY_HIEU!$A$6:$A$45))&gt;0,"Ký hiệu lạ; ","")&amp;IF(ROUND($AT105,2)&lt;&gt;0,"Lệch ngày công "&amp;TEXT($AT105,"0.0")&amp;"; ","")&amp;IF(SUMPRODUCT(--($F105:$AJ105&lt;&gt;""),--((THAM_SO_CC!$B$8+COLUMN($F$1:$AJ$1)-6)&gt;THAM_SO_CC!$B$9))&gt;0,"Chấm ngoài kỳ; ","")&amp;IF(AND(DM_NHAN_SU!$F105&lt;&gt;"",SUMPRODUCT(--($F105:$AJ105&lt;&gt;""),--($F105:$AJ105&lt;&gt;"NV"),--($F105:$AJ105&lt;&gt;"NT"),--($F105:$AJ105&lt;&gt;"TN"),--((THAM_SO_CC!$B$8+COLUMN($F$1:$AJ$1)-6)&lt;DM_NHAN_SU!$F105))&gt;0),"Chấm trước ngày vào; ","")&amp;IF(AND(DM_NHAN_SU!$G105&lt;&gt;"",SUMPRODUCT(--($F105:$AJ105&lt;&gt;""),--($F105:$AJ105&lt;&gt;"NV"),--($F105:$AJ105&lt;&gt;"NT"),--($F105:$AJ105&lt;&gt;"TN"),--((THAM_SO_CC!$B$8+COLUMN($F$1:$AJ$1)-6)&gt;DM_NHAN_SU!$G105))&gt;0),"Chấm sau ngày nghỉ việc; ","")))</f>
        <v/>
      </c>
    </row>
    <row r="106" ht="15" customHeight="1" s="63">
      <c r="A106" s="85">
        <f>IF($B106="","",ROW()-5)</f>
        <v/>
      </c>
      <c r="B106" s="103">
        <f>IF(DM_NHAN_SU!B106="","",DM_NHAN_SU!B106)</f>
        <v/>
      </c>
      <c r="C106" s="96">
        <f>IF($B106="","",DM_NHAN_SU!C106)</f>
        <v/>
      </c>
      <c r="D106" s="96">
        <f>IF($B106="","",DM_NHAN_SU!D106)</f>
        <v/>
      </c>
      <c r="E106" s="96">
        <f>IF($B106="","",DM_NHAN_SU!E106)</f>
        <v/>
      </c>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93" t="n"/>
      <c r="Y106" s="93" t="n"/>
      <c r="Z106" s="93" t="n"/>
      <c r="AA106" s="93" t="n"/>
      <c r="AB106" s="93" t="n"/>
      <c r="AC106" s="93" t="n"/>
      <c r="AD106" s="93" t="n"/>
      <c r="AE106" s="93" t="n"/>
      <c r="AF106" s="93" t="n"/>
      <c r="AG106" s="93" t="n"/>
      <c r="AH106" s="93" t="n"/>
      <c r="AI106" s="93" t="n"/>
      <c r="AJ106" s="93" t="n"/>
      <c r="AK106" s="104">
        <f>IF($B106="","",SUMPRODUCT(COUNTIF($F106:$AJ106,KY_HIEU!$A$6:$A$45)*KY_HIEU!$C$6:$C$45))</f>
        <v/>
      </c>
      <c r="AL106" s="104">
        <f>IF($B106="","",SUMPRODUCT(COUNTIF($F106:$AJ106,KY_HIEU!$A$6:$A$45)*KY_HIEU!$D$6:$D$45))</f>
        <v/>
      </c>
      <c r="AM106" s="104">
        <f>IF($B106="","",SUMPRODUCT(COUNTIF($F106:$AJ106,KY_HIEU!$A$6:$A$45)*KY_HIEU!$E$6:$E$45))</f>
        <v/>
      </c>
      <c r="AN106" s="104">
        <f>IF($B106="","",SUMPRODUCT(COUNTIF($F106:$AJ106,KY_HIEU!$A$6:$A$45)*KY_HIEU!$F$6:$F$45))</f>
        <v/>
      </c>
      <c r="AO106" s="104">
        <f>IF($B106="","",SUMPRODUCT(COUNTIF($F106:$AJ106,KY_HIEU!$A$6:$A$45)*KY_HIEU!$G$6:$G$45))</f>
        <v/>
      </c>
      <c r="AP106" s="104">
        <f>IF($B106="","",SUMPRODUCT(COUNTIF($F106:$AJ106,KY_HIEU!$A$6:$A$45)*KY_HIEU!$H$6:$H$45))</f>
        <v/>
      </c>
      <c r="AQ106" s="104">
        <f>IF($B106="","",SUMPRODUCT(COUNTIF($F106:$AJ106,KY_HIEU!$A$6:$A$45)*KY_HIEU!$I$6:$I$45))</f>
        <v/>
      </c>
      <c r="AR106" s="105">
        <f>IF($B106="","",$AK106+$AL106+$AN106+$AO106+$AP106+$AQ106)</f>
        <v/>
      </c>
      <c r="AS106" s="105">
        <f>IF($B106="","",IF(DM_NHAN_SU!$I106&lt;&gt;"",DM_NHAN_SU!$I106,IF(THAM_SO_CC!$B$20="Nhập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106="",THAM_SO_CC!$B$8,DM_NHAN_SU!$F106))*(ROW(INDIRECT(THAM_SO_CC!$B$8&amp;":"&amp;THAM_SO_CC!$B$9))&lt;=IF(DM_NHAN_SU!$G106="",THAM_SO_CC!$B$9,DM_NHAN_SU!$G106))))))</f>
        <v/>
      </c>
      <c r="AT106" s="106">
        <f>IF($B106="","",$AR106-$AS106)</f>
        <v/>
      </c>
      <c r="AU106" s="96">
        <f>IF($B106="","",TRIM(IF(SUMPRODUCT(--($F106:$AJ106&lt;&gt;""))-SUMPRODUCT(COUNTIF($F106:$AJ106,KY_HIEU!$A$6:$A$45))&gt;0,"Ký hiệu lạ; ","")&amp;IF(ROUND($AT106,2)&lt;&gt;0,"Lệch ngày công "&amp;TEXT($AT106,"0.0")&amp;"; ","")&amp;IF(SUMPRODUCT(--($F106:$AJ106&lt;&gt;""),--((THAM_SO_CC!$B$8+COLUMN($F$1:$AJ$1)-6)&gt;THAM_SO_CC!$B$9))&gt;0,"Chấm ngoài kỳ; ","")&amp;IF(AND(DM_NHAN_SU!$F106&lt;&gt;"",SUMPRODUCT(--($F106:$AJ106&lt;&gt;""),--($F106:$AJ106&lt;&gt;"NV"),--($F106:$AJ106&lt;&gt;"NT"),--($F106:$AJ106&lt;&gt;"TN"),--((THAM_SO_CC!$B$8+COLUMN($F$1:$AJ$1)-6)&lt;DM_NHAN_SU!$F106))&gt;0),"Chấm trước ngày vào; ","")&amp;IF(AND(DM_NHAN_SU!$G106&lt;&gt;"",SUMPRODUCT(--($F106:$AJ106&lt;&gt;""),--($F106:$AJ106&lt;&gt;"NV"),--($F106:$AJ106&lt;&gt;"NT"),--($F106:$AJ106&lt;&gt;"TN"),--((THAM_SO_CC!$B$8+COLUMN($F$1:$AJ$1)-6)&gt;DM_NHAN_SU!$G106))&gt;0),"Chấm sau ngày nghỉ việc; ","")))</f>
        <v/>
      </c>
    </row>
    <row r="107" ht="15" customHeight="1" s="63">
      <c r="A107" s="85">
        <f>IF($B107="","",ROW()-5)</f>
        <v/>
      </c>
      <c r="B107" s="103">
        <f>IF(DM_NHAN_SU!B107="","",DM_NHAN_SU!B107)</f>
        <v/>
      </c>
      <c r="C107" s="96">
        <f>IF($B107="","",DM_NHAN_SU!C107)</f>
        <v/>
      </c>
      <c r="D107" s="96">
        <f>IF($B107="","",DM_NHAN_SU!D107)</f>
        <v/>
      </c>
      <c r="E107" s="96">
        <f>IF($B107="","",DM_NHAN_SU!E107)</f>
        <v/>
      </c>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93" t="n"/>
      <c r="Y107" s="93" t="n"/>
      <c r="Z107" s="93" t="n"/>
      <c r="AA107" s="93" t="n"/>
      <c r="AB107" s="93" t="n"/>
      <c r="AC107" s="93" t="n"/>
      <c r="AD107" s="93" t="n"/>
      <c r="AE107" s="93" t="n"/>
      <c r="AF107" s="93" t="n"/>
      <c r="AG107" s="93" t="n"/>
      <c r="AH107" s="93" t="n"/>
      <c r="AI107" s="93" t="n"/>
      <c r="AJ107" s="93" t="n"/>
      <c r="AK107" s="104">
        <f>IF($B107="","",SUMPRODUCT(COUNTIF($F107:$AJ107,KY_HIEU!$A$6:$A$45)*KY_HIEU!$C$6:$C$45))</f>
        <v/>
      </c>
      <c r="AL107" s="104">
        <f>IF($B107="","",SUMPRODUCT(COUNTIF($F107:$AJ107,KY_HIEU!$A$6:$A$45)*KY_HIEU!$D$6:$D$45))</f>
        <v/>
      </c>
      <c r="AM107" s="104">
        <f>IF($B107="","",SUMPRODUCT(COUNTIF($F107:$AJ107,KY_HIEU!$A$6:$A$45)*KY_HIEU!$E$6:$E$45))</f>
        <v/>
      </c>
      <c r="AN107" s="104">
        <f>IF($B107="","",SUMPRODUCT(COUNTIF($F107:$AJ107,KY_HIEU!$A$6:$A$45)*KY_HIEU!$F$6:$F$45))</f>
        <v/>
      </c>
      <c r="AO107" s="104">
        <f>IF($B107="","",SUMPRODUCT(COUNTIF($F107:$AJ107,KY_HIEU!$A$6:$A$45)*KY_HIEU!$G$6:$G$45))</f>
        <v/>
      </c>
      <c r="AP107" s="104">
        <f>IF($B107="","",SUMPRODUCT(COUNTIF($F107:$AJ107,KY_HIEU!$A$6:$A$45)*KY_HIEU!$H$6:$H$45))</f>
        <v/>
      </c>
      <c r="AQ107" s="104">
        <f>IF($B107="","",SUMPRODUCT(COUNTIF($F107:$AJ107,KY_HIEU!$A$6:$A$45)*KY_HIEU!$I$6:$I$45))</f>
        <v/>
      </c>
      <c r="AR107" s="105">
        <f>IF($B107="","",$AK107+$AL107+$AN107+$AO107+$AP107+$AQ107)</f>
        <v/>
      </c>
      <c r="AS107" s="105">
        <f>IF($B107="","",IF(DM_NHAN_SU!$I107&lt;&gt;"",DM_NHAN_SU!$I107,IF(THAM_SO_CC!$B$20="Nhập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107="",THAM_SO_CC!$B$8,DM_NHAN_SU!$F107))*(ROW(INDIRECT(THAM_SO_CC!$B$8&amp;":"&amp;THAM_SO_CC!$B$9))&lt;=IF(DM_NHAN_SU!$G107="",THAM_SO_CC!$B$9,DM_NHAN_SU!$G107))))))</f>
        <v/>
      </c>
      <c r="AT107" s="106">
        <f>IF($B107="","",$AR107-$AS107)</f>
        <v/>
      </c>
      <c r="AU107" s="96">
        <f>IF($B107="","",TRIM(IF(SUMPRODUCT(--($F107:$AJ107&lt;&gt;""))-SUMPRODUCT(COUNTIF($F107:$AJ107,KY_HIEU!$A$6:$A$45))&gt;0,"Ký hiệu lạ; ","")&amp;IF(ROUND($AT107,2)&lt;&gt;0,"Lệch ngày công "&amp;TEXT($AT107,"0.0")&amp;"; ","")&amp;IF(SUMPRODUCT(--($F107:$AJ107&lt;&gt;""),--((THAM_SO_CC!$B$8+COLUMN($F$1:$AJ$1)-6)&gt;THAM_SO_CC!$B$9))&gt;0,"Chấm ngoài kỳ; ","")&amp;IF(AND(DM_NHAN_SU!$F107&lt;&gt;"",SUMPRODUCT(--($F107:$AJ107&lt;&gt;""),--($F107:$AJ107&lt;&gt;"NV"),--($F107:$AJ107&lt;&gt;"NT"),--($F107:$AJ107&lt;&gt;"TN"),--((THAM_SO_CC!$B$8+COLUMN($F$1:$AJ$1)-6)&lt;DM_NHAN_SU!$F107))&gt;0),"Chấm trước ngày vào; ","")&amp;IF(AND(DM_NHAN_SU!$G107&lt;&gt;"",SUMPRODUCT(--($F107:$AJ107&lt;&gt;""),--($F107:$AJ107&lt;&gt;"NV"),--($F107:$AJ107&lt;&gt;"NT"),--($F107:$AJ107&lt;&gt;"TN"),--((THAM_SO_CC!$B$8+COLUMN($F$1:$AJ$1)-6)&gt;DM_NHAN_SU!$G107))&gt;0),"Chấm sau ngày nghỉ việc; ","")))</f>
        <v/>
      </c>
    </row>
    <row r="108" ht="15" customHeight="1" s="63">
      <c r="A108" s="85">
        <f>IF($B108="","",ROW()-5)</f>
        <v/>
      </c>
      <c r="B108" s="103">
        <f>IF(DM_NHAN_SU!B108="","",DM_NHAN_SU!B108)</f>
        <v/>
      </c>
      <c r="C108" s="96">
        <f>IF($B108="","",DM_NHAN_SU!C108)</f>
        <v/>
      </c>
      <c r="D108" s="96">
        <f>IF($B108="","",DM_NHAN_SU!D108)</f>
        <v/>
      </c>
      <c r="E108" s="96">
        <f>IF($B108="","",DM_NHAN_SU!E108)</f>
        <v/>
      </c>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93" t="n"/>
      <c r="Y108" s="93" t="n"/>
      <c r="Z108" s="93" t="n"/>
      <c r="AA108" s="93" t="n"/>
      <c r="AB108" s="93" t="n"/>
      <c r="AC108" s="93" t="n"/>
      <c r="AD108" s="93" t="n"/>
      <c r="AE108" s="93" t="n"/>
      <c r="AF108" s="93" t="n"/>
      <c r="AG108" s="93" t="n"/>
      <c r="AH108" s="93" t="n"/>
      <c r="AI108" s="93" t="n"/>
      <c r="AJ108" s="93" t="n"/>
      <c r="AK108" s="104">
        <f>IF($B108="","",SUMPRODUCT(COUNTIF($F108:$AJ108,KY_HIEU!$A$6:$A$45)*KY_HIEU!$C$6:$C$45))</f>
        <v/>
      </c>
      <c r="AL108" s="104">
        <f>IF($B108="","",SUMPRODUCT(COUNTIF($F108:$AJ108,KY_HIEU!$A$6:$A$45)*KY_HIEU!$D$6:$D$45))</f>
        <v/>
      </c>
      <c r="AM108" s="104">
        <f>IF($B108="","",SUMPRODUCT(COUNTIF($F108:$AJ108,KY_HIEU!$A$6:$A$45)*KY_HIEU!$E$6:$E$45))</f>
        <v/>
      </c>
      <c r="AN108" s="104">
        <f>IF($B108="","",SUMPRODUCT(COUNTIF($F108:$AJ108,KY_HIEU!$A$6:$A$45)*KY_HIEU!$F$6:$F$45))</f>
        <v/>
      </c>
      <c r="AO108" s="104">
        <f>IF($B108="","",SUMPRODUCT(COUNTIF($F108:$AJ108,KY_HIEU!$A$6:$A$45)*KY_HIEU!$G$6:$G$45))</f>
        <v/>
      </c>
      <c r="AP108" s="104">
        <f>IF($B108="","",SUMPRODUCT(COUNTIF($F108:$AJ108,KY_HIEU!$A$6:$A$45)*KY_HIEU!$H$6:$H$45))</f>
        <v/>
      </c>
      <c r="AQ108" s="104">
        <f>IF($B108="","",SUMPRODUCT(COUNTIF($F108:$AJ108,KY_HIEU!$A$6:$A$45)*KY_HIEU!$I$6:$I$45))</f>
        <v/>
      </c>
      <c r="AR108" s="105">
        <f>IF($B108="","",$AK108+$AL108+$AN108+$AO108+$AP108+$AQ108)</f>
        <v/>
      </c>
      <c r="AS108" s="105">
        <f>IF($B108="","",IF(DM_NHAN_SU!$I108&lt;&gt;"",DM_NHAN_SU!$I108,IF(THAM_SO_CC!$B$20="Nhập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108="",THAM_SO_CC!$B$8,DM_NHAN_SU!$F108))*(ROW(INDIRECT(THAM_SO_CC!$B$8&amp;":"&amp;THAM_SO_CC!$B$9))&lt;=IF(DM_NHAN_SU!$G108="",THAM_SO_CC!$B$9,DM_NHAN_SU!$G108))))))</f>
        <v/>
      </c>
      <c r="AT108" s="106">
        <f>IF($B108="","",$AR108-$AS108)</f>
        <v/>
      </c>
      <c r="AU108" s="96">
        <f>IF($B108="","",TRIM(IF(SUMPRODUCT(--($F108:$AJ108&lt;&gt;""))-SUMPRODUCT(COUNTIF($F108:$AJ108,KY_HIEU!$A$6:$A$45))&gt;0,"Ký hiệu lạ; ","")&amp;IF(ROUND($AT108,2)&lt;&gt;0,"Lệch ngày công "&amp;TEXT($AT108,"0.0")&amp;"; ","")&amp;IF(SUMPRODUCT(--($F108:$AJ108&lt;&gt;""),--((THAM_SO_CC!$B$8+COLUMN($F$1:$AJ$1)-6)&gt;THAM_SO_CC!$B$9))&gt;0,"Chấm ngoài kỳ; ","")&amp;IF(AND(DM_NHAN_SU!$F108&lt;&gt;"",SUMPRODUCT(--($F108:$AJ108&lt;&gt;""),--($F108:$AJ108&lt;&gt;"NV"),--($F108:$AJ108&lt;&gt;"NT"),--($F108:$AJ108&lt;&gt;"TN"),--((THAM_SO_CC!$B$8+COLUMN($F$1:$AJ$1)-6)&lt;DM_NHAN_SU!$F108))&gt;0),"Chấm trước ngày vào; ","")&amp;IF(AND(DM_NHAN_SU!$G108&lt;&gt;"",SUMPRODUCT(--($F108:$AJ108&lt;&gt;""),--($F108:$AJ108&lt;&gt;"NV"),--($F108:$AJ108&lt;&gt;"NT"),--($F108:$AJ108&lt;&gt;"TN"),--((THAM_SO_CC!$B$8+COLUMN($F$1:$AJ$1)-6)&gt;DM_NHAN_SU!$G108))&gt;0),"Chấm sau ngày nghỉ việc; ","")))</f>
        <v/>
      </c>
    </row>
    <row r="109" ht="15" customHeight="1" s="63">
      <c r="A109" s="85">
        <f>IF($B109="","",ROW()-5)</f>
        <v/>
      </c>
      <c r="B109" s="103">
        <f>IF(DM_NHAN_SU!B109="","",DM_NHAN_SU!B109)</f>
        <v/>
      </c>
      <c r="C109" s="96">
        <f>IF($B109="","",DM_NHAN_SU!C109)</f>
        <v/>
      </c>
      <c r="D109" s="96">
        <f>IF($B109="","",DM_NHAN_SU!D109)</f>
        <v/>
      </c>
      <c r="E109" s="96">
        <f>IF($B109="","",DM_NHAN_SU!E109)</f>
        <v/>
      </c>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93" t="n"/>
      <c r="Y109" s="93" t="n"/>
      <c r="Z109" s="93" t="n"/>
      <c r="AA109" s="93" t="n"/>
      <c r="AB109" s="93" t="n"/>
      <c r="AC109" s="93" t="n"/>
      <c r="AD109" s="93" t="n"/>
      <c r="AE109" s="93" t="n"/>
      <c r="AF109" s="93" t="n"/>
      <c r="AG109" s="93" t="n"/>
      <c r="AH109" s="93" t="n"/>
      <c r="AI109" s="93" t="n"/>
      <c r="AJ109" s="93" t="n"/>
      <c r="AK109" s="104">
        <f>IF($B109="","",SUMPRODUCT(COUNTIF($F109:$AJ109,KY_HIEU!$A$6:$A$45)*KY_HIEU!$C$6:$C$45))</f>
        <v/>
      </c>
      <c r="AL109" s="104">
        <f>IF($B109="","",SUMPRODUCT(COUNTIF($F109:$AJ109,KY_HIEU!$A$6:$A$45)*KY_HIEU!$D$6:$D$45))</f>
        <v/>
      </c>
      <c r="AM109" s="104">
        <f>IF($B109="","",SUMPRODUCT(COUNTIF($F109:$AJ109,KY_HIEU!$A$6:$A$45)*KY_HIEU!$E$6:$E$45))</f>
        <v/>
      </c>
      <c r="AN109" s="104">
        <f>IF($B109="","",SUMPRODUCT(COUNTIF($F109:$AJ109,KY_HIEU!$A$6:$A$45)*KY_HIEU!$F$6:$F$45))</f>
        <v/>
      </c>
      <c r="AO109" s="104">
        <f>IF($B109="","",SUMPRODUCT(COUNTIF($F109:$AJ109,KY_HIEU!$A$6:$A$45)*KY_HIEU!$G$6:$G$45))</f>
        <v/>
      </c>
      <c r="AP109" s="104">
        <f>IF($B109="","",SUMPRODUCT(COUNTIF($F109:$AJ109,KY_HIEU!$A$6:$A$45)*KY_HIEU!$H$6:$H$45))</f>
        <v/>
      </c>
      <c r="AQ109" s="104">
        <f>IF($B109="","",SUMPRODUCT(COUNTIF($F109:$AJ109,KY_HIEU!$A$6:$A$45)*KY_HIEU!$I$6:$I$45))</f>
        <v/>
      </c>
      <c r="AR109" s="105">
        <f>IF($B109="","",$AK109+$AL109+$AN109+$AO109+$AP109+$AQ109)</f>
        <v/>
      </c>
      <c r="AS109" s="105">
        <f>IF($B109="","",IF(DM_NHAN_SU!$I109&lt;&gt;"",DM_NHAN_SU!$I109,IF(THAM_SO_CC!$B$20="Nhập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109="",THAM_SO_CC!$B$8,DM_NHAN_SU!$F109))*(ROW(INDIRECT(THAM_SO_CC!$B$8&amp;":"&amp;THAM_SO_CC!$B$9))&lt;=IF(DM_NHAN_SU!$G109="",THAM_SO_CC!$B$9,DM_NHAN_SU!$G109))))))</f>
        <v/>
      </c>
      <c r="AT109" s="106">
        <f>IF($B109="","",$AR109-$AS109)</f>
        <v/>
      </c>
      <c r="AU109" s="96">
        <f>IF($B109="","",TRIM(IF(SUMPRODUCT(--($F109:$AJ109&lt;&gt;""))-SUMPRODUCT(COUNTIF($F109:$AJ109,KY_HIEU!$A$6:$A$45))&gt;0,"Ký hiệu lạ; ","")&amp;IF(ROUND($AT109,2)&lt;&gt;0,"Lệch ngày công "&amp;TEXT($AT109,"0.0")&amp;"; ","")&amp;IF(SUMPRODUCT(--($F109:$AJ109&lt;&gt;""),--((THAM_SO_CC!$B$8+COLUMN($F$1:$AJ$1)-6)&gt;THAM_SO_CC!$B$9))&gt;0,"Chấm ngoài kỳ; ","")&amp;IF(AND(DM_NHAN_SU!$F109&lt;&gt;"",SUMPRODUCT(--($F109:$AJ109&lt;&gt;""),--($F109:$AJ109&lt;&gt;"NV"),--($F109:$AJ109&lt;&gt;"NT"),--($F109:$AJ109&lt;&gt;"TN"),--((THAM_SO_CC!$B$8+COLUMN($F$1:$AJ$1)-6)&lt;DM_NHAN_SU!$F109))&gt;0),"Chấm trước ngày vào; ","")&amp;IF(AND(DM_NHAN_SU!$G109&lt;&gt;"",SUMPRODUCT(--($F109:$AJ109&lt;&gt;""),--($F109:$AJ109&lt;&gt;"NV"),--($F109:$AJ109&lt;&gt;"NT"),--($F109:$AJ109&lt;&gt;"TN"),--((THAM_SO_CC!$B$8+COLUMN($F$1:$AJ$1)-6)&gt;DM_NHAN_SU!$G109))&gt;0),"Chấm sau ngày nghỉ việc; ","")))</f>
        <v/>
      </c>
    </row>
    <row r="110" ht="15" customHeight="1" s="63">
      <c r="A110" s="85">
        <f>IF($B110="","",ROW()-5)</f>
        <v/>
      </c>
      <c r="B110" s="103">
        <f>IF(DM_NHAN_SU!B110="","",DM_NHAN_SU!B110)</f>
        <v/>
      </c>
      <c r="C110" s="96">
        <f>IF($B110="","",DM_NHAN_SU!C110)</f>
        <v/>
      </c>
      <c r="D110" s="96">
        <f>IF($B110="","",DM_NHAN_SU!D110)</f>
        <v/>
      </c>
      <c r="E110" s="96">
        <f>IF($B110="","",DM_NHAN_SU!E110)</f>
        <v/>
      </c>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93" t="n"/>
      <c r="Y110" s="93" t="n"/>
      <c r="Z110" s="93" t="n"/>
      <c r="AA110" s="93" t="n"/>
      <c r="AB110" s="93" t="n"/>
      <c r="AC110" s="93" t="n"/>
      <c r="AD110" s="93" t="n"/>
      <c r="AE110" s="93" t="n"/>
      <c r="AF110" s="93" t="n"/>
      <c r="AG110" s="93" t="n"/>
      <c r="AH110" s="93" t="n"/>
      <c r="AI110" s="93" t="n"/>
      <c r="AJ110" s="93" t="n"/>
      <c r="AK110" s="104">
        <f>IF($B110="","",SUMPRODUCT(COUNTIF($F110:$AJ110,KY_HIEU!$A$6:$A$45)*KY_HIEU!$C$6:$C$45))</f>
        <v/>
      </c>
      <c r="AL110" s="104">
        <f>IF($B110="","",SUMPRODUCT(COUNTIF($F110:$AJ110,KY_HIEU!$A$6:$A$45)*KY_HIEU!$D$6:$D$45))</f>
        <v/>
      </c>
      <c r="AM110" s="104">
        <f>IF($B110="","",SUMPRODUCT(COUNTIF($F110:$AJ110,KY_HIEU!$A$6:$A$45)*KY_HIEU!$E$6:$E$45))</f>
        <v/>
      </c>
      <c r="AN110" s="104">
        <f>IF($B110="","",SUMPRODUCT(COUNTIF($F110:$AJ110,KY_HIEU!$A$6:$A$45)*KY_HIEU!$F$6:$F$45))</f>
        <v/>
      </c>
      <c r="AO110" s="104">
        <f>IF($B110="","",SUMPRODUCT(COUNTIF($F110:$AJ110,KY_HIEU!$A$6:$A$45)*KY_HIEU!$G$6:$G$45))</f>
        <v/>
      </c>
      <c r="AP110" s="104">
        <f>IF($B110="","",SUMPRODUCT(COUNTIF($F110:$AJ110,KY_HIEU!$A$6:$A$45)*KY_HIEU!$H$6:$H$45))</f>
        <v/>
      </c>
      <c r="AQ110" s="104">
        <f>IF($B110="","",SUMPRODUCT(COUNTIF($F110:$AJ110,KY_HIEU!$A$6:$A$45)*KY_HIEU!$I$6:$I$45))</f>
        <v/>
      </c>
      <c r="AR110" s="105">
        <f>IF($B110="","",$AK110+$AL110+$AN110+$AO110+$AP110+$AQ110)</f>
        <v/>
      </c>
      <c r="AS110" s="105">
        <f>IF($B110="","",IF(DM_NHAN_SU!$I110&lt;&gt;"",DM_NHAN_SU!$I110,IF(THAM_SO_CC!$B$20="Nhập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110="",THAM_SO_CC!$B$8,DM_NHAN_SU!$F110))*(ROW(INDIRECT(THAM_SO_CC!$B$8&amp;":"&amp;THAM_SO_CC!$B$9))&lt;=IF(DM_NHAN_SU!$G110="",THAM_SO_CC!$B$9,DM_NHAN_SU!$G110))))))</f>
        <v/>
      </c>
      <c r="AT110" s="106">
        <f>IF($B110="","",$AR110-$AS110)</f>
        <v/>
      </c>
      <c r="AU110" s="96">
        <f>IF($B110="","",TRIM(IF(SUMPRODUCT(--($F110:$AJ110&lt;&gt;""))-SUMPRODUCT(COUNTIF($F110:$AJ110,KY_HIEU!$A$6:$A$45))&gt;0,"Ký hiệu lạ; ","")&amp;IF(ROUND($AT110,2)&lt;&gt;0,"Lệch ngày công "&amp;TEXT($AT110,"0.0")&amp;"; ","")&amp;IF(SUMPRODUCT(--($F110:$AJ110&lt;&gt;""),--((THAM_SO_CC!$B$8+COLUMN($F$1:$AJ$1)-6)&gt;THAM_SO_CC!$B$9))&gt;0,"Chấm ngoài kỳ; ","")&amp;IF(AND(DM_NHAN_SU!$F110&lt;&gt;"",SUMPRODUCT(--($F110:$AJ110&lt;&gt;""),--($F110:$AJ110&lt;&gt;"NV"),--($F110:$AJ110&lt;&gt;"NT"),--($F110:$AJ110&lt;&gt;"TN"),--((THAM_SO_CC!$B$8+COLUMN($F$1:$AJ$1)-6)&lt;DM_NHAN_SU!$F110))&gt;0),"Chấm trước ngày vào; ","")&amp;IF(AND(DM_NHAN_SU!$G110&lt;&gt;"",SUMPRODUCT(--($F110:$AJ110&lt;&gt;""),--($F110:$AJ110&lt;&gt;"NV"),--($F110:$AJ110&lt;&gt;"NT"),--($F110:$AJ110&lt;&gt;"TN"),--((THAM_SO_CC!$B$8+COLUMN($F$1:$AJ$1)-6)&gt;DM_NHAN_SU!$G110))&gt;0),"Chấm sau ngày nghỉ việc; ","")))</f>
        <v/>
      </c>
    </row>
    <row r="111" ht="15" customHeight="1" s="63">
      <c r="A111" s="85">
        <f>IF($B111="","",ROW()-5)</f>
        <v/>
      </c>
      <c r="B111" s="103">
        <f>IF(DM_NHAN_SU!B111="","",DM_NHAN_SU!B111)</f>
        <v/>
      </c>
      <c r="C111" s="96">
        <f>IF($B111="","",DM_NHAN_SU!C111)</f>
        <v/>
      </c>
      <c r="D111" s="96">
        <f>IF($B111="","",DM_NHAN_SU!D111)</f>
        <v/>
      </c>
      <c r="E111" s="96">
        <f>IF($B111="","",DM_NHAN_SU!E111)</f>
        <v/>
      </c>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93" t="n"/>
      <c r="Y111" s="93" t="n"/>
      <c r="Z111" s="93" t="n"/>
      <c r="AA111" s="93" t="n"/>
      <c r="AB111" s="93" t="n"/>
      <c r="AC111" s="93" t="n"/>
      <c r="AD111" s="93" t="n"/>
      <c r="AE111" s="93" t="n"/>
      <c r="AF111" s="93" t="n"/>
      <c r="AG111" s="93" t="n"/>
      <c r="AH111" s="93" t="n"/>
      <c r="AI111" s="93" t="n"/>
      <c r="AJ111" s="93" t="n"/>
      <c r="AK111" s="104">
        <f>IF($B111="","",SUMPRODUCT(COUNTIF($F111:$AJ111,KY_HIEU!$A$6:$A$45)*KY_HIEU!$C$6:$C$45))</f>
        <v/>
      </c>
      <c r="AL111" s="104">
        <f>IF($B111="","",SUMPRODUCT(COUNTIF($F111:$AJ111,KY_HIEU!$A$6:$A$45)*KY_HIEU!$D$6:$D$45))</f>
        <v/>
      </c>
      <c r="AM111" s="104">
        <f>IF($B111="","",SUMPRODUCT(COUNTIF($F111:$AJ111,KY_HIEU!$A$6:$A$45)*KY_HIEU!$E$6:$E$45))</f>
        <v/>
      </c>
      <c r="AN111" s="104">
        <f>IF($B111="","",SUMPRODUCT(COUNTIF($F111:$AJ111,KY_HIEU!$A$6:$A$45)*KY_HIEU!$F$6:$F$45))</f>
        <v/>
      </c>
      <c r="AO111" s="104">
        <f>IF($B111="","",SUMPRODUCT(COUNTIF($F111:$AJ111,KY_HIEU!$A$6:$A$45)*KY_HIEU!$G$6:$G$45))</f>
        <v/>
      </c>
      <c r="AP111" s="104">
        <f>IF($B111="","",SUMPRODUCT(COUNTIF($F111:$AJ111,KY_HIEU!$A$6:$A$45)*KY_HIEU!$H$6:$H$45))</f>
        <v/>
      </c>
      <c r="AQ111" s="104">
        <f>IF($B111="","",SUMPRODUCT(COUNTIF($F111:$AJ111,KY_HIEU!$A$6:$A$45)*KY_HIEU!$I$6:$I$45))</f>
        <v/>
      </c>
      <c r="AR111" s="105">
        <f>IF($B111="","",$AK111+$AL111+$AN111+$AO111+$AP111+$AQ111)</f>
        <v/>
      </c>
      <c r="AS111" s="105">
        <f>IF($B111="","",IF(DM_NHAN_SU!$I111&lt;&gt;"",DM_NHAN_SU!$I111,IF(THAM_SO_CC!$B$20="Nhập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111="",THAM_SO_CC!$B$8,DM_NHAN_SU!$F111))*(ROW(INDIRECT(THAM_SO_CC!$B$8&amp;":"&amp;THAM_SO_CC!$B$9))&lt;=IF(DM_NHAN_SU!$G111="",THAM_SO_CC!$B$9,DM_NHAN_SU!$G111))))))</f>
        <v/>
      </c>
      <c r="AT111" s="106">
        <f>IF($B111="","",$AR111-$AS111)</f>
        <v/>
      </c>
      <c r="AU111" s="96">
        <f>IF($B111="","",TRIM(IF(SUMPRODUCT(--($F111:$AJ111&lt;&gt;""))-SUMPRODUCT(COUNTIF($F111:$AJ111,KY_HIEU!$A$6:$A$45))&gt;0,"Ký hiệu lạ; ","")&amp;IF(ROUND($AT111,2)&lt;&gt;0,"Lệch ngày công "&amp;TEXT($AT111,"0.0")&amp;"; ","")&amp;IF(SUMPRODUCT(--($F111:$AJ111&lt;&gt;""),--((THAM_SO_CC!$B$8+COLUMN($F$1:$AJ$1)-6)&gt;THAM_SO_CC!$B$9))&gt;0,"Chấm ngoài kỳ; ","")&amp;IF(AND(DM_NHAN_SU!$F111&lt;&gt;"",SUMPRODUCT(--($F111:$AJ111&lt;&gt;""),--($F111:$AJ111&lt;&gt;"NV"),--($F111:$AJ111&lt;&gt;"NT"),--($F111:$AJ111&lt;&gt;"TN"),--((THAM_SO_CC!$B$8+COLUMN($F$1:$AJ$1)-6)&lt;DM_NHAN_SU!$F111))&gt;0),"Chấm trước ngày vào; ","")&amp;IF(AND(DM_NHAN_SU!$G111&lt;&gt;"",SUMPRODUCT(--($F111:$AJ111&lt;&gt;""),--($F111:$AJ111&lt;&gt;"NV"),--($F111:$AJ111&lt;&gt;"NT"),--($F111:$AJ111&lt;&gt;"TN"),--((THAM_SO_CC!$B$8+COLUMN($F$1:$AJ$1)-6)&gt;DM_NHAN_SU!$G111))&gt;0),"Chấm sau ngày nghỉ việc; ","")))</f>
        <v/>
      </c>
    </row>
    <row r="112" ht="15" customHeight="1" s="63">
      <c r="A112" s="85">
        <f>IF($B112="","",ROW()-5)</f>
        <v/>
      </c>
      <c r="B112" s="103">
        <f>IF(DM_NHAN_SU!B112="","",DM_NHAN_SU!B112)</f>
        <v/>
      </c>
      <c r="C112" s="96">
        <f>IF($B112="","",DM_NHAN_SU!C112)</f>
        <v/>
      </c>
      <c r="D112" s="96">
        <f>IF($B112="","",DM_NHAN_SU!D112)</f>
        <v/>
      </c>
      <c r="E112" s="96">
        <f>IF($B112="","",DM_NHAN_SU!E112)</f>
        <v/>
      </c>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93" t="n"/>
      <c r="Y112" s="93" t="n"/>
      <c r="Z112" s="93" t="n"/>
      <c r="AA112" s="93" t="n"/>
      <c r="AB112" s="93" t="n"/>
      <c r="AC112" s="93" t="n"/>
      <c r="AD112" s="93" t="n"/>
      <c r="AE112" s="93" t="n"/>
      <c r="AF112" s="93" t="n"/>
      <c r="AG112" s="93" t="n"/>
      <c r="AH112" s="93" t="n"/>
      <c r="AI112" s="93" t="n"/>
      <c r="AJ112" s="93" t="n"/>
      <c r="AK112" s="104">
        <f>IF($B112="","",SUMPRODUCT(COUNTIF($F112:$AJ112,KY_HIEU!$A$6:$A$45)*KY_HIEU!$C$6:$C$45))</f>
        <v/>
      </c>
      <c r="AL112" s="104">
        <f>IF($B112="","",SUMPRODUCT(COUNTIF($F112:$AJ112,KY_HIEU!$A$6:$A$45)*KY_HIEU!$D$6:$D$45))</f>
        <v/>
      </c>
      <c r="AM112" s="104">
        <f>IF($B112="","",SUMPRODUCT(COUNTIF($F112:$AJ112,KY_HIEU!$A$6:$A$45)*KY_HIEU!$E$6:$E$45))</f>
        <v/>
      </c>
      <c r="AN112" s="104">
        <f>IF($B112="","",SUMPRODUCT(COUNTIF($F112:$AJ112,KY_HIEU!$A$6:$A$45)*KY_HIEU!$F$6:$F$45))</f>
        <v/>
      </c>
      <c r="AO112" s="104">
        <f>IF($B112="","",SUMPRODUCT(COUNTIF($F112:$AJ112,KY_HIEU!$A$6:$A$45)*KY_HIEU!$G$6:$G$45))</f>
        <v/>
      </c>
      <c r="AP112" s="104">
        <f>IF($B112="","",SUMPRODUCT(COUNTIF($F112:$AJ112,KY_HIEU!$A$6:$A$45)*KY_HIEU!$H$6:$H$45))</f>
        <v/>
      </c>
      <c r="AQ112" s="104">
        <f>IF($B112="","",SUMPRODUCT(COUNTIF($F112:$AJ112,KY_HIEU!$A$6:$A$45)*KY_HIEU!$I$6:$I$45))</f>
        <v/>
      </c>
      <c r="AR112" s="105">
        <f>IF($B112="","",$AK112+$AL112+$AN112+$AO112+$AP112+$AQ112)</f>
        <v/>
      </c>
      <c r="AS112" s="105">
        <f>IF($B112="","",IF(DM_NHAN_SU!$I112&lt;&gt;"",DM_NHAN_SU!$I112,IF(THAM_SO_CC!$B$20="Nhập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112="",THAM_SO_CC!$B$8,DM_NHAN_SU!$F112))*(ROW(INDIRECT(THAM_SO_CC!$B$8&amp;":"&amp;THAM_SO_CC!$B$9))&lt;=IF(DM_NHAN_SU!$G112="",THAM_SO_CC!$B$9,DM_NHAN_SU!$G112))))))</f>
        <v/>
      </c>
      <c r="AT112" s="106">
        <f>IF($B112="","",$AR112-$AS112)</f>
        <v/>
      </c>
      <c r="AU112" s="96">
        <f>IF($B112="","",TRIM(IF(SUMPRODUCT(--($F112:$AJ112&lt;&gt;""))-SUMPRODUCT(COUNTIF($F112:$AJ112,KY_HIEU!$A$6:$A$45))&gt;0,"Ký hiệu lạ; ","")&amp;IF(ROUND($AT112,2)&lt;&gt;0,"Lệch ngày công "&amp;TEXT($AT112,"0.0")&amp;"; ","")&amp;IF(SUMPRODUCT(--($F112:$AJ112&lt;&gt;""),--((THAM_SO_CC!$B$8+COLUMN($F$1:$AJ$1)-6)&gt;THAM_SO_CC!$B$9))&gt;0,"Chấm ngoài kỳ; ","")&amp;IF(AND(DM_NHAN_SU!$F112&lt;&gt;"",SUMPRODUCT(--($F112:$AJ112&lt;&gt;""),--($F112:$AJ112&lt;&gt;"NV"),--($F112:$AJ112&lt;&gt;"NT"),--($F112:$AJ112&lt;&gt;"TN"),--((THAM_SO_CC!$B$8+COLUMN($F$1:$AJ$1)-6)&lt;DM_NHAN_SU!$F112))&gt;0),"Chấm trước ngày vào; ","")&amp;IF(AND(DM_NHAN_SU!$G112&lt;&gt;"",SUMPRODUCT(--($F112:$AJ112&lt;&gt;""),--($F112:$AJ112&lt;&gt;"NV"),--($F112:$AJ112&lt;&gt;"NT"),--($F112:$AJ112&lt;&gt;"TN"),--((THAM_SO_CC!$B$8+COLUMN($F$1:$AJ$1)-6)&gt;DM_NHAN_SU!$G112))&gt;0),"Chấm sau ngày nghỉ việc; ","")))</f>
        <v/>
      </c>
    </row>
    <row r="113" ht="15" customHeight="1" s="63">
      <c r="A113" s="85">
        <f>IF($B113="","",ROW()-5)</f>
        <v/>
      </c>
      <c r="B113" s="103">
        <f>IF(DM_NHAN_SU!B113="","",DM_NHAN_SU!B113)</f>
        <v/>
      </c>
      <c r="C113" s="96">
        <f>IF($B113="","",DM_NHAN_SU!C113)</f>
        <v/>
      </c>
      <c r="D113" s="96">
        <f>IF($B113="","",DM_NHAN_SU!D113)</f>
        <v/>
      </c>
      <c r="E113" s="96">
        <f>IF($B113="","",DM_NHAN_SU!E113)</f>
        <v/>
      </c>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93" t="n"/>
      <c r="Y113" s="93" t="n"/>
      <c r="Z113" s="93" t="n"/>
      <c r="AA113" s="93" t="n"/>
      <c r="AB113" s="93" t="n"/>
      <c r="AC113" s="93" t="n"/>
      <c r="AD113" s="93" t="n"/>
      <c r="AE113" s="93" t="n"/>
      <c r="AF113" s="93" t="n"/>
      <c r="AG113" s="93" t="n"/>
      <c r="AH113" s="93" t="n"/>
      <c r="AI113" s="93" t="n"/>
      <c r="AJ113" s="93" t="n"/>
      <c r="AK113" s="104">
        <f>IF($B113="","",SUMPRODUCT(COUNTIF($F113:$AJ113,KY_HIEU!$A$6:$A$45)*KY_HIEU!$C$6:$C$45))</f>
        <v/>
      </c>
      <c r="AL113" s="104">
        <f>IF($B113="","",SUMPRODUCT(COUNTIF($F113:$AJ113,KY_HIEU!$A$6:$A$45)*KY_HIEU!$D$6:$D$45))</f>
        <v/>
      </c>
      <c r="AM113" s="104">
        <f>IF($B113="","",SUMPRODUCT(COUNTIF($F113:$AJ113,KY_HIEU!$A$6:$A$45)*KY_HIEU!$E$6:$E$45))</f>
        <v/>
      </c>
      <c r="AN113" s="104">
        <f>IF($B113="","",SUMPRODUCT(COUNTIF($F113:$AJ113,KY_HIEU!$A$6:$A$45)*KY_HIEU!$F$6:$F$45))</f>
        <v/>
      </c>
      <c r="AO113" s="104">
        <f>IF($B113="","",SUMPRODUCT(COUNTIF($F113:$AJ113,KY_HIEU!$A$6:$A$45)*KY_HIEU!$G$6:$G$45))</f>
        <v/>
      </c>
      <c r="AP113" s="104">
        <f>IF($B113="","",SUMPRODUCT(COUNTIF($F113:$AJ113,KY_HIEU!$A$6:$A$45)*KY_HIEU!$H$6:$H$45))</f>
        <v/>
      </c>
      <c r="AQ113" s="104">
        <f>IF($B113="","",SUMPRODUCT(COUNTIF($F113:$AJ113,KY_HIEU!$A$6:$A$45)*KY_HIEU!$I$6:$I$45))</f>
        <v/>
      </c>
      <c r="AR113" s="105">
        <f>IF($B113="","",$AK113+$AL113+$AN113+$AO113+$AP113+$AQ113)</f>
        <v/>
      </c>
      <c r="AS113" s="105">
        <f>IF($B113="","",IF(DM_NHAN_SU!$I113&lt;&gt;"",DM_NHAN_SU!$I113,IF(THAM_SO_CC!$B$20="Nhập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113="",THAM_SO_CC!$B$8,DM_NHAN_SU!$F113))*(ROW(INDIRECT(THAM_SO_CC!$B$8&amp;":"&amp;THAM_SO_CC!$B$9))&lt;=IF(DM_NHAN_SU!$G113="",THAM_SO_CC!$B$9,DM_NHAN_SU!$G113))))))</f>
        <v/>
      </c>
      <c r="AT113" s="106">
        <f>IF($B113="","",$AR113-$AS113)</f>
        <v/>
      </c>
      <c r="AU113" s="96">
        <f>IF($B113="","",TRIM(IF(SUMPRODUCT(--($F113:$AJ113&lt;&gt;""))-SUMPRODUCT(COUNTIF($F113:$AJ113,KY_HIEU!$A$6:$A$45))&gt;0,"Ký hiệu lạ; ","")&amp;IF(ROUND($AT113,2)&lt;&gt;0,"Lệch ngày công "&amp;TEXT($AT113,"0.0")&amp;"; ","")&amp;IF(SUMPRODUCT(--($F113:$AJ113&lt;&gt;""),--((THAM_SO_CC!$B$8+COLUMN($F$1:$AJ$1)-6)&gt;THAM_SO_CC!$B$9))&gt;0,"Chấm ngoài kỳ; ","")&amp;IF(AND(DM_NHAN_SU!$F113&lt;&gt;"",SUMPRODUCT(--($F113:$AJ113&lt;&gt;""),--($F113:$AJ113&lt;&gt;"NV"),--($F113:$AJ113&lt;&gt;"NT"),--($F113:$AJ113&lt;&gt;"TN"),--((THAM_SO_CC!$B$8+COLUMN($F$1:$AJ$1)-6)&lt;DM_NHAN_SU!$F113))&gt;0),"Chấm trước ngày vào; ","")&amp;IF(AND(DM_NHAN_SU!$G113&lt;&gt;"",SUMPRODUCT(--($F113:$AJ113&lt;&gt;""),--($F113:$AJ113&lt;&gt;"NV"),--($F113:$AJ113&lt;&gt;"NT"),--($F113:$AJ113&lt;&gt;"TN"),--((THAM_SO_CC!$B$8+COLUMN($F$1:$AJ$1)-6)&gt;DM_NHAN_SU!$G113))&gt;0),"Chấm sau ngày nghỉ việc; ","")))</f>
        <v/>
      </c>
    </row>
    <row r="114" ht="15" customHeight="1" s="63">
      <c r="A114" s="85">
        <f>IF($B114="","",ROW()-5)</f>
        <v/>
      </c>
      <c r="B114" s="103">
        <f>IF(DM_NHAN_SU!B114="","",DM_NHAN_SU!B114)</f>
        <v/>
      </c>
      <c r="C114" s="96">
        <f>IF($B114="","",DM_NHAN_SU!C114)</f>
        <v/>
      </c>
      <c r="D114" s="96">
        <f>IF($B114="","",DM_NHAN_SU!D114)</f>
        <v/>
      </c>
      <c r="E114" s="96">
        <f>IF($B114="","",DM_NHAN_SU!E114)</f>
        <v/>
      </c>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93" t="n"/>
      <c r="Y114" s="93" t="n"/>
      <c r="Z114" s="93" t="n"/>
      <c r="AA114" s="93" t="n"/>
      <c r="AB114" s="93" t="n"/>
      <c r="AC114" s="93" t="n"/>
      <c r="AD114" s="93" t="n"/>
      <c r="AE114" s="93" t="n"/>
      <c r="AF114" s="93" t="n"/>
      <c r="AG114" s="93" t="n"/>
      <c r="AH114" s="93" t="n"/>
      <c r="AI114" s="93" t="n"/>
      <c r="AJ114" s="93" t="n"/>
      <c r="AK114" s="104">
        <f>IF($B114="","",SUMPRODUCT(COUNTIF($F114:$AJ114,KY_HIEU!$A$6:$A$45)*KY_HIEU!$C$6:$C$45))</f>
        <v/>
      </c>
      <c r="AL114" s="104">
        <f>IF($B114="","",SUMPRODUCT(COUNTIF($F114:$AJ114,KY_HIEU!$A$6:$A$45)*KY_HIEU!$D$6:$D$45))</f>
        <v/>
      </c>
      <c r="AM114" s="104">
        <f>IF($B114="","",SUMPRODUCT(COUNTIF($F114:$AJ114,KY_HIEU!$A$6:$A$45)*KY_HIEU!$E$6:$E$45))</f>
        <v/>
      </c>
      <c r="AN114" s="104">
        <f>IF($B114="","",SUMPRODUCT(COUNTIF($F114:$AJ114,KY_HIEU!$A$6:$A$45)*KY_HIEU!$F$6:$F$45))</f>
        <v/>
      </c>
      <c r="AO114" s="104">
        <f>IF($B114="","",SUMPRODUCT(COUNTIF($F114:$AJ114,KY_HIEU!$A$6:$A$45)*KY_HIEU!$G$6:$G$45))</f>
        <v/>
      </c>
      <c r="AP114" s="104">
        <f>IF($B114="","",SUMPRODUCT(COUNTIF($F114:$AJ114,KY_HIEU!$A$6:$A$45)*KY_HIEU!$H$6:$H$45))</f>
        <v/>
      </c>
      <c r="AQ114" s="104">
        <f>IF($B114="","",SUMPRODUCT(COUNTIF($F114:$AJ114,KY_HIEU!$A$6:$A$45)*KY_HIEU!$I$6:$I$45))</f>
        <v/>
      </c>
      <c r="AR114" s="105">
        <f>IF($B114="","",$AK114+$AL114+$AN114+$AO114+$AP114+$AQ114)</f>
        <v/>
      </c>
      <c r="AS114" s="105">
        <f>IF($B114="","",IF(DM_NHAN_SU!$I114&lt;&gt;"",DM_NHAN_SU!$I114,IF(THAM_SO_CC!$B$20="Nhập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114="",THAM_SO_CC!$B$8,DM_NHAN_SU!$F114))*(ROW(INDIRECT(THAM_SO_CC!$B$8&amp;":"&amp;THAM_SO_CC!$B$9))&lt;=IF(DM_NHAN_SU!$G114="",THAM_SO_CC!$B$9,DM_NHAN_SU!$G114))))))</f>
        <v/>
      </c>
      <c r="AT114" s="106">
        <f>IF($B114="","",$AR114-$AS114)</f>
        <v/>
      </c>
      <c r="AU114" s="96">
        <f>IF($B114="","",TRIM(IF(SUMPRODUCT(--($F114:$AJ114&lt;&gt;""))-SUMPRODUCT(COUNTIF($F114:$AJ114,KY_HIEU!$A$6:$A$45))&gt;0,"Ký hiệu lạ; ","")&amp;IF(ROUND($AT114,2)&lt;&gt;0,"Lệch ngày công "&amp;TEXT($AT114,"0.0")&amp;"; ","")&amp;IF(SUMPRODUCT(--($F114:$AJ114&lt;&gt;""),--((THAM_SO_CC!$B$8+COLUMN($F$1:$AJ$1)-6)&gt;THAM_SO_CC!$B$9))&gt;0,"Chấm ngoài kỳ; ","")&amp;IF(AND(DM_NHAN_SU!$F114&lt;&gt;"",SUMPRODUCT(--($F114:$AJ114&lt;&gt;""),--($F114:$AJ114&lt;&gt;"NV"),--($F114:$AJ114&lt;&gt;"NT"),--($F114:$AJ114&lt;&gt;"TN"),--((THAM_SO_CC!$B$8+COLUMN($F$1:$AJ$1)-6)&lt;DM_NHAN_SU!$F114))&gt;0),"Chấm trước ngày vào; ","")&amp;IF(AND(DM_NHAN_SU!$G114&lt;&gt;"",SUMPRODUCT(--($F114:$AJ114&lt;&gt;""),--($F114:$AJ114&lt;&gt;"NV"),--($F114:$AJ114&lt;&gt;"NT"),--($F114:$AJ114&lt;&gt;"TN"),--((THAM_SO_CC!$B$8+COLUMN($F$1:$AJ$1)-6)&gt;DM_NHAN_SU!$G114))&gt;0),"Chấm sau ngày nghỉ việc; ","")))</f>
        <v/>
      </c>
    </row>
    <row r="115" ht="15" customHeight="1" s="63">
      <c r="A115" s="85">
        <f>IF($B115="","",ROW()-5)</f>
        <v/>
      </c>
      <c r="B115" s="103">
        <f>IF(DM_NHAN_SU!B115="","",DM_NHAN_SU!B115)</f>
        <v/>
      </c>
      <c r="C115" s="96">
        <f>IF($B115="","",DM_NHAN_SU!C115)</f>
        <v/>
      </c>
      <c r="D115" s="96">
        <f>IF($B115="","",DM_NHAN_SU!D115)</f>
        <v/>
      </c>
      <c r="E115" s="96">
        <f>IF($B115="","",DM_NHAN_SU!E115)</f>
        <v/>
      </c>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93" t="n"/>
      <c r="Y115" s="93" t="n"/>
      <c r="Z115" s="93" t="n"/>
      <c r="AA115" s="93" t="n"/>
      <c r="AB115" s="93" t="n"/>
      <c r="AC115" s="93" t="n"/>
      <c r="AD115" s="93" t="n"/>
      <c r="AE115" s="93" t="n"/>
      <c r="AF115" s="93" t="n"/>
      <c r="AG115" s="93" t="n"/>
      <c r="AH115" s="93" t="n"/>
      <c r="AI115" s="93" t="n"/>
      <c r="AJ115" s="93" t="n"/>
      <c r="AK115" s="104">
        <f>IF($B115="","",SUMPRODUCT(COUNTIF($F115:$AJ115,KY_HIEU!$A$6:$A$45)*KY_HIEU!$C$6:$C$45))</f>
        <v/>
      </c>
      <c r="AL115" s="104">
        <f>IF($B115="","",SUMPRODUCT(COUNTIF($F115:$AJ115,KY_HIEU!$A$6:$A$45)*KY_HIEU!$D$6:$D$45))</f>
        <v/>
      </c>
      <c r="AM115" s="104">
        <f>IF($B115="","",SUMPRODUCT(COUNTIF($F115:$AJ115,KY_HIEU!$A$6:$A$45)*KY_HIEU!$E$6:$E$45))</f>
        <v/>
      </c>
      <c r="AN115" s="104">
        <f>IF($B115="","",SUMPRODUCT(COUNTIF($F115:$AJ115,KY_HIEU!$A$6:$A$45)*KY_HIEU!$F$6:$F$45))</f>
        <v/>
      </c>
      <c r="AO115" s="104">
        <f>IF($B115="","",SUMPRODUCT(COUNTIF($F115:$AJ115,KY_HIEU!$A$6:$A$45)*KY_HIEU!$G$6:$G$45))</f>
        <v/>
      </c>
      <c r="AP115" s="104">
        <f>IF($B115="","",SUMPRODUCT(COUNTIF($F115:$AJ115,KY_HIEU!$A$6:$A$45)*KY_HIEU!$H$6:$H$45))</f>
        <v/>
      </c>
      <c r="AQ115" s="104">
        <f>IF($B115="","",SUMPRODUCT(COUNTIF($F115:$AJ115,KY_HIEU!$A$6:$A$45)*KY_HIEU!$I$6:$I$45))</f>
        <v/>
      </c>
      <c r="AR115" s="105">
        <f>IF($B115="","",$AK115+$AL115+$AN115+$AO115+$AP115+$AQ115)</f>
        <v/>
      </c>
      <c r="AS115" s="105">
        <f>IF($B115="","",IF(DM_NHAN_SU!$I115&lt;&gt;"",DM_NHAN_SU!$I115,IF(THAM_SO_CC!$B$20="Nhập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115="",THAM_SO_CC!$B$8,DM_NHAN_SU!$F115))*(ROW(INDIRECT(THAM_SO_CC!$B$8&amp;":"&amp;THAM_SO_CC!$B$9))&lt;=IF(DM_NHAN_SU!$G115="",THAM_SO_CC!$B$9,DM_NHAN_SU!$G115))))))</f>
        <v/>
      </c>
      <c r="AT115" s="106">
        <f>IF($B115="","",$AR115-$AS115)</f>
        <v/>
      </c>
      <c r="AU115" s="96">
        <f>IF($B115="","",TRIM(IF(SUMPRODUCT(--($F115:$AJ115&lt;&gt;""))-SUMPRODUCT(COUNTIF($F115:$AJ115,KY_HIEU!$A$6:$A$45))&gt;0,"Ký hiệu lạ; ","")&amp;IF(ROUND($AT115,2)&lt;&gt;0,"Lệch ngày công "&amp;TEXT($AT115,"0.0")&amp;"; ","")&amp;IF(SUMPRODUCT(--($F115:$AJ115&lt;&gt;""),--((THAM_SO_CC!$B$8+COLUMN($F$1:$AJ$1)-6)&gt;THAM_SO_CC!$B$9))&gt;0,"Chấm ngoài kỳ; ","")&amp;IF(AND(DM_NHAN_SU!$F115&lt;&gt;"",SUMPRODUCT(--($F115:$AJ115&lt;&gt;""),--($F115:$AJ115&lt;&gt;"NV"),--($F115:$AJ115&lt;&gt;"NT"),--($F115:$AJ115&lt;&gt;"TN"),--((THAM_SO_CC!$B$8+COLUMN($F$1:$AJ$1)-6)&lt;DM_NHAN_SU!$F115))&gt;0),"Chấm trước ngày vào; ","")&amp;IF(AND(DM_NHAN_SU!$G115&lt;&gt;"",SUMPRODUCT(--($F115:$AJ115&lt;&gt;""),--($F115:$AJ115&lt;&gt;"NV"),--($F115:$AJ115&lt;&gt;"NT"),--($F115:$AJ115&lt;&gt;"TN"),--((THAM_SO_CC!$B$8+COLUMN($F$1:$AJ$1)-6)&gt;DM_NHAN_SU!$G115))&gt;0),"Chấm sau ngày nghỉ việc; ","")))</f>
        <v/>
      </c>
    </row>
    <row r="116" ht="15" customHeight="1" s="63">
      <c r="A116" s="85">
        <f>IF($B116="","",ROW()-5)</f>
        <v/>
      </c>
      <c r="B116" s="103">
        <f>IF(DM_NHAN_SU!B116="","",DM_NHAN_SU!B116)</f>
        <v/>
      </c>
      <c r="C116" s="96">
        <f>IF($B116="","",DM_NHAN_SU!C116)</f>
        <v/>
      </c>
      <c r="D116" s="96">
        <f>IF($B116="","",DM_NHAN_SU!D116)</f>
        <v/>
      </c>
      <c r="E116" s="96">
        <f>IF($B116="","",DM_NHAN_SU!E116)</f>
        <v/>
      </c>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93" t="n"/>
      <c r="Y116" s="93" t="n"/>
      <c r="Z116" s="93" t="n"/>
      <c r="AA116" s="93" t="n"/>
      <c r="AB116" s="93" t="n"/>
      <c r="AC116" s="93" t="n"/>
      <c r="AD116" s="93" t="n"/>
      <c r="AE116" s="93" t="n"/>
      <c r="AF116" s="93" t="n"/>
      <c r="AG116" s="93" t="n"/>
      <c r="AH116" s="93" t="n"/>
      <c r="AI116" s="93" t="n"/>
      <c r="AJ116" s="93" t="n"/>
      <c r="AK116" s="104">
        <f>IF($B116="","",SUMPRODUCT(COUNTIF($F116:$AJ116,KY_HIEU!$A$6:$A$45)*KY_HIEU!$C$6:$C$45))</f>
        <v/>
      </c>
      <c r="AL116" s="104">
        <f>IF($B116="","",SUMPRODUCT(COUNTIF($F116:$AJ116,KY_HIEU!$A$6:$A$45)*KY_HIEU!$D$6:$D$45))</f>
        <v/>
      </c>
      <c r="AM116" s="104">
        <f>IF($B116="","",SUMPRODUCT(COUNTIF($F116:$AJ116,KY_HIEU!$A$6:$A$45)*KY_HIEU!$E$6:$E$45))</f>
        <v/>
      </c>
      <c r="AN116" s="104">
        <f>IF($B116="","",SUMPRODUCT(COUNTIF($F116:$AJ116,KY_HIEU!$A$6:$A$45)*KY_HIEU!$F$6:$F$45))</f>
        <v/>
      </c>
      <c r="AO116" s="104">
        <f>IF($B116="","",SUMPRODUCT(COUNTIF($F116:$AJ116,KY_HIEU!$A$6:$A$45)*KY_HIEU!$G$6:$G$45))</f>
        <v/>
      </c>
      <c r="AP116" s="104">
        <f>IF($B116="","",SUMPRODUCT(COUNTIF($F116:$AJ116,KY_HIEU!$A$6:$A$45)*KY_HIEU!$H$6:$H$45))</f>
        <v/>
      </c>
      <c r="AQ116" s="104">
        <f>IF($B116="","",SUMPRODUCT(COUNTIF($F116:$AJ116,KY_HIEU!$A$6:$A$45)*KY_HIEU!$I$6:$I$45))</f>
        <v/>
      </c>
      <c r="AR116" s="105">
        <f>IF($B116="","",$AK116+$AL116+$AN116+$AO116+$AP116+$AQ116)</f>
        <v/>
      </c>
      <c r="AS116" s="105">
        <f>IF($B116="","",IF(DM_NHAN_SU!$I116&lt;&gt;"",DM_NHAN_SU!$I116,IF(THAM_SO_CC!$B$20="Nhập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116="",THAM_SO_CC!$B$8,DM_NHAN_SU!$F116))*(ROW(INDIRECT(THAM_SO_CC!$B$8&amp;":"&amp;THAM_SO_CC!$B$9))&lt;=IF(DM_NHAN_SU!$G116="",THAM_SO_CC!$B$9,DM_NHAN_SU!$G116))))))</f>
        <v/>
      </c>
      <c r="AT116" s="106">
        <f>IF($B116="","",$AR116-$AS116)</f>
        <v/>
      </c>
      <c r="AU116" s="96">
        <f>IF($B116="","",TRIM(IF(SUMPRODUCT(--($F116:$AJ116&lt;&gt;""))-SUMPRODUCT(COUNTIF($F116:$AJ116,KY_HIEU!$A$6:$A$45))&gt;0,"Ký hiệu lạ; ","")&amp;IF(ROUND($AT116,2)&lt;&gt;0,"Lệch ngày công "&amp;TEXT($AT116,"0.0")&amp;"; ","")&amp;IF(SUMPRODUCT(--($F116:$AJ116&lt;&gt;""),--((THAM_SO_CC!$B$8+COLUMN($F$1:$AJ$1)-6)&gt;THAM_SO_CC!$B$9))&gt;0,"Chấm ngoài kỳ; ","")&amp;IF(AND(DM_NHAN_SU!$F116&lt;&gt;"",SUMPRODUCT(--($F116:$AJ116&lt;&gt;""),--($F116:$AJ116&lt;&gt;"NV"),--($F116:$AJ116&lt;&gt;"NT"),--($F116:$AJ116&lt;&gt;"TN"),--((THAM_SO_CC!$B$8+COLUMN($F$1:$AJ$1)-6)&lt;DM_NHAN_SU!$F116))&gt;0),"Chấm trước ngày vào; ","")&amp;IF(AND(DM_NHAN_SU!$G116&lt;&gt;"",SUMPRODUCT(--($F116:$AJ116&lt;&gt;""),--($F116:$AJ116&lt;&gt;"NV"),--($F116:$AJ116&lt;&gt;"NT"),--($F116:$AJ116&lt;&gt;"TN"),--((THAM_SO_CC!$B$8+COLUMN($F$1:$AJ$1)-6)&gt;DM_NHAN_SU!$G116))&gt;0),"Chấm sau ngày nghỉ việc; ","")))</f>
        <v/>
      </c>
    </row>
    <row r="117" ht="15" customHeight="1" s="63">
      <c r="A117" s="85">
        <f>IF($B117="","",ROW()-5)</f>
        <v/>
      </c>
      <c r="B117" s="103">
        <f>IF(DM_NHAN_SU!B117="","",DM_NHAN_SU!B117)</f>
        <v/>
      </c>
      <c r="C117" s="96">
        <f>IF($B117="","",DM_NHAN_SU!C117)</f>
        <v/>
      </c>
      <c r="D117" s="96">
        <f>IF($B117="","",DM_NHAN_SU!D117)</f>
        <v/>
      </c>
      <c r="E117" s="96">
        <f>IF($B117="","",DM_NHAN_SU!E117)</f>
        <v/>
      </c>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93" t="n"/>
      <c r="Y117" s="93" t="n"/>
      <c r="Z117" s="93" t="n"/>
      <c r="AA117" s="93" t="n"/>
      <c r="AB117" s="93" t="n"/>
      <c r="AC117" s="93" t="n"/>
      <c r="AD117" s="93" t="n"/>
      <c r="AE117" s="93" t="n"/>
      <c r="AF117" s="93" t="n"/>
      <c r="AG117" s="93" t="n"/>
      <c r="AH117" s="93" t="n"/>
      <c r="AI117" s="93" t="n"/>
      <c r="AJ117" s="93" t="n"/>
      <c r="AK117" s="104">
        <f>IF($B117="","",SUMPRODUCT(COUNTIF($F117:$AJ117,KY_HIEU!$A$6:$A$45)*KY_HIEU!$C$6:$C$45))</f>
        <v/>
      </c>
      <c r="AL117" s="104">
        <f>IF($B117="","",SUMPRODUCT(COUNTIF($F117:$AJ117,KY_HIEU!$A$6:$A$45)*KY_HIEU!$D$6:$D$45))</f>
        <v/>
      </c>
      <c r="AM117" s="104">
        <f>IF($B117="","",SUMPRODUCT(COUNTIF($F117:$AJ117,KY_HIEU!$A$6:$A$45)*KY_HIEU!$E$6:$E$45))</f>
        <v/>
      </c>
      <c r="AN117" s="104">
        <f>IF($B117="","",SUMPRODUCT(COUNTIF($F117:$AJ117,KY_HIEU!$A$6:$A$45)*KY_HIEU!$F$6:$F$45))</f>
        <v/>
      </c>
      <c r="AO117" s="104">
        <f>IF($B117="","",SUMPRODUCT(COUNTIF($F117:$AJ117,KY_HIEU!$A$6:$A$45)*KY_HIEU!$G$6:$G$45))</f>
        <v/>
      </c>
      <c r="AP117" s="104">
        <f>IF($B117="","",SUMPRODUCT(COUNTIF($F117:$AJ117,KY_HIEU!$A$6:$A$45)*KY_HIEU!$H$6:$H$45))</f>
        <v/>
      </c>
      <c r="AQ117" s="104">
        <f>IF($B117="","",SUMPRODUCT(COUNTIF($F117:$AJ117,KY_HIEU!$A$6:$A$45)*KY_HIEU!$I$6:$I$45))</f>
        <v/>
      </c>
      <c r="AR117" s="105">
        <f>IF($B117="","",$AK117+$AL117+$AN117+$AO117+$AP117+$AQ117)</f>
        <v/>
      </c>
      <c r="AS117" s="105">
        <f>IF($B117="","",IF(DM_NHAN_SU!$I117&lt;&gt;"",DM_NHAN_SU!$I117,IF(THAM_SO_CC!$B$20="Nhập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117="",THAM_SO_CC!$B$8,DM_NHAN_SU!$F117))*(ROW(INDIRECT(THAM_SO_CC!$B$8&amp;":"&amp;THAM_SO_CC!$B$9))&lt;=IF(DM_NHAN_SU!$G117="",THAM_SO_CC!$B$9,DM_NHAN_SU!$G117))))))</f>
        <v/>
      </c>
      <c r="AT117" s="106">
        <f>IF($B117="","",$AR117-$AS117)</f>
        <v/>
      </c>
      <c r="AU117" s="96">
        <f>IF($B117="","",TRIM(IF(SUMPRODUCT(--($F117:$AJ117&lt;&gt;""))-SUMPRODUCT(COUNTIF($F117:$AJ117,KY_HIEU!$A$6:$A$45))&gt;0,"Ký hiệu lạ; ","")&amp;IF(ROUND($AT117,2)&lt;&gt;0,"Lệch ngày công "&amp;TEXT($AT117,"0.0")&amp;"; ","")&amp;IF(SUMPRODUCT(--($F117:$AJ117&lt;&gt;""),--((THAM_SO_CC!$B$8+COLUMN($F$1:$AJ$1)-6)&gt;THAM_SO_CC!$B$9))&gt;0,"Chấm ngoài kỳ; ","")&amp;IF(AND(DM_NHAN_SU!$F117&lt;&gt;"",SUMPRODUCT(--($F117:$AJ117&lt;&gt;""),--($F117:$AJ117&lt;&gt;"NV"),--($F117:$AJ117&lt;&gt;"NT"),--($F117:$AJ117&lt;&gt;"TN"),--((THAM_SO_CC!$B$8+COLUMN($F$1:$AJ$1)-6)&lt;DM_NHAN_SU!$F117))&gt;0),"Chấm trước ngày vào; ","")&amp;IF(AND(DM_NHAN_SU!$G117&lt;&gt;"",SUMPRODUCT(--($F117:$AJ117&lt;&gt;""),--($F117:$AJ117&lt;&gt;"NV"),--($F117:$AJ117&lt;&gt;"NT"),--($F117:$AJ117&lt;&gt;"TN"),--((THAM_SO_CC!$B$8+COLUMN($F$1:$AJ$1)-6)&gt;DM_NHAN_SU!$G117))&gt;0),"Chấm sau ngày nghỉ việc; ","")))</f>
        <v/>
      </c>
    </row>
    <row r="118" ht="15" customHeight="1" s="63">
      <c r="A118" s="85">
        <f>IF($B118="","",ROW()-5)</f>
        <v/>
      </c>
      <c r="B118" s="103">
        <f>IF(DM_NHAN_SU!B118="","",DM_NHAN_SU!B118)</f>
        <v/>
      </c>
      <c r="C118" s="96">
        <f>IF($B118="","",DM_NHAN_SU!C118)</f>
        <v/>
      </c>
      <c r="D118" s="96">
        <f>IF($B118="","",DM_NHAN_SU!D118)</f>
        <v/>
      </c>
      <c r="E118" s="96">
        <f>IF($B118="","",DM_NHAN_SU!E118)</f>
        <v/>
      </c>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93" t="n"/>
      <c r="Y118" s="93" t="n"/>
      <c r="Z118" s="93" t="n"/>
      <c r="AA118" s="93" t="n"/>
      <c r="AB118" s="93" t="n"/>
      <c r="AC118" s="93" t="n"/>
      <c r="AD118" s="93" t="n"/>
      <c r="AE118" s="93" t="n"/>
      <c r="AF118" s="93" t="n"/>
      <c r="AG118" s="93" t="n"/>
      <c r="AH118" s="93" t="n"/>
      <c r="AI118" s="93" t="n"/>
      <c r="AJ118" s="93" t="n"/>
      <c r="AK118" s="104">
        <f>IF($B118="","",SUMPRODUCT(COUNTIF($F118:$AJ118,KY_HIEU!$A$6:$A$45)*KY_HIEU!$C$6:$C$45))</f>
        <v/>
      </c>
      <c r="AL118" s="104">
        <f>IF($B118="","",SUMPRODUCT(COUNTIF($F118:$AJ118,KY_HIEU!$A$6:$A$45)*KY_HIEU!$D$6:$D$45))</f>
        <v/>
      </c>
      <c r="AM118" s="104">
        <f>IF($B118="","",SUMPRODUCT(COUNTIF($F118:$AJ118,KY_HIEU!$A$6:$A$45)*KY_HIEU!$E$6:$E$45))</f>
        <v/>
      </c>
      <c r="AN118" s="104">
        <f>IF($B118="","",SUMPRODUCT(COUNTIF($F118:$AJ118,KY_HIEU!$A$6:$A$45)*KY_HIEU!$F$6:$F$45))</f>
        <v/>
      </c>
      <c r="AO118" s="104">
        <f>IF($B118="","",SUMPRODUCT(COUNTIF($F118:$AJ118,KY_HIEU!$A$6:$A$45)*KY_HIEU!$G$6:$G$45))</f>
        <v/>
      </c>
      <c r="AP118" s="104">
        <f>IF($B118="","",SUMPRODUCT(COUNTIF($F118:$AJ118,KY_HIEU!$A$6:$A$45)*KY_HIEU!$H$6:$H$45))</f>
        <v/>
      </c>
      <c r="AQ118" s="104">
        <f>IF($B118="","",SUMPRODUCT(COUNTIF($F118:$AJ118,KY_HIEU!$A$6:$A$45)*KY_HIEU!$I$6:$I$45))</f>
        <v/>
      </c>
      <c r="AR118" s="105">
        <f>IF($B118="","",$AK118+$AL118+$AN118+$AO118+$AP118+$AQ118)</f>
        <v/>
      </c>
      <c r="AS118" s="105">
        <f>IF($B118="","",IF(DM_NHAN_SU!$I118&lt;&gt;"",DM_NHAN_SU!$I118,IF(THAM_SO_CC!$B$20="Nhập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118="",THAM_SO_CC!$B$8,DM_NHAN_SU!$F118))*(ROW(INDIRECT(THAM_SO_CC!$B$8&amp;":"&amp;THAM_SO_CC!$B$9))&lt;=IF(DM_NHAN_SU!$G118="",THAM_SO_CC!$B$9,DM_NHAN_SU!$G118))))))</f>
        <v/>
      </c>
      <c r="AT118" s="106">
        <f>IF($B118="","",$AR118-$AS118)</f>
        <v/>
      </c>
      <c r="AU118" s="96">
        <f>IF($B118="","",TRIM(IF(SUMPRODUCT(--($F118:$AJ118&lt;&gt;""))-SUMPRODUCT(COUNTIF($F118:$AJ118,KY_HIEU!$A$6:$A$45))&gt;0,"Ký hiệu lạ; ","")&amp;IF(ROUND($AT118,2)&lt;&gt;0,"Lệch ngày công "&amp;TEXT($AT118,"0.0")&amp;"; ","")&amp;IF(SUMPRODUCT(--($F118:$AJ118&lt;&gt;""),--((THAM_SO_CC!$B$8+COLUMN($F$1:$AJ$1)-6)&gt;THAM_SO_CC!$B$9))&gt;0,"Chấm ngoài kỳ; ","")&amp;IF(AND(DM_NHAN_SU!$F118&lt;&gt;"",SUMPRODUCT(--($F118:$AJ118&lt;&gt;""),--($F118:$AJ118&lt;&gt;"NV"),--($F118:$AJ118&lt;&gt;"NT"),--($F118:$AJ118&lt;&gt;"TN"),--((THAM_SO_CC!$B$8+COLUMN($F$1:$AJ$1)-6)&lt;DM_NHAN_SU!$F118))&gt;0),"Chấm trước ngày vào; ","")&amp;IF(AND(DM_NHAN_SU!$G118&lt;&gt;"",SUMPRODUCT(--($F118:$AJ118&lt;&gt;""),--($F118:$AJ118&lt;&gt;"NV"),--($F118:$AJ118&lt;&gt;"NT"),--($F118:$AJ118&lt;&gt;"TN"),--((THAM_SO_CC!$B$8+COLUMN($F$1:$AJ$1)-6)&gt;DM_NHAN_SU!$G118))&gt;0),"Chấm sau ngày nghỉ việc; ","")))</f>
        <v/>
      </c>
    </row>
    <row r="119" ht="15" customHeight="1" s="63">
      <c r="A119" s="85">
        <f>IF($B119="","",ROW()-5)</f>
        <v/>
      </c>
      <c r="B119" s="103">
        <f>IF(DM_NHAN_SU!B119="","",DM_NHAN_SU!B119)</f>
        <v/>
      </c>
      <c r="C119" s="96">
        <f>IF($B119="","",DM_NHAN_SU!C119)</f>
        <v/>
      </c>
      <c r="D119" s="96">
        <f>IF($B119="","",DM_NHAN_SU!D119)</f>
        <v/>
      </c>
      <c r="E119" s="96">
        <f>IF($B119="","",DM_NHAN_SU!E119)</f>
        <v/>
      </c>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93" t="n"/>
      <c r="Y119" s="93" t="n"/>
      <c r="Z119" s="93" t="n"/>
      <c r="AA119" s="93" t="n"/>
      <c r="AB119" s="93" t="n"/>
      <c r="AC119" s="93" t="n"/>
      <c r="AD119" s="93" t="n"/>
      <c r="AE119" s="93" t="n"/>
      <c r="AF119" s="93" t="n"/>
      <c r="AG119" s="93" t="n"/>
      <c r="AH119" s="93" t="n"/>
      <c r="AI119" s="93" t="n"/>
      <c r="AJ119" s="93" t="n"/>
      <c r="AK119" s="104">
        <f>IF($B119="","",SUMPRODUCT(COUNTIF($F119:$AJ119,KY_HIEU!$A$6:$A$45)*KY_HIEU!$C$6:$C$45))</f>
        <v/>
      </c>
      <c r="AL119" s="104">
        <f>IF($B119="","",SUMPRODUCT(COUNTIF($F119:$AJ119,KY_HIEU!$A$6:$A$45)*KY_HIEU!$D$6:$D$45))</f>
        <v/>
      </c>
      <c r="AM119" s="104">
        <f>IF($B119="","",SUMPRODUCT(COUNTIF($F119:$AJ119,KY_HIEU!$A$6:$A$45)*KY_HIEU!$E$6:$E$45))</f>
        <v/>
      </c>
      <c r="AN119" s="104">
        <f>IF($B119="","",SUMPRODUCT(COUNTIF($F119:$AJ119,KY_HIEU!$A$6:$A$45)*KY_HIEU!$F$6:$F$45))</f>
        <v/>
      </c>
      <c r="AO119" s="104">
        <f>IF($B119="","",SUMPRODUCT(COUNTIF($F119:$AJ119,KY_HIEU!$A$6:$A$45)*KY_HIEU!$G$6:$G$45))</f>
        <v/>
      </c>
      <c r="AP119" s="104">
        <f>IF($B119="","",SUMPRODUCT(COUNTIF($F119:$AJ119,KY_HIEU!$A$6:$A$45)*KY_HIEU!$H$6:$H$45))</f>
        <v/>
      </c>
      <c r="AQ119" s="104">
        <f>IF($B119="","",SUMPRODUCT(COUNTIF($F119:$AJ119,KY_HIEU!$A$6:$A$45)*KY_HIEU!$I$6:$I$45))</f>
        <v/>
      </c>
      <c r="AR119" s="105">
        <f>IF($B119="","",$AK119+$AL119+$AN119+$AO119+$AP119+$AQ119)</f>
        <v/>
      </c>
      <c r="AS119" s="105">
        <f>IF($B119="","",IF(DM_NHAN_SU!$I119&lt;&gt;"",DM_NHAN_SU!$I119,IF(THAM_SO_CC!$B$20="Nhập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119="",THAM_SO_CC!$B$8,DM_NHAN_SU!$F119))*(ROW(INDIRECT(THAM_SO_CC!$B$8&amp;":"&amp;THAM_SO_CC!$B$9))&lt;=IF(DM_NHAN_SU!$G119="",THAM_SO_CC!$B$9,DM_NHAN_SU!$G119))))))</f>
        <v/>
      </c>
      <c r="AT119" s="106">
        <f>IF($B119="","",$AR119-$AS119)</f>
        <v/>
      </c>
      <c r="AU119" s="96">
        <f>IF($B119="","",TRIM(IF(SUMPRODUCT(--($F119:$AJ119&lt;&gt;""))-SUMPRODUCT(COUNTIF($F119:$AJ119,KY_HIEU!$A$6:$A$45))&gt;0,"Ký hiệu lạ; ","")&amp;IF(ROUND($AT119,2)&lt;&gt;0,"Lệch ngày công "&amp;TEXT($AT119,"0.0")&amp;"; ","")&amp;IF(SUMPRODUCT(--($F119:$AJ119&lt;&gt;""),--((THAM_SO_CC!$B$8+COLUMN($F$1:$AJ$1)-6)&gt;THAM_SO_CC!$B$9))&gt;0,"Chấm ngoài kỳ; ","")&amp;IF(AND(DM_NHAN_SU!$F119&lt;&gt;"",SUMPRODUCT(--($F119:$AJ119&lt;&gt;""),--($F119:$AJ119&lt;&gt;"NV"),--($F119:$AJ119&lt;&gt;"NT"),--($F119:$AJ119&lt;&gt;"TN"),--((THAM_SO_CC!$B$8+COLUMN($F$1:$AJ$1)-6)&lt;DM_NHAN_SU!$F119))&gt;0),"Chấm trước ngày vào; ","")&amp;IF(AND(DM_NHAN_SU!$G119&lt;&gt;"",SUMPRODUCT(--($F119:$AJ119&lt;&gt;""),--($F119:$AJ119&lt;&gt;"NV"),--($F119:$AJ119&lt;&gt;"NT"),--($F119:$AJ119&lt;&gt;"TN"),--((THAM_SO_CC!$B$8+COLUMN($F$1:$AJ$1)-6)&gt;DM_NHAN_SU!$G119))&gt;0),"Chấm sau ngày nghỉ việc; ","")))</f>
        <v/>
      </c>
    </row>
    <row r="120" ht="15" customHeight="1" s="63">
      <c r="A120" s="85">
        <f>IF($B120="","",ROW()-5)</f>
        <v/>
      </c>
      <c r="B120" s="103">
        <f>IF(DM_NHAN_SU!B120="","",DM_NHAN_SU!B120)</f>
        <v/>
      </c>
      <c r="C120" s="96">
        <f>IF($B120="","",DM_NHAN_SU!C120)</f>
        <v/>
      </c>
      <c r="D120" s="96">
        <f>IF($B120="","",DM_NHAN_SU!D120)</f>
        <v/>
      </c>
      <c r="E120" s="96">
        <f>IF($B120="","",DM_NHAN_SU!E120)</f>
        <v/>
      </c>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93" t="n"/>
      <c r="Y120" s="93" t="n"/>
      <c r="Z120" s="93" t="n"/>
      <c r="AA120" s="93" t="n"/>
      <c r="AB120" s="93" t="n"/>
      <c r="AC120" s="93" t="n"/>
      <c r="AD120" s="93" t="n"/>
      <c r="AE120" s="93" t="n"/>
      <c r="AF120" s="93" t="n"/>
      <c r="AG120" s="93" t="n"/>
      <c r="AH120" s="93" t="n"/>
      <c r="AI120" s="93" t="n"/>
      <c r="AJ120" s="93" t="n"/>
      <c r="AK120" s="104">
        <f>IF($B120="","",SUMPRODUCT(COUNTIF($F120:$AJ120,KY_HIEU!$A$6:$A$45)*KY_HIEU!$C$6:$C$45))</f>
        <v/>
      </c>
      <c r="AL120" s="104">
        <f>IF($B120="","",SUMPRODUCT(COUNTIF($F120:$AJ120,KY_HIEU!$A$6:$A$45)*KY_HIEU!$D$6:$D$45))</f>
        <v/>
      </c>
      <c r="AM120" s="104">
        <f>IF($B120="","",SUMPRODUCT(COUNTIF($F120:$AJ120,KY_HIEU!$A$6:$A$45)*KY_HIEU!$E$6:$E$45))</f>
        <v/>
      </c>
      <c r="AN120" s="104">
        <f>IF($B120="","",SUMPRODUCT(COUNTIF($F120:$AJ120,KY_HIEU!$A$6:$A$45)*KY_HIEU!$F$6:$F$45))</f>
        <v/>
      </c>
      <c r="AO120" s="104">
        <f>IF($B120="","",SUMPRODUCT(COUNTIF($F120:$AJ120,KY_HIEU!$A$6:$A$45)*KY_HIEU!$G$6:$G$45))</f>
        <v/>
      </c>
      <c r="AP120" s="104">
        <f>IF($B120="","",SUMPRODUCT(COUNTIF($F120:$AJ120,KY_HIEU!$A$6:$A$45)*KY_HIEU!$H$6:$H$45))</f>
        <v/>
      </c>
      <c r="AQ120" s="104">
        <f>IF($B120="","",SUMPRODUCT(COUNTIF($F120:$AJ120,KY_HIEU!$A$6:$A$45)*KY_HIEU!$I$6:$I$45))</f>
        <v/>
      </c>
      <c r="AR120" s="105">
        <f>IF($B120="","",$AK120+$AL120+$AN120+$AO120+$AP120+$AQ120)</f>
        <v/>
      </c>
      <c r="AS120" s="105">
        <f>IF($B120="","",IF(DM_NHAN_SU!$I120&lt;&gt;"",DM_NHAN_SU!$I120,IF(THAM_SO_CC!$B$20="Nhập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120="",THAM_SO_CC!$B$8,DM_NHAN_SU!$F120))*(ROW(INDIRECT(THAM_SO_CC!$B$8&amp;":"&amp;THAM_SO_CC!$B$9))&lt;=IF(DM_NHAN_SU!$G120="",THAM_SO_CC!$B$9,DM_NHAN_SU!$G120))))))</f>
        <v/>
      </c>
      <c r="AT120" s="106">
        <f>IF($B120="","",$AR120-$AS120)</f>
        <v/>
      </c>
      <c r="AU120" s="96">
        <f>IF($B120="","",TRIM(IF(SUMPRODUCT(--($F120:$AJ120&lt;&gt;""))-SUMPRODUCT(COUNTIF($F120:$AJ120,KY_HIEU!$A$6:$A$45))&gt;0,"Ký hiệu lạ; ","")&amp;IF(ROUND($AT120,2)&lt;&gt;0,"Lệch ngày công "&amp;TEXT($AT120,"0.0")&amp;"; ","")&amp;IF(SUMPRODUCT(--($F120:$AJ120&lt;&gt;""),--((THAM_SO_CC!$B$8+COLUMN($F$1:$AJ$1)-6)&gt;THAM_SO_CC!$B$9))&gt;0,"Chấm ngoài kỳ; ","")&amp;IF(AND(DM_NHAN_SU!$F120&lt;&gt;"",SUMPRODUCT(--($F120:$AJ120&lt;&gt;""),--($F120:$AJ120&lt;&gt;"NV"),--($F120:$AJ120&lt;&gt;"NT"),--($F120:$AJ120&lt;&gt;"TN"),--((THAM_SO_CC!$B$8+COLUMN($F$1:$AJ$1)-6)&lt;DM_NHAN_SU!$F120))&gt;0),"Chấm trước ngày vào; ","")&amp;IF(AND(DM_NHAN_SU!$G120&lt;&gt;"",SUMPRODUCT(--($F120:$AJ120&lt;&gt;""),--($F120:$AJ120&lt;&gt;"NV"),--($F120:$AJ120&lt;&gt;"NT"),--($F120:$AJ120&lt;&gt;"TN"),--((THAM_SO_CC!$B$8+COLUMN($F$1:$AJ$1)-6)&gt;DM_NHAN_SU!$G120))&gt;0),"Chấm sau ngày nghỉ việc; ","")))</f>
        <v/>
      </c>
    </row>
    <row r="121" ht="15" customHeight="1" s="63">
      <c r="A121" s="85">
        <f>IF($B121="","",ROW()-5)</f>
        <v/>
      </c>
      <c r="B121" s="103">
        <f>IF(DM_NHAN_SU!B121="","",DM_NHAN_SU!B121)</f>
        <v/>
      </c>
      <c r="C121" s="96">
        <f>IF($B121="","",DM_NHAN_SU!C121)</f>
        <v/>
      </c>
      <c r="D121" s="96">
        <f>IF($B121="","",DM_NHAN_SU!D121)</f>
        <v/>
      </c>
      <c r="E121" s="96">
        <f>IF($B121="","",DM_NHAN_SU!E121)</f>
        <v/>
      </c>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93" t="n"/>
      <c r="Y121" s="93" t="n"/>
      <c r="Z121" s="93" t="n"/>
      <c r="AA121" s="93" t="n"/>
      <c r="AB121" s="93" t="n"/>
      <c r="AC121" s="93" t="n"/>
      <c r="AD121" s="93" t="n"/>
      <c r="AE121" s="93" t="n"/>
      <c r="AF121" s="93" t="n"/>
      <c r="AG121" s="93" t="n"/>
      <c r="AH121" s="93" t="n"/>
      <c r="AI121" s="93" t="n"/>
      <c r="AJ121" s="93" t="n"/>
      <c r="AK121" s="104">
        <f>IF($B121="","",SUMPRODUCT(COUNTIF($F121:$AJ121,KY_HIEU!$A$6:$A$45)*KY_HIEU!$C$6:$C$45))</f>
        <v/>
      </c>
      <c r="AL121" s="104">
        <f>IF($B121="","",SUMPRODUCT(COUNTIF($F121:$AJ121,KY_HIEU!$A$6:$A$45)*KY_HIEU!$D$6:$D$45))</f>
        <v/>
      </c>
      <c r="AM121" s="104">
        <f>IF($B121="","",SUMPRODUCT(COUNTIF($F121:$AJ121,KY_HIEU!$A$6:$A$45)*KY_HIEU!$E$6:$E$45))</f>
        <v/>
      </c>
      <c r="AN121" s="104">
        <f>IF($B121="","",SUMPRODUCT(COUNTIF($F121:$AJ121,KY_HIEU!$A$6:$A$45)*KY_HIEU!$F$6:$F$45))</f>
        <v/>
      </c>
      <c r="AO121" s="104">
        <f>IF($B121="","",SUMPRODUCT(COUNTIF($F121:$AJ121,KY_HIEU!$A$6:$A$45)*KY_HIEU!$G$6:$G$45))</f>
        <v/>
      </c>
      <c r="AP121" s="104">
        <f>IF($B121="","",SUMPRODUCT(COUNTIF($F121:$AJ121,KY_HIEU!$A$6:$A$45)*KY_HIEU!$H$6:$H$45))</f>
        <v/>
      </c>
      <c r="AQ121" s="104">
        <f>IF($B121="","",SUMPRODUCT(COUNTIF($F121:$AJ121,KY_HIEU!$A$6:$A$45)*KY_HIEU!$I$6:$I$45))</f>
        <v/>
      </c>
      <c r="AR121" s="105">
        <f>IF($B121="","",$AK121+$AL121+$AN121+$AO121+$AP121+$AQ121)</f>
        <v/>
      </c>
      <c r="AS121" s="105">
        <f>IF($B121="","",IF(DM_NHAN_SU!$I121&lt;&gt;"",DM_NHAN_SU!$I121,IF(THAM_SO_CC!$B$20="Nhập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121="",THAM_SO_CC!$B$8,DM_NHAN_SU!$F121))*(ROW(INDIRECT(THAM_SO_CC!$B$8&amp;":"&amp;THAM_SO_CC!$B$9))&lt;=IF(DM_NHAN_SU!$G121="",THAM_SO_CC!$B$9,DM_NHAN_SU!$G121))))))</f>
        <v/>
      </c>
      <c r="AT121" s="106">
        <f>IF($B121="","",$AR121-$AS121)</f>
        <v/>
      </c>
      <c r="AU121" s="96">
        <f>IF($B121="","",TRIM(IF(SUMPRODUCT(--($F121:$AJ121&lt;&gt;""))-SUMPRODUCT(COUNTIF($F121:$AJ121,KY_HIEU!$A$6:$A$45))&gt;0,"Ký hiệu lạ; ","")&amp;IF(ROUND($AT121,2)&lt;&gt;0,"Lệch ngày công "&amp;TEXT($AT121,"0.0")&amp;"; ","")&amp;IF(SUMPRODUCT(--($F121:$AJ121&lt;&gt;""),--((THAM_SO_CC!$B$8+COLUMN($F$1:$AJ$1)-6)&gt;THAM_SO_CC!$B$9))&gt;0,"Chấm ngoài kỳ; ","")&amp;IF(AND(DM_NHAN_SU!$F121&lt;&gt;"",SUMPRODUCT(--($F121:$AJ121&lt;&gt;""),--($F121:$AJ121&lt;&gt;"NV"),--($F121:$AJ121&lt;&gt;"NT"),--($F121:$AJ121&lt;&gt;"TN"),--((THAM_SO_CC!$B$8+COLUMN($F$1:$AJ$1)-6)&lt;DM_NHAN_SU!$F121))&gt;0),"Chấm trước ngày vào; ","")&amp;IF(AND(DM_NHAN_SU!$G121&lt;&gt;"",SUMPRODUCT(--($F121:$AJ121&lt;&gt;""),--($F121:$AJ121&lt;&gt;"NV"),--($F121:$AJ121&lt;&gt;"NT"),--($F121:$AJ121&lt;&gt;"TN"),--((THAM_SO_CC!$B$8+COLUMN($F$1:$AJ$1)-6)&gt;DM_NHAN_SU!$G121))&gt;0),"Chấm sau ngày nghỉ việc; ","")))</f>
        <v/>
      </c>
    </row>
    <row r="122" ht="15" customHeight="1" s="63">
      <c r="A122" s="85">
        <f>IF($B122="","",ROW()-5)</f>
        <v/>
      </c>
      <c r="B122" s="103">
        <f>IF(DM_NHAN_SU!B122="","",DM_NHAN_SU!B122)</f>
        <v/>
      </c>
      <c r="C122" s="96">
        <f>IF($B122="","",DM_NHAN_SU!C122)</f>
        <v/>
      </c>
      <c r="D122" s="96">
        <f>IF($B122="","",DM_NHAN_SU!D122)</f>
        <v/>
      </c>
      <c r="E122" s="96">
        <f>IF($B122="","",DM_NHAN_SU!E122)</f>
        <v/>
      </c>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93" t="n"/>
      <c r="Y122" s="93" t="n"/>
      <c r="Z122" s="93" t="n"/>
      <c r="AA122" s="93" t="n"/>
      <c r="AB122" s="93" t="n"/>
      <c r="AC122" s="93" t="n"/>
      <c r="AD122" s="93" t="n"/>
      <c r="AE122" s="93" t="n"/>
      <c r="AF122" s="93" t="n"/>
      <c r="AG122" s="93" t="n"/>
      <c r="AH122" s="93" t="n"/>
      <c r="AI122" s="93" t="n"/>
      <c r="AJ122" s="93" t="n"/>
      <c r="AK122" s="104">
        <f>IF($B122="","",SUMPRODUCT(COUNTIF($F122:$AJ122,KY_HIEU!$A$6:$A$45)*KY_HIEU!$C$6:$C$45))</f>
        <v/>
      </c>
      <c r="AL122" s="104">
        <f>IF($B122="","",SUMPRODUCT(COUNTIF($F122:$AJ122,KY_HIEU!$A$6:$A$45)*KY_HIEU!$D$6:$D$45))</f>
        <v/>
      </c>
      <c r="AM122" s="104">
        <f>IF($B122="","",SUMPRODUCT(COUNTIF($F122:$AJ122,KY_HIEU!$A$6:$A$45)*KY_HIEU!$E$6:$E$45))</f>
        <v/>
      </c>
      <c r="AN122" s="104">
        <f>IF($B122="","",SUMPRODUCT(COUNTIF($F122:$AJ122,KY_HIEU!$A$6:$A$45)*KY_HIEU!$F$6:$F$45))</f>
        <v/>
      </c>
      <c r="AO122" s="104">
        <f>IF($B122="","",SUMPRODUCT(COUNTIF($F122:$AJ122,KY_HIEU!$A$6:$A$45)*KY_HIEU!$G$6:$G$45))</f>
        <v/>
      </c>
      <c r="AP122" s="104">
        <f>IF($B122="","",SUMPRODUCT(COUNTIF($F122:$AJ122,KY_HIEU!$A$6:$A$45)*KY_HIEU!$H$6:$H$45))</f>
        <v/>
      </c>
      <c r="AQ122" s="104">
        <f>IF($B122="","",SUMPRODUCT(COUNTIF($F122:$AJ122,KY_HIEU!$A$6:$A$45)*KY_HIEU!$I$6:$I$45))</f>
        <v/>
      </c>
      <c r="AR122" s="105">
        <f>IF($B122="","",$AK122+$AL122+$AN122+$AO122+$AP122+$AQ122)</f>
        <v/>
      </c>
      <c r="AS122" s="105">
        <f>IF($B122="","",IF(DM_NHAN_SU!$I122&lt;&gt;"",DM_NHAN_SU!$I122,IF(THAM_SO_CC!$B$20="Nhập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122="",THAM_SO_CC!$B$8,DM_NHAN_SU!$F122))*(ROW(INDIRECT(THAM_SO_CC!$B$8&amp;":"&amp;THAM_SO_CC!$B$9))&lt;=IF(DM_NHAN_SU!$G122="",THAM_SO_CC!$B$9,DM_NHAN_SU!$G122))))))</f>
        <v/>
      </c>
      <c r="AT122" s="106">
        <f>IF($B122="","",$AR122-$AS122)</f>
        <v/>
      </c>
      <c r="AU122" s="96">
        <f>IF($B122="","",TRIM(IF(SUMPRODUCT(--($F122:$AJ122&lt;&gt;""))-SUMPRODUCT(COUNTIF($F122:$AJ122,KY_HIEU!$A$6:$A$45))&gt;0,"Ký hiệu lạ; ","")&amp;IF(ROUND($AT122,2)&lt;&gt;0,"Lệch ngày công "&amp;TEXT($AT122,"0.0")&amp;"; ","")&amp;IF(SUMPRODUCT(--($F122:$AJ122&lt;&gt;""),--((THAM_SO_CC!$B$8+COLUMN($F$1:$AJ$1)-6)&gt;THAM_SO_CC!$B$9))&gt;0,"Chấm ngoài kỳ; ","")&amp;IF(AND(DM_NHAN_SU!$F122&lt;&gt;"",SUMPRODUCT(--($F122:$AJ122&lt;&gt;""),--($F122:$AJ122&lt;&gt;"NV"),--($F122:$AJ122&lt;&gt;"NT"),--($F122:$AJ122&lt;&gt;"TN"),--((THAM_SO_CC!$B$8+COLUMN($F$1:$AJ$1)-6)&lt;DM_NHAN_SU!$F122))&gt;0),"Chấm trước ngày vào; ","")&amp;IF(AND(DM_NHAN_SU!$G122&lt;&gt;"",SUMPRODUCT(--($F122:$AJ122&lt;&gt;""),--($F122:$AJ122&lt;&gt;"NV"),--($F122:$AJ122&lt;&gt;"NT"),--($F122:$AJ122&lt;&gt;"TN"),--((THAM_SO_CC!$B$8+COLUMN($F$1:$AJ$1)-6)&gt;DM_NHAN_SU!$G122))&gt;0),"Chấm sau ngày nghỉ việc; ","")))</f>
        <v/>
      </c>
    </row>
    <row r="123" ht="15" customHeight="1" s="63">
      <c r="A123" s="85">
        <f>IF($B123="","",ROW()-5)</f>
        <v/>
      </c>
      <c r="B123" s="103">
        <f>IF(DM_NHAN_SU!B123="","",DM_NHAN_SU!B123)</f>
        <v/>
      </c>
      <c r="C123" s="96">
        <f>IF($B123="","",DM_NHAN_SU!C123)</f>
        <v/>
      </c>
      <c r="D123" s="96">
        <f>IF($B123="","",DM_NHAN_SU!D123)</f>
        <v/>
      </c>
      <c r="E123" s="96">
        <f>IF($B123="","",DM_NHAN_SU!E123)</f>
        <v/>
      </c>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93" t="n"/>
      <c r="Y123" s="93" t="n"/>
      <c r="Z123" s="93" t="n"/>
      <c r="AA123" s="93" t="n"/>
      <c r="AB123" s="93" t="n"/>
      <c r="AC123" s="93" t="n"/>
      <c r="AD123" s="93" t="n"/>
      <c r="AE123" s="93" t="n"/>
      <c r="AF123" s="93" t="n"/>
      <c r="AG123" s="93" t="n"/>
      <c r="AH123" s="93" t="n"/>
      <c r="AI123" s="93" t="n"/>
      <c r="AJ123" s="93" t="n"/>
      <c r="AK123" s="104">
        <f>IF($B123="","",SUMPRODUCT(COUNTIF($F123:$AJ123,KY_HIEU!$A$6:$A$45)*KY_HIEU!$C$6:$C$45))</f>
        <v/>
      </c>
      <c r="AL123" s="104">
        <f>IF($B123="","",SUMPRODUCT(COUNTIF($F123:$AJ123,KY_HIEU!$A$6:$A$45)*KY_HIEU!$D$6:$D$45))</f>
        <v/>
      </c>
      <c r="AM123" s="104">
        <f>IF($B123="","",SUMPRODUCT(COUNTIF($F123:$AJ123,KY_HIEU!$A$6:$A$45)*KY_HIEU!$E$6:$E$45))</f>
        <v/>
      </c>
      <c r="AN123" s="104">
        <f>IF($B123="","",SUMPRODUCT(COUNTIF($F123:$AJ123,KY_HIEU!$A$6:$A$45)*KY_HIEU!$F$6:$F$45))</f>
        <v/>
      </c>
      <c r="AO123" s="104">
        <f>IF($B123="","",SUMPRODUCT(COUNTIF($F123:$AJ123,KY_HIEU!$A$6:$A$45)*KY_HIEU!$G$6:$G$45))</f>
        <v/>
      </c>
      <c r="AP123" s="104">
        <f>IF($B123="","",SUMPRODUCT(COUNTIF($F123:$AJ123,KY_HIEU!$A$6:$A$45)*KY_HIEU!$H$6:$H$45))</f>
        <v/>
      </c>
      <c r="AQ123" s="104">
        <f>IF($B123="","",SUMPRODUCT(COUNTIF($F123:$AJ123,KY_HIEU!$A$6:$A$45)*KY_HIEU!$I$6:$I$45))</f>
        <v/>
      </c>
      <c r="AR123" s="105">
        <f>IF($B123="","",$AK123+$AL123+$AN123+$AO123+$AP123+$AQ123)</f>
        <v/>
      </c>
      <c r="AS123" s="105">
        <f>IF($B123="","",IF(DM_NHAN_SU!$I123&lt;&gt;"",DM_NHAN_SU!$I123,IF(THAM_SO_CC!$B$20="Nhập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123="",THAM_SO_CC!$B$8,DM_NHAN_SU!$F123))*(ROW(INDIRECT(THAM_SO_CC!$B$8&amp;":"&amp;THAM_SO_CC!$B$9))&lt;=IF(DM_NHAN_SU!$G123="",THAM_SO_CC!$B$9,DM_NHAN_SU!$G123))))))</f>
        <v/>
      </c>
      <c r="AT123" s="106">
        <f>IF($B123="","",$AR123-$AS123)</f>
        <v/>
      </c>
      <c r="AU123" s="96">
        <f>IF($B123="","",TRIM(IF(SUMPRODUCT(--($F123:$AJ123&lt;&gt;""))-SUMPRODUCT(COUNTIF($F123:$AJ123,KY_HIEU!$A$6:$A$45))&gt;0,"Ký hiệu lạ; ","")&amp;IF(ROUND($AT123,2)&lt;&gt;0,"Lệch ngày công "&amp;TEXT($AT123,"0.0")&amp;"; ","")&amp;IF(SUMPRODUCT(--($F123:$AJ123&lt;&gt;""),--((THAM_SO_CC!$B$8+COLUMN($F$1:$AJ$1)-6)&gt;THAM_SO_CC!$B$9))&gt;0,"Chấm ngoài kỳ; ","")&amp;IF(AND(DM_NHAN_SU!$F123&lt;&gt;"",SUMPRODUCT(--($F123:$AJ123&lt;&gt;""),--($F123:$AJ123&lt;&gt;"NV"),--($F123:$AJ123&lt;&gt;"NT"),--($F123:$AJ123&lt;&gt;"TN"),--((THAM_SO_CC!$B$8+COLUMN($F$1:$AJ$1)-6)&lt;DM_NHAN_SU!$F123))&gt;0),"Chấm trước ngày vào; ","")&amp;IF(AND(DM_NHAN_SU!$G123&lt;&gt;"",SUMPRODUCT(--($F123:$AJ123&lt;&gt;""),--($F123:$AJ123&lt;&gt;"NV"),--($F123:$AJ123&lt;&gt;"NT"),--($F123:$AJ123&lt;&gt;"TN"),--((THAM_SO_CC!$B$8+COLUMN($F$1:$AJ$1)-6)&gt;DM_NHAN_SU!$G123))&gt;0),"Chấm sau ngày nghỉ việc; ","")))</f>
        <v/>
      </c>
    </row>
    <row r="124" ht="15" customHeight="1" s="63">
      <c r="A124" s="85">
        <f>IF($B124="","",ROW()-5)</f>
        <v/>
      </c>
      <c r="B124" s="103">
        <f>IF(DM_NHAN_SU!B124="","",DM_NHAN_SU!B124)</f>
        <v/>
      </c>
      <c r="C124" s="96">
        <f>IF($B124="","",DM_NHAN_SU!C124)</f>
        <v/>
      </c>
      <c r="D124" s="96">
        <f>IF($B124="","",DM_NHAN_SU!D124)</f>
        <v/>
      </c>
      <c r="E124" s="96">
        <f>IF($B124="","",DM_NHAN_SU!E124)</f>
        <v/>
      </c>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93" t="n"/>
      <c r="Y124" s="93" t="n"/>
      <c r="Z124" s="93" t="n"/>
      <c r="AA124" s="93" t="n"/>
      <c r="AB124" s="93" t="n"/>
      <c r="AC124" s="93" t="n"/>
      <c r="AD124" s="93" t="n"/>
      <c r="AE124" s="93" t="n"/>
      <c r="AF124" s="93" t="n"/>
      <c r="AG124" s="93" t="n"/>
      <c r="AH124" s="93" t="n"/>
      <c r="AI124" s="93" t="n"/>
      <c r="AJ124" s="93" t="n"/>
      <c r="AK124" s="104">
        <f>IF($B124="","",SUMPRODUCT(COUNTIF($F124:$AJ124,KY_HIEU!$A$6:$A$45)*KY_HIEU!$C$6:$C$45))</f>
        <v/>
      </c>
      <c r="AL124" s="104">
        <f>IF($B124="","",SUMPRODUCT(COUNTIF($F124:$AJ124,KY_HIEU!$A$6:$A$45)*KY_HIEU!$D$6:$D$45))</f>
        <v/>
      </c>
      <c r="AM124" s="104">
        <f>IF($B124="","",SUMPRODUCT(COUNTIF($F124:$AJ124,KY_HIEU!$A$6:$A$45)*KY_HIEU!$E$6:$E$45))</f>
        <v/>
      </c>
      <c r="AN124" s="104">
        <f>IF($B124="","",SUMPRODUCT(COUNTIF($F124:$AJ124,KY_HIEU!$A$6:$A$45)*KY_HIEU!$F$6:$F$45))</f>
        <v/>
      </c>
      <c r="AO124" s="104">
        <f>IF($B124="","",SUMPRODUCT(COUNTIF($F124:$AJ124,KY_HIEU!$A$6:$A$45)*KY_HIEU!$G$6:$G$45))</f>
        <v/>
      </c>
      <c r="AP124" s="104">
        <f>IF($B124="","",SUMPRODUCT(COUNTIF($F124:$AJ124,KY_HIEU!$A$6:$A$45)*KY_HIEU!$H$6:$H$45))</f>
        <v/>
      </c>
      <c r="AQ124" s="104">
        <f>IF($B124="","",SUMPRODUCT(COUNTIF($F124:$AJ124,KY_HIEU!$A$6:$A$45)*KY_HIEU!$I$6:$I$45))</f>
        <v/>
      </c>
      <c r="AR124" s="105">
        <f>IF($B124="","",$AK124+$AL124+$AN124+$AO124+$AP124+$AQ124)</f>
        <v/>
      </c>
      <c r="AS124" s="105">
        <f>IF($B124="","",IF(DM_NHAN_SU!$I124&lt;&gt;"",DM_NHAN_SU!$I124,IF(THAM_SO_CC!$B$20="Nhập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124="",THAM_SO_CC!$B$8,DM_NHAN_SU!$F124))*(ROW(INDIRECT(THAM_SO_CC!$B$8&amp;":"&amp;THAM_SO_CC!$B$9))&lt;=IF(DM_NHAN_SU!$G124="",THAM_SO_CC!$B$9,DM_NHAN_SU!$G124))))))</f>
        <v/>
      </c>
      <c r="AT124" s="106">
        <f>IF($B124="","",$AR124-$AS124)</f>
        <v/>
      </c>
      <c r="AU124" s="96">
        <f>IF($B124="","",TRIM(IF(SUMPRODUCT(--($F124:$AJ124&lt;&gt;""))-SUMPRODUCT(COUNTIF($F124:$AJ124,KY_HIEU!$A$6:$A$45))&gt;0,"Ký hiệu lạ; ","")&amp;IF(ROUND($AT124,2)&lt;&gt;0,"Lệch ngày công "&amp;TEXT($AT124,"0.0")&amp;"; ","")&amp;IF(SUMPRODUCT(--($F124:$AJ124&lt;&gt;""),--((THAM_SO_CC!$B$8+COLUMN($F$1:$AJ$1)-6)&gt;THAM_SO_CC!$B$9))&gt;0,"Chấm ngoài kỳ; ","")&amp;IF(AND(DM_NHAN_SU!$F124&lt;&gt;"",SUMPRODUCT(--($F124:$AJ124&lt;&gt;""),--($F124:$AJ124&lt;&gt;"NV"),--($F124:$AJ124&lt;&gt;"NT"),--($F124:$AJ124&lt;&gt;"TN"),--((THAM_SO_CC!$B$8+COLUMN($F$1:$AJ$1)-6)&lt;DM_NHAN_SU!$F124))&gt;0),"Chấm trước ngày vào; ","")&amp;IF(AND(DM_NHAN_SU!$G124&lt;&gt;"",SUMPRODUCT(--($F124:$AJ124&lt;&gt;""),--($F124:$AJ124&lt;&gt;"NV"),--($F124:$AJ124&lt;&gt;"NT"),--($F124:$AJ124&lt;&gt;"TN"),--((THAM_SO_CC!$B$8+COLUMN($F$1:$AJ$1)-6)&gt;DM_NHAN_SU!$G124))&gt;0),"Chấm sau ngày nghỉ việc; ","")))</f>
        <v/>
      </c>
    </row>
    <row r="125" ht="15" customHeight="1" s="63">
      <c r="A125" s="85">
        <f>IF($B125="","",ROW()-5)</f>
        <v/>
      </c>
      <c r="B125" s="103">
        <f>IF(DM_NHAN_SU!B125="","",DM_NHAN_SU!B125)</f>
        <v/>
      </c>
      <c r="C125" s="96">
        <f>IF($B125="","",DM_NHAN_SU!C125)</f>
        <v/>
      </c>
      <c r="D125" s="96">
        <f>IF($B125="","",DM_NHAN_SU!D125)</f>
        <v/>
      </c>
      <c r="E125" s="96">
        <f>IF($B125="","",DM_NHAN_SU!E125)</f>
        <v/>
      </c>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93" t="n"/>
      <c r="Y125" s="93" t="n"/>
      <c r="Z125" s="93" t="n"/>
      <c r="AA125" s="93" t="n"/>
      <c r="AB125" s="93" t="n"/>
      <c r="AC125" s="93" t="n"/>
      <c r="AD125" s="93" t="n"/>
      <c r="AE125" s="93" t="n"/>
      <c r="AF125" s="93" t="n"/>
      <c r="AG125" s="93" t="n"/>
      <c r="AH125" s="93" t="n"/>
      <c r="AI125" s="93" t="n"/>
      <c r="AJ125" s="93" t="n"/>
      <c r="AK125" s="104">
        <f>IF($B125="","",SUMPRODUCT(COUNTIF($F125:$AJ125,KY_HIEU!$A$6:$A$45)*KY_HIEU!$C$6:$C$45))</f>
        <v/>
      </c>
      <c r="AL125" s="104">
        <f>IF($B125="","",SUMPRODUCT(COUNTIF($F125:$AJ125,KY_HIEU!$A$6:$A$45)*KY_HIEU!$D$6:$D$45))</f>
        <v/>
      </c>
      <c r="AM125" s="104">
        <f>IF($B125="","",SUMPRODUCT(COUNTIF($F125:$AJ125,KY_HIEU!$A$6:$A$45)*KY_HIEU!$E$6:$E$45))</f>
        <v/>
      </c>
      <c r="AN125" s="104">
        <f>IF($B125="","",SUMPRODUCT(COUNTIF($F125:$AJ125,KY_HIEU!$A$6:$A$45)*KY_HIEU!$F$6:$F$45))</f>
        <v/>
      </c>
      <c r="AO125" s="104">
        <f>IF($B125="","",SUMPRODUCT(COUNTIF($F125:$AJ125,KY_HIEU!$A$6:$A$45)*KY_HIEU!$G$6:$G$45))</f>
        <v/>
      </c>
      <c r="AP125" s="104">
        <f>IF($B125="","",SUMPRODUCT(COUNTIF($F125:$AJ125,KY_HIEU!$A$6:$A$45)*KY_HIEU!$H$6:$H$45))</f>
        <v/>
      </c>
      <c r="AQ125" s="104">
        <f>IF($B125="","",SUMPRODUCT(COUNTIF($F125:$AJ125,KY_HIEU!$A$6:$A$45)*KY_HIEU!$I$6:$I$45))</f>
        <v/>
      </c>
      <c r="AR125" s="105">
        <f>IF($B125="","",$AK125+$AL125+$AN125+$AO125+$AP125+$AQ125)</f>
        <v/>
      </c>
      <c r="AS125" s="105">
        <f>IF($B125="","",IF(DM_NHAN_SU!$I125&lt;&gt;"",DM_NHAN_SU!$I125,IF(THAM_SO_CC!$B$20="Nhập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125="",THAM_SO_CC!$B$8,DM_NHAN_SU!$F125))*(ROW(INDIRECT(THAM_SO_CC!$B$8&amp;":"&amp;THAM_SO_CC!$B$9))&lt;=IF(DM_NHAN_SU!$G125="",THAM_SO_CC!$B$9,DM_NHAN_SU!$G125))))))</f>
        <v/>
      </c>
      <c r="AT125" s="106">
        <f>IF($B125="","",$AR125-$AS125)</f>
        <v/>
      </c>
      <c r="AU125" s="96">
        <f>IF($B125="","",TRIM(IF(SUMPRODUCT(--($F125:$AJ125&lt;&gt;""))-SUMPRODUCT(COUNTIF($F125:$AJ125,KY_HIEU!$A$6:$A$45))&gt;0,"Ký hiệu lạ; ","")&amp;IF(ROUND($AT125,2)&lt;&gt;0,"Lệch ngày công "&amp;TEXT($AT125,"0.0")&amp;"; ","")&amp;IF(SUMPRODUCT(--($F125:$AJ125&lt;&gt;""),--((THAM_SO_CC!$B$8+COLUMN($F$1:$AJ$1)-6)&gt;THAM_SO_CC!$B$9))&gt;0,"Chấm ngoài kỳ; ","")&amp;IF(AND(DM_NHAN_SU!$F125&lt;&gt;"",SUMPRODUCT(--($F125:$AJ125&lt;&gt;""),--($F125:$AJ125&lt;&gt;"NV"),--($F125:$AJ125&lt;&gt;"NT"),--($F125:$AJ125&lt;&gt;"TN"),--((THAM_SO_CC!$B$8+COLUMN($F$1:$AJ$1)-6)&lt;DM_NHAN_SU!$F125))&gt;0),"Chấm trước ngày vào; ","")&amp;IF(AND(DM_NHAN_SU!$G125&lt;&gt;"",SUMPRODUCT(--($F125:$AJ125&lt;&gt;""),--($F125:$AJ125&lt;&gt;"NV"),--($F125:$AJ125&lt;&gt;"NT"),--($F125:$AJ125&lt;&gt;"TN"),--((THAM_SO_CC!$B$8+COLUMN($F$1:$AJ$1)-6)&gt;DM_NHAN_SU!$G125))&gt;0),"Chấm sau ngày nghỉ việc; ","")))</f>
        <v/>
      </c>
    </row>
    <row r="126" ht="15" customHeight="1" s="63">
      <c r="A126" s="85">
        <f>IF($B126="","",ROW()-5)</f>
        <v/>
      </c>
      <c r="B126" s="103">
        <f>IF(DM_NHAN_SU!B126="","",DM_NHAN_SU!B126)</f>
        <v/>
      </c>
      <c r="C126" s="96">
        <f>IF($B126="","",DM_NHAN_SU!C126)</f>
        <v/>
      </c>
      <c r="D126" s="96">
        <f>IF($B126="","",DM_NHAN_SU!D126)</f>
        <v/>
      </c>
      <c r="E126" s="96">
        <f>IF($B126="","",DM_NHAN_SU!E126)</f>
        <v/>
      </c>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93" t="n"/>
      <c r="Y126" s="93" t="n"/>
      <c r="Z126" s="93" t="n"/>
      <c r="AA126" s="93" t="n"/>
      <c r="AB126" s="93" t="n"/>
      <c r="AC126" s="93" t="n"/>
      <c r="AD126" s="93" t="n"/>
      <c r="AE126" s="93" t="n"/>
      <c r="AF126" s="93" t="n"/>
      <c r="AG126" s="93" t="n"/>
      <c r="AH126" s="93" t="n"/>
      <c r="AI126" s="93" t="n"/>
      <c r="AJ126" s="93" t="n"/>
      <c r="AK126" s="104">
        <f>IF($B126="","",SUMPRODUCT(COUNTIF($F126:$AJ126,KY_HIEU!$A$6:$A$45)*KY_HIEU!$C$6:$C$45))</f>
        <v/>
      </c>
      <c r="AL126" s="104">
        <f>IF($B126="","",SUMPRODUCT(COUNTIF($F126:$AJ126,KY_HIEU!$A$6:$A$45)*KY_HIEU!$D$6:$D$45))</f>
        <v/>
      </c>
      <c r="AM126" s="104">
        <f>IF($B126="","",SUMPRODUCT(COUNTIF($F126:$AJ126,KY_HIEU!$A$6:$A$45)*KY_HIEU!$E$6:$E$45))</f>
        <v/>
      </c>
      <c r="AN126" s="104">
        <f>IF($B126="","",SUMPRODUCT(COUNTIF($F126:$AJ126,KY_HIEU!$A$6:$A$45)*KY_HIEU!$F$6:$F$45))</f>
        <v/>
      </c>
      <c r="AO126" s="104">
        <f>IF($B126="","",SUMPRODUCT(COUNTIF($F126:$AJ126,KY_HIEU!$A$6:$A$45)*KY_HIEU!$G$6:$G$45))</f>
        <v/>
      </c>
      <c r="AP126" s="104">
        <f>IF($B126="","",SUMPRODUCT(COUNTIF($F126:$AJ126,KY_HIEU!$A$6:$A$45)*KY_HIEU!$H$6:$H$45))</f>
        <v/>
      </c>
      <c r="AQ126" s="104">
        <f>IF($B126="","",SUMPRODUCT(COUNTIF($F126:$AJ126,KY_HIEU!$A$6:$A$45)*KY_HIEU!$I$6:$I$45))</f>
        <v/>
      </c>
      <c r="AR126" s="105">
        <f>IF($B126="","",$AK126+$AL126+$AN126+$AO126+$AP126+$AQ126)</f>
        <v/>
      </c>
      <c r="AS126" s="105">
        <f>IF($B126="","",IF(DM_NHAN_SU!$I126&lt;&gt;"",DM_NHAN_SU!$I126,IF(THAM_SO_CC!$B$20="Nhập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126="",THAM_SO_CC!$B$8,DM_NHAN_SU!$F126))*(ROW(INDIRECT(THAM_SO_CC!$B$8&amp;":"&amp;THAM_SO_CC!$B$9))&lt;=IF(DM_NHAN_SU!$G126="",THAM_SO_CC!$B$9,DM_NHAN_SU!$G126))))))</f>
        <v/>
      </c>
      <c r="AT126" s="106">
        <f>IF($B126="","",$AR126-$AS126)</f>
        <v/>
      </c>
      <c r="AU126" s="96">
        <f>IF($B126="","",TRIM(IF(SUMPRODUCT(--($F126:$AJ126&lt;&gt;""))-SUMPRODUCT(COUNTIF($F126:$AJ126,KY_HIEU!$A$6:$A$45))&gt;0,"Ký hiệu lạ; ","")&amp;IF(ROUND($AT126,2)&lt;&gt;0,"Lệch ngày công "&amp;TEXT($AT126,"0.0")&amp;"; ","")&amp;IF(SUMPRODUCT(--($F126:$AJ126&lt;&gt;""),--((THAM_SO_CC!$B$8+COLUMN($F$1:$AJ$1)-6)&gt;THAM_SO_CC!$B$9))&gt;0,"Chấm ngoài kỳ; ","")&amp;IF(AND(DM_NHAN_SU!$F126&lt;&gt;"",SUMPRODUCT(--($F126:$AJ126&lt;&gt;""),--($F126:$AJ126&lt;&gt;"NV"),--($F126:$AJ126&lt;&gt;"NT"),--($F126:$AJ126&lt;&gt;"TN"),--((THAM_SO_CC!$B$8+COLUMN($F$1:$AJ$1)-6)&lt;DM_NHAN_SU!$F126))&gt;0),"Chấm trước ngày vào; ","")&amp;IF(AND(DM_NHAN_SU!$G126&lt;&gt;"",SUMPRODUCT(--($F126:$AJ126&lt;&gt;""),--($F126:$AJ126&lt;&gt;"NV"),--($F126:$AJ126&lt;&gt;"NT"),--($F126:$AJ126&lt;&gt;"TN"),--((THAM_SO_CC!$B$8+COLUMN($F$1:$AJ$1)-6)&gt;DM_NHAN_SU!$G126))&gt;0),"Chấm sau ngày nghỉ việc; ","")))</f>
        <v/>
      </c>
    </row>
    <row r="127" ht="15" customHeight="1" s="63">
      <c r="A127" s="85">
        <f>IF($B127="","",ROW()-5)</f>
        <v/>
      </c>
      <c r="B127" s="103">
        <f>IF(DM_NHAN_SU!B127="","",DM_NHAN_SU!B127)</f>
        <v/>
      </c>
      <c r="C127" s="96">
        <f>IF($B127="","",DM_NHAN_SU!C127)</f>
        <v/>
      </c>
      <c r="D127" s="96">
        <f>IF($B127="","",DM_NHAN_SU!D127)</f>
        <v/>
      </c>
      <c r="E127" s="96">
        <f>IF($B127="","",DM_NHAN_SU!E127)</f>
        <v/>
      </c>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93" t="n"/>
      <c r="Y127" s="93" t="n"/>
      <c r="Z127" s="93" t="n"/>
      <c r="AA127" s="93" t="n"/>
      <c r="AB127" s="93" t="n"/>
      <c r="AC127" s="93" t="n"/>
      <c r="AD127" s="93" t="n"/>
      <c r="AE127" s="93" t="n"/>
      <c r="AF127" s="93" t="n"/>
      <c r="AG127" s="93" t="n"/>
      <c r="AH127" s="93" t="n"/>
      <c r="AI127" s="93" t="n"/>
      <c r="AJ127" s="93" t="n"/>
      <c r="AK127" s="104">
        <f>IF($B127="","",SUMPRODUCT(COUNTIF($F127:$AJ127,KY_HIEU!$A$6:$A$45)*KY_HIEU!$C$6:$C$45))</f>
        <v/>
      </c>
      <c r="AL127" s="104">
        <f>IF($B127="","",SUMPRODUCT(COUNTIF($F127:$AJ127,KY_HIEU!$A$6:$A$45)*KY_HIEU!$D$6:$D$45))</f>
        <v/>
      </c>
      <c r="AM127" s="104">
        <f>IF($B127="","",SUMPRODUCT(COUNTIF($F127:$AJ127,KY_HIEU!$A$6:$A$45)*KY_HIEU!$E$6:$E$45))</f>
        <v/>
      </c>
      <c r="AN127" s="104">
        <f>IF($B127="","",SUMPRODUCT(COUNTIF($F127:$AJ127,KY_HIEU!$A$6:$A$45)*KY_HIEU!$F$6:$F$45))</f>
        <v/>
      </c>
      <c r="AO127" s="104">
        <f>IF($B127="","",SUMPRODUCT(COUNTIF($F127:$AJ127,KY_HIEU!$A$6:$A$45)*KY_HIEU!$G$6:$G$45))</f>
        <v/>
      </c>
      <c r="AP127" s="104">
        <f>IF($B127="","",SUMPRODUCT(COUNTIF($F127:$AJ127,KY_HIEU!$A$6:$A$45)*KY_HIEU!$H$6:$H$45))</f>
        <v/>
      </c>
      <c r="AQ127" s="104">
        <f>IF($B127="","",SUMPRODUCT(COUNTIF($F127:$AJ127,KY_HIEU!$A$6:$A$45)*KY_HIEU!$I$6:$I$45))</f>
        <v/>
      </c>
      <c r="AR127" s="105">
        <f>IF($B127="","",$AK127+$AL127+$AN127+$AO127+$AP127+$AQ127)</f>
        <v/>
      </c>
      <c r="AS127" s="105">
        <f>IF($B127="","",IF(DM_NHAN_SU!$I127&lt;&gt;"",DM_NHAN_SU!$I127,IF(THAM_SO_CC!$B$20="Nhập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127="",THAM_SO_CC!$B$8,DM_NHAN_SU!$F127))*(ROW(INDIRECT(THAM_SO_CC!$B$8&amp;":"&amp;THAM_SO_CC!$B$9))&lt;=IF(DM_NHAN_SU!$G127="",THAM_SO_CC!$B$9,DM_NHAN_SU!$G127))))))</f>
        <v/>
      </c>
      <c r="AT127" s="106">
        <f>IF($B127="","",$AR127-$AS127)</f>
        <v/>
      </c>
      <c r="AU127" s="96">
        <f>IF($B127="","",TRIM(IF(SUMPRODUCT(--($F127:$AJ127&lt;&gt;""))-SUMPRODUCT(COUNTIF($F127:$AJ127,KY_HIEU!$A$6:$A$45))&gt;0,"Ký hiệu lạ; ","")&amp;IF(ROUND($AT127,2)&lt;&gt;0,"Lệch ngày công "&amp;TEXT($AT127,"0.0")&amp;"; ","")&amp;IF(SUMPRODUCT(--($F127:$AJ127&lt;&gt;""),--((THAM_SO_CC!$B$8+COLUMN($F$1:$AJ$1)-6)&gt;THAM_SO_CC!$B$9))&gt;0,"Chấm ngoài kỳ; ","")&amp;IF(AND(DM_NHAN_SU!$F127&lt;&gt;"",SUMPRODUCT(--($F127:$AJ127&lt;&gt;""),--($F127:$AJ127&lt;&gt;"NV"),--($F127:$AJ127&lt;&gt;"NT"),--($F127:$AJ127&lt;&gt;"TN"),--((THAM_SO_CC!$B$8+COLUMN($F$1:$AJ$1)-6)&lt;DM_NHAN_SU!$F127))&gt;0),"Chấm trước ngày vào; ","")&amp;IF(AND(DM_NHAN_SU!$G127&lt;&gt;"",SUMPRODUCT(--($F127:$AJ127&lt;&gt;""),--($F127:$AJ127&lt;&gt;"NV"),--($F127:$AJ127&lt;&gt;"NT"),--($F127:$AJ127&lt;&gt;"TN"),--((THAM_SO_CC!$B$8+COLUMN($F$1:$AJ$1)-6)&gt;DM_NHAN_SU!$G127))&gt;0),"Chấm sau ngày nghỉ việc; ","")))</f>
        <v/>
      </c>
    </row>
    <row r="128" ht="15" customHeight="1" s="63">
      <c r="A128" s="85">
        <f>IF($B128="","",ROW()-5)</f>
        <v/>
      </c>
      <c r="B128" s="103">
        <f>IF(DM_NHAN_SU!B128="","",DM_NHAN_SU!B128)</f>
        <v/>
      </c>
      <c r="C128" s="96">
        <f>IF($B128="","",DM_NHAN_SU!C128)</f>
        <v/>
      </c>
      <c r="D128" s="96">
        <f>IF($B128="","",DM_NHAN_SU!D128)</f>
        <v/>
      </c>
      <c r="E128" s="96">
        <f>IF($B128="","",DM_NHAN_SU!E128)</f>
        <v/>
      </c>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93" t="n"/>
      <c r="Y128" s="93" t="n"/>
      <c r="Z128" s="93" t="n"/>
      <c r="AA128" s="93" t="n"/>
      <c r="AB128" s="93" t="n"/>
      <c r="AC128" s="93" t="n"/>
      <c r="AD128" s="93" t="n"/>
      <c r="AE128" s="93" t="n"/>
      <c r="AF128" s="93" t="n"/>
      <c r="AG128" s="93" t="n"/>
      <c r="AH128" s="93" t="n"/>
      <c r="AI128" s="93" t="n"/>
      <c r="AJ128" s="93" t="n"/>
      <c r="AK128" s="104">
        <f>IF($B128="","",SUMPRODUCT(COUNTIF($F128:$AJ128,KY_HIEU!$A$6:$A$45)*KY_HIEU!$C$6:$C$45))</f>
        <v/>
      </c>
      <c r="AL128" s="104">
        <f>IF($B128="","",SUMPRODUCT(COUNTIF($F128:$AJ128,KY_HIEU!$A$6:$A$45)*KY_HIEU!$D$6:$D$45))</f>
        <v/>
      </c>
      <c r="AM128" s="104">
        <f>IF($B128="","",SUMPRODUCT(COUNTIF($F128:$AJ128,KY_HIEU!$A$6:$A$45)*KY_HIEU!$E$6:$E$45))</f>
        <v/>
      </c>
      <c r="AN128" s="104">
        <f>IF($B128="","",SUMPRODUCT(COUNTIF($F128:$AJ128,KY_HIEU!$A$6:$A$45)*KY_HIEU!$F$6:$F$45))</f>
        <v/>
      </c>
      <c r="AO128" s="104">
        <f>IF($B128="","",SUMPRODUCT(COUNTIF($F128:$AJ128,KY_HIEU!$A$6:$A$45)*KY_HIEU!$G$6:$G$45))</f>
        <v/>
      </c>
      <c r="AP128" s="104">
        <f>IF($B128="","",SUMPRODUCT(COUNTIF($F128:$AJ128,KY_HIEU!$A$6:$A$45)*KY_HIEU!$H$6:$H$45))</f>
        <v/>
      </c>
      <c r="AQ128" s="104">
        <f>IF($B128="","",SUMPRODUCT(COUNTIF($F128:$AJ128,KY_HIEU!$A$6:$A$45)*KY_HIEU!$I$6:$I$45))</f>
        <v/>
      </c>
      <c r="AR128" s="105">
        <f>IF($B128="","",$AK128+$AL128+$AN128+$AO128+$AP128+$AQ128)</f>
        <v/>
      </c>
      <c r="AS128" s="105">
        <f>IF($B128="","",IF(DM_NHAN_SU!$I128&lt;&gt;"",DM_NHAN_SU!$I128,IF(THAM_SO_CC!$B$20="Nhập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128="",THAM_SO_CC!$B$8,DM_NHAN_SU!$F128))*(ROW(INDIRECT(THAM_SO_CC!$B$8&amp;":"&amp;THAM_SO_CC!$B$9))&lt;=IF(DM_NHAN_SU!$G128="",THAM_SO_CC!$B$9,DM_NHAN_SU!$G128))))))</f>
        <v/>
      </c>
      <c r="AT128" s="106">
        <f>IF($B128="","",$AR128-$AS128)</f>
        <v/>
      </c>
      <c r="AU128" s="96">
        <f>IF($B128="","",TRIM(IF(SUMPRODUCT(--($F128:$AJ128&lt;&gt;""))-SUMPRODUCT(COUNTIF($F128:$AJ128,KY_HIEU!$A$6:$A$45))&gt;0,"Ký hiệu lạ; ","")&amp;IF(ROUND($AT128,2)&lt;&gt;0,"Lệch ngày công "&amp;TEXT($AT128,"0.0")&amp;"; ","")&amp;IF(SUMPRODUCT(--($F128:$AJ128&lt;&gt;""),--((THAM_SO_CC!$B$8+COLUMN($F$1:$AJ$1)-6)&gt;THAM_SO_CC!$B$9))&gt;0,"Chấm ngoài kỳ; ","")&amp;IF(AND(DM_NHAN_SU!$F128&lt;&gt;"",SUMPRODUCT(--($F128:$AJ128&lt;&gt;""),--($F128:$AJ128&lt;&gt;"NV"),--($F128:$AJ128&lt;&gt;"NT"),--($F128:$AJ128&lt;&gt;"TN"),--((THAM_SO_CC!$B$8+COLUMN($F$1:$AJ$1)-6)&lt;DM_NHAN_SU!$F128))&gt;0),"Chấm trước ngày vào; ","")&amp;IF(AND(DM_NHAN_SU!$G128&lt;&gt;"",SUMPRODUCT(--($F128:$AJ128&lt;&gt;""),--($F128:$AJ128&lt;&gt;"NV"),--($F128:$AJ128&lt;&gt;"NT"),--($F128:$AJ128&lt;&gt;"TN"),--((THAM_SO_CC!$B$8+COLUMN($F$1:$AJ$1)-6)&gt;DM_NHAN_SU!$G128))&gt;0),"Chấm sau ngày nghỉ việc; ","")))</f>
        <v/>
      </c>
    </row>
    <row r="129" ht="15" customHeight="1" s="63">
      <c r="A129" s="85">
        <f>IF($B129="","",ROW()-5)</f>
        <v/>
      </c>
      <c r="B129" s="103">
        <f>IF(DM_NHAN_SU!B129="","",DM_NHAN_SU!B129)</f>
        <v/>
      </c>
      <c r="C129" s="96">
        <f>IF($B129="","",DM_NHAN_SU!C129)</f>
        <v/>
      </c>
      <c r="D129" s="96">
        <f>IF($B129="","",DM_NHAN_SU!D129)</f>
        <v/>
      </c>
      <c r="E129" s="96">
        <f>IF($B129="","",DM_NHAN_SU!E129)</f>
        <v/>
      </c>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93" t="n"/>
      <c r="Y129" s="93" t="n"/>
      <c r="Z129" s="93" t="n"/>
      <c r="AA129" s="93" t="n"/>
      <c r="AB129" s="93" t="n"/>
      <c r="AC129" s="93" t="n"/>
      <c r="AD129" s="93" t="n"/>
      <c r="AE129" s="93" t="n"/>
      <c r="AF129" s="93" t="n"/>
      <c r="AG129" s="93" t="n"/>
      <c r="AH129" s="93" t="n"/>
      <c r="AI129" s="93" t="n"/>
      <c r="AJ129" s="93" t="n"/>
      <c r="AK129" s="104">
        <f>IF($B129="","",SUMPRODUCT(COUNTIF($F129:$AJ129,KY_HIEU!$A$6:$A$45)*KY_HIEU!$C$6:$C$45))</f>
        <v/>
      </c>
      <c r="AL129" s="104">
        <f>IF($B129="","",SUMPRODUCT(COUNTIF($F129:$AJ129,KY_HIEU!$A$6:$A$45)*KY_HIEU!$D$6:$D$45))</f>
        <v/>
      </c>
      <c r="AM129" s="104">
        <f>IF($B129="","",SUMPRODUCT(COUNTIF($F129:$AJ129,KY_HIEU!$A$6:$A$45)*KY_HIEU!$E$6:$E$45))</f>
        <v/>
      </c>
      <c r="AN129" s="104">
        <f>IF($B129="","",SUMPRODUCT(COUNTIF($F129:$AJ129,KY_HIEU!$A$6:$A$45)*KY_HIEU!$F$6:$F$45))</f>
        <v/>
      </c>
      <c r="AO129" s="104">
        <f>IF($B129="","",SUMPRODUCT(COUNTIF($F129:$AJ129,KY_HIEU!$A$6:$A$45)*KY_HIEU!$G$6:$G$45))</f>
        <v/>
      </c>
      <c r="AP129" s="104">
        <f>IF($B129="","",SUMPRODUCT(COUNTIF($F129:$AJ129,KY_HIEU!$A$6:$A$45)*KY_HIEU!$H$6:$H$45))</f>
        <v/>
      </c>
      <c r="AQ129" s="104">
        <f>IF($B129="","",SUMPRODUCT(COUNTIF($F129:$AJ129,KY_HIEU!$A$6:$A$45)*KY_HIEU!$I$6:$I$45))</f>
        <v/>
      </c>
      <c r="AR129" s="105">
        <f>IF($B129="","",$AK129+$AL129+$AN129+$AO129+$AP129+$AQ129)</f>
        <v/>
      </c>
      <c r="AS129" s="105">
        <f>IF($B129="","",IF(DM_NHAN_SU!$I129&lt;&gt;"",DM_NHAN_SU!$I129,IF(THAM_SO_CC!$B$20="Nhập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129="",THAM_SO_CC!$B$8,DM_NHAN_SU!$F129))*(ROW(INDIRECT(THAM_SO_CC!$B$8&amp;":"&amp;THAM_SO_CC!$B$9))&lt;=IF(DM_NHAN_SU!$G129="",THAM_SO_CC!$B$9,DM_NHAN_SU!$G129))))))</f>
        <v/>
      </c>
      <c r="AT129" s="106">
        <f>IF($B129="","",$AR129-$AS129)</f>
        <v/>
      </c>
      <c r="AU129" s="96">
        <f>IF($B129="","",TRIM(IF(SUMPRODUCT(--($F129:$AJ129&lt;&gt;""))-SUMPRODUCT(COUNTIF($F129:$AJ129,KY_HIEU!$A$6:$A$45))&gt;0,"Ký hiệu lạ; ","")&amp;IF(ROUND($AT129,2)&lt;&gt;0,"Lệch ngày công "&amp;TEXT($AT129,"0.0")&amp;"; ","")&amp;IF(SUMPRODUCT(--($F129:$AJ129&lt;&gt;""),--((THAM_SO_CC!$B$8+COLUMN($F$1:$AJ$1)-6)&gt;THAM_SO_CC!$B$9))&gt;0,"Chấm ngoài kỳ; ","")&amp;IF(AND(DM_NHAN_SU!$F129&lt;&gt;"",SUMPRODUCT(--($F129:$AJ129&lt;&gt;""),--($F129:$AJ129&lt;&gt;"NV"),--($F129:$AJ129&lt;&gt;"NT"),--($F129:$AJ129&lt;&gt;"TN"),--((THAM_SO_CC!$B$8+COLUMN($F$1:$AJ$1)-6)&lt;DM_NHAN_SU!$F129))&gt;0),"Chấm trước ngày vào; ","")&amp;IF(AND(DM_NHAN_SU!$G129&lt;&gt;"",SUMPRODUCT(--($F129:$AJ129&lt;&gt;""),--($F129:$AJ129&lt;&gt;"NV"),--($F129:$AJ129&lt;&gt;"NT"),--($F129:$AJ129&lt;&gt;"TN"),--((THAM_SO_CC!$B$8+COLUMN($F$1:$AJ$1)-6)&gt;DM_NHAN_SU!$G129))&gt;0),"Chấm sau ngày nghỉ việc; ","")))</f>
        <v/>
      </c>
    </row>
    <row r="130" ht="15" customHeight="1" s="63">
      <c r="A130" s="85">
        <f>IF($B130="","",ROW()-5)</f>
        <v/>
      </c>
      <c r="B130" s="103">
        <f>IF(DM_NHAN_SU!B130="","",DM_NHAN_SU!B130)</f>
        <v/>
      </c>
      <c r="C130" s="96">
        <f>IF($B130="","",DM_NHAN_SU!C130)</f>
        <v/>
      </c>
      <c r="D130" s="96">
        <f>IF($B130="","",DM_NHAN_SU!D130)</f>
        <v/>
      </c>
      <c r="E130" s="96">
        <f>IF($B130="","",DM_NHAN_SU!E130)</f>
        <v/>
      </c>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93" t="n"/>
      <c r="Y130" s="93" t="n"/>
      <c r="Z130" s="93" t="n"/>
      <c r="AA130" s="93" t="n"/>
      <c r="AB130" s="93" t="n"/>
      <c r="AC130" s="93" t="n"/>
      <c r="AD130" s="93" t="n"/>
      <c r="AE130" s="93" t="n"/>
      <c r="AF130" s="93" t="n"/>
      <c r="AG130" s="93" t="n"/>
      <c r="AH130" s="93" t="n"/>
      <c r="AI130" s="93" t="n"/>
      <c r="AJ130" s="93" t="n"/>
      <c r="AK130" s="104">
        <f>IF($B130="","",SUMPRODUCT(COUNTIF($F130:$AJ130,KY_HIEU!$A$6:$A$45)*KY_HIEU!$C$6:$C$45))</f>
        <v/>
      </c>
      <c r="AL130" s="104">
        <f>IF($B130="","",SUMPRODUCT(COUNTIF($F130:$AJ130,KY_HIEU!$A$6:$A$45)*KY_HIEU!$D$6:$D$45))</f>
        <v/>
      </c>
      <c r="AM130" s="104">
        <f>IF($B130="","",SUMPRODUCT(COUNTIF($F130:$AJ130,KY_HIEU!$A$6:$A$45)*KY_HIEU!$E$6:$E$45))</f>
        <v/>
      </c>
      <c r="AN130" s="104">
        <f>IF($B130="","",SUMPRODUCT(COUNTIF($F130:$AJ130,KY_HIEU!$A$6:$A$45)*KY_HIEU!$F$6:$F$45))</f>
        <v/>
      </c>
      <c r="AO130" s="104">
        <f>IF($B130="","",SUMPRODUCT(COUNTIF($F130:$AJ130,KY_HIEU!$A$6:$A$45)*KY_HIEU!$G$6:$G$45))</f>
        <v/>
      </c>
      <c r="AP130" s="104">
        <f>IF($B130="","",SUMPRODUCT(COUNTIF($F130:$AJ130,KY_HIEU!$A$6:$A$45)*KY_HIEU!$H$6:$H$45))</f>
        <v/>
      </c>
      <c r="AQ130" s="104">
        <f>IF($B130="","",SUMPRODUCT(COUNTIF($F130:$AJ130,KY_HIEU!$A$6:$A$45)*KY_HIEU!$I$6:$I$45))</f>
        <v/>
      </c>
      <c r="AR130" s="105">
        <f>IF($B130="","",$AK130+$AL130+$AN130+$AO130+$AP130+$AQ130)</f>
        <v/>
      </c>
      <c r="AS130" s="105">
        <f>IF($B130="","",IF(DM_NHAN_SU!$I130&lt;&gt;"",DM_NHAN_SU!$I130,IF(THAM_SO_CC!$B$20="Nhập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130="",THAM_SO_CC!$B$8,DM_NHAN_SU!$F130))*(ROW(INDIRECT(THAM_SO_CC!$B$8&amp;":"&amp;THAM_SO_CC!$B$9))&lt;=IF(DM_NHAN_SU!$G130="",THAM_SO_CC!$B$9,DM_NHAN_SU!$G130))))))</f>
        <v/>
      </c>
      <c r="AT130" s="106">
        <f>IF($B130="","",$AR130-$AS130)</f>
        <v/>
      </c>
      <c r="AU130" s="96">
        <f>IF($B130="","",TRIM(IF(SUMPRODUCT(--($F130:$AJ130&lt;&gt;""))-SUMPRODUCT(COUNTIF($F130:$AJ130,KY_HIEU!$A$6:$A$45))&gt;0,"Ký hiệu lạ; ","")&amp;IF(ROUND($AT130,2)&lt;&gt;0,"Lệch ngày công "&amp;TEXT($AT130,"0.0")&amp;"; ","")&amp;IF(SUMPRODUCT(--($F130:$AJ130&lt;&gt;""),--((THAM_SO_CC!$B$8+COLUMN($F$1:$AJ$1)-6)&gt;THAM_SO_CC!$B$9))&gt;0,"Chấm ngoài kỳ; ","")&amp;IF(AND(DM_NHAN_SU!$F130&lt;&gt;"",SUMPRODUCT(--($F130:$AJ130&lt;&gt;""),--($F130:$AJ130&lt;&gt;"NV"),--($F130:$AJ130&lt;&gt;"NT"),--($F130:$AJ130&lt;&gt;"TN"),--((THAM_SO_CC!$B$8+COLUMN($F$1:$AJ$1)-6)&lt;DM_NHAN_SU!$F130))&gt;0),"Chấm trước ngày vào; ","")&amp;IF(AND(DM_NHAN_SU!$G130&lt;&gt;"",SUMPRODUCT(--($F130:$AJ130&lt;&gt;""),--($F130:$AJ130&lt;&gt;"NV"),--($F130:$AJ130&lt;&gt;"NT"),--($F130:$AJ130&lt;&gt;"TN"),--((THAM_SO_CC!$B$8+COLUMN($F$1:$AJ$1)-6)&gt;DM_NHAN_SU!$G130))&gt;0),"Chấm sau ngày nghỉ việc; ","")))</f>
        <v/>
      </c>
    </row>
    <row r="131" ht="15" customHeight="1" s="63">
      <c r="A131" s="85">
        <f>IF($B131="","",ROW()-5)</f>
        <v/>
      </c>
      <c r="B131" s="103">
        <f>IF(DM_NHAN_SU!B131="","",DM_NHAN_SU!B131)</f>
        <v/>
      </c>
      <c r="C131" s="96">
        <f>IF($B131="","",DM_NHAN_SU!C131)</f>
        <v/>
      </c>
      <c r="D131" s="96">
        <f>IF($B131="","",DM_NHAN_SU!D131)</f>
        <v/>
      </c>
      <c r="E131" s="96">
        <f>IF($B131="","",DM_NHAN_SU!E131)</f>
        <v/>
      </c>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93" t="n"/>
      <c r="Y131" s="93" t="n"/>
      <c r="Z131" s="93" t="n"/>
      <c r="AA131" s="93" t="n"/>
      <c r="AB131" s="93" t="n"/>
      <c r="AC131" s="93" t="n"/>
      <c r="AD131" s="93" t="n"/>
      <c r="AE131" s="93" t="n"/>
      <c r="AF131" s="93" t="n"/>
      <c r="AG131" s="93" t="n"/>
      <c r="AH131" s="93" t="n"/>
      <c r="AI131" s="93" t="n"/>
      <c r="AJ131" s="93" t="n"/>
      <c r="AK131" s="104">
        <f>IF($B131="","",SUMPRODUCT(COUNTIF($F131:$AJ131,KY_HIEU!$A$6:$A$45)*KY_HIEU!$C$6:$C$45))</f>
        <v/>
      </c>
      <c r="AL131" s="104">
        <f>IF($B131="","",SUMPRODUCT(COUNTIF($F131:$AJ131,KY_HIEU!$A$6:$A$45)*KY_HIEU!$D$6:$D$45))</f>
        <v/>
      </c>
      <c r="AM131" s="104">
        <f>IF($B131="","",SUMPRODUCT(COUNTIF($F131:$AJ131,KY_HIEU!$A$6:$A$45)*KY_HIEU!$E$6:$E$45))</f>
        <v/>
      </c>
      <c r="AN131" s="104">
        <f>IF($B131="","",SUMPRODUCT(COUNTIF($F131:$AJ131,KY_HIEU!$A$6:$A$45)*KY_HIEU!$F$6:$F$45))</f>
        <v/>
      </c>
      <c r="AO131" s="104">
        <f>IF($B131="","",SUMPRODUCT(COUNTIF($F131:$AJ131,KY_HIEU!$A$6:$A$45)*KY_HIEU!$G$6:$G$45))</f>
        <v/>
      </c>
      <c r="AP131" s="104">
        <f>IF($B131="","",SUMPRODUCT(COUNTIF($F131:$AJ131,KY_HIEU!$A$6:$A$45)*KY_HIEU!$H$6:$H$45))</f>
        <v/>
      </c>
      <c r="AQ131" s="104">
        <f>IF($B131="","",SUMPRODUCT(COUNTIF($F131:$AJ131,KY_HIEU!$A$6:$A$45)*KY_HIEU!$I$6:$I$45))</f>
        <v/>
      </c>
      <c r="AR131" s="105">
        <f>IF($B131="","",$AK131+$AL131+$AN131+$AO131+$AP131+$AQ131)</f>
        <v/>
      </c>
      <c r="AS131" s="105">
        <f>IF($B131="","",IF(DM_NHAN_SU!$I131&lt;&gt;"",DM_NHAN_SU!$I131,IF(THAM_SO_CC!$B$20="Nhập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131="",THAM_SO_CC!$B$8,DM_NHAN_SU!$F131))*(ROW(INDIRECT(THAM_SO_CC!$B$8&amp;":"&amp;THAM_SO_CC!$B$9))&lt;=IF(DM_NHAN_SU!$G131="",THAM_SO_CC!$B$9,DM_NHAN_SU!$G131))))))</f>
        <v/>
      </c>
      <c r="AT131" s="106">
        <f>IF($B131="","",$AR131-$AS131)</f>
        <v/>
      </c>
      <c r="AU131" s="96">
        <f>IF($B131="","",TRIM(IF(SUMPRODUCT(--($F131:$AJ131&lt;&gt;""))-SUMPRODUCT(COUNTIF($F131:$AJ131,KY_HIEU!$A$6:$A$45))&gt;0,"Ký hiệu lạ; ","")&amp;IF(ROUND($AT131,2)&lt;&gt;0,"Lệch ngày công "&amp;TEXT($AT131,"0.0")&amp;"; ","")&amp;IF(SUMPRODUCT(--($F131:$AJ131&lt;&gt;""),--((THAM_SO_CC!$B$8+COLUMN($F$1:$AJ$1)-6)&gt;THAM_SO_CC!$B$9))&gt;0,"Chấm ngoài kỳ; ","")&amp;IF(AND(DM_NHAN_SU!$F131&lt;&gt;"",SUMPRODUCT(--($F131:$AJ131&lt;&gt;""),--($F131:$AJ131&lt;&gt;"NV"),--($F131:$AJ131&lt;&gt;"NT"),--($F131:$AJ131&lt;&gt;"TN"),--((THAM_SO_CC!$B$8+COLUMN($F$1:$AJ$1)-6)&lt;DM_NHAN_SU!$F131))&gt;0),"Chấm trước ngày vào; ","")&amp;IF(AND(DM_NHAN_SU!$G131&lt;&gt;"",SUMPRODUCT(--($F131:$AJ131&lt;&gt;""),--($F131:$AJ131&lt;&gt;"NV"),--($F131:$AJ131&lt;&gt;"NT"),--($F131:$AJ131&lt;&gt;"TN"),--((THAM_SO_CC!$B$8+COLUMN($F$1:$AJ$1)-6)&gt;DM_NHAN_SU!$G131))&gt;0),"Chấm sau ngày nghỉ việc; ","")))</f>
        <v/>
      </c>
    </row>
    <row r="132" ht="15" customHeight="1" s="63">
      <c r="A132" s="85">
        <f>IF($B132="","",ROW()-5)</f>
        <v/>
      </c>
      <c r="B132" s="103">
        <f>IF(DM_NHAN_SU!B132="","",DM_NHAN_SU!B132)</f>
        <v/>
      </c>
      <c r="C132" s="96">
        <f>IF($B132="","",DM_NHAN_SU!C132)</f>
        <v/>
      </c>
      <c r="D132" s="96">
        <f>IF($B132="","",DM_NHAN_SU!D132)</f>
        <v/>
      </c>
      <c r="E132" s="96">
        <f>IF($B132="","",DM_NHAN_SU!E132)</f>
        <v/>
      </c>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93" t="n"/>
      <c r="Y132" s="93" t="n"/>
      <c r="Z132" s="93" t="n"/>
      <c r="AA132" s="93" t="n"/>
      <c r="AB132" s="93" t="n"/>
      <c r="AC132" s="93" t="n"/>
      <c r="AD132" s="93" t="n"/>
      <c r="AE132" s="93" t="n"/>
      <c r="AF132" s="93" t="n"/>
      <c r="AG132" s="93" t="n"/>
      <c r="AH132" s="93" t="n"/>
      <c r="AI132" s="93" t="n"/>
      <c r="AJ132" s="93" t="n"/>
      <c r="AK132" s="104">
        <f>IF($B132="","",SUMPRODUCT(COUNTIF($F132:$AJ132,KY_HIEU!$A$6:$A$45)*KY_HIEU!$C$6:$C$45))</f>
        <v/>
      </c>
      <c r="AL132" s="104">
        <f>IF($B132="","",SUMPRODUCT(COUNTIF($F132:$AJ132,KY_HIEU!$A$6:$A$45)*KY_HIEU!$D$6:$D$45))</f>
        <v/>
      </c>
      <c r="AM132" s="104">
        <f>IF($B132="","",SUMPRODUCT(COUNTIF($F132:$AJ132,KY_HIEU!$A$6:$A$45)*KY_HIEU!$E$6:$E$45))</f>
        <v/>
      </c>
      <c r="AN132" s="104">
        <f>IF($B132="","",SUMPRODUCT(COUNTIF($F132:$AJ132,KY_HIEU!$A$6:$A$45)*KY_HIEU!$F$6:$F$45))</f>
        <v/>
      </c>
      <c r="AO132" s="104">
        <f>IF($B132="","",SUMPRODUCT(COUNTIF($F132:$AJ132,KY_HIEU!$A$6:$A$45)*KY_HIEU!$G$6:$G$45))</f>
        <v/>
      </c>
      <c r="AP132" s="104">
        <f>IF($B132="","",SUMPRODUCT(COUNTIF($F132:$AJ132,KY_HIEU!$A$6:$A$45)*KY_HIEU!$H$6:$H$45))</f>
        <v/>
      </c>
      <c r="AQ132" s="104">
        <f>IF($B132="","",SUMPRODUCT(COUNTIF($F132:$AJ132,KY_HIEU!$A$6:$A$45)*KY_HIEU!$I$6:$I$45))</f>
        <v/>
      </c>
      <c r="AR132" s="105">
        <f>IF($B132="","",$AK132+$AL132+$AN132+$AO132+$AP132+$AQ132)</f>
        <v/>
      </c>
      <c r="AS132" s="105">
        <f>IF($B132="","",IF(DM_NHAN_SU!$I132&lt;&gt;"",DM_NHAN_SU!$I132,IF(THAM_SO_CC!$B$20="Nhập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132="",THAM_SO_CC!$B$8,DM_NHAN_SU!$F132))*(ROW(INDIRECT(THAM_SO_CC!$B$8&amp;":"&amp;THAM_SO_CC!$B$9))&lt;=IF(DM_NHAN_SU!$G132="",THAM_SO_CC!$B$9,DM_NHAN_SU!$G132))))))</f>
        <v/>
      </c>
      <c r="AT132" s="106">
        <f>IF($B132="","",$AR132-$AS132)</f>
        <v/>
      </c>
      <c r="AU132" s="96">
        <f>IF($B132="","",TRIM(IF(SUMPRODUCT(--($F132:$AJ132&lt;&gt;""))-SUMPRODUCT(COUNTIF($F132:$AJ132,KY_HIEU!$A$6:$A$45))&gt;0,"Ký hiệu lạ; ","")&amp;IF(ROUND($AT132,2)&lt;&gt;0,"Lệch ngày công "&amp;TEXT($AT132,"0.0")&amp;"; ","")&amp;IF(SUMPRODUCT(--($F132:$AJ132&lt;&gt;""),--((THAM_SO_CC!$B$8+COLUMN($F$1:$AJ$1)-6)&gt;THAM_SO_CC!$B$9))&gt;0,"Chấm ngoài kỳ; ","")&amp;IF(AND(DM_NHAN_SU!$F132&lt;&gt;"",SUMPRODUCT(--($F132:$AJ132&lt;&gt;""),--($F132:$AJ132&lt;&gt;"NV"),--($F132:$AJ132&lt;&gt;"NT"),--($F132:$AJ132&lt;&gt;"TN"),--((THAM_SO_CC!$B$8+COLUMN($F$1:$AJ$1)-6)&lt;DM_NHAN_SU!$F132))&gt;0),"Chấm trước ngày vào; ","")&amp;IF(AND(DM_NHAN_SU!$G132&lt;&gt;"",SUMPRODUCT(--($F132:$AJ132&lt;&gt;""),--($F132:$AJ132&lt;&gt;"NV"),--($F132:$AJ132&lt;&gt;"NT"),--($F132:$AJ132&lt;&gt;"TN"),--((THAM_SO_CC!$B$8+COLUMN($F$1:$AJ$1)-6)&gt;DM_NHAN_SU!$G132))&gt;0),"Chấm sau ngày nghỉ việc; ","")))</f>
        <v/>
      </c>
    </row>
    <row r="133" ht="15" customHeight="1" s="63">
      <c r="A133" s="85">
        <f>IF($B133="","",ROW()-5)</f>
        <v/>
      </c>
      <c r="B133" s="103">
        <f>IF(DM_NHAN_SU!B133="","",DM_NHAN_SU!B133)</f>
        <v/>
      </c>
      <c r="C133" s="96">
        <f>IF($B133="","",DM_NHAN_SU!C133)</f>
        <v/>
      </c>
      <c r="D133" s="96">
        <f>IF($B133="","",DM_NHAN_SU!D133)</f>
        <v/>
      </c>
      <c r="E133" s="96">
        <f>IF($B133="","",DM_NHAN_SU!E133)</f>
        <v/>
      </c>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93" t="n"/>
      <c r="Y133" s="93" t="n"/>
      <c r="Z133" s="93" t="n"/>
      <c r="AA133" s="93" t="n"/>
      <c r="AB133" s="93" t="n"/>
      <c r="AC133" s="93" t="n"/>
      <c r="AD133" s="93" t="n"/>
      <c r="AE133" s="93" t="n"/>
      <c r="AF133" s="93" t="n"/>
      <c r="AG133" s="93" t="n"/>
      <c r="AH133" s="93" t="n"/>
      <c r="AI133" s="93" t="n"/>
      <c r="AJ133" s="93" t="n"/>
      <c r="AK133" s="104">
        <f>IF($B133="","",SUMPRODUCT(COUNTIF($F133:$AJ133,KY_HIEU!$A$6:$A$45)*KY_HIEU!$C$6:$C$45))</f>
        <v/>
      </c>
      <c r="AL133" s="104">
        <f>IF($B133="","",SUMPRODUCT(COUNTIF($F133:$AJ133,KY_HIEU!$A$6:$A$45)*KY_HIEU!$D$6:$D$45))</f>
        <v/>
      </c>
      <c r="AM133" s="104">
        <f>IF($B133="","",SUMPRODUCT(COUNTIF($F133:$AJ133,KY_HIEU!$A$6:$A$45)*KY_HIEU!$E$6:$E$45))</f>
        <v/>
      </c>
      <c r="AN133" s="104">
        <f>IF($B133="","",SUMPRODUCT(COUNTIF($F133:$AJ133,KY_HIEU!$A$6:$A$45)*KY_HIEU!$F$6:$F$45))</f>
        <v/>
      </c>
      <c r="AO133" s="104">
        <f>IF($B133="","",SUMPRODUCT(COUNTIF($F133:$AJ133,KY_HIEU!$A$6:$A$45)*KY_HIEU!$G$6:$G$45))</f>
        <v/>
      </c>
      <c r="AP133" s="104">
        <f>IF($B133="","",SUMPRODUCT(COUNTIF($F133:$AJ133,KY_HIEU!$A$6:$A$45)*KY_HIEU!$H$6:$H$45))</f>
        <v/>
      </c>
      <c r="AQ133" s="104">
        <f>IF($B133="","",SUMPRODUCT(COUNTIF($F133:$AJ133,KY_HIEU!$A$6:$A$45)*KY_HIEU!$I$6:$I$45))</f>
        <v/>
      </c>
      <c r="AR133" s="105">
        <f>IF($B133="","",$AK133+$AL133+$AN133+$AO133+$AP133+$AQ133)</f>
        <v/>
      </c>
      <c r="AS133" s="105">
        <f>IF($B133="","",IF(DM_NHAN_SU!$I133&lt;&gt;"",DM_NHAN_SU!$I133,IF(THAM_SO_CC!$B$20="Nhập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133="",THAM_SO_CC!$B$8,DM_NHAN_SU!$F133))*(ROW(INDIRECT(THAM_SO_CC!$B$8&amp;":"&amp;THAM_SO_CC!$B$9))&lt;=IF(DM_NHAN_SU!$G133="",THAM_SO_CC!$B$9,DM_NHAN_SU!$G133))))))</f>
        <v/>
      </c>
      <c r="AT133" s="106">
        <f>IF($B133="","",$AR133-$AS133)</f>
        <v/>
      </c>
      <c r="AU133" s="96">
        <f>IF($B133="","",TRIM(IF(SUMPRODUCT(--($F133:$AJ133&lt;&gt;""))-SUMPRODUCT(COUNTIF($F133:$AJ133,KY_HIEU!$A$6:$A$45))&gt;0,"Ký hiệu lạ; ","")&amp;IF(ROUND($AT133,2)&lt;&gt;0,"Lệch ngày công "&amp;TEXT($AT133,"0.0")&amp;"; ","")&amp;IF(SUMPRODUCT(--($F133:$AJ133&lt;&gt;""),--((THAM_SO_CC!$B$8+COLUMN($F$1:$AJ$1)-6)&gt;THAM_SO_CC!$B$9))&gt;0,"Chấm ngoài kỳ; ","")&amp;IF(AND(DM_NHAN_SU!$F133&lt;&gt;"",SUMPRODUCT(--($F133:$AJ133&lt;&gt;""),--($F133:$AJ133&lt;&gt;"NV"),--($F133:$AJ133&lt;&gt;"NT"),--($F133:$AJ133&lt;&gt;"TN"),--((THAM_SO_CC!$B$8+COLUMN($F$1:$AJ$1)-6)&lt;DM_NHAN_SU!$F133))&gt;0),"Chấm trước ngày vào; ","")&amp;IF(AND(DM_NHAN_SU!$G133&lt;&gt;"",SUMPRODUCT(--($F133:$AJ133&lt;&gt;""),--($F133:$AJ133&lt;&gt;"NV"),--($F133:$AJ133&lt;&gt;"NT"),--($F133:$AJ133&lt;&gt;"TN"),--((THAM_SO_CC!$B$8+COLUMN($F$1:$AJ$1)-6)&gt;DM_NHAN_SU!$G133))&gt;0),"Chấm sau ngày nghỉ việc; ","")))</f>
        <v/>
      </c>
    </row>
    <row r="134" ht="15" customHeight="1" s="63">
      <c r="A134" s="85">
        <f>IF($B134="","",ROW()-5)</f>
        <v/>
      </c>
      <c r="B134" s="103">
        <f>IF(DM_NHAN_SU!B134="","",DM_NHAN_SU!B134)</f>
        <v/>
      </c>
      <c r="C134" s="96">
        <f>IF($B134="","",DM_NHAN_SU!C134)</f>
        <v/>
      </c>
      <c r="D134" s="96">
        <f>IF($B134="","",DM_NHAN_SU!D134)</f>
        <v/>
      </c>
      <c r="E134" s="96">
        <f>IF($B134="","",DM_NHAN_SU!E134)</f>
        <v/>
      </c>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93" t="n"/>
      <c r="Y134" s="93" t="n"/>
      <c r="Z134" s="93" t="n"/>
      <c r="AA134" s="93" t="n"/>
      <c r="AB134" s="93" t="n"/>
      <c r="AC134" s="93" t="n"/>
      <c r="AD134" s="93" t="n"/>
      <c r="AE134" s="93" t="n"/>
      <c r="AF134" s="93" t="n"/>
      <c r="AG134" s="93" t="n"/>
      <c r="AH134" s="93" t="n"/>
      <c r="AI134" s="93" t="n"/>
      <c r="AJ134" s="93" t="n"/>
      <c r="AK134" s="104">
        <f>IF($B134="","",SUMPRODUCT(COUNTIF($F134:$AJ134,KY_HIEU!$A$6:$A$45)*KY_HIEU!$C$6:$C$45))</f>
        <v/>
      </c>
      <c r="AL134" s="104">
        <f>IF($B134="","",SUMPRODUCT(COUNTIF($F134:$AJ134,KY_HIEU!$A$6:$A$45)*KY_HIEU!$D$6:$D$45))</f>
        <v/>
      </c>
      <c r="AM134" s="104">
        <f>IF($B134="","",SUMPRODUCT(COUNTIF($F134:$AJ134,KY_HIEU!$A$6:$A$45)*KY_HIEU!$E$6:$E$45))</f>
        <v/>
      </c>
      <c r="AN134" s="104">
        <f>IF($B134="","",SUMPRODUCT(COUNTIF($F134:$AJ134,KY_HIEU!$A$6:$A$45)*KY_HIEU!$F$6:$F$45))</f>
        <v/>
      </c>
      <c r="AO134" s="104">
        <f>IF($B134="","",SUMPRODUCT(COUNTIF($F134:$AJ134,KY_HIEU!$A$6:$A$45)*KY_HIEU!$G$6:$G$45))</f>
        <v/>
      </c>
      <c r="AP134" s="104">
        <f>IF($B134="","",SUMPRODUCT(COUNTIF($F134:$AJ134,KY_HIEU!$A$6:$A$45)*KY_HIEU!$H$6:$H$45))</f>
        <v/>
      </c>
      <c r="AQ134" s="104">
        <f>IF($B134="","",SUMPRODUCT(COUNTIF($F134:$AJ134,KY_HIEU!$A$6:$A$45)*KY_HIEU!$I$6:$I$45))</f>
        <v/>
      </c>
      <c r="AR134" s="105">
        <f>IF($B134="","",$AK134+$AL134+$AN134+$AO134+$AP134+$AQ134)</f>
        <v/>
      </c>
      <c r="AS134" s="105">
        <f>IF($B134="","",IF(DM_NHAN_SU!$I134&lt;&gt;"",DM_NHAN_SU!$I134,IF(THAM_SO_CC!$B$20="Nhập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134="",THAM_SO_CC!$B$8,DM_NHAN_SU!$F134))*(ROW(INDIRECT(THAM_SO_CC!$B$8&amp;":"&amp;THAM_SO_CC!$B$9))&lt;=IF(DM_NHAN_SU!$G134="",THAM_SO_CC!$B$9,DM_NHAN_SU!$G134))))))</f>
        <v/>
      </c>
      <c r="AT134" s="106">
        <f>IF($B134="","",$AR134-$AS134)</f>
        <v/>
      </c>
      <c r="AU134" s="96">
        <f>IF($B134="","",TRIM(IF(SUMPRODUCT(--($F134:$AJ134&lt;&gt;""))-SUMPRODUCT(COUNTIF($F134:$AJ134,KY_HIEU!$A$6:$A$45))&gt;0,"Ký hiệu lạ; ","")&amp;IF(ROUND($AT134,2)&lt;&gt;0,"Lệch ngày công "&amp;TEXT($AT134,"0.0")&amp;"; ","")&amp;IF(SUMPRODUCT(--($F134:$AJ134&lt;&gt;""),--((THAM_SO_CC!$B$8+COLUMN($F$1:$AJ$1)-6)&gt;THAM_SO_CC!$B$9))&gt;0,"Chấm ngoài kỳ; ","")&amp;IF(AND(DM_NHAN_SU!$F134&lt;&gt;"",SUMPRODUCT(--($F134:$AJ134&lt;&gt;""),--($F134:$AJ134&lt;&gt;"NV"),--($F134:$AJ134&lt;&gt;"NT"),--($F134:$AJ134&lt;&gt;"TN"),--((THAM_SO_CC!$B$8+COLUMN($F$1:$AJ$1)-6)&lt;DM_NHAN_SU!$F134))&gt;0),"Chấm trước ngày vào; ","")&amp;IF(AND(DM_NHAN_SU!$G134&lt;&gt;"",SUMPRODUCT(--($F134:$AJ134&lt;&gt;""),--($F134:$AJ134&lt;&gt;"NV"),--($F134:$AJ134&lt;&gt;"NT"),--($F134:$AJ134&lt;&gt;"TN"),--((THAM_SO_CC!$B$8+COLUMN($F$1:$AJ$1)-6)&gt;DM_NHAN_SU!$G134))&gt;0),"Chấm sau ngày nghỉ việc; ","")))</f>
        <v/>
      </c>
    </row>
    <row r="135" ht="15" customHeight="1" s="63">
      <c r="A135" s="85">
        <f>IF($B135="","",ROW()-5)</f>
        <v/>
      </c>
      <c r="B135" s="103">
        <f>IF(DM_NHAN_SU!B135="","",DM_NHAN_SU!B135)</f>
        <v/>
      </c>
      <c r="C135" s="96">
        <f>IF($B135="","",DM_NHAN_SU!C135)</f>
        <v/>
      </c>
      <c r="D135" s="96">
        <f>IF($B135="","",DM_NHAN_SU!D135)</f>
        <v/>
      </c>
      <c r="E135" s="96">
        <f>IF($B135="","",DM_NHAN_SU!E135)</f>
        <v/>
      </c>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93" t="n"/>
      <c r="Y135" s="93" t="n"/>
      <c r="Z135" s="93" t="n"/>
      <c r="AA135" s="93" t="n"/>
      <c r="AB135" s="93" t="n"/>
      <c r="AC135" s="93" t="n"/>
      <c r="AD135" s="93" t="n"/>
      <c r="AE135" s="93" t="n"/>
      <c r="AF135" s="93" t="n"/>
      <c r="AG135" s="93" t="n"/>
      <c r="AH135" s="93" t="n"/>
      <c r="AI135" s="93" t="n"/>
      <c r="AJ135" s="93" t="n"/>
      <c r="AK135" s="104">
        <f>IF($B135="","",SUMPRODUCT(COUNTIF($F135:$AJ135,KY_HIEU!$A$6:$A$45)*KY_HIEU!$C$6:$C$45))</f>
        <v/>
      </c>
      <c r="AL135" s="104">
        <f>IF($B135="","",SUMPRODUCT(COUNTIF($F135:$AJ135,KY_HIEU!$A$6:$A$45)*KY_HIEU!$D$6:$D$45))</f>
        <v/>
      </c>
      <c r="AM135" s="104">
        <f>IF($B135="","",SUMPRODUCT(COUNTIF($F135:$AJ135,KY_HIEU!$A$6:$A$45)*KY_HIEU!$E$6:$E$45))</f>
        <v/>
      </c>
      <c r="AN135" s="104">
        <f>IF($B135="","",SUMPRODUCT(COUNTIF($F135:$AJ135,KY_HIEU!$A$6:$A$45)*KY_HIEU!$F$6:$F$45))</f>
        <v/>
      </c>
      <c r="AO135" s="104">
        <f>IF($B135="","",SUMPRODUCT(COUNTIF($F135:$AJ135,KY_HIEU!$A$6:$A$45)*KY_HIEU!$G$6:$G$45))</f>
        <v/>
      </c>
      <c r="AP135" s="104">
        <f>IF($B135="","",SUMPRODUCT(COUNTIF($F135:$AJ135,KY_HIEU!$A$6:$A$45)*KY_HIEU!$H$6:$H$45))</f>
        <v/>
      </c>
      <c r="AQ135" s="104">
        <f>IF($B135="","",SUMPRODUCT(COUNTIF($F135:$AJ135,KY_HIEU!$A$6:$A$45)*KY_HIEU!$I$6:$I$45))</f>
        <v/>
      </c>
      <c r="AR135" s="105">
        <f>IF($B135="","",$AK135+$AL135+$AN135+$AO135+$AP135+$AQ135)</f>
        <v/>
      </c>
      <c r="AS135" s="105">
        <f>IF($B135="","",IF(DM_NHAN_SU!$I135&lt;&gt;"",DM_NHAN_SU!$I135,IF(THAM_SO_CC!$B$20="Nhập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135="",THAM_SO_CC!$B$8,DM_NHAN_SU!$F135))*(ROW(INDIRECT(THAM_SO_CC!$B$8&amp;":"&amp;THAM_SO_CC!$B$9))&lt;=IF(DM_NHAN_SU!$G135="",THAM_SO_CC!$B$9,DM_NHAN_SU!$G135))))))</f>
        <v/>
      </c>
      <c r="AT135" s="106">
        <f>IF($B135="","",$AR135-$AS135)</f>
        <v/>
      </c>
      <c r="AU135" s="96">
        <f>IF($B135="","",TRIM(IF(SUMPRODUCT(--($F135:$AJ135&lt;&gt;""))-SUMPRODUCT(COUNTIF($F135:$AJ135,KY_HIEU!$A$6:$A$45))&gt;0,"Ký hiệu lạ; ","")&amp;IF(ROUND($AT135,2)&lt;&gt;0,"Lệch ngày công "&amp;TEXT($AT135,"0.0")&amp;"; ","")&amp;IF(SUMPRODUCT(--($F135:$AJ135&lt;&gt;""),--((THAM_SO_CC!$B$8+COLUMN($F$1:$AJ$1)-6)&gt;THAM_SO_CC!$B$9))&gt;0,"Chấm ngoài kỳ; ","")&amp;IF(AND(DM_NHAN_SU!$F135&lt;&gt;"",SUMPRODUCT(--($F135:$AJ135&lt;&gt;""),--($F135:$AJ135&lt;&gt;"NV"),--($F135:$AJ135&lt;&gt;"NT"),--($F135:$AJ135&lt;&gt;"TN"),--((THAM_SO_CC!$B$8+COLUMN($F$1:$AJ$1)-6)&lt;DM_NHAN_SU!$F135))&gt;0),"Chấm trước ngày vào; ","")&amp;IF(AND(DM_NHAN_SU!$G135&lt;&gt;"",SUMPRODUCT(--($F135:$AJ135&lt;&gt;""),--($F135:$AJ135&lt;&gt;"NV"),--($F135:$AJ135&lt;&gt;"NT"),--($F135:$AJ135&lt;&gt;"TN"),--((THAM_SO_CC!$B$8+COLUMN($F$1:$AJ$1)-6)&gt;DM_NHAN_SU!$G135))&gt;0),"Chấm sau ngày nghỉ việc; ","")))</f>
        <v/>
      </c>
    </row>
    <row r="136" ht="15" customHeight="1" s="63">
      <c r="A136" s="85">
        <f>IF($B136="","",ROW()-5)</f>
        <v/>
      </c>
      <c r="B136" s="103">
        <f>IF(DM_NHAN_SU!B136="","",DM_NHAN_SU!B136)</f>
        <v/>
      </c>
      <c r="C136" s="96">
        <f>IF($B136="","",DM_NHAN_SU!C136)</f>
        <v/>
      </c>
      <c r="D136" s="96">
        <f>IF($B136="","",DM_NHAN_SU!D136)</f>
        <v/>
      </c>
      <c r="E136" s="96">
        <f>IF($B136="","",DM_NHAN_SU!E136)</f>
        <v/>
      </c>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93" t="n"/>
      <c r="Y136" s="93" t="n"/>
      <c r="Z136" s="93" t="n"/>
      <c r="AA136" s="93" t="n"/>
      <c r="AB136" s="93" t="n"/>
      <c r="AC136" s="93" t="n"/>
      <c r="AD136" s="93" t="n"/>
      <c r="AE136" s="93" t="n"/>
      <c r="AF136" s="93" t="n"/>
      <c r="AG136" s="93" t="n"/>
      <c r="AH136" s="93" t="n"/>
      <c r="AI136" s="93" t="n"/>
      <c r="AJ136" s="93" t="n"/>
      <c r="AK136" s="104">
        <f>IF($B136="","",SUMPRODUCT(COUNTIF($F136:$AJ136,KY_HIEU!$A$6:$A$45)*KY_HIEU!$C$6:$C$45))</f>
        <v/>
      </c>
      <c r="AL136" s="104">
        <f>IF($B136="","",SUMPRODUCT(COUNTIF($F136:$AJ136,KY_HIEU!$A$6:$A$45)*KY_HIEU!$D$6:$D$45))</f>
        <v/>
      </c>
      <c r="AM136" s="104">
        <f>IF($B136="","",SUMPRODUCT(COUNTIF($F136:$AJ136,KY_HIEU!$A$6:$A$45)*KY_HIEU!$E$6:$E$45))</f>
        <v/>
      </c>
      <c r="AN136" s="104">
        <f>IF($B136="","",SUMPRODUCT(COUNTIF($F136:$AJ136,KY_HIEU!$A$6:$A$45)*KY_HIEU!$F$6:$F$45))</f>
        <v/>
      </c>
      <c r="AO136" s="104">
        <f>IF($B136="","",SUMPRODUCT(COUNTIF($F136:$AJ136,KY_HIEU!$A$6:$A$45)*KY_HIEU!$G$6:$G$45))</f>
        <v/>
      </c>
      <c r="AP136" s="104">
        <f>IF($B136="","",SUMPRODUCT(COUNTIF($F136:$AJ136,KY_HIEU!$A$6:$A$45)*KY_HIEU!$H$6:$H$45))</f>
        <v/>
      </c>
      <c r="AQ136" s="104">
        <f>IF($B136="","",SUMPRODUCT(COUNTIF($F136:$AJ136,KY_HIEU!$A$6:$A$45)*KY_HIEU!$I$6:$I$45))</f>
        <v/>
      </c>
      <c r="AR136" s="105">
        <f>IF($B136="","",$AK136+$AL136+$AN136+$AO136+$AP136+$AQ136)</f>
        <v/>
      </c>
      <c r="AS136" s="105">
        <f>IF($B136="","",IF(DM_NHAN_SU!$I136&lt;&gt;"",DM_NHAN_SU!$I136,IF(THAM_SO_CC!$B$20="Nhập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136="",THAM_SO_CC!$B$8,DM_NHAN_SU!$F136))*(ROW(INDIRECT(THAM_SO_CC!$B$8&amp;":"&amp;THAM_SO_CC!$B$9))&lt;=IF(DM_NHAN_SU!$G136="",THAM_SO_CC!$B$9,DM_NHAN_SU!$G136))))))</f>
        <v/>
      </c>
      <c r="AT136" s="106">
        <f>IF($B136="","",$AR136-$AS136)</f>
        <v/>
      </c>
      <c r="AU136" s="96">
        <f>IF($B136="","",TRIM(IF(SUMPRODUCT(--($F136:$AJ136&lt;&gt;""))-SUMPRODUCT(COUNTIF($F136:$AJ136,KY_HIEU!$A$6:$A$45))&gt;0,"Ký hiệu lạ; ","")&amp;IF(ROUND($AT136,2)&lt;&gt;0,"Lệch ngày công "&amp;TEXT($AT136,"0.0")&amp;"; ","")&amp;IF(SUMPRODUCT(--($F136:$AJ136&lt;&gt;""),--((THAM_SO_CC!$B$8+COLUMN($F$1:$AJ$1)-6)&gt;THAM_SO_CC!$B$9))&gt;0,"Chấm ngoài kỳ; ","")&amp;IF(AND(DM_NHAN_SU!$F136&lt;&gt;"",SUMPRODUCT(--($F136:$AJ136&lt;&gt;""),--($F136:$AJ136&lt;&gt;"NV"),--($F136:$AJ136&lt;&gt;"NT"),--($F136:$AJ136&lt;&gt;"TN"),--((THAM_SO_CC!$B$8+COLUMN($F$1:$AJ$1)-6)&lt;DM_NHAN_SU!$F136))&gt;0),"Chấm trước ngày vào; ","")&amp;IF(AND(DM_NHAN_SU!$G136&lt;&gt;"",SUMPRODUCT(--($F136:$AJ136&lt;&gt;""),--($F136:$AJ136&lt;&gt;"NV"),--($F136:$AJ136&lt;&gt;"NT"),--($F136:$AJ136&lt;&gt;"TN"),--((THAM_SO_CC!$B$8+COLUMN($F$1:$AJ$1)-6)&gt;DM_NHAN_SU!$G136))&gt;0),"Chấm sau ngày nghỉ việc; ","")))</f>
        <v/>
      </c>
    </row>
    <row r="137" ht="15" customHeight="1" s="63">
      <c r="A137" s="85">
        <f>IF($B137="","",ROW()-5)</f>
        <v/>
      </c>
      <c r="B137" s="103">
        <f>IF(DM_NHAN_SU!B137="","",DM_NHAN_SU!B137)</f>
        <v/>
      </c>
      <c r="C137" s="96">
        <f>IF($B137="","",DM_NHAN_SU!C137)</f>
        <v/>
      </c>
      <c r="D137" s="96">
        <f>IF($B137="","",DM_NHAN_SU!D137)</f>
        <v/>
      </c>
      <c r="E137" s="96">
        <f>IF($B137="","",DM_NHAN_SU!E137)</f>
        <v/>
      </c>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93" t="n"/>
      <c r="Y137" s="93" t="n"/>
      <c r="Z137" s="93" t="n"/>
      <c r="AA137" s="93" t="n"/>
      <c r="AB137" s="93" t="n"/>
      <c r="AC137" s="93" t="n"/>
      <c r="AD137" s="93" t="n"/>
      <c r="AE137" s="93" t="n"/>
      <c r="AF137" s="93" t="n"/>
      <c r="AG137" s="93" t="n"/>
      <c r="AH137" s="93" t="n"/>
      <c r="AI137" s="93" t="n"/>
      <c r="AJ137" s="93" t="n"/>
      <c r="AK137" s="104">
        <f>IF($B137="","",SUMPRODUCT(COUNTIF($F137:$AJ137,KY_HIEU!$A$6:$A$45)*KY_HIEU!$C$6:$C$45))</f>
        <v/>
      </c>
      <c r="AL137" s="104">
        <f>IF($B137="","",SUMPRODUCT(COUNTIF($F137:$AJ137,KY_HIEU!$A$6:$A$45)*KY_HIEU!$D$6:$D$45))</f>
        <v/>
      </c>
      <c r="AM137" s="104">
        <f>IF($B137="","",SUMPRODUCT(COUNTIF($F137:$AJ137,KY_HIEU!$A$6:$A$45)*KY_HIEU!$E$6:$E$45))</f>
        <v/>
      </c>
      <c r="AN137" s="104">
        <f>IF($B137="","",SUMPRODUCT(COUNTIF($F137:$AJ137,KY_HIEU!$A$6:$A$45)*KY_HIEU!$F$6:$F$45))</f>
        <v/>
      </c>
      <c r="AO137" s="104">
        <f>IF($B137="","",SUMPRODUCT(COUNTIF($F137:$AJ137,KY_HIEU!$A$6:$A$45)*KY_HIEU!$G$6:$G$45))</f>
        <v/>
      </c>
      <c r="AP137" s="104">
        <f>IF($B137="","",SUMPRODUCT(COUNTIF($F137:$AJ137,KY_HIEU!$A$6:$A$45)*KY_HIEU!$H$6:$H$45))</f>
        <v/>
      </c>
      <c r="AQ137" s="104">
        <f>IF($B137="","",SUMPRODUCT(COUNTIF($F137:$AJ137,KY_HIEU!$A$6:$A$45)*KY_HIEU!$I$6:$I$45))</f>
        <v/>
      </c>
      <c r="AR137" s="105">
        <f>IF($B137="","",$AK137+$AL137+$AN137+$AO137+$AP137+$AQ137)</f>
        <v/>
      </c>
      <c r="AS137" s="105">
        <f>IF($B137="","",IF(DM_NHAN_SU!$I137&lt;&gt;"",DM_NHAN_SU!$I137,IF(THAM_SO_CC!$B$20="Nhập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137="",THAM_SO_CC!$B$8,DM_NHAN_SU!$F137))*(ROW(INDIRECT(THAM_SO_CC!$B$8&amp;":"&amp;THAM_SO_CC!$B$9))&lt;=IF(DM_NHAN_SU!$G137="",THAM_SO_CC!$B$9,DM_NHAN_SU!$G137))))))</f>
        <v/>
      </c>
      <c r="AT137" s="106">
        <f>IF($B137="","",$AR137-$AS137)</f>
        <v/>
      </c>
      <c r="AU137" s="96">
        <f>IF($B137="","",TRIM(IF(SUMPRODUCT(--($F137:$AJ137&lt;&gt;""))-SUMPRODUCT(COUNTIF($F137:$AJ137,KY_HIEU!$A$6:$A$45))&gt;0,"Ký hiệu lạ; ","")&amp;IF(ROUND($AT137,2)&lt;&gt;0,"Lệch ngày công "&amp;TEXT($AT137,"0.0")&amp;"; ","")&amp;IF(SUMPRODUCT(--($F137:$AJ137&lt;&gt;""),--((THAM_SO_CC!$B$8+COLUMN($F$1:$AJ$1)-6)&gt;THAM_SO_CC!$B$9))&gt;0,"Chấm ngoài kỳ; ","")&amp;IF(AND(DM_NHAN_SU!$F137&lt;&gt;"",SUMPRODUCT(--($F137:$AJ137&lt;&gt;""),--($F137:$AJ137&lt;&gt;"NV"),--($F137:$AJ137&lt;&gt;"NT"),--($F137:$AJ137&lt;&gt;"TN"),--((THAM_SO_CC!$B$8+COLUMN($F$1:$AJ$1)-6)&lt;DM_NHAN_SU!$F137))&gt;0),"Chấm trước ngày vào; ","")&amp;IF(AND(DM_NHAN_SU!$G137&lt;&gt;"",SUMPRODUCT(--($F137:$AJ137&lt;&gt;""),--($F137:$AJ137&lt;&gt;"NV"),--($F137:$AJ137&lt;&gt;"NT"),--($F137:$AJ137&lt;&gt;"TN"),--((THAM_SO_CC!$B$8+COLUMN($F$1:$AJ$1)-6)&gt;DM_NHAN_SU!$G137))&gt;0),"Chấm sau ngày nghỉ việc; ","")))</f>
        <v/>
      </c>
    </row>
    <row r="138" ht="15" customHeight="1" s="63">
      <c r="A138" s="85">
        <f>IF($B138="","",ROW()-5)</f>
        <v/>
      </c>
      <c r="B138" s="103">
        <f>IF(DM_NHAN_SU!B138="","",DM_NHAN_SU!B138)</f>
        <v/>
      </c>
      <c r="C138" s="96">
        <f>IF($B138="","",DM_NHAN_SU!C138)</f>
        <v/>
      </c>
      <c r="D138" s="96">
        <f>IF($B138="","",DM_NHAN_SU!D138)</f>
        <v/>
      </c>
      <c r="E138" s="96">
        <f>IF($B138="","",DM_NHAN_SU!E138)</f>
        <v/>
      </c>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93" t="n"/>
      <c r="Y138" s="93" t="n"/>
      <c r="Z138" s="93" t="n"/>
      <c r="AA138" s="93" t="n"/>
      <c r="AB138" s="93" t="n"/>
      <c r="AC138" s="93" t="n"/>
      <c r="AD138" s="93" t="n"/>
      <c r="AE138" s="93" t="n"/>
      <c r="AF138" s="93" t="n"/>
      <c r="AG138" s="93" t="n"/>
      <c r="AH138" s="93" t="n"/>
      <c r="AI138" s="93" t="n"/>
      <c r="AJ138" s="93" t="n"/>
      <c r="AK138" s="104">
        <f>IF($B138="","",SUMPRODUCT(COUNTIF($F138:$AJ138,KY_HIEU!$A$6:$A$45)*KY_HIEU!$C$6:$C$45))</f>
        <v/>
      </c>
      <c r="AL138" s="104">
        <f>IF($B138="","",SUMPRODUCT(COUNTIF($F138:$AJ138,KY_HIEU!$A$6:$A$45)*KY_HIEU!$D$6:$D$45))</f>
        <v/>
      </c>
      <c r="AM138" s="104">
        <f>IF($B138="","",SUMPRODUCT(COUNTIF($F138:$AJ138,KY_HIEU!$A$6:$A$45)*KY_HIEU!$E$6:$E$45))</f>
        <v/>
      </c>
      <c r="AN138" s="104">
        <f>IF($B138="","",SUMPRODUCT(COUNTIF($F138:$AJ138,KY_HIEU!$A$6:$A$45)*KY_HIEU!$F$6:$F$45))</f>
        <v/>
      </c>
      <c r="AO138" s="104">
        <f>IF($B138="","",SUMPRODUCT(COUNTIF($F138:$AJ138,KY_HIEU!$A$6:$A$45)*KY_HIEU!$G$6:$G$45))</f>
        <v/>
      </c>
      <c r="AP138" s="104">
        <f>IF($B138="","",SUMPRODUCT(COUNTIF($F138:$AJ138,KY_HIEU!$A$6:$A$45)*KY_HIEU!$H$6:$H$45))</f>
        <v/>
      </c>
      <c r="AQ138" s="104">
        <f>IF($B138="","",SUMPRODUCT(COUNTIF($F138:$AJ138,KY_HIEU!$A$6:$A$45)*KY_HIEU!$I$6:$I$45))</f>
        <v/>
      </c>
      <c r="AR138" s="105">
        <f>IF($B138="","",$AK138+$AL138+$AN138+$AO138+$AP138+$AQ138)</f>
        <v/>
      </c>
      <c r="AS138" s="105">
        <f>IF($B138="","",IF(DM_NHAN_SU!$I138&lt;&gt;"",DM_NHAN_SU!$I138,IF(THAM_SO_CC!$B$20="Nhập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138="",THAM_SO_CC!$B$8,DM_NHAN_SU!$F138))*(ROW(INDIRECT(THAM_SO_CC!$B$8&amp;":"&amp;THAM_SO_CC!$B$9))&lt;=IF(DM_NHAN_SU!$G138="",THAM_SO_CC!$B$9,DM_NHAN_SU!$G138))))))</f>
        <v/>
      </c>
      <c r="AT138" s="106">
        <f>IF($B138="","",$AR138-$AS138)</f>
        <v/>
      </c>
      <c r="AU138" s="96">
        <f>IF($B138="","",TRIM(IF(SUMPRODUCT(--($F138:$AJ138&lt;&gt;""))-SUMPRODUCT(COUNTIF($F138:$AJ138,KY_HIEU!$A$6:$A$45))&gt;0,"Ký hiệu lạ; ","")&amp;IF(ROUND($AT138,2)&lt;&gt;0,"Lệch ngày công "&amp;TEXT($AT138,"0.0")&amp;"; ","")&amp;IF(SUMPRODUCT(--($F138:$AJ138&lt;&gt;""),--((THAM_SO_CC!$B$8+COLUMN($F$1:$AJ$1)-6)&gt;THAM_SO_CC!$B$9))&gt;0,"Chấm ngoài kỳ; ","")&amp;IF(AND(DM_NHAN_SU!$F138&lt;&gt;"",SUMPRODUCT(--($F138:$AJ138&lt;&gt;""),--($F138:$AJ138&lt;&gt;"NV"),--($F138:$AJ138&lt;&gt;"NT"),--($F138:$AJ138&lt;&gt;"TN"),--((THAM_SO_CC!$B$8+COLUMN($F$1:$AJ$1)-6)&lt;DM_NHAN_SU!$F138))&gt;0),"Chấm trước ngày vào; ","")&amp;IF(AND(DM_NHAN_SU!$G138&lt;&gt;"",SUMPRODUCT(--($F138:$AJ138&lt;&gt;""),--($F138:$AJ138&lt;&gt;"NV"),--($F138:$AJ138&lt;&gt;"NT"),--($F138:$AJ138&lt;&gt;"TN"),--((THAM_SO_CC!$B$8+COLUMN($F$1:$AJ$1)-6)&gt;DM_NHAN_SU!$G138))&gt;0),"Chấm sau ngày nghỉ việc; ","")))</f>
        <v/>
      </c>
    </row>
    <row r="139" ht="15" customHeight="1" s="63">
      <c r="A139" s="85">
        <f>IF($B139="","",ROW()-5)</f>
        <v/>
      </c>
      <c r="B139" s="103">
        <f>IF(DM_NHAN_SU!B139="","",DM_NHAN_SU!B139)</f>
        <v/>
      </c>
      <c r="C139" s="96">
        <f>IF($B139="","",DM_NHAN_SU!C139)</f>
        <v/>
      </c>
      <c r="D139" s="96">
        <f>IF($B139="","",DM_NHAN_SU!D139)</f>
        <v/>
      </c>
      <c r="E139" s="96">
        <f>IF($B139="","",DM_NHAN_SU!E139)</f>
        <v/>
      </c>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93" t="n"/>
      <c r="Y139" s="93" t="n"/>
      <c r="Z139" s="93" t="n"/>
      <c r="AA139" s="93" t="n"/>
      <c r="AB139" s="93" t="n"/>
      <c r="AC139" s="93" t="n"/>
      <c r="AD139" s="93" t="n"/>
      <c r="AE139" s="93" t="n"/>
      <c r="AF139" s="93" t="n"/>
      <c r="AG139" s="93" t="n"/>
      <c r="AH139" s="93" t="n"/>
      <c r="AI139" s="93" t="n"/>
      <c r="AJ139" s="93" t="n"/>
      <c r="AK139" s="104">
        <f>IF($B139="","",SUMPRODUCT(COUNTIF($F139:$AJ139,KY_HIEU!$A$6:$A$45)*KY_HIEU!$C$6:$C$45))</f>
        <v/>
      </c>
      <c r="AL139" s="104">
        <f>IF($B139="","",SUMPRODUCT(COUNTIF($F139:$AJ139,KY_HIEU!$A$6:$A$45)*KY_HIEU!$D$6:$D$45))</f>
        <v/>
      </c>
      <c r="AM139" s="104">
        <f>IF($B139="","",SUMPRODUCT(COUNTIF($F139:$AJ139,KY_HIEU!$A$6:$A$45)*KY_HIEU!$E$6:$E$45))</f>
        <v/>
      </c>
      <c r="AN139" s="104">
        <f>IF($B139="","",SUMPRODUCT(COUNTIF($F139:$AJ139,KY_HIEU!$A$6:$A$45)*KY_HIEU!$F$6:$F$45))</f>
        <v/>
      </c>
      <c r="AO139" s="104">
        <f>IF($B139="","",SUMPRODUCT(COUNTIF($F139:$AJ139,KY_HIEU!$A$6:$A$45)*KY_HIEU!$G$6:$G$45))</f>
        <v/>
      </c>
      <c r="AP139" s="104">
        <f>IF($B139="","",SUMPRODUCT(COUNTIF($F139:$AJ139,KY_HIEU!$A$6:$A$45)*KY_HIEU!$H$6:$H$45))</f>
        <v/>
      </c>
      <c r="AQ139" s="104">
        <f>IF($B139="","",SUMPRODUCT(COUNTIF($F139:$AJ139,KY_HIEU!$A$6:$A$45)*KY_HIEU!$I$6:$I$45))</f>
        <v/>
      </c>
      <c r="AR139" s="105">
        <f>IF($B139="","",$AK139+$AL139+$AN139+$AO139+$AP139+$AQ139)</f>
        <v/>
      </c>
      <c r="AS139" s="105">
        <f>IF($B139="","",IF(DM_NHAN_SU!$I139&lt;&gt;"",DM_NHAN_SU!$I139,IF(THAM_SO_CC!$B$20="Nhập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139="",THAM_SO_CC!$B$8,DM_NHAN_SU!$F139))*(ROW(INDIRECT(THAM_SO_CC!$B$8&amp;":"&amp;THAM_SO_CC!$B$9))&lt;=IF(DM_NHAN_SU!$G139="",THAM_SO_CC!$B$9,DM_NHAN_SU!$G139))))))</f>
        <v/>
      </c>
      <c r="AT139" s="106">
        <f>IF($B139="","",$AR139-$AS139)</f>
        <v/>
      </c>
      <c r="AU139" s="96">
        <f>IF($B139="","",TRIM(IF(SUMPRODUCT(--($F139:$AJ139&lt;&gt;""))-SUMPRODUCT(COUNTIF($F139:$AJ139,KY_HIEU!$A$6:$A$45))&gt;0,"Ký hiệu lạ; ","")&amp;IF(ROUND($AT139,2)&lt;&gt;0,"Lệch ngày công "&amp;TEXT($AT139,"0.0")&amp;"; ","")&amp;IF(SUMPRODUCT(--($F139:$AJ139&lt;&gt;""),--((THAM_SO_CC!$B$8+COLUMN($F$1:$AJ$1)-6)&gt;THAM_SO_CC!$B$9))&gt;0,"Chấm ngoài kỳ; ","")&amp;IF(AND(DM_NHAN_SU!$F139&lt;&gt;"",SUMPRODUCT(--($F139:$AJ139&lt;&gt;""),--($F139:$AJ139&lt;&gt;"NV"),--($F139:$AJ139&lt;&gt;"NT"),--($F139:$AJ139&lt;&gt;"TN"),--((THAM_SO_CC!$B$8+COLUMN($F$1:$AJ$1)-6)&lt;DM_NHAN_SU!$F139))&gt;0),"Chấm trước ngày vào; ","")&amp;IF(AND(DM_NHAN_SU!$G139&lt;&gt;"",SUMPRODUCT(--($F139:$AJ139&lt;&gt;""),--($F139:$AJ139&lt;&gt;"NV"),--($F139:$AJ139&lt;&gt;"NT"),--($F139:$AJ139&lt;&gt;"TN"),--((THAM_SO_CC!$B$8+COLUMN($F$1:$AJ$1)-6)&gt;DM_NHAN_SU!$G139))&gt;0),"Chấm sau ngày nghỉ việc; ","")))</f>
        <v/>
      </c>
    </row>
    <row r="140" ht="15" customHeight="1" s="63">
      <c r="A140" s="85">
        <f>IF($B140="","",ROW()-5)</f>
        <v/>
      </c>
      <c r="B140" s="103">
        <f>IF(DM_NHAN_SU!B140="","",DM_NHAN_SU!B140)</f>
        <v/>
      </c>
      <c r="C140" s="96">
        <f>IF($B140="","",DM_NHAN_SU!C140)</f>
        <v/>
      </c>
      <c r="D140" s="96">
        <f>IF($B140="","",DM_NHAN_SU!D140)</f>
        <v/>
      </c>
      <c r="E140" s="96">
        <f>IF($B140="","",DM_NHAN_SU!E140)</f>
        <v/>
      </c>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93" t="n"/>
      <c r="Y140" s="93" t="n"/>
      <c r="Z140" s="93" t="n"/>
      <c r="AA140" s="93" t="n"/>
      <c r="AB140" s="93" t="n"/>
      <c r="AC140" s="93" t="n"/>
      <c r="AD140" s="93" t="n"/>
      <c r="AE140" s="93" t="n"/>
      <c r="AF140" s="93" t="n"/>
      <c r="AG140" s="93" t="n"/>
      <c r="AH140" s="93" t="n"/>
      <c r="AI140" s="93" t="n"/>
      <c r="AJ140" s="93" t="n"/>
      <c r="AK140" s="104">
        <f>IF($B140="","",SUMPRODUCT(COUNTIF($F140:$AJ140,KY_HIEU!$A$6:$A$45)*KY_HIEU!$C$6:$C$45))</f>
        <v/>
      </c>
      <c r="AL140" s="104">
        <f>IF($B140="","",SUMPRODUCT(COUNTIF($F140:$AJ140,KY_HIEU!$A$6:$A$45)*KY_HIEU!$D$6:$D$45))</f>
        <v/>
      </c>
      <c r="AM140" s="104">
        <f>IF($B140="","",SUMPRODUCT(COUNTIF($F140:$AJ140,KY_HIEU!$A$6:$A$45)*KY_HIEU!$E$6:$E$45))</f>
        <v/>
      </c>
      <c r="AN140" s="104">
        <f>IF($B140="","",SUMPRODUCT(COUNTIF($F140:$AJ140,KY_HIEU!$A$6:$A$45)*KY_HIEU!$F$6:$F$45))</f>
        <v/>
      </c>
      <c r="AO140" s="104">
        <f>IF($B140="","",SUMPRODUCT(COUNTIF($F140:$AJ140,KY_HIEU!$A$6:$A$45)*KY_HIEU!$G$6:$G$45))</f>
        <v/>
      </c>
      <c r="AP140" s="104">
        <f>IF($B140="","",SUMPRODUCT(COUNTIF($F140:$AJ140,KY_HIEU!$A$6:$A$45)*KY_HIEU!$H$6:$H$45))</f>
        <v/>
      </c>
      <c r="AQ140" s="104">
        <f>IF($B140="","",SUMPRODUCT(COUNTIF($F140:$AJ140,KY_HIEU!$A$6:$A$45)*KY_HIEU!$I$6:$I$45))</f>
        <v/>
      </c>
      <c r="AR140" s="105">
        <f>IF($B140="","",$AK140+$AL140+$AN140+$AO140+$AP140+$AQ140)</f>
        <v/>
      </c>
      <c r="AS140" s="105">
        <f>IF($B140="","",IF(DM_NHAN_SU!$I140&lt;&gt;"",DM_NHAN_SU!$I140,IF(THAM_SO_CC!$B$20="Nhập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140="",THAM_SO_CC!$B$8,DM_NHAN_SU!$F140))*(ROW(INDIRECT(THAM_SO_CC!$B$8&amp;":"&amp;THAM_SO_CC!$B$9))&lt;=IF(DM_NHAN_SU!$G140="",THAM_SO_CC!$B$9,DM_NHAN_SU!$G140))))))</f>
        <v/>
      </c>
      <c r="AT140" s="106">
        <f>IF($B140="","",$AR140-$AS140)</f>
        <v/>
      </c>
      <c r="AU140" s="96">
        <f>IF($B140="","",TRIM(IF(SUMPRODUCT(--($F140:$AJ140&lt;&gt;""))-SUMPRODUCT(COUNTIF($F140:$AJ140,KY_HIEU!$A$6:$A$45))&gt;0,"Ký hiệu lạ; ","")&amp;IF(ROUND($AT140,2)&lt;&gt;0,"Lệch ngày công "&amp;TEXT($AT140,"0.0")&amp;"; ","")&amp;IF(SUMPRODUCT(--($F140:$AJ140&lt;&gt;""),--((THAM_SO_CC!$B$8+COLUMN($F$1:$AJ$1)-6)&gt;THAM_SO_CC!$B$9))&gt;0,"Chấm ngoài kỳ; ","")&amp;IF(AND(DM_NHAN_SU!$F140&lt;&gt;"",SUMPRODUCT(--($F140:$AJ140&lt;&gt;""),--($F140:$AJ140&lt;&gt;"NV"),--($F140:$AJ140&lt;&gt;"NT"),--($F140:$AJ140&lt;&gt;"TN"),--((THAM_SO_CC!$B$8+COLUMN($F$1:$AJ$1)-6)&lt;DM_NHAN_SU!$F140))&gt;0),"Chấm trước ngày vào; ","")&amp;IF(AND(DM_NHAN_SU!$G140&lt;&gt;"",SUMPRODUCT(--($F140:$AJ140&lt;&gt;""),--($F140:$AJ140&lt;&gt;"NV"),--($F140:$AJ140&lt;&gt;"NT"),--($F140:$AJ140&lt;&gt;"TN"),--((THAM_SO_CC!$B$8+COLUMN($F$1:$AJ$1)-6)&gt;DM_NHAN_SU!$G140))&gt;0),"Chấm sau ngày nghỉ việc; ","")))</f>
        <v/>
      </c>
    </row>
    <row r="141" ht="15" customHeight="1" s="63">
      <c r="A141" s="85">
        <f>IF($B141="","",ROW()-5)</f>
        <v/>
      </c>
      <c r="B141" s="103">
        <f>IF(DM_NHAN_SU!B141="","",DM_NHAN_SU!B141)</f>
        <v/>
      </c>
      <c r="C141" s="96">
        <f>IF($B141="","",DM_NHAN_SU!C141)</f>
        <v/>
      </c>
      <c r="D141" s="96">
        <f>IF($B141="","",DM_NHAN_SU!D141)</f>
        <v/>
      </c>
      <c r="E141" s="96">
        <f>IF($B141="","",DM_NHAN_SU!E141)</f>
        <v/>
      </c>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93" t="n"/>
      <c r="Y141" s="93" t="n"/>
      <c r="Z141" s="93" t="n"/>
      <c r="AA141" s="93" t="n"/>
      <c r="AB141" s="93" t="n"/>
      <c r="AC141" s="93" t="n"/>
      <c r="AD141" s="93" t="n"/>
      <c r="AE141" s="93" t="n"/>
      <c r="AF141" s="93" t="n"/>
      <c r="AG141" s="93" t="n"/>
      <c r="AH141" s="93" t="n"/>
      <c r="AI141" s="93" t="n"/>
      <c r="AJ141" s="93" t="n"/>
      <c r="AK141" s="104">
        <f>IF($B141="","",SUMPRODUCT(COUNTIF($F141:$AJ141,KY_HIEU!$A$6:$A$45)*KY_HIEU!$C$6:$C$45))</f>
        <v/>
      </c>
      <c r="AL141" s="104">
        <f>IF($B141="","",SUMPRODUCT(COUNTIF($F141:$AJ141,KY_HIEU!$A$6:$A$45)*KY_HIEU!$D$6:$D$45))</f>
        <v/>
      </c>
      <c r="AM141" s="104">
        <f>IF($B141="","",SUMPRODUCT(COUNTIF($F141:$AJ141,KY_HIEU!$A$6:$A$45)*KY_HIEU!$E$6:$E$45))</f>
        <v/>
      </c>
      <c r="AN141" s="104">
        <f>IF($B141="","",SUMPRODUCT(COUNTIF($F141:$AJ141,KY_HIEU!$A$6:$A$45)*KY_HIEU!$F$6:$F$45))</f>
        <v/>
      </c>
      <c r="AO141" s="104">
        <f>IF($B141="","",SUMPRODUCT(COUNTIF($F141:$AJ141,KY_HIEU!$A$6:$A$45)*KY_HIEU!$G$6:$G$45))</f>
        <v/>
      </c>
      <c r="AP141" s="104">
        <f>IF($B141="","",SUMPRODUCT(COUNTIF($F141:$AJ141,KY_HIEU!$A$6:$A$45)*KY_HIEU!$H$6:$H$45))</f>
        <v/>
      </c>
      <c r="AQ141" s="104">
        <f>IF($B141="","",SUMPRODUCT(COUNTIF($F141:$AJ141,KY_HIEU!$A$6:$A$45)*KY_HIEU!$I$6:$I$45))</f>
        <v/>
      </c>
      <c r="AR141" s="105">
        <f>IF($B141="","",$AK141+$AL141+$AN141+$AO141+$AP141+$AQ141)</f>
        <v/>
      </c>
      <c r="AS141" s="105">
        <f>IF($B141="","",IF(DM_NHAN_SU!$I141&lt;&gt;"",DM_NHAN_SU!$I141,IF(THAM_SO_CC!$B$20="Nhập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141="",THAM_SO_CC!$B$8,DM_NHAN_SU!$F141))*(ROW(INDIRECT(THAM_SO_CC!$B$8&amp;":"&amp;THAM_SO_CC!$B$9))&lt;=IF(DM_NHAN_SU!$G141="",THAM_SO_CC!$B$9,DM_NHAN_SU!$G141))))))</f>
        <v/>
      </c>
      <c r="AT141" s="106">
        <f>IF($B141="","",$AR141-$AS141)</f>
        <v/>
      </c>
      <c r="AU141" s="96">
        <f>IF($B141="","",TRIM(IF(SUMPRODUCT(--($F141:$AJ141&lt;&gt;""))-SUMPRODUCT(COUNTIF($F141:$AJ141,KY_HIEU!$A$6:$A$45))&gt;0,"Ký hiệu lạ; ","")&amp;IF(ROUND($AT141,2)&lt;&gt;0,"Lệch ngày công "&amp;TEXT($AT141,"0.0")&amp;"; ","")&amp;IF(SUMPRODUCT(--($F141:$AJ141&lt;&gt;""),--((THAM_SO_CC!$B$8+COLUMN($F$1:$AJ$1)-6)&gt;THAM_SO_CC!$B$9))&gt;0,"Chấm ngoài kỳ; ","")&amp;IF(AND(DM_NHAN_SU!$F141&lt;&gt;"",SUMPRODUCT(--($F141:$AJ141&lt;&gt;""),--($F141:$AJ141&lt;&gt;"NV"),--($F141:$AJ141&lt;&gt;"NT"),--($F141:$AJ141&lt;&gt;"TN"),--((THAM_SO_CC!$B$8+COLUMN($F$1:$AJ$1)-6)&lt;DM_NHAN_SU!$F141))&gt;0),"Chấm trước ngày vào; ","")&amp;IF(AND(DM_NHAN_SU!$G141&lt;&gt;"",SUMPRODUCT(--($F141:$AJ141&lt;&gt;""),--($F141:$AJ141&lt;&gt;"NV"),--($F141:$AJ141&lt;&gt;"NT"),--($F141:$AJ141&lt;&gt;"TN"),--((THAM_SO_CC!$B$8+COLUMN($F$1:$AJ$1)-6)&gt;DM_NHAN_SU!$G141))&gt;0),"Chấm sau ngày nghỉ việc; ","")))</f>
        <v/>
      </c>
    </row>
    <row r="142" ht="15" customHeight="1" s="63">
      <c r="A142" s="85">
        <f>IF($B142="","",ROW()-5)</f>
        <v/>
      </c>
      <c r="B142" s="103">
        <f>IF(DM_NHAN_SU!B142="","",DM_NHAN_SU!B142)</f>
        <v/>
      </c>
      <c r="C142" s="96">
        <f>IF($B142="","",DM_NHAN_SU!C142)</f>
        <v/>
      </c>
      <c r="D142" s="96">
        <f>IF($B142="","",DM_NHAN_SU!D142)</f>
        <v/>
      </c>
      <c r="E142" s="96">
        <f>IF($B142="","",DM_NHAN_SU!E142)</f>
        <v/>
      </c>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93" t="n"/>
      <c r="Y142" s="93" t="n"/>
      <c r="Z142" s="93" t="n"/>
      <c r="AA142" s="93" t="n"/>
      <c r="AB142" s="93" t="n"/>
      <c r="AC142" s="93" t="n"/>
      <c r="AD142" s="93" t="n"/>
      <c r="AE142" s="93" t="n"/>
      <c r="AF142" s="93" t="n"/>
      <c r="AG142" s="93" t="n"/>
      <c r="AH142" s="93" t="n"/>
      <c r="AI142" s="93" t="n"/>
      <c r="AJ142" s="93" t="n"/>
      <c r="AK142" s="104">
        <f>IF($B142="","",SUMPRODUCT(COUNTIF($F142:$AJ142,KY_HIEU!$A$6:$A$45)*KY_HIEU!$C$6:$C$45))</f>
        <v/>
      </c>
      <c r="AL142" s="104">
        <f>IF($B142="","",SUMPRODUCT(COUNTIF($F142:$AJ142,KY_HIEU!$A$6:$A$45)*KY_HIEU!$D$6:$D$45))</f>
        <v/>
      </c>
      <c r="AM142" s="104">
        <f>IF($B142="","",SUMPRODUCT(COUNTIF($F142:$AJ142,KY_HIEU!$A$6:$A$45)*KY_HIEU!$E$6:$E$45))</f>
        <v/>
      </c>
      <c r="AN142" s="104">
        <f>IF($B142="","",SUMPRODUCT(COUNTIF($F142:$AJ142,KY_HIEU!$A$6:$A$45)*KY_HIEU!$F$6:$F$45))</f>
        <v/>
      </c>
      <c r="AO142" s="104">
        <f>IF($B142="","",SUMPRODUCT(COUNTIF($F142:$AJ142,KY_HIEU!$A$6:$A$45)*KY_HIEU!$G$6:$G$45))</f>
        <v/>
      </c>
      <c r="AP142" s="104">
        <f>IF($B142="","",SUMPRODUCT(COUNTIF($F142:$AJ142,KY_HIEU!$A$6:$A$45)*KY_HIEU!$H$6:$H$45))</f>
        <v/>
      </c>
      <c r="AQ142" s="104">
        <f>IF($B142="","",SUMPRODUCT(COUNTIF($F142:$AJ142,KY_HIEU!$A$6:$A$45)*KY_HIEU!$I$6:$I$45))</f>
        <v/>
      </c>
      <c r="AR142" s="105">
        <f>IF($B142="","",$AK142+$AL142+$AN142+$AO142+$AP142+$AQ142)</f>
        <v/>
      </c>
      <c r="AS142" s="105">
        <f>IF($B142="","",IF(DM_NHAN_SU!$I142&lt;&gt;"",DM_NHAN_SU!$I142,IF(THAM_SO_CC!$B$20="Nhập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142="",THAM_SO_CC!$B$8,DM_NHAN_SU!$F142))*(ROW(INDIRECT(THAM_SO_CC!$B$8&amp;":"&amp;THAM_SO_CC!$B$9))&lt;=IF(DM_NHAN_SU!$G142="",THAM_SO_CC!$B$9,DM_NHAN_SU!$G142))))))</f>
        <v/>
      </c>
      <c r="AT142" s="106">
        <f>IF($B142="","",$AR142-$AS142)</f>
        <v/>
      </c>
      <c r="AU142" s="96">
        <f>IF($B142="","",TRIM(IF(SUMPRODUCT(--($F142:$AJ142&lt;&gt;""))-SUMPRODUCT(COUNTIF($F142:$AJ142,KY_HIEU!$A$6:$A$45))&gt;0,"Ký hiệu lạ; ","")&amp;IF(ROUND($AT142,2)&lt;&gt;0,"Lệch ngày công "&amp;TEXT($AT142,"0.0")&amp;"; ","")&amp;IF(SUMPRODUCT(--($F142:$AJ142&lt;&gt;""),--((THAM_SO_CC!$B$8+COLUMN($F$1:$AJ$1)-6)&gt;THAM_SO_CC!$B$9))&gt;0,"Chấm ngoài kỳ; ","")&amp;IF(AND(DM_NHAN_SU!$F142&lt;&gt;"",SUMPRODUCT(--($F142:$AJ142&lt;&gt;""),--($F142:$AJ142&lt;&gt;"NV"),--($F142:$AJ142&lt;&gt;"NT"),--($F142:$AJ142&lt;&gt;"TN"),--((THAM_SO_CC!$B$8+COLUMN($F$1:$AJ$1)-6)&lt;DM_NHAN_SU!$F142))&gt;0),"Chấm trước ngày vào; ","")&amp;IF(AND(DM_NHAN_SU!$G142&lt;&gt;"",SUMPRODUCT(--($F142:$AJ142&lt;&gt;""),--($F142:$AJ142&lt;&gt;"NV"),--($F142:$AJ142&lt;&gt;"NT"),--($F142:$AJ142&lt;&gt;"TN"),--((THAM_SO_CC!$B$8+COLUMN($F$1:$AJ$1)-6)&gt;DM_NHAN_SU!$G142))&gt;0),"Chấm sau ngày nghỉ việc; ","")))</f>
        <v/>
      </c>
    </row>
    <row r="143" ht="15" customHeight="1" s="63">
      <c r="A143" s="85">
        <f>IF($B143="","",ROW()-5)</f>
        <v/>
      </c>
      <c r="B143" s="103">
        <f>IF(DM_NHAN_SU!B143="","",DM_NHAN_SU!B143)</f>
        <v/>
      </c>
      <c r="C143" s="96">
        <f>IF($B143="","",DM_NHAN_SU!C143)</f>
        <v/>
      </c>
      <c r="D143" s="96">
        <f>IF($B143="","",DM_NHAN_SU!D143)</f>
        <v/>
      </c>
      <c r="E143" s="96">
        <f>IF($B143="","",DM_NHAN_SU!E143)</f>
        <v/>
      </c>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93" t="n"/>
      <c r="Y143" s="93" t="n"/>
      <c r="Z143" s="93" t="n"/>
      <c r="AA143" s="93" t="n"/>
      <c r="AB143" s="93" t="n"/>
      <c r="AC143" s="93" t="n"/>
      <c r="AD143" s="93" t="n"/>
      <c r="AE143" s="93" t="n"/>
      <c r="AF143" s="93" t="n"/>
      <c r="AG143" s="93" t="n"/>
      <c r="AH143" s="93" t="n"/>
      <c r="AI143" s="93" t="n"/>
      <c r="AJ143" s="93" t="n"/>
      <c r="AK143" s="104">
        <f>IF($B143="","",SUMPRODUCT(COUNTIF($F143:$AJ143,KY_HIEU!$A$6:$A$45)*KY_HIEU!$C$6:$C$45))</f>
        <v/>
      </c>
      <c r="AL143" s="104">
        <f>IF($B143="","",SUMPRODUCT(COUNTIF($F143:$AJ143,KY_HIEU!$A$6:$A$45)*KY_HIEU!$D$6:$D$45))</f>
        <v/>
      </c>
      <c r="AM143" s="104">
        <f>IF($B143="","",SUMPRODUCT(COUNTIF($F143:$AJ143,KY_HIEU!$A$6:$A$45)*KY_HIEU!$E$6:$E$45))</f>
        <v/>
      </c>
      <c r="AN143" s="104">
        <f>IF($B143="","",SUMPRODUCT(COUNTIF($F143:$AJ143,KY_HIEU!$A$6:$A$45)*KY_HIEU!$F$6:$F$45))</f>
        <v/>
      </c>
      <c r="AO143" s="104">
        <f>IF($B143="","",SUMPRODUCT(COUNTIF($F143:$AJ143,KY_HIEU!$A$6:$A$45)*KY_HIEU!$G$6:$G$45))</f>
        <v/>
      </c>
      <c r="AP143" s="104">
        <f>IF($B143="","",SUMPRODUCT(COUNTIF($F143:$AJ143,KY_HIEU!$A$6:$A$45)*KY_HIEU!$H$6:$H$45))</f>
        <v/>
      </c>
      <c r="AQ143" s="104">
        <f>IF($B143="","",SUMPRODUCT(COUNTIF($F143:$AJ143,KY_HIEU!$A$6:$A$45)*KY_HIEU!$I$6:$I$45))</f>
        <v/>
      </c>
      <c r="AR143" s="105">
        <f>IF($B143="","",$AK143+$AL143+$AN143+$AO143+$AP143+$AQ143)</f>
        <v/>
      </c>
      <c r="AS143" s="105">
        <f>IF($B143="","",IF(DM_NHAN_SU!$I143&lt;&gt;"",DM_NHAN_SU!$I143,IF(THAM_SO_CC!$B$20="Nhập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143="",THAM_SO_CC!$B$8,DM_NHAN_SU!$F143))*(ROW(INDIRECT(THAM_SO_CC!$B$8&amp;":"&amp;THAM_SO_CC!$B$9))&lt;=IF(DM_NHAN_SU!$G143="",THAM_SO_CC!$B$9,DM_NHAN_SU!$G143))))))</f>
        <v/>
      </c>
      <c r="AT143" s="106">
        <f>IF($B143="","",$AR143-$AS143)</f>
        <v/>
      </c>
      <c r="AU143" s="96">
        <f>IF($B143="","",TRIM(IF(SUMPRODUCT(--($F143:$AJ143&lt;&gt;""))-SUMPRODUCT(COUNTIF($F143:$AJ143,KY_HIEU!$A$6:$A$45))&gt;0,"Ký hiệu lạ; ","")&amp;IF(ROUND($AT143,2)&lt;&gt;0,"Lệch ngày công "&amp;TEXT($AT143,"0.0")&amp;"; ","")&amp;IF(SUMPRODUCT(--($F143:$AJ143&lt;&gt;""),--((THAM_SO_CC!$B$8+COLUMN($F$1:$AJ$1)-6)&gt;THAM_SO_CC!$B$9))&gt;0,"Chấm ngoài kỳ; ","")&amp;IF(AND(DM_NHAN_SU!$F143&lt;&gt;"",SUMPRODUCT(--($F143:$AJ143&lt;&gt;""),--($F143:$AJ143&lt;&gt;"NV"),--($F143:$AJ143&lt;&gt;"NT"),--($F143:$AJ143&lt;&gt;"TN"),--((THAM_SO_CC!$B$8+COLUMN($F$1:$AJ$1)-6)&lt;DM_NHAN_SU!$F143))&gt;0),"Chấm trước ngày vào; ","")&amp;IF(AND(DM_NHAN_SU!$G143&lt;&gt;"",SUMPRODUCT(--($F143:$AJ143&lt;&gt;""),--($F143:$AJ143&lt;&gt;"NV"),--($F143:$AJ143&lt;&gt;"NT"),--($F143:$AJ143&lt;&gt;"TN"),--((THAM_SO_CC!$B$8+COLUMN($F$1:$AJ$1)-6)&gt;DM_NHAN_SU!$G143))&gt;0),"Chấm sau ngày nghỉ việc; ","")))</f>
        <v/>
      </c>
    </row>
    <row r="144" ht="15" customHeight="1" s="63">
      <c r="A144" s="85">
        <f>IF($B144="","",ROW()-5)</f>
        <v/>
      </c>
      <c r="B144" s="103">
        <f>IF(DM_NHAN_SU!B144="","",DM_NHAN_SU!B144)</f>
        <v/>
      </c>
      <c r="C144" s="96">
        <f>IF($B144="","",DM_NHAN_SU!C144)</f>
        <v/>
      </c>
      <c r="D144" s="96">
        <f>IF($B144="","",DM_NHAN_SU!D144)</f>
        <v/>
      </c>
      <c r="E144" s="96">
        <f>IF($B144="","",DM_NHAN_SU!E144)</f>
        <v/>
      </c>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93" t="n"/>
      <c r="Y144" s="93" t="n"/>
      <c r="Z144" s="93" t="n"/>
      <c r="AA144" s="93" t="n"/>
      <c r="AB144" s="93" t="n"/>
      <c r="AC144" s="93" t="n"/>
      <c r="AD144" s="93" t="n"/>
      <c r="AE144" s="93" t="n"/>
      <c r="AF144" s="93" t="n"/>
      <c r="AG144" s="93" t="n"/>
      <c r="AH144" s="93" t="n"/>
      <c r="AI144" s="93" t="n"/>
      <c r="AJ144" s="93" t="n"/>
      <c r="AK144" s="104">
        <f>IF($B144="","",SUMPRODUCT(COUNTIF($F144:$AJ144,KY_HIEU!$A$6:$A$45)*KY_HIEU!$C$6:$C$45))</f>
        <v/>
      </c>
      <c r="AL144" s="104">
        <f>IF($B144="","",SUMPRODUCT(COUNTIF($F144:$AJ144,KY_HIEU!$A$6:$A$45)*KY_HIEU!$D$6:$D$45))</f>
        <v/>
      </c>
      <c r="AM144" s="104">
        <f>IF($B144="","",SUMPRODUCT(COUNTIF($F144:$AJ144,KY_HIEU!$A$6:$A$45)*KY_HIEU!$E$6:$E$45))</f>
        <v/>
      </c>
      <c r="AN144" s="104">
        <f>IF($B144="","",SUMPRODUCT(COUNTIF($F144:$AJ144,KY_HIEU!$A$6:$A$45)*KY_HIEU!$F$6:$F$45))</f>
        <v/>
      </c>
      <c r="AO144" s="104">
        <f>IF($B144="","",SUMPRODUCT(COUNTIF($F144:$AJ144,KY_HIEU!$A$6:$A$45)*KY_HIEU!$G$6:$G$45))</f>
        <v/>
      </c>
      <c r="AP144" s="104">
        <f>IF($B144="","",SUMPRODUCT(COUNTIF($F144:$AJ144,KY_HIEU!$A$6:$A$45)*KY_HIEU!$H$6:$H$45))</f>
        <v/>
      </c>
      <c r="AQ144" s="104">
        <f>IF($B144="","",SUMPRODUCT(COUNTIF($F144:$AJ144,KY_HIEU!$A$6:$A$45)*KY_HIEU!$I$6:$I$45))</f>
        <v/>
      </c>
      <c r="AR144" s="105">
        <f>IF($B144="","",$AK144+$AL144+$AN144+$AO144+$AP144+$AQ144)</f>
        <v/>
      </c>
      <c r="AS144" s="105">
        <f>IF($B144="","",IF(DM_NHAN_SU!$I144&lt;&gt;"",DM_NHAN_SU!$I144,IF(THAM_SO_CC!$B$20="Nhập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144="",THAM_SO_CC!$B$8,DM_NHAN_SU!$F144))*(ROW(INDIRECT(THAM_SO_CC!$B$8&amp;":"&amp;THAM_SO_CC!$B$9))&lt;=IF(DM_NHAN_SU!$G144="",THAM_SO_CC!$B$9,DM_NHAN_SU!$G144))))))</f>
        <v/>
      </c>
      <c r="AT144" s="106">
        <f>IF($B144="","",$AR144-$AS144)</f>
        <v/>
      </c>
      <c r="AU144" s="96">
        <f>IF($B144="","",TRIM(IF(SUMPRODUCT(--($F144:$AJ144&lt;&gt;""))-SUMPRODUCT(COUNTIF($F144:$AJ144,KY_HIEU!$A$6:$A$45))&gt;0,"Ký hiệu lạ; ","")&amp;IF(ROUND($AT144,2)&lt;&gt;0,"Lệch ngày công "&amp;TEXT($AT144,"0.0")&amp;"; ","")&amp;IF(SUMPRODUCT(--($F144:$AJ144&lt;&gt;""),--((THAM_SO_CC!$B$8+COLUMN($F$1:$AJ$1)-6)&gt;THAM_SO_CC!$B$9))&gt;0,"Chấm ngoài kỳ; ","")&amp;IF(AND(DM_NHAN_SU!$F144&lt;&gt;"",SUMPRODUCT(--($F144:$AJ144&lt;&gt;""),--($F144:$AJ144&lt;&gt;"NV"),--($F144:$AJ144&lt;&gt;"NT"),--($F144:$AJ144&lt;&gt;"TN"),--((THAM_SO_CC!$B$8+COLUMN($F$1:$AJ$1)-6)&lt;DM_NHAN_SU!$F144))&gt;0),"Chấm trước ngày vào; ","")&amp;IF(AND(DM_NHAN_SU!$G144&lt;&gt;"",SUMPRODUCT(--($F144:$AJ144&lt;&gt;""),--($F144:$AJ144&lt;&gt;"NV"),--($F144:$AJ144&lt;&gt;"NT"),--($F144:$AJ144&lt;&gt;"TN"),--((THAM_SO_CC!$B$8+COLUMN($F$1:$AJ$1)-6)&gt;DM_NHAN_SU!$G144))&gt;0),"Chấm sau ngày nghỉ việc; ","")))</f>
        <v/>
      </c>
    </row>
    <row r="145" ht="15" customHeight="1" s="63">
      <c r="A145" s="85">
        <f>IF($B145="","",ROW()-5)</f>
        <v/>
      </c>
      <c r="B145" s="103">
        <f>IF(DM_NHAN_SU!B145="","",DM_NHAN_SU!B145)</f>
        <v/>
      </c>
      <c r="C145" s="96">
        <f>IF($B145="","",DM_NHAN_SU!C145)</f>
        <v/>
      </c>
      <c r="D145" s="96">
        <f>IF($B145="","",DM_NHAN_SU!D145)</f>
        <v/>
      </c>
      <c r="E145" s="96">
        <f>IF($B145="","",DM_NHAN_SU!E145)</f>
        <v/>
      </c>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93" t="n"/>
      <c r="Y145" s="93" t="n"/>
      <c r="Z145" s="93" t="n"/>
      <c r="AA145" s="93" t="n"/>
      <c r="AB145" s="93" t="n"/>
      <c r="AC145" s="93" t="n"/>
      <c r="AD145" s="93" t="n"/>
      <c r="AE145" s="93" t="n"/>
      <c r="AF145" s="93" t="n"/>
      <c r="AG145" s="93" t="n"/>
      <c r="AH145" s="93" t="n"/>
      <c r="AI145" s="93" t="n"/>
      <c r="AJ145" s="93" t="n"/>
      <c r="AK145" s="104">
        <f>IF($B145="","",SUMPRODUCT(COUNTIF($F145:$AJ145,KY_HIEU!$A$6:$A$45)*KY_HIEU!$C$6:$C$45))</f>
        <v/>
      </c>
      <c r="AL145" s="104">
        <f>IF($B145="","",SUMPRODUCT(COUNTIF($F145:$AJ145,KY_HIEU!$A$6:$A$45)*KY_HIEU!$D$6:$D$45))</f>
        <v/>
      </c>
      <c r="AM145" s="104">
        <f>IF($B145="","",SUMPRODUCT(COUNTIF($F145:$AJ145,KY_HIEU!$A$6:$A$45)*KY_HIEU!$E$6:$E$45))</f>
        <v/>
      </c>
      <c r="AN145" s="104">
        <f>IF($B145="","",SUMPRODUCT(COUNTIF($F145:$AJ145,KY_HIEU!$A$6:$A$45)*KY_HIEU!$F$6:$F$45))</f>
        <v/>
      </c>
      <c r="AO145" s="104">
        <f>IF($B145="","",SUMPRODUCT(COUNTIF($F145:$AJ145,KY_HIEU!$A$6:$A$45)*KY_HIEU!$G$6:$G$45))</f>
        <v/>
      </c>
      <c r="AP145" s="104">
        <f>IF($B145="","",SUMPRODUCT(COUNTIF($F145:$AJ145,KY_HIEU!$A$6:$A$45)*KY_HIEU!$H$6:$H$45))</f>
        <v/>
      </c>
      <c r="AQ145" s="104">
        <f>IF($B145="","",SUMPRODUCT(COUNTIF($F145:$AJ145,KY_HIEU!$A$6:$A$45)*KY_HIEU!$I$6:$I$45))</f>
        <v/>
      </c>
      <c r="AR145" s="105">
        <f>IF($B145="","",$AK145+$AL145+$AN145+$AO145+$AP145+$AQ145)</f>
        <v/>
      </c>
      <c r="AS145" s="105">
        <f>IF($B145="","",IF(DM_NHAN_SU!$I145&lt;&gt;"",DM_NHAN_SU!$I145,IF(THAM_SO_CC!$B$20="Nhập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145="",THAM_SO_CC!$B$8,DM_NHAN_SU!$F145))*(ROW(INDIRECT(THAM_SO_CC!$B$8&amp;":"&amp;THAM_SO_CC!$B$9))&lt;=IF(DM_NHAN_SU!$G145="",THAM_SO_CC!$B$9,DM_NHAN_SU!$G145))))))</f>
        <v/>
      </c>
      <c r="AT145" s="106">
        <f>IF($B145="","",$AR145-$AS145)</f>
        <v/>
      </c>
      <c r="AU145" s="96">
        <f>IF($B145="","",TRIM(IF(SUMPRODUCT(--($F145:$AJ145&lt;&gt;""))-SUMPRODUCT(COUNTIF($F145:$AJ145,KY_HIEU!$A$6:$A$45))&gt;0,"Ký hiệu lạ; ","")&amp;IF(ROUND($AT145,2)&lt;&gt;0,"Lệch ngày công "&amp;TEXT($AT145,"0.0")&amp;"; ","")&amp;IF(SUMPRODUCT(--($F145:$AJ145&lt;&gt;""),--((THAM_SO_CC!$B$8+COLUMN($F$1:$AJ$1)-6)&gt;THAM_SO_CC!$B$9))&gt;0,"Chấm ngoài kỳ; ","")&amp;IF(AND(DM_NHAN_SU!$F145&lt;&gt;"",SUMPRODUCT(--($F145:$AJ145&lt;&gt;""),--($F145:$AJ145&lt;&gt;"NV"),--($F145:$AJ145&lt;&gt;"NT"),--($F145:$AJ145&lt;&gt;"TN"),--((THAM_SO_CC!$B$8+COLUMN($F$1:$AJ$1)-6)&lt;DM_NHAN_SU!$F145))&gt;0),"Chấm trước ngày vào; ","")&amp;IF(AND(DM_NHAN_SU!$G145&lt;&gt;"",SUMPRODUCT(--($F145:$AJ145&lt;&gt;""),--($F145:$AJ145&lt;&gt;"NV"),--($F145:$AJ145&lt;&gt;"NT"),--($F145:$AJ145&lt;&gt;"TN"),--((THAM_SO_CC!$B$8+COLUMN($F$1:$AJ$1)-6)&gt;DM_NHAN_SU!$G145))&gt;0),"Chấm sau ngày nghỉ việc; ","")))</f>
        <v/>
      </c>
    </row>
    <row r="146" ht="15" customHeight="1" s="63">
      <c r="A146" s="85">
        <f>IF($B146="","",ROW()-5)</f>
        <v/>
      </c>
      <c r="B146" s="103">
        <f>IF(DM_NHAN_SU!B146="","",DM_NHAN_SU!B146)</f>
        <v/>
      </c>
      <c r="C146" s="96">
        <f>IF($B146="","",DM_NHAN_SU!C146)</f>
        <v/>
      </c>
      <c r="D146" s="96">
        <f>IF($B146="","",DM_NHAN_SU!D146)</f>
        <v/>
      </c>
      <c r="E146" s="96">
        <f>IF($B146="","",DM_NHAN_SU!E146)</f>
        <v/>
      </c>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93" t="n"/>
      <c r="Y146" s="93" t="n"/>
      <c r="Z146" s="93" t="n"/>
      <c r="AA146" s="93" t="n"/>
      <c r="AB146" s="93" t="n"/>
      <c r="AC146" s="93" t="n"/>
      <c r="AD146" s="93" t="n"/>
      <c r="AE146" s="93" t="n"/>
      <c r="AF146" s="93" t="n"/>
      <c r="AG146" s="93" t="n"/>
      <c r="AH146" s="93" t="n"/>
      <c r="AI146" s="93" t="n"/>
      <c r="AJ146" s="93" t="n"/>
      <c r="AK146" s="104">
        <f>IF($B146="","",SUMPRODUCT(COUNTIF($F146:$AJ146,KY_HIEU!$A$6:$A$45)*KY_HIEU!$C$6:$C$45))</f>
        <v/>
      </c>
      <c r="AL146" s="104">
        <f>IF($B146="","",SUMPRODUCT(COUNTIF($F146:$AJ146,KY_HIEU!$A$6:$A$45)*KY_HIEU!$D$6:$D$45))</f>
        <v/>
      </c>
      <c r="AM146" s="104">
        <f>IF($B146="","",SUMPRODUCT(COUNTIF($F146:$AJ146,KY_HIEU!$A$6:$A$45)*KY_HIEU!$E$6:$E$45))</f>
        <v/>
      </c>
      <c r="AN146" s="104">
        <f>IF($B146="","",SUMPRODUCT(COUNTIF($F146:$AJ146,KY_HIEU!$A$6:$A$45)*KY_HIEU!$F$6:$F$45))</f>
        <v/>
      </c>
      <c r="AO146" s="104">
        <f>IF($B146="","",SUMPRODUCT(COUNTIF($F146:$AJ146,KY_HIEU!$A$6:$A$45)*KY_HIEU!$G$6:$G$45))</f>
        <v/>
      </c>
      <c r="AP146" s="104">
        <f>IF($B146="","",SUMPRODUCT(COUNTIF($F146:$AJ146,KY_HIEU!$A$6:$A$45)*KY_HIEU!$H$6:$H$45))</f>
        <v/>
      </c>
      <c r="AQ146" s="104">
        <f>IF($B146="","",SUMPRODUCT(COUNTIF($F146:$AJ146,KY_HIEU!$A$6:$A$45)*KY_HIEU!$I$6:$I$45))</f>
        <v/>
      </c>
      <c r="AR146" s="105">
        <f>IF($B146="","",$AK146+$AL146+$AN146+$AO146+$AP146+$AQ146)</f>
        <v/>
      </c>
      <c r="AS146" s="105">
        <f>IF($B146="","",IF(DM_NHAN_SU!$I146&lt;&gt;"",DM_NHAN_SU!$I146,IF(THAM_SO_CC!$B$20="Nhập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146="",THAM_SO_CC!$B$8,DM_NHAN_SU!$F146))*(ROW(INDIRECT(THAM_SO_CC!$B$8&amp;":"&amp;THAM_SO_CC!$B$9))&lt;=IF(DM_NHAN_SU!$G146="",THAM_SO_CC!$B$9,DM_NHAN_SU!$G146))))))</f>
        <v/>
      </c>
      <c r="AT146" s="106">
        <f>IF($B146="","",$AR146-$AS146)</f>
        <v/>
      </c>
      <c r="AU146" s="96">
        <f>IF($B146="","",TRIM(IF(SUMPRODUCT(--($F146:$AJ146&lt;&gt;""))-SUMPRODUCT(COUNTIF($F146:$AJ146,KY_HIEU!$A$6:$A$45))&gt;0,"Ký hiệu lạ; ","")&amp;IF(ROUND($AT146,2)&lt;&gt;0,"Lệch ngày công "&amp;TEXT($AT146,"0.0")&amp;"; ","")&amp;IF(SUMPRODUCT(--($F146:$AJ146&lt;&gt;""),--((THAM_SO_CC!$B$8+COLUMN($F$1:$AJ$1)-6)&gt;THAM_SO_CC!$B$9))&gt;0,"Chấm ngoài kỳ; ","")&amp;IF(AND(DM_NHAN_SU!$F146&lt;&gt;"",SUMPRODUCT(--($F146:$AJ146&lt;&gt;""),--($F146:$AJ146&lt;&gt;"NV"),--($F146:$AJ146&lt;&gt;"NT"),--($F146:$AJ146&lt;&gt;"TN"),--((THAM_SO_CC!$B$8+COLUMN($F$1:$AJ$1)-6)&lt;DM_NHAN_SU!$F146))&gt;0),"Chấm trước ngày vào; ","")&amp;IF(AND(DM_NHAN_SU!$G146&lt;&gt;"",SUMPRODUCT(--($F146:$AJ146&lt;&gt;""),--($F146:$AJ146&lt;&gt;"NV"),--($F146:$AJ146&lt;&gt;"NT"),--($F146:$AJ146&lt;&gt;"TN"),--((THAM_SO_CC!$B$8+COLUMN($F$1:$AJ$1)-6)&gt;DM_NHAN_SU!$G146))&gt;0),"Chấm sau ngày nghỉ việc; ","")))</f>
        <v/>
      </c>
    </row>
    <row r="147" ht="15" customHeight="1" s="63">
      <c r="A147" s="85">
        <f>IF($B147="","",ROW()-5)</f>
        <v/>
      </c>
      <c r="B147" s="103">
        <f>IF(DM_NHAN_SU!B147="","",DM_NHAN_SU!B147)</f>
        <v/>
      </c>
      <c r="C147" s="96">
        <f>IF($B147="","",DM_NHAN_SU!C147)</f>
        <v/>
      </c>
      <c r="D147" s="96">
        <f>IF($B147="","",DM_NHAN_SU!D147)</f>
        <v/>
      </c>
      <c r="E147" s="96">
        <f>IF($B147="","",DM_NHAN_SU!E147)</f>
        <v/>
      </c>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93" t="n"/>
      <c r="Y147" s="93" t="n"/>
      <c r="Z147" s="93" t="n"/>
      <c r="AA147" s="93" t="n"/>
      <c r="AB147" s="93" t="n"/>
      <c r="AC147" s="93" t="n"/>
      <c r="AD147" s="93" t="n"/>
      <c r="AE147" s="93" t="n"/>
      <c r="AF147" s="93" t="n"/>
      <c r="AG147" s="93" t="n"/>
      <c r="AH147" s="93" t="n"/>
      <c r="AI147" s="93" t="n"/>
      <c r="AJ147" s="93" t="n"/>
      <c r="AK147" s="104">
        <f>IF($B147="","",SUMPRODUCT(COUNTIF($F147:$AJ147,KY_HIEU!$A$6:$A$45)*KY_HIEU!$C$6:$C$45))</f>
        <v/>
      </c>
      <c r="AL147" s="104">
        <f>IF($B147="","",SUMPRODUCT(COUNTIF($F147:$AJ147,KY_HIEU!$A$6:$A$45)*KY_HIEU!$D$6:$D$45))</f>
        <v/>
      </c>
      <c r="AM147" s="104">
        <f>IF($B147="","",SUMPRODUCT(COUNTIF($F147:$AJ147,KY_HIEU!$A$6:$A$45)*KY_HIEU!$E$6:$E$45))</f>
        <v/>
      </c>
      <c r="AN147" s="104">
        <f>IF($B147="","",SUMPRODUCT(COUNTIF($F147:$AJ147,KY_HIEU!$A$6:$A$45)*KY_HIEU!$F$6:$F$45))</f>
        <v/>
      </c>
      <c r="AO147" s="104">
        <f>IF($B147="","",SUMPRODUCT(COUNTIF($F147:$AJ147,KY_HIEU!$A$6:$A$45)*KY_HIEU!$G$6:$G$45))</f>
        <v/>
      </c>
      <c r="AP147" s="104">
        <f>IF($B147="","",SUMPRODUCT(COUNTIF($F147:$AJ147,KY_HIEU!$A$6:$A$45)*KY_HIEU!$H$6:$H$45))</f>
        <v/>
      </c>
      <c r="AQ147" s="104">
        <f>IF($B147="","",SUMPRODUCT(COUNTIF($F147:$AJ147,KY_HIEU!$A$6:$A$45)*KY_HIEU!$I$6:$I$45))</f>
        <v/>
      </c>
      <c r="AR147" s="105">
        <f>IF($B147="","",$AK147+$AL147+$AN147+$AO147+$AP147+$AQ147)</f>
        <v/>
      </c>
      <c r="AS147" s="105">
        <f>IF($B147="","",IF(DM_NHAN_SU!$I147&lt;&gt;"",DM_NHAN_SU!$I147,IF(THAM_SO_CC!$B$20="Nhập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147="",THAM_SO_CC!$B$8,DM_NHAN_SU!$F147))*(ROW(INDIRECT(THAM_SO_CC!$B$8&amp;":"&amp;THAM_SO_CC!$B$9))&lt;=IF(DM_NHAN_SU!$G147="",THAM_SO_CC!$B$9,DM_NHAN_SU!$G147))))))</f>
        <v/>
      </c>
      <c r="AT147" s="106">
        <f>IF($B147="","",$AR147-$AS147)</f>
        <v/>
      </c>
      <c r="AU147" s="96">
        <f>IF($B147="","",TRIM(IF(SUMPRODUCT(--($F147:$AJ147&lt;&gt;""))-SUMPRODUCT(COUNTIF($F147:$AJ147,KY_HIEU!$A$6:$A$45))&gt;0,"Ký hiệu lạ; ","")&amp;IF(ROUND($AT147,2)&lt;&gt;0,"Lệch ngày công "&amp;TEXT($AT147,"0.0")&amp;"; ","")&amp;IF(SUMPRODUCT(--($F147:$AJ147&lt;&gt;""),--((THAM_SO_CC!$B$8+COLUMN($F$1:$AJ$1)-6)&gt;THAM_SO_CC!$B$9))&gt;0,"Chấm ngoài kỳ; ","")&amp;IF(AND(DM_NHAN_SU!$F147&lt;&gt;"",SUMPRODUCT(--($F147:$AJ147&lt;&gt;""),--($F147:$AJ147&lt;&gt;"NV"),--($F147:$AJ147&lt;&gt;"NT"),--($F147:$AJ147&lt;&gt;"TN"),--((THAM_SO_CC!$B$8+COLUMN($F$1:$AJ$1)-6)&lt;DM_NHAN_SU!$F147))&gt;0),"Chấm trước ngày vào; ","")&amp;IF(AND(DM_NHAN_SU!$G147&lt;&gt;"",SUMPRODUCT(--($F147:$AJ147&lt;&gt;""),--($F147:$AJ147&lt;&gt;"NV"),--($F147:$AJ147&lt;&gt;"NT"),--($F147:$AJ147&lt;&gt;"TN"),--((THAM_SO_CC!$B$8+COLUMN($F$1:$AJ$1)-6)&gt;DM_NHAN_SU!$G147))&gt;0),"Chấm sau ngày nghỉ việc; ","")))</f>
        <v/>
      </c>
    </row>
    <row r="148" ht="15" customHeight="1" s="63">
      <c r="A148" s="85">
        <f>IF($B148="","",ROW()-5)</f>
        <v/>
      </c>
      <c r="B148" s="103">
        <f>IF(DM_NHAN_SU!B148="","",DM_NHAN_SU!B148)</f>
        <v/>
      </c>
      <c r="C148" s="96">
        <f>IF($B148="","",DM_NHAN_SU!C148)</f>
        <v/>
      </c>
      <c r="D148" s="96">
        <f>IF($B148="","",DM_NHAN_SU!D148)</f>
        <v/>
      </c>
      <c r="E148" s="96">
        <f>IF($B148="","",DM_NHAN_SU!E148)</f>
        <v/>
      </c>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93" t="n"/>
      <c r="Y148" s="93" t="n"/>
      <c r="Z148" s="93" t="n"/>
      <c r="AA148" s="93" t="n"/>
      <c r="AB148" s="93" t="n"/>
      <c r="AC148" s="93" t="n"/>
      <c r="AD148" s="93" t="n"/>
      <c r="AE148" s="93" t="n"/>
      <c r="AF148" s="93" t="n"/>
      <c r="AG148" s="93" t="n"/>
      <c r="AH148" s="93" t="n"/>
      <c r="AI148" s="93" t="n"/>
      <c r="AJ148" s="93" t="n"/>
      <c r="AK148" s="104">
        <f>IF($B148="","",SUMPRODUCT(COUNTIF($F148:$AJ148,KY_HIEU!$A$6:$A$45)*KY_HIEU!$C$6:$C$45))</f>
        <v/>
      </c>
      <c r="AL148" s="104">
        <f>IF($B148="","",SUMPRODUCT(COUNTIF($F148:$AJ148,KY_HIEU!$A$6:$A$45)*KY_HIEU!$D$6:$D$45))</f>
        <v/>
      </c>
      <c r="AM148" s="104">
        <f>IF($B148="","",SUMPRODUCT(COUNTIF($F148:$AJ148,KY_HIEU!$A$6:$A$45)*KY_HIEU!$E$6:$E$45))</f>
        <v/>
      </c>
      <c r="AN148" s="104">
        <f>IF($B148="","",SUMPRODUCT(COUNTIF($F148:$AJ148,KY_HIEU!$A$6:$A$45)*KY_HIEU!$F$6:$F$45))</f>
        <v/>
      </c>
      <c r="AO148" s="104">
        <f>IF($B148="","",SUMPRODUCT(COUNTIF($F148:$AJ148,KY_HIEU!$A$6:$A$45)*KY_HIEU!$G$6:$G$45))</f>
        <v/>
      </c>
      <c r="AP148" s="104">
        <f>IF($B148="","",SUMPRODUCT(COUNTIF($F148:$AJ148,KY_HIEU!$A$6:$A$45)*KY_HIEU!$H$6:$H$45))</f>
        <v/>
      </c>
      <c r="AQ148" s="104">
        <f>IF($B148="","",SUMPRODUCT(COUNTIF($F148:$AJ148,KY_HIEU!$A$6:$A$45)*KY_HIEU!$I$6:$I$45))</f>
        <v/>
      </c>
      <c r="AR148" s="105">
        <f>IF($B148="","",$AK148+$AL148+$AN148+$AO148+$AP148+$AQ148)</f>
        <v/>
      </c>
      <c r="AS148" s="105">
        <f>IF($B148="","",IF(DM_NHAN_SU!$I148&lt;&gt;"",DM_NHAN_SU!$I148,IF(THAM_SO_CC!$B$20="Nhập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148="",THAM_SO_CC!$B$8,DM_NHAN_SU!$F148))*(ROW(INDIRECT(THAM_SO_CC!$B$8&amp;":"&amp;THAM_SO_CC!$B$9))&lt;=IF(DM_NHAN_SU!$G148="",THAM_SO_CC!$B$9,DM_NHAN_SU!$G148))))))</f>
        <v/>
      </c>
      <c r="AT148" s="106">
        <f>IF($B148="","",$AR148-$AS148)</f>
        <v/>
      </c>
      <c r="AU148" s="96">
        <f>IF($B148="","",TRIM(IF(SUMPRODUCT(--($F148:$AJ148&lt;&gt;""))-SUMPRODUCT(COUNTIF($F148:$AJ148,KY_HIEU!$A$6:$A$45))&gt;0,"Ký hiệu lạ; ","")&amp;IF(ROUND($AT148,2)&lt;&gt;0,"Lệch ngày công "&amp;TEXT($AT148,"0.0")&amp;"; ","")&amp;IF(SUMPRODUCT(--($F148:$AJ148&lt;&gt;""),--((THAM_SO_CC!$B$8+COLUMN($F$1:$AJ$1)-6)&gt;THAM_SO_CC!$B$9))&gt;0,"Chấm ngoài kỳ; ","")&amp;IF(AND(DM_NHAN_SU!$F148&lt;&gt;"",SUMPRODUCT(--($F148:$AJ148&lt;&gt;""),--($F148:$AJ148&lt;&gt;"NV"),--($F148:$AJ148&lt;&gt;"NT"),--($F148:$AJ148&lt;&gt;"TN"),--((THAM_SO_CC!$B$8+COLUMN($F$1:$AJ$1)-6)&lt;DM_NHAN_SU!$F148))&gt;0),"Chấm trước ngày vào; ","")&amp;IF(AND(DM_NHAN_SU!$G148&lt;&gt;"",SUMPRODUCT(--($F148:$AJ148&lt;&gt;""),--($F148:$AJ148&lt;&gt;"NV"),--($F148:$AJ148&lt;&gt;"NT"),--($F148:$AJ148&lt;&gt;"TN"),--((THAM_SO_CC!$B$8+COLUMN($F$1:$AJ$1)-6)&gt;DM_NHAN_SU!$G148))&gt;0),"Chấm sau ngày nghỉ việc; ","")))</f>
        <v/>
      </c>
    </row>
    <row r="149" ht="15" customHeight="1" s="63">
      <c r="A149" s="85">
        <f>IF($B149="","",ROW()-5)</f>
        <v/>
      </c>
      <c r="B149" s="103">
        <f>IF(DM_NHAN_SU!B149="","",DM_NHAN_SU!B149)</f>
        <v/>
      </c>
      <c r="C149" s="96">
        <f>IF($B149="","",DM_NHAN_SU!C149)</f>
        <v/>
      </c>
      <c r="D149" s="96">
        <f>IF($B149="","",DM_NHAN_SU!D149)</f>
        <v/>
      </c>
      <c r="E149" s="96">
        <f>IF($B149="","",DM_NHAN_SU!E149)</f>
        <v/>
      </c>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93" t="n"/>
      <c r="Y149" s="93" t="n"/>
      <c r="Z149" s="93" t="n"/>
      <c r="AA149" s="93" t="n"/>
      <c r="AB149" s="93" t="n"/>
      <c r="AC149" s="93" t="n"/>
      <c r="AD149" s="93" t="n"/>
      <c r="AE149" s="93" t="n"/>
      <c r="AF149" s="93" t="n"/>
      <c r="AG149" s="93" t="n"/>
      <c r="AH149" s="93" t="n"/>
      <c r="AI149" s="93" t="n"/>
      <c r="AJ149" s="93" t="n"/>
      <c r="AK149" s="104">
        <f>IF($B149="","",SUMPRODUCT(COUNTIF($F149:$AJ149,KY_HIEU!$A$6:$A$45)*KY_HIEU!$C$6:$C$45))</f>
        <v/>
      </c>
      <c r="AL149" s="104">
        <f>IF($B149="","",SUMPRODUCT(COUNTIF($F149:$AJ149,KY_HIEU!$A$6:$A$45)*KY_HIEU!$D$6:$D$45))</f>
        <v/>
      </c>
      <c r="AM149" s="104">
        <f>IF($B149="","",SUMPRODUCT(COUNTIF($F149:$AJ149,KY_HIEU!$A$6:$A$45)*KY_HIEU!$E$6:$E$45))</f>
        <v/>
      </c>
      <c r="AN149" s="104">
        <f>IF($B149="","",SUMPRODUCT(COUNTIF($F149:$AJ149,KY_HIEU!$A$6:$A$45)*KY_HIEU!$F$6:$F$45))</f>
        <v/>
      </c>
      <c r="AO149" s="104">
        <f>IF($B149="","",SUMPRODUCT(COUNTIF($F149:$AJ149,KY_HIEU!$A$6:$A$45)*KY_HIEU!$G$6:$G$45))</f>
        <v/>
      </c>
      <c r="AP149" s="104">
        <f>IF($B149="","",SUMPRODUCT(COUNTIF($F149:$AJ149,KY_HIEU!$A$6:$A$45)*KY_HIEU!$H$6:$H$45))</f>
        <v/>
      </c>
      <c r="AQ149" s="104">
        <f>IF($B149="","",SUMPRODUCT(COUNTIF($F149:$AJ149,KY_HIEU!$A$6:$A$45)*KY_HIEU!$I$6:$I$45))</f>
        <v/>
      </c>
      <c r="AR149" s="105">
        <f>IF($B149="","",$AK149+$AL149+$AN149+$AO149+$AP149+$AQ149)</f>
        <v/>
      </c>
      <c r="AS149" s="105">
        <f>IF($B149="","",IF(DM_NHAN_SU!$I149&lt;&gt;"",DM_NHAN_SU!$I149,IF(THAM_SO_CC!$B$20="Nhập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149="",THAM_SO_CC!$B$8,DM_NHAN_SU!$F149))*(ROW(INDIRECT(THAM_SO_CC!$B$8&amp;":"&amp;THAM_SO_CC!$B$9))&lt;=IF(DM_NHAN_SU!$G149="",THAM_SO_CC!$B$9,DM_NHAN_SU!$G149))))))</f>
        <v/>
      </c>
      <c r="AT149" s="106">
        <f>IF($B149="","",$AR149-$AS149)</f>
        <v/>
      </c>
      <c r="AU149" s="96">
        <f>IF($B149="","",TRIM(IF(SUMPRODUCT(--($F149:$AJ149&lt;&gt;""))-SUMPRODUCT(COUNTIF($F149:$AJ149,KY_HIEU!$A$6:$A$45))&gt;0,"Ký hiệu lạ; ","")&amp;IF(ROUND($AT149,2)&lt;&gt;0,"Lệch ngày công "&amp;TEXT($AT149,"0.0")&amp;"; ","")&amp;IF(SUMPRODUCT(--($F149:$AJ149&lt;&gt;""),--((THAM_SO_CC!$B$8+COLUMN($F$1:$AJ$1)-6)&gt;THAM_SO_CC!$B$9))&gt;0,"Chấm ngoài kỳ; ","")&amp;IF(AND(DM_NHAN_SU!$F149&lt;&gt;"",SUMPRODUCT(--($F149:$AJ149&lt;&gt;""),--($F149:$AJ149&lt;&gt;"NV"),--($F149:$AJ149&lt;&gt;"NT"),--($F149:$AJ149&lt;&gt;"TN"),--((THAM_SO_CC!$B$8+COLUMN($F$1:$AJ$1)-6)&lt;DM_NHAN_SU!$F149))&gt;0),"Chấm trước ngày vào; ","")&amp;IF(AND(DM_NHAN_SU!$G149&lt;&gt;"",SUMPRODUCT(--($F149:$AJ149&lt;&gt;""),--($F149:$AJ149&lt;&gt;"NV"),--($F149:$AJ149&lt;&gt;"NT"),--($F149:$AJ149&lt;&gt;"TN"),--((THAM_SO_CC!$B$8+COLUMN($F$1:$AJ$1)-6)&gt;DM_NHAN_SU!$G149))&gt;0),"Chấm sau ngày nghỉ việc; ","")))</f>
        <v/>
      </c>
    </row>
    <row r="150" ht="15" customHeight="1" s="63">
      <c r="A150" s="85">
        <f>IF($B150="","",ROW()-5)</f>
        <v/>
      </c>
      <c r="B150" s="103">
        <f>IF(DM_NHAN_SU!B150="","",DM_NHAN_SU!B150)</f>
        <v/>
      </c>
      <c r="C150" s="96">
        <f>IF($B150="","",DM_NHAN_SU!C150)</f>
        <v/>
      </c>
      <c r="D150" s="96">
        <f>IF($B150="","",DM_NHAN_SU!D150)</f>
        <v/>
      </c>
      <c r="E150" s="96">
        <f>IF($B150="","",DM_NHAN_SU!E150)</f>
        <v/>
      </c>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93" t="n"/>
      <c r="Y150" s="93" t="n"/>
      <c r="Z150" s="93" t="n"/>
      <c r="AA150" s="93" t="n"/>
      <c r="AB150" s="93" t="n"/>
      <c r="AC150" s="93" t="n"/>
      <c r="AD150" s="93" t="n"/>
      <c r="AE150" s="93" t="n"/>
      <c r="AF150" s="93" t="n"/>
      <c r="AG150" s="93" t="n"/>
      <c r="AH150" s="93" t="n"/>
      <c r="AI150" s="93" t="n"/>
      <c r="AJ150" s="93" t="n"/>
      <c r="AK150" s="104">
        <f>IF($B150="","",SUMPRODUCT(COUNTIF($F150:$AJ150,KY_HIEU!$A$6:$A$45)*KY_HIEU!$C$6:$C$45))</f>
        <v/>
      </c>
      <c r="AL150" s="104">
        <f>IF($B150="","",SUMPRODUCT(COUNTIF($F150:$AJ150,KY_HIEU!$A$6:$A$45)*KY_HIEU!$D$6:$D$45))</f>
        <v/>
      </c>
      <c r="AM150" s="104">
        <f>IF($B150="","",SUMPRODUCT(COUNTIF($F150:$AJ150,KY_HIEU!$A$6:$A$45)*KY_HIEU!$E$6:$E$45))</f>
        <v/>
      </c>
      <c r="AN150" s="104">
        <f>IF($B150="","",SUMPRODUCT(COUNTIF($F150:$AJ150,KY_HIEU!$A$6:$A$45)*KY_HIEU!$F$6:$F$45))</f>
        <v/>
      </c>
      <c r="AO150" s="104">
        <f>IF($B150="","",SUMPRODUCT(COUNTIF($F150:$AJ150,KY_HIEU!$A$6:$A$45)*KY_HIEU!$G$6:$G$45))</f>
        <v/>
      </c>
      <c r="AP150" s="104">
        <f>IF($B150="","",SUMPRODUCT(COUNTIF($F150:$AJ150,KY_HIEU!$A$6:$A$45)*KY_HIEU!$H$6:$H$45))</f>
        <v/>
      </c>
      <c r="AQ150" s="104">
        <f>IF($B150="","",SUMPRODUCT(COUNTIF($F150:$AJ150,KY_HIEU!$A$6:$A$45)*KY_HIEU!$I$6:$I$45))</f>
        <v/>
      </c>
      <c r="AR150" s="105">
        <f>IF($B150="","",$AK150+$AL150+$AN150+$AO150+$AP150+$AQ150)</f>
        <v/>
      </c>
      <c r="AS150" s="105">
        <f>IF($B150="","",IF(DM_NHAN_SU!$I150&lt;&gt;"",DM_NHAN_SU!$I150,IF(THAM_SO_CC!$B$20="Nhập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150="",THAM_SO_CC!$B$8,DM_NHAN_SU!$F150))*(ROW(INDIRECT(THAM_SO_CC!$B$8&amp;":"&amp;THAM_SO_CC!$B$9))&lt;=IF(DM_NHAN_SU!$G150="",THAM_SO_CC!$B$9,DM_NHAN_SU!$G150))))))</f>
        <v/>
      </c>
      <c r="AT150" s="106">
        <f>IF($B150="","",$AR150-$AS150)</f>
        <v/>
      </c>
      <c r="AU150" s="96">
        <f>IF($B150="","",TRIM(IF(SUMPRODUCT(--($F150:$AJ150&lt;&gt;""))-SUMPRODUCT(COUNTIF($F150:$AJ150,KY_HIEU!$A$6:$A$45))&gt;0,"Ký hiệu lạ; ","")&amp;IF(ROUND($AT150,2)&lt;&gt;0,"Lệch ngày công "&amp;TEXT($AT150,"0.0")&amp;"; ","")&amp;IF(SUMPRODUCT(--($F150:$AJ150&lt;&gt;""),--((THAM_SO_CC!$B$8+COLUMN($F$1:$AJ$1)-6)&gt;THAM_SO_CC!$B$9))&gt;0,"Chấm ngoài kỳ; ","")&amp;IF(AND(DM_NHAN_SU!$F150&lt;&gt;"",SUMPRODUCT(--($F150:$AJ150&lt;&gt;""),--($F150:$AJ150&lt;&gt;"NV"),--($F150:$AJ150&lt;&gt;"NT"),--($F150:$AJ150&lt;&gt;"TN"),--((THAM_SO_CC!$B$8+COLUMN($F$1:$AJ$1)-6)&lt;DM_NHAN_SU!$F150))&gt;0),"Chấm trước ngày vào; ","")&amp;IF(AND(DM_NHAN_SU!$G150&lt;&gt;"",SUMPRODUCT(--($F150:$AJ150&lt;&gt;""),--($F150:$AJ150&lt;&gt;"NV"),--($F150:$AJ150&lt;&gt;"NT"),--($F150:$AJ150&lt;&gt;"TN"),--((THAM_SO_CC!$B$8+COLUMN($F$1:$AJ$1)-6)&gt;DM_NHAN_SU!$G150))&gt;0),"Chấm sau ngày nghỉ việc; ","")))</f>
        <v/>
      </c>
    </row>
    <row r="151" ht="15" customHeight="1" s="63">
      <c r="A151" s="85">
        <f>IF($B151="","",ROW()-5)</f>
        <v/>
      </c>
      <c r="B151" s="103">
        <f>IF(DM_NHAN_SU!B151="","",DM_NHAN_SU!B151)</f>
        <v/>
      </c>
      <c r="C151" s="96">
        <f>IF($B151="","",DM_NHAN_SU!C151)</f>
        <v/>
      </c>
      <c r="D151" s="96">
        <f>IF($B151="","",DM_NHAN_SU!D151)</f>
        <v/>
      </c>
      <c r="E151" s="96">
        <f>IF($B151="","",DM_NHAN_SU!E151)</f>
        <v/>
      </c>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93" t="n"/>
      <c r="Y151" s="93" t="n"/>
      <c r="Z151" s="93" t="n"/>
      <c r="AA151" s="93" t="n"/>
      <c r="AB151" s="93" t="n"/>
      <c r="AC151" s="93" t="n"/>
      <c r="AD151" s="93" t="n"/>
      <c r="AE151" s="93" t="n"/>
      <c r="AF151" s="93" t="n"/>
      <c r="AG151" s="93" t="n"/>
      <c r="AH151" s="93" t="n"/>
      <c r="AI151" s="93" t="n"/>
      <c r="AJ151" s="93" t="n"/>
      <c r="AK151" s="104">
        <f>IF($B151="","",SUMPRODUCT(COUNTIF($F151:$AJ151,KY_HIEU!$A$6:$A$45)*KY_HIEU!$C$6:$C$45))</f>
        <v/>
      </c>
      <c r="AL151" s="104">
        <f>IF($B151="","",SUMPRODUCT(COUNTIF($F151:$AJ151,KY_HIEU!$A$6:$A$45)*KY_HIEU!$D$6:$D$45))</f>
        <v/>
      </c>
      <c r="AM151" s="104">
        <f>IF($B151="","",SUMPRODUCT(COUNTIF($F151:$AJ151,KY_HIEU!$A$6:$A$45)*KY_HIEU!$E$6:$E$45))</f>
        <v/>
      </c>
      <c r="AN151" s="104">
        <f>IF($B151="","",SUMPRODUCT(COUNTIF($F151:$AJ151,KY_HIEU!$A$6:$A$45)*KY_HIEU!$F$6:$F$45))</f>
        <v/>
      </c>
      <c r="AO151" s="104">
        <f>IF($B151="","",SUMPRODUCT(COUNTIF($F151:$AJ151,KY_HIEU!$A$6:$A$45)*KY_HIEU!$G$6:$G$45))</f>
        <v/>
      </c>
      <c r="AP151" s="104">
        <f>IF($B151="","",SUMPRODUCT(COUNTIF($F151:$AJ151,KY_HIEU!$A$6:$A$45)*KY_HIEU!$H$6:$H$45))</f>
        <v/>
      </c>
      <c r="AQ151" s="104">
        <f>IF($B151="","",SUMPRODUCT(COUNTIF($F151:$AJ151,KY_HIEU!$A$6:$A$45)*KY_HIEU!$I$6:$I$45))</f>
        <v/>
      </c>
      <c r="AR151" s="105">
        <f>IF($B151="","",$AK151+$AL151+$AN151+$AO151+$AP151+$AQ151)</f>
        <v/>
      </c>
      <c r="AS151" s="105">
        <f>IF($B151="","",IF(DM_NHAN_SU!$I151&lt;&gt;"",DM_NHAN_SU!$I151,IF(THAM_SO_CC!$B$20="Nhập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151="",THAM_SO_CC!$B$8,DM_NHAN_SU!$F151))*(ROW(INDIRECT(THAM_SO_CC!$B$8&amp;":"&amp;THAM_SO_CC!$B$9))&lt;=IF(DM_NHAN_SU!$G151="",THAM_SO_CC!$B$9,DM_NHAN_SU!$G151))))))</f>
        <v/>
      </c>
      <c r="AT151" s="106">
        <f>IF($B151="","",$AR151-$AS151)</f>
        <v/>
      </c>
      <c r="AU151" s="96">
        <f>IF($B151="","",TRIM(IF(SUMPRODUCT(--($F151:$AJ151&lt;&gt;""))-SUMPRODUCT(COUNTIF($F151:$AJ151,KY_HIEU!$A$6:$A$45))&gt;0,"Ký hiệu lạ; ","")&amp;IF(ROUND($AT151,2)&lt;&gt;0,"Lệch ngày công "&amp;TEXT($AT151,"0.0")&amp;"; ","")&amp;IF(SUMPRODUCT(--($F151:$AJ151&lt;&gt;""),--((THAM_SO_CC!$B$8+COLUMN($F$1:$AJ$1)-6)&gt;THAM_SO_CC!$B$9))&gt;0,"Chấm ngoài kỳ; ","")&amp;IF(AND(DM_NHAN_SU!$F151&lt;&gt;"",SUMPRODUCT(--($F151:$AJ151&lt;&gt;""),--($F151:$AJ151&lt;&gt;"NV"),--($F151:$AJ151&lt;&gt;"NT"),--($F151:$AJ151&lt;&gt;"TN"),--((THAM_SO_CC!$B$8+COLUMN($F$1:$AJ$1)-6)&lt;DM_NHAN_SU!$F151))&gt;0),"Chấm trước ngày vào; ","")&amp;IF(AND(DM_NHAN_SU!$G151&lt;&gt;"",SUMPRODUCT(--($F151:$AJ151&lt;&gt;""),--($F151:$AJ151&lt;&gt;"NV"),--($F151:$AJ151&lt;&gt;"NT"),--($F151:$AJ151&lt;&gt;"TN"),--((THAM_SO_CC!$B$8+COLUMN($F$1:$AJ$1)-6)&gt;DM_NHAN_SU!$G151))&gt;0),"Chấm sau ngày nghỉ việc; ","")))</f>
        <v/>
      </c>
    </row>
    <row r="152" ht="15" customHeight="1" s="63">
      <c r="A152" s="85">
        <f>IF($B152="","",ROW()-5)</f>
        <v/>
      </c>
      <c r="B152" s="103">
        <f>IF(DM_NHAN_SU!B152="","",DM_NHAN_SU!B152)</f>
        <v/>
      </c>
      <c r="C152" s="96">
        <f>IF($B152="","",DM_NHAN_SU!C152)</f>
        <v/>
      </c>
      <c r="D152" s="96">
        <f>IF($B152="","",DM_NHAN_SU!D152)</f>
        <v/>
      </c>
      <c r="E152" s="96">
        <f>IF($B152="","",DM_NHAN_SU!E152)</f>
        <v/>
      </c>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93" t="n"/>
      <c r="Y152" s="93" t="n"/>
      <c r="Z152" s="93" t="n"/>
      <c r="AA152" s="93" t="n"/>
      <c r="AB152" s="93" t="n"/>
      <c r="AC152" s="93" t="n"/>
      <c r="AD152" s="93" t="n"/>
      <c r="AE152" s="93" t="n"/>
      <c r="AF152" s="93" t="n"/>
      <c r="AG152" s="93" t="n"/>
      <c r="AH152" s="93" t="n"/>
      <c r="AI152" s="93" t="n"/>
      <c r="AJ152" s="93" t="n"/>
      <c r="AK152" s="104">
        <f>IF($B152="","",SUMPRODUCT(COUNTIF($F152:$AJ152,KY_HIEU!$A$6:$A$45)*KY_HIEU!$C$6:$C$45))</f>
        <v/>
      </c>
      <c r="AL152" s="104">
        <f>IF($B152="","",SUMPRODUCT(COUNTIF($F152:$AJ152,KY_HIEU!$A$6:$A$45)*KY_HIEU!$D$6:$D$45))</f>
        <v/>
      </c>
      <c r="AM152" s="104">
        <f>IF($B152="","",SUMPRODUCT(COUNTIF($F152:$AJ152,KY_HIEU!$A$6:$A$45)*KY_HIEU!$E$6:$E$45))</f>
        <v/>
      </c>
      <c r="AN152" s="104">
        <f>IF($B152="","",SUMPRODUCT(COUNTIF($F152:$AJ152,KY_HIEU!$A$6:$A$45)*KY_HIEU!$F$6:$F$45))</f>
        <v/>
      </c>
      <c r="AO152" s="104">
        <f>IF($B152="","",SUMPRODUCT(COUNTIF($F152:$AJ152,KY_HIEU!$A$6:$A$45)*KY_HIEU!$G$6:$G$45))</f>
        <v/>
      </c>
      <c r="AP152" s="104">
        <f>IF($B152="","",SUMPRODUCT(COUNTIF($F152:$AJ152,KY_HIEU!$A$6:$A$45)*KY_HIEU!$H$6:$H$45))</f>
        <v/>
      </c>
      <c r="AQ152" s="104">
        <f>IF($B152="","",SUMPRODUCT(COUNTIF($F152:$AJ152,KY_HIEU!$A$6:$A$45)*KY_HIEU!$I$6:$I$45))</f>
        <v/>
      </c>
      <c r="AR152" s="105">
        <f>IF($B152="","",$AK152+$AL152+$AN152+$AO152+$AP152+$AQ152)</f>
        <v/>
      </c>
      <c r="AS152" s="105">
        <f>IF($B152="","",IF(DM_NHAN_SU!$I152&lt;&gt;"",DM_NHAN_SU!$I152,IF(THAM_SO_CC!$B$20="Nhập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152="",THAM_SO_CC!$B$8,DM_NHAN_SU!$F152))*(ROW(INDIRECT(THAM_SO_CC!$B$8&amp;":"&amp;THAM_SO_CC!$B$9))&lt;=IF(DM_NHAN_SU!$G152="",THAM_SO_CC!$B$9,DM_NHAN_SU!$G152))))))</f>
        <v/>
      </c>
      <c r="AT152" s="106">
        <f>IF($B152="","",$AR152-$AS152)</f>
        <v/>
      </c>
      <c r="AU152" s="96">
        <f>IF($B152="","",TRIM(IF(SUMPRODUCT(--($F152:$AJ152&lt;&gt;""))-SUMPRODUCT(COUNTIF($F152:$AJ152,KY_HIEU!$A$6:$A$45))&gt;0,"Ký hiệu lạ; ","")&amp;IF(ROUND($AT152,2)&lt;&gt;0,"Lệch ngày công "&amp;TEXT($AT152,"0.0")&amp;"; ","")&amp;IF(SUMPRODUCT(--($F152:$AJ152&lt;&gt;""),--((THAM_SO_CC!$B$8+COLUMN($F$1:$AJ$1)-6)&gt;THAM_SO_CC!$B$9))&gt;0,"Chấm ngoài kỳ; ","")&amp;IF(AND(DM_NHAN_SU!$F152&lt;&gt;"",SUMPRODUCT(--($F152:$AJ152&lt;&gt;""),--($F152:$AJ152&lt;&gt;"NV"),--($F152:$AJ152&lt;&gt;"NT"),--($F152:$AJ152&lt;&gt;"TN"),--((THAM_SO_CC!$B$8+COLUMN($F$1:$AJ$1)-6)&lt;DM_NHAN_SU!$F152))&gt;0),"Chấm trước ngày vào; ","")&amp;IF(AND(DM_NHAN_SU!$G152&lt;&gt;"",SUMPRODUCT(--($F152:$AJ152&lt;&gt;""),--($F152:$AJ152&lt;&gt;"NV"),--($F152:$AJ152&lt;&gt;"NT"),--($F152:$AJ152&lt;&gt;"TN"),--((THAM_SO_CC!$B$8+COLUMN($F$1:$AJ$1)-6)&gt;DM_NHAN_SU!$G152))&gt;0),"Chấm sau ngày nghỉ việc; ","")))</f>
        <v/>
      </c>
    </row>
    <row r="153" ht="15" customHeight="1" s="63">
      <c r="A153" s="85">
        <f>IF($B153="","",ROW()-5)</f>
        <v/>
      </c>
      <c r="B153" s="103">
        <f>IF(DM_NHAN_SU!B153="","",DM_NHAN_SU!B153)</f>
        <v/>
      </c>
      <c r="C153" s="96">
        <f>IF($B153="","",DM_NHAN_SU!C153)</f>
        <v/>
      </c>
      <c r="D153" s="96">
        <f>IF($B153="","",DM_NHAN_SU!D153)</f>
        <v/>
      </c>
      <c r="E153" s="96">
        <f>IF($B153="","",DM_NHAN_SU!E153)</f>
        <v/>
      </c>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93" t="n"/>
      <c r="Y153" s="93" t="n"/>
      <c r="Z153" s="93" t="n"/>
      <c r="AA153" s="93" t="n"/>
      <c r="AB153" s="93" t="n"/>
      <c r="AC153" s="93" t="n"/>
      <c r="AD153" s="93" t="n"/>
      <c r="AE153" s="93" t="n"/>
      <c r="AF153" s="93" t="n"/>
      <c r="AG153" s="93" t="n"/>
      <c r="AH153" s="93" t="n"/>
      <c r="AI153" s="93" t="n"/>
      <c r="AJ153" s="93" t="n"/>
      <c r="AK153" s="104">
        <f>IF($B153="","",SUMPRODUCT(COUNTIF($F153:$AJ153,KY_HIEU!$A$6:$A$45)*KY_HIEU!$C$6:$C$45))</f>
        <v/>
      </c>
      <c r="AL153" s="104">
        <f>IF($B153="","",SUMPRODUCT(COUNTIF($F153:$AJ153,KY_HIEU!$A$6:$A$45)*KY_HIEU!$D$6:$D$45))</f>
        <v/>
      </c>
      <c r="AM153" s="104">
        <f>IF($B153="","",SUMPRODUCT(COUNTIF($F153:$AJ153,KY_HIEU!$A$6:$A$45)*KY_HIEU!$E$6:$E$45))</f>
        <v/>
      </c>
      <c r="AN153" s="104">
        <f>IF($B153="","",SUMPRODUCT(COUNTIF($F153:$AJ153,KY_HIEU!$A$6:$A$45)*KY_HIEU!$F$6:$F$45))</f>
        <v/>
      </c>
      <c r="AO153" s="104">
        <f>IF($B153="","",SUMPRODUCT(COUNTIF($F153:$AJ153,KY_HIEU!$A$6:$A$45)*KY_HIEU!$G$6:$G$45))</f>
        <v/>
      </c>
      <c r="AP153" s="104">
        <f>IF($B153="","",SUMPRODUCT(COUNTIF($F153:$AJ153,KY_HIEU!$A$6:$A$45)*KY_HIEU!$H$6:$H$45))</f>
        <v/>
      </c>
      <c r="AQ153" s="104">
        <f>IF($B153="","",SUMPRODUCT(COUNTIF($F153:$AJ153,KY_HIEU!$A$6:$A$45)*KY_HIEU!$I$6:$I$45))</f>
        <v/>
      </c>
      <c r="AR153" s="105">
        <f>IF($B153="","",$AK153+$AL153+$AN153+$AO153+$AP153+$AQ153)</f>
        <v/>
      </c>
      <c r="AS153" s="105">
        <f>IF($B153="","",IF(DM_NHAN_SU!$I153&lt;&gt;"",DM_NHAN_SU!$I153,IF(THAM_SO_CC!$B$20="Nhập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153="",THAM_SO_CC!$B$8,DM_NHAN_SU!$F153))*(ROW(INDIRECT(THAM_SO_CC!$B$8&amp;":"&amp;THAM_SO_CC!$B$9))&lt;=IF(DM_NHAN_SU!$G153="",THAM_SO_CC!$B$9,DM_NHAN_SU!$G153))))))</f>
        <v/>
      </c>
      <c r="AT153" s="106">
        <f>IF($B153="","",$AR153-$AS153)</f>
        <v/>
      </c>
      <c r="AU153" s="96">
        <f>IF($B153="","",TRIM(IF(SUMPRODUCT(--($F153:$AJ153&lt;&gt;""))-SUMPRODUCT(COUNTIF($F153:$AJ153,KY_HIEU!$A$6:$A$45))&gt;0,"Ký hiệu lạ; ","")&amp;IF(ROUND($AT153,2)&lt;&gt;0,"Lệch ngày công "&amp;TEXT($AT153,"0.0")&amp;"; ","")&amp;IF(SUMPRODUCT(--($F153:$AJ153&lt;&gt;""),--((THAM_SO_CC!$B$8+COLUMN($F$1:$AJ$1)-6)&gt;THAM_SO_CC!$B$9))&gt;0,"Chấm ngoài kỳ; ","")&amp;IF(AND(DM_NHAN_SU!$F153&lt;&gt;"",SUMPRODUCT(--($F153:$AJ153&lt;&gt;""),--($F153:$AJ153&lt;&gt;"NV"),--($F153:$AJ153&lt;&gt;"NT"),--($F153:$AJ153&lt;&gt;"TN"),--((THAM_SO_CC!$B$8+COLUMN($F$1:$AJ$1)-6)&lt;DM_NHAN_SU!$F153))&gt;0),"Chấm trước ngày vào; ","")&amp;IF(AND(DM_NHAN_SU!$G153&lt;&gt;"",SUMPRODUCT(--($F153:$AJ153&lt;&gt;""),--($F153:$AJ153&lt;&gt;"NV"),--($F153:$AJ153&lt;&gt;"NT"),--($F153:$AJ153&lt;&gt;"TN"),--((THAM_SO_CC!$B$8+COLUMN($F$1:$AJ$1)-6)&gt;DM_NHAN_SU!$G153))&gt;0),"Chấm sau ngày nghỉ việc; ","")))</f>
        <v/>
      </c>
    </row>
    <row r="154" ht="15" customHeight="1" s="63">
      <c r="A154" s="85">
        <f>IF($B154="","",ROW()-5)</f>
        <v/>
      </c>
      <c r="B154" s="103">
        <f>IF(DM_NHAN_SU!B154="","",DM_NHAN_SU!B154)</f>
        <v/>
      </c>
      <c r="C154" s="96">
        <f>IF($B154="","",DM_NHAN_SU!C154)</f>
        <v/>
      </c>
      <c r="D154" s="96">
        <f>IF($B154="","",DM_NHAN_SU!D154)</f>
        <v/>
      </c>
      <c r="E154" s="96">
        <f>IF($B154="","",DM_NHAN_SU!E154)</f>
        <v/>
      </c>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93" t="n"/>
      <c r="Y154" s="93" t="n"/>
      <c r="Z154" s="93" t="n"/>
      <c r="AA154" s="93" t="n"/>
      <c r="AB154" s="93" t="n"/>
      <c r="AC154" s="93" t="n"/>
      <c r="AD154" s="93" t="n"/>
      <c r="AE154" s="93" t="n"/>
      <c r="AF154" s="93" t="n"/>
      <c r="AG154" s="93" t="n"/>
      <c r="AH154" s="93" t="n"/>
      <c r="AI154" s="93" t="n"/>
      <c r="AJ154" s="93" t="n"/>
      <c r="AK154" s="104">
        <f>IF($B154="","",SUMPRODUCT(COUNTIF($F154:$AJ154,KY_HIEU!$A$6:$A$45)*KY_HIEU!$C$6:$C$45))</f>
        <v/>
      </c>
      <c r="AL154" s="104">
        <f>IF($B154="","",SUMPRODUCT(COUNTIF($F154:$AJ154,KY_HIEU!$A$6:$A$45)*KY_HIEU!$D$6:$D$45))</f>
        <v/>
      </c>
      <c r="AM154" s="104">
        <f>IF($B154="","",SUMPRODUCT(COUNTIF($F154:$AJ154,KY_HIEU!$A$6:$A$45)*KY_HIEU!$E$6:$E$45))</f>
        <v/>
      </c>
      <c r="AN154" s="104">
        <f>IF($B154="","",SUMPRODUCT(COUNTIF($F154:$AJ154,KY_HIEU!$A$6:$A$45)*KY_HIEU!$F$6:$F$45))</f>
        <v/>
      </c>
      <c r="AO154" s="104">
        <f>IF($B154="","",SUMPRODUCT(COUNTIF($F154:$AJ154,KY_HIEU!$A$6:$A$45)*KY_HIEU!$G$6:$G$45))</f>
        <v/>
      </c>
      <c r="AP154" s="104">
        <f>IF($B154="","",SUMPRODUCT(COUNTIF($F154:$AJ154,KY_HIEU!$A$6:$A$45)*KY_HIEU!$H$6:$H$45))</f>
        <v/>
      </c>
      <c r="AQ154" s="104">
        <f>IF($B154="","",SUMPRODUCT(COUNTIF($F154:$AJ154,KY_HIEU!$A$6:$A$45)*KY_HIEU!$I$6:$I$45))</f>
        <v/>
      </c>
      <c r="AR154" s="105">
        <f>IF($B154="","",$AK154+$AL154+$AN154+$AO154+$AP154+$AQ154)</f>
        <v/>
      </c>
      <c r="AS154" s="105">
        <f>IF($B154="","",IF(DM_NHAN_SU!$I154&lt;&gt;"",DM_NHAN_SU!$I154,IF(THAM_SO_CC!$B$20="Nhập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154="",THAM_SO_CC!$B$8,DM_NHAN_SU!$F154))*(ROW(INDIRECT(THAM_SO_CC!$B$8&amp;":"&amp;THAM_SO_CC!$B$9))&lt;=IF(DM_NHAN_SU!$G154="",THAM_SO_CC!$B$9,DM_NHAN_SU!$G154))))))</f>
        <v/>
      </c>
      <c r="AT154" s="106">
        <f>IF($B154="","",$AR154-$AS154)</f>
        <v/>
      </c>
      <c r="AU154" s="96">
        <f>IF($B154="","",TRIM(IF(SUMPRODUCT(--($F154:$AJ154&lt;&gt;""))-SUMPRODUCT(COUNTIF($F154:$AJ154,KY_HIEU!$A$6:$A$45))&gt;0,"Ký hiệu lạ; ","")&amp;IF(ROUND($AT154,2)&lt;&gt;0,"Lệch ngày công "&amp;TEXT($AT154,"0.0")&amp;"; ","")&amp;IF(SUMPRODUCT(--($F154:$AJ154&lt;&gt;""),--((THAM_SO_CC!$B$8+COLUMN($F$1:$AJ$1)-6)&gt;THAM_SO_CC!$B$9))&gt;0,"Chấm ngoài kỳ; ","")&amp;IF(AND(DM_NHAN_SU!$F154&lt;&gt;"",SUMPRODUCT(--($F154:$AJ154&lt;&gt;""),--($F154:$AJ154&lt;&gt;"NV"),--($F154:$AJ154&lt;&gt;"NT"),--($F154:$AJ154&lt;&gt;"TN"),--((THAM_SO_CC!$B$8+COLUMN($F$1:$AJ$1)-6)&lt;DM_NHAN_SU!$F154))&gt;0),"Chấm trước ngày vào; ","")&amp;IF(AND(DM_NHAN_SU!$G154&lt;&gt;"",SUMPRODUCT(--($F154:$AJ154&lt;&gt;""),--($F154:$AJ154&lt;&gt;"NV"),--($F154:$AJ154&lt;&gt;"NT"),--($F154:$AJ154&lt;&gt;"TN"),--((THAM_SO_CC!$B$8+COLUMN($F$1:$AJ$1)-6)&gt;DM_NHAN_SU!$G154))&gt;0),"Chấm sau ngày nghỉ việc; ","")))</f>
        <v/>
      </c>
    </row>
    <row r="155" ht="15" customHeight="1" s="63">
      <c r="A155" s="85">
        <f>IF($B155="","",ROW()-5)</f>
        <v/>
      </c>
      <c r="B155" s="103">
        <f>IF(DM_NHAN_SU!B155="","",DM_NHAN_SU!B155)</f>
        <v/>
      </c>
      <c r="C155" s="96">
        <f>IF($B155="","",DM_NHAN_SU!C155)</f>
        <v/>
      </c>
      <c r="D155" s="96">
        <f>IF($B155="","",DM_NHAN_SU!D155)</f>
        <v/>
      </c>
      <c r="E155" s="96">
        <f>IF($B155="","",DM_NHAN_SU!E155)</f>
        <v/>
      </c>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93" t="n"/>
      <c r="Y155" s="93" t="n"/>
      <c r="Z155" s="93" t="n"/>
      <c r="AA155" s="93" t="n"/>
      <c r="AB155" s="93" t="n"/>
      <c r="AC155" s="93" t="n"/>
      <c r="AD155" s="93" t="n"/>
      <c r="AE155" s="93" t="n"/>
      <c r="AF155" s="93" t="n"/>
      <c r="AG155" s="93" t="n"/>
      <c r="AH155" s="93" t="n"/>
      <c r="AI155" s="93" t="n"/>
      <c r="AJ155" s="93" t="n"/>
      <c r="AK155" s="104">
        <f>IF($B155="","",SUMPRODUCT(COUNTIF($F155:$AJ155,KY_HIEU!$A$6:$A$45)*KY_HIEU!$C$6:$C$45))</f>
        <v/>
      </c>
      <c r="AL155" s="104">
        <f>IF($B155="","",SUMPRODUCT(COUNTIF($F155:$AJ155,KY_HIEU!$A$6:$A$45)*KY_HIEU!$D$6:$D$45))</f>
        <v/>
      </c>
      <c r="AM155" s="104">
        <f>IF($B155="","",SUMPRODUCT(COUNTIF($F155:$AJ155,KY_HIEU!$A$6:$A$45)*KY_HIEU!$E$6:$E$45))</f>
        <v/>
      </c>
      <c r="AN155" s="104">
        <f>IF($B155="","",SUMPRODUCT(COUNTIF($F155:$AJ155,KY_HIEU!$A$6:$A$45)*KY_HIEU!$F$6:$F$45))</f>
        <v/>
      </c>
      <c r="AO155" s="104">
        <f>IF($B155="","",SUMPRODUCT(COUNTIF($F155:$AJ155,KY_HIEU!$A$6:$A$45)*KY_HIEU!$G$6:$G$45))</f>
        <v/>
      </c>
      <c r="AP155" s="104">
        <f>IF($B155="","",SUMPRODUCT(COUNTIF($F155:$AJ155,KY_HIEU!$A$6:$A$45)*KY_HIEU!$H$6:$H$45))</f>
        <v/>
      </c>
      <c r="AQ155" s="104">
        <f>IF($B155="","",SUMPRODUCT(COUNTIF($F155:$AJ155,KY_HIEU!$A$6:$A$45)*KY_HIEU!$I$6:$I$45))</f>
        <v/>
      </c>
      <c r="AR155" s="105">
        <f>IF($B155="","",$AK155+$AL155+$AN155+$AO155+$AP155+$AQ155)</f>
        <v/>
      </c>
      <c r="AS155" s="105">
        <f>IF($B155="","",IF(DM_NHAN_SU!$I155&lt;&gt;"",DM_NHAN_SU!$I155,IF(THAM_SO_CC!$B$20="Nhập tay",THAM_SO_CC!$B$10,SUMPRODUCT(((WEEKDAY(ROW(INDIRECT(THAM_SO_CC!$B$8&amp;":"&amp;THAM_SO_CC!$B$9)),2)&lt;7)*(THAM_SO_CC!$B$12="CN")+(WEEKDAY(ROW(INDIRECT(THAM_SO_CC!$B$8&amp;":"&amp;THAM_SO_CC!$B$9)),2)&lt;6)*(THAM_SO_CC!$B$12="T7+CN"))*(COUNTIF(THAM_SO_CC!$F$10:$F$40,ROW(INDIRECT(THAM_SO_CC!$B$8&amp;":"&amp;THAM_SO_CC!$B$9)))=0)*(ROW(INDIRECT(THAM_SO_CC!$B$8&amp;":"&amp;THAM_SO_CC!$B$9))&gt;=IF(DM_NHAN_SU!$F155="",THAM_SO_CC!$B$8,DM_NHAN_SU!$F155))*(ROW(INDIRECT(THAM_SO_CC!$B$8&amp;":"&amp;THAM_SO_CC!$B$9))&lt;=IF(DM_NHAN_SU!$G155="",THAM_SO_CC!$B$9,DM_NHAN_SU!$G155))))))</f>
        <v/>
      </c>
      <c r="AT155" s="106">
        <f>IF($B155="","",$AR155-$AS155)</f>
        <v/>
      </c>
      <c r="AU155" s="96">
        <f>IF($B155="","",TRIM(IF(SUMPRODUCT(--($F155:$AJ155&lt;&gt;""))-SUMPRODUCT(COUNTIF($F155:$AJ155,KY_HIEU!$A$6:$A$45))&gt;0,"Ký hiệu lạ; ","")&amp;IF(ROUND($AT155,2)&lt;&gt;0,"Lệch ngày công "&amp;TEXT($AT155,"0.0")&amp;"; ","")&amp;IF(SUMPRODUCT(--($F155:$AJ155&lt;&gt;""),--((THAM_SO_CC!$B$8+COLUMN($F$1:$AJ$1)-6)&gt;THAM_SO_CC!$B$9))&gt;0,"Chấm ngoài kỳ; ","")&amp;IF(AND(DM_NHAN_SU!$F155&lt;&gt;"",SUMPRODUCT(--($F155:$AJ155&lt;&gt;""),--($F155:$AJ155&lt;&gt;"NV"),--($F155:$AJ155&lt;&gt;"NT"),--($F155:$AJ155&lt;&gt;"TN"),--((THAM_SO_CC!$B$8+COLUMN($F$1:$AJ$1)-6)&lt;DM_NHAN_SU!$F155))&gt;0),"Chấm trước ngày vào; ","")&amp;IF(AND(DM_NHAN_SU!$G155&lt;&gt;"",SUMPRODUCT(--($F155:$AJ155&lt;&gt;""),--($F155:$AJ155&lt;&gt;"NV"),--($F155:$AJ155&lt;&gt;"NT"),--($F155:$AJ155&lt;&gt;"TN"),--((THAM_SO_CC!$B$8+COLUMN($F$1:$AJ$1)-6)&gt;DM_NHAN_SU!$G155))&gt;0),"Chấm sau ngày nghỉ việc; ","")))</f>
        <v/>
      </c>
    </row>
  </sheetData>
  <mergeCells count="3">
    <mergeCell ref="A4:E4"/>
    <mergeCell ref="A1:AU1"/>
    <mergeCell ref="A2:AU3"/>
  </mergeCells>
  <conditionalFormatting sqref="F4:AJ155">
    <cfRule type="expression" rank="0" priority="2" equalAverage="0" aboveAverage="0" dxfId="1" text="" percent="0" bottom="0">
      <formula>(THAM_SO_CC!$B$8+COLUMN()-6)&gt;THAM_SO_CC!$B$9</formula>
    </cfRule>
    <cfRule type="expression" rank="0" priority="3" equalAverage="0" aboveAverage="0" dxfId="2" text="" percent="0" bottom="0">
      <formula>COUNTIF(THAM_SO_CC!$F$10:$F$40,THAM_SO_CC!$B$8+COLUMN()-6)&gt;0</formula>
    </cfRule>
    <cfRule type="expression" rank="0" priority="4" equalAverage="0" aboveAverage="0" dxfId="3" text="" percent="0" bottom="0">
      <formula>IF(THAM_SO_CC!$B$12="T7+CN",WEEKDAY(THAM_SO_CC!$B$8+COLUMN()-6,2)&gt;=6,WEEKDAY(THAM_SO_CC!$B$8+COLUMN()-6,2)=7)</formula>
    </cfRule>
  </conditionalFormatting>
  <conditionalFormatting sqref="AU6:AU155">
    <cfRule type="expression" rank="0" priority="5" equalAverage="0" aboveAverage="0" dxfId="4" text="" percent="0" bottom="0">
      <formula>LEN(AU6)&gt;0</formula>
    </cfRule>
  </conditionalFormatting>
  <conditionalFormatting sqref="AT6:AT155">
    <cfRule type="expression" rank="0" priority="6" equalAverage="0" aboveAverage="0" dxfId="0" text="" percent="0" bottom="0">
      <formula>AND(AT6&lt;&gt;"",ROUND(AT6,2)&lt;&gt;0)</formula>
    </cfRule>
  </conditionalFormatting>
  <dataValidations count="1">
    <dataValidation sqref="F6:AJ155" showDropDown="0" showInputMessage="0" showErrorMessage="0" allowBlank="1" type="list" errorStyle="stop" operator="between">
      <formula1>MA_KY_HIEU</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2005"/>
  <sheetViews>
    <sheetView showFormulas="0" showGridLines="0"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5" customWidth="1" style="62" min="1" max="1"/>
    <col width="11" customWidth="1" style="62" min="2" max="2"/>
    <col width="24" customWidth="1" style="62" min="3" max="3"/>
    <col width="12" customWidth="1" style="62" min="4" max="4"/>
    <col width="13" customWidth="1" style="62" min="5" max="5"/>
    <col width="15" customWidth="1" style="62" min="6" max="6"/>
    <col width="14" customWidth="1" style="62" min="7" max="8"/>
    <col width="26" customWidth="1" style="62" min="9" max="9"/>
    <col width="12" customWidth="1" style="62" min="10" max="10"/>
    <col width="13" customWidth="1" style="62" min="11" max="11"/>
    <col width="11" customWidth="1" style="62" min="12" max="12"/>
    <col width="12" customWidth="1" style="62" min="13" max="13"/>
    <col width="13" customWidth="1" style="62" min="14" max="14"/>
    <col width="11" customWidth="1" style="62" min="15" max="15"/>
  </cols>
  <sheetData>
    <row r="1" ht="30" customHeight="1" s="63">
      <c r="A1" s="64" t="inlineStr">
        <is>
          <t>CHẤM GIỜ LÀM THÊM VÀ GIỜ BAN ĐÊM THEO NGÀY</t>
        </is>
      </c>
    </row>
    <row r="2" ht="15" customHeight="1" s="63">
      <c r="A2" s="65" t="inlineStr">
        <is>
          <t>Chỉ nhập cho ngày thực tế có làm thêm giờ hoặc làm ban đêm. Nhập Mã NV, Ngày, số giờ OT ban ngày và số giờ OT ban đêm; file tự xác định loại ngày rồi xếp vào đúng nhóm OT. Giờ đêm trong ca là phần 22:00–06:00 nằm trong ca bình thường, không phải giờ OT, nhập riêng tại cột F.</t>
        </is>
      </c>
    </row>
    <row r="3" ht="15" customHeight="1" s="63"/>
    <row r="4"/>
    <row r="5" ht="63.75" customHeight="1" s="63">
      <c r="A5" s="92" t="inlineStr">
        <is>
          <t>STT</t>
        </is>
      </c>
      <c r="B5" s="92" t="inlineStr">
        <is>
          <t>Mã NV</t>
        </is>
      </c>
      <c r="C5" s="92" t="inlineStr">
        <is>
          <t>Họ và tên</t>
        </is>
      </c>
      <c r="D5" s="92" t="inlineStr">
        <is>
          <t>Ngày</t>
        </is>
      </c>
      <c r="E5" s="92" t="inlineStr">
        <is>
          <t>Loại ngày</t>
        </is>
      </c>
      <c r="F5" s="92" t="inlineStr">
        <is>
          <t>Giờ đêm trong ca</t>
        </is>
      </c>
      <c r="G5" s="92" t="inlineStr">
        <is>
          <t>Giờ OT ban ngày</t>
        </is>
      </c>
      <c r="H5" s="92" t="inlineStr">
        <is>
          <t>Giờ OT ban đêm</t>
        </is>
      </c>
      <c r="I5" s="92" t="inlineStr">
        <is>
          <t>Ghi chú</t>
        </is>
      </c>
      <c r="J5" s="83" t="inlineStr">
        <is>
          <t>OT thường ngày</t>
        </is>
      </c>
      <c r="K5" s="83" t="inlineStr">
        <is>
          <t>OT nghỉ tuần ngày</t>
        </is>
      </c>
      <c r="L5" s="83" t="inlineStr">
        <is>
          <t>OT lễ ngày</t>
        </is>
      </c>
      <c r="M5" s="83" t="inlineStr">
        <is>
          <t>OT thường đêm</t>
        </is>
      </c>
      <c r="N5" s="83" t="inlineStr">
        <is>
          <t>OT nghỉ tuần đêm</t>
        </is>
      </c>
      <c r="O5" s="83" t="inlineStr">
        <is>
          <t>OT lễ đêm</t>
        </is>
      </c>
    </row>
    <row r="6" ht="15" customHeight="1" s="63">
      <c r="A6" s="85">
        <f>IF($B6="","",ROW()-5)</f>
        <v/>
      </c>
      <c r="B6" s="97" t="n"/>
      <c r="C6" s="96">
        <f>IF($B6="","",IFERROR(INDEX(DM_NHAN_SU!$C$6:$C$155,MATCH($B6,DM_NHAN_SU!$B$6:$B$155,0)),"SAI MÃ NV"))</f>
        <v/>
      </c>
      <c r="D6" s="86" t="n"/>
      <c r="E6" s="103">
        <f>IF(OR($B6="",$D6=""),"",IF(COUNTIF(THAM_SO_CC!$F$10:$F$40,$D6)&gt;0,"Lễ",IF(IF(THAM_SO_CC!$B$12="T7+CN",WEEKDAY($D6,2)&gt;=6,WEEKDAY($D6,2)=7),"Nghỉ tuần","Ngày thường")))</f>
        <v/>
      </c>
      <c r="F6" s="107" t="n"/>
      <c r="G6" s="107" t="n"/>
      <c r="H6" s="107" t="n"/>
      <c r="I6" s="81" t="n"/>
      <c r="J6" s="108">
        <f>IF($B6="","",IF($E6="Ngày thường",N($G6),0))</f>
        <v/>
      </c>
      <c r="K6" s="108">
        <f>IF($B6="","",IF($E6="Nghỉ tuần",N($G6),0))</f>
        <v/>
      </c>
      <c r="L6" s="108">
        <f>IF($B6="","",IF($E6="Lễ",N($G6),0))</f>
        <v/>
      </c>
      <c r="M6" s="108">
        <f>IF($B6="","",IF($E6="Ngày thường",N($H6),0))</f>
        <v/>
      </c>
      <c r="N6" s="108">
        <f>IF($B6="","",IF($E6="Nghỉ tuần",N($H6),0))</f>
        <v/>
      </c>
      <c r="O6" s="108">
        <f>IF($B6="","",IF($E6="Lễ",N($H6),0))</f>
        <v/>
      </c>
    </row>
    <row r="7" ht="15" customHeight="1" s="63">
      <c r="A7" s="85">
        <f>IF($B7="","",ROW()-5)</f>
        <v/>
      </c>
      <c r="B7" s="97" t="n"/>
      <c r="C7" s="96">
        <f>IF($B7="","",IFERROR(INDEX(DM_NHAN_SU!$C$6:$C$155,MATCH($B7,DM_NHAN_SU!$B$6:$B$155,0)),"SAI MÃ NV"))</f>
        <v/>
      </c>
      <c r="D7" s="86" t="n"/>
      <c r="E7" s="103">
        <f>IF(OR($B7="",$D7=""),"",IF(COUNTIF(THAM_SO_CC!$F$10:$F$40,$D7)&gt;0,"Lễ",IF(IF(THAM_SO_CC!$B$12="T7+CN",WEEKDAY($D7,2)&gt;=6,WEEKDAY($D7,2)=7),"Nghỉ tuần","Ngày thường")))</f>
        <v/>
      </c>
      <c r="F7" s="107" t="n"/>
      <c r="G7" s="107" t="n"/>
      <c r="H7" s="107" t="n"/>
      <c r="I7" s="81" t="n"/>
      <c r="J7" s="108">
        <f>IF($B7="","",IF($E7="Ngày thường",N($G7),0))</f>
        <v/>
      </c>
      <c r="K7" s="108">
        <f>IF($B7="","",IF($E7="Nghỉ tuần",N($G7),0))</f>
        <v/>
      </c>
      <c r="L7" s="108">
        <f>IF($B7="","",IF($E7="Lễ",N($G7),0))</f>
        <v/>
      </c>
      <c r="M7" s="108">
        <f>IF($B7="","",IF($E7="Ngày thường",N($H7),0))</f>
        <v/>
      </c>
      <c r="N7" s="108">
        <f>IF($B7="","",IF($E7="Nghỉ tuần",N($H7),0))</f>
        <v/>
      </c>
      <c r="O7" s="108">
        <f>IF($B7="","",IF($E7="Lễ",N($H7),0))</f>
        <v/>
      </c>
    </row>
    <row r="8" ht="15" customHeight="1" s="63">
      <c r="A8" s="85">
        <f>IF($B8="","",ROW()-5)</f>
        <v/>
      </c>
      <c r="B8" s="97" t="n"/>
      <c r="C8" s="96">
        <f>IF($B8="","",IFERROR(INDEX(DM_NHAN_SU!$C$6:$C$155,MATCH($B8,DM_NHAN_SU!$B$6:$B$155,0)),"SAI MÃ NV"))</f>
        <v/>
      </c>
      <c r="D8" s="86" t="n"/>
      <c r="E8" s="103">
        <f>IF(OR($B8="",$D8=""),"",IF(COUNTIF(THAM_SO_CC!$F$10:$F$40,$D8)&gt;0,"Lễ",IF(IF(THAM_SO_CC!$B$12="T7+CN",WEEKDAY($D8,2)&gt;=6,WEEKDAY($D8,2)=7),"Nghỉ tuần","Ngày thường")))</f>
        <v/>
      </c>
      <c r="F8" s="107" t="n"/>
      <c r="G8" s="107" t="n"/>
      <c r="H8" s="107" t="n"/>
      <c r="I8" s="81" t="n"/>
      <c r="J8" s="108">
        <f>IF($B8="","",IF($E8="Ngày thường",N($G8),0))</f>
        <v/>
      </c>
      <c r="K8" s="108">
        <f>IF($B8="","",IF($E8="Nghỉ tuần",N($G8),0))</f>
        <v/>
      </c>
      <c r="L8" s="108">
        <f>IF($B8="","",IF($E8="Lễ",N($G8),0))</f>
        <v/>
      </c>
      <c r="M8" s="108">
        <f>IF($B8="","",IF($E8="Ngày thường",N($H8),0))</f>
        <v/>
      </c>
      <c r="N8" s="108">
        <f>IF($B8="","",IF($E8="Nghỉ tuần",N($H8),0))</f>
        <v/>
      </c>
      <c r="O8" s="108">
        <f>IF($B8="","",IF($E8="Lễ",N($H8),0))</f>
        <v/>
      </c>
    </row>
    <row r="9" ht="15" customHeight="1" s="63">
      <c r="A9" s="85">
        <f>IF($B9="","",ROW()-5)</f>
        <v/>
      </c>
      <c r="B9" s="97" t="n"/>
      <c r="C9" s="96">
        <f>IF($B9="","",IFERROR(INDEX(DM_NHAN_SU!$C$6:$C$155,MATCH($B9,DM_NHAN_SU!$B$6:$B$155,0)),"SAI MÃ NV"))</f>
        <v/>
      </c>
      <c r="D9" s="86" t="n"/>
      <c r="E9" s="103">
        <f>IF(OR($B9="",$D9=""),"",IF(COUNTIF(THAM_SO_CC!$F$10:$F$40,$D9)&gt;0,"Lễ",IF(IF(THAM_SO_CC!$B$12="T7+CN",WEEKDAY($D9,2)&gt;=6,WEEKDAY($D9,2)=7),"Nghỉ tuần","Ngày thường")))</f>
        <v/>
      </c>
      <c r="F9" s="107" t="n"/>
      <c r="G9" s="107" t="n"/>
      <c r="H9" s="107" t="n"/>
      <c r="I9" s="81" t="n"/>
      <c r="J9" s="108">
        <f>IF($B9="","",IF($E9="Ngày thường",N($G9),0))</f>
        <v/>
      </c>
      <c r="K9" s="108">
        <f>IF($B9="","",IF($E9="Nghỉ tuần",N($G9),0))</f>
        <v/>
      </c>
      <c r="L9" s="108">
        <f>IF($B9="","",IF($E9="Lễ",N($G9),0))</f>
        <v/>
      </c>
      <c r="M9" s="108">
        <f>IF($B9="","",IF($E9="Ngày thường",N($H9),0))</f>
        <v/>
      </c>
      <c r="N9" s="108">
        <f>IF($B9="","",IF($E9="Nghỉ tuần",N($H9),0))</f>
        <v/>
      </c>
      <c r="O9" s="108">
        <f>IF($B9="","",IF($E9="Lễ",N($H9),0))</f>
        <v/>
      </c>
    </row>
    <row r="10" ht="15" customHeight="1" s="63">
      <c r="A10" s="85">
        <f>IF($B10="","",ROW()-5)</f>
        <v/>
      </c>
      <c r="B10" s="97" t="n"/>
      <c r="C10" s="96">
        <f>IF($B10="","",IFERROR(INDEX(DM_NHAN_SU!$C$6:$C$155,MATCH($B10,DM_NHAN_SU!$B$6:$B$155,0)),"SAI MÃ NV"))</f>
        <v/>
      </c>
      <c r="D10" s="86" t="n"/>
      <c r="E10" s="103">
        <f>IF(OR($B10="",$D10=""),"",IF(COUNTIF(THAM_SO_CC!$F$10:$F$40,$D10)&gt;0,"Lễ",IF(IF(THAM_SO_CC!$B$12="T7+CN",WEEKDAY($D10,2)&gt;=6,WEEKDAY($D10,2)=7),"Nghỉ tuần","Ngày thường")))</f>
        <v/>
      </c>
      <c r="F10" s="107" t="n"/>
      <c r="G10" s="107" t="n"/>
      <c r="H10" s="107" t="n"/>
      <c r="I10" s="81" t="n"/>
      <c r="J10" s="108">
        <f>IF($B10="","",IF($E10="Ngày thường",N($G10),0))</f>
        <v/>
      </c>
      <c r="K10" s="108">
        <f>IF($B10="","",IF($E10="Nghỉ tuần",N($G10),0))</f>
        <v/>
      </c>
      <c r="L10" s="108">
        <f>IF($B10="","",IF($E10="Lễ",N($G10),0))</f>
        <v/>
      </c>
      <c r="M10" s="108">
        <f>IF($B10="","",IF($E10="Ngày thường",N($H10),0))</f>
        <v/>
      </c>
      <c r="N10" s="108">
        <f>IF($B10="","",IF($E10="Nghỉ tuần",N($H10),0))</f>
        <v/>
      </c>
      <c r="O10" s="108">
        <f>IF($B10="","",IF($E10="Lễ",N($H10),0))</f>
        <v/>
      </c>
    </row>
    <row r="11" ht="15" customHeight="1" s="63">
      <c r="A11" s="85">
        <f>IF($B11="","",ROW()-5)</f>
        <v/>
      </c>
      <c r="B11" s="97" t="n"/>
      <c r="C11" s="96">
        <f>IF($B11="","",IFERROR(INDEX(DM_NHAN_SU!$C$6:$C$155,MATCH($B11,DM_NHAN_SU!$B$6:$B$155,0)),"SAI MÃ NV"))</f>
        <v/>
      </c>
      <c r="D11" s="86" t="n"/>
      <c r="E11" s="103">
        <f>IF(OR($B11="",$D11=""),"",IF(COUNTIF(THAM_SO_CC!$F$10:$F$40,$D11)&gt;0,"Lễ",IF(IF(THAM_SO_CC!$B$12="T7+CN",WEEKDAY($D11,2)&gt;=6,WEEKDAY($D11,2)=7),"Nghỉ tuần","Ngày thường")))</f>
        <v/>
      </c>
      <c r="F11" s="107" t="n"/>
      <c r="G11" s="107" t="n"/>
      <c r="H11" s="107" t="n"/>
      <c r="I11" s="81" t="n"/>
      <c r="J11" s="108">
        <f>IF($B11="","",IF($E11="Ngày thường",N($G11),0))</f>
        <v/>
      </c>
      <c r="K11" s="108">
        <f>IF($B11="","",IF($E11="Nghỉ tuần",N($G11),0))</f>
        <v/>
      </c>
      <c r="L11" s="108">
        <f>IF($B11="","",IF($E11="Lễ",N($G11),0))</f>
        <v/>
      </c>
      <c r="M11" s="108">
        <f>IF($B11="","",IF($E11="Ngày thường",N($H11),0))</f>
        <v/>
      </c>
      <c r="N11" s="108">
        <f>IF($B11="","",IF($E11="Nghỉ tuần",N($H11),0))</f>
        <v/>
      </c>
      <c r="O11" s="108">
        <f>IF($B11="","",IF($E11="Lễ",N($H11),0))</f>
        <v/>
      </c>
    </row>
    <row r="12" ht="15" customHeight="1" s="63">
      <c r="A12" s="85">
        <f>IF($B12="","",ROW()-5)</f>
        <v/>
      </c>
      <c r="B12" s="97" t="n"/>
      <c r="C12" s="96">
        <f>IF($B12="","",IFERROR(INDEX(DM_NHAN_SU!$C$6:$C$155,MATCH($B12,DM_NHAN_SU!$B$6:$B$155,0)),"SAI MÃ NV"))</f>
        <v/>
      </c>
      <c r="D12" s="86" t="n"/>
      <c r="E12" s="103">
        <f>IF(OR($B12="",$D12=""),"",IF(COUNTIF(THAM_SO_CC!$F$10:$F$40,$D12)&gt;0,"Lễ",IF(IF(THAM_SO_CC!$B$12="T7+CN",WEEKDAY($D12,2)&gt;=6,WEEKDAY($D12,2)=7),"Nghỉ tuần","Ngày thường")))</f>
        <v/>
      </c>
      <c r="F12" s="107" t="n"/>
      <c r="G12" s="107" t="n"/>
      <c r="H12" s="107" t="n"/>
      <c r="I12" s="81" t="n"/>
      <c r="J12" s="108">
        <f>IF($B12="","",IF($E12="Ngày thường",N($G12),0))</f>
        <v/>
      </c>
      <c r="K12" s="108">
        <f>IF($B12="","",IF($E12="Nghỉ tuần",N($G12),0))</f>
        <v/>
      </c>
      <c r="L12" s="108">
        <f>IF($B12="","",IF($E12="Lễ",N($G12),0))</f>
        <v/>
      </c>
      <c r="M12" s="108">
        <f>IF($B12="","",IF($E12="Ngày thường",N($H12),0))</f>
        <v/>
      </c>
      <c r="N12" s="108">
        <f>IF($B12="","",IF($E12="Nghỉ tuần",N($H12),0))</f>
        <v/>
      </c>
      <c r="O12" s="108">
        <f>IF($B12="","",IF($E12="Lễ",N($H12),0))</f>
        <v/>
      </c>
    </row>
    <row r="13" ht="15" customHeight="1" s="63">
      <c r="A13" s="85">
        <f>IF($B13="","",ROW()-5)</f>
        <v/>
      </c>
      <c r="B13" s="97" t="n"/>
      <c r="C13" s="96">
        <f>IF($B13="","",IFERROR(INDEX(DM_NHAN_SU!$C$6:$C$155,MATCH($B13,DM_NHAN_SU!$B$6:$B$155,0)),"SAI MÃ NV"))</f>
        <v/>
      </c>
      <c r="D13" s="86" t="n"/>
      <c r="E13" s="103">
        <f>IF(OR($B13="",$D13=""),"",IF(COUNTIF(THAM_SO_CC!$F$10:$F$40,$D13)&gt;0,"Lễ",IF(IF(THAM_SO_CC!$B$12="T7+CN",WEEKDAY($D13,2)&gt;=6,WEEKDAY($D13,2)=7),"Nghỉ tuần","Ngày thường")))</f>
        <v/>
      </c>
      <c r="F13" s="107" t="n"/>
      <c r="G13" s="107" t="n"/>
      <c r="H13" s="107" t="n"/>
      <c r="I13" s="81" t="n"/>
      <c r="J13" s="108">
        <f>IF($B13="","",IF($E13="Ngày thường",N($G13),0))</f>
        <v/>
      </c>
      <c r="K13" s="108">
        <f>IF($B13="","",IF($E13="Nghỉ tuần",N($G13),0))</f>
        <v/>
      </c>
      <c r="L13" s="108">
        <f>IF($B13="","",IF($E13="Lễ",N($G13),0))</f>
        <v/>
      </c>
      <c r="M13" s="108">
        <f>IF($B13="","",IF($E13="Ngày thường",N($H13),0))</f>
        <v/>
      </c>
      <c r="N13" s="108">
        <f>IF($B13="","",IF($E13="Nghỉ tuần",N($H13),0))</f>
        <v/>
      </c>
      <c r="O13" s="108">
        <f>IF($B13="","",IF($E13="Lễ",N($H13),0))</f>
        <v/>
      </c>
    </row>
    <row r="14" ht="15" customHeight="1" s="63">
      <c r="A14" s="85">
        <f>IF($B14="","",ROW()-5)</f>
        <v/>
      </c>
      <c r="B14" s="97" t="n"/>
      <c r="C14" s="96">
        <f>IF($B14="","",IFERROR(INDEX(DM_NHAN_SU!$C$6:$C$155,MATCH($B14,DM_NHAN_SU!$B$6:$B$155,0)),"SAI MÃ NV"))</f>
        <v/>
      </c>
      <c r="D14" s="86" t="n"/>
      <c r="E14" s="103">
        <f>IF(OR($B14="",$D14=""),"",IF(COUNTIF(THAM_SO_CC!$F$10:$F$40,$D14)&gt;0,"Lễ",IF(IF(THAM_SO_CC!$B$12="T7+CN",WEEKDAY($D14,2)&gt;=6,WEEKDAY($D14,2)=7),"Nghỉ tuần","Ngày thường")))</f>
        <v/>
      </c>
      <c r="F14" s="107" t="n"/>
      <c r="G14" s="107" t="n"/>
      <c r="H14" s="107" t="n"/>
      <c r="I14" s="81" t="n"/>
      <c r="J14" s="108">
        <f>IF($B14="","",IF($E14="Ngày thường",N($G14),0))</f>
        <v/>
      </c>
      <c r="K14" s="108">
        <f>IF($B14="","",IF($E14="Nghỉ tuần",N($G14),0))</f>
        <v/>
      </c>
      <c r="L14" s="108">
        <f>IF($B14="","",IF($E14="Lễ",N($G14),0))</f>
        <v/>
      </c>
      <c r="M14" s="108">
        <f>IF($B14="","",IF($E14="Ngày thường",N($H14),0))</f>
        <v/>
      </c>
      <c r="N14" s="108">
        <f>IF($B14="","",IF($E14="Nghỉ tuần",N($H14),0))</f>
        <v/>
      </c>
      <c r="O14" s="108">
        <f>IF($B14="","",IF($E14="Lễ",N($H14),0))</f>
        <v/>
      </c>
    </row>
    <row r="15" ht="15" customHeight="1" s="63">
      <c r="A15" s="85">
        <f>IF($B15="","",ROW()-5)</f>
        <v/>
      </c>
      <c r="B15" s="97" t="n"/>
      <c r="C15" s="96">
        <f>IF($B15="","",IFERROR(INDEX(DM_NHAN_SU!$C$6:$C$155,MATCH($B15,DM_NHAN_SU!$B$6:$B$155,0)),"SAI MÃ NV"))</f>
        <v/>
      </c>
      <c r="D15" s="86" t="n"/>
      <c r="E15" s="103">
        <f>IF(OR($B15="",$D15=""),"",IF(COUNTIF(THAM_SO_CC!$F$10:$F$40,$D15)&gt;0,"Lễ",IF(IF(THAM_SO_CC!$B$12="T7+CN",WEEKDAY($D15,2)&gt;=6,WEEKDAY($D15,2)=7),"Nghỉ tuần","Ngày thường")))</f>
        <v/>
      </c>
      <c r="F15" s="107" t="n"/>
      <c r="G15" s="107" t="n"/>
      <c r="H15" s="107" t="n"/>
      <c r="I15" s="81" t="n"/>
      <c r="J15" s="108">
        <f>IF($B15="","",IF($E15="Ngày thường",N($G15),0))</f>
        <v/>
      </c>
      <c r="K15" s="108">
        <f>IF($B15="","",IF($E15="Nghỉ tuần",N($G15),0))</f>
        <v/>
      </c>
      <c r="L15" s="108">
        <f>IF($B15="","",IF($E15="Lễ",N($G15),0))</f>
        <v/>
      </c>
      <c r="M15" s="108">
        <f>IF($B15="","",IF($E15="Ngày thường",N($H15),0))</f>
        <v/>
      </c>
      <c r="N15" s="108">
        <f>IF($B15="","",IF($E15="Nghỉ tuần",N($H15),0))</f>
        <v/>
      </c>
      <c r="O15" s="108">
        <f>IF($B15="","",IF($E15="Lễ",N($H15),0))</f>
        <v/>
      </c>
    </row>
    <row r="16" ht="15" customHeight="1" s="63">
      <c r="A16" s="85">
        <f>IF($B16="","",ROW()-5)</f>
        <v/>
      </c>
      <c r="B16" s="97" t="n"/>
      <c r="C16" s="96">
        <f>IF($B16="","",IFERROR(INDEX(DM_NHAN_SU!$C$6:$C$155,MATCH($B16,DM_NHAN_SU!$B$6:$B$155,0)),"SAI MÃ NV"))</f>
        <v/>
      </c>
      <c r="D16" s="86" t="n"/>
      <c r="E16" s="103">
        <f>IF(OR($B16="",$D16=""),"",IF(COUNTIF(THAM_SO_CC!$F$10:$F$40,$D16)&gt;0,"Lễ",IF(IF(THAM_SO_CC!$B$12="T7+CN",WEEKDAY($D16,2)&gt;=6,WEEKDAY($D16,2)=7),"Nghỉ tuần","Ngày thường")))</f>
        <v/>
      </c>
      <c r="F16" s="107" t="n"/>
      <c r="G16" s="107" t="n"/>
      <c r="H16" s="107" t="n"/>
      <c r="I16" s="81" t="n"/>
      <c r="J16" s="108">
        <f>IF($B16="","",IF($E16="Ngày thường",N($G16),0))</f>
        <v/>
      </c>
      <c r="K16" s="108">
        <f>IF($B16="","",IF($E16="Nghỉ tuần",N($G16),0))</f>
        <v/>
      </c>
      <c r="L16" s="108">
        <f>IF($B16="","",IF($E16="Lễ",N($G16),0))</f>
        <v/>
      </c>
      <c r="M16" s="108">
        <f>IF($B16="","",IF($E16="Ngày thường",N($H16),0))</f>
        <v/>
      </c>
      <c r="N16" s="108">
        <f>IF($B16="","",IF($E16="Nghỉ tuần",N($H16),0))</f>
        <v/>
      </c>
      <c r="O16" s="108">
        <f>IF($B16="","",IF($E16="Lễ",N($H16),0))</f>
        <v/>
      </c>
    </row>
    <row r="17" ht="15" customHeight="1" s="63">
      <c r="A17" s="85">
        <f>IF($B17="","",ROW()-5)</f>
        <v/>
      </c>
      <c r="B17" s="97" t="n"/>
      <c r="C17" s="96">
        <f>IF($B17="","",IFERROR(INDEX(DM_NHAN_SU!$C$6:$C$155,MATCH($B17,DM_NHAN_SU!$B$6:$B$155,0)),"SAI MÃ NV"))</f>
        <v/>
      </c>
      <c r="D17" s="86" t="n"/>
      <c r="E17" s="103">
        <f>IF(OR($B17="",$D17=""),"",IF(COUNTIF(THAM_SO_CC!$F$10:$F$40,$D17)&gt;0,"Lễ",IF(IF(THAM_SO_CC!$B$12="T7+CN",WEEKDAY($D17,2)&gt;=6,WEEKDAY($D17,2)=7),"Nghỉ tuần","Ngày thường")))</f>
        <v/>
      </c>
      <c r="F17" s="107" t="n"/>
      <c r="G17" s="107" t="n"/>
      <c r="H17" s="107" t="n"/>
      <c r="I17" s="81" t="n"/>
      <c r="J17" s="108">
        <f>IF($B17="","",IF($E17="Ngày thường",N($G17),0))</f>
        <v/>
      </c>
      <c r="K17" s="108">
        <f>IF($B17="","",IF($E17="Nghỉ tuần",N($G17),0))</f>
        <v/>
      </c>
      <c r="L17" s="108">
        <f>IF($B17="","",IF($E17="Lễ",N($G17),0))</f>
        <v/>
      </c>
      <c r="M17" s="108">
        <f>IF($B17="","",IF($E17="Ngày thường",N($H17),0))</f>
        <v/>
      </c>
      <c r="N17" s="108">
        <f>IF($B17="","",IF($E17="Nghỉ tuần",N($H17),0))</f>
        <v/>
      </c>
      <c r="O17" s="108">
        <f>IF($B17="","",IF($E17="Lễ",N($H17),0))</f>
        <v/>
      </c>
    </row>
    <row r="18" ht="15" customHeight="1" s="63">
      <c r="A18" s="85">
        <f>IF($B18="","",ROW()-5)</f>
        <v/>
      </c>
      <c r="B18" s="97" t="n"/>
      <c r="C18" s="96">
        <f>IF($B18="","",IFERROR(INDEX(DM_NHAN_SU!$C$6:$C$155,MATCH($B18,DM_NHAN_SU!$B$6:$B$155,0)),"SAI MÃ NV"))</f>
        <v/>
      </c>
      <c r="D18" s="86" t="n"/>
      <c r="E18" s="103">
        <f>IF(OR($B18="",$D18=""),"",IF(COUNTIF(THAM_SO_CC!$F$10:$F$40,$D18)&gt;0,"Lễ",IF(IF(THAM_SO_CC!$B$12="T7+CN",WEEKDAY($D18,2)&gt;=6,WEEKDAY($D18,2)=7),"Nghỉ tuần","Ngày thường")))</f>
        <v/>
      </c>
      <c r="F18" s="107" t="n"/>
      <c r="G18" s="107" t="n"/>
      <c r="H18" s="107" t="n"/>
      <c r="I18" s="81" t="n"/>
      <c r="J18" s="108">
        <f>IF($B18="","",IF($E18="Ngày thường",N($G18),0))</f>
        <v/>
      </c>
      <c r="K18" s="108">
        <f>IF($B18="","",IF($E18="Nghỉ tuần",N($G18),0))</f>
        <v/>
      </c>
      <c r="L18" s="108">
        <f>IF($B18="","",IF($E18="Lễ",N($G18),0))</f>
        <v/>
      </c>
      <c r="M18" s="108">
        <f>IF($B18="","",IF($E18="Ngày thường",N($H18),0))</f>
        <v/>
      </c>
      <c r="N18" s="108">
        <f>IF($B18="","",IF($E18="Nghỉ tuần",N($H18),0))</f>
        <v/>
      </c>
      <c r="O18" s="108">
        <f>IF($B18="","",IF($E18="Lễ",N($H18),0))</f>
        <v/>
      </c>
    </row>
    <row r="19" ht="15" customHeight="1" s="63">
      <c r="A19" s="85">
        <f>IF($B19="","",ROW()-5)</f>
        <v/>
      </c>
      <c r="B19" s="97" t="n"/>
      <c r="C19" s="96">
        <f>IF($B19="","",IFERROR(INDEX(DM_NHAN_SU!$C$6:$C$155,MATCH($B19,DM_NHAN_SU!$B$6:$B$155,0)),"SAI MÃ NV"))</f>
        <v/>
      </c>
      <c r="D19" s="86" t="n"/>
      <c r="E19" s="103">
        <f>IF(OR($B19="",$D19=""),"",IF(COUNTIF(THAM_SO_CC!$F$10:$F$40,$D19)&gt;0,"Lễ",IF(IF(THAM_SO_CC!$B$12="T7+CN",WEEKDAY($D19,2)&gt;=6,WEEKDAY($D19,2)=7),"Nghỉ tuần","Ngày thường")))</f>
        <v/>
      </c>
      <c r="F19" s="107" t="n"/>
      <c r="G19" s="107" t="n"/>
      <c r="H19" s="107" t="n"/>
      <c r="I19" s="81" t="n"/>
      <c r="J19" s="108">
        <f>IF($B19="","",IF($E19="Ngày thường",N($G19),0))</f>
        <v/>
      </c>
      <c r="K19" s="108">
        <f>IF($B19="","",IF($E19="Nghỉ tuần",N($G19),0))</f>
        <v/>
      </c>
      <c r="L19" s="108">
        <f>IF($B19="","",IF($E19="Lễ",N($G19),0))</f>
        <v/>
      </c>
      <c r="M19" s="108">
        <f>IF($B19="","",IF($E19="Ngày thường",N($H19),0))</f>
        <v/>
      </c>
      <c r="N19" s="108">
        <f>IF($B19="","",IF($E19="Nghỉ tuần",N($H19),0))</f>
        <v/>
      </c>
      <c r="O19" s="108">
        <f>IF($B19="","",IF($E19="Lễ",N($H19),0))</f>
        <v/>
      </c>
    </row>
    <row r="20" ht="15" customHeight="1" s="63">
      <c r="A20" s="85">
        <f>IF($B20="","",ROW()-5)</f>
        <v/>
      </c>
      <c r="B20" s="97" t="n"/>
      <c r="C20" s="96">
        <f>IF($B20="","",IFERROR(INDEX(DM_NHAN_SU!$C$6:$C$155,MATCH($B20,DM_NHAN_SU!$B$6:$B$155,0)),"SAI MÃ NV"))</f>
        <v/>
      </c>
      <c r="D20" s="86" t="n"/>
      <c r="E20" s="103">
        <f>IF(OR($B20="",$D20=""),"",IF(COUNTIF(THAM_SO_CC!$F$10:$F$40,$D20)&gt;0,"Lễ",IF(IF(THAM_SO_CC!$B$12="T7+CN",WEEKDAY($D20,2)&gt;=6,WEEKDAY($D20,2)=7),"Nghỉ tuần","Ngày thường")))</f>
        <v/>
      </c>
      <c r="F20" s="107" t="n"/>
      <c r="G20" s="107" t="n"/>
      <c r="H20" s="107" t="n"/>
      <c r="I20" s="81" t="n"/>
      <c r="J20" s="108">
        <f>IF($B20="","",IF($E20="Ngày thường",N($G20),0))</f>
        <v/>
      </c>
      <c r="K20" s="108">
        <f>IF($B20="","",IF($E20="Nghỉ tuần",N($G20),0))</f>
        <v/>
      </c>
      <c r="L20" s="108">
        <f>IF($B20="","",IF($E20="Lễ",N($G20),0))</f>
        <v/>
      </c>
      <c r="M20" s="108">
        <f>IF($B20="","",IF($E20="Ngày thường",N($H20),0))</f>
        <v/>
      </c>
      <c r="N20" s="108">
        <f>IF($B20="","",IF($E20="Nghỉ tuần",N($H20),0))</f>
        <v/>
      </c>
      <c r="O20" s="108">
        <f>IF($B20="","",IF($E20="Lễ",N($H20),0))</f>
        <v/>
      </c>
    </row>
    <row r="21" ht="15" customHeight="1" s="63">
      <c r="A21" s="85">
        <f>IF($B21="","",ROW()-5)</f>
        <v/>
      </c>
      <c r="B21" s="97" t="n"/>
      <c r="C21" s="96">
        <f>IF($B21="","",IFERROR(INDEX(DM_NHAN_SU!$C$6:$C$155,MATCH($B21,DM_NHAN_SU!$B$6:$B$155,0)),"SAI MÃ NV"))</f>
        <v/>
      </c>
      <c r="D21" s="86" t="n"/>
      <c r="E21" s="103">
        <f>IF(OR($B21="",$D21=""),"",IF(COUNTIF(THAM_SO_CC!$F$10:$F$40,$D21)&gt;0,"Lễ",IF(IF(THAM_SO_CC!$B$12="T7+CN",WEEKDAY($D21,2)&gt;=6,WEEKDAY($D21,2)=7),"Nghỉ tuần","Ngày thường")))</f>
        <v/>
      </c>
      <c r="F21" s="107" t="n"/>
      <c r="G21" s="107" t="n"/>
      <c r="H21" s="107" t="n"/>
      <c r="I21" s="81" t="n"/>
      <c r="J21" s="108">
        <f>IF($B21="","",IF($E21="Ngày thường",N($G21),0))</f>
        <v/>
      </c>
      <c r="K21" s="108">
        <f>IF($B21="","",IF($E21="Nghỉ tuần",N($G21),0))</f>
        <v/>
      </c>
      <c r="L21" s="108">
        <f>IF($B21="","",IF($E21="Lễ",N($G21),0))</f>
        <v/>
      </c>
      <c r="M21" s="108">
        <f>IF($B21="","",IF($E21="Ngày thường",N($H21),0))</f>
        <v/>
      </c>
      <c r="N21" s="108">
        <f>IF($B21="","",IF($E21="Nghỉ tuần",N($H21),0))</f>
        <v/>
      </c>
      <c r="O21" s="108">
        <f>IF($B21="","",IF($E21="Lễ",N($H21),0))</f>
        <v/>
      </c>
    </row>
    <row r="22" ht="15" customHeight="1" s="63">
      <c r="A22" s="85">
        <f>IF($B22="","",ROW()-5)</f>
        <v/>
      </c>
      <c r="B22" s="97" t="n"/>
      <c r="C22" s="96">
        <f>IF($B22="","",IFERROR(INDEX(DM_NHAN_SU!$C$6:$C$155,MATCH($B22,DM_NHAN_SU!$B$6:$B$155,0)),"SAI MÃ NV"))</f>
        <v/>
      </c>
      <c r="D22" s="86" t="n"/>
      <c r="E22" s="103">
        <f>IF(OR($B22="",$D22=""),"",IF(COUNTIF(THAM_SO_CC!$F$10:$F$40,$D22)&gt;0,"Lễ",IF(IF(THAM_SO_CC!$B$12="T7+CN",WEEKDAY($D22,2)&gt;=6,WEEKDAY($D22,2)=7),"Nghỉ tuần","Ngày thường")))</f>
        <v/>
      </c>
      <c r="F22" s="107" t="n"/>
      <c r="G22" s="107" t="n"/>
      <c r="H22" s="107" t="n"/>
      <c r="I22" s="81" t="n"/>
      <c r="J22" s="108">
        <f>IF($B22="","",IF($E22="Ngày thường",N($G22),0))</f>
        <v/>
      </c>
      <c r="K22" s="108">
        <f>IF($B22="","",IF($E22="Nghỉ tuần",N($G22),0))</f>
        <v/>
      </c>
      <c r="L22" s="108">
        <f>IF($B22="","",IF($E22="Lễ",N($G22),0))</f>
        <v/>
      </c>
      <c r="M22" s="108">
        <f>IF($B22="","",IF($E22="Ngày thường",N($H22),0))</f>
        <v/>
      </c>
      <c r="N22" s="108">
        <f>IF($B22="","",IF($E22="Nghỉ tuần",N($H22),0))</f>
        <v/>
      </c>
      <c r="O22" s="108">
        <f>IF($B22="","",IF($E22="Lễ",N($H22),0))</f>
        <v/>
      </c>
    </row>
    <row r="23" ht="15" customHeight="1" s="63">
      <c r="A23" s="85">
        <f>IF($B23="","",ROW()-5)</f>
        <v/>
      </c>
      <c r="B23" s="97" t="n"/>
      <c r="C23" s="96">
        <f>IF($B23="","",IFERROR(INDEX(DM_NHAN_SU!$C$6:$C$155,MATCH($B23,DM_NHAN_SU!$B$6:$B$155,0)),"SAI MÃ NV"))</f>
        <v/>
      </c>
      <c r="D23" s="86" t="n"/>
      <c r="E23" s="103">
        <f>IF(OR($B23="",$D23=""),"",IF(COUNTIF(THAM_SO_CC!$F$10:$F$40,$D23)&gt;0,"Lễ",IF(IF(THAM_SO_CC!$B$12="T7+CN",WEEKDAY($D23,2)&gt;=6,WEEKDAY($D23,2)=7),"Nghỉ tuần","Ngày thường")))</f>
        <v/>
      </c>
      <c r="F23" s="107" t="n"/>
      <c r="G23" s="107" t="n"/>
      <c r="H23" s="107" t="n"/>
      <c r="I23" s="81" t="n"/>
      <c r="J23" s="108">
        <f>IF($B23="","",IF($E23="Ngày thường",N($G23),0))</f>
        <v/>
      </c>
      <c r="K23" s="108">
        <f>IF($B23="","",IF($E23="Nghỉ tuần",N($G23),0))</f>
        <v/>
      </c>
      <c r="L23" s="108">
        <f>IF($B23="","",IF($E23="Lễ",N($G23),0))</f>
        <v/>
      </c>
      <c r="M23" s="108">
        <f>IF($B23="","",IF($E23="Ngày thường",N($H23),0))</f>
        <v/>
      </c>
      <c r="N23" s="108">
        <f>IF($B23="","",IF($E23="Nghỉ tuần",N($H23),0))</f>
        <v/>
      </c>
      <c r="O23" s="108">
        <f>IF($B23="","",IF($E23="Lễ",N($H23),0))</f>
        <v/>
      </c>
    </row>
    <row r="24" ht="15" customHeight="1" s="63">
      <c r="A24" s="85">
        <f>IF($B24="","",ROW()-5)</f>
        <v/>
      </c>
      <c r="B24" s="97" t="n"/>
      <c r="C24" s="96">
        <f>IF($B24="","",IFERROR(INDEX(DM_NHAN_SU!$C$6:$C$155,MATCH($B24,DM_NHAN_SU!$B$6:$B$155,0)),"SAI MÃ NV"))</f>
        <v/>
      </c>
      <c r="D24" s="86" t="n"/>
      <c r="E24" s="103">
        <f>IF(OR($B24="",$D24=""),"",IF(COUNTIF(THAM_SO_CC!$F$10:$F$40,$D24)&gt;0,"Lễ",IF(IF(THAM_SO_CC!$B$12="T7+CN",WEEKDAY($D24,2)&gt;=6,WEEKDAY($D24,2)=7),"Nghỉ tuần","Ngày thường")))</f>
        <v/>
      </c>
      <c r="F24" s="107" t="n"/>
      <c r="G24" s="107" t="n"/>
      <c r="H24" s="107" t="n"/>
      <c r="I24" s="81" t="n"/>
      <c r="J24" s="108">
        <f>IF($B24="","",IF($E24="Ngày thường",N($G24),0))</f>
        <v/>
      </c>
      <c r="K24" s="108">
        <f>IF($B24="","",IF($E24="Nghỉ tuần",N($G24),0))</f>
        <v/>
      </c>
      <c r="L24" s="108">
        <f>IF($B24="","",IF($E24="Lễ",N($G24),0))</f>
        <v/>
      </c>
      <c r="M24" s="108">
        <f>IF($B24="","",IF($E24="Ngày thường",N($H24),0))</f>
        <v/>
      </c>
      <c r="N24" s="108">
        <f>IF($B24="","",IF($E24="Nghỉ tuần",N($H24),0))</f>
        <v/>
      </c>
      <c r="O24" s="108">
        <f>IF($B24="","",IF($E24="Lễ",N($H24),0))</f>
        <v/>
      </c>
    </row>
    <row r="25" ht="15" customHeight="1" s="63">
      <c r="A25" s="85">
        <f>IF($B25="","",ROW()-5)</f>
        <v/>
      </c>
      <c r="B25" s="97" t="n"/>
      <c r="C25" s="96">
        <f>IF($B25="","",IFERROR(INDEX(DM_NHAN_SU!$C$6:$C$155,MATCH($B25,DM_NHAN_SU!$B$6:$B$155,0)),"SAI MÃ NV"))</f>
        <v/>
      </c>
      <c r="D25" s="86" t="n"/>
      <c r="E25" s="103">
        <f>IF(OR($B25="",$D25=""),"",IF(COUNTIF(THAM_SO_CC!$F$10:$F$40,$D25)&gt;0,"Lễ",IF(IF(THAM_SO_CC!$B$12="T7+CN",WEEKDAY($D25,2)&gt;=6,WEEKDAY($D25,2)=7),"Nghỉ tuần","Ngày thường")))</f>
        <v/>
      </c>
      <c r="F25" s="107" t="n"/>
      <c r="G25" s="107" t="n"/>
      <c r="H25" s="107" t="n"/>
      <c r="I25" s="81" t="n"/>
      <c r="J25" s="108">
        <f>IF($B25="","",IF($E25="Ngày thường",N($G25),0))</f>
        <v/>
      </c>
      <c r="K25" s="108">
        <f>IF($B25="","",IF($E25="Nghỉ tuần",N($G25),0))</f>
        <v/>
      </c>
      <c r="L25" s="108">
        <f>IF($B25="","",IF($E25="Lễ",N($G25),0))</f>
        <v/>
      </c>
      <c r="M25" s="108">
        <f>IF($B25="","",IF($E25="Ngày thường",N($H25),0))</f>
        <v/>
      </c>
      <c r="N25" s="108">
        <f>IF($B25="","",IF($E25="Nghỉ tuần",N($H25),0))</f>
        <v/>
      </c>
      <c r="O25" s="108">
        <f>IF($B25="","",IF($E25="Lễ",N($H25),0))</f>
        <v/>
      </c>
    </row>
    <row r="26" ht="15" customHeight="1" s="63">
      <c r="A26" s="85">
        <f>IF($B26="","",ROW()-5)</f>
        <v/>
      </c>
      <c r="B26" s="97" t="n"/>
      <c r="C26" s="96">
        <f>IF($B26="","",IFERROR(INDEX(DM_NHAN_SU!$C$6:$C$155,MATCH($B26,DM_NHAN_SU!$B$6:$B$155,0)),"SAI MÃ NV"))</f>
        <v/>
      </c>
      <c r="D26" s="86" t="n"/>
      <c r="E26" s="103">
        <f>IF(OR($B26="",$D26=""),"",IF(COUNTIF(THAM_SO_CC!$F$10:$F$40,$D26)&gt;0,"Lễ",IF(IF(THAM_SO_CC!$B$12="T7+CN",WEEKDAY($D26,2)&gt;=6,WEEKDAY($D26,2)=7),"Nghỉ tuần","Ngày thường")))</f>
        <v/>
      </c>
      <c r="F26" s="107" t="n"/>
      <c r="G26" s="107" t="n"/>
      <c r="H26" s="107" t="n"/>
      <c r="I26" s="81" t="n"/>
      <c r="J26" s="108">
        <f>IF($B26="","",IF($E26="Ngày thường",N($G26),0))</f>
        <v/>
      </c>
      <c r="K26" s="108">
        <f>IF($B26="","",IF($E26="Nghỉ tuần",N($G26),0))</f>
        <v/>
      </c>
      <c r="L26" s="108">
        <f>IF($B26="","",IF($E26="Lễ",N($G26),0))</f>
        <v/>
      </c>
      <c r="M26" s="108">
        <f>IF($B26="","",IF($E26="Ngày thường",N($H26),0))</f>
        <v/>
      </c>
      <c r="N26" s="108">
        <f>IF($B26="","",IF($E26="Nghỉ tuần",N($H26),0))</f>
        <v/>
      </c>
      <c r="O26" s="108">
        <f>IF($B26="","",IF($E26="Lễ",N($H26),0))</f>
        <v/>
      </c>
    </row>
    <row r="27" ht="15" customHeight="1" s="63">
      <c r="A27" s="85">
        <f>IF($B27="","",ROW()-5)</f>
        <v/>
      </c>
      <c r="B27" s="97" t="n"/>
      <c r="C27" s="96">
        <f>IF($B27="","",IFERROR(INDEX(DM_NHAN_SU!$C$6:$C$155,MATCH($B27,DM_NHAN_SU!$B$6:$B$155,0)),"SAI MÃ NV"))</f>
        <v/>
      </c>
      <c r="D27" s="86" t="n"/>
      <c r="E27" s="103">
        <f>IF(OR($B27="",$D27=""),"",IF(COUNTIF(THAM_SO_CC!$F$10:$F$40,$D27)&gt;0,"Lễ",IF(IF(THAM_SO_CC!$B$12="T7+CN",WEEKDAY($D27,2)&gt;=6,WEEKDAY($D27,2)=7),"Nghỉ tuần","Ngày thường")))</f>
        <v/>
      </c>
      <c r="F27" s="107" t="n"/>
      <c r="G27" s="107" t="n"/>
      <c r="H27" s="107" t="n"/>
      <c r="I27" s="81" t="n"/>
      <c r="J27" s="108">
        <f>IF($B27="","",IF($E27="Ngày thường",N($G27),0))</f>
        <v/>
      </c>
      <c r="K27" s="108">
        <f>IF($B27="","",IF($E27="Nghỉ tuần",N($G27),0))</f>
        <v/>
      </c>
      <c r="L27" s="108">
        <f>IF($B27="","",IF($E27="Lễ",N($G27),0))</f>
        <v/>
      </c>
      <c r="M27" s="108">
        <f>IF($B27="","",IF($E27="Ngày thường",N($H27),0))</f>
        <v/>
      </c>
      <c r="N27" s="108">
        <f>IF($B27="","",IF($E27="Nghỉ tuần",N($H27),0))</f>
        <v/>
      </c>
      <c r="O27" s="108">
        <f>IF($B27="","",IF($E27="Lễ",N($H27),0))</f>
        <v/>
      </c>
    </row>
    <row r="28" ht="15" customHeight="1" s="63">
      <c r="A28" s="85">
        <f>IF($B28="","",ROW()-5)</f>
        <v/>
      </c>
      <c r="B28" s="97" t="n"/>
      <c r="C28" s="96">
        <f>IF($B28="","",IFERROR(INDEX(DM_NHAN_SU!$C$6:$C$155,MATCH($B28,DM_NHAN_SU!$B$6:$B$155,0)),"SAI MÃ NV"))</f>
        <v/>
      </c>
      <c r="D28" s="86" t="n"/>
      <c r="E28" s="103">
        <f>IF(OR($B28="",$D28=""),"",IF(COUNTIF(THAM_SO_CC!$F$10:$F$40,$D28)&gt;0,"Lễ",IF(IF(THAM_SO_CC!$B$12="T7+CN",WEEKDAY($D28,2)&gt;=6,WEEKDAY($D28,2)=7),"Nghỉ tuần","Ngày thường")))</f>
        <v/>
      </c>
      <c r="F28" s="107" t="n"/>
      <c r="G28" s="107" t="n"/>
      <c r="H28" s="107" t="n"/>
      <c r="I28" s="81" t="n"/>
      <c r="J28" s="108">
        <f>IF($B28="","",IF($E28="Ngày thường",N($G28),0))</f>
        <v/>
      </c>
      <c r="K28" s="108">
        <f>IF($B28="","",IF($E28="Nghỉ tuần",N($G28),0))</f>
        <v/>
      </c>
      <c r="L28" s="108">
        <f>IF($B28="","",IF($E28="Lễ",N($G28),0))</f>
        <v/>
      </c>
      <c r="M28" s="108">
        <f>IF($B28="","",IF($E28="Ngày thường",N($H28),0))</f>
        <v/>
      </c>
      <c r="N28" s="108">
        <f>IF($B28="","",IF($E28="Nghỉ tuần",N($H28),0))</f>
        <v/>
      </c>
      <c r="O28" s="108">
        <f>IF($B28="","",IF($E28="Lễ",N($H28),0))</f>
        <v/>
      </c>
    </row>
    <row r="29" ht="15" customHeight="1" s="63">
      <c r="A29" s="85">
        <f>IF($B29="","",ROW()-5)</f>
        <v/>
      </c>
      <c r="B29" s="97" t="n"/>
      <c r="C29" s="96">
        <f>IF($B29="","",IFERROR(INDEX(DM_NHAN_SU!$C$6:$C$155,MATCH($B29,DM_NHAN_SU!$B$6:$B$155,0)),"SAI MÃ NV"))</f>
        <v/>
      </c>
      <c r="D29" s="86" t="n"/>
      <c r="E29" s="103">
        <f>IF(OR($B29="",$D29=""),"",IF(COUNTIF(THAM_SO_CC!$F$10:$F$40,$D29)&gt;0,"Lễ",IF(IF(THAM_SO_CC!$B$12="T7+CN",WEEKDAY($D29,2)&gt;=6,WEEKDAY($D29,2)=7),"Nghỉ tuần","Ngày thường")))</f>
        <v/>
      </c>
      <c r="F29" s="107" t="n"/>
      <c r="G29" s="107" t="n"/>
      <c r="H29" s="107" t="n"/>
      <c r="I29" s="81" t="n"/>
      <c r="J29" s="108">
        <f>IF($B29="","",IF($E29="Ngày thường",N($G29),0))</f>
        <v/>
      </c>
      <c r="K29" s="108">
        <f>IF($B29="","",IF($E29="Nghỉ tuần",N($G29),0))</f>
        <v/>
      </c>
      <c r="L29" s="108">
        <f>IF($B29="","",IF($E29="Lễ",N($G29),0))</f>
        <v/>
      </c>
      <c r="M29" s="108">
        <f>IF($B29="","",IF($E29="Ngày thường",N($H29),0))</f>
        <v/>
      </c>
      <c r="N29" s="108">
        <f>IF($B29="","",IF($E29="Nghỉ tuần",N($H29),0))</f>
        <v/>
      </c>
      <c r="O29" s="108">
        <f>IF($B29="","",IF($E29="Lễ",N($H29),0))</f>
        <v/>
      </c>
    </row>
    <row r="30" ht="15" customHeight="1" s="63">
      <c r="A30" s="85">
        <f>IF($B30="","",ROW()-5)</f>
        <v/>
      </c>
      <c r="B30" s="97" t="n"/>
      <c r="C30" s="96">
        <f>IF($B30="","",IFERROR(INDEX(DM_NHAN_SU!$C$6:$C$155,MATCH($B30,DM_NHAN_SU!$B$6:$B$155,0)),"SAI MÃ NV"))</f>
        <v/>
      </c>
      <c r="D30" s="86" t="n"/>
      <c r="E30" s="103">
        <f>IF(OR($B30="",$D30=""),"",IF(COUNTIF(THAM_SO_CC!$F$10:$F$40,$D30)&gt;0,"Lễ",IF(IF(THAM_SO_CC!$B$12="T7+CN",WEEKDAY($D30,2)&gt;=6,WEEKDAY($D30,2)=7),"Nghỉ tuần","Ngày thường")))</f>
        <v/>
      </c>
      <c r="F30" s="107" t="n"/>
      <c r="G30" s="107" t="n"/>
      <c r="H30" s="107" t="n"/>
      <c r="I30" s="81" t="n"/>
      <c r="J30" s="108">
        <f>IF($B30="","",IF($E30="Ngày thường",N($G30),0))</f>
        <v/>
      </c>
      <c r="K30" s="108">
        <f>IF($B30="","",IF($E30="Nghỉ tuần",N($G30),0))</f>
        <v/>
      </c>
      <c r="L30" s="108">
        <f>IF($B30="","",IF($E30="Lễ",N($G30),0))</f>
        <v/>
      </c>
      <c r="M30" s="108">
        <f>IF($B30="","",IF($E30="Ngày thường",N($H30),0))</f>
        <v/>
      </c>
      <c r="N30" s="108">
        <f>IF($B30="","",IF($E30="Nghỉ tuần",N($H30),0))</f>
        <v/>
      </c>
      <c r="O30" s="108">
        <f>IF($B30="","",IF($E30="Lễ",N($H30),0))</f>
        <v/>
      </c>
    </row>
    <row r="31" ht="15" customHeight="1" s="63">
      <c r="A31" s="85">
        <f>IF($B31="","",ROW()-5)</f>
        <v/>
      </c>
      <c r="B31" s="97" t="n"/>
      <c r="C31" s="96">
        <f>IF($B31="","",IFERROR(INDEX(DM_NHAN_SU!$C$6:$C$155,MATCH($B31,DM_NHAN_SU!$B$6:$B$155,0)),"SAI MÃ NV"))</f>
        <v/>
      </c>
      <c r="D31" s="86" t="n"/>
      <c r="E31" s="103">
        <f>IF(OR($B31="",$D31=""),"",IF(COUNTIF(THAM_SO_CC!$F$10:$F$40,$D31)&gt;0,"Lễ",IF(IF(THAM_SO_CC!$B$12="T7+CN",WEEKDAY($D31,2)&gt;=6,WEEKDAY($D31,2)=7),"Nghỉ tuần","Ngày thường")))</f>
        <v/>
      </c>
      <c r="F31" s="107" t="n"/>
      <c r="G31" s="107" t="n"/>
      <c r="H31" s="107" t="n"/>
      <c r="I31" s="81" t="n"/>
      <c r="J31" s="108">
        <f>IF($B31="","",IF($E31="Ngày thường",N($G31),0))</f>
        <v/>
      </c>
      <c r="K31" s="108">
        <f>IF($B31="","",IF($E31="Nghỉ tuần",N($G31),0))</f>
        <v/>
      </c>
      <c r="L31" s="108">
        <f>IF($B31="","",IF($E31="Lễ",N($G31),0))</f>
        <v/>
      </c>
      <c r="M31" s="108">
        <f>IF($B31="","",IF($E31="Ngày thường",N($H31),0))</f>
        <v/>
      </c>
      <c r="N31" s="108">
        <f>IF($B31="","",IF($E31="Nghỉ tuần",N($H31),0))</f>
        <v/>
      </c>
      <c r="O31" s="108">
        <f>IF($B31="","",IF($E31="Lễ",N($H31),0))</f>
        <v/>
      </c>
    </row>
    <row r="32" ht="15" customHeight="1" s="63">
      <c r="A32" s="85">
        <f>IF($B32="","",ROW()-5)</f>
        <v/>
      </c>
      <c r="B32" s="97" t="n"/>
      <c r="C32" s="96">
        <f>IF($B32="","",IFERROR(INDEX(DM_NHAN_SU!$C$6:$C$155,MATCH($B32,DM_NHAN_SU!$B$6:$B$155,0)),"SAI MÃ NV"))</f>
        <v/>
      </c>
      <c r="D32" s="86" t="n"/>
      <c r="E32" s="103">
        <f>IF(OR($B32="",$D32=""),"",IF(COUNTIF(THAM_SO_CC!$F$10:$F$40,$D32)&gt;0,"Lễ",IF(IF(THAM_SO_CC!$B$12="T7+CN",WEEKDAY($D32,2)&gt;=6,WEEKDAY($D32,2)=7),"Nghỉ tuần","Ngày thường")))</f>
        <v/>
      </c>
      <c r="F32" s="107" t="n"/>
      <c r="G32" s="107" t="n"/>
      <c r="H32" s="107" t="n"/>
      <c r="I32" s="81" t="n"/>
      <c r="J32" s="108">
        <f>IF($B32="","",IF($E32="Ngày thường",N($G32),0))</f>
        <v/>
      </c>
      <c r="K32" s="108">
        <f>IF($B32="","",IF($E32="Nghỉ tuần",N($G32),0))</f>
        <v/>
      </c>
      <c r="L32" s="108">
        <f>IF($B32="","",IF($E32="Lễ",N($G32),0))</f>
        <v/>
      </c>
      <c r="M32" s="108">
        <f>IF($B32="","",IF($E32="Ngày thường",N($H32),0))</f>
        <v/>
      </c>
      <c r="N32" s="108">
        <f>IF($B32="","",IF($E32="Nghỉ tuần",N($H32),0))</f>
        <v/>
      </c>
      <c r="O32" s="108">
        <f>IF($B32="","",IF($E32="Lễ",N($H32),0))</f>
        <v/>
      </c>
    </row>
    <row r="33" ht="15" customHeight="1" s="63">
      <c r="A33" s="85">
        <f>IF($B33="","",ROW()-5)</f>
        <v/>
      </c>
      <c r="B33" s="97" t="n"/>
      <c r="C33" s="96">
        <f>IF($B33="","",IFERROR(INDEX(DM_NHAN_SU!$C$6:$C$155,MATCH($B33,DM_NHAN_SU!$B$6:$B$155,0)),"SAI MÃ NV"))</f>
        <v/>
      </c>
      <c r="D33" s="86" t="n"/>
      <c r="E33" s="103">
        <f>IF(OR($B33="",$D33=""),"",IF(COUNTIF(THAM_SO_CC!$F$10:$F$40,$D33)&gt;0,"Lễ",IF(IF(THAM_SO_CC!$B$12="T7+CN",WEEKDAY($D33,2)&gt;=6,WEEKDAY($D33,2)=7),"Nghỉ tuần","Ngày thường")))</f>
        <v/>
      </c>
      <c r="F33" s="107" t="n"/>
      <c r="G33" s="107" t="n"/>
      <c r="H33" s="107" t="n"/>
      <c r="I33" s="81" t="n"/>
      <c r="J33" s="108">
        <f>IF($B33="","",IF($E33="Ngày thường",N($G33),0))</f>
        <v/>
      </c>
      <c r="K33" s="108">
        <f>IF($B33="","",IF($E33="Nghỉ tuần",N($G33),0))</f>
        <v/>
      </c>
      <c r="L33" s="108">
        <f>IF($B33="","",IF($E33="Lễ",N($G33),0))</f>
        <v/>
      </c>
      <c r="M33" s="108">
        <f>IF($B33="","",IF($E33="Ngày thường",N($H33),0))</f>
        <v/>
      </c>
      <c r="N33" s="108">
        <f>IF($B33="","",IF($E33="Nghỉ tuần",N($H33),0))</f>
        <v/>
      </c>
      <c r="O33" s="108">
        <f>IF($B33="","",IF($E33="Lễ",N($H33),0))</f>
        <v/>
      </c>
    </row>
    <row r="34" ht="15" customHeight="1" s="63">
      <c r="A34" s="85">
        <f>IF($B34="","",ROW()-5)</f>
        <v/>
      </c>
      <c r="B34" s="97" t="n"/>
      <c r="C34" s="96">
        <f>IF($B34="","",IFERROR(INDEX(DM_NHAN_SU!$C$6:$C$155,MATCH($B34,DM_NHAN_SU!$B$6:$B$155,0)),"SAI MÃ NV"))</f>
        <v/>
      </c>
      <c r="D34" s="86" t="n"/>
      <c r="E34" s="103">
        <f>IF(OR($B34="",$D34=""),"",IF(COUNTIF(THAM_SO_CC!$F$10:$F$40,$D34)&gt;0,"Lễ",IF(IF(THAM_SO_CC!$B$12="T7+CN",WEEKDAY($D34,2)&gt;=6,WEEKDAY($D34,2)=7),"Nghỉ tuần","Ngày thường")))</f>
        <v/>
      </c>
      <c r="F34" s="107" t="n"/>
      <c r="G34" s="107" t="n"/>
      <c r="H34" s="107" t="n"/>
      <c r="I34" s="81" t="n"/>
      <c r="J34" s="108">
        <f>IF($B34="","",IF($E34="Ngày thường",N($G34),0))</f>
        <v/>
      </c>
      <c r="K34" s="108">
        <f>IF($B34="","",IF($E34="Nghỉ tuần",N($G34),0))</f>
        <v/>
      </c>
      <c r="L34" s="108">
        <f>IF($B34="","",IF($E34="Lễ",N($G34),0))</f>
        <v/>
      </c>
      <c r="M34" s="108">
        <f>IF($B34="","",IF($E34="Ngày thường",N($H34),0))</f>
        <v/>
      </c>
      <c r="N34" s="108">
        <f>IF($B34="","",IF($E34="Nghỉ tuần",N($H34),0))</f>
        <v/>
      </c>
      <c r="O34" s="108">
        <f>IF($B34="","",IF($E34="Lễ",N($H34),0))</f>
        <v/>
      </c>
    </row>
    <row r="35" ht="15" customHeight="1" s="63">
      <c r="A35" s="85">
        <f>IF($B35="","",ROW()-5)</f>
        <v/>
      </c>
      <c r="B35" s="97" t="n"/>
      <c r="C35" s="96">
        <f>IF($B35="","",IFERROR(INDEX(DM_NHAN_SU!$C$6:$C$155,MATCH($B35,DM_NHAN_SU!$B$6:$B$155,0)),"SAI MÃ NV"))</f>
        <v/>
      </c>
      <c r="D35" s="86" t="n"/>
      <c r="E35" s="103">
        <f>IF(OR($B35="",$D35=""),"",IF(COUNTIF(THAM_SO_CC!$F$10:$F$40,$D35)&gt;0,"Lễ",IF(IF(THAM_SO_CC!$B$12="T7+CN",WEEKDAY($D35,2)&gt;=6,WEEKDAY($D35,2)=7),"Nghỉ tuần","Ngày thường")))</f>
        <v/>
      </c>
      <c r="F35" s="107" t="n"/>
      <c r="G35" s="107" t="n"/>
      <c r="H35" s="107" t="n"/>
      <c r="I35" s="81" t="n"/>
      <c r="J35" s="108">
        <f>IF($B35="","",IF($E35="Ngày thường",N($G35),0))</f>
        <v/>
      </c>
      <c r="K35" s="108">
        <f>IF($B35="","",IF($E35="Nghỉ tuần",N($G35),0))</f>
        <v/>
      </c>
      <c r="L35" s="108">
        <f>IF($B35="","",IF($E35="Lễ",N($G35),0))</f>
        <v/>
      </c>
      <c r="M35" s="108">
        <f>IF($B35="","",IF($E35="Ngày thường",N($H35),0))</f>
        <v/>
      </c>
      <c r="N35" s="108">
        <f>IF($B35="","",IF($E35="Nghỉ tuần",N($H35),0))</f>
        <v/>
      </c>
      <c r="O35" s="108">
        <f>IF($B35="","",IF($E35="Lễ",N($H35),0))</f>
        <v/>
      </c>
    </row>
    <row r="36" ht="15" customHeight="1" s="63">
      <c r="A36" s="85">
        <f>IF($B36="","",ROW()-5)</f>
        <v/>
      </c>
      <c r="B36" s="97" t="n"/>
      <c r="C36" s="96">
        <f>IF($B36="","",IFERROR(INDEX(DM_NHAN_SU!$C$6:$C$155,MATCH($B36,DM_NHAN_SU!$B$6:$B$155,0)),"SAI MÃ NV"))</f>
        <v/>
      </c>
      <c r="D36" s="86" t="n"/>
      <c r="E36" s="103">
        <f>IF(OR($B36="",$D36=""),"",IF(COUNTIF(THAM_SO_CC!$F$10:$F$40,$D36)&gt;0,"Lễ",IF(IF(THAM_SO_CC!$B$12="T7+CN",WEEKDAY($D36,2)&gt;=6,WEEKDAY($D36,2)=7),"Nghỉ tuần","Ngày thường")))</f>
        <v/>
      </c>
      <c r="F36" s="107" t="n"/>
      <c r="G36" s="107" t="n"/>
      <c r="H36" s="107" t="n"/>
      <c r="I36" s="81" t="n"/>
      <c r="J36" s="108">
        <f>IF($B36="","",IF($E36="Ngày thường",N($G36),0))</f>
        <v/>
      </c>
      <c r="K36" s="108">
        <f>IF($B36="","",IF($E36="Nghỉ tuần",N($G36),0))</f>
        <v/>
      </c>
      <c r="L36" s="108">
        <f>IF($B36="","",IF($E36="Lễ",N($G36),0))</f>
        <v/>
      </c>
      <c r="M36" s="108">
        <f>IF($B36="","",IF($E36="Ngày thường",N($H36),0))</f>
        <v/>
      </c>
      <c r="N36" s="108">
        <f>IF($B36="","",IF($E36="Nghỉ tuần",N($H36),0))</f>
        <v/>
      </c>
      <c r="O36" s="108">
        <f>IF($B36="","",IF($E36="Lễ",N($H36),0))</f>
        <v/>
      </c>
    </row>
    <row r="37" ht="15" customHeight="1" s="63">
      <c r="A37" s="85">
        <f>IF($B37="","",ROW()-5)</f>
        <v/>
      </c>
      <c r="B37" s="97" t="n"/>
      <c r="C37" s="96">
        <f>IF($B37="","",IFERROR(INDEX(DM_NHAN_SU!$C$6:$C$155,MATCH($B37,DM_NHAN_SU!$B$6:$B$155,0)),"SAI MÃ NV"))</f>
        <v/>
      </c>
      <c r="D37" s="86" t="n"/>
      <c r="E37" s="103">
        <f>IF(OR($B37="",$D37=""),"",IF(COUNTIF(THAM_SO_CC!$F$10:$F$40,$D37)&gt;0,"Lễ",IF(IF(THAM_SO_CC!$B$12="T7+CN",WEEKDAY($D37,2)&gt;=6,WEEKDAY($D37,2)=7),"Nghỉ tuần","Ngày thường")))</f>
        <v/>
      </c>
      <c r="F37" s="107" t="n"/>
      <c r="G37" s="107" t="n"/>
      <c r="H37" s="107" t="n"/>
      <c r="I37" s="81" t="n"/>
      <c r="J37" s="108">
        <f>IF($B37="","",IF($E37="Ngày thường",N($G37),0))</f>
        <v/>
      </c>
      <c r="K37" s="108">
        <f>IF($B37="","",IF($E37="Nghỉ tuần",N($G37),0))</f>
        <v/>
      </c>
      <c r="L37" s="108">
        <f>IF($B37="","",IF($E37="Lễ",N($G37),0))</f>
        <v/>
      </c>
      <c r="M37" s="108">
        <f>IF($B37="","",IF($E37="Ngày thường",N($H37),0))</f>
        <v/>
      </c>
      <c r="N37" s="108">
        <f>IF($B37="","",IF($E37="Nghỉ tuần",N($H37),0))</f>
        <v/>
      </c>
      <c r="O37" s="108">
        <f>IF($B37="","",IF($E37="Lễ",N($H37),0))</f>
        <v/>
      </c>
    </row>
    <row r="38" ht="15" customHeight="1" s="63">
      <c r="A38" s="85">
        <f>IF($B38="","",ROW()-5)</f>
        <v/>
      </c>
      <c r="B38" s="97" t="n"/>
      <c r="C38" s="96">
        <f>IF($B38="","",IFERROR(INDEX(DM_NHAN_SU!$C$6:$C$155,MATCH($B38,DM_NHAN_SU!$B$6:$B$155,0)),"SAI MÃ NV"))</f>
        <v/>
      </c>
      <c r="D38" s="86" t="n"/>
      <c r="E38" s="103">
        <f>IF(OR($B38="",$D38=""),"",IF(COUNTIF(THAM_SO_CC!$F$10:$F$40,$D38)&gt;0,"Lễ",IF(IF(THAM_SO_CC!$B$12="T7+CN",WEEKDAY($D38,2)&gt;=6,WEEKDAY($D38,2)=7),"Nghỉ tuần","Ngày thường")))</f>
        <v/>
      </c>
      <c r="F38" s="107" t="n"/>
      <c r="G38" s="107" t="n"/>
      <c r="H38" s="107" t="n"/>
      <c r="I38" s="81" t="n"/>
      <c r="J38" s="108">
        <f>IF($B38="","",IF($E38="Ngày thường",N($G38),0))</f>
        <v/>
      </c>
      <c r="K38" s="108">
        <f>IF($B38="","",IF($E38="Nghỉ tuần",N($G38),0))</f>
        <v/>
      </c>
      <c r="L38" s="108">
        <f>IF($B38="","",IF($E38="Lễ",N($G38),0))</f>
        <v/>
      </c>
      <c r="M38" s="108">
        <f>IF($B38="","",IF($E38="Ngày thường",N($H38),0))</f>
        <v/>
      </c>
      <c r="N38" s="108">
        <f>IF($B38="","",IF($E38="Nghỉ tuần",N($H38),0))</f>
        <v/>
      </c>
      <c r="O38" s="108">
        <f>IF($B38="","",IF($E38="Lễ",N($H38),0))</f>
        <v/>
      </c>
    </row>
    <row r="39" ht="15" customHeight="1" s="63">
      <c r="A39" s="85">
        <f>IF($B39="","",ROW()-5)</f>
        <v/>
      </c>
      <c r="B39" s="97" t="n"/>
      <c r="C39" s="96">
        <f>IF($B39="","",IFERROR(INDEX(DM_NHAN_SU!$C$6:$C$155,MATCH($B39,DM_NHAN_SU!$B$6:$B$155,0)),"SAI MÃ NV"))</f>
        <v/>
      </c>
      <c r="D39" s="86" t="n"/>
      <c r="E39" s="103">
        <f>IF(OR($B39="",$D39=""),"",IF(COUNTIF(THAM_SO_CC!$F$10:$F$40,$D39)&gt;0,"Lễ",IF(IF(THAM_SO_CC!$B$12="T7+CN",WEEKDAY($D39,2)&gt;=6,WEEKDAY($D39,2)=7),"Nghỉ tuần","Ngày thường")))</f>
        <v/>
      </c>
      <c r="F39" s="107" t="n"/>
      <c r="G39" s="107" t="n"/>
      <c r="H39" s="107" t="n"/>
      <c r="I39" s="81" t="n"/>
      <c r="J39" s="108">
        <f>IF($B39="","",IF($E39="Ngày thường",N($G39),0))</f>
        <v/>
      </c>
      <c r="K39" s="108">
        <f>IF($B39="","",IF($E39="Nghỉ tuần",N($G39),0))</f>
        <v/>
      </c>
      <c r="L39" s="108">
        <f>IF($B39="","",IF($E39="Lễ",N($G39),0))</f>
        <v/>
      </c>
      <c r="M39" s="108">
        <f>IF($B39="","",IF($E39="Ngày thường",N($H39),0))</f>
        <v/>
      </c>
      <c r="N39" s="108">
        <f>IF($B39="","",IF($E39="Nghỉ tuần",N($H39),0))</f>
        <v/>
      </c>
      <c r="O39" s="108">
        <f>IF($B39="","",IF($E39="Lễ",N($H39),0))</f>
        <v/>
      </c>
    </row>
    <row r="40" ht="15" customHeight="1" s="63">
      <c r="A40" s="85">
        <f>IF($B40="","",ROW()-5)</f>
        <v/>
      </c>
      <c r="B40" s="97" t="n"/>
      <c r="C40" s="96">
        <f>IF($B40="","",IFERROR(INDEX(DM_NHAN_SU!$C$6:$C$155,MATCH($B40,DM_NHAN_SU!$B$6:$B$155,0)),"SAI MÃ NV"))</f>
        <v/>
      </c>
      <c r="D40" s="86" t="n"/>
      <c r="E40" s="103">
        <f>IF(OR($B40="",$D40=""),"",IF(COUNTIF(THAM_SO_CC!$F$10:$F$40,$D40)&gt;0,"Lễ",IF(IF(THAM_SO_CC!$B$12="T7+CN",WEEKDAY($D40,2)&gt;=6,WEEKDAY($D40,2)=7),"Nghỉ tuần","Ngày thường")))</f>
        <v/>
      </c>
      <c r="F40" s="107" t="n"/>
      <c r="G40" s="107" t="n"/>
      <c r="H40" s="107" t="n"/>
      <c r="I40" s="81" t="n"/>
      <c r="J40" s="108">
        <f>IF($B40="","",IF($E40="Ngày thường",N($G40),0))</f>
        <v/>
      </c>
      <c r="K40" s="108">
        <f>IF($B40="","",IF($E40="Nghỉ tuần",N($G40),0))</f>
        <v/>
      </c>
      <c r="L40" s="108">
        <f>IF($B40="","",IF($E40="Lễ",N($G40),0))</f>
        <v/>
      </c>
      <c r="M40" s="108">
        <f>IF($B40="","",IF($E40="Ngày thường",N($H40),0))</f>
        <v/>
      </c>
      <c r="N40" s="108">
        <f>IF($B40="","",IF($E40="Nghỉ tuần",N($H40),0))</f>
        <v/>
      </c>
      <c r="O40" s="108">
        <f>IF($B40="","",IF($E40="Lễ",N($H40),0))</f>
        <v/>
      </c>
    </row>
    <row r="41" ht="15" customHeight="1" s="63">
      <c r="A41" s="85">
        <f>IF($B41="","",ROW()-5)</f>
        <v/>
      </c>
      <c r="B41" s="97" t="n"/>
      <c r="C41" s="96">
        <f>IF($B41="","",IFERROR(INDEX(DM_NHAN_SU!$C$6:$C$155,MATCH($B41,DM_NHAN_SU!$B$6:$B$155,0)),"SAI MÃ NV"))</f>
        <v/>
      </c>
      <c r="D41" s="86" t="n"/>
      <c r="E41" s="103">
        <f>IF(OR($B41="",$D41=""),"",IF(COUNTIF(THAM_SO_CC!$F$10:$F$40,$D41)&gt;0,"Lễ",IF(IF(THAM_SO_CC!$B$12="T7+CN",WEEKDAY($D41,2)&gt;=6,WEEKDAY($D41,2)=7),"Nghỉ tuần","Ngày thường")))</f>
        <v/>
      </c>
      <c r="F41" s="107" t="n"/>
      <c r="G41" s="107" t="n"/>
      <c r="H41" s="107" t="n"/>
      <c r="I41" s="81" t="n"/>
      <c r="J41" s="108">
        <f>IF($B41="","",IF($E41="Ngày thường",N($G41),0))</f>
        <v/>
      </c>
      <c r="K41" s="108">
        <f>IF($B41="","",IF($E41="Nghỉ tuần",N($G41),0))</f>
        <v/>
      </c>
      <c r="L41" s="108">
        <f>IF($B41="","",IF($E41="Lễ",N($G41),0))</f>
        <v/>
      </c>
      <c r="M41" s="108">
        <f>IF($B41="","",IF($E41="Ngày thường",N($H41),0))</f>
        <v/>
      </c>
      <c r="N41" s="108">
        <f>IF($B41="","",IF($E41="Nghỉ tuần",N($H41),0))</f>
        <v/>
      </c>
      <c r="O41" s="108">
        <f>IF($B41="","",IF($E41="Lễ",N($H41),0))</f>
        <v/>
      </c>
    </row>
    <row r="42" ht="15" customHeight="1" s="63">
      <c r="A42" s="85">
        <f>IF($B42="","",ROW()-5)</f>
        <v/>
      </c>
      <c r="B42" s="97" t="n"/>
      <c r="C42" s="96">
        <f>IF($B42="","",IFERROR(INDEX(DM_NHAN_SU!$C$6:$C$155,MATCH($B42,DM_NHAN_SU!$B$6:$B$155,0)),"SAI MÃ NV"))</f>
        <v/>
      </c>
      <c r="D42" s="86" t="n"/>
      <c r="E42" s="103">
        <f>IF(OR($B42="",$D42=""),"",IF(COUNTIF(THAM_SO_CC!$F$10:$F$40,$D42)&gt;0,"Lễ",IF(IF(THAM_SO_CC!$B$12="T7+CN",WEEKDAY($D42,2)&gt;=6,WEEKDAY($D42,2)=7),"Nghỉ tuần","Ngày thường")))</f>
        <v/>
      </c>
      <c r="F42" s="107" t="n"/>
      <c r="G42" s="107" t="n"/>
      <c r="H42" s="107" t="n"/>
      <c r="I42" s="81" t="n"/>
      <c r="J42" s="108">
        <f>IF($B42="","",IF($E42="Ngày thường",N($G42),0))</f>
        <v/>
      </c>
      <c r="K42" s="108">
        <f>IF($B42="","",IF($E42="Nghỉ tuần",N($G42),0))</f>
        <v/>
      </c>
      <c r="L42" s="108">
        <f>IF($B42="","",IF($E42="Lễ",N($G42),0))</f>
        <v/>
      </c>
      <c r="M42" s="108">
        <f>IF($B42="","",IF($E42="Ngày thường",N($H42),0))</f>
        <v/>
      </c>
      <c r="N42" s="108">
        <f>IF($B42="","",IF($E42="Nghỉ tuần",N($H42),0))</f>
        <v/>
      </c>
      <c r="O42" s="108">
        <f>IF($B42="","",IF($E42="Lễ",N($H42),0))</f>
        <v/>
      </c>
    </row>
    <row r="43" ht="15" customHeight="1" s="63">
      <c r="A43" s="85">
        <f>IF($B43="","",ROW()-5)</f>
        <v/>
      </c>
      <c r="B43" s="97" t="n"/>
      <c r="C43" s="96">
        <f>IF($B43="","",IFERROR(INDEX(DM_NHAN_SU!$C$6:$C$155,MATCH($B43,DM_NHAN_SU!$B$6:$B$155,0)),"SAI MÃ NV"))</f>
        <v/>
      </c>
      <c r="D43" s="86" t="n"/>
      <c r="E43" s="103">
        <f>IF(OR($B43="",$D43=""),"",IF(COUNTIF(THAM_SO_CC!$F$10:$F$40,$D43)&gt;0,"Lễ",IF(IF(THAM_SO_CC!$B$12="T7+CN",WEEKDAY($D43,2)&gt;=6,WEEKDAY($D43,2)=7),"Nghỉ tuần","Ngày thường")))</f>
        <v/>
      </c>
      <c r="F43" s="107" t="n"/>
      <c r="G43" s="107" t="n"/>
      <c r="H43" s="107" t="n"/>
      <c r="I43" s="81" t="n"/>
      <c r="J43" s="108">
        <f>IF($B43="","",IF($E43="Ngày thường",N($G43),0))</f>
        <v/>
      </c>
      <c r="K43" s="108">
        <f>IF($B43="","",IF($E43="Nghỉ tuần",N($G43),0))</f>
        <v/>
      </c>
      <c r="L43" s="108">
        <f>IF($B43="","",IF($E43="Lễ",N($G43),0))</f>
        <v/>
      </c>
      <c r="M43" s="108">
        <f>IF($B43="","",IF($E43="Ngày thường",N($H43),0))</f>
        <v/>
      </c>
      <c r="N43" s="108">
        <f>IF($B43="","",IF($E43="Nghỉ tuần",N($H43),0))</f>
        <v/>
      </c>
      <c r="O43" s="108">
        <f>IF($B43="","",IF($E43="Lễ",N($H43),0))</f>
        <v/>
      </c>
    </row>
    <row r="44" ht="15" customHeight="1" s="63">
      <c r="A44" s="85">
        <f>IF($B44="","",ROW()-5)</f>
        <v/>
      </c>
      <c r="B44" s="97" t="n"/>
      <c r="C44" s="96">
        <f>IF($B44="","",IFERROR(INDEX(DM_NHAN_SU!$C$6:$C$155,MATCH($B44,DM_NHAN_SU!$B$6:$B$155,0)),"SAI MÃ NV"))</f>
        <v/>
      </c>
      <c r="D44" s="86" t="n"/>
      <c r="E44" s="103">
        <f>IF(OR($B44="",$D44=""),"",IF(COUNTIF(THAM_SO_CC!$F$10:$F$40,$D44)&gt;0,"Lễ",IF(IF(THAM_SO_CC!$B$12="T7+CN",WEEKDAY($D44,2)&gt;=6,WEEKDAY($D44,2)=7),"Nghỉ tuần","Ngày thường")))</f>
        <v/>
      </c>
      <c r="F44" s="107" t="n"/>
      <c r="G44" s="107" t="n"/>
      <c r="H44" s="107" t="n"/>
      <c r="I44" s="81" t="n"/>
      <c r="J44" s="108">
        <f>IF($B44="","",IF($E44="Ngày thường",N($G44),0))</f>
        <v/>
      </c>
      <c r="K44" s="108">
        <f>IF($B44="","",IF($E44="Nghỉ tuần",N($G44),0))</f>
        <v/>
      </c>
      <c r="L44" s="108">
        <f>IF($B44="","",IF($E44="Lễ",N($G44),0))</f>
        <v/>
      </c>
      <c r="M44" s="108">
        <f>IF($B44="","",IF($E44="Ngày thường",N($H44),0))</f>
        <v/>
      </c>
      <c r="N44" s="108">
        <f>IF($B44="","",IF($E44="Nghỉ tuần",N($H44),0))</f>
        <v/>
      </c>
      <c r="O44" s="108">
        <f>IF($B44="","",IF($E44="Lễ",N($H44),0))</f>
        <v/>
      </c>
    </row>
    <row r="45" ht="15" customHeight="1" s="63">
      <c r="A45" s="85">
        <f>IF($B45="","",ROW()-5)</f>
        <v/>
      </c>
      <c r="B45" s="97" t="n"/>
      <c r="C45" s="96">
        <f>IF($B45="","",IFERROR(INDEX(DM_NHAN_SU!$C$6:$C$155,MATCH($B45,DM_NHAN_SU!$B$6:$B$155,0)),"SAI MÃ NV"))</f>
        <v/>
      </c>
      <c r="D45" s="86" t="n"/>
      <c r="E45" s="103">
        <f>IF(OR($B45="",$D45=""),"",IF(COUNTIF(THAM_SO_CC!$F$10:$F$40,$D45)&gt;0,"Lễ",IF(IF(THAM_SO_CC!$B$12="T7+CN",WEEKDAY($D45,2)&gt;=6,WEEKDAY($D45,2)=7),"Nghỉ tuần","Ngày thường")))</f>
        <v/>
      </c>
      <c r="F45" s="107" t="n"/>
      <c r="G45" s="107" t="n"/>
      <c r="H45" s="107" t="n"/>
      <c r="I45" s="81" t="n"/>
      <c r="J45" s="108">
        <f>IF($B45="","",IF($E45="Ngày thường",N($G45),0))</f>
        <v/>
      </c>
      <c r="K45" s="108">
        <f>IF($B45="","",IF($E45="Nghỉ tuần",N($G45),0))</f>
        <v/>
      </c>
      <c r="L45" s="108">
        <f>IF($B45="","",IF($E45="Lễ",N($G45),0))</f>
        <v/>
      </c>
      <c r="M45" s="108">
        <f>IF($B45="","",IF($E45="Ngày thường",N($H45),0))</f>
        <v/>
      </c>
      <c r="N45" s="108">
        <f>IF($B45="","",IF($E45="Nghỉ tuần",N($H45),0))</f>
        <v/>
      </c>
      <c r="O45" s="108">
        <f>IF($B45="","",IF($E45="Lễ",N($H45),0))</f>
        <v/>
      </c>
    </row>
    <row r="46" ht="15" customHeight="1" s="63">
      <c r="A46" s="85">
        <f>IF($B46="","",ROW()-5)</f>
        <v/>
      </c>
      <c r="B46" s="97" t="n"/>
      <c r="C46" s="96">
        <f>IF($B46="","",IFERROR(INDEX(DM_NHAN_SU!$C$6:$C$155,MATCH($B46,DM_NHAN_SU!$B$6:$B$155,0)),"SAI MÃ NV"))</f>
        <v/>
      </c>
      <c r="D46" s="86" t="n"/>
      <c r="E46" s="103">
        <f>IF(OR($B46="",$D46=""),"",IF(COUNTIF(THAM_SO_CC!$F$10:$F$40,$D46)&gt;0,"Lễ",IF(IF(THAM_SO_CC!$B$12="T7+CN",WEEKDAY($D46,2)&gt;=6,WEEKDAY($D46,2)=7),"Nghỉ tuần","Ngày thường")))</f>
        <v/>
      </c>
      <c r="F46" s="107" t="n"/>
      <c r="G46" s="107" t="n"/>
      <c r="H46" s="107" t="n"/>
      <c r="I46" s="81" t="n"/>
      <c r="J46" s="108">
        <f>IF($B46="","",IF($E46="Ngày thường",N($G46),0))</f>
        <v/>
      </c>
      <c r="K46" s="108">
        <f>IF($B46="","",IF($E46="Nghỉ tuần",N($G46),0))</f>
        <v/>
      </c>
      <c r="L46" s="108">
        <f>IF($B46="","",IF($E46="Lễ",N($G46),0))</f>
        <v/>
      </c>
      <c r="M46" s="108">
        <f>IF($B46="","",IF($E46="Ngày thường",N($H46),0))</f>
        <v/>
      </c>
      <c r="N46" s="108">
        <f>IF($B46="","",IF($E46="Nghỉ tuần",N($H46),0))</f>
        <v/>
      </c>
      <c r="O46" s="108">
        <f>IF($B46="","",IF($E46="Lễ",N($H46),0))</f>
        <v/>
      </c>
    </row>
    <row r="47" ht="15" customHeight="1" s="63">
      <c r="A47" s="85">
        <f>IF($B47="","",ROW()-5)</f>
        <v/>
      </c>
      <c r="B47" s="97" t="n"/>
      <c r="C47" s="96">
        <f>IF($B47="","",IFERROR(INDEX(DM_NHAN_SU!$C$6:$C$155,MATCH($B47,DM_NHAN_SU!$B$6:$B$155,0)),"SAI MÃ NV"))</f>
        <v/>
      </c>
      <c r="D47" s="86" t="n"/>
      <c r="E47" s="103">
        <f>IF(OR($B47="",$D47=""),"",IF(COUNTIF(THAM_SO_CC!$F$10:$F$40,$D47)&gt;0,"Lễ",IF(IF(THAM_SO_CC!$B$12="T7+CN",WEEKDAY($D47,2)&gt;=6,WEEKDAY($D47,2)=7),"Nghỉ tuần","Ngày thường")))</f>
        <v/>
      </c>
      <c r="F47" s="107" t="n"/>
      <c r="G47" s="107" t="n"/>
      <c r="H47" s="107" t="n"/>
      <c r="I47" s="81" t="n"/>
      <c r="J47" s="108">
        <f>IF($B47="","",IF($E47="Ngày thường",N($G47),0))</f>
        <v/>
      </c>
      <c r="K47" s="108">
        <f>IF($B47="","",IF($E47="Nghỉ tuần",N($G47),0))</f>
        <v/>
      </c>
      <c r="L47" s="108">
        <f>IF($B47="","",IF($E47="Lễ",N($G47),0))</f>
        <v/>
      </c>
      <c r="M47" s="108">
        <f>IF($B47="","",IF($E47="Ngày thường",N($H47),0))</f>
        <v/>
      </c>
      <c r="N47" s="108">
        <f>IF($B47="","",IF($E47="Nghỉ tuần",N($H47),0))</f>
        <v/>
      </c>
      <c r="O47" s="108">
        <f>IF($B47="","",IF($E47="Lễ",N($H47),0))</f>
        <v/>
      </c>
    </row>
    <row r="48" ht="15" customHeight="1" s="63">
      <c r="A48" s="85">
        <f>IF($B48="","",ROW()-5)</f>
        <v/>
      </c>
      <c r="B48" s="97" t="n"/>
      <c r="C48" s="96">
        <f>IF($B48="","",IFERROR(INDEX(DM_NHAN_SU!$C$6:$C$155,MATCH($B48,DM_NHAN_SU!$B$6:$B$155,0)),"SAI MÃ NV"))</f>
        <v/>
      </c>
      <c r="D48" s="86" t="n"/>
      <c r="E48" s="103">
        <f>IF(OR($B48="",$D48=""),"",IF(COUNTIF(THAM_SO_CC!$F$10:$F$40,$D48)&gt;0,"Lễ",IF(IF(THAM_SO_CC!$B$12="T7+CN",WEEKDAY($D48,2)&gt;=6,WEEKDAY($D48,2)=7),"Nghỉ tuần","Ngày thường")))</f>
        <v/>
      </c>
      <c r="F48" s="107" t="n"/>
      <c r="G48" s="107" t="n"/>
      <c r="H48" s="107" t="n"/>
      <c r="I48" s="81" t="n"/>
      <c r="J48" s="108">
        <f>IF($B48="","",IF($E48="Ngày thường",N($G48),0))</f>
        <v/>
      </c>
      <c r="K48" s="108">
        <f>IF($B48="","",IF($E48="Nghỉ tuần",N($G48),0))</f>
        <v/>
      </c>
      <c r="L48" s="108">
        <f>IF($B48="","",IF($E48="Lễ",N($G48),0))</f>
        <v/>
      </c>
      <c r="M48" s="108">
        <f>IF($B48="","",IF($E48="Ngày thường",N($H48),0))</f>
        <v/>
      </c>
      <c r="N48" s="108">
        <f>IF($B48="","",IF($E48="Nghỉ tuần",N($H48),0))</f>
        <v/>
      </c>
      <c r="O48" s="108">
        <f>IF($B48="","",IF($E48="Lễ",N($H48),0))</f>
        <v/>
      </c>
    </row>
    <row r="49" ht="15" customHeight="1" s="63">
      <c r="A49" s="85">
        <f>IF($B49="","",ROW()-5)</f>
        <v/>
      </c>
      <c r="B49" s="97" t="n"/>
      <c r="C49" s="96">
        <f>IF($B49="","",IFERROR(INDEX(DM_NHAN_SU!$C$6:$C$155,MATCH($B49,DM_NHAN_SU!$B$6:$B$155,0)),"SAI MÃ NV"))</f>
        <v/>
      </c>
      <c r="D49" s="86" t="n"/>
      <c r="E49" s="103">
        <f>IF(OR($B49="",$D49=""),"",IF(COUNTIF(THAM_SO_CC!$F$10:$F$40,$D49)&gt;0,"Lễ",IF(IF(THAM_SO_CC!$B$12="T7+CN",WEEKDAY($D49,2)&gt;=6,WEEKDAY($D49,2)=7),"Nghỉ tuần","Ngày thường")))</f>
        <v/>
      </c>
      <c r="F49" s="107" t="n"/>
      <c r="G49" s="107" t="n"/>
      <c r="H49" s="107" t="n"/>
      <c r="I49" s="81" t="n"/>
      <c r="J49" s="108">
        <f>IF($B49="","",IF($E49="Ngày thường",N($G49),0))</f>
        <v/>
      </c>
      <c r="K49" s="108">
        <f>IF($B49="","",IF($E49="Nghỉ tuần",N($G49),0))</f>
        <v/>
      </c>
      <c r="L49" s="108">
        <f>IF($B49="","",IF($E49="Lễ",N($G49),0))</f>
        <v/>
      </c>
      <c r="M49" s="108">
        <f>IF($B49="","",IF($E49="Ngày thường",N($H49),0))</f>
        <v/>
      </c>
      <c r="N49" s="108">
        <f>IF($B49="","",IF($E49="Nghỉ tuần",N($H49),0))</f>
        <v/>
      </c>
      <c r="O49" s="108">
        <f>IF($B49="","",IF($E49="Lễ",N($H49),0))</f>
        <v/>
      </c>
    </row>
    <row r="50" ht="15" customHeight="1" s="63">
      <c r="A50" s="85">
        <f>IF($B50="","",ROW()-5)</f>
        <v/>
      </c>
      <c r="B50" s="97" t="n"/>
      <c r="C50" s="96">
        <f>IF($B50="","",IFERROR(INDEX(DM_NHAN_SU!$C$6:$C$155,MATCH($B50,DM_NHAN_SU!$B$6:$B$155,0)),"SAI MÃ NV"))</f>
        <v/>
      </c>
      <c r="D50" s="86" t="n"/>
      <c r="E50" s="103">
        <f>IF(OR($B50="",$D50=""),"",IF(COUNTIF(THAM_SO_CC!$F$10:$F$40,$D50)&gt;0,"Lễ",IF(IF(THAM_SO_CC!$B$12="T7+CN",WEEKDAY($D50,2)&gt;=6,WEEKDAY($D50,2)=7),"Nghỉ tuần","Ngày thường")))</f>
        <v/>
      </c>
      <c r="F50" s="107" t="n"/>
      <c r="G50" s="107" t="n"/>
      <c r="H50" s="107" t="n"/>
      <c r="I50" s="81" t="n"/>
      <c r="J50" s="108">
        <f>IF($B50="","",IF($E50="Ngày thường",N($G50),0))</f>
        <v/>
      </c>
      <c r="K50" s="108">
        <f>IF($B50="","",IF($E50="Nghỉ tuần",N($G50),0))</f>
        <v/>
      </c>
      <c r="L50" s="108">
        <f>IF($B50="","",IF($E50="Lễ",N($G50),0))</f>
        <v/>
      </c>
      <c r="M50" s="108">
        <f>IF($B50="","",IF($E50="Ngày thường",N($H50),0))</f>
        <v/>
      </c>
      <c r="N50" s="108">
        <f>IF($B50="","",IF($E50="Nghỉ tuần",N($H50),0))</f>
        <v/>
      </c>
      <c r="O50" s="108">
        <f>IF($B50="","",IF($E50="Lễ",N($H50),0))</f>
        <v/>
      </c>
    </row>
    <row r="51" ht="15" customHeight="1" s="63">
      <c r="A51" s="85">
        <f>IF($B51="","",ROW()-5)</f>
        <v/>
      </c>
      <c r="B51" s="97" t="n"/>
      <c r="C51" s="96">
        <f>IF($B51="","",IFERROR(INDEX(DM_NHAN_SU!$C$6:$C$155,MATCH($B51,DM_NHAN_SU!$B$6:$B$155,0)),"SAI MÃ NV"))</f>
        <v/>
      </c>
      <c r="D51" s="86" t="n"/>
      <c r="E51" s="103">
        <f>IF(OR($B51="",$D51=""),"",IF(COUNTIF(THAM_SO_CC!$F$10:$F$40,$D51)&gt;0,"Lễ",IF(IF(THAM_SO_CC!$B$12="T7+CN",WEEKDAY($D51,2)&gt;=6,WEEKDAY($D51,2)=7),"Nghỉ tuần","Ngày thường")))</f>
        <v/>
      </c>
      <c r="F51" s="107" t="n"/>
      <c r="G51" s="107" t="n"/>
      <c r="H51" s="107" t="n"/>
      <c r="I51" s="81" t="n"/>
      <c r="J51" s="108">
        <f>IF($B51="","",IF($E51="Ngày thường",N($G51),0))</f>
        <v/>
      </c>
      <c r="K51" s="108">
        <f>IF($B51="","",IF($E51="Nghỉ tuần",N($G51),0))</f>
        <v/>
      </c>
      <c r="L51" s="108">
        <f>IF($B51="","",IF($E51="Lễ",N($G51),0))</f>
        <v/>
      </c>
      <c r="M51" s="108">
        <f>IF($B51="","",IF($E51="Ngày thường",N($H51),0))</f>
        <v/>
      </c>
      <c r="N51" s="108">
        <f>IF($B51="","",IF($E51="Nghỉ tuần",N($H51),0))</f>
        <v/>
      </c>
      <c r="O51" s="108">
        <f>IF($B51="","",IF($E51="Lễ",N($H51),0))</f>
        <v/>
      </c>
    </row>
    <row r="52" ht="15" customHeight="1" s="63">
      <c r="A52" s="85">
        <f>IF($B52="","",ROW()-5)</f>
        <v/>
      </c>
      <c r="B52" s="97" t="n"/>
      <c r="C52" s="96">
        <f>IF($B52="","",IFERROR(INDEX(DM_NHAN_SU!$C$6:$C$155,MATCH($B52,DM_NHAN_SU!$B$6:$B$155,0)),"SAI MÃ NV"))</f>
        <v/>
      </c>
      <c r="D52" s="86" t="n"/>
      <c r="E52" s="103">
        <f>IF(OR($B52="",$D52=""),"",IF(COUNTIF(THAM_SO_CC!$F$10:$F$40,$D52)&gt;0,"Lễ",IF(IF(THAM_SO_CC!$B$12="T7+CN",WEEKDAY($D52,2)&gt;=6,WEEKDAY($D52,2)=7),"Nghỉ tuần","Ngày thường")))</f>
        <v/>
      </c>
      <c r="F52" s="107" t="n"/>
      <c r="G52" s="107" t="n"/>
      <c r="H52" s="107" t="n"/>
      <c r="I52" s="81" t="n"/>
      <c r="J52" s="108">
        <f>IF($B52="","",IF($E52="Ngày thường",N($G52),0))</f>
        <v/>
      </c>
      <c r="K52" s="108">
        <f>IF($B52="","",IF($E52="Nghỉ tuần",N($G52),0))</f>
        <v/>
      </c>
      <c r="L52" s="108">
        <f>IF($B52="","",IF($E52="Lễ",N($G52),0))</f>
        <v/>
      </c>
      <c r="M52" s="108">
        <f>IF($B52="","",IF($E52="Ngày thường",N($H52),0))</f>
        <v/>
      </c>
      <c r="N52" s="108">
        <f>IF($B52="","",IF($E52="Nghỉ tuần",N($H52),0))</f>
        <v/>
      </c>
      <c r="O52" s="108">
        <f>IF($B52="","",IF($E52="Lễ",N($H52),0))</f>
        <v/>
      </c>
    </row>
    <row r="53" ht="15" customHeight="1" s="63">
      <c r="A53" s="85">
        <f>IF($B53="","",ROW()-5)</f>
        <v/>
      </c>
      <c r="B53" s="97" t="n"/>
      <c r="C53" s="96">
        <f>IF($B53="","",IFERROR(INDEX(DM_NHAN_SU!$C$6:$C$155,MATCH($B53,DM_NHAN_SU!$B$6:$B$155,0)),"SAI MÃ NV"))</f>
        <v/>
      </c>
      <c r="D53" s="86" t="n"/>
      <c r="E53" s="103">
        <f>IF(OR($B53="",$D53=""),"",IF(COUNTIF(THAM_SO_CC!$F$10:$F$40,$D53)&gt;0,"Lễ",IF(IF(THAM_SO_CC!$B$12="T7+CN",WEEKDAY($D53,2)&gt;=6,WEEKDAY($D53,2)=7),"Nghỉ tuần","Ngày thường")))</f>
        <v/>
      </c>
      <c r="F53" s="107" t="n"/>
      <c r="G53" s="107" t="n"/>
      <c r="H53" s="107" t="n"/>
      <c r="I53" s="81" t="n"/>
      <c r="J53" s="108">
        <f>IF($B53="","",IF($E53="Ngày thường",N($G53),0))</f>
        <v/>
      </c>
      <c r="K53" s="108">
        <f>IF($B53="","",IF($E53="Nghỉ tuần",N($G53),0))</f>
        <v/>
      </c>
      <c r="L53" s="108">
        <f>IF($B53="","",IF($E53="Lễ",N($G53),0))</f>
        <v/>
      </c>
      <c r="M53" s="108">
        <f>IF($B53="","",IF($E53="Ngày thường",N($H53),0))</f>
        <v/>
      </c>
      <c r="N53" s="108">
        <f>IF($B53="","",IF($E53="Nghỉ tuần",N($H53),0))</f>
        <v/>
      </c>
      <c r="O53" s="108">
        <f>IF($B53="","",IF($E53="Lễ",N($H53),0))</f>
        <v/>
      </c>
    </row>
    <row r="54" ht="15" customHeight="1" s="63">
      <c r="A54" s="85">
        <f>IF($B54="","",ROW()-5)</f>
        <v/>
      </c>
      <c r="B54" s="97" t="n"/>
      <c r="C54" s="96">
        <f>IF($B54="","",IFERROR(INDEX(DM_NHAN_SU!$C$6:$C$155,MATCH($B54,DM_NHAN_SU!$B$6:$B$155,0)),"SAI MÃ NV"))</f>
        <v/>
      </c>
      <c r="D54" s="86" t="n"/>
      <c r="E54" s="103">
        <f>IF(OR($B54="",$D54=""),"",IF(COUNTIF(THAM_SO_CC!$F$10:$F$40,$D54)&gt;0,"Lễ",IF(IF(THAM_SO_CC!$B$12="T7+CN",WEEKDAY($D54,2)&gt;=6,WEEKDAY($D54,2)=7),"Nghỉ tuần","Ngày thường")))</f>
        <v/>
      </c>
      <c r="F54" s="107" t="n"/>
      <c r="G54" s="107" t="n"/>
      <c r="H54" s="107" t="n"/>
      <c r="I54" s="81" t="n"/>
      <c r="J54" s="108">
        <f>IF($B54="","",IF($E54="Ngày thường",N($G54),0))</f>
        <v/>
      </c>
      <c r="K54" s="108">
        <f>IF($B54="","",IF($E54="Nghỉ tuần",N($G54),0))</f>
        <v/>
      </c>
      <c r="L54" s="108">
        <f>IF($B54="","",IF($E54="Lễ",N($G54),0))</f>
        <v/>
      </c>
      <c r="M54" s="108">
        <f>IF($B54="","",IF($E54="Ngày thường",N($H54),0))</f>
        <v/>
      </c>
      <c r="N54" s="108">
        <f>IF($B54="","",IF($E54="Nghỉ tuần",N($H54),0))</f>
        <v/>
      </c>
      <c r="O54" s="108">
        <f>IF($B54="","",IF($E54="Lễ",N($H54),0))</f>
        <v/>
      </c>
    </row>
    <row r="55" ht="15" customHeight="1" s="63">
      <c r="A55" s="85">
        <f>IF($B55="","",ROW()-5)</f>
        <v/>
      </c>
      <c r="B55" s="97" t="n"/>
      <c r="C55" s="96">
        <f>IF($B55="","",IFERROR(INDEX(DM_NHAN_SU!$C$6:$C$155,MATCH($B55,DM_NHAN_SU!$B$6:$B$155,0)),"SAI MÃ NV"))</f>
        <v/>
      </c>
      <c r="D55" s="86" t="n"/>
      <c r="E55" s="103">
        <f>IF(OR($B55="",$D55=""),"",IF(COUNTIF(THAM_SO_CC!$F$10:$F$40,$D55)&gt;0,"Lễ",IF(IF(THAM_SO_CC!$B$12="T7+CN",WEEKDAY($D55,2)&gt;=6,WEEKDAY($D55,2)=7),"Nghỉ tuần","Ngày thường")))</f>
        <v/>
      </c>
      <c r="F55" s="107" t="n"/>
      <c r="G55" s="107" t="n"/>
      <c r="H55" s="107" t="n"/>
      <c r="I55" s="81" t="n"/>
      <c r="J55" s="108">
        <f>IF($B55="","",IF($E55="Ngày thường",N($G55),0))</f>
        <v/>
      </c>
      <c r="K55" s="108">
        <f>IF($B55="","",IF($E55="Nghỉ tuần",N($G55),0))</f>
        <v/>
      </c>
      <c r="L55" s="108">
        <f>IF($B55="","",IF($E55="Lễ",N($G55),0))</f>
        <v/>
      </c>
      <c r="M55" s="108">
        <f>IF($B55="","",IF($E55="Ngày thường",N($H55),0))</f>
        <v/>
      </c>
      <c r="N55" s="108">
        <f>IF($B55="","",IF($E55="Nghỉ tuần",N($H55),0))</f>
        <v/>
      </c>
      <c r="O55" s="108">
        <f>IF($B55="","",IF($E55="Lễ",N($H55),0))</f>
        <v/>
      </c>
    </row>
    <row r="56" ht="15" customHeight="1" s="63">
      <c r="A56" s="85">
        <f>IF($B56="","",ROW()-5)</f>
        <v/>
      </c>
      <c r="B56" s="97" t="n"/>
      <c r="C56" s="96">
        <f>IF($B56="","",IFERROR(INDEX(DM_NHAN_SU!$C$6:$C$155,MATCH($B56,DM_NHAN_SU!$B$6:$B$155,0)),"SAI MÃ NV"))</f>
        <v/>
      </c>
      <c r="D56" s="86" t="n"/>
      <c r="E56" s="103">
        <f>IF(OR($B56="",$D56=""),"",IF(COUNTIF(THAM_SO_CC!$F$10:$F$40,$D56)&gt;0,"Lễ",IF(IF(THAM_SO_CC!$B$12="T7+CN",WEEKDAY($D56,2)&gt;=6,WEEKDAY($D56,2)=7),"Nghỉ tuần","Ngày thường")))</f>
        <v/>
      </c>
      <c r="F56" s="107" t="n"/>
      <c r="G56" s="107" t="n"/>
      <c r="H56" s="107" t="n"/>
      <c r="I56" s="81" t="n"/>
      <c r="J56" s="108">
        <f>IF($B56="","",IF($E56="Ngày thường",N($G56),0))</f>
        <v/>
      </c>
      <c r="K56" s="108">
        <f>IF($B56="","",IF($E56="Nghỉ tuần",N($G56),0))</f>
        <v/>
      </c>
      <c r="L56" s="108">
        <f>IF($B56="","",IF($E56="Lễ",N($G56),0))</f>
        <v/>
      </c>
      <c r="M56" s="108">
        <f>IF($B56="","",IF($E56="Ngày thường",N($H56),0))</f>
        <v/>
      </c>
      <c r="N56" s="108">
        <f>IF($B56="","",IF($E56="Nghỉ tuần",N($H56),0))</f>
        <v/>
      </c>
      <c r="O56" s="108">
        <f>IF($B56="","",IF($E56="Lễ",N($H56),0))</f>
        <v/>
      </c>
    </row>
    <row r="57" ht="15" customHeight="1" s="63">
      <c r="A57" s="85">
        <f>IF($B57="","",ROW()-5)</f>
        <v/>
      </c>
      <c r="B57" s="97" t="n"/>
      <c r="C57" s="96">
        <f>IF($B57="","",IFERROR(INDEX(DM_NHAN_SU!$C$6:$C$155,MATCH($B57,DM_NHAN_SU!$B$6:$B$155,0)),"SAI MÃ NV"))</f>
        <v/>
      </c>
      <c r="D57" s="86" t="n"/>
      <c r="E57" s="103">
        <f>IF(OR($B57="",$D57=""),"",IF(COUNTIF(THAM_SO_CC!$F$10:$F$40,$D57)&gt;0,"Lễ",IF(IF(THAM_SO_CC!$B$12="T7+CN",WEEKDAY($D57,2)&gt;=6,WEEKDAY($D57,2)=7),"Nghỉ tuần","Ngày thường")))</f>
        <v/>
      </c>
      <c r="F57" s="107" t="n"/>
      <c r="G57" s="107" t="n"/>
      <c r="H57" s="107" t="n"/>
      <c r="I57" s="81" t="n"/>
      <c r="J57" s="108">
        <f>IF($B57="","",IF($E57="Ngày thường",N($G57),0))</f>
        <v/>
      </c>
      <c r="K57" s="108">
        <f>IF($B57="","",IF($E57="Nghỉ tuần",N($G57),0))</f>
        <v/>
      </c>
      <c r="L57" s="108">
        <f>IF($B57="","",IF($E57="Lễ",N($G57),0))</f>
        <v/>
      </c>
      <c r="M57" s="108">
        <f>IF($B57="","",IF($E57="Ngày thường",N($H57),0))</f>
        <v/>
      </c>
      <c r="N57" s="108">
        <f>IF($B57="","",IF($E57="Nghỉ tuần",N($H57),0))</f>
        <v/>
      </c>
      <c r="O57" s="108">
        <f>IF($B57="","",IF($E57="Lễ",N($H57),0))</f>
        <v/>
      </c>
    </row>
    <row r="58" ht="15" customHeight="1" s="63">
      <c r="A58" s="85">
        <f>IF($B58="","",ROW()-5)</f>
        <v/>
      </c>
      <c r="B58" s="97" t="n"/>
      <c r="C58" s="96">
        <f>IF($B58="","",IFERROR(INDEX(DM_NHAN_SU!$C$6:$C$155,MATCH($B58,DM_NHAN_SU!$B$6:$B$155,0)),"SAI MÃ NV"))</f>
        <v/>
      </c>
      <c r="D58" s="86" t="n"/>
      <c r="E58" s="103">
        <f>IF(OR($B58="",$D58=""),"",IF(COUNTIF(THAM_SO_CC!$F$10:$F$40,$D58)&gt;0,"Lễ",IF(IF(THAM_SO_CC!$B$12="T7+CN",WEEKDAY($D58,2)&gt;=6,WEEKDAY($D58,2)=7),"Nghỉ tuần","Ngày thường")))</f>
        <v/>
      </c>
      <c r="F58" s="107" t="n"/>
      <c r="G58" s="107" t="n"/>
      <c r="H58" s="107" t="n"/>
      <c r="I58" s="81" t="n"/>
      <c r="J58" s="108">
        <f>IF($B58="","",IF($E58="Ngày thường",N($G58),0))</f>
        <v/>
      </c>
      <c r="K58" s="108">
        <f>IF($B58="","",IF($E58="Nghỉ tuần",N($G58),0))</f>
        <v/>
      </c>
      <c r="L58" s="108">
        <f>IF($B58="","",IF($E58="Lễ",N($G58),0))</f>
        <v/>
      </c>
      <c r="M58" s="108">
        <f>IF($B58="","",IF($E58="Ngày thường",N($H58),0))</f>
        <v/>
      </c>
      <c r="N58" s="108">
        <f>IF($B58="","",IF($E58="Nghỉ tuần",N($H58),0))</f>
        <v/>
      </c>
      <c r="O58" s="108">
        <f>IF($B58="","",IF($E58="Lễ",N($H58),0))</f>
        <v/>
      </c>
    </row>
    <row r="59" ht="15" customHeight="1" s="63">
      <c r="A59" s="85">
        <f>IF($B59="","",ROW()-5)</f>
        <v/>
      </c>
      <c r="B59" s="97" t="n"/>
      <c r="C59" s="96">
        <f>IF($B59="","",IFERROR(INDEX(DM_NHAN_SU!$C$6:$C$155,MATCH($B59,DM_NHAN_SU!$B$6:$B$155,0)),"SAI MÃ NV"))</f>
        <v/>
      </c>
      <c r="D59" s="86" t="n"/>
      <c r="E59" s="103">
        <f>IF(OR($B59="",$D59=""),"",IF(COUNTIF(THAM_SO_CC!$F$10:$F$40,$D59)&gt;0,"Lễ",IF(IF(THAM_SO_CC!$B$12="T7+CN",WEEKDAY($D59,2)&gt;=6,WEEKDAY($D59,2)=7),"Nghỉ tuần","Ngày thường")))</f>
        <v/>
      </c>
      <c r="F59" s="107" t="n"/>
      <c r="G59" s="107" t="n"/>
      <c r="H59" s="107" t="n"/>
      <c r="I59" s="81" t="n"/>
      <c r="J59" s="108">
        <f>IF($B59="","",IF($E59="Ngày thường",N($G59),0))</f>
        <v/>
      </c>
      <c r="K59" s="108">
        <f>IF($B59="","",IF($E59="Nghỉ tuần",N($G59),0))</f>
        <v/>
      </c>
      <c r="L59" s="108">
        <f>IF($B59="","",IF($E59="Lễ",N($G59),0))</f>
        <v/>
      </c>
      <c r="M59" s="108">
        <f>IF($B59="","",IF($E59="Ngày thường",N($H59),0))</f>
        <v/>
      </c>
      <c r="N59" s="108">
        <f>IF($B59="","",IF($E59="Nghỉ tuần",N($H59),0))</f>
        <v/>
      </c>
      <c r="O59" s="108">
        <f>IF($B59="","",IF($E59="Lễ",N($H59),0))</f>
        <v/>
      </c>
    </row>
    <row r="60" ht="15" customHeight="1" s="63">
      <c r="A60" s="85">
        <f>IF($B60="","",ROW()-5)</f>
        <v/>
      </c>
      <c r="B60" s="97" t="n"/>
      <c r="C60" s="96">
        <f>IF($B60="","",IFERROR(INDEX(DM_NHAN_SU!$C$6:$C$155,MATCH($B60,DM_NHAN_SU!$B$6:$B$155,0)),"SAI MÃ NV"))</f>
        <v/>
      </c>
      <c r="D60" s="86" t="n"/>
      <c r="E60" s="103">
        <f>IF(OR($B60="",$D60=""),"",IF(COUNTIF(THAM_SO_CC!$F$10:$F$40,$D60)&gt;0,"Lễ",IF(IF(THAM_SO_CC!$B$12="T7+CN",WEEKDAY($D60,2)&gt;=6,WEEKDAY($D60,2)=7),"Nghỉ tuần","Ngày thường")))</f>
        <v/>
      </c>
      <c r="F60" s="107" t="n"/>
      <c r="G60" s="107" t="n"/>
      <c r="H60" s="107" t="n"/>
      <c r="I60" s="81" t="n"/>
      <c r="J60" s="108">
        <f>IF($B60="","",IF($E60="Ngày thường",N($G60),0))</f>
        <v/>
      </c>
      <c r="K60" s="108">
        <f>IF($B60="","",IF($E60="Nghỉ tuần",N($G60),0))</f>
        <v/>
      </c>
      <c r="L60" s="108">
        <f>IF($B60="","",IF($E60="Lễ",N($G60),0))</f>
        <v/>
      </c>
      <c r="M60" s="108">
        <f>IF($B60="","",IF($E60="Ngày thường",N($H60),0))</f>
        <v/>
      </c>
      <c r="N60" s="108">
        <f>IF($B60="","",IF($E60="Nghỉ tuần",N($H60),0))</f>
        <v/>
      </c>
      <c r="O60" s="108">
        <f>IF($B60="","",IF($E60="Lễ",N($H60),0))</f>
        <v/>
      </c>
    </row>
    <row r="61" ht="15" customHeight="1" s="63">
      <c r="A61" s="85">
        <f>IF($B61="","",ROW()-5)</f>
        <v/>
      </c>
      <c r="B61" s="97" t="n"/>
      <c r="C61" s="96">
        <f>IF($B61="","",IFERROR(INDEX(DM_NHAN_SU!$C$6:$C$155,MATCH($B61,DM_NHAN_SU!$B$6:$B$155,0)),"SAI MÃ NV"))</f>
        <v/>
      </c>
      <c r="D61" s="86" t="n"/>
      <c r="E61" s="103">
        <f>IF(OR($B61="",$D61=""),"",IF(COUNTIF(THAM_SO_CC!$F$10:$F$40,$D61)&gt;0,"Lễ",IF(IF(THAM_SO_CC!$B$12="T7+CN",WEEKDAY($D61,2)&gt;=6,WEEKDAY($D61,2)=7),"Nghỉ tuần","Ngày thường")))</f>
        <v/>
      </c>
      <c r="F61" s="107" t="n"/>
      <c r="G61" s="107" t="n"/>
      <c r="H61" s="107" t="n"/>
      <c r="I61" s="81" t="n"/>
      <c r="J61" s="108">
        <f>IF($B61="","",IF($E61="Ngày thường",N($G61),0))</f>
        <v/>
      </c>
      <c r="K61" s="108">
        <f>IF($B61="","",IF($E61="Nghỉ tuần",N($G61),0))</f>
        <v/>
      </c>
      <c r="L61" s="108">
        <f>IF($B61="","",IF($E61="Lễ",N($G61),0))</f>
        <v/>
      </c>
      <c r="M61" s="108">
        <f>IF($B61="","",IF($E61="Ngày thường",N($H61),0))</f>
        <v/>
      </c>
      <c r="N61" s="108">
        <f>IF($B61="","",IF($E61="Nghỉ tuần",N($H61),0))</f>
        <v/>
      </c>
      <c r="O61" s="108">
        <f>IF($B61="","",IF($E61="Lễ",N($H61),0))</f>
        <v/>
      </c>
    </row>
    <row r="62" ht="15" customHeight="1" s="63">
      <c r="A62" s="85">
        <f>IF($B62="","",ROW()-5)</f>
        <v/>
      </c>
      <c r="B62" s="97" t="n"/>
      <c r="C62" s="96">
        <f>IF($B62="","",IFERROR(INDEX(DM_NHAN_SU!$C$6:$C$155,MATCH($B62,DM_NHAN_SU!$B$6:$B$155,0)),"SAI MÃ NV"))</f>
        <v/>
      </c>
      <c r="D62" s="86" t="n"/>
      <c r="E62" s="103">
        <f>IF(OR($B62="",$D62=""),"",IF(COUNTIF(THAM_SO_CC!$F$10:$F$40,$D62)&gt;0,"Lễ",IF(IF(THAM_SO_CC!$B$12="T7+CN",WEEKDAY($D62,2)&gt;=6,WEEKDAY($D62,2)=7),"Nghỉ tuần","Ngày thường")))</f>
        <v/>
      </c>
      <c r="F62" s="107" t="n"/>
      <c r="G62" s="107" t="n"/>
      <c r="H62" s="107" t="n"/>
      <c r="I62" s="81" t="n"/>
      <c r="J62" s="108">
        <f>IF($B62="","",IF($E62="Ngày thường",N($G62),0))</f>
        <v/>
      </c>
      <c r="K62" s="108">
        <f>IF($B62="","",IF($E62="Nghỉ tuần",N($G62),0))</f>
        <v/>
      </c>
      <c r="L62" s="108">
        <f>IF($B62="","",IF($E62="Lễ",N($G62),0))</f>
        <v/>
      </c>
      <c r="M62" s="108">
        <f>IF($B62="","",IF($E62="Ngày thường",N($H62),0))</f>
        <v/>
      </c>
      <c r="N62" s="108">
        <f>IF($B62="","",IF($E62="Nghỉ tuần",N($H62),0))</f>
        <v/>
      </c>
      <c r="O62" s="108">
        <f>IF($B62="","",IF($E62="Lễ",N($H62),0))</f>
        <v/>
      </c>
    </row>
    <row r="63" ht="15" customHeight="1" s="63">
      <c r="A63" s="85">
        <f>IF($B63="","",ROW()-5)</f>
        <v/>
      </c>
      <c r="B63" s="97" t="n"/>
      <c r="C63" s="96">
        <f>IF($B63="","",IFERROR(INDEX(DM_NHAN_SU!$C$6:$C$155,MATCH($B63,DM_NHAN_SU!$B$6:$B$155,0)),"SAI MÃ NV"))</f>
        <v/>
      </c>
      <c r="D63" s="86" t="n"/>
      <c r="E63" s="103">
        <f>IF(OR($B63="",$D63=""),"",IF(COUNTIF(THAM_SO_CC!$F$10:$F$40,$D63)&gt;0,"Lễ",IF(IF(THAM_SO_CC!$B$12="T7+CN",WEEKDAY($D63,2)&gt;=6,WEEKDAY($D63,2)=7),"Nghỉ tuần","Ngày thường")))</f>
        <v/>
      </c>
      <c r="F63" s="107" t="n"/>
      <c r="G63" s="107" t="n"/>
      <c r="H63" s="107" t="n"/>
      <c r="I63" s="81" t="n"/>
      <c r="J63" s="108">
        <f>IF($B63="","",IF($E63="Ngày thường",N($G63),0))</f>
        <v/>
      </c>
      <c r="K63" s="108">
        <f>IF($B63="","",IF($E63="Nghỉ tuần",N($G63),0))</f>
        <v/>
      </c>
      <c r="L63" s="108">
        <f>IF($B63="","",IF($E63="Lễ",N($G63),0))</f>
        <v/>
      </c>
      <c r="M63" s="108">
        <f>IF($B63="","",IF($E63="Ngày thường",N($H63),0))</f>
        <v/>
      </c>
      <c r="N63" s="108">
        <f>IF($B63="","",IF($E63="Nghỉ tuần",N($H63),0))</f>
        <v/>
      </c>
      <c r="O63" s="108">
        <f>IF($B63="","",IF($E63="Lễ",N($H63),0))</f>
        <v/>
      </c>
    </row>
    <row r="64" ht="15" customHeight="1" s="63">
      <c r="A64" s="85">
        <f>IF($B64="","",ROW()-5)</f>
        <v/>
      </c>
      <c r="B64" s="97" t="n"/>
      <c r="C64" s="96">
        <f>IF($B64="","",IFERROR(INDEX(DM_NHAN_SU!$C$6:$C$155,MATCH($B64,DM_NHAN_SU!$B$6:$B$155,0)),"SAI MÃ NV"))</f>
        <v/>
      </c>
      <c r="D64" s="86" t="n"/>
      <c r="E64" s="103">
        <f>IF(OR($B64="",$D64=""),"",IF(COUNTIF(THAM_SO_CC!$F$10:$F$40,$D64)&gt;0,"Lễ",IF(IF(THAM_SO_CC!$B$12="T7+CN",WEEKDAY($D64,2)&gt;=6,WEEKDAY($D64,2)=7),"Nghỉ tuần","Ngày thường")))</f>
        <v/>
      </c>
      <c r="F64" s="107" t="n"/>
      <c r="G64" s="107" t="n"/>
      <c r="H64" s="107" t="n"/>
      <c r="I64" s="81" t="n"/>
      <c r="J64" s="108">
        <f>IF($B64="","",IF($E64="Ngày thường",N($G64),0))</f>
        <v/>
      </c>
      <c r="K64" s="108">
        <f>IF($B64="","",IF($E64="Nghỉ tuần",N($G64),0))</f>
        <v/>
      </c>
      <c r="L64" s="108">
        <f>IF($B64="","",IF($E64="Lễ",N($G64),0))</f>
        <v/>
      </c>
      <c r="M64" s="108">
        <f>IF($B64="","",IF($E64="Ngày thường",N($H64),0))</f>
        <v/>
      </c>
      <c r="N64" s="108">
        <f>IF($B64="","",IF($E64="Nghỉ tuần",N($H64),0))</f>
        <v/>
      </c>
      <c r="O64" s="108">
        <f>IF($B64="","",IF($E64="Lễ",N($H64),0))</f>
        <v/>
      </c>
    </row>
    <row r="65" ht="15" customHeight="1" s="63">
      <c r="A65" s="85">
        <f>IF($B65="","",ROW()-5)</f>
        <v/>
      </c>
      <c r="B65" s="97" t="n"/>
      <c r="C65" s="96">
        <f>IF($B65="","",IFERROR(INDEX(DM_NHAN_SU!$C$6:$C$155,MATCH($B65,DM_NHAN_SU!$B$6:$B$155,0)),"SAI MÃ NV"))</f>
        <v/>
      </c>
      <c r="D65" s="86" t="n"/>
      <c r="E65" s="103">
        <f>IF(OR($B65="",$D65=""),"",IF(COUNTIF(THAM_SO_CC!$F$10:$F$40,$D65)&gt;0,"Lễ",IF(IF(THAM_SO_CC!$B$12="T7+CN",WEEKDAY($D65,2)&gt;=6,WEEKDAY($D65,2)=7),"Nghỉ tuần","Ngày thường")))</f>
        <v/>
      </c>
      <c r="F65" s="107" t="n"/>
      <c r="G65" s="107" t="n"/>
      <c r="H65" s="107" t="n"/>
      <c r="I65" s="81" t="n"/>
      <c r="J65" s="108">
        <f>IF($B65="","",IF($E65="Ngày thường",N($G65),0))</f>
        <v/>
      </c>
      <c r="K65" s="108">
        <f>IF($B65="","",IF($E65="Nghỉ tuần",N($G65),0))</f>
        <v/>
      </c>
      <c r="L65" s="108">
        <f>IF($B65="","",IF($E65="Lễ",N($G65),0))</f>
        <v/>
      </c>
      <c r="M65" s="108">
        <f>IF($B65="","",IF($E65="Ngày thường",N($H65),0))</f>
        <v/>
      </c>
      <c r="N65" s="108">
        <f>IF($B65="","",IF($E65="Nghỉ tuần",N($H65),0))</f>
        <v/>
      </c>
      <c r="O65" s="108">
        <f>IF($B65="","",IF($E65="Lễ",N($H65),0))</f>
        <v/>
      </c>
    </row>
    <row r="66" ht="15" customHeight="1" s="63">
      <c r="A66" s="85">
        <f>IF($B66="","",ROW()-5)</f>
        <v/>
      </c>
      <c r="B66" s="97" t="n"/>
      <c r="C66" s="96">
        <f>IF($B66="","",IFERROR(INDEX(DM_NHAN_SU!$C$6:$C$155,MATCH($B66,DM_NHAN_SU!$B$6:$B$155,0)),"SAI MÃ NV"))</f>
        <v/>
      </c>
      <c r="D66" s="86" t="n"/>
      <c r="E66" s="103">
        <f>IF(OR($B66="",$D66=""),"",IF(COUNTIF(THAM_SO_CC!$F$10:$F$40,$D66)&gt;0,"Lễ",IF(IF(THAM_SO_CC!$B$12="T7+CN",WEEKDAY($D66,2)&gt;=6,WEEKDAY($D66,2)=7),"Nghỉ tuần","Ngày thường")))</f>
        <v/>
      </c>
      <c r="F66" s="107" t="n"/>
      <c r="G66" s="107" t="n"/>
      <c r="H66" s="107" t="n"/>
      <c r="I66" s="81" t="n"/>
      <c r="J66" s="108">
        <f>IF($B66="","",IF($E66="Ngày thường",N($G66),0))</f>
        <v/>
      </c>
      <c r="K66" s="108">
        <f>IF($B66="","",IF($E66="Nghỉ tuần",N($G66),0))</f>
        <v/>
      </c>
      <c r="L66" s="108">
        <f>IF($B66="","",IF($E66="Lễ",N($G66),0))</f>
        <v/>
      </c>
      <c r="M66" s="108">
        <f>IF($B66="","",IF($E66="Ngày thường",N($H66),0))</f>
        <v/>
      </c>
      <c r="N66" s="108">
        <f>IF($B66="","",IF($E66="Nghỉ tuần",N($H66),0))</f>
        <v/>
      </c>
      <c r="O66" s="108">
        <f>IF($B66="","",IF($E66="Lễ",N($H66),0))</f>
        <v/>
      </c>
    </row>
    <row r="67" ht="15" customHeight="1" s="63">
      <c r="A67" s="85">
        <f>IF($B67="","",ROW()-5)</f>
        <v/>
      </c>
      <c r="B67" s="97" t="n"/>
      <c r="C67" s="96">
        <f>IF($B67="","",IFERROR(INDEX(DM_NHAN_SU!$C$6:$C$155,MATCH($B67,DM_NHAN_SU!$B$6:$B$155,0)),"SAI MÃ NV"))</f>
        <v/>
      </c>
      <c r="D67" s="86" t="n"/>
      <c r="E67" s="103">
        <f>IF(OR($B67="",$D67=""),"",IF(COUNTIF(THAM_SO_CC!$F$10:$F$40,$D67)&gt;0,"Lễ",IF(IF(THAM_SO_CC!$B$12="T7+CN",WEEKDAY($D67,2)&gt;=6,WEEKDAY($D67,2)=7),"Nghỉ tuần","Ngày thường")))</f>
        <v/>
      </c>
      <c r="F67" s="107" t="n"/>
      <c r="G67" s="107" t="n"/>
      <c r="H67" s="107" t="n"/>
      <c r="I67" s="81" t="n"/>
      <c r="J67" s="108">
        <f>IF($B67="","",IF($E67="Ngày thường",N($G67),0))</f>
        <v/>
      </c>
      <c r="K67" s="108">
        <f>IF($B67="","",IF($E67="Nghỉ tuần",N($G67),0))</f>
        <v/>
      </c>
      <c r="L67" s="108">
        <f>IF($B67="","",IF($E67="Lễ",N($G67),0))</f>
        <v/>
      </c>
      <c r="M67" s="108">
        <f>IF($B67="","",IF($E67="Ngày thường",N($H67),0))</f>
        <v/>
      </c>
      <c r="N67" s="108">
        <f>IF($B67="","",IF($E67="Nghỉ tuần",N($H67),0))</f>
        <v/>
      </c>
      <c r="O67" s="108">
        <f>IF($B67="","",IF($E67="Lễ",N($H67),0))</f>
        <v/>
      </c>
    </row>
    <row r="68" ht="15" customHeight="1" s="63">
      <c r="A68" s="85">
        <f>IF($B68="","",ROW()-5)</f>
        <v/>
      </c>
      <c r="B68" s="97" t="n"/>
      <c r="C68" s="96">
        <f>IF($B68="","",IFERROR(INDEX(DM_NHAN_SU!$C$6:$C$155,MATCH($B68,DM_NHAN_SU!$B$6:$B$155,0)),"SAI MÃ NV"))</f>
        <v/>
      </c>
      <c r="D68" s="86" t="n"/>
      <c r="E68" s="103">
        <f>IF(OR($B68="",$D68=""),"",IF(COUNTIF(THAM_SO_CC!$F$10:$F$40,$D68)&gt;0,"Lễ",IF(IF(THAM_SO_CC!$B$12="T7+CN",WEEKDAY($D68,2)&gt;=6,WEEKDAY($D68,2)=7),"Nghỉ tuần","Ngày thường")))</f>
        <v/>
      </c>
      <c r="F68" s="107" t="n"/>
      <c r="G68" s="107" t="n"/>
      <c r="H68" s="107" t="n"/>
      <c r="I68" s="81" t="n"/>
      <c r="J68" s="108">
        <f>IF($B68="","",IF($E68="Ngày thường",N($G68),0))</f>
        <v/>
      </c>
      <c r="K68" s="108">
        <f>IF($B68="","",IF($E68="Nghỉ tuần",N($G68),0))</f>
        <v/>
      </c>
      <c r="L68" s="108">
        <f>IF($B68="","",IF($E68="Lễ",N($G68),0))</f>
        <v/>
      </c>
      <c r="M68" s="108">
        <f>IF($B68="","",IF($E68="Ngày thường",N($H68),0))</f>
        <v/>
      </c>
      <c r="N68" s="108">
        <f>IF($B68="","",IF($E68="Nghỉ tuần",N($H68),0))</f>
        <v/>
      </c>
      <c r="O68" s="108">
        <f>IF($B68="","",IF($E68="Lễ",N($H68),0))</f>
        <v/>
      </c>
    </row>
    <row r="69" ht="15" customHeight="1" s="63">
      <c r="A69" s="85">
        <f>IF($B69="","",ROW()-5)</f>
        <v/>
      </c>
      <c r="B69" s="97" t="n"/>
      <c r="C69" s="96">
        <f>IF($B69="","",IFERROR(INDEX(DM_NHAN_SU!$C$6:$C$155,MATCH($B69,DM_NHAN_SU!$B$6:$B$155,0)),"SAI MÃ NV"))</f>
        <v/>
      </c>
      <c r="D69" s="86" t="n"/>
      <c r="E69" s="103">
        <f>IF(OR($B69="",$D69=""),"",IF(COUNTIF(THAM_SO_CC!$F$10:$F$40,$D69)&gt;0,"Lễ",IF(IF(THAM_SO_CC!$B$12="T7+CN",WEEKDAY($D69,2)&gt;=6,WEEKDAY($D69,2)=7),"Nghỉ tuần","Ngày thường")))</f>
        <v/>
      </c>
      <c r="F69" s="107" t="n"/>
      <c r="G69" s="107" t="n"/>
      <c r="H69" s="107" t="n"/>
      <c r="I69" s="81" t="n"/>
      <c r="J69" s="108">
        <f>IF($B69="","",IF($E69="Ngày thường",N($G69),0))</f>
        <v/>
      </c>
      <c r="K69" s="108">
        <f>IF($B69="","",IF($E69="Nghỉ tuần",N($G69),0))</f>
        <v/>
      </c>
      <c r="L69" s="108">
        <f>IF($B69="","",IF($E69="Lễ",N($G69),0))</f>
        <v/>
      </c>
      <c r="M69" s="108">
        <f>IF($B69="","",IF($E69="Ngày thường",N($H69),0))</f>
        <v/>
      </c>
      <c r="N69" s="108">
        <f>IF($B69="","",IF($E69="Nghỉ tuần",N($H69),0))</f>
        <v/>
      </c>
      <c r="O69" s="108">
        <f>IF($B69="","",IF($E69="Lễ",N($H69),0))</f>
        <v/>
      </c>
    </row>
    <row r="70" ht="15" customHeight="1" s="63">
      <c r="A70" s="85">
        <f>IF($B70="","",ROW()-5)</f>
        <v/>
      </c>
      <c r="B70" s="97" t="n"/>
      <c r="C70" s="96">
        <f>IF($B70="","",IFERROR(INDEX(DM_NHAN_SU!$C$6:$C$155,MATCH($B70,DM_NHAN_SU!$B$6:$B$155,0)),"SAI MÃ NV"))</f>
        <v/>
      </c>
      <c r="D70" s="86" t="n"/>
      <c r="E70" s="103">
        <f>IF(OR($B70="",$D70=""),"",IF(COUNTIF(THAM_SO_CC!$F$10:$F$40,$D70)&gt;0,"Lễ",IF(IF(THAM_SO_CC!$B$12="T7+CN",WEEKDAY($D70,2)&gt;=6,WEEKDAY($D70,2)=7),"Nghỉ tuần","Ngày thường")))</f>
        <v/>
      </c>
      <c r="F70" s="107" t="n"/>
      <c r="G70" s="107" t="n"/>
      <c r="H70" s="107" t="n"/>
      <c r="I70" s="81" t="n"/>
      <c r="J70" s="108">
        <f>IF($B70="","",IF($E70="Ngày thường",N($G70),0))</f>
        <v/>
      </c>
      <c r="K70" s="108">
        <f>IF($B70="","",IF($E70="Nghỉ tuần",N($G70),0))</f>
        <v/>
      </c>
      <c r="L70" s="108">
        <f>IF($B70="","",IF($E70="Lễ",N($G70),0))</f>
        <v/>
      </c>
      <c r="M70" s="108">
        <f>IF($B70="","",IF($E70="Ngày thường",N($H70),0))</f>
        <v/>
      </c>
      <c r="N70" s="108">
        <f>IF($B70="","",IF($E70="Nghỉ tuần",N($H70),0))</f>
        <v/>
      </c>
      <c r="O70" s="108">
        <f>IF($B70="","",IF($E70="Lễ",N($H70),0))</f>
        <v/>
      </c>
    </row>
    <row r="71" ht="15" customHeight="1" s="63">
      <c r="A71" s="85">
        <f>IF($B71="","",ROW()-5)</f>
        <v/>
      </c>
      <c r="B71" s="97" t="n"/>
      <c r="C71" s="96">
        <f>IF($B71="","",IFERROR(INDEX(DM_NHAN_SU!$C$6:$C$155,MATCH($B71,DM_NHAN_SU!$B$6:$B$155,0)),"SAI MÃ NV"))</f>
        <v/>
      </c>
      <c r="D71" s="86" t="n"/>
      <c r="E71" s="103">
        <f>IF(OR($B71="",$D71=""),"",IF(COUNTIF(THAM_SO_CC!$F$10:$F$40,$D71)&gt;0,"Lễ",IF(IF(THAM_SO_CC!$B$12="T7+CN",WEEKDAY($D71,2)&gt;=6,WEEKDAY($D71,2)=7),"Nghỉ tuần","Ngày thường")))</f>
        <v/>
      </c>
      <c r="F71" s="107" t="n"/>
      <c r="G71" s="107" t="n"/>
      <c r="H71" s="107" t="n"/>
      <c r="I71" s="81" t="n"/>
      <c r="J71" s="108">
        <f>IF($B71="","",IF($E71="Ngày thường",N($G71),0))</f>
        <v/>
      </c>
      <c r="K71" s="108">
        <f>IF($B71="","",IF($E71="Nghỉ tuần",N($G71),0))</f>
        <v/>
      </c>
      <c r="L71" s="108">
        <f>IF($B71="","",IF($E71="Lễ",N($G71),0))</f>
        <v/>
      </c>
      <c r="M71" s="108">
        <f>IF($B71="","",IF($E71="Ngày thường",N($H71),0))</f>
        <v/>
      </c>
      <c r="N71" s="108">
        <f>IF($B71="","",IF($E71="Nghỉ tuần",N($H71),0))</f>
        <v/>
      </c>
      <c r="O71" s="108">
        <f>IF($B71="","",IF($E71="Lễ",N($H71),0))</f>
        <v/>
      </c>
    </row>
    <row r="72" ht="15" customHeight="1" s="63">
      <c r="A72" s="85">
        <f>IF($B72="","",ROW()-5)</f>
        <v/>
      </c>
      <c r="B72" s="97" t="n"/>
      <c r="C72" s="96">
        <f>IF($B72="","",IFERROR(INDEX(DM_NHAN_SU!$C$6:$C$155,MATCH($B72,DM_NHAN_SU!$B$6:$B$155,0)),"SAI MÃ NV"))</f>
        <v/>
      </c>
      <c r="D72" s="86" t="n"/>
      <c r="E72" s="103">
        <f>IF(OR($B72="",$D72=""),"",IF(COUNTIF(THAM_SO_CC!$F$10:$F$40,$D72)&gt;0,"Lễ",IF(IF(THAM_SO_CC!$B$12="T7+CN",WEEKDAY($D72,2)&gt;=6,WEEKDAY($D72,2)=7),"Nghỉ tuần","Ngày thường")))</f>
        <v/>
      </c>
      <c r="F72" s="107" t="n"/>
      <c r="G72" s="107" t="n"/>
      <c r="H72" s="107" t="n"/>
      <c r="I72" s="81" t="n"/>
      <c r="J72" s="108">
        <f>IF($B72="","",IF($E72="Ngày thường",N($G72),0))</f>
        <v/>
      </c>
      <c r="K72" s="108">
        <f>IF($B72="","",IF($E72="Nghỉ tuần",N($G72),0))</f>
        <v/>
      </c>
      <c r="L72" s="108">
        <f>IF($B72="","",IF($E72="Lễ",N($G72),0))</f>
        <v/>
      </c>
      <c r="M72" s="108">
        <f>IF($B72="","",IF($E72="Ngày thường",N($H72),0))</f>
        <v/>
      </c>
      <c r="N72" s="108">
        <f>IF($B72="","",IF($E72="Nghỉ tuần",N($H72),0))</f>
        <v/>
      </c>
      <c r="O72" s="108">
        <f>IF($B72="","",IF($E72="Lễ",N($H72),0))</f>
        <v/>
      </c>
    </row>
    <row r="73" ht="15" customHeight="1" s="63">
      <c r="A73" s="85">
        <f>IF($B73="","",ROW()-5)</f>
        <v/>
      </c>
      <c r="B73" s="97" t="n"/>
      <c r="C73" s="96">
        <f>IF($B73="","",IFERROR(INDEX(DM_NHAN_SU!$C$6:$C$155,MATCH($B73,DM_NHAN_SU!$B$6:$B$155,0)),"SAI MÃ NV"))</f>
        <v/>
      </c>
      <c r="D73" s="86" t="n"/>
      <c r="E73" s="103">
        <f>IF(OR($B73="",$D73=""),"",IF(COUNTIF(THAM_SO_CC!$F$10:$F$40,$D73)&gt;0,"Lễ",IF(IF(THAM_SO_CC!$B$12="T7+CN",WEEKDAY($D73,2)&gt;=6,WEEKDAY($D73,2)=7),"Nghỉ tuần","Ngày thường")))</f>
        <v/>
      </c>
      <c r="F73" s="107" t="n"/>
      <c r="G73" s="107" t="n"/>
      <c r="H73" s="107" t="n"/>
      <c r="I73" s="81" t="n"/>
      <c r="J73" s="108">
        <f>IF($B73="","",IF($E73="Ngày thường",N($G73),0))</f>
        <v/>
      </c>
      <c r="K73" s="108">
        <f>IF($B73="","",IF($E73="Nghỉ tuần",N($G73),0))</f>
        <v/>
      </c>
      <c r="L73" s="108">
        <f>IF($B73="","",IF($E73="Lễ",N($G73),0))</f>
        <v/>
      </c>
      <c r="M73" s="108">
        <f>IF($B73="","",IF($E73="Ngày thường",N($H73),0))</f>
        <v/>
      </c>
      <c r="N73" s="108">
        <f>IF($B73="","",IF($E73="Nghỉ tuần",N($H73),0))</f>
        <v/>
      </c>
      <c r="O73" s="108">
        <f>IF($B73="","",IF($E73="Lễ",N($H73),0))</f>
        <v/>
      </c>
    </row>
    <row r="74" ht="15" customHeight="1" s="63">
      <c r="A74" s="85">
        <f>IF($B74="","",ROW()-5)</f>
        <v/>
      </c>
      <c r="B74" s="97" t="n"/>
      <c r="C74" s="96">
        <f>IF($B74="","",IFERROR(INDEX(DM_NHAN_SU!$C$6:$C$155,MATCH($B74,DM_NHAN_SU!$B$6:$B$155,0)),"SAI MÃ NV"))</f>
        <v/>
      </c>
      <c r="D74" s="86" t="n"/>
      <c r="E74" s="103">
        <f>IF(OR($B74="",$D74=""),"",IF(COUNTIF(THAM_SO_CC!$F$10:$F$40,$D74)&gt;0,"Lễ",IF(IF(THAM_SO_CC!$B$12="T7+CN",WEEKDAY($D74,2)&gt;=6,WEEKDAY($D74,2)=7),"Nghỉ tuần","Ngày thường")))</f>
        <v/>
      </c>
      <c r="F74" s="107" t="n"/>
      <c r="G74" s="107" t="n"/>
      <c r="H74" s="107" t="n"/>
      <c r="I74" s="81" t="n"/>
      <c r="J74" s="108">
        <f>IF($B74="","",IF($E74="Ngày thường",N($G74),0))</f>
        <v/>
      </c>
      <c r="K74" s="108">
        <f>IF($B74="","",IF($E74="Nghỉ tuần",N($G74),0))</f>
        <v/>
      </c>
      <c r="L74" s="108">
        <f>IF($B74="","",IF($E74="Lễ",N($G74),0))</f>
        <v/>
      </c>
      <c r="M74" s="108">
        <f>IF($B74="","",IF($E74="Ngày thường",N($H74),0))</f>
        <v/>
      </c>
      <c r="N74" s="108">
        <f>IF($B74="","",IF($E74="Nghỉ tuần",N($H74),0))</f>
        <v/>
      </c>
      <c r="O74" s="108">
        <f>IF($B74="","",IF($E74="Lễ",N($H74),0))</f>
        <v/>
      </c>
    </row>
    <row r="75" ht="15" customHeight="1" s="63">
      <c r="A75" s="85">
        <f>IF($B75="","",ROW()-5)</f>
        <v/>
      </c>
      <c r="B75" s="97" t="n"/>
      <c r="C75" s="96">
        <f>IF($B75="","",IFERROR(INDEX(DM_NHAN_SU!$C$6:$C$155,MATCH($B75,DM_NHAN_SU!$B$6:$B$155,0)),"SAI MÃ NV"))</f>
        <v/>
      </c>
      <c r="D75" s="86" t="n"/>
      <c r="E75" s="103">
        <f>IF(OR($B75="",$D75=""),"",IF(COUNTIF(THAM_SO_CC!$F$10:$F$40,$D75)&gt;0,"Lễ",IF(IF(THAM_SO_CC!$B$12="T7+CN",WEEKDAY($D75,2)&gt;=6,WEEKDAY($D75,2)=7),"Nghỉ tuần","Ngày thường")))</f>
        <v/>
      </c>
      <c r="F75" s="107" t="n"/>
      <c r="G75" s="107" t="n"/>
      <c r="H75" s="107" t="n"/>
      <c r="I75" s="81" t="n"/>
      <c r="J75" s="108">
        <f>IF($B75="","",IF($E75="Ngày thường",N($G75),0))</f>
        <v/>
      </c>
      <c r="K75" s="108">
        <f>IF($B75="","",IF($E75="Nghỉ tuần",N($G75),0))</f>
        <v/>
      </c>
      <c r="L75" s="108">
        <f>IF($B75="","",IF($E75="Lễ",N($G75),0))</f>
        <v/>
      </c>
      <c r="M75" s="108">
        <f>IF($B75="","",IF($E75="Ngày thường",N($H75),0))</f>
        <v/>
      </c>
      <c r="N75" s="108">
        <f>IF($B75="","",IF($E75="Nghỉ tuần",N($H75),0))</f>
        <v/>
      </c>
      <c r="O75" s="108">
        <f>IF($B75="","",IF($E75="Lễ",N($H75),0))</f>
        <v/>
      </c>
    </row>
    <row r="76" ht="15" customHeight="1" s="63">
      <c r="A76" s="85">
        <f>IF($B76="","",ROW()-5)</f>
        <v/>
      </c>
      <c r="B76" s="97" t="n"/>
      <c r="C76" s="96">
        <f>IF($B76="","",IFERROR(INDEX(DM_NHAN_SU!$C$6:$C$155,MATCH($B76,DM_NHAN_SU!$B$6:$B$155,0)),"SAI MÃ NV"))</f>
        <v/>
      </c>
      <c r="D76" s="86" t="n"/>
      <c r="E76" s="103">
        <f>IF(OR($B76="",$D76=""),"",IF(COUNTIF(THAM_SO_CC!$F$10:$F$40,$D76)&gt;0,"Lễ",IF(IF(THAM_SO_CC!$B$12="T7+CN",WEEKDAY($D76,2)&gt;=6,WEEKDAY($D76,2)=7),"Nghỉ tuần","Ngày thường")))</f>
        <v/>
      </c>
      <c r="F76" s="107" t="n"/>
      <c r="G76" s="107" t="n"/>
      <c r="H76" s="107" t="n"/>
      <c r="I76" s="81" t="n"/>
      <c r="J76" s="108">
        <f>IF($B76="","",IF($E76="Ngày thường",N($G76),0))</f>
        <v/>
      </c>
      <c r="K76" s="108">
        <f>IF($B76="","",IF($E76="Nghỉ tuần",N($G76),0))</f>
        <v/>
      </c>
      <c r="L76" s="108">
        <f>IF($B76="","",IF($E76="Lễ",N($G76),0))</f>
        <v/>
      </c>
      <c r="M76" s="108">
        <f>IF($B76="","",IF($E76="Ngày thường",N($H76),0))</f>
        <v/>
      </c>
      <c r="N76" s="108">
        <f>IF($B76="","",IF($E76="Nghỉ tuần",N($H76),0))</f>
        <v/>
      </c>
      <c r="O76" s="108">
        <f>IF($B76="","",IF($E76="Lễ",N($H76),0))</f>
        <v/>
      </c>
    </row>
    <row r="77" ht="15" customHeight="1" s="63">
      <c r="A77" s="85">
        <f>IF($B77="","",ROW()-5)</f>
        <v/>
      </c>
      <c r="B77" s="97" t="n"/>
      <c r="C77" s="96">
        <f>IF($B77="","",IFERROR(INDEX(DM_NHAN_SU!$C$6:$C$155,MATCH($B77,DM_NHAN_SU!$B$6:$B$155,0)),"SAI MÃ NV"))</f>
        <v/>
      </c>
      <c r="D77" s="86" t="n"/>
      <c r="E77" s="103">
        <f>IF(OR($B77="",$D77=""),"",IF(COUNTIF(THAM_SO_CC!$F$10:$F$40,$D77)&gt;0,"Lễ",IF(IF(THAM_SO_CC!$B$12="T7+CN",WEEKDAY($D77,2)&gt;=6,WEEKDAY($D77,2)=7),"Nghỉ tuần","Ngày thường")))</f>
        <v/>
      </c>
      <c r="F77" s="107" t="n"/>
      <c r="G77" s="107" t="n"/>
      <c r="H77" s="107" t="n"/>
      <c r="I77" s="81" t="n"/>
      <c r="J77" s="108">
        <f>IF($B77="","",IF($E77="Ngày thường",N($G77),0))</f>
        <v/>
      </c>
      <c r="K77" s="108">
        <f>IF($B77="","",IF($E77="Nghỉ tuần",N($G77),0))</f>
        <v/>
      </c>
      <c r="L77" s="108">
        <f>IF($B77="","",IF($E77="Lễ",N($G77),0))</f>
        <v/>
      </c>
      <c r="M77" s="108">
        <f>IF($B77="","",IF($E77="Ngày thường",N($H77),0))</f>
        <v/>
      </c>
      <c r="N77" s="108">
        <f>IF($B77="","",IF($E77="Nghỉ tuần",N($H77),0))</f>
        <v/>
      </c>
      <c r="O77" s="108">
        <f>IF($B77="","",IF($E77="Lễ",N($H77),0))</f>
        <v/>
      </c>
    </row>
    <row r="78" ht="15" customHeight="1" s="63">
      <c r="A78" s="85">
        <f>IF($B78="","",ROW()-5)</f>
        <v/>
      </c>
      <c r="B78" s="97" t="n"/>
      <c r="C78" s="96">
        <f>IF($B78="","",IFERROR(INDEX(DM_NHAN_SU!$C$6:$C$155,MATCH($B78,DM_NHAN_SU!$B$6:$B$155,0)),"SAI MÃ NV"))</f>
        <v/>
      </c>
      <c r="D78" s="86" t="n"/>
      <c r="E78" s="103">
        <f>IF(OR($B78="",$D78=""),"",IF(COUNTIF(THAM_SO_CC!$F$10:$F$40,$D78)&gt;0,"Lễ",IF(IF(THAM_SO_CC!$B$12="T7+CN",WEEKDAY($D78,2)&gt;=6,WEEKDAY($D78,2)=7),"Nghỉ tuần","Ngày thường")))</f>
        <v/>
      </c>
      <c r="F78" s="107" t="n"/>
      <c r="G78" s="107" t="n"/>
      <c r="H78" s="107" t="n"/>
      <c r="I78" s="81" t="n"/>
      <c r="J78" s="108">
        <f>IF($B78="","",IF($E78="Ngày thường",N($G78),0))</f>
        <v/>
      </c>
      <c r="K78" s="108">
        <f>IF($B78="","",IF($E78="Nghỉ tuần",N($G78),0))</f>
        <v/>
      </c>
      <c r="L78" s="108">
        <f>IF($B78="","",IF($E78="Lễ",N($G78),0))</f>
        <v/>
      </c>
      <c r="M78" s="108">
        <f>IF($B78="","",IF($E78="Ngày thường",N($H78),0))</f>
        <v/>
      </c>
      <c r="N78" s="108">
        <f>IF($B78="","",IF($E78="Nghỉ tuần",N($H78),0))</f>
        <v/>
      </c>
      <c r="O78" s="108">
        <f>IF($B78="","",IF($E78="Lễ",N($H78),0))</f>
        <v/>
      </c>
    </row>
    <row r="79" ht="15" customHeight="1" s="63">
      <c r="A79" s="85">
        <f>IF($B79="","",ROW()-5)</f>
        <v/>
      </c>
      <c r="B79" s="97" t="n"/>
      <c r="C79" s="96">
        <f>IF($B79="","",IFERROR(INDEX(DM_NHAN_SU!$C$6:$C$155,MATCH($B79,DM_NHAN_SU!$B$6:$B$155,0)),"SAI MÃ NV"))</f>
        <v/>
      </c>
      <c r="D79" s="86" t="n"/>
      <c r="E79" s="103">
        <f>IF(OR($B79="",$D79=""),"",IF(COUNTIF(THAM_SO_CC!$F$10:$F$40,$D79)&gt;0,"Lễ",IF(IF(THAM_SO_CC!$B$12="T7+CN",WEEKDAY($D79,2)&gt;=6,WEEKDAY($D79,2)=7),"Nghỉ tuần","Ngày thường")))</f>
        <v/>
      </c>
      <c r="F79" s="107" t="n"/>
      <c r="G79" s="107" t="n"/>
      <c r="H79" s="107" t="n"/>
      <c r="I79" s="81" t="n"/>
      <c r="J79" s="108">
        <f>IF($B79="","",IF($E79="Ngày thường",N($G79),0))</f>
        <v/>
      </c>
      <c r="K79" s="108">
        <f>IF($B79="","",IF($E79="Nghỉ tuần",N($G79),0))</f>
        <v/>
      </c>
      <c r="L79" s="108">
        <f>IF($B79="","",IF($E79="Lễ",N($G79),0))</f>
        <v/>
      </c>
      <c r="M79" s="108">
        <f>IF($B79="","",IF($E79="Ngày thường",N($H79),0))</f>
        <v/>
      </c>
      <c r="N79" s="108">
        <f>IF($B79="","",IF($E79="Nghỉ tuần",N($H79),0))</f>
        <v/>
      </c>
      <c r="O79" s="108">
        <f>IF($B79="","",IF($E79="Lễ",N($H79),0))</f>
        <v/>
      </c>
    </row>
    <row r="80" ht="15" customHeight="1" s="63">
      <c r="A80" s="85">
        <f>IF($B80="","",ROW()-5)</f>
        <v/>
      </c>
      <c r="B80" s="97" t="n"/>
      <c r="C80" s="96">
        <f>IF($B80="","",IFERROR(INDEX(DM_NHAN_SU!$C$6:$C$155,MATCH($B80,DM_NHAN_SU!$B$6:$B$155,0)),"SAI MÃ NV"))</f>
        <v/>
      </c>
      <c r="D80" s="86" t="n"/>
      <c r="E80" s="103">
        <f>IF(OR($B80="",$D80=""),"",IF(COUNTIF(THAM_SO_CC!$F$10:$F$40,$D80)&gt;0,"Lễ",IF(IF(THAM_SO_CC!$B$12="T7+CN",WEEKDAY($D80,2)&gt;=6,WEEKDAY($D80,2)=7),"Nghỉ tuần","Ngày thường")))</f>
        <v/>
      </c>
      <c r="F80" s="107" t="n"/>
      <c r="G80" s="107" t="n"/>
      <c r="H80" s="107" t="n"/>
      <c r="I80" s="81" t="n"/>
      <c r="J80" s="108">
        <f>IF($B80="","",IF($E80="Ngày thường",N($G80),0))</f>
        <v/>
      </c>
      <c r="K80" s="108">
        <f>IF($B80="","",IF($E80="Nghỉ tuần",N($G80),0))</f>
        <v/>
      </c>
      <c r="L80" s="108">
        <f>IF($B80="","",IF($E80="Lễ",N($G80),0))</f>
        <v/>
      </c>
      <c r="M80" s="108">
        <f>IF($B80="","",IF($E80="Ngày thường",N($H80),0))</f>
        <v/>
      </c>
      <c r="N80" s="108">
        <f>IF($B80="","",IF($E80="Nghỉ tuần",N($H80),0))</f>
        <v/>
      </c>
      <c r="O80" s="108">
        <f>IF($B80="","",IF($E80="Lễ",N($H80),0))</f>
        <v/>
      </c>
    </row>
    <row r="81" ht="15" customHeight="1" s="63">
      <c r="A81" s="85">
        <f>IF($B81="","",ROW()-5)</f>
        <v/>
      </c>
      <c r="B81" s="97" t="n"/>
      <c r="C81" s="96">
        <f>IF($B81="","",IFERROR(INDEX(DM_NHAN_SU!$C$6:$C$155,MATCH($B81,DM_NHAN_SU!$B$6:$B$155,0)),"SAI MÃ NV"))</f>
        <v/>
      </c>
      <c r="D81" s="86" t="n"/>
      <c r="E81" s="103">
        <f>IF(OR($B81="",$D81=""),"",IF(COUNTIF(THAM_SO_CC!$F$10:$F$40,$D81)&gt;0,"Lễ",IF(IF(THAM_SO_CC!$B$12="T7+CN",WEEKDAY($D81,2)&gt;=6,WEEKDAY($D81,2)=7),"Nghỉ tuần","Ngày thường")))</f>
        <v/>
      </c>
      <c r="F81" s="107" t="n"/>
      <c r="G81" s="107" t="n"/>
      <c r="H81" s="107" t="n"/>
      <c r="I81" s="81" t="n"/>
      <c r="J81" s="108">
        <f>IF($B81="","",IF($E81="Ngày thường",N($G81),0))</f>
        <v/>
      </c>
      <c r="K81" s="108">
        <f>IF($B81="","",IF($E81="Nghỉ tuần",N($G81),0))</f>
        <v/>
      </c>
      <c r="L81" s="108">
        <f>IF($B81="","",IF($E81="Lễ",N($G81),0))</f>
        <v/>
      </c>
      <c r="M81" s="108">
        <f>IF($B81="","",IF($E81="Ngày thường",N($H81),0))</f>
        <v/>
      </c>
      <c r="N81" s="108">
        <f>IF($B81="","",IF($E81="Nghỉ tuần",N($H81),0))</f>
        <v/>
      </c>
      <c r="O81" s="108">
        <f>IF($B81="","",IF($E81="Lễ",N($H81),0))</f>
        <v/>
      </c>
    </row>
    <row r="82" ht="15" customHeight="1" s="63">
      <c r="A82" s="85">
        <f>IF($B82="","",ROW()-5)</f>
        <v/>
      </c>
      <c r="B82" s="97" t="n"/>
      <c r="C82" s="96">
        <f>IF($B82="","",IFERROR(INDEX(DM_NHAN_SU!$C$6:$C$155,MATCH($B82,DM_NHAN_SU!$B$6:$B$155,0)),"SAI MÃ NV"))</f>
        <v/>
      </c>
      <c r="D82" s="86" t="n"/>
      <c r="E82" s="103">
        <f>IF(OR($B82="",$D82=""),"",IF(COUNTIF(THAM_SO_CC!$F$10:$F$40,$D82)&gt;0,"Lễ",IF(IF(THAM_SO_CC!$B$12="T7+CN",WEEKDAY($D82,2)&gt;=6,WEEKDAY($D82,2)=7),"Nghỉ tuần","Ngày thường")))</f>
        <v/>
      </c>
      <c r="F82" s="107" t="n"/>
      <c r="G82" s="107" t="n"/>
      <c r="H82" s="107" t="n"/>
      <c r="I82" s="81" t="n"/>
      <c r="J82" s="108">
        <f>IF($B82="","",IF($E82="Ngày thường",N($G82),0))</f>
        <v/>
      </c>
      <c r="K82" s="108">
        <f>IF($B82="","",IF($E82="Nghỉ tuần",N($G82),0))</f>
        <v/>
      </c>
      <c r="L82" s="108">
        <f>IF($B82="","",IF($E82="Lễ",N($G82),0))</f>
        <v/>
      </c>
      <c r="M82" s="108">
        <f>IF($B82="","",IF($E82="Ngày thường",N($H82),0))</f>
        <v/>
      </c>
      <c r="N82" s="108">
        <f>IF($B82="","",IF($E82="Nghỉ tuần",N($H82),0))</f>
        <v/>
      </c>
      <c r="O82" s="108">
        <f>IF($B82="","",IF($E82="Lễ",N($H82),0))</f>
        <v/>
      </c>
    </row>
    <row r="83" ht="15" customHeight="1" s="63">
      <c r="A83" s="85">
        <f>IF($B83="","",ROW()-5)</f>
        <v/>
      </c>
      <c r="B83" s="97" t="n"/>
      <c r="C83" s="96">
        <f>IF($B83="","",IFERROR(INDEX(DM_NHAN_SU!$C$6:$C$155,MATCH($B83,DM_NHAN_SU!$B$6:$B$155,0)),"SAI MÃ NV"))</f>
        <v/>
      </c>
      <c r="D83" s="86" t="n"/>
      <c r="E83" s="103">
        <f>IF(OR($B83="",$D83=""),"",IF(COUNTIF(THAM_SO_CC!$F$10:$F$40,$D83)&gt;0,"Lễ",IF(IF(THAM_SO_CC!$B$12="T7+CN",WEEKDAY($D83,2)&gt;=6,WEEKDAY($D83,2)=7),"Nghỉ tuần","Ngày thường")))</f>
        <v/>
      </c>
      <c r="F83" s="107" t="n"/>
      <c r="G83" s="107" t="n"/>
      <c r="H83" s="107" t="n"/>
      <c r="I83" s="81" t="n"/>
      <c r="J83" s="108">
        <f>IF($B83="","",IF($E83="Ngày thường",N($G83),0))</f>
        <v/>
      </c>
      <c r="K83" s="108">
        <f>IF($B83="","",IF($E83="Nghỉ tuần",N($G83),0))</f>
        <v/>
      </c>
      <c r="L83" s="108">
        <f>IF($B83="","",IF($E83="Lễ",N($G83),0))</f>
        <v/>
      </c>
      <c r="M83" s="108">
        <f>IF($B83="","",IF($E83="Ngày thường",N($H83),0))</f>
        <v/>
      </c>
      <c r="N83" s="108">
        <f>IF($B83="","",IF($E83="Nghỉ tuần",N($H83),0))</f>
        <v/>
      </c>
      <c r="O83" s="108">
        <f>IF($B83="","",IF($E83="Lễ",N($H83),0))</f>
        <v/>
      </c>
    </row>
    <row r="84" ht="15" customHeight="1" s="63">
      <c r="A84" s="85">
        <f>IF($B84="","",ROW()-5)</f>
        <v/>
      </c>
      <c r="B84" s="97" t="n"/>
      <c r="C84" s="96">
        <f>IF($B84="","",IFERROR(INDEX(DM_NHAN_SU!$C$6:$C$155,MATCH($B84,DM_NHAN_SU!$B$6:$B$155,0)),"SAI MÃ NV"))</f>
        <v/>
      </c>
      <c r="D84" s="86" t="n"/>
      <c r="E84" s="103">
        <f>IF(OR($B84="",$D84=""),"",IF(COUNTIF(THAM_SO_CC!$F$10:$F$40,$D84)&gt;0,"Lễ",IF(IF(THAM_SO_CC!$B$12="T7+CN",WEEKDAY($D84,2)&gt;=6,WEEKDAY($D84,2)=7),"Nghỉ tuần","Ngày thường")))</f>
        <v/>
      </c>
      <c r="F84" s="107" t="n"/>
      <c r="G84" s="107" t="n"/>
      <c r="H84" s="107" t="n"/>
      <c r="I84" s="81" t="n"/>
      <c r="J84" s="108">
        <f>IF($B84="","",IF($E84="Ngày thường",N($G84),0))</f>
        <v/>
      </c>
      <c r="K84" s="108">
        <f>IF($B84="","",IF($E84="Nghỉ tuần",N($G84),0))</f>
        <v/>
      </c>
      <c r="L84" s="108">
        <f>IF($B84="","",IF($E84="Lễ",N($G84),0))</f>
        <v/>
      </c>
      <c r="M84" s="108">
        <f>IF($B84="","",IF($E84="Ngày thường",N($H84),0))</f>
        <v/>
      </c>
      <c r="N84" s="108">
        <f>IF($B84="","",IF($E84="Nghỉ tuần",N($H84),0))</f>
        <v/>
      </c>
      <c r="O84" s="108">
        <f>IF($B84="","",IF($E84="Lễ",N($H84),0))</f>
        <v/>
      </c>
    </row>
    <row r="85" ht="15" customHeight="1" s="63">
      <c r="A85" s="85">
        <f>IF($B85="","",ROW()-5)</f>
        <v/>
      </c>
      <c r="B85" s="97" t="n"/>
      <c r="C85" s="96">
        <f>IF($B85="","",IFERROR(INDEX(DM_NHAN_SU!$C$6:$C$155,MATCH($B85,DM_NHAN_SU!$B$6:$B$155,0)),"SAI MÃ NV"))</f>
        <v/>
      </c>
      <c r="D85" s="86" t="n"/>
      <c r="E85" s="103">
        <f>IF(OR($B85="",$D85=""),"",IF(COUNTIF(THAM_SO_CC!$F$10:$F$40,$D85)&gt;0,"Lễ",IF(IF(THAM_SO_CC!$B$12="T7+CN",WEEKDAY($D85,2)&gt;=6,WEEKDAY($D85,2)=7),"Nghỉ tuần","Ngày thường")))</f>
        <v/>
      </c>
      <c r="F85" s="107" t="n"/>
      <c r="G85" s="107" t="n"/>
      <c r="H85" s="107" t="n"/>
      <c r="I85" s="81" t="n"/>
      <c r="J85" s="108">
        <f>IF($B85="","",IF($E85="Ngày thường",N($G85),0))</f>
        <v/>
      </c>
      <c r="K85" s="108">
        <f>IF($B85="","",IF($E85="Nghỉ tuần",N($G85),0))</f>
        <v/>
      </c>
      <c r="L85" s="108">
        <f>IF($B85="","",IF($E85="Lễ",N($G85),0))</f>
        <v/>
      </c>
      <c r="M85" s="108">
        <f>IF($B85="","",IF($E85="Ngày thường",N($H85),0))</f>
        <v/>
      </c>
      <c r="N85" s="108">
        <f>IF($B85="","",IF($E85="Nghỉ tuần",N($H85),0))</f>
        <v/>
      </c>
      <c r="O85" s="108">
        <f>IF($B85="","",IF($E85="Lễ",N($H85),0))</f>
        <v/>
      </c>
    </row>
    <row r="86" ht="15" customHeight="1" s="63">
      <c r="A86" s="85">
        <f>IF($B86="","",ROW()-5)</f>
        <v/>
      </c>
      <c r="B86" s="97" t="n"/>
      <c r="C86" s="96">
        <f>IF($B86="","",IFERROR(INDEX(DM_NHAN_SU!$C$6:$C$155,MATCH($B86,DM_NHAN_SU!$B$6:$B$155,0)),"SAI MÃ NV"))</f>
        <v/>
      </c>
      <c r="D86" s="86" t="n"/>
      <c r="E86" s="103">
        <f>IF(OR($B86="",$D86=""),"",IF(COUNTIF(THAM_SO_CC!$F$10:$F$40,$D86)&gt;0,"Lễ",IF(IF(THAM_SO_CC!$B$12="T7+CN",WEEKDAY($D86,2)&gt;=6,WEEKDAY($D86,2)=7),"Nghỉ tuần","Ngày thường")))</f>
        <v/>
      </c>
      <c r="F86" s="107" t="n"/>
      <c r="G86" s="107" t="n"/>
      <c r="H86" s="107" t="n"/>
      <c r="I86" s="81" t="n"/>
      <c r="J86" s="108">
        <f>IF($B86="","",IF($E86="Ngày thường",N($G86),0))</f>
        <v/>
      </c>
      <c r="K86" s="108">
        <f>IF($B86="","",IF($E86="Nghỉ tuần",N($G86),0))</f>
        <v/>
      </c>
      <c r="L86" s="108">
        <f>IF($B86="","",IF($E86="Lễ",N($G86),0))</f>
        <v/>
      </c>
      <c r="M86" s="108">
        <f>IF($B86="","",IF($E86="Ngày thường",N($H86),0))</f>
        <v/>
      </c>
      <c r="N86" s="108">
        <f>IF($B86="","",IF($E86="Nghỉ tuần",N($H86),0))</f>
        <v/>
      </c>
      <c r="O86" s="108">
        <f>IF($B86="","",IF($E86="Lễ",N($H86),0))</f>
        <v/>
      </c>
    </row>
    <row r="87" ht="15" customHeight="1" s="63">
      <c r="A87" s="85">
        <f>IF($B87="","",ROW()-5)</f>
        <v/>
      </c>
      <c r="B87" s="97" t="n"/>
      <c r="C87" s="96">
        <f>IF($B87="","",IFERROR(INDEX(DM_NHAN_SU!$C$6:$C$155,MATCH($B87,DM_NHAN_SU!$B$6:$B$155,0)),"SAI MÃ NV"))</f>
        <v/>
      </c>
      <c r="D87" s="86" t="n"/>
      <c r="E87" s="103">
        <f>IF(OR($B87="",$D87=""),"",IF(COUNTIF(THAM_SO_CC!$F$10:$F$40,$D87)&gt;0,"Lễ",IF(IF(THAM_SO_CC!$B$12="T7+CN",WEEKDAY($D87,2)&gt;=6,WEEKDAY($D87,2)=7),"Nghỉ tuần","Ngày thường")))</f>
        <v/>
      </c>
      <c r="F87" s="107" t="n"/>
      <c r="G87" s="107" t="n"/>
      <c r="H87" s="107" t="n"/>
      <c r="I87" s="81" t="n"/>
      <c r="J87" s="108">
        <f>IF($B87="","",IF($E87="Ngày thường",N($G87),0))</f>
        <v/>
      </c>
      <c r="K87" s="108">
        <f>IF($B87="","",IF($E87="Nghỉ tuần",N($G87),0))</f>
        <v/>
      </c>
      <c r="L87" s="108">
        <f>IF($B87="","",IF($E87="Lễ",N($G87),0))</f>
        <v/>
      </c>
      <c r="M87" s="108">
        <f>IF($B87="","",IF($E87="Ngày thường",N($H87),0))</f>
        <v/>
      </c>
      <c r="N87" s="108">
        <f>IF($B87="","",IF($E87="Nghỉ tuần",N($H87),0))</f>
        <v/>
      </c>
      <c r="O87" s="108">
        <f>IF($B87="","",IF($E87="Lễ",N($H87),0))</f>
        <v/>
      </c>
    </row>
    <row r="88" ht="15" customHeight="1" s="63">
      <c r="A88" s="85">
        <f>IF($B88="","",ROW()-5)</f>
        <v/>
      </c>
      <c r="B88" s="97" t="n"/>
      <c r="C88" s="96">
        <f>IF($B88="","",IFERROR(INDEX(DM_NHAN_SU!$C$6:$C$155,MATCH($B88,DM_NHAN_SU!$B$6:$B$155,0)),"SAI MÃ NV"))</f>
        <v/>
      </c>
      <c r="D88" s="86" t="n"/>
      <c r="E88" s="103">
        <f>IF(OR($B88="",$D88=""),"",IF(COUNTIF(THAM_SO_CC!$F$10:$F$40,$D88)&gt;0,"Lễ",IF(IF(THAM_SO_CC!$B$12="T7+CN",WEEKDAY($D88,2)&gt;=6,WEEKDAY($D88,2)=7),"Nghỉ tuần","Ngày thường")))</f>
        <v/>
      </c>
      <c r="F88" s="107" t="n"/>
      <c r="G88" s="107" t="n"/>
      <c r="H88" s="107" t="n"/>
      <c r="I88" s="81" t="n"/>
      <c r="J88" s="108">
        <f>IF($B88="","",IF($E88="Ngày thường",N($G88),0))</f>
        <v/>
      </c>
      <c r="K88" s="108">
        <f>IF($B88="","",IF($E88="Nghỉ tuần",N($G88),0))</f>
        <v/>
      </c>
      <c r="L88" s="108">
        <f>IF($B88="","",IF($E88="Lễ",N($G88),0))</f>
        <v/>
      </c>
      <c r="M88" s="108">
        <f>IF($B88="","",IF($E88="Ngày thường",N($H88),0))</f>
        <v/>
      </c>
      <c r="N88" s="108">
        <f>IF($B88="","",IF($E88="Nghỉ tuần",N($H88),0))</f>
        <v/>
      </c>
      <c r="O88" s="108">
        <f>IF($B88="","",IF($E88="Lễ",N($H88),0))</f>
        <v/>
      </c>
    </row>
    <row r="89" ht="15" customHeight="1" s="63">
      <c r="A89" s="85">
        <f>IF($B89="","",ROW()-5)</f>
        <v/>
      </c>
      <c r="B89" s="97" t="n"/>
      <c r="C89" s="96">
        <f>IF($B89="","",IFERROR(INDEX(DM_NHAN_SU!$C$6:$C$155,MATCH($B89,DM_NHAN_SU!$B$6:$B$155,0)),"SAI MÃ NV"))</f>
        <v/>
      </c>
      <c r="D89" s="86" t="n"/>
      <c r="E89" s="103">
        <f>IF(OR($B89="",$D89=""),"",IF(COUNTIF(THAM_SO_CC!$F$10:$F$40,$D89)&gt;0,"Lễ",IF(IF(THAM_SO_CC!$B$12="T7+CN",WEEKDAY($D89,2)&gt;=6,WEEKDAY($D89,2)=7),"Nghỉ tuần","Ngày thường")))</f>
        <v/>
      </c>
      <c r="F89" s="107" t="n"/>
      <c r="G89" s="107" t="n"/>
      <c r="H89" s="107" t="n"/>
      <c r="I89" s="81" t="n"/>
      <c r="J89" s="108">
        <f>IF($B89="","",IF($E89="Ngày thường",N($G89),0))</f>
        <v/>
      </c>
      <c r="K89" s="108">
        <f>IF($B89="","",IF($E89="Nghỉ tuần",N($G89),0))</f>
        <v/>
      </c>
      <c r="L89" s="108">
        <f>IF($B89="","",IF($E89="Lễ",N($G89),0))</f>
        <v/>
      </c>
      <c r="M89" s="108">
        <f>IF($B89="","",IF($E89="Ngày thường",N($H89),0))</f>
        <v/>
      </c>
      <c r="N89" s="108">
        <f>IF($B89="","",IF($E89="Nghỉ tuần",N($H89),0))</f>
        <v/>
      </c>
      <c r="O89" s="108">
        <f>IF($B89="","",IF($E89="Lễ",N($H89),0))</f>
        <v/>
      </c>
    </row>
    <row r="90" ht="15" customHeight="1" s="63">
      <c r="A90" s="85">
        <f>IF($B90="","",ROW()-5)</f>
        <v/>
      </c>
      <c r="B90" s="97" t="n"/>
      <c r="C90" s="96">
        <f>IF($B90="","",IFERROR(INDEX(DM_NHAN_SU!$C$6:$C$155,MATCH($B90,DM_NHAN_SU!$B$6:$B$155,0)),"SAI MÃ NV"))</f>
        <v/>
      </c>
      <c r="D90" s="86" t="n"/>
      <c r="E90" s="103">
        <f>IF(OR($B90="",$D90=""),"",IF(COUNTIF(THAM_SO_CC!$F$10:$F$40,$D90)&gt;0,"Lễ",IF(IF(THAM_SO_CC!$B$12="T7+CN",WEEKDAY($D90,2)&gt;=6,WEEKDAY($D90,2)=7),"Nghỉ tuần","Ngày thường")))</f>
        <v/>
      </c>
      <c r="F90" s="107" t="n"/>
      <c r="G90" s="107" t="n"/>
      <c r="H90" s="107" t="n"/>
      <c r="I90" s="81" t="n"/>
      <c r="J90" s="108">
        <f>IF($B90="","",IF($E90="Ngày thường",N($G90),0))</f>
        <v/>
      </c>
      <c r="K90" s="108">
        <f>IF($B90="","",IF($E90="Nghỉ tuần",N($G90),0))</f>
        <v/>
      </c>
      <c r="L90" s="108">
        <f>IF($B90="","",IF($E90="Lễ",N($G90),0))</f>
        <v/>
      </c>
      <c r="M90" s="108">
        <f>IF($B90="","",IF($E90="Ngày thường",N($H90),0))</f>
        <v/>
      </c>
      <c r="N90" s="108">
        <f>IF($B90="","",IF($E90="Nghỉ tuần",N($H90),0))</f>
        <v/>
      </c>
      <c r="O90" s="108">
        <f>IF($B90="","",IF($E90="Lễ",N($H90),0))</f>
        <v/>
      </c>
    </row>
    <row r="91" ht="15" customHeight="1" s="63">
      <c r="A91" s="85">
        <f>IF($B91="","",ROW()-5)</f>
        <v/>
      </c>
      <c r="B91" s="97" t="n"/>
      <c r="C91" s="96">
        <f>IF($B91="","",IFERROR(INDEX(DM_NHAN_SU!$C$6:$C$155,MATCH($B91,DM_NHAN_SU!$B$6:$B$155,0)),"SAI MÃ NV"))</f>
        <v/>
      </c>
      <c r="D91" s="86" t="n"/>
      <c r="E91" s="103">
        <f>IF(OR($B91="",$D91=""),"",IF(COUNTIF(THAM_SO_CC!$F$10:$F$40,$D91)&gt;0,"Lễ",IF(IF(THAM_SO_CC!$B$12="T7+CN",WEEKDAY($D91,2)&gt;=6,WEEKDAY($D91,2)=7),"Nghỉ tuần","Ngày thường")))</f>
        <v/>
      </c>
      <c r="F91" s="107" t="n"/>
      <c r="G91" s="107" t="n"/>
      <c r="H91" s="107" t="n"/>
      <c r="I91" s="81" t="n"/>
      <c r="J91" s="108">
        <f>IF($B91="","",IF($E91="Ngày thường",N($G91),0))</f>
        <v/>
      </c>
      <c r="K91" s="108">
        <f>IF($B91="","",IF($E91="Nghỉ tuần",N($G91),0))</f>
        <v/>
      </c>
      <c r="L91" s="108">
        <f>IF($B91="","",IF($E91="Lễ",N($G91),0))</f>
        <v/>
      </c>
      <c r="M91" s="108">
        <f>IF($B91="","",IF($E91="Ngày thường",N($H91),0))</f>
        <v/>
      </c>
      <c r="N91" s="108">
        <f>IF($B91="","",IF($E91="Nghỉ tuần",N($H91),0))</f>
        <v/>
      </c>
      <c r="O91" s="108">
        <f>IF($B91="","",IF($E91="Lễ",N($H91),0))</f>
        <v/>
      </c>
    </row>
    <row r="92" ht="15" customHeight="1" s="63">
      <c r="A92" s="85">
        <f>IF($B92="","",ROW()-5)</f>
        <v/>
      </c>
      <c r="B92" s="97" t="n"/>
      <c r="C92" s="96">
        <f>IF($B92="","",IFERROR(INDEX(DM_NHAN_SU!$C$6:$C$155,MATCH($B92,DM_NHAN_SU!$B$6:$B$155,0)),"SAI MÃ NV"))</f>
        <v/>
      </c>
      <c r="D92" s="86" t="n"/>
      <c r="E92" s="103">
        <f>IF(OR($B92="",$D92=""),"",IF(COUNTIF(THAM_SO_CC!$F$10:$F$40,$D92)&gt;0,"Lễ",IF(IF(THAM_SO_CC!$B$12="T7+CN",WEEKDAY($D92,2)&gt;=6,WEEKDAY($D92,2)=7),"Nghỉ tuần","Ngày thường")))</f>
        <v/>
      </c>
      <c r="F92" s="107" t="n"/>
      <c r="G92" s="107" t="n"/>
      <c r="H92" s="107" t="n"/>
      <c r="I92" s="81" t="n"/>
      <c r="J92" s="108">
        <f>IF($B92="","",IF($E92="Ngày thường",N($G92),0))</f>
        <v/>
      </c>
      <c r="K92" s="108">
        <f>IF($B92="","",IF($E92="Nghỉ tuần",N($G92),0))</f>
        <v/>
      </c>
      <c r="L92" s="108">
        <f>IF($B92="","",IF($E92="Lễ",N($G92),0))</f>
        <v/>
      </c>
      <c r="M92" s="108">
        <f>IF($B92="","",IF($E92="Ngày thường",N($H92),0))</f>
        <v/>
      </c>
      <c r="N92" s="108">
        <f>IF($B92="","",IF($E92="Nghỉ tuần",N($H92),0))</f>
        <v/>
      </c>
      <c r="O92" s="108">
        <f>IF($B92="","",IF($E92="Lễ",N($H92),0))</f>
        <v/>
      </c>
    </row>
    <row r="93" ht="15" customHeight="1" s="63">
      <c r="A93" s="85">
        <f>IF($B93="","",ROW()-5)</f>
        <v/>
      </c>
      <c r="B93" s="97" t="n"/>
      <c r="C93" s="96">
        <f>IF($B93="","",IFERROR(INDEX(DM_NHAN_SU!$C$6:$C$155,MATCH($B93,DM_NHAN_SU!$B$6:$B$155,0)),"SAI MÃ NV"))</f>
        <v/>
      </c>
      <c r="D93" s="86" t="n"/>
      <c r="E93" s="103">
        <f>IF(OR($B93="",$D93=""),"",IF(COUNTIF(THAM_SO_CC!$F$10:$F$40,$D93)&gt;0,"Lễ",IF(IF(THAM_SO_CC!$B$12="T7+CN",WEEKDAY($D93,2)&gt;=6,WEEKDAY($D93,2)=7),"Nghỉ tuần","Ngày thường")))</f>
        <v/>
      </c>
      <c r="F93" s="107" t="n"/>
      <c r="G93" s="107" t="n"/>
      <c r="H93" s="107" t="n"/>
      <c r="I93" s="81" t="n"/>
      <c r="J93" s="108">
        <f>IF($B93="","",IF($E93="Ngày thường",N($G93),0))</f>
        <v/>
      </c>
      <c r="K93" s="108">
        <f>IF($B93="","",IF($E93="Nghỉ tuần",N($G93),0))</f>
        <v/>
      </c>
      <c r="L93" s="108">
        <f>IF($B93="","",IF($E93="Lễ",N($G93),0))</f>
        <v/>
      </c>
      <c r="M93" s="108">
        <f>IF($B93="","",IF($E93="Ngày thường",N($H93),0))</f>
        <v/>
      </c>
      <c r="N93" s="108">
        <f>IF($B93="","",IF($E93="Nghỉ tuần",N($H93),0))</f>
        <v/>
      </c>
      <c r="O93" s="108">
        <f>IF($B93="","",IF($E93="Lễ",N($H93),0))</f>
        <v/>
      </c>
    </row>
    <row r="94" ht="15" customHeight="1" s="63">
      <c r="A94" s="85">
        <f>IF($B94="","",ROW()-5)</f>
        <v/>
      </c>
      <c r="B94" s="97" t="n"/>
      <c r="C94" s="96">
        <f>IF($B94="","",IFERROR(INDEX(DM_NHAN_SU!$C$6:$C$155,MATCH($B94,DM_NHAN_SU!$B$6:$B$155,0)),"SAI MÃ NV"))</f>
        <v/>
      </c>
      <c r="D94" s="86" t="n"/>
      <c r="E94" s="103">
        <f>IF(OR($B94="",$D94=""),"",IF(COUNTIF(THAM_SO_CC!$F$10:$F$40,$D94)&gt;0,"Lễ",IF(IF(THAM_SO_CC!$B$12="T7+CN",WEEKDAY($D94,2)&gt;=6,WEEKDAY($D94,2)=7),"Nghỉ tuần","Ngày thường")))</f>
        <v/>
      </c>
      <c r="F94" s="107" t="n"/>
      <c r="G94" s="107" t="n"/>
      <c r="H94" s="107" t="n"/>
      <c r="I94" s="81" t="n"/>
      <c r="J94" s="108">
        <f>IF($B94="","",IF($E94="Ngày thường",N($G94),0))</f>
        <v/>
      </c>
      <c r="K94" s="108">
        <f>IF($B94="","",IF($E94="Nghỉ tuần",N($G94),0))</f>
        <v/>
      </c>
      <c r="L94" s="108">
        <f>IF($B94="","",IF($E94="Lễ",N($G94),0))</f>
        <v/>
      </c>
      <c r="M94" s="108">
        <f>IF($B94="","",IF($E94="Ngày thường",N($H94),0))</f>
        <v/>
      </c>
      <c r="N94" s="108">
        <f>IF($B94="","",IF($E94="Nghỉ tuần",N($H94),0))</f>
        <v/>
      </c>
      <c r="O94" s="108">
        <f>IF($B94="","",IF($E94="Lễ",N($H94),0))</f>
        <v/>
      </c>
    </row>
    <row r="95" ht="15" customHeight="1" s="63">
      <c r="A95" s="85">
        <f>IF($B95="","",ROW()-5)</f>
        <v/>
      </c>
      <c r="B95" s="97" t="n"/>
      <c r="C95" s="96">
        <f>IF($B95="","",IFERROR(INDEX(DM_NHAN_SU!$C$6:$C$155,MATCH($B95,DM_NHAN_SU!$B$6:$B$155,0)),"SAI MÃ NV"))</f>
        <v/>
      </c>
      <c r="D95" s="86" t="n"/>
      <c r="E95" s="103">
        <f>IF(OR($B95="",$D95=""),"",IF(COUNTIF(THAM_SO_CC!$F$10:$F$40,$D95)&gt;0,"Lễ",IF(IF(THAM_SO_CC!$B$12="T7+CN",WEEKDAY($D95,2)&gt;=6,WEEKDAY($D95,2)=7),"Nghỉ tuần","Ngày thường")))</f>
        <v/>
      </c>
      <c r="F95" s="107" t="n"/>
      <c r="G95" s="107" t="n"/>
      <c r="H95" s="107" t="n"/>
      <c r="I95" s="81" t="n"/>
      <c r="J95" s="108">
        <f>IF($B95="","",IF($E95="Ngày thường",N($G95),0))</f>
        <v/>
      </c>
      <c r="K95" s="108">
        <f>IF($B95="","",IF($E95="Nghỉ tuần",N($G95),0))</f>
        <v/>
      </c>
      <c r="L95" s="108">
        <f>IF($B95="","",IF($E95="Lễ",N($G95),0))</f>
        <v/>
      </c>
      <c r="M95" s="108">
        <f>IF($B95="","",IF($E95="Ngày thường",N($H95),0))</f>
        <v/>
      </c>
      <c r="N95" s="108">
        <f>IF($B95="","",IF($E95="Nghỉ tuần",N($H95),0))</f>
        <v/>
      </c>
      <c r="O95" s="108">
        <f>IF($B95="","",IF($E95="Lễ",N($H95),0))</f>
        <v/>
      </c>
    </row>
    <row r="96" ht="15" customHeight="1" s="63">
      <c r="A96" s="85">
        <f>IF($B96="","",ROW()-5)</f>
        <v/>
      </c>
      <c r="B96" s="97" t="n"/>
      <c r="C96" s="96">
        <f>IF($B96="","",IFERROR(INDEX(DM_NHAN_SU!$C$6:$C$155,MATCH($B96,DM_NHAN_SU!$B$6:$B$155,0)),"SAI MÃ NV"))</f>
        <v/>
      </c>
      <c r="D96" s="86" t="n"/>
      <c r="E96" s="103">
        <f>IF(OR($B96="",$D96=""),"",IF(COUNTIF(THAM_SO_CC!$F$10:$F$40,$D96)&gt;0,"Lễ",IF(IF(THAM_SO_CC!$B$12="T7+CN",WEEKDAY($D96,2)&gt;=6,WEEKDAY($D96,2)=7),"Nghỉ tuần","Ngày thường")))</f>
        <v/>
      </c>
      <c r="F96" s="107" t="n"/>
      <c r="G96" s="107" t="n"/>
      <c r="H96" s="107" t="n"/>
      <c r="I96" s="81" t="n"/>
      <c r="J96" s="108">
        <f>IF($B96="","",IF($E96="Ngày thường",N($G96),0))</f>
        <v/>
      </c>
      <c r="K96" s="108">
        <f>IF($B96="","",IF($E96="Nghỉ tuần",N($G96),0))</f>
        <v/>
      </c>
      <c r="L96" s="108">
        <f>IF($B96="","",IF($E96="Lễ",N($G96),0))</f>
        <v/>
      </c>
      <c r="M96" s="108">
        <f>IF($B96="","",IF($E96="Ngày thường",N($H96),0))</f>
        <v/>
      </c>
      <c r="N96" s="108">
        <f>IF($B96="","",IF($E96="Nghỉ tuần",N($H96),0))</f>
        <v/>
      </c>
      <c r="O96" s="108">
        <f>IF($B96="","",IF($E96="Lễ",N($H96),0))</f>
        <v/>
      </c>
    </row>
    <row r="97" ht="15" customHeight="1" s="63">
      <c r="A97" s="85">
        <f>IF($B97="","",ROW()-5)</f>
        <v/>
      </c>
      <c r="B97" s="97" t="n"/>
      <c r="C97" s="96">
        <f>IF($B97="","",IFERROR(INDEX(DM_NHAN_SU!$C$6:$C$155,MATCH($B97,DM_NHAN_SU!$B$6:$B$155,0)),"SAI MÃ NV"))</f>
        <v/>
      </c>
      <c r="D97" s="86" t="n"/>
      <c r="E97" s="103">
        <f>IF(OR($B97="",$D97=""),"",IF(COUNTIF(THAM_SO_CC!$F$10:$F$40,$D97)&gt;0,"Lễ",IF(IF(THAM_SO_CC!$B$12="T7+CN",WEEKDAY($D97,2)&gt;=6,WEEKDAY($D97,2)=7),"Nghỉ tuần","Ngày thường")))</f>
        <v/>
      </c>
      <c r="F97" s="107" t="n"/>
      <c r="G97" s="107" t="n"/>
      <c r="H97" s="107" t="n"/>
      <c r="I97" s="81" t="n"/>
      <c r="J97" s="108">
        <f>IF($B97="","",IF($E97="Ngày thường",N($G97),0))</f>
        <v/>
      </c>
      <c r="K97" s="108">
        <f>IF($B97="","",IF($E97="Nghỉ tuần",N($G97),0))</f>
        <v/>
      </c>
      <c r="L97" s="108">
        <f>IF($B97="","",IF($E97="Lễ",N($G97),0))</f>
        <v/>
      </c>
      <c r="M97" s="108">
        <f>IF($B97="","",IF($E97="Ngày thường",N($H97),0))</f>
        <v/>
      </c>
      <c r="N97" s="108">
        <f>IF($B97="","",IF($E97="Nghỉ tuần",N($H97),0))</f>
        <v/>
      </c>
      <c r="O97" s="108">
        <f>IF($B97="","",IF($E97="Lễ",N($H97),0))</f>
        <v/>
      </c>
    </row>
    <row r="98" ht="15" customHeight="1" s="63">
      <c r="A98" s="85">
        <f>IF($B98="","",ROW()-5)</f>
        <v/>
      </c>
      <c r="B98" s="97" t="n"/>
      <c r="C98" s="96">
        <f>IF($B98="","",IFERROR(INDEX(DM_NHAN_SU!$C$6:$C$155,MATCH($B98,DM_NHAN_SU!$B$6:$B$155,0)),"SAI MÃ NV"))</f>
        <v/>
      </c>
      <c r="D98" s="86" t="n"/>
      <c r="E98" s="103">
        <f>IF(OR($B98="",$D98=""),"",IF(COUNTIF(THAM_SO_CC!$F$10:$F$40,$D98)&gt;0,"Lễ",IF(IF(THAM_SO_CC!$B$12="T7+CN",WEEKDAY($D98,2)&gt;=6,WEEKDAY($D98,2)=7),"Nghỉ tuần","Ngày thường")))</f>
        <v/>
      </c>
      <c r="F98" s="107" t="n"/>
      <c r="G98" s="107" t="n"/>
      <c r="H98" s="107" t="n"/>
      <c r="I98" s="81" t="n"/>
      <c r="J98" s="108">
        <f>IF($B98="","",IF($E98="Ngày thường",N($G98),0))</f>
        <v/>
      </c>
      <c r="K98" s="108">
        <f>IF($B98="","",IF($E98="Nghỉ tuần",N($G98),0))</f>
        <v/>
      </c>
      <c r="L98" s="108">
        <f>IF($B98="","",IF($E98="Lễ",N($G98),0))</f>
        <v/>
      </c>
      <c r="M98" s="108">
        <f>IF($B98="","",IF($E98="Ngày thường",N($H98),0))</f>
        <v/>
      </c>
      <c r="N98" s="108">
        <f>IF($B98="","",IF($E98="Nghỉ tuần",N($H98),0))</f>
        <v/>
      </c>
      <c r="O98" s="108">
        <f>IF($B98="","",IF($E98="Lễ",N($H98),0))</f>
        <v/>
      </c>
    </row>
    <row r="99" ht="15" customHeight="1" s="63">
      <c r="A99" s="85">
        <f>IF($B99="","",ROW()-5)</f>
        <v/>
      </c>
      <c r="B99" s="97" t="n"/>
      <c r="C99" s="96">
        <f>IF($B99="","",IFERROR(INDEX(DM_NHAN_SU!$C$6:$C$155,MATCH($B99,DM_NHAN_SU!$B$6:$B$155,0)),"SAI MÃ NV"))</f>
        <v/>
      </c>
      <c r="D99" s="86" t="n"/>
      <c r="E99" s="103">
        <f>IF(OR($B99="",$D99=""),"",IF(COUNTIF(THAM_SO_CC!$F$10:$F$40,$D99)&gt;0,"Lễ",IF(IF(THAM_SO_CC!$B$12="T7+CN",WEEKDAY($D99,2)&gt;=6,WEEKDAY($D99,2)=7),"Nghỉ tuần","Ngày thường")))</f>
        <v/>
      </c>
      <c r="F99" s="107" t="n"/>
      <c r="G99" s="107" t="n"/>
      <c r="H99" s="107" t="n"/>
      <c r="I99" s="81" t="n"/>
      <c r="J99" s="108">
        <f>IF($B99="","",IF($E99="Ngày thường",N($G99),0))</f>
        <v/>
      </c>
      <c r="K99" s="108">
        <f>IF($B99="","",IF($E99="Nghỉ tuần",N($G99),0))</f>
        <v/>
      </c>
      <c r="L99" s="108">
        <f>IF($B99="","",IF($E99="Lễ",N($G99),0))</f>
        <v/>
      </c>
      <c r="M99" s="108">
        <f>IF($B99="","",IF($E99="Ngày thường",N($H99),0))</f>
        <v/>
      </c>
      <c r="N99" s="108">
        <f>IF($B99="","",IF($E99="Nghỉ tuần",N($H99),0))</f>
        <v/>
      </c>
      <c r="O99" s="108">
        <f>IF($B99="","",IF($E99="Lễ",N($H99),0))</f>
        <v/>
      </c>
    </row>
    <row r="100" ht="15" customHeight="1" s="63">
      <c r="A100" s="85">
        <f>IF($B100="","",ROW()-5)</f>
        <v/>
      </c>
      <c r="B100" s="97" t="n"/>
      <c r="C100" s="96">
        <f>IF($B100="","",IFERROR(INDEX(DM_NHAN_SU!$C$6:$C$155,MATCH($B100,DM_NHAN_SU!$B$6:$B$155,0)),"SAI MÃ NV"))</f>
        <v/>
      </c>
      <c r="D100" s="86" t="n"/>
      <c r="E100" s="103">
        <f>IF(OR($B100="",$D100=""),"",IF(COUNTIF(THAM_SO_CC!$F$10:$F$40,$D100)&gt;0,"Lễ",IF(IF(THAM_SO_CC!$B$12="T7+CN",WEEKDAY($D100,2)&gt;=6,WEEKDAY($D100,2)=7),"Nghỉ tuần","Ngày thường")))</f>
        <v/>
      </c>
      <c r="F100" s="107" t="n"/>
      <c r="G100" s="107" t="n"/>
      <c r="H100" s="107" t="n"/>
      <c r="I100" s="81" t="n"/>
      <c r="J100" s="108">
        <f>IF($B100="","",IF($E100="Ngày thường",N($G100),0))</f>
        <v/>
      </c>
      <c r="K100" s="108">
        <f>IF($B100="","",IF($E100="Nghỉ tuần",N($G100),0))</f>
        <v/>
      </c>
      <c r="L100" s="108">
        <f>IF($B100="","",IF($E100="Lễ",N($G100),0))</f>
        <v/>
      </c>
      <c r="M100" s="108">
        <f>IF($B100="","",IF($E100="Ngày thường",N($H100),0))</f>
        <v/>
      </c>
      <c r="N100" s="108">
        <f>IF($B100="","",IF($E100="Nghỉ tuần",N($H100),0))</f>
        <v/>
      </c>
      <c r="O100" s="108">
        <f>IF($B100="","",IF($E100="Lễ",N($H100),0))</f>
        <v/>
      </c>
    </row>
    <row r="101" ht="15" customHeight="1" s="63">
      <c r="A101" s="85">
        <f>IF($B101="","",ROW()-5)</f>
        <v/>
      </c>
      <c r="B101" s="97" t="n"/>
      <c r="C101" s="96">
        <f>IF($B101="","",IFERROR(INDEX(DM_NHAN_SU!$C$6:$C$155,MATCH($B101,DM_NHAN_SU!$B$6:$B$155,0)),"SAI MÃ NV"))</f>
        <v/>
      </c>
      <c r="D101" s="86" t="n"/>
      <c r="E101" s="103">
        <f>IF(OR($B101="",$D101=""),"",IF(COUNTIF(THAM_SO_CC!$F$10:$F$40,$D101)&gt;0,"Lễ",IF(IF(THAM_SO_CC!$B$12="T7+CN",WEEKDAY($D101,2)&gt;=6,WEEKDAY($D101,2)=7),"Nghỉ tuần","Ngày thường")))</f>
        <v/>
      </c>
      <c r="F101" s="107" t="n"/>
      <c r="G101" s="107" t="n"/>
      <c r="H101" s="107" t="n"/>
      <c r="I101" s="81" t="n"/>
      <c r="J101" s="108">
        <f>IF($B101="","",IF($E101="Ngày thường",N($G101),0))</f>
        <v/>
      </c>
      <c r="K101" s="108">
        <f>IF($B101="","",IF($E101="Nghỉ tuần",N($G101),0))</f>
        <v/>
      </c>
      <c r="L101" s="108">
        <f>IF($B101="","",IF($E101="Lễ",N($G101),0))</f>
        <v/>
      </c>
      <c r="M101" s="108">
        <f>IF($B101="","",IF($E101="Ngày thường",N($H101),0))</f>
        <v/>
      </c>
      <c r="N101" s="108">
        <f>IF($B101="","",IF($E101="Nghỉ tuần",N($H101),0))</f>
        <v/>
      </c>
      <c r="O101" s="108">
        <f>IF($B101="","",IF($E101="Lễ",N($H101),0))</f>
        <v/>
      </c>
    </row>
    <row r="102" ht="15" customHeight="1" s="63">
      <c r="A102" s="85">
        <f>IF($B102="","",ROW()-5)</f>
        <v/>
      </c>
      <c r="B102" s="97" t="n"/>
      <c r="C102" s="96">
        <f>IF($B102="","",IFERROR(INDEX(DM_NHAN_SU!$C$6:$C$155,MATCH($B102,DM_NHAN_SU!$B$6:$B$155,0)),"SAI MÃ NV"))</f>
        <v/>
      </c>
      <c r="D102" s="86" t="n"/>
      <c r="E102" s="103">
        <f>IF(OR($B102="",$D102=""),"",IF(COUNTIF(THAM_SO_CC!$F$10:$F$40,$D102)&gt;0,"Lễ",IF(IF(THAM_SO_CC!$B$12="T7+CN",WEEKDAY($D102,2)&gt;=6,WEEKDAY($D102,2)=7),"Nghỉ tuần","Ngày thường")))</f>
        <v/>
      </c>
      <c r="F102" s="107" t="n"/>
      <c r="G102" s="107" t="n"/>
      <c r="H102" s="107" t="n"/>
      <c r="I102" s="81" t="n"/>
      <c r="J102" s="108">
        <f>IF($B102="","",IF($E102="Ngày thường",N($G102),0))</f>
        <v/>
      </c>
      <c r="K102" s="108">
        <f>IF($B102="","",IF($E102="Nghỉ tuần",N($G102),0))</f>
        <v/>
      </c>
      <c r="L102" s="108">
        <f>IF($B102="","",IF($E102="Lễ",N($G102),0))</f>
        <v/>
      </c>
      <c r="M102" s="108">
        <f>IF($B102="","",IF($E102="Ngày thường",N($H102),0))</f>
        <v/>
      </c>
      <c r="N102" s="108">
        <f>IF($B102="","",IF($E102="Nghỉ tuần",N($H102),0))</f>
        <v/>
      </c>
      <c r="O102" s="108">
        <f>IF($B102="","",IF($E102="Lễ",N($H102),0))</f>
        <v/>
      </c>
    </row>
    <row r="103" ht="15" customHeight="1" s="63">
      <c r="A103" s="85">
        <f>IF($B103="","",ROW()-5)</f>
        <v/>
      </c>
      <c r="B103" s="97" t="n"/>
      <c r="C103" s="96">
        <f>IF($B103="","",IFERROR(INDEX(DM_NHAN_SU!$C$6:$C$155,MATCH($B103,DM_NHAN_SU!$B$6:$B$155,0)),"SAI MÃ NV"))</f>
        <v/>
      </c>
      <c r="D103" s="86" t="n"/>
      <c r="E103" s="103">
        <f>IF(OR($B103="",$D103=""),"",IF(COUNTIF(THAM_SO_CC!$F$10:$F$40,$D103)&gt;0,"Lễ",IF(IF(THAM_SO_CC!$B$12="T7+CN",WEEKDAY($D103,2)&gt;=6,WEEKDAY($D103,2)=7),"Nghỉ tuần","Ngày thường")))</f>
        <v/>
      </c>
      <c r="F103" s="107" t="n"/>
      <c r="G103" s="107" t="n"/>
      <c r="H103" s="107" t="n"/>
      <c r="I103" s="81" t="n"/>
      <c r="J103" s="108">
        <f>IF($B103="","",IF($E103="Ngày thường",N($G103),0))</f>
        <v/>
      </c>
      <c r="K103" s="108">
        <f>IF($B103="","",IF($E103="Nghỉ tuần",N($G103),0))</f>
        <v/>
      </c>
      <c r="L103" s="108">
        <f>IF($B103="","",IF($E103="Lễ",N($G103),0))</f>
        <v/>
      </c>
      <c r="M103" s="108">
        <f>IF($B103="","",IF($E103="Ngày thường",N($H103),0))</f>
        <v/>
      </c>
      <c r="N103" s="108">
        <f>IF($B103="","",IF($E103="Nghỉ tuần",N($H103),0))</f>
        <v/>
      </c>
      <c r="O103" s="108">
        <f>IF($B103="","",IF($E103="Lễ",N($H103),0))</f>
        <v/>
      </c>
    </row>
    <row r="104" ht="15" customHeight="1" s="63">
      <c r="A104" s="85">
        <f>IF($B104="","",ROW()-5)</f>
        <v/>
      </c>
      <c r="B104" s="97" t="n"/>
      <c r="C104" s="96">
        <f>IF($B104="","",IFERROR(INDEX(DM_NHAN_SU!$C$6:$C$155,MATCH($B104,DM_NHAN_SU!$B$6:$B$155,0)),"SAI MÃ NV"))</f>
        <v/>
      </c>
      <c r="D104" s="86" t="n"/>
      <c r="E104" s="103">
        <f>IF(OR($B104="",$D104=""),"",IF(COUNTIF(THAM_SO_CC!$F$10:$F$40,$D104)&gt;0,"Lễ",IF(IF(THAM_SO_CC!$B$12="T7+CN",WEEKDAY($D104,2)&gt;=6,WEEKDAY($D104,2)=7),"Nghỉ tuần","Ngày thường")))</f>
        <v/>
      </c>
      <c r="F104" s="107" t="n"/>
      <c r="G104" s="107" t="n"/>
      <c r="H104" s="107" t="n"/>
      <c r="I104" s="81" t="n"/>
      <c r="J104" s="108">
        <f>IF($B104="","",IF($E104="Ngày thường",N($G104),0))</f>
        <v/>
      </c>
      <c r="K104" s="108">
        <f>IF($B104="","",IF($E104="Nghỉ tuần",N($G104),0))</f>
        <v/>
      </c>
      <c r="L104" s="108">
        <f>IF($B104="","",IF($E104="Lễ",N($G104),0))</f>
        <v/>
      </c>
      <c r="M104" s="108">
        <f>IF($B104="","",IF($E104="Ngày thường",N($H104),0))</f>
        <v/>
      </c>
      <c r="N104" s="108">
        <f>IF($B104="","",IF($E104="Nghỉ tuần",N($H104),0))</f>
        <v/>
      </c>
      <c r="O104" s="108">
        <f>IF($B104="","",IF($E104="Lễ",N($H104),0))</f>
        <v/>
      </c>
    </row>
    <row r="105" ht="15" customHeight="1" s="63">
      <c r="A105" s="85">
        <f>IF($B105="","",ROW()-5)</f>
        <v/>
      </c>
      <c r="B105" s="97" t="n"/>
      <c r="C105" s="96">
        <f>IF($B105="","",IFERROR(INDEX(DM_NHAN_SU!$C$6:$C$155,MATCH($B105,DM_NHAN_SU!$B$6:$B$155,0)),"SAI MÃ NV"))</f>
        <v/>
      </c>
      <c r="D105" s="86" t="n"/>
      <c r="E105" s="103">
        <f>IF(OR($B105="",$D105=""),"",IF(COUNTIF(THAM_SO_CC!$F$10:$F$40,$D105)&gt;0,"Lễ",IF(IF(THAM_SO_CC!$B$12="T7+CN",WEEKDAY($D105,2)&gt;=6,WEEKDAY($D105,2)=7),"Nghỉ tuần","Ngày thường")))</f>
        <v/>
      </c>
      <c r="F105" s="107" t="n"/>
      <c r="G105" s="107" t="n"/>
      <c r="H105" s="107" t="n"/>
      <c r="I105" s="81" t="n"/>
      <c r="J105" s="108">
        <f>IF($B105="","",IF($E105="Ngày thường",N($G105),0))</f>
        <v/>
      </c>
      <c r="K105" s="108">
        <f>IF($B105="","",IF($E105="Nghỉ tuần",N($G105),0))</f>
        <v/>
      </c>
      <c r="L105" s="108">
        <f>IF($B105="","",IF($E105="Lễ",N($G105),0))</f>
        <v/>
      </c>
      <c r="M105" s="108">
        <f>IF($B105="","",IF($E105="Ngày thường",N($H105),0))</f>
        <v/>
      </c>
      <c r="N105" s="108">
        <f>IF($B105="","",IF($E105="Nghỉ tuần",N($H105),0))</f>
        <v/>
      </c>
      <c r="O105" s="108">
        <f>IF($B105="","",IF($E105="Lễ",N($H105),0))</f>
        <v/>
      </c>
    </row>
    <row r="106" ht="15" customHeight="1" s="63">
      <c r="A106" s="85">
        <f>IF($B106="","",ROW()-5)</f>
        <v/>
      </c>
      <c r="B106" s="97" t="n"/>
      <c r="C106" s="96">
        <f>IF($B106="","",IFERROR(INDEX(DM_NHAN_SU!$C$6:$C$155,MATCH($B106,DM_NHAN_SU!$B$6:$B$155,0)),"SAI MÃ NV"))</f>
        <v/>
      </c>
      <c r="D106" s="86" t="n"/>
      <c r="E106" s="103">
        <f>IF(OR($B106="",$D106=""),"",IF(COUNTIF(THAM_SO_CC!$F$10:$F$40,$D106)&gt;0,"Lễ",IF(IF(THAM_SO_CC!$B$12="T7+CN",WEEKDAY($D106,2)&gt;=6,WEEKDAY($D106,2)=7),"Nghỉ tuần","Ngày thường")))</f>
        <v/>
      </c>
      <c r="F106" s="107" t="n"/>
      <c r="G106" s="107" t="n"/>
      <c r="H106" s="107" t="n"/>
      <c r="I106" s="81" t="n"/>
      <c r="J106" s="108">
        <f>IF($B106="","",IF($E106="Ngày thường",N($G106),0))</f>
        <v/>
      </c>
      <c r="K106" s="108">
        <f>IF($B106="","",IF($E106="Nghỉ tuần",N($G106),0))</f>
        <v/>
      </c>
      <c r="L106" s="108">
        <f>IF($B106="","",IF($E106="Lễ",N($G106),0))</f>
        <v/>
      </c>
      <c r="M106" s="108">
        <f>IF($B106="","",IF($E106="Ngày thường",N($H106),0))</f>
        <v/>
      </c>
      <c r="N106" s="108">
        <f>IF($B106="","",IF($E106="Nghỉ tuần",N($H106),0))</f>
        <v/>
      </c>
      <c r="O106" s="108">
        <f>IF($B106="","",IF($E106="Lễ",N($H106),0))</f>
        <v/>
      </c>
    </row>
    <row r="107" ht="15" customHeight="1" s="63">
      <c r="A107" s="85">
        <f>IF($B107="","",ROW()-5)</f>
        <v/>
      </c>
      <c r="B107" s="97" t="n"/>
      <c r="C107" s="96">
        <f>IF($B107="","",IFERROR(INDEX(DM_NHAN_SU!$C$6:$C$155,MATCH($B107,DM_NHAN_SU!$B$6:$B$155,0)),"SAI MÃ NV"))</f>
        <v/>
      </c>
      <c r="D107" s="86" t="n"/>
      <c r="E107" s="103">
        <f>IF(OR($B107="",$D107=""),"",IF(COUNTIF(THAM_SO_CC!$F$10:$F$40,$D107)&gt;0,"Lễ",IF(IF(THAM_SO_CC!$B$12="T7+CN",WEEKDAY($D107,2)&gt;=6,WEEKDAY($D107,2)=7),"Nghỉ tuần","Ngày thường")))</f>
        <v/>
      </c>
      <c r="F107" s="107" t="n"/>
      <c r="G107" s="107" t="n"/>
      <c r="H107" s="107" t="n"/>
      <c r="I107" s="81" t="n"/>
      <c r="J107" s="108">
        <f>IF($B107="","",IF($E107="Ngày thường",N($G107),0))</f>
        <v/>
      </c>
      <c r="K107" s="108">
        <f>IF($B107="","",IF($E107="Nghỉ tuần",N($G107),0))</f>
        <v/>
      </c>
      <c r="L107" s="108">
        <f>IF($B107="","",IF($E107="Lễ",N($G107),0))</f>
        <v/>
      </c>
      <c r="M107" s="108">
        <f>IF($B107="","",IF($E107="Ngày thường",N($H107),0))</f>
        <v/>
      </c>
      <c r="N107" s="108">
        <f>IF($B107="","",IF($E107="Nghỉ tuần",N($H107),0))</f>
        <v/>
      </c>
      <c r="O107" s="108">
        <f>IF($B107="","",IF($E107="Lễ",N($H107),0))</f>
        <v/>
      </c>
    </row>
    <row r="108" ht="15" customHeight="1" s="63">
      <c r="A108" s="85">
        <f>IF($B108="","",ROW()-5)</f>
        <v/>
      </c>
      <c r="B108" s="97" t="n"/>
      <c r="C108" s="96">
        <f>IF($B108="","",IFERROR(INDEX(DM_NHAN_SU!$C$6:$C$155,MATCH($B108,DM_NHAN_SU!$B$6:$B$155,0)),"SAI MÃ NV"))</f>
        <v/>
      </c>
      <c r="D108" s="86" t="n"/>
      <c r="E108" s="103">
        <f>IF(OR($B108="",$D108=""),"",IF(COUNTIF(THAM_SO_CC!$F$10:$F$40,$D108)&gt;0,"Lễ",IF(IF(THAM_SO_CC!$B$12="T7+CN",WEEKDAY($D108,2)&gt;=6,WEEKDAY($D108,2)=7),"Nghỉ tuần","Ngày thường")))</f>
        <v/>
      </c>
      <c r="F108" s="107" t="n"/>
      <c r="G108" s="107" t="n"/>
      <c r="H108" s="107" t="n"/>
      <c r="I108" s="81" t="n"/>
      <c r="J108" s="108">
        <f>IF($B108="","",IF($E108="Ngày thường",N($G108),0))</f>
        <v/>
      </c>
      <c r="K108" s="108">
        <f>IF($B108="","",IF($E108="Nghỉ tuần",N($G108),0))</f>
        <v/>
      </c>
      <c r="L108" s="108">
        <f>IF($B108="","",IF($E108="Lễ",N($G108),0))</f>
        <v/>
      </c>
      <c r="M108" s="108">
        <f>IF($B108="","",IF($E108="Ngày thường",N($H108),0))</f>
        <v/>
      </c>
      <c r="N108" s="108">
        <f>IF($B108="","",IF($E108="Nghỉ tuần",N($H108),0))</f>
        <v/>
      </c>
      <c r="O108" s="108">
        <f>IF($B108="","",IF($E108="Lễ",N($H108),0))</f>
        <v/>
      </c>
    </row>
    <row r="109" ht="15" customHeight="1" s="63">
      <c r="A109" s="85">
        <f>IF($B109="","",ROW()-5)</f>
        <v/>
      </c>
      <c r="B109" s="97" t="n"/>
      <c r="C109" s="96">
        <f>IF($B109="","",IFERROR(INDEX(DM_NHAN_SU!$C$6:$C$155,MATCH($B109,DM_NHAN_SU!$B$6:$B$155,0)),"SAI MÃ NV"))</f>
        <v/>
      </c>
      <c r="D109" s="86" t="n"/>
      <c r="E109" s="103">
        <f>IF(OR($B109="",$D109=""),"",IF(COUNTIF(THAM_SO_CC!$F$10:$F$40,$D109)&gt;0,"Lễ",IF(IF(THAM_SO_CC!$B$12="T7+CN",WEEKDAY($D109,2)&gt;=6,WEEKDAY($D109,2)=7),"Nghỉ tuần","Ngày thường")))</f>
        <v/>
      </c>
      <c r="F109" s="107" t="n"/>
      <c r="G109" s="107" t="n"/>
      <c r="H109" s="107" t="n"/>
      <c r="I109" s="81" t="n"/>
      <c r="J109" s="108">
        <f>IF($B109="","",IF($E109="Ngày thường",N($G109),0))</f>
        <v/>
      </c>
      <c r="K109" s="108">
        <f>IF($B109="","",IF($E109="Nghỉ tuần",N($G109),0))</f>
        <v/>
      </c>
      <c r="L109" s="108">
        <f>IF($B109="","",IF($E109="Lễ",N($G109),0))</f>
        <v/>
      </c>
      <c r="M109" s="108">
        <f>IF($B109="","",IF($E109="Ngày thường",N($H109),0))</f>
        <v/>
      </c>
      <c r="N109" s="108">
        <f>IF($B109="","",IF($E109="Nghỉ tuần",N($H109),0))</f>
        <v/>
      </c>
      <c r="O109" s="108">
        <f>IF($B109="","",IF($E109="Lễ",N($H109),0))</f>
        <v/>
      </c>
    </row>
    <row r="110" ht="15" customHeight="1" s="63">
      <c r="A110" s="85">
        <f>IF($B110="","",ROW()-5)</f>
        <v/>
      </c>
      <c r="B110" s="97" t="n"/>
      <c r="C110" s="96">
        <f>IF($B110="","",IFERROR(INDEX(DM_NHAN_SU!$C$6:$C$155,MATCH($B110,DM_NHAN_SU!$B$6:$B$155,0)),"SAI MÃ NV"))</f>
        <v/>
      </c>
      <c r="D110" s="86" t="n"/>
      <c r="E110" s="103">
        <f>IF(OR($B110="",$D110=""),"",IF(COUNTIF(THAM_SO_CC!$F$10:$F$40,$D110)&gt;0,"Lễ",IF(IF(THAM_SO_CC!$B$12="T7+CN",WEEKDAY($D110,2)&gt;=6,WEEKDAY($D110,2)=7),"Nghỉ tuần","Ngày thường")))</f>
        <v/>
      </c>
      <c r="F110" s="107" t="n"/>
      <c r="G110" s="107" t="n"/>
      <c r="H110" s="107" t="n"/>
      <c r="I110" s="81" t="n"/>
      <c r="J110" s="108">
        <f>IF($B110="","",IF($E110="Ngày thường",N($G110),0))</f>
        <v/>
      </c>
      <c r="K110" s="108">
        <f>IF($B110="","",IF($E110="Nghỉ tuần",N($G110),0))</f>
        <v/>
      </c>
      <c r="L110" s="108">
        <f>IF($B110="","",IF($E110="Lễ",N($G110),0))</f>
        <v/>
      </c>
      <c r="M110" s="108">
        <f>IF($B110="","",IF($E110="Ngày thường",N($H110),0))</f>
        <v/>
      </c>
      <c r="N110" s="108">
        <f>IF($B110="","",IF($E110="Nghỉ tuần",N($H110),0))</f>
        <v/>
      </c>
      <c r="O110" s="108">
        <f>IF($B110="","",IF($E110="Lễ",N($H110),0))</f>
        <v/>
      </c>
    </row>
    <row r="111" ht="15" customHeight="1" s="63">
      <c r="A111" s="85">
        <f>IF($B111="","",ROW()-5)</f>
        <v/>
      </c>
      <c r="B111" s="97" t="n"/>
      <c r="C111" s="96">
        <f>IF($B111="","",IFERROR(INDEX(DM_NHAN_SU!$C$6:$C$155,MATCH($B111,DM_NHAN_SU!$B$6:$B$155,0)),"SAI MÃ NV"))</f>
        <v/>
      </c>
      <c r="D111" s="86" t="n"/>
      <c r="E111" s="103">
        <f>IF(OR($B111="",$D111=""),"",IF(COUNTIF(THAM_SO_CC!$F$10:$F$40,$D111)&gt;0,"Lễ",IF(IF(THAM_SO_CC!$B$12="T7+CN",WEEKDAY($D111,2)&gt;=6,WEEKDAY($D111,2)=7),"Nghỉ tuần","Ngày thường")))</f>
        <v/>
      </c>
      <c r="F111" s="107" t="n"/>
      <c r="G111" s="107" t="n"/>
      <c r="H111" s="107" t="n"/>
      <c r="I111" s="81" t="n"/>
      <c r="J111" s="108">
        <f>IF($B111="","",IF($E111="Ngày thường",N($G111),0))</f>
        <v/>
      </c>
      <c r="K111" s="108">
        <f>IF($B111="","",IF($E111="Nghỉ tuần",N($G111),0))</f>
        <v/>
      </c>
      <c r="L111" s="108">
        <f>IF($B111="","",IF($E111="Lễ",N($G111),0))</f>
        <v/>
      </c>
      <c r="M111" s="108">
        <f>IF($B111="","",IF($E111="Ngày thường",N($H111),0))</f>
        <v/>
      </c>
      <c r="N111" s="108">
        <f>IF($B111="","",IF($E111="Nghỉ tuần",N($H111),0))</f>
        <v/>
      </c>
      <c r="O111" s="108">
        <f>IF($B111="","",IF($E111="Lễ",N($H111),0))</f>
        <v/>
      </c>
    </row>
    <row r="112" ht="15" customHeight="1" s="63">
      <c r="A112" s="85">
        <f>IF($B112="","",ROW()-5)</f>
        <v/>
      </c>
      <c r="B112" s="97" t="n"/>
      <c r="C112" s="96">
        <f>IF($B112="","",IFERROR(INDEX(DM_NHAN_SU!$C$6:$C$155,MATCH($B112,DM_NHAN_SU!$B$6:$B$155,0)),"SAI MÃ NV"))</f>
        <v/>
      </c>
      <c r="D112" s="86" t="n"/>
      <c r="E112" s="103">
        <f>IF(OR($B112="",$D112=""),"",IF(COUNTIF(THAM_SO_CC!$F$10:$F$40,$D112)&gt;0,"Lễ",IF(IF(THAM_SO_CC!$B$12="T7+CN",WEEKDAY($D112,2)&gt;=6,WEEKDAY($D112,2)=7),"Nghỉ tuần","Ngày thường")))</f>
        <v/>
      </c>
      <c r="F112" s="107" t="n"/>
      <c r="G112" s="107" t="n"/>
      <c r="H112" s="107" t="n"/>
      <c r="I112" s="81" t="n"/>
      <c r="J112" s="108">
        <f>IF($B112="","",IF($E112="Ngày thường",N($G112),0))</f>
        <v/>
      </c>
      <c r="K112" s="108">
        <f>IF($B112="","",IF($E112="Nghỉ tuần",N($G112),0))</f>
        <v/>
      </c>
      <c r="L112" s="108">
        <f>IF($B112="","",IF($E112="Lễ",N($G112),0))</f>
        <v/>
      </c>
      <c r="M112" s="108">
        <f>IF($B112="","",IF($E112="Ngày thường",N($H112),0))</f>
        <v/>
      </c>
      <c r="N112" s="108">
        <f>IF($B112="","",IF($E112="Nghỉ tuần",N($H112),0))</f>
        <v/>
      </c>
      <c r="O112" s="108">
        <f>IF($B112="","",IF($E112="Lễ",N($H112),0))</f>
        <v/>
      </c>
    </row>
    <row r="113" ht="15" customHeight="1" s="63">
      <c r="A113" s="85">
        <f>IF($B113="","",ROW()-5)</f>
        <v/>
      </c>
      <c r="B113" s="97" t="n"/>
      <c r="C113" s="96">
        <f>IF($B113="","",IFERROR(INDEX(DM_NHAN_SU!$C$6:$C$155,MATCH($B113,DM_NHAN_SU!$B$6:$B$155,0)),"SAI MÃ NV"))</f>
        <v/>
      </c>
      <c r="D113" s="86" t="n"/>
      <c r="E113" s="103">
        <f>IF(OR($B113="",$D113=""),"",IF(COUNTIF(THAM_SO_CC!$F$10:$F$40,$D113)&gt;0,"Lễ",IF(IF(THAM_SO_CC!$B$12="T7+CN",WEEKDAY($D113,2)&gt;=6,WEEKDAY($D113,2)=7),"Nghỉ tuần","Ngày thường")))</f>
        <v/>
      </c>
      <c r="F113" s="107" t="n"/>
      <c r="G113" s="107" t="n"/>
      <c r="H113" s="107" t="n"/>
      <c r="I113" s="81" t="n"/>
      <c r="J113" s="108">
        <f>IF($B113="","",IF($E113="Ngày thường",N($G113),0))</f>
        <v/>
      </c>
      <c r="K113" s="108">
        <f>IF($B113="","",IF($E113="Nghỉ tuần",N($G113),0))</f>
        <v/>
      </c>
      <c r="L113" s="108">
        <f>IF($B113="","",IF($E113="Lễ",N($G113),0))</f>
        <v/>
      </c>
      <c r="M113" s="108">
        <f>IF($B113="","",IF($E113="Ngày thường",N($H113),0))</f>
        <v/>
      </c>
      <c r="N113" s="108">
        <f>IF($B113="","",IF($E113="Nghỉ tuần",N($H113),0))</f>
        <v/>
      </c>
      <c r="O113" s="108">
        <f>IF($B113="","",IF($E113="Lễ",N($H113),0))</f>
        <v/>
      </c>
    </row>
    <row r="114" ht="15" customHeight="1" s="63">
      <c r="A114" s="85">
        <f>IF($B114="","",ROW()-5)</f>
        <v/>
      </c>
      <c r="B114" s="97" t="n"/>
      <c r="C114" s="96">
        <f>IF($B114="","",IFERROR(INDEX(DM_NHAN_SU!$C$6:$C$155,MATCH($B114,DM_NHAN_SU!$B$6:$B$155,0)),"SAI MÃ NV"))</f>
        <v/>
      </c>
      <c r="D114" s="86" t="n"/>
      <c r="E114" s="103">
        <f>IF(OR($B114="",$D114=""),"",IF(COUNTIF(THAM_SO_CC!$F$10:$F$40,$D114)&gt;0,"Lễ",IF(IF(THAM_SO_CC!$B$12="T7+CN",WEEKDAY($D114,2)&gt;=6,WEEKDAY($D114,2)=7),"Nghỉ tuần","Ngày thường")))</f>
        <v/>
      </c>
      <c r="F114" s="107" t="n"/>
      <c r="G114" s="107" t="n"/>
      <c r="H114" s="107" t="n"/>
      <c r="I114" s="81" t="n"/>
      <c r="J114" s="108">
        <f>IF($B114="","",IF($E114="Ngày thường",N($G114),0))</f>
        <v/>
      </c>
      <c r="K114" s="108">
        <f>IF($B114="","",IF($E114="Nghỉ tuần",N($G114),0))</f>
        <v/>
      </c>
      <c r="L114" s="108">
        <f>IF($B114="","",IF($E114="Lễ",N($G114),0))</f>
        <v/>
      </c>
      <c r="M114" s="108">
        <f>IF($B114="","",IF($E114="Ngày thường",N($H114),0))</f>
        <v/>
      </c>
      <c r="N114" s="108">
        <f>IF($B114="","",IF($E114="Nghỉ tuần",N($H114),0))</f>
        <v/>
      </c>
      <c r="O114" s="108">
        <f>IF($B114="","",IF($E114="Lễ",N($H114),0))</f>
        <v/>
      </c>
    </row>
    <row r="115" ht="15" customHeight="1" s="63">
      <c r="A115" s="85">
        <f>IF($B115="","",ROW()-5)</f>
        <v/>
      </c>
      <c r="B115" s="97" t="n"/>
      <c r="C115" s="96">
        <f>IF($B115="","",IFERROR(INDEX(DM_NHAN_SU!$C$6:$C$155,MATCH($B115,DM_NHAN_SU!$B$6:$B$155,0)),"SAI MÃ NV"))</f>
        <v/>
      </c>
      <c r="D115" s="86" t="n"/>
      <c r="E115" s="103">
        <f>IF(OR($B115="",$D115=""),"",IF(COUNTIF(THAM_SO_CC!$F$10:$F$40,$D115)&gt;0,"Lễ",IF(IF(THAM_SO_CC!$B$12="T7+CN",WEEKDAY($D115,2)&gt;=6,WEEKDAY($D115,2)=7),"Nghỉ tuần","Ngày thường")))</f>
        <v/>
      </c>
      <c r="F115" s="107" t="n"/>
      <c r="G115" s="107" t="n"/>
      <c r="H115" s="107" t="n"/>
      <c r="I115" s="81" t="n"/>
      <c r="J115" s="108">
        <f>IF($B115="","",IF($E115="Ngày thường",N($G115),0))</f>
        <v/>
      </c>
      <c r="K115" s="108">
        <f>IF($B115="","",IF($E115="Nghỉ tuần",N($G115),0))</f>
        <v/>
      </c>
      <c r="L115" s="108">
        <f>IF($B115="","",IF($E115="Lễ",N($G115),0))</f>
        <v/>
      </c>
      <c r="M115" s="108">
        <f>IF($B115="","",IF($E115="Ngày thường",N($H115),0))</f>
        <v/>
      </c>
      <c r="N115" s="108">
        <f>IF($B115="","",IF($E115="Nghỉ tuần",N($H115),0))</f>
        <v/>
      </c>
      <c r="O115" s="108">
        <f>IF($B115="","",IF($E115="Lễ",N($H115),0))</f>
        <v/>
      </c>
    </row>
    <row r="116" ht="15" customHeight="1" s="63">
      <c r="A116" s="85">
        <f>IF($B116="","",ROW()-5)</f>
        <v/>
      </c>
      <c r="B116" s="97" t="n"/>
      <c r="C116" s="96">
        <f>IF($B116="","",IFERROR(INDEX(DM_NHAN_SU!$C$6:$C$155,MATCH($B116,DM_NHAN_SU!$B$6:$B$155,0)),"SAI MÃ NV"))</f>
        <v/>
      </c>
      <c r="D116" s="86" t="n"/>
      <c r="E116" s="103">
        <f>IF(OR($B116="",$D116=""),"",IF(COUNTIF(THAM_SO_CC!$F$10:$F$40,$D116)&gt;0,"Lễ",IF(IF(THAM_SO_CC!$B$12="T7+CN",WEEKDAY($D116,2)&gt;=6,WEEKDAY($D116,2)=7),"Nghỉ tuần","Ngày thường")))</f>
        <v/>
      </c>
      <c r="F116" s="107" t="n"/>
      <c r="G116" s="107" t="n"/>
      <c r="H116" s="107" t="n"/>
      <c r="I116" s="81" t="n"/>
      <c r="J116" s="108">
        <f>IF($B116="","",IF($E116="Ngày thường",N($G116),0))</f>
        <v/>
      </c>
      <c r="K116" s="108">
        <f>IF($B116="","",IF($E116="Nghỉ tuần",N($G116),0))</f>
        <v/>
      </c>
      <c r="L116" s="108">
        <f>IF($B116="","",IF($E116="Lễ",N($G116),0))</f>
        <v/>
      </c>
      <c r="M116" s="108">
        <f>IF($B116="","",IF($E116="Ngày thường",N($H116),0))</f>
        <v/>
      </c>
      <c r="N116" s="108">
        <f>IF($B116="","",IF($E116="Nghỉ tuần",N($H116),0))</f>
        <v/>
      </c>
      <c r="O116" s="108">
        <f>IF($B116="","",IF($E116="Lễ",N($H116),0))</f>
        <v/>
      </c>
    </row>
    <row r="117" ht="15" customHeight="1" s="63">
      <c r="A117" s="85">
        <f>IF($B117="","",ROW()-5)</f>
        <v/>
      </c>
      <c r="B117" s="97" t="n"/>
      <c r="C117" s="96">
        <f>IF($B117="","",IFERROR(INDEX(DM_NHAN_SU!$C$6:$C$155,MATCH($B117,DM_NHAN_SU!$B$6:$B$155,0)),"SAI MÃ NV"))</f>
        <v/>
      </c>
      <c r="D117" s="86" t="n"/>
      <c r="E117" s="103">
        <f>IF(OR($B117="",$D117=""),"",IF(COUNTIF(THAM_SO_CC!$F$10:$F$40,$D117)&gt;0,"Lễ",IF(IF(THAM_SO_CC!$B$12="T7+CN",WEEKDAY($D117,2)&gt;=6,WEEKDAY($D117,2)=7),"Nghỉ tuần","Ngày thường")))</f>
        <v/>
      </c>
      <c r="F117" s="107" t="n"/>
      <c r="G117" s="107" t="n"/>
      <c r="H117" s="107" t="n"/>
      <c r="I117" s="81" t="n"/>
      <c r="J117" s="108">
        <f>IF($B117="","",IF($E117="Ngày thường",N($G117),0))</f>
        <v/>
      </c>
      <c r="K117" s="108">
        <f>IF($B117="","",IF($E117="Nghỉ tuần",N($G117),0))</f>
        <v/>
      </c>
      <c r="L117" s="108">
        <f>IF($B117="","",IF($E117="Lễ",N($G117),0))</f>
        <v/>
      </c>
      <c r="M117" s="108">
        <f>IF($B117="","",IF($E117="Ngày thường",N($H117),0))</f>
        <v/>
      </c>
      <c r="N117" s="108">
        <f>IF($B117="","",IF($E117="Nghỉ tuần",N($H117),0))</f>
        <v/>
      </c>
      <c r="O117" s="108">
        <f>IF($B117="","",IF($E117="Lễ",N($H117),0))</f>
        <v/>
      </c>
    </row>
    <row r="118" ht="15" customHeight="1" s="63">
      <c r="A118" s="85">
        <f>IF($B118="","",ROW()-5)</f>
        <v/>
      </c>
      <c r="B118" s="97" t="n"/>
      <c r="C118" s="96">
        <f>IF($B118="","",IFERROR(INDEX(DM_NHAN_SU!$C$6:$C$155,MATCH($B118,DM_NHAN_SU!$B$6:$B$155,0)),"SAI MÃ NV"))</f>
        <v/>
      </c>
      <c r="D118" s="86" t="n"/>
      <c r="E118" s="103">
        <f>IF(OR($B118="",$D118=""),"",IF(COUNTIF(THAM_SO_CC!$F$10:$F$40,$D118)&gt;0,"Lễ",IF(IF(THAM_SO_CC!$B$12="T7+CN",WEEKDAY($D118,2)&gt;=6,WEEKDAY($D118,2)=7),"Nghỉ tuần","Ngày thường")))</f>
        <v/>
      </c>
      <c r="F118" s="107" t="n"/>
      <c r="G118" s="107" t="n"/>
      <c r="H118" s="107" t="n"/>
      <c r="I118" s="81" t="n"/>
      <c r="J118" s="108">
        <f>IF($B118="","",IF($E118="Ngày thường",N($G118),0))</f>
        <v/>
      </c>
      <c r="K118" s="108">
        <f>IF($B118="","",IF($E118="Nghỉ tuần",N($G118),0))</f>
        <v/>
      </c>
      <c r="L118" s="108">
        <f>IF($B118="","",IF($E118="Lễ",N($G118),0))</f>
        <v/>
      </c>
      <c r="M118" s="108">
        <f>IF($B118="","",IF($E118="Ngày thường",N($H118),0))</f>
        <v/>
      </c>
      <c r="N118" s="108">
        <f>IF($B118="","",IF($E118="Nghỉ tuần",N($H118),0))</f>
        <v/>
      </c>
      <c r="O118" s="108">
        <f>IF($B118="","",IF($E118="Lễ",N($H118),0))</f>
        <v/>
      </c>
    </row>
    <row r="119" ht="15" customHeight="1" s="63">
      <c r="A119" s="85">
        <f>IF($B119="","",ROW()-5)</f>
        <v/>
      </c>
      <c r="B119" s="97" t="n"/>
      <c r="C119" s="96">
        <f>IF($B119="","",IFERROR(INDEX(DM_NHAN_SU!$C$6:$C$155,MATCH($B119,DM_NHAN_SU!$B$6:$B$155,0)),"SAI MÃ NV"))</f>
        <v/>
      </c>
      <c r="D119" s="86" t="n"/>
      <c r="E119" s="103">
        <f>IF(OR($B119="",$D119=""),"",IF(COUNTIF(THAM_SO_CC!$F$10:$F$40,$D119)&gt;0,"Lễ",IF(IF(THAM_SO_CC!$B$12="T7+CN",WEEKDAY($D119,2)&gt;=6,WEEKDAY($D119,2)=7),"Nghỉ tuần","Ngày thường")))</f>
        <v/>
      </c>
      <c r="F119" s="107" t="n"/>
      <c r="G119" s="107" t="n"/>
      <c r="H119" s="107" t="n"/>
      <c r="I119" s="81" t="n"/>
      <c r="J119" s="108">
        <f>IF($B119="","",IF($E119="Ngày thường",N($G119),0))</f>
        <v/>
      </c>
      <c r="K119" s="108">
        <f>IF($B119="","",IF($E119="Nghỉ tuần",N($G119),0))</f>
        <v/>
      </c>
      <c r="L119" s="108">
        <f>IF($B119="","",IF($E119="Lễ",N($G119),0))</f>
        <v/>
      </c>
      <c r="M119" s="108">
        <f>IF($B119="","",IF($E119="Ngày thường",N($H119),0))</f>
        <v/>
      </c>
      <c r="N119" s="108">
        <f>IF($B119="","",IF($E119="Nghỉ tuần",N($H119),0))</f>
        <v/>
      </c>
      <c r="O119" s="108">
        <f>IF($B119="","",IF($E119="Lễ",N($H119),0))</f>
        <v/>
      </c>
    </row>
    <row r="120" ht="15" customHeight="1" s="63">
      <c r="A120" s="85">
        <f>IF($B120="","",ROW()-5)</f>
        <v/>
      </c>
      <c r="B120" s="97" t="n"/>
      <c r="C120" s="96">
        <f>IF($B120="","",IFERROR(INDEX(DM_NHAN_SU!$C$6:$C$155,MATCH($B120,DM_NHAN_SU!$B$6:$B$155,0)),"SAI MÃ NV"))</f>
        <v/>
      </c>
      <c r="D120" s="86" t="n"/>
      <c r="E120" s="103">
        <f>IF(OR($B120="",$D120=""),"",IF(COUNTIF(THAM_SO_CC!$F$10:$F$40,$D120)&gt;0,"Lễ",IF(IF(THAM_SO_CC!$B$12="T7+CN",WEEKDAY($D120,2)&gt;=6,WEEKDAY($D120,2)=7),"Nghỉ tuần","Ngày thường")))</f>
        <v/>
      </c>
      <c r="F120" s="107" t="n"/>
      <c r="G120" s="107" t="n"/>
      <c r="H120" s="107" t="n"/>
      <c r="I120" s="81" t="n"/>
      <c r="J120" s="108">
        <f>IF($B120="","",IF($E120="Ngày thường",N($G120),0))</f>
        <v/>
      </c>
      <c r="K120" s="108">
        <f>IF($B120="","",IF($E120="Nghỉ tuần",N($G120),0))</f>
        <v/>
      </c>
      <c r="L120" s="108">
        <f>IF($B120="","",IF($E120="Lễ",N($G120),0))</f>
        <v/>
      </c>
      <c r="M120" s="108">
        <f>IF($B120="","",IF($E120="Ngày thường",N($H120),0))</f>
        <v/>
      </c>
      <c r="N120" s="108">
        <f>IF($B120="","",IF($E120="Nghỉ tuần",N($H120),0))</f>
        <v/>
      </c>
      <c r="O120" s="108">
        <f>IF($B120="","",IF($E120="Lễ",N($H120),0))</f>
        <v/>
      </c>
    </row>
    <row r="121" ht="15" customHeight="1" s="63">
      <c r="A121" s="85">
        <f>IF($B121="","",ROW()-5)</f>
        <v/>
      </c>
      <c r="B121" s="97" t="n"/>
      <c r="C121" s="96">
        <f>IF($B121="","",IFERROR(INDEX(DM_NHAN_SU!$C$6:$C$155,MATCH($B121,DM_NHAN_SU!$B$6:$B$155,0)),"SAI MÃ NV"))</f>
        <v/>
      </c>
      <c r="D121" s="86" t="n"/>
      <c r="E121" s="103">
        <f>IF(OR($B121="",$D121=""),"",IF(COUNTIF(THAM_SO_CC!$F$10:$F$40,$D121)&gt;0,"Lễ",IF(IF(THAM_SO_CC!$B$12="T7+CN",WEEKDAY($D121,2)&gt;=6,WEEKDAY($D121,2)=7),"Nghỉ tuần","Ngày thường")))</f>
        <v/>
      </c>
      <c r="F121" s="107" t="n"/>
      <c r="G121" s="107" t="n"/>
      <c r="H121" s="107" t="n"/>
      <c r="I121" s="81" t="n"/>
      <c r="J121" s="108">
        <f>IF($B121="","",IF($E121="Ngày thường",N($G121),0))</f>
        <v/>
      </c>
      <c r="K121" s="108">
        <f>IF($B121="","",IF($E121="Nghỉ tuần",N($G121),0))</f>
        <v/>
      </c>
      <c r="L121" s="108">
        <f>IF($B121="","",IF($E121="Lễ",N($G121),0))</f>
        <v/>
      </c>
      <c r="M121" s="108">
        <f>IF($B121="","",IF($E121="Ngày thường",N($H121),0))</f>
        <v/>
      </c>
      <c r="N121" s="108">
        <f>IF($B121="","",IF($E121="Nghỉ tuần",N($H121),0))</f>
        <v/>
      </c>
      <c r="O121" s="108">
        <f>IF($B121="","",IF($E121="Lễ",N($H121),0))</f>
        <v/>
      </c>
    </row>
    <row r="122" ht="15" customHeight="1" s="63">
      <c r="A122" s="85">
        <f>IF($B122="","",ROW()-5)</f>
        <v/>
      </c>
      <c r="B122" s="97" t="n"/>
      <c r="C122" s="96">
        <f>IF($B122="","",IFERROR(INDEX(DM_NHAN_SU!$C$6:$C$155,MATCH($B122,DM_NHAN_SU!$B$6:$B$155,0)),"SAI MÃ NV"))</f>
        <v/>
      </c>
      <c r="D122" s="86" t="n"/>
      <c r="E122" s="103">
        <f>IF(OR($B122="",$D122=""),"",IF(COUNTIF(THAM_SO_CC!$F$10:$F$40,$D122)&gt;0,"Lễ",IF(IF(THAM_SO_CC!$B$12="T7+CN",WEEKDAY($D122,2)&gt;=6,WEEKDAY($D122,2)=7),"Nghỉ tuần","Ngày thường")))</f>
        <v/>
      </c>
      <c r="F122" s="107" t="n"/>
      <c r="G122" s="107" t="n"/>
      <c r="H122" s="107" t="n"/>
      <c r="I122" s="81" t="n"/>
      <c r="J122" s="108">
        <f>IF($B122="","",IF($E122="Ngày thường",N($G122),0))</f>
        <v/>
      </c>
      <c r="K122" s="108">
        <f>IF($B122="","",IF($E122="Nghỉ tuần",N($G122),0))</f>
        <v/>
      </c>
      <c r="L122" s="108">
        <f>IF($B122="","",IF($E122="Lễ",N($G122),0))</f>
        <v/>
      </c>
      <c r="M122" s="108">
        <f>IF($B122="","",IF($E122="Ngày thường",N($H122),0))</f>
        <v/>
      </c>
      <c r="N122" s="108">
        <f>IF($B122="","",IF($E122="Nghỉ tuần",N($H122),0))</f>
        <v/>
      </c>
      <c r="O122" s="108">
        <f>IF($B122="","",IF($E122="Lễ",N($H122),0))</f>
        <v/>
      </c>
    </row>
    <row r="123" ht="15" customHeight="1" s="63">
      <c r="A123" s="85">
        <f>IF($B123="","",ROW()-5)</f>
        <v/>
      </c>
      <c r="B123" s="97" t="n"/>
      <c r="C123" s="96">
        <f>IF($B123="","",IFERROR(INDEX(DM_NHAN_SU!$C$6:$C$155,MATCH($B123,DM_NHAN_SU!$B$6:$B$155,0)),"SAI MÃ NV"))</f>
        <v/>
      </c>
      <c r="D123" s="86" t="n"/>
      <c r="E123" s="103">
        <f>IF(OR($B123="",$D123=""),"",IF(COUNTIF(THAM_SO_CC!$F$10:$F$40,$D123)&gt;0,"Lễ",IF(IF(THAM_SO_CC!$B$12="T7+CN",WEEKDAY($D123,2)&gt;=6,WEEKDAY($D123,2)=7),"Nghỉ tuần","Ngày thường")))</f>
        <v/>
      </c>
      <c r="F123" s="107" t="n"/>
      <c r="G123" s="107" t="n"/>
      <c r="H123" s="107" t="n"/>
      <c r="I123" s="81" t="n"/>
      <c r="J123" s="108">
        <f>IF($B123="","",IF($E123="Ngày thường",N($G123),0))</f>
        <v/>
      </c>
      <c r="K123" s="108">
        <f>IF($B123="","",IF($E123="Nghỉ tuần",N($G123),0))</f>
        <v/>
      </c>
      <c r="L123" s="108">
        <f>IF($B123="","",IF($E123="Lễ",N($G123),0))</f>
        <v/>
      </c>
      <c r="M123" s="108">
        <f>IF($B123="","",IF($E123="Ngày thường",N($H123),0))</f>
        <v/>
      </c>
      <c r="N123" s="108">
        <f>IF($B123="","",IF($E123="Nghỉ tuần",N($H123),0))</f>
        <v/>
      </c>
      <c r="O123" s="108">
        <f>IF($B123="","",IF($E123="Lễ",N($H123),0))</f>
        <v/>
      </c>
    </row>
    <row r="124" ht="15" customHeight="1" s="63">
      <c r="A124" s="85">
        <f>IF($B124="","",ROW()-5)</f>
        <v/>
      </c>
      <c r="B124" s="97" t="n"/>
      <c r="C124" s="96">
        <f>IF($B124="","",IFERROR(INDEX(DM_NHAN_SU!$C$6:$C$155,MATCH($B124,DM_NHAN_SU!$B$6:$B$155,0)),"SAI MÃ NV"))</f>
        <v/>
      </c>
      <c r="D124" s="86" t="n"/>
      <c r="E124" s="103">
        <f>IF(OR($B124="",$D124=""),"",IF(COUNTIF(THAM_SO_CC!$F$10:$F$40,$D124)&gt;0,"Lễ",IF(IF(THAM_SO_CC!$B$12="T7+CN",WEEKDAY($D124,2)&gt;=6,WEEKDAY($D124,2)=7),"Nghỉ tuần","Ngày thường")))</f>
        <v/>
      </c>
      <c r="F124" s="107" t="n"/>
      <c r="G124" s="107" t="n"/>
      <c r="H124" s="107" t="n"/>
      <c r="I124" s="81" t="n"/>
      <c r="J124" s="108">
        <f>IF($B124="","",IF($E124="Ngày thường",N($G124),0))</f>
        <v/>
      </c>
      <c r="K124" s="108">
        <f>IF($B124="","",IF($E124="Nghỉ tuần",N($G124),0))</f>
        <v/>
      </c>
      <c r="L124" s="108">
        <f>IF($B124="","",IF($E124="Lễ",N($G124),0))</f>
        <v/>
      </c>
      <c r="M124" s="108">
        <f>IF($B124="","",IF($E124="Ngày thường",N($H124),0))</f>
        <v/>
      </c>
      <c r="N124" s="108">
        <f>IF($B124="","",IF($E124="Nghỉ tuần",N($H124),0))</f>
        <v/>
      </c>
      <c r="O124" s="108">
        <f>IF($B124="","",IF($E124="Lễ",N($H124),0))</f>
        <v/>
      </c>
    </row>
    <row r="125" ht="15" customHeight="1" s="63">
      <c r="A125" s="85">
        <f>IF($B125="","",ROW()-5)</f>
        <v/>
      </c>
      <c r="B125" s="97" t="n"/>
      <c r="C125" s="96">
        <f>IF($B125="","",IFERROR(INDEX(DM_NHAN_SU!$C$6:$C$155,MATCH($B125,DM_NHAN_SU!$B$6:$B$155,0)),"SAI MÃ NV"))</f>
        <v/>
      </c>
      <c r="D125" s="86" t="n"/>
      <c r="E125" s="103">
        <f>IF(OR($B125="",$D125=""),"",IF(COUNTIF(THAM_SO_CC!$F$10:$F$40,$D125)&gt;0,"Lễ",IF(IF(THAM_SO_CC!$B$12="T7+CN",WEEKDAY($D125,2)&gt;=6,WEEKDAY($D125,2)=7),"Nghỉ tuần","Ngày thường")))</f>
        <v/>
      </c>
      <c r="F125" s="107" t="n"/>
      <c r="G125" s="107" t="n"/>
      <c r="H125" s="107" t="n"/>
      <c r="I125" s="81" t="n"/>
      <c r="J125" s="108">
        <f>IF($B125="","",IF($E125="Ngày thường",N($G125),0))</f>
        <v/>
      </c>
      <c r="K125" s="108">
        <f>IF($B125="","",IF($E125="Nghỉ tuần",N($G125),0))</f>
        <v/>
      </c>
      <c r="L125" s="108">
        <f>IF($B125="","",IF($E125="Lễ",N($G125),0))</f>
        <v/>
      </c>
      <c r="M125" s="108">
        <f>IF($B125="","",IF($E125="Ngày thường",N($H125),0))</f>
        <v/>
      </c>
      <c r="N125" s="108">
        <f>IF($B125="","",IF($E125="Nghỉ tuần",N($H125),0))</f>
        <v/>
      </c>
      <c r="O125" s="108">
        <f>IF($B125="","",IF($E125="Lễ",N($H125),0))</f>
        <v/>
      </c>
    </row>
    <row r="126" ht="15" customHeight="1" s="63">
      <c r="A126" s="85">
        <f>IF($B126="","",ROW()-5)</f>
        <v/>
      </c>
      <c r="B126" s="97" t="n"/>
      <c r="C126" s="96">
        <f>IF($B126="","",IFERROR(INDEX(DM_NHAN_SU!$C$6:$C$155,MATCH($B126,DM_NHAN_SU!$B$6:$B$155,0)),"SAI MÃ NV"))</f>
        <v/>
      </c>
      <c r="D126" s="86" t="n"/>
      <c r="E126" s="103">
        <f>IF(OR($B126="",$D126=""),"",IF(COUNTIF(THAM_SO_CC!$F$10:$F$40,$D126)&gt;0,"Lễ",IF(IF(THAM_SO_CC!$B$12="T7+CN",WEEKDAY($D126,2)&gt;=6,WEEKDAY($D126,2)=7),"Nghỉ tuần","Ngày thường")))</f>
        <v/>
      </c>
      <c r="F126" s="107" t="n"/>
      <c r="G126" s="107" t="n"/>
      <c r="H126" s="107" t="n"/>
      <c r="I126" s="81" t="n"/>
      <c r="J126" s="108">
        <f>IF($B126="","",IF($E126="Ngày thường",N($G126),0))</f>
        <v/>
      </c>
      <c r="K126" s="108">
        <f>IF($B126="","",IF($E126="Nghỉ tuần",N($G126),0))</f>
        <v/>
      </c>
      <c r="L126" s="108">
        <f>IF($B126="","",IF($E126="Lễ",N($G126),0))</f>
        <v/>
      </c>
      <c r="M126" s="108">
        <f>IF($B126="","",IF($E126="Ngày thường",N($H126),0))</f>
        <v/>
      </c>
      <c r="N126" s="108">
        <f>IF($B126="","",IF($E126="Nghỉ tuần",N($H126),0))</f>
        <v/>
      </c>
      <c r="O126" s="108">
        <f>IF($B126="","",IF($E126="Lễ",N($H126),0))</f>
        <v/>
      </c>
    </row>
    <row r="127" ht="15" customHeight="1" s="63">
      <c r="A127" s="85">
        <f>IF($B127="","",ROW()-5)</f>
        <v/>
      </c>
      <c r="B127" s="97" t="n"/>
      <c r="C127" s="96">
        <f>IF($B127="","",IFERROR(INDEX(DM_NHAN_SU!$C$6:$C$155,MATCH($B127,DM_NHAN_SU!$B$6:$B$155,0)),"SAI MÃ NV"))</f>
        <v/>
      </c>
      <c r="D127" s="86" t="n"/>
      <c r="E127" s="103">
        <f>IF(OR($B127="",$D127=""),"",IF(COUNTIF(THAM_SO_CC!$F$10:$F$40,$D127)&gt;0,"Lễ",IF(IF(THAM_SO_CC!$B$12="T7+CN",WEEKDAY($D127,2)&gt;=6,WEEKDAY($D127,2)=7),"Nghỉ tuần","Ngày thường")))</f>
        <v/>
      </c>
      <c r="F127" s="107" t="n"/>
      <c r="G127" s="107" t="n"/>
      <c r="H127" s="107" t="n"/>
      <c r="I127" s="81" t="n"/>
      <c r="J127" s="108">
        <f>IF($B127="","",IF($E127="Ngày thường",N($G127),0))</f>
        <v/>
      </c>
      <c r="K127" s="108">
        <f>IF($B127="","",IF($E127="Nghỉ tuần",N($G127),0))</f>
        <v/>
      </c>
      <c r="L127" s="108">
        <f>IF($B127="","",IF($E127="Lễ",N($G127),0))</f>
        <v/>
      </c>
      <c r="M127" s="108">
        <f>IF($B127="","",IF($E127="Ngày thường",N($H127),0))</f>
        <v/>
      </c>
      <c r="N127" s="108">
        <f>IF($B127="","",IF($E127="Nghỉ tuần",N($H127),0))</f>
        <v/>
      </c>
      <c r="O127" s="108">
        <f>IF($B127="","",IF($E127="Lễ",N($H127),0))</f>
        <v/>
      </c>
    </row>
    <row r="128" ht="15" customHeight="1" s="63">
      <c r="A128" s="85">
        <f>IF($B128="","",ROW()-5)</f>
        <v/>
      </c>
      <c r="B128" s="97" t="n"/>
      <c r="C128" s="96">
        <f>IF($B128="","",IFERROR(INDEX(DM_NHAN_SU!$C$6:$C$155,MATCH($B128,DM_NHAN_SU!$B$6:$B$155,0)),"SAI MÃ NV"))</f>
        <v/>
      </c>
      <c r="D128" s="86" t="n"/>
      <c r="E128" s="103">
        <f>IF(OR($B128="",$D128=""),"",IF(COUNTIF(THAM_SO_CC!$F$10:$F$40,$D128)&gt;0,"Lễ",IF(IF(THAM_SO_CC!$B$12="T7+CN",WEEKDAY($D128,2)&gt;=6,WEEKDAY($D128,2)=7),"Nghỉ tuần","Ngày thường")))</f>
        <v/>
      </c>
      <c r="F128" s="107" t="n"/>
      <c r="G128" s="107" t="n"/>
      <c r="H128" s="107" t="n"/>
      <c r="I128" s="81" t="n"/>
      <c r="J128" s="108">
        <f>IF($B128="","",IF($E128="Ngày thường",N($G128),0))</f>
        <v/>
      </c>
      <c r="K128" s="108">
        <f>IF($B128="","",IF($E128="Nghỉ tuần",N($G128),0))</f>
        <v/>
      </c>
      <c r="L128" s="108">
        <f>IF($B128="","",IF($E128="Lễ",N($G128),0))</f>
        <v/>
      </c>
      <c r="M128" s="108">
        <f>IF($B128="","",IF($E128="Ngày thường",N($H128),0))</f>
        <v/>
      </c>
      <c r="N128" s="108">
        <f>IF($B128="","",IF($E128="Nghỉ tuần",N($H128),0))</f>
        <v/>
      </c>
      <c r="O128" s="108">
        <f>IF($B128="","",IF($E128="Lễ",N($H128),0))</f>
        <v/>
      </c>
    </row>
    <row r="129" ht="15" customHeight="1" s="63">
      <c r="A129" s="85">
        <f>IF($B129="","",ROW()-5)</f>
        <v/>
      </c>
      <c r="B129" s="97" t="n"/>
      <c r="C129" s="96">
        <f>IF($B129="","",IFERROR(INDEX(DM_NHAN_SU!$C$6:$C$155,MATCH($B129,DM_NHAN_SU!$B$6:$B$155,0)),"SAI MÃ NV"))</f>
        <v/>
      </c>
      <c r="D129" s="86" t="n"/>
      <c r="E129" s="103">
        <f>IF(OR($B129="",$D129=""),"",IF(COUNTIF(THAM_SO_CC!$F$10:$F$40,$D129)&gt;0,"Lễ",IF(IF(THAM_SO_CC!$B$12="T7+CN",WEEKDAY($D129,2)&gt;=6,WEEKDAY($D129,2)=7),"Nghỉ tuần","Ngày thường")))</f>
        <v/>
      </c>
      <c r="F129" s="107" t="n"/>
      <c r="G129" s="107" t="n"/>
      <c r="H129" s="107" t="n"/>
      <c r="I129" s="81" t="n"/>
      <c r="J129" s="108">
        <f>IF($B129="","",IF($E129="Ngày thường",N($G129),0))</f>
        <v/>
      </c>
      <c r="K129" s="108">
        <f>IF($B129="","",IF($E129="Nghỉ tuần",N($G129),0))</f>
        <v/>
      </c>
      <c r="L129" s="108">
        <f>IF($B129="","",IF($E129="Lễ",N($G129),0))</f>
        <v/>
      </c>
      <c r="M129" s="108">
        <f>IF($B129="","",IF($E129="Ngày thường",N($H129),0))</f>
        <v/>
      </c>
      <c r="N129" s="108">
        <f>IF($B129="","",IF($E129="Nghỉ tuần",N($H129),0))</f>
        <v/>
      </c>
      <c r="O129" s="108">
        <f>IF($B129="","",IF($E129="Lễ",N($H129),0))</f>
        <v/>
      </c>
    </row>
    <row r="130" ht="15" customHeight="1" s="63">
      <c r="A130" s="85">
        <f>IF($B130="","",ROW()-5)</f>
        <v/>
      </c>
      <c r="B130" s="97" t="n"/>
      <c r="C130" s="96">
        <f>IF($B130="","",IFERROR(INDEX(DM_NHAN_SU!$C$6:$C$155,MATCH($B130,DM_NHAN_SU!$B$6:$B$155,0)),"SAI MÃ NV"))</f>
        <v/>
      </c>
      <c r="D130" s="86" t="n"/>
      <c r="E130" s="103">
        <f>IF(OR($B130="",$D130=""),"",IF(COUNTIF(THAM_SO_CC!$F$10:$F$40,$D130)&gt;0,"Lễ",IF(IF(THAM_SO_CC!$B$12="T7+CN",WEEKDAY($D130,2)&gt;=6,WEEKDAY($D130,2)=7),"Nghỉ tuần","Ngày thường")))</f>
        <v/>
      </c>
      <c r="F130" s="107" t="n"/>
      <c r="G130" s="107" t="n"/>
      <c r="H130" s="107" t="n"/>
      <c r="I130" s="81" t="n"/>
      <c r="J130" s="108">
        <f>IF($B130="","",IF($E130="Ngày thường",N($G130),0))</f>
        <v/>
      </c>
      <c r="K130" s="108">
        <f>IF($B130="","",IF($E130="Nghỉ tuần",N($G130),0))</f>
        <v/>
      </c>
      <c r="L130" s="108">
        <f>IF($B130="","",IF($E130="Lễ",N($G130),0))</f>
        <v/>
      </c>
      <c r="M130" s="108">
        <f>IF($B130="","",IF($E130="Ngày thường",N($H130),0))</f>
        <v/>
      </c>
      <c r="N130" s="108">
        <f>IF($B130="","",IF($E130="Nghỉ tuần",N($H130),0))</f>
        <v/>
      </c>
      <c r="O130" s="108">
        <f>IF($B130="","",IF($E130="Lễ",N($H130),0))</f>
        <v/>
      </c>
    </row>
    <row r="131" ht="15" customHeight="1" s="63">
      <c r="A131" s="85">
        <f>IF($B131="","",ROW()-5)</f>
        <v/>
      </c>
      <c r="B131" s="97" t="n"/>
      <c r="C131" s="96">
        <f>IF($B131="","",IFERROR(INDEX(DM_NHAN_SU!$C$6:$C$155,MATCH($B131,DM_NHAN_SU!$B$6:$B$155,0)),"SAI MÃ NV"))</f>
        <v/>
      </c>
      <c r="D131" s="86" t="n"/>
      <c r="E131" s="103">
        <f>IF(OR($B131="",$D131=""),"",IF(COUNTIF(THAM_SO_CC!$F$10:$F$40,$D131)&gt;0,"Lễ",IF(IF(THAM_SO_CC!$B$12="T7+CN",WEEKDAY($D131,2)&gt;=6,WEEKDAY($D131,2)=7),"Nghỉ tuần","Ngày thường")))</f>
        <v/>
      </c>
      <c r="F131" s="107" t="n"/>
      <c r="G131" s="107" t="n"/>
      <c r="H131" s="107" t="n"/>
      <c r="I131" s="81" t="n"/>
      <c r="J131" s="108">
        <f>IF($B131="","",IF($E131="Ngày thường",N($G131),0))</f>
        <v/>
      </c>
      <c r="K131" s="108">
        <f>IF($B131="","",IF($E131="Nghỉ tuần",N($G131),0))</f>
        <v/>
      </c>
      <c r="L131" s="108">
        <f>IF($B131="","",IF($E131="Lễ",N($G131),0))</f>
        <v/>
      </c>
      <c r="M131" s="108">
        <f>IF($B131="","",IF($E131="Ngày thường",N($H131),0))</f>
        <v/>
      </c>
      <c r="N131" s="108">
        <f>IF($B131="","",IF($E131="Nghỉ tuần",N($H131),0))</f>
        <v/>
      </c>
      <c r="O131" s="108">
        <f>IF($B131="","",IF($E131="Lễ",N($H131),0))</f>
        <v/>
      </c>
    </row>
    <row r="132" ht="15" customHeight="1" s="63">
      <c r="A132" s="85">
        <f>IF($B132="","",ROW()-5)</f>
        <v/>
      </c>
      <c r="B132" s="97" t="n"/>
      <c r="C132" s="96">
        <f>IF($B132="","",IFERROR(INDEX(DM_NHAN_SU!$C$6:$C$155,MATCH($B132,DM_NHAN_SU!$B$6:$B$155,0)),"SAI MÃ NV"))</f>
        <v/>
      </c>
      <c r="D132" s="86" t="n"/>
      <c r="E132" s="103">
        <f>IF(OR($B132="",$D132=""),"",IF(COUNTIF(THAM_SO_CC!$F$10:$F$40,$D132)&gt;0,"Lễ",IF(IF(THAM_SO_CC!$B$12="T7+CN",WEEKDAY($D132,2)&gt;=6,WEEKDAY($D132,2)=7),"Nghỉ tuần","Ngày thường")))</f>
        <v/>
      </c>
      <c r="F132" s="107" t="n"/>
      <c r="G132" s="107" t="n"/>
      <c r="H132" s="107" t="n"/>
      <c r="I132" s="81" t="n"/>
      <c r="J132" s="108">
        <f>IF($B132="","",IF($E132="Ngày thường",N($G132),0))</f>
        <v/>
      </c>
      <c r="K132" s="108">
        <f>IF($B132="","",IF($E132="Nghỉ tuần",N($G132),0))</f>
        <v/>
      </c>
      <c r="L132" s="108">
        <f>IF($B132="","",IF($E132="Lễ",N($G132),0))</f>
        <v/>
      </c>
      <c r="M132" s="108">
        <f>IF($B132="","",IF($E132="Ngày thường",N($H132),0))</f>
        <v/>
      </c>
      <c r="N132" s="108">
        <f>IF($B132="","",IF($E132="Nghỉ tuần",N($H132),0))</f>
        <v/>
      </c>
      <c r="O132" s="108">
        <f>IF($B132="","",IF($E132="Lễ",N($H132),0))</f>
        <v/>
      </c>
    </row>
    <row r="133" ht="15" customHeight="1" s="63">
      <c r="A133" s="85">
        <f>IF($B133="","",ROW()-5)</f>
        <v/>
      </c>
      <c r="B133" s="97" t="n"/>
      <c r="C133" s="96">
        <f>IF($B133="","",IFERROR(INDEX(DM_NHAN_SU!$C$6:$C$155,MATCH($B133,DM_NHAN_SU!$B$6:$B$155,0)),"SAI MÃ NV"))</f>
        <v/>
      </c>
      <c r="D133" s="86" t="n"/>
      <c r="E133" s="103">
        <f>IF(OR($B133="",$D133=""),"",IF(COUNTIF(THAM_SO_CC!$F$10:$F$40,$D133)&gt;0,"Lễ",IF(IF(THAM_SO_CC!$B$12="T7+CN",WEEKDAY($D133,2)&gt;=6,WEEKDAY($D133,2)=7),"Nghỉ tuần","Ngày thường")))</f>
        <v/>
      </c>
      <c r="F133" s="107" t="n"/>
      <c r="G133" s="107" t="n"/>
      <c r="H133" s="107" t="n"/>
      <c r="I133" s="81" t="n"/>
      <c r="J133" s="108">
        <f>IF($B133="","",IF($E133="Ngày thường",N($G133),0))</f>
        <v/>
      </c>
      <c r="K133" s="108">
        <f>IF($B133="","",IF($E133="Nghỉ tuần",N($G133),0))</f>
        <v/>
      </c>
      <c r="L133" s="108">
        <f>IF($B133="","",IF($E133="Lễ",N($G133),0))</f>
        <v/>
      </c>
      <c r="M133" s="108">
        <f>IF($B133="","",IF($E133="Ngày thường",N($H133),0))</f>
        <v/>
      </c>
      <c r="N133" s="108">
        <f>IF($B133="","",IF($E133="Nghỉ tuần",N($H133),0))</f>
        <v/>
      </c>
      <c r="O133" s="108">
        <f>IF($B133="","",IF($E133="Lễ",N($H133),0))</f>
        <v/>
      </c>
    </row>
    <row r="134" ht="15" customHeight="1" s="63">
      <c r="A134" s="85">
        <f>IF($B134="","",ROW()-5)</f>
        <v/>
      </c>
      <c r="B134" s="97" t="n"/>
      <c r="C134" s="96">
        <f>IF($B134="","",IFERROR(INDEX(DM_NHAN_SU!$C$6:$C$155,MATCH($B134,DM_NHAN_SU!$B$6:$B$155,0)),"SAI MÃ NV"))</f>
        <v/>
      </c>
      <c r="D134" s="86" t="n"/>
      <c r="E134" s="103">
        <f>IF(OR($B134="",$D134=""),"",IF(COUNTIF(THAM_SO_CC!$F$10:$F$40,$D134)&gt;0,"Lễ",IF(IF(THAM_SO_CC!$B$12="T7+CN",WEEKDAY($D134,2)&gt;=6,WEEKDAY($D134,2)=7),"Nghỉ tuần","Ngày thường")))</f>
        <v/>
      </c>
      <c r="F134" s="107" t="n"/>
      <c r="G134" s="107" t="n"/>
      <c r="H134" s="107" t="n"/>
      <c r="I134" s="81" t="n"/>
      <c r="J134" s="108">
        <f>IF($B134="","",IF($E134="Ngày thường",N($G134),0))</f>
        <v/>
      </c>
      <c r="K134" s="108">
        <f>IF($B134="","",IF($E134="Nghỉ tuần",N($G134),0))</f>
        <v/>
      </c>
      <c r="L134" s="108">
        <f>IF($B134="","",IF($E134="Lễ",N($G134),0))</f>
        <v/>
      </c>
      <c r="M134" s="108">
        <f>IF($B134="","",IF($E134="Ngày thường",N($H134),0))</f>
        <v/>
      </c>
      <c r="N134" s="108">
        <f>IF($B134="","",IF($E134="Nghỉ tuần",N($H134),0))</f>
        <v/>
      </c>
      <c r="O134" s="108">
        <f>IF($B134="","",IF($E134="Lễ",N($H134),0))</f>
        <v/>
      </c>
    </row>
    <row r="135" ht="15" customHeight="1" s="63">
      <c r="A135" s="85">
        <f>IF($B135="","",ROW()-5)</f>
        <v/>
      </c>
      <c r="B135" s="97" t="n"/>
      <c r="C135" s="96">
        <f>IF($B135="","",IFERROR(INDEX(DM_NHAN_SU!$C$6:$C$155,MATCH($B135,DM_NHAN_SU!$B$6:$B$155,0)),"SAI MÃ NV"))</f>
        <v/>
      </c>
      <c r="D135" s="86" t="n"/>
      <c r="E135" s="103">
        <f>IF(OR($B135="",$D135=""),"",IF(COUNTIF(THAM_SO_CC!$F$10:$F$40,$D135)&gt;0,"Lễ",IF(IF(THAM_SO_CC!$B$12="T7+CN",WEEKDAY($D135,2)&gt;=6,WEEKDAY($D135,2)=7),"Nghỉ tuần","Ngày thường")))</f>
        <v/>
      </c>
      <c r="F135" s="107" t="n"/>
      <c r="G135" s="107" t="n"/>
      <c r="H135" s="107" t="n"/>
      <c r="I135" s="81" t="n"/>
      <c r="J135" s="108">
        <f>IF($B135="","",IF($E135="Ngày thường",N($G135),0))</f>
        <v/>
      </c>
      <c r="K135" s="108">
        <f>IF($B135="","",IF($E135="Nghỉ tuần",N($G135),0))</f>
        <v/>
      </c>
      <c r="L135" s="108">
        <f>IF($B135="","",IF($E135="Lễ",N($G135),0))</f>
        <v/>
      </c>
      <c r="M135" s="108">
        <f>IF($B135="","",IF($E135="Ngày thường",N($H135),0))</f>
        <v/>
      </c>
      <c r="N135" s="108">
        <f>IF($B135="","",IF($E135="Nghỉ tuần",N($H135),0))</f>
        <v/>
      </c>
      <c r="O135" s="108">
        <f>IF($B135="","",IF($E135="Lễ",N($H135),0))</f>
        <v/>
      </c>
    </row>
    <row r="136" ht="15" customHeight="1" s="63">
      <c r="A136" s="85">
        <f>IF($B136="","",ROW()-5)</f>
        <v/>
      </c>
      <c r="B136" s="97" t="n"/>
      <c r="C136" s="96">
        <f>IF($B136="","",IFERROR(INDEX(DM_NHAN_SU!$C$6:$C$155,MATCH($B136,DM_NHAN_SU!$B$6:$B$155,0)),"SAI MÃ NV"))</f>
        <v/>
      </c>
      <c r="D136" s="86" t="n"/>
      <c r="E136" s="103">
        <f>IF(OR($B136="",$D136=""),"",IF(COUNTIF(THAM_SO_CC!$F$10:$F$40,$D136)&gt;0,"Lễ",IF(IF(THAM_SO_CC!$B$12="T7+CN",WEEKDAY($D136,2)&gt;=6,WEEKDAY($D136,2)=7),"Nghỉ tuần","Ngày thường")))</f>
        <v/>
      </c>
      <c r="F136" s="107" t="n"/>
      <c r="G136" s="107" t="n"/>
      <c r="H136" s="107" t="n"/>
      <c r="I136" s="81" t="n"/>
      <c r="J136" s="108">
        <f>IF($B136="","",IF($E136="Ngày thường",N($G136),0))</f>
        <v/>
      </c>
      <c r="K136" s="108">
        <f>IF($B136="","",IF($E136="Nghỉ tuần",N($G136),0))</f>
        <v/>
      </c>
      <c r="L136" s="108">
        <f>IF($B136="","",IF($E136="Lễ",N($G136),0))</f>
        <v/>
      </c>
      <c r="M136" s="108">
        <f>IF($B136="","",IF($E136="Ngày thường",N($H136),0))</f>
        <v/>
      </c>
      <c r="N136" s="108">
        <f>IF($B136="","",IF($E136="Nghỉ tuần",N($H136),0))</f>
        <v/>
      </c>
      <c r="O136" s="108">
        <f>IF($B136="","",IF($E136="Lễ",N($H136),0))</f>
        <v/>
      </c>
    </row>
    <row r="137" ht="15" customHeight="1" s="63">
      <c r="A137" s="85">
        <f>IF($B137="","",ROW()-5)</f>
        <v/>
      </c>
      <c r="B137" s="97" t="n"/>
      <c r="C137" s="96">
        <f>IF($B137="","",IFERROR(INDEX(DM_NHAN_SU!$C$6:$C$155,MATCH($B137,DM_NHAN_SU!$B$6:$B$155,0)),"SAI MÃ NV"))</f>
        <v/>
      </c>
      <c r="D137" s="86" t="n"/>
      <c r="E137" s="103">
        <f>IF(OR($B137="",$D137=""),"",IF(COUNTIF(THAM_SO_CC!$F$10:$F$40,$D137)&gt;0,"Lễ",IF(IF(THAM_SO_CC!$B$12="T7+CN",WEEKDAY($D137,2)&gt;=6,WEEKDAY($D137,2)=7),"Nghỉ tuần","Ngày thường")))</f>
        <v/>
      </c>
      <c r="F137" s="107" t="n"/>
      <c r="G137" s="107" t="n"/>
      <c r="H137" s="107" t="n"/>
      <c r="I137" s="81" t="n"/>
      <c r="J137" s="108">
        <f>IF($B137="","",IF($E137="Ngày thường",N($G137),0))</f>
        <v/>
      </c>
      <c r="K137" s="108">
        <f>IF($B137="","",IF($E137="Nghỉ tuần",N($G137),0))</f>
        <v/>
      </c>
      <c r="L137" s="108">
        <f>IF($B137="","",IF($E137="Lễ",N($G137),0))</f>
        <v/>
      </c>
      <c r="M137" s="108">
        <f>IF($B137="","",IF($E137="Ngày thường",N($H137),0))</f>
        <v/>
      </c>
      <c r="N137" s="108">
        <f>IF($B137="","",IF($E137="Nghỉ tuần",N($H137),0))</f>
        <v/>
      </c>
      <c r="O137" s="108">
        <f>IF($B137="","",IF($E137="Lễ",N($H137),0))</f>
        <v/>
      </c>
    </row>
    <row r="138" ht="15" customHeight="1" s="63">
      <c r="A138" s="85">
        <f>IF($B138="","",ROW()-5)</f>
        <v/>
      </c>
      <c r="B138" s="97" t="n"/>
      <c r="C138" s="96">
        <f>IF($B138="","",IFERROR(INDEX(DM_NHAN_SU!$C$6:$C$155,MATCH($B138,DM_NHAN_SU!$B$6:$B$155,0)),"SAI MÃ NV"))</f>
        <v/>
      </c>
      <c r="D138" s="86" t="n"/>
      <c r="E138" s="103">
        <f>IF(OR($B138="",$D138=""),"",IF(COUNTIF(THAM_SO_CC!$F$10:$F$40,$D138)&gt;0,"Lễ",IF(IF(THAM_SO_CC!$B$12="T7+CN",WEEKDAY($D138,2)&gt;=6,WEEKDAY($D138,2)=7),"Nghỉ tuần","Ngày thường")))</f>
        <v/>
      </c>
      <c r="F138" s="107" t="n"/>
      <c r="G138" s="107" t="n"/>
      <c r="H138" s="107" t="n"/>
      <c r="I138" s="81" t="n"/>
      <c r="J138" s="108">
        <f>IF($B138="","",IF($E138="Ngày thường",N($G138),0))</f>
        <v/>
      </c>
      <c r="K138" s="108">
        <f>IF($B138="","",IF($E138="Nghỉ tuần",N($G138),0))</f>
        <v/>
      </c>
      <c r="L138" s="108">
        <f>IF($B138="","",IF($E138="Lễ",N($G138),0))</f>
        <v/>
      </c>
      <c r="M138" s="108">
        <f>IF($B138="","",IF($E138="Ngày thường",N($H138),0))</f>
        <v/>
      </c>
      <c r="N138" s="108">
        <f>IF($B138="","",IF($E138="Nghỉ tuần",N($H138),0))</f>
        <v/>
      </c>
      <c r="O138" s="108">
        <f>IF($B138="","",IF($E138="Lễ",N($H138),0))</f>
        <v/>
      </c>
    </row>
    <row r="139" ht="15" customHeight="1" s="63">
      <c r="A139" s="85">
        <f>IF($B139="","",ROW()-5)</f>
        <v/>
      </c>
      <c r="B139" s="97" t="n"/>
      <c r="C139" s="96">
        <f>IF($B139="","",IFERROR(INDEX(DM_NHAN_SU!$C$6:$C$155,MATCH($B139,DM_NHAN_SU!$B$6:$B$155,0)),"SAI MÃ NV"))</f>
        <v/>
      </c>
      <c r="D139" s="86" t="n"/>
      <c r="E139" s="103">
        <f>IF(OR($B139="",$D139=""),"",IF(COUNTIF(THAM_SO_CC!$F$10:$F$40,$D139)&gt;0,"Lễ",IF(IF(THAM_SO_CC!$B$12="T7+CN",WEEKDAY($D139,2)&gt;=6,WEEKDAY($D139,2)=7),"Nghỉ tuần","Ngày thường")))</f>
        <v/>
      </c>
      <c r="F139" s="107" t="n"/>
      <c r="G139" s="107" t="n"/>
      <c r="H139" s="107" t="n"/>
      <c r="I139" s="81" t="n"/>
      <c r="J139" s="108">
        <f>IF($B139="","",IF($E139="Ngày thường",N($G139),0))</f>
        <v/>
      </c>
      <c r="K139" s="108">
        <f>IF($B139="","",IF($E139="Nghỉ tuần",N($G139),0))</f>
        <v/>
      </c>
      <c r="L139" s="108">
        <f>IF($B139="","",IF($E139="Lễ",N($G139),0))</f>
        <v/>
      </c>
      <c r="M139" s="108">
        <f>IF($B139="","",IF($E139="Ngày thường",N($H139),0))</f>
        <v/>
      </c>
      <c r="N139" s="108">
        <f>IF($B139="","",IF($E139="Nghỉ tuần",N($H139),0))</f>
        <v/>
      </c>
      <c r="O139" s="108">
        <f>IF($B139="","",IF($E139="Lễ",N($H139),0))</f>
        <v/>
      </c>
    </row>
    <row r="140" ht="15" customHeight="1" s="63">
      <c r="A140" s="85">
        <f>IF($B140="","",ROW()-5)</f>
        <v/>
      </c>
      <c r="B140" s="97" t="n"/>
      <c r="C140" s="96">
        <f>IF($B140="","",IFERROR(INDEX(DM_NHAN_SU!$C$6:$C$155,MATCH($B140,DM_NHAN_SU!$B$6:$B$155,0)),"SAI MÃ NV"))</f>
        <v/>
      </c>
      <c r="D140" s="86" t="n"/>
      <c r="E140" s="103">
        <f>IF(OR($B140="",$D140=""),"",IF(COUNTIF(THAM_SO_CC!$F$10:$F$40,$D140)&gt;0,"Lễ",IF(IF(THAM_SO_CC!$B$12="T7+CN",WEEKDAY($D140,2)&gt;=6,WEEKDAY($D140,2)=7),"Nghỉ tuần","Ngày thường")))</f>
        <v/>
      </c>
      <c r="F140" s="107" t="n"/>
      <c r="G140" s="107" t="n"/>
      <c r="H140" s="107" t="n"/>
      <c r="I140" s="81" t="n"/>
      <c r="J140" s="108">
        <f>IF($B140="","",IF($E140="Ngày thường",N($G140),0))</f>
        <v/>
      </c>
      <c r="K140" s="108">
        <f>IF($B140="","",IF($E140="Nghỉ tuần",N($G140),0))</f>
        <v/>
      </c>
      <c r="L140" s="108">
        <f>IF($B140="","",IF($E140="Lễ",N($G140),0))</f>
        <v/>
      </c>
      <c r="M140" s="108">
        <f>IF($B140="","",IF($E140="Ngày thường",N($H140),0))</f>
        <v/>
      </c>
      <c r="N140" s="108">
        <f>IF($B140="","",IF($E140="Nghỉ tuần",N($H140),0))</f>
        <v/>
      </c>
      <c r="O140" s="108">
        <f>IF($B140="","",IF($E140="Lễ",N($H140),0))</f>
        <v/>
      </c>
    </row>
    <row r="141" ht="15" customHeight="1" s="63">
      <c r="A141" s="85">
        <f>IF($B141="","",ROW()-5)</f>
        <v/>
      </c>
      <c r="B141" s="97" t="n"/>
      <c r="C141" s="96">
        <f>IF($B141="","",IFERROR(INDEX(DM_NHAN_SU!$C$6:$C$155,MATCH($B141,DM_NHAN_SU!$B$6:$B$155,0)),"SAI MÃ NV"))</f>
        <v/>
      </c>
      <c r="D141" s="86" t="n"/>
      <c r="E141" s="103">
        <f>IF(OR($B141="",$D141=""),"",IF(COUNTIF(THAM_SO_CC!$F$10:$F$40,$D141)&gt;0,"Lễ",IF(IF(THAM_SO_CC!$B$12="T7+CN",WEEKDAY($D141,2)&gt;=6,WEEKDAY($D141,2)=7),"Nghỉ tuần","Ngày thường")))</f>
        <v/>
      </c>
      <c r="F141" s="107" t="n"/>
      <c r="G141" s="107" t="n"/>
      <c r="H141" s="107" t="n"/>
      <c r="I141" s="81" t="n"/>
      <c r="J141" s="108">
        <f>IF($B141="","",IF($E141="Ngày thường",N($G141),0))</f>
        <v/>
      </c>
      <c r="K141" s="108">
        <f>IF($B141="","",IF($E141="Nghỉ tuần",N($G141),0))</f>
        <v/>
      </c>
      <c r="L141" s="108">
        <f>IF($B141="","",IF($E141="Lễ",N($G141),0))</f>
        <v/>
      </c>
      <c r="M141" s="108">
        <f>IF($B141="","",IF($E141="Ngày thường",N($H141),0))</f>
        <v/>
      </c>
      <c r="N141" s="108">
        <f>IF($B141="","",IF($E141="Nghỉ tuần",N($H141),0))</f>
        <v/>
      </c>
      <c r="O141" s="108">
        <f>IF($B141="","",IF($E141="Lễ",N($H141),0))</f>
        <v/>
      </c>
    </row>
    <row r="142" ht="15" customHeight="1" s="63">
      <c r="A142" s="85">
        <f>IF($B142="","",ROW()-5)</f>
        <v/>
      </c>
      <c r="B142" s="97" t="n"/>
      <c r="C142" s="96">
        <f>IF($B142="","",IFERROR(INDEX(DM_NHAN_SU!$C$6:$C$155,MATCH($B142,DM_NHAN_SU!$B$6:$B$155,0)),"SAI MÃ NV"))</f>
        <v/>
      </c>
      <c r="D142" s="86" t="n"/>
      <c r="E142" s="103">
        <f>IF(OR($B142="",$D142=""),"",IF(COUNTIF(THAM_SO_CC!$F$10:$F$40,$D142)&gt;0,"Lễ",IF(IF(THAM_SO_CC!$B$12="T7+CN",WEEKDAY($D142,2)&gt;=6,WEEKDAY($D142,2)=7),"Nghỉ tuần","Ngày thường")))</f>
        <v/>
      </c>
      <c r="F142" s="107" t="n"/>
      <c r="G142" s="107" t="n"/>
      <c r="H142" s="107" t="n"/>
      <c r="I142" s="81" t="n"/>
      <c r="J142" s="108">
        <f>IF($B142="","",IF($E142="Ngày thường",N($G142),0))</f>
        <v/>
      </c>
      <c r="K142" s="108">
        <f>IF($B142="","",IF($E142="Nghỉ tuần",N($G142),0))</f>
        <v/>
      </c>
      <c r="L142" s="108">
        <f>IF($B142="","",IF($E142="Lễ",N($G142),0))</f>
        <v/>
      </c>
      <c r="M142" s="108">
        <f>IF($B142="","",IF($E142="Ngày thường",N($H142),0))</f>
        <v/>
      </c>
      <c r="N142" s="108">
        <f>IF($B142="","",IF($E142="Nghỉ tuần",N($H142),0))</f>
        <v/>
      </c>
      <c r="O142" s="108">
        <f>IF($B142="","",IF($E142="Lễ",N($H142),0))</f>
        <v/>
      </c>
    </row>
    <row r="143" ht="15" customHeight="1" s="63">
      <c r="A143" s="85">
        <f>IF($B143="","",ROW()-5)</f>
        <v/>
      </c>
      <c r="B143" s="97" t="n"/>
      <c r="C143" s="96">
        <f>IF($B143="","",IFERROR(INDEX(DM_NHAN_SU!$C$6:$C$155,MATCH($B143,DM_NHAN_SU!$B$6:$B$155,0)),"SAI MÃ NV"))</f>
        <v/>
      </c>
      <c r="D143" s="86" t="n"/>
      <c r="E143" s="103">
        <f>IF(OR($B143="",$D143=""),"",IF(COUNTIF(THAM_SO_CC!$F$10:$F$40,$D143)&gt;0,"Lễ",IF(IF(THAM_SO_CC!$B$12="T7+CN",WEEKDAY($D143,2)&gt;=6,WEEKDAY($D143,2)=7),"Nghỉ tuần","Ngày thường")))</f>
        <v/>
      </c>
      <c r="F143" s="107" t="n"/>
      <c r="G143" s="107" t="n"/>
      <c r="H143" s="107" t="n"/>
      <c r="I143" s="81" t="n"/>
      <c r="J143" s="108">
        <f>IF($B143="","",IF($E143="Ngày thường",N($G143),0))</f>
        <v/>
      </c>
      <c r="K143" s="108">
        <f>IF($B143="","",IF($E143="Nghỉ tuần",N($G143),0))</f>
        <v/>
      </c>
      <c r="L143" s="108">
        <f>IF($B143="","",IF($E143="Lễ",N($G143),0))</f>
        <v/>
      </c>
      <c r="M143" s="108">
        <f>IF($B143="","",IF($E143="Ngày thường",N($H143),0))</f>
        <v/>
      </c>
      <c r="N143" s="108">
        <f>IF($B143="","",IF($E143="Nghỉ tuần",N($H143),0))</f>
        <v/>
      </c>
      <c r="O143" s="108">
        <f>IF($B143="","",IF($E143="Lễ",N($H143),0))</f>
        <v/>
      </c>
    </row>
    <row r="144" ht="15" customHeight="1" s="63">
      <c r="A144" s="85">
        <f>IF($B144="","",ROW()-5)</f>
        <v/>
      </c>
      <c r="B144" s="97" t="n"/>
      <c r="C144" s="96">
        <f>IF($B144="","",IFERROR(INDEX(DM_NHAN_SU!$C$6:$C$155,MATCH($B144,DM_NHAN_SU!$B$6:$B$155,0)),"SAI MÃ NV"))</f>
        <v/>
      </c>
      <c r="D144" s="86" t="n"/>
      <c r="E144" s="103">
        <f>IF(OR($B144="",$D144=""),"",IF(COUNTIF(THAM_SO_CC!$F$10:$F$40,$D144)&gt;0,"Lễ",IF(IF(THAM_SO_CC!$B$12="T7+CN",WEEKDAY($D144,2)&gt;=6,WEEKDAY($D144,2)=7),"Nghỉ tuần","Ngày thường")))</f>
        <v/>
      </c>
      <c r="F144" s="107" t="n"/>
      <c r="G144" s="107" t="n"/>
      <c r="H144" s="107" t="n"/>
      <c r="I144" s="81" t="n"/>
      <c r="J144" s="108">
        <f>IF($B144="","",IF($E144="Ngày thường",N($G144),0))</f>
        <v/>
      </c>
      <c r="K144" s="108">
        <f>IF($B144="","",IF($E144="Nghỉ tuần",N($G144),0))</f>
        <v/>
      </c>
      <c r="L144" s="108">
        <f>IF($B144="","",IF($E144="Lễ",N($G144),0))</f>
        <v/>
      </c>
      <c r="M144" s="108">
        <f>IF($B144="","",IF($E144="Ngày thường",N($H144),0))</f>
        <v/>
      </c>
      <c r="N144" s="108">
        <f>IF($B144="","",IF($E144="Nghỉ tuần",N($H144),0))</f>
        <v/>
      </c>
      <c r="O144" s="108">
        <f>IF($B144="","",IF($E144="Lễ",N($H144),0))</f>
        <v/>
      </c>
    </row>
    <row r="145" ht="15" customHeight="1" s="63">
      <c r="A145" s="85">
        <f>IF($B145="","",ROW()-5)</f>
        <v/>
      </c>
      <c r="B145" s="97" t="n"/>
      <c r="C145" s="96">
        <f>IF($B145="","",IFERROR(INDEX(DM_NHAN_SU!$C$6:$C$155,MATCH($B145,DM_NHAN_SU!$B$6:$B$155,0)),"SAI MÃ NV"))</f>
        <v/>
      </c>
      <c r="D145" s="86" t="n"/>
      <c r="E145" s="103">
        <f>IF(OR($B145="",$D145=""),"",IF(COUNTIF(THAM_SO_CC!$F$10:$F$40,$D145)&gt;0,"Lễ",IF(IF(THAM_SO_CC!$B$12="T7+CN",WEEKDAY($D145,2)&gt;=6,WEEKDAY($D145,2)=7),"Nghỉ tuần","Ngày thường")))</f>
        <v/>
      </c>
      <c r="F145" s="107" t="n"/>
      <c r="G145" s="107" t="n"/>
      <c r="H145" s="107" t="n"/>
      <c r="I145" s="81" t="n"/>
      <c r="J145" s="108">
        <f>IF($B145="","",IF($E145="Ngày thường",N($G145),0))</f>
        <v/>
      </c>
      <c r="K145" s="108">
        <f>IF($B145="","",IF($E145="Nghỉ tuần",N($G145),0))</f>
        <v/>
      </c>
      <c r="L145" s="108">
        <f>IF($B145="","",IF($E145="Lễ",N($G145),0))</f>
        <v/>
      </c>
      <c r="M145" s="108">
        <f>IF($B145="","",IF($E145="Ngày thường",N($H145),0))</f>
        <v/>
      </c>
      <c r="N145" s="108">
        <f>IF($B145="","",IF($E145="Nghỉ tuần",N($H145),0))</f>
        <v/>
      </c>
      <c r="O145" s="108">
        <f>IF($B145="","",IF($E145="Lễ",N($H145),0))</f>
        <v/>
      </c>
    </row>
    <row r="146" ht="15" customHeight="1" s="63">
      <c r="A146" s="85">
        <f>IF($B146="","",ROW()-5)</f>
        <v/>
      </c>
      <c r="B146" s="97" t="n"/>
      <c r="C146" s="96">
        <f>IF($B146="","",IFERROR(INDEX(DM_NHAN_SU!$C$6:$C$155,MATCH($B146,DM_NHAN_SU!$B$6:$B$155,0)),"SAI MÃ NV"))</f>
        <v/>
      </c>
      <c r="D146" s="86" t="n"/>
      <c r="E146" s="103">
        <f>IF(OR($B146="",$D146=""),"",IF(COUNTIF(THAM_SO_CC!$F$10:$F$40,$D146)&gt;0,"Lễ",IF(IF(THAM_SO_CC!$B$12="T7+CN",WEEKDAY($D146,2)&gt;=6,WEEKDAY($D146,2)=7),"Nghỉ tuần","Ngày thường")))</f>
        <v/>
      </c>
      <c r="F146" s="107" t="n"/>
      <c r="G146" s="107" t="n"/>
      <c r="H146" s="107" t="n"/>
      <c r="I146" s="81" t="n"/>
      <c r="J146" s="108">
        <f>IF($B146="","",IF($E146="Ngày thường",N($G146),0))</f>
        <v/>
      </c>
      <c r="K146" s="108">
        <f>IF($B146="","",IF($E146="Nghỉ tuần",N($G146),0))</f>
        <v/>
      </c>
      <c r="L146" s="108">
        <f>IF($B146="","",IF($E146="Lễ",N($G146),0))</f>
        <v/>
      </c>
      <c r="M146" s="108">
        <f>IF($B146="","",IF($E146="Ngày thường",N($H146),0))</f>
        <v/>
      </c>
      <c r="N146" s="108">
        <f>IF($B146="","",IF($E146="Nghỉ tuần",N($H146),0))</f>
        <v/>
      </c>
      <c r="O146" s="108">
        <f>IF($B146="","",IF($E146="Lễ",N($H146),0))</f>
        <v/>
      </c>
    </row>
    <row r="147" ht="15" customHeight="1" s="63">
      <c r="A147" s="85">
        <f>IF($B147="","",ROW()-5)</f>
        <v/>
      </c>
      <c r="B147" s="97" t="n"/>
      <c r="C147" s="96">
        <f>IF($B147="","",IFERROR(INDEX(DM_NHAN_SU!$C$6:$C$155,MATCH($B147,DM_NHAN_SU!$B$6:$B$155,0)),"SAI MÃ NV"))</f>
        <v/>
      </c>
      <c r="D147" s="86" t="n"/>
      <c r="E147" s="103">
        <f>IF(OR($B147="",$D147=""),"",IF(COUNTIF(THAM_SO_CC!$F$10:$F$40,$D147)&gt;0,"Lễ",IF(IF(THAM_SO_CC!$B$12="T7+CN",WEEKDAY($D147,2)&gt;=6,WEEKDAY($D147,2)=7),"Nghỉ tuần","Ngày thường")))</f>
        <v/>
      </c>
      <c r="F147" s="107" t="n"/>
      <c r="G147" s="107" t="n"/>
      <c r="H147" s="107" t="n"/>
      <c r="I147" s="81" t="n"/>
      <c r="J147" s="108">
        <f>IF($B147="","",IF($E147="Ngày thường",N($G147),0))</f>
        <v/>
      </c>
      <c r="K147" s="108">
        <f>IF($B147="","",IF($E147="Nghỉ tuần",N($G147),0))</f>
        <v/>
      </c>
      <c r="L147" s="108">
        <f>IF($B147="","",IF($E147="Lễ",N($G147),0))</f>
        <v/>
      </c>
      <c r="M147" s="108">
        <f>IF($B147="","",IF($E147="Ngày thường",N($H147),0))</f>
        <v/>
      </c>
      <c r="N147" s="108">
        <f>IF($B147="","",IF($E147="Nghỉ tuần",N($H147),0))</f>
        <v/>
      </c>
      <c r="O147" s="108">
        <f>IF($B147="","",IF($E147="Lễ",N($H147),0))</f>
        <v/>
      </c>
    </row>
    <row r="148" ht="15" customHeight="1" s="63">
      <c r="A148" s="85">
        <f>IF($B148="","",ROW()-5)</f>
        <v/>
      </c>
      <c r="B148" s="97" t="n"/>
      <c r="C148" s="96">
        <f>IF($B148="","",IFERROR(INDEX(DM_NHAN_SU!$C$6:$C$155,MATCH($B148,DM_NHAN_SU!$B$6:$B$155,0)),"SAI MÃ NV"))</f>
        <v/>
      </c>
      <c r="D148" s="86" t="n"/>
      <c r="E148" s="103">
        <f>IF(OR($B148="",$D148=""),"",IF(COUNTIF(THAM_SO_CC!$F$10:$F$40,$D148)&gt;0,"Lễ",IF(IF(THAM_SO_CC!$B$12="T7+CN",WEEKDAY($D148,2)&gt;=6,WEEKDAY($D148,2)=7),"Nghỉ tuần","Ngày thường")))</f>
        <v/>
      </c>
      <c r="F148" s="107" t="n"/>
      <c r="G148" s="107" t="n"/>
      <c r="H148" s="107" t="n"/>
      <c r="I148" s="81" t="n"/>
      <c r="J148" s="108">
        <f>IF($B148="","",IF($E148="Ngày thường",N($G148),0))</f>
        <v/>
      </c>
      <c r="K148" s="108">
        <f>IF($B148="","",IF($E148="Nghỉ tuần",N($G148),0))</f>
        <v/>
      </c>
      <c r="L148" s="108">
        <f>IF($B148="","",IF($E148="Lễ",N($G148),0))</f>
        <v/>
      </c>
      <c r="M148" s="108">
        <f>IF($B148="","",IF($E148="Ngày thường",N($H148),0))</f>
        <v/>
      </c>
      <c r="N148" s="108">
        <f>IF($B148="","",IF($E148="Nghỉ tuần",N($H148),0))</f>
        <v/>
      </c>
      <c r="O148" s="108">
        <f>IF($B148="","",IF($E148="Lễ",N($H148),0))</f>
        <v/>
      </c>
    </row>
    <row r="149" ht="15" customHeight="1" s="63">
      <c r="A149" s="85">
        <f>IF($B149="","",ROW()-5)</f>
        <v/>
      </c>
      <c r="B149" s="97" t="n"/>
      <c r="C149" s="96">
        <f>IF($B149="","",IFERROR(INDEX(DM_NHAN_SU!$C$6:$C$155,MATCH($B149,DM_NHAN_SU!$B$6:$B$155,0)),"SAI MÃ NV"))</f>
        <v/>
      </c>
      <c r="D149" s="86" t="n"/>
      <c r="E149" s="103">
        <f>IF(OR($B149="",$D149=""),"",IF(COUNTIF(THAM_SO_CC!$F$10:$F$40,$D149)&gt;0,"Lễ",IF(IF(THAM_SO_CC!$B$12="T7+CN",WEEKDAY($D149,2)&gt;=6,WEEKDAY($D149,2)=7),"Nghỉ tuần","Ngày thường")))</f>
        <v/>
      </c>
      <c r="F149" s="107" t="n"/>
      <c r="G149" s="107" t="n"/>
      <c r="H149" s="107" t="n"/>
      <c r="I149" s="81" t="n"/>
      <c r="J149" s="108">
        <f>IF($B149="","",IF($E149="Ngày thường",N($G149),0))</f>
        <v/>
      </c>
      <c r="K149" s="108">
        <f>IF($B149="","",IF($E149="Nghỉ tuần",N($G149),0))</f>
        <v/>
      </c>
      <c r="L149" s="108">
        <f>IF($B149="","",IF($E149="Lễ",N($G149),0))</f>
        <v/>
      </c>
      <c r="M149" s="108">
        <f>IF($B149="","",IF($E149="Ngày thường",N($H149),0))</f>
        <v/>
      </c>
      <c r="N149" s="108">
        <f>IF($B149="","",IF($E149="Nghỉ tuần",N($H149),0))</f>
        <v/>
      </c>
      <c r="O149" s="108">
        <f>IF($B149="","",IF($E149="Lễ",N($H149),0))</f>
        <v/>
      </c>
    </row>
    <row r="150" ht="15" customHeight="1" s="63">
      <c r="A150" s="85">
        <f>IF($B150="","",ROW()-5)</f>
        <v/>
      </c>
      <c r="B150" s="97" t="n"/>
      <c r="C150" s="96">
        <f>IF($B150="","",IFERROR(INDEX(DM_NHAN_SU!$C$6:$C$155,MATCH($B150,DM_NHAN_SU!$B$6:$B$155,0)),"SAI MÃ NV"))</f>
        <v/>
      </c>
      <c r="D150" s="86" t="n"/>
      <c r="E150" s="103">
        <f>IF(OR($B150="",$D150=""),"",IF(COUNTIF(THAM_SO_CC!$F$10:$F$40,$D150)&gt;0,"Lễ",IF(IF(THAM_SO_CC!$B$12="T7+CN",WEEKDAY($D150,2)&gt;=6,WEEKDAY($D150,2)=7),"Nghỉ tuần","Ngày thường")))</f>
        <v/>
      </c>
      <c r="F150" s="107" t="n"/>
      <c r="G150" s="107" t="n"/>
      <c r="H150" s="107" t="n"/>
      <c r="I150" s="81" t="n"/>
      <c r="J150" s="108">
        <f>IF($B150="","",IF($E150="Ngày thường",N($G150),0))</f>
        <v/>
      </c>
      <c r="K150" s="108">
        <f>IF($B150="","",IF($E150="Nghỉ tuần",N($G150),0))</f>
        <v/>
      </c>
      <c r="L150" s="108">
        <f>IF($B150="","",IF($E150="Lễ",N($G150),0))</f>
        <v/>
      </c>
      <c r="M150" s="108">
        <f>IF($B150="","",IF($E150="Ngày thường",N($H150),0))</f>
        <v/>
      </c>
      <c r="N150" s="108">
        <f>IF($B150="","",IF($E150="Nghỉ tuần",N($H150),0))</f>
        <v/>
      </c>
      <c r="O150" s="108">
        <f>IF($B150="","",IF($E150="Lễ",N($H150),0))</f>
        <v/>
      </c>
    </row>
    <row r="151" ht="15" customHeight="1" s="63">
      <c r="A151" s="85">
        <f>IF($B151="","",ROW()-5)</f>
        <v/>
      </c>
      <c r="B151" s="97" t="n"/>
      <c r="C151" s="96">
        <f>IF($B151="","",IFERROR(INDEX(DM_NHAN_SU!$C$6:$C$155,MATCH($B151,DM_NHAN_SU!$B$6:$B$155,0)),"SAI MÃ NV"))</f>
        <v/>
      </c>
      <c r="D151" s="86" t="n"/>
      <c r="E151" s="103">
        <f>IF(OR($B151="",$D151=""),"",IF(COUNTIF(THAM_SO_CC!$F$10:$F$40,$D151)&gt;0,"Lễ",IF(IF(THAM_SO_CC!$B$12="T7+CN",WEEKDAY($D151,2)&gt;=6,WEEKDAY($D151,2)=7),"Nghỉ tuần","Ngày thường")))</f>
        <v/>
      </c>
      <c r="F151" s="107" t="n"/>
      <c r="G151" s="107" t="n"/>
      <c r="H151" s="107" t="n"/>
      <c r="I151" s="81" t="n"/>
      <c r="J151" s="108">
        <f>IF($B151="","",IF($E151="Ngày thường",N($G151),0))</f>
        <v/>
      </c>
      <c r="K151" s="108">
        <f>IF($B151="","",IF($E151="Nghỉ tuần",N($G151),0))</f>
        <v/>
      </c>
      <c r="L151" s="108">
        <f>IF($B151="","",IF($E151="Lễ",N($G151),0))</f>
        <v/>
      </c>
      <c r="M151" s="108">
        <f>IF($B151="","",IF($E151="Ngày thường",N($H151),0))</f>
        <v/>
      </c>
      <c r="N151" s="108">
        <f>IF($B151="","",IF($E151="Nghỉ tuần",N($H151),0))</f>
        <v/>
      </c>
      <c r="O151" s="108">
        <f>IF($B151="","",IF($E151="Lễ",N($H151),0))</f>
        <v/>
      </c>
    </row>
    <row r="152" ht="15" customHeight="1" s="63">
      <c r="A152" s="85">
        <f>IF($B152="","",ROW()-5)</f>
        <v/>
      </c>
      <c r="B152" s="97" t="n"/>
      <c r="C152" s="96">
        <f>IF($B152="","",IFERROR(INDEX(DM_NHAN_SU!$C$6:$C$155,MATCH($B152,DM_NHAN_SU!$B$6:$B$155,0)),"SAI MÃ NV"))</f>
        <v/>
      </c>
      <c r="D152" s="86" t="n"/>
      <c r="E152" s="103">
        <f>IF(OR($B152="",$D152=""),"",IF(COUNTIF(THAM_SO_CC!$F$10:$F$40,$D152)&gt;0,"Lễ",IF(IF(THAM_SO_CC!$B$12="T7+CN",WEEKDAY($D152,2)&gt;=6,WEEKDAY($D152,2)=7),"Nghỉ tuần","Ngày thường")))</f>
        <v/>
      </c>
      <c r="F152" s="107" t="n"/>
      <c r="G152" s="107" t="n"/>
      <c r="H152" s="107" t="n"/>
      <c r="I152" s="81" t="n"/>
      <c r="J152" s="108">
        <f>IF($B152="","",IF($E152="Ngày thường",N($G152),0))</f>
        <v/>
      </c>
      <c r="K152" s="108">
        <f>IF($B152="","",IF($E152="Nghỉ tuần",N($G152),0))</f>
        <v/>
      </c>
      <c r="L152" s="108">
        <f>IF($B152="","",IF($E152="Lễ",N($G152),0))</f>
        <v/>
      </c>
      <c r="M152" s="108">
        <f>IF($B152="","",IF($E152="Ngày thường",N($H152),0))</f>
        <v/>
      </c>
      <c r="N152" s="108">
        <f>IF($B152="","",IF($E152="Nghỉ tuần",N($H152),0))</f>
        <v/>
      </c>
      <c r="O152" s="108">
        <f>IF($B152="","",IF($E152="Lễ",N($H152),0))</f>
        <v/>
      </c>
    </row>
    <row r="153" ht="15" customHeight="1" s="63">
      <c r="A153" s="85">
        <f>IF($B153="","",ROW()-5)</f>
        <v/>
      </c>
      <c r="B153" s="97" t="n"/>
      <c r="C153" s="96">
        <f>IF($B153="","",IFERROR(INDEX(DM_NHAN_SU!$C$6:$C$155,MATCH($B153,DM_NHAN_SU!$B$6:$B$155,0)),"SAI MÃ NV"))</f>
        <v/>
      </c>
      <c r="D153" s="86" t="n"/>
      <c r="E153" s="103">
        <f>IF(OR($B153="",$D153=""),"",IF(COUNTIF(THAM_SO_CC!$F$10:$F$40,$D153)&gt;0,"Lễ",IF(IF(THAM_SO_CC!$B$12="T7+CN",WEEKDAY($D153,2)&gt;=6,WEEKDAY($D153,2)=7),"Nghỉ tuần","Ngày thường")))</f>
        <v/>
      </c>
      <c r="F153" s="107" t="n"/>
      <c r="G153" s="107" t="n"/>
      <c r="H153" s="107" t="n"/>
      <c r="I153" s="81" t="n"/>
      <c r="J153" s="108">
        <f>IF($B153="","",IF($E153="Ngày thường",N($G153),0))</f>
        <v/>
      </c>
      <c r="K153" s="108">
        <f>IF($B153="","",IF($E153="Nghỉ tuần",N($G153),0))</f>
        <v/>
      </c>
      <c r="L153" s="108">
        <f>IF($B153="","",IF($E153="Lễ",N($G153),0))</f>
        <v/>
      </c>
      <c r="M153" s="108">
        <f>IF($B153="","",IF($E153="Ngày thường",N($H153),0))</f>
        <v/>
      </c>
      <c r="N153" s="108">
        <f>IF($B153="","",IF($E153="Nghỉ tuần",N($H153),0))</f>
        <v/>
      </c>
      <c r="O153" s="108">
        <f>IF($B153="","",IF($E153="Lễ",N($H153),0))</f>
        <v/>
      </c>
    </row>
    <row r="154" ht="15" customHeight="1" s="63">
      <c r="A154" s="85">
        <f>IF($B154="","",ROW()-5)</f>
        <v/>
      </c>
      <c r="B154" s="97" t="n"/>
      <c r="C154" s="96">
        <f>IF($B154="","",IFERROR(INDEX(DM_NHAN_SU!$C$6:$C$155,MATCH($B154,DM_NHAN_SU!$B$6:$B$155,0)),"SAI MÃ NV"))</f>
        <v/>
      </c>
      <c r="D154" s="86" t="n"/>
      <c r="E154" s="103">
        <f>IF(OR($B154="",$D154=""),"",IF(COUNTIF(THAM_SO_CC!$F$10:$F$40,$D154)&gt;0,"Lễ",IF(IF(THAM_SO_CC!$B$12="T7+CN",WEEKDAY($D154,2)&gt;=6,WEEKDAY($D154,2)=7),"Nghỉ tuần","Ngày thường")))</f>
        <v/>
      </c>
      <c r="F154" s="107" t="n"/>
      <c r="G154" s="107" t="n"/>
      <c r="H154" s="107" t="n"/>
      <c r="I154" s="81" t="n"/>
      <c r="J154" s="108">
        <f>IF($B154="","",IF($E154="Ngày thường",N($G154),0))</f>
        <v/>
      </c>
      <c r="K154" s="108">
        <f>IF($B154="","",IF($E154="Nghỉ tuần",N($G154),0))</f>
        <v/>
      </c>
      <c r="L154" s="108">
        <f>IF($B154="","",IF($E154="Lễ",N($G154),0))</f>
        <v/>
      </c>
      <c r="M154" s="108">
        <f>IF($B154="","",IF($E154="Ngày thường",N($H154),0))</f>
        <v/>
      </c>
      <c r="N154" s="108">
        <f>IF($B154="","",IF($E154="Nghỉ tuần",N($H154),0))</f>
        <v/>
      </c>
      <c r="O154" s="108">
        <f>IF($B154="","",IF($E154="Lễ",N($H154),0))</f>
        <v/>
      </c>
    </row>
    <row r="155" ht="15" customHeight="1" s="63">
      <c r="A155" s="85">
        <f>IF($B155="","",ROW()-5)</f>
        <v/>
      </c>
      <c r="B155" s="97" t="n"/>
      <c r="C155" s="96">
        <f>IF($B155="","",IFERROR(INDEX(DM_NHAN_SU!$C$6:$C$155,MATCH($B155,DM_NHAN_SU!$B$6:$B$155,0)),"SAI MÃ NV"))</f>
        <v/>
      </c>
      <c r="D155" s="86" t="n"/>
      <c r="E155" s="103">
        <f>IF(OR($B155="",$D155=""),"",IF(COUNTIF(THAM_SO_CC!$F$10:$F$40,$D155)&gt;0,"Lễ",IF(IF(THAM_SO_CC!$B$12="T7+CN",WEEKDAY($D155,2)&gt;=6,WEEKDAY($D155,2)=7),"Nghỉ tuần","Ngày thường")))</f>
        <v/>
      </c>
      <c r="F155" s="107" t="n"/>
      <c r="G155" s="107" t="n"/>
      <c r="H155" s="107" t="n"/>
      <c r="I155" s="81" t="n"/>
      <c r="J155" s="108">
        <f>IF($B155="","",IF($E155="Ngày thường",N($G155),0))</f>
        <v/>
      </c>
      <c r="K155" s="108">
        <f>IF($B155="","",IF($E155="Nghỉ tuần",N($G155),0))</f>
        <v/>
      </c>
      <c r="L155" s="108">
        <f>IF($B155="","",IF($E155="Lễ",N($G155),0))</f>
        <v/>
      </c>
      <c r="M155" s="108">
        <f>IF($B155="","",IF($E155="Ngày thường",N($H155),0))</f>
        <v/>
      </c>
      <c r="N155" s="108">
        <f>IF($B155="","",IF($E155="Nghỉ tuần",N($H155),0))</f>
        <v/>
      </c>
      <c r="O155" s="108">
        <f>IF($B155="","",IF($E155="Lễ",N($H155),0))</f>
        <v/>
      </c>
    </row>
    <row r="156" ht="15" customHeight="1" s="63">
      <c r="A156" s="85">
        <f>IF($B156="","",ROW()-5)</f>
        <v/>
      </c>
      <c r="B156" s="97" t="n"/>
      <c r="C156" s="96">
        <f>IF($B156="","",IFERROR(INDEX(DM_NHAN_SU!$C$6:$C$155,MATCH($B156,DM_NHAN_SU!$B$6:$B$155,0)),"SAI MÃ NV"))</f>
        <v/>
      </c>
      <c r="D156" s="86" t="n"/>
      <c r="E156" s="103">
        <f>IF(OR($B156="",$D156=""),"",IF(COUNTIF(THAM_SO_CC!$F$10:$F$40,$D156)&gt;0,"Lễ",IF(IF(THAM_SO_CC!$B$12="T7+CN",WEEKDAY($D156,2)&gt;=6,WEEKDAY($D156,2)=7),"Nghỉ tuần","Ngày thường")))</f>
        <v/>
      </c>
      <c r="F156" s="107" t="n"/>
      <c r="G156" s="107" t="n"/>
      <c r="H156" s="107" t="n"/>
      <c r="I156" s="81" t="n"/>
      <c r="J156" s="108">
        <f>IF($B156="","",IF($E156="Ngày thường",N($G156),0))</f>
        <v/>
      </c>
      <c r="K156" s="108">
        <f>IF($B156="","",IF($E156="Nghỉ tuần",N($G156),0))</f>
        <v/>
      </c>
      <c r="L156" s="108">
        <f>IF($B156="","",IF($E156="Lễ",N($G156),0))</f>
        <v/>
      </c>
      <c r="M156" s="108">
        <f>IF($B156="","",IF($E156="Ngày thường",N($H156),0))</f>
        <v/>
      </c>
      <c r="N156" s="108">
        <f>IF($B156="","",IF($E156="Nghỉ tuần",N($H156),0))</f>
        <v/>
      </c>
      <c r="O156" s="108">
        <f>IF($B156="","",IF($E156="Lễ",N($H156),0))</f>
        <v/>
      </c>
    </row>
    <row r="157" ht="15" customHeight="1" s="63">
      <c r="A157" s="85">
        <f>IF($B157="","",ROW()-5)</f>
        <v/>
      </c>
      <c r="B157" s="97" t="n"/>
      <c r="C157" s="96">
        <f>IF($B157="","",IFERROR(INDEX(DM_NHAN_SU!$C$6:$C$155,MATCH($B157,DM_NHAN_SU!$B$6:$B$155,0)),"SAI MÃ NV"))</f>
        <v/>
      </c>
      <c r="D157" s="86" t="n"/>
      <c r="E157" s="103">
        <f>IF(OR($B157="",$D157=""),"",IF(COUNTIF(THAM_SO_CC!$F$10:$F$40,$D157)&gt;0,"Lễ",IF(IF(THAM_SO_CC!$B$12="T7+CN",WEEKDAY($D157,2)&gt;=6,WEEKDAY($D157,2)=7),"Nghỉ tuần","Ngày thường")))</f>
        <v/>
      </c>
      <c r="F157" s="107" t="n"/>
      <c r="G157" s="107" t="n"/>
      <c r="H157" s="107" t="n"/>
      <c r="I157" s="81" t="n"/>
      <c r="J157" s="108">
        <f>IF($B157="","",IF($E157="Ngày thường",N($G157),0))</f>
        <v/>
      </c>
      <c r="K157" s="108">
        <f>IF($B157="","",IF($E157="Nghỉ tuần",N($G157),0))</f>
        <v/>
      </c>
      <c r="L157" s="108">
        <f>IF($B157="","",IF($E157="Lễ",N($G157),0))</f>
        <v/>
      </c>
      <c r="M157" s="108">
        <f>IF($B157="","",IF($E157="Ngày thường",N($H157),0))</f>
        <v/>
      </c>
      <c r="N157" s="108">
        <f>IF($B157="","",IF($E157="Nghỉ tuần",N($H157),0))</f>
        <v/>
      </c>
      <c r="O157" s="108">
        <f>IF($B157="","",IF($E157="Lễ",N($H157),0))</f>
        <v/>
      </c>
    </row>
    <row r="158" ht="15" customHeight="1" s="63">
      <c r="A158" s="85">
        <f>IF($B158="","",ROW()-5)</f>
        <v/>
      </c>
      <c r="B158" s="97" t="n"/>
      <c r="C158" s="96">
        <f>IF($B158="","",IFERROR(INDEX(DM_NHAN_SU!$C$6:$C$155,MATCH($B158,DM_NHAN_SU!$B$6:$B$155,0)),"SAI MÃ NV"))</f>
        <v/>
      </c>
      <c r="D158" s="86" t="n"/>
      <c r="E158" s="103">
        <f>IF(OR($B158="",$D158=""),"",IF(COUNTIF(THAM_SO_CC!$F$10:$F$40,$D158)&gt;0,"Lễ",IF(IF(THAM_SO_CC!$B$12="T7+CN",WEEKDAY($D158,2)&gt;=6,WEEKDAY($D158,2)=7),"Nghỉ tuần","Ngày thường")))</f>
        <v/>
      </c>
      <c r="F158" s="107" t="n"/>
      <c r="G158" s="107" t="n"/>
      <c r="H158" s="107" t="n"/>
      <c r="I158" s="81" t="n"/>
      <c r="J158" s="108">
        <f>IF($B158="","",IF($E158="Ngày thường",N($G158),0))</f>
        <v/>
      </c>
      <c r="K158" s="108">
        <f>IF($B158="","",IF($E158="Nghỉ tuần",N($G158),0))</f>
        <v/>
      </c>
      <c r="L158" s="108">
        <f>IF($B158="","",IF($E158="Lễ",N($G158),0))</f>
        <v/>
      </c>
      <c r="M158" s="108">
        <f>IF($B158="","",IF($E158="Ngày thường",N($H158),0))</f>
        <v/>
      </c>
      <c r="N158" s="108">
        <f>IF($B158="","",IF($E158="Nghỉ tuần",N($H158),0))</f>
        <v/>
      </c>
      <c r="O158" s="108">
        <f>IF($B158="","",IF($E158="Lễ",N($H158),0))</f>
        <v/>
      </c>
    </row>
    <row r="159" ht="15" customHeight="1" s="63">
      <c r="A159" s="85">
        <f>IF($B159="","",ROW()-5)</f>
        <v/>
      </c>
      <c r="B159" s="97" t="n"/>
      <c r="C159" s="96">
        <f>IF($B159="","",IFERROR(INDEX(DM_NHAN_SU!$C$6:$C$155,MATCH($B159,DM_NHAN_SU!$B$6:$B$155,0)),"SAI MÃ NV"))</f>
        <v/>
      </c>
      <c r="D159" s="86" t="n"/>
      <c r="E159" s="103">
        <f>IF(OR($B159="",$D159=""),"",IF(COUNTIF(THAM_SO_CC!$F$10:$F$40,$D159)&gt;0,"Lễ",IF(IF(THAM_SO_CC!$B$12="T7+CN",WEEKDAY($D159,2)&gt;=6,WEEKDAY($D159,2)=7),"Nghỉ tuần","Ngày thường")))</f>
        <v/>
      </c>
      <c r="F159" s="107" t="n"/>
      <c r="G159" s="107" t="n"/>
      <c r="H159" s="107" t="n"/>
      <c r="I159" s="81" t="n"/>
      <c r="J159" s="108">
        <f>IF($B159="","",IF($E159="Ngày thường",N($G159),0))</f>
        <v/>
      </c>
      <c r="K159" s="108">
        <f>IF($B159="","",IF($E159="Nghỉ tuần",N($G159),0))</f>
        <v/>
      </c>
      <c r="L159" s="108">
        <f>IF($B159="","",IF($E159="Lễ",N($G159),0))</f>
        <v/>
      </c>
      <c r="M159" s="108">
        <f>IF($B159="","",IF($E159="Ngày thường",N($H159),0))</f>
        <v/>
      </c>
      <c r="N159" s="108">
        <f>IF($B159="","",IF($E159="Nghỉ tuần",N($H159),0))</f>
        <v/>
      </c>
      <c r="O159" s="108">
        <f>IF($B159="","",IF($E159="Lễ",N($H159),0))</f>
        <v/>
      </c>
    </row>
    <row r="160" ht="15" customHeight="1" s="63">
      <c r="A160" s="85">
        <f>IF($B160="","",ROW()-5)</f>
        <v/>
      </c>
      <c r="B160" s="97" t="n"/>
      <c r="C160" s="96">
        <f>IF($B160="","",IFERROR(INDEX(DM_NHAN_SU!$C$6:$C$155,MATCH($B160,DM_NHAN_SU!$B$6:$B$155,0)),"SAI MÃ NV"))</f>
        <v/>
      </c>
      <c r="D160" s="86" t="n"/>
      <c r="E160" s="103">
        <f>IF(OR($B160="",$D160=""),"",IF(COUNTIF(THAM_SO_CC!$F$10:$F$40,$D160)&gt;0,"Lễ",IF(IF(THAM_SO_CC!$B$12="T7+CN",WEEKDAY($D160,2)&gt;=6,WEEKDAY($D160,2)=7),"Nghỉ tuần","Ngày thường")))</f>
        <v/>
      </c>
      <c r="F160" s="107" t="n"/>
      <c r="G160" s="107" t="n"/>
      <c r="H160" s="107" t="n"/>
      <c r="I160" s="81" t="n"/>
      <c r="J160" s="108">
        <f>IF($B160="","",IF($E160="Ngày thường",N($G160),0))</f>
        <v/>
      </c>
      <c r="K160" s="108">
        <f>IF($B160="","",IF($E160="Nghỉ tuần",N($G160),0))</f>
        <v/>
      </c>
      <c r="L160" s="108">
        <f>IF($B160="","",IF($E160="Lễ",N($G160),0))</f>
        <v/>
      </c>
      <c r="M160" s="108">
        <f>IF($B160="","",IF($E160="Ngày thường",N($H160),0))</f>
        <v/>
      </c>
      <c r="N160" s="108">
        <f>IF($B160="","",IF($E160="Nghỉ tuần",N($H160),0))</f>
        <v/>
      </c>
      <c r="O160" s="108">
        <f>IF($B160="","",IF($E160="Lễ",N($H160),0))</f>
        <v/>
      </c>
    </row>
    <row r="161" ht="15" customHeight="1" s="63">
      <c r="A161" s="85">
        <f>IF($B161="","",ROW()-5)</f>
        <v/>
      </c>
      <c r="B161" s="97" t="n"/>
      <c r="C161" s="96">
        <f>IF($B161="","",IFERROR(INDEX(DM_NHAN_SU!$C$6:$C$155,MATCH($B161,DM_NHAN_SU!$B$6:$B$155,0)),"SAI MÃ NV"))</f>
        <v/>
      </c>
      <c r="D161" s="86" t="n"/>
      <c r="E161" s="103">
        <f>IF(OR($B161="",$D161=""),"",IF(COUNTIF(THAM_SO_CC!$F$10:$F$40,$D161)&gt;0,"Lễ",IF(IF(THAM_SO_CC!$B$12="T7+CN",WEEKDAY($D161,2)&gt;=6,WEEKDAY($D161,2)=7),"Nghỉ tuần","Ngày thường")))</f>
        <v/>
      </c>
      <c r="F161" s="107" t="n"/>
      <c r="G161" s="107" t="n"/>
      <c r="H161" s="107" t="n"/>
      <c r="I161" s="81" t="n"/>
      <c r="J161" s="108">
        <f>IF($B161="","",IF($E161="Ngày thường",N($G161),0))</f>
        <v/>
      </c>
      <c r="K161" s="108">
        <f>IF($B161="","",IF($E161="Nghỉ tuần",N($G161),0))</f>
        <v/>
      </c>
      <c r="L161" s="108">
        <f>IF($B161="","",IF($E161="Lễ",N($G161),0))</f>
        <v/>
      </c>
      <c r="M161" s="108">
        <f>IF($B161="","",IF($E161="Ngày thường",N($H161),0))</f>
        <v/>
      </c>
      <c r="N161" s="108">
        <f>IF($B161="","",IF($E161="Nghỉ tuần",N($H161),0))</f>
        <v/>
      </c>
      <c r="O161" s="108">
        <f>IF($B161="","",IF($E161="Lễ",N($H161),0))</f>
        <v/>
      </c>
    </row>
    <row r="162" ht="15" customHeight="1" s="63">
      <c r="A162" s="85">
        <f>IF($B162="","",ROW()-5)</f>
        <v/>
      </c>
      <c r="B162" s="97" t="n"/>
      <c r="C162" s="96">
        <f>IF($B162="","",IFERROR(INDEX(DM_NHAN_SU!$C$6:$C$155,MATCH($B162,DM_NHAN_SU!$B$6:$B$155,0)),"SAI MÃ NV"))</f>
        <v/>
      </c>
      <c r="D162" s="86" t="n"/>
      <c r="E162" s="103">
        <f>IF(OR($B162="",$D162=""),"",IF(COUNTIF(THAM_SO_CC!$F$10:$F$40,$D162)&gt;0,"Lễ",IF(IF(THAM_SO_CC!$B$12="T7+CN",WEEKDAY($D162,2)&gt;=6,WEEKDAY($D162,2)=7),"Nghỉ tuần","Ngày thường")))</f>
        <v/>
      </c>
      <c r="F162" s="107" t="n"/>
      <c r="G162" s="107" t="n"/>
      <c r="H162" s="107" t="n"/>
      <c r="I162" s="81" t="n"/>
      <c r="J162" s="108">
        <f>IF($B162="","",IF($E162="Ngày thường",N($G162),0))</f>
        <v/>
      </c>
      <c r="K162" s="108">
        <f>IF($B162="","",IF($E162="Nghỉ tuần",N($G162),0))</f>
        <v/>
      </c>
      <c r="L162" s="108">
        <f>IF($B162="","",IF($E162="Lễ",N($G162),0))</f>
        <v/>
      </c>
      <c r="M162" s="108">
        <f>IF($B162="","",IF($E162="Ngày thường",N($H162),0))</f>
        <v/>
      </c>
      <c r="N162" s="108">
        <f>IF($B162="","",IF($E162="Nghỉ tuần",N($H162),0))</f>
        <v/>
      </c>
      <c r="O162" s="108">
        <f>IF($B162="","",IF($E162="Lễ",N($H162),0))</f>
        <v/>
      </c>
    </row>
    <row r="163" ht="15" customHeight="1" s="63">
      <c r="A163" s="85">
        <f>IF($B163="","",ROW()-5)</f>
        <v/>
      </c>
      <c r="B163" s="97" t="n"/>
      <c r="C163" s="96">
        <f>IF($B163="","",IFERROR(INDEX(DM_NHAN_SU!$C$6:$C$155,MATCH($B163,DM_NHAN_SU!$B$6:$B$155,0)),"SAI MÃ NV"))</f>
        <v/>
      </c>
      <c r="D163" s="86" t="n"/>
      <c r="E163" s="103">
        <f>IF(OR($B163="",$D163=""),"",IF(COUNTIF(THAM_SO_CC!$F$10:$F$40,$D163)&gt;0,"Lễ",IF(IF(THAM_SO_CC!$B$12="T7+CN",WEEKDAY($D163,2)&gt;=6,WEEKDAY($D163,2)=7),"Nghỉ tuần","Ngày thường")))</f>
        <v/>
      </c>
      <c r="F163" s="107" t="n"/>
      <c r="G163" s="107" t="n"/>
      <c r="H163" s="107" t="n"/>
      <c r="I163" s="81" t="n"/>
      <c r="J163" s="108">
        <f>IF($B163="","",IF($E163="Ngày thường",N($G163),0))</f>
        <v/>
      </c>
      <c r="K163" s="108">
        <f>IF($B163="","",IF($E163="Nghỉ tuần",N($G163),0))</f>
        <v/>
      </c>
      <c r="L163" s="108">
        <f>IF($B163="","",IF($E163="Lễ",N($G163),0))</f>
        <v/>
      </c>
      <c r="M163" s="108">
        <f>IF($B163="","",IF($E163="Ngày thường",N($H163),0))</f>
        <v/>
      </c>
      <c r="N163" s="108">
        <f>IF($B163="","",IF($E163="Nghỉ tuần",N($H163),0))</f>
        <v/>
      </c>
      <c r="O163" s="108">
        <f>IF($B163="","",IF($E163="Lễ",N($H163),0))</f>
        <v/>
      </c>
    </row>
    <row r="164" ht="15" customHeight="1" s="63">
      <c r="A164" s="85">
        <f>IF($B164="","",ROW()-5)</f>
        <v/>
      </c>
      <c r="B164" s="97" t="n"/>
      <c r="C164" s="96">
        <f>IF($B164="","",IFERROR(INDEX(DM_NHAN_SU!$C$6:$C$155,MATCH($B164,DM_NHAN_SU!$B$6:$B$155,0)),"SAI MÃ NV"))</f>
        <v/>
      </c>
      <c r="D164" s="86" t="n"/>
      <c r="E164" s="103">
        <f>IF(OR($B164="",$D164=""),"",IF(COUNTIF(THAM_SO_CC!$F$10:$F$40,$D164)&gt;0,"Lễ",IF(IF(THAM_SO_CC!$B$12="T7+CN",WEEKDAY($D164,2)&gt;=6,WEEKDAY($D164,2)=7),"Nghỉ tuần","Ngày thường")))</f>
        <v/>
      </c>
      <c r="F164" s="107" t="n"/>
      <c r="G164" s="107" t="n"/>
      <c r="H164" s="107" t="n"/>
      <c r="I164" s="81" t="n"/>
      <c r="J164" s="108">
        <f>IF($B164="","",IF($E164="Ngày thường",N($G164),0))</f>
        <v/>
      </c>
      <c r="K164" s="108">
        <f>IF($B164="","",IF($E164="Nghỉ tuần",N($G164),0))</f>
        <v/>
      </c>
      <c r="L164" s="108">
        <f>IF($B164="","",IF($E164="Lễ",N($G164),0))</f>
        <v/>
      </c>
      <c r="M164" s="108">
        <f>IF($B164="","",IF($E164="Ngày thường",N($H164),0))</f>
        <v/>
      </c>
      <c r="N164" s="108">
        <f>IF($B164="","",IF($E164="Nghỉ tuần",N($H164),0))</f>
        <v/>
      </c>
      <c r="O164" s="108">
        <f>IF($B164="","",IF($E164="Lễ",N($H164),0))</f>
        <v/>
      </c>
    </row>
    <row r="165" ht="15" customHeight="1" s="63">
      <c r="A165" s="85">
        <f>IF($B165="","",ROW()-5)</f>
        <v/>
      </c>
      <c r="B165" s="97" t="n"/>
      <c r="C165" s="96">
        <f>IF($B165="","",IFERROR(INDEX(DM_NHAN_SU!$C$6:$C$155,MATCH($B165,DM_NHAN_SU!$B$6:$B$155,0)),"SAI MÃ NV"))</f>
        <v/>
      </c>
      <c r="D165" s="86" t="n"/>
      <c r="E165" s="103">
        <f>IF(OR($B165="",$D165=""),"",IF(COUNTIF(THAM_SO_CC!$F$10:$F$40,$D165)&gt;0,"Lễ",IF(IF(THAM_SO_CC!$B$12="T7+CN",WEEKDAY($D165,2)&gt;=6,WEEKDAY($D165,2)=7),"Nghỉ tuần","Ngày thường")))</f>
        <v/>
      </c>
      <c r="F165" s="107" t="n"/>
      <c r="G165" s="107" t="n"/>
      <c r="H165" s="107" t="n"/>
      <c r="I165" s="81" t="n"/>
      <c r="J165" s="108">
        <f>IF($B165="","",IF($E165="Ngày thường",N($G165),0))</f>
        <v/>
      </c>
      <c r="K165" s="108">
        <f>IF($B165="","",IF($E165="Nghỉ tuần",N($G165),0))</f>
        <v/>
      </c>
      <c r="L165" s="108">
        <f>IF($B165="","",IF($E165="Lễ",N($G165),0))</f>
        <v/>
      </c>
      <c r="M165" s="108">
        <f>IF($B165="","",IF($E165="Ngày thường",N($H165),0))</f>
        <v/>
      </c>
      <c r="N165" s="108">
        <f>IF($B165="","",IF($E165="Nghỉ tuần",N($H165),0))</f>
        <v/>
      </c>
      <c r="O165" s="108">
        <f>IF($B165="","",IF($E165="Lễ",N($H165),0))</f>
        <v/>
      </c>
    </row>
    <row r="166" ht="15" customHeight="1" s="63">
      <c r="A166" s="85">
        <f>IF($B166="","",ROW()-5)</f>
        <v/>
      </c>
      <c r="B166" s="97" t="n"/>
      <c r="C166" s="96">
        <f>IF($B166="","",IFERROR(INDEX(DM_NHAN_SU!$C$6:$C$155,MATCH($B166,DM_NHAN_SU!$B$6:$B$155,0)),"SAI MÃ NV"))</f>
        <v/>
      </c>
      <c r="D166" s="86" t="n"/>
      <c r="E166" s="103">
        <f>IF(OR($B166="",$D166=""),"",IF(COUNTIF(THAM_SO_CC!$F$10:$F$40,$D166)&gt;0,"Lễ",IF(IF(THAM_SO_CC!$B$12="T7+CN",WEEKDAY($D166,2)&gt;=6,WEEKDAY($D166,2)=7),"Nghỉ tuần","Ngày thường")))</f>
        <v/>
      </c>
      <c r="F166" s="107" t="n"/>
      <c r="G166" s="107" t="n"/>
      <c r="H166" s="107" t="n"/>
      <c r="I166" s="81" t="n"/>
      <c r="J166" s="108">
        <f>IF($B166="","",IF($E166="Ngày thường",N($G166),0))</f>
        <v/>
      </c>
      <c r="K166" s="108">
        <f>IF($B166="","",IF($E166="Nghỉ tuần",N($G166),0))</f>
        <v/>
      </c>
      <c r="L166" s="108">
        <f>IF($B166="","",IF($E166="Lễ",N($G166),0))</f>
        <v/>
      </c>
      <c r="M166" s="108">
        <f>IF($B166="","",IF($E166="Ngày thường",N($H166),0))</f>
        <v/>
      </c>
      <c r="N166" s="108">
        <f>IF($B166="","",IF($E166="Nghỉ tuần",N($H166),0))</f>
        <v/>
      </c>
      <c r="O166" s="108">
        <f>IF($B166="","",IF($E166="Lễ",N($H166),0))</f>
        <v/>
      </c>
    </row>
    <row r="167" ht="15" customHeight="1" s="63">
      <c r="A167" s="85">
        <f>IF($B167="","",ROW()-5)</f>
        <v/>
      </c>
      <c r="B167" s="97" t="n"/>
      <c r="C167" s="96">
        <f>IF($B167="","",IFERROR(INDEX(DM_NHAN_SU!$C$6:$C$155,MATCH($B167,DM_NHAN_SU!$B$6:$B$155,0)),"SAI MÃ NV"))</f>
        <v/>
      </c>
      <c r="D167" s="86" t="n"/>
      <c r="E167" s="103">
        <f>IF(OR($B167="",$D167=""),"",IF(COUNTIF(THAM_SO_CC!$F$10:$F$40,$D167)&gt;0,"Lễ",IF(IF(THAM_SO_CC!$B$12="T7+CN",WEEKDAY($D167,2)&gt;=6,WEEKDAY($D167,2)=7),"Nghỉ tuần","Ngày thường")))</f>
        <v/>
      </c>
      <c r="F167" s="107" t="n"/>
      <c r="G167" s="107" t="n"/>
      <c r="H167" s="107" t="n"/>
      <c r="I167" s="81" t="n"/>
      <c r="J167" s="108">
        <f>IF($B167="","",IF($E167="Ngày thường",N($G167),0))</f>
        <v/>
      </c>
      <c r="K167" s="108">
        <f>IF($B167="","",IF($E167="Nghỉ tuần",N($G167),0))</f>
        <v/>
      </c>
      <c r="L167" s="108">
        <f>IF($B167="","",IF($E167="Lễ",N($G167),0))</f>
        <v/>
      </c>
      <c r="M167" s="108">
        <f>IF($B167="","",IF($E167="Ngày thường",N($H167),0))</f>
        <v/>
      </c>
      <c r="N167" s="108">
        <f>IF($B167="","",IF($E167="Nghỉ tuần",N($H167),0))</f>
        <v/>
      </c>
      <c r="O167" s="108">
        <f>IF($B167="","",IF($E167="Lễ",N($H167),0))</f>
        <v/>
      </c>
    </row>
    <row r="168" ht="15" customHeight="1" s="63">
      <c r="A168" s="85">
        <f>IF($B168="","",ROW()-5)</f>
        <v/>
      </c>
      <c r="B168" s="97" t="n"/>
      <c r="C168" s="96">
        <f>IF($B168="","",IFERROR(INDEX(DM_NHAN_SU!$C$6:$C$155,MATCH($B168,DM_NHAN_SU!$B$6:$B$155,0)),"SAI MÃ NV"))</f>
        <v/>
      </c>
      <c r="D168" s="86" t="n"/>
      <c r="E168" s="103">
        <f>IF(OR($B168="",$D168=""),"",IF(COUNTIF(THAM_SO_CC!$F$10:$F$40,$D168)&gt;0,"Lễ",IF(IF(THAM_SO_CC!$B$12="T7+CN",WEEKDAY($D168,2)&gt;=6,WEEKDAY($D168,2)=7),"Nghỉ tuần","Ngày thường")))</f>
        <v/>
      </c>
      <c r="F168" s="107" t="n"/>
      <c r="G168" s="107" t="n"/>
      <c r="H168" s="107" t="n"/>
      <c r="I168" s="81" t="n"/>
      <c r="J168" s="108">
        <f>IF($B168="","",IF($E168="Ngày thường",N($G168),0))</f>
        <v/>
      </c>
      <c r="K168" s="108">
        <f>IF($B168="","",IF($E168="Nghỉ tuần",N($G168),0))</f>
        <v/>
      </c>
      <c r="L168" s="108">
        <f>IF($B168="","",IF($E168="Lễ",N($G168),0))</f>
        <v/>
      </c>
      <c r="M168" s="108">
        <f>IF($B168="","",IF($E168="Ngày thường",N($H168),0))</f>
        <v/>
      </c>
      <c r="N168" s="108">
        <f>IF($B168="","",IF($E168="Nghỉ tuần",N($H168),0))</f>
        <v/>
      </c>
      <c r="O168" s="108">
        <f>IF($B168="","",IF($E168="Lễ",N($H168),0))</f>
        <v/>
      </c>
    </row>
    <row r="169" ht="15" customHeight="1" s="63">
      <c r="A169" s="85">
        <f>IF($B169="","",ROW()-5)</f>
        <v/>
      </c>
      <c r="B169" s="97" t="n"/>
      <c r="C169" s="96">
        <f>IF($B169="","",IFERROR(INDEX(DM_NHAN_SU!$C$6:$C$155,MATCH($B169,DM_NHAN_SU!$B$6:$B$155,0)),"SAI MÃ NV"))</f>
        <v/>
      </c>
      <c r="D169" s="86" t="n"/>
      <c r="E169" s="103">
        <f>IF(OR($B169="",$D169=""),"",IF(COUNTIF(THAM_SO_CC!$F$10:$F$40,$D169)&gt;0,"Lễ",IF(IF(THAM_SO_CC!$B$12="T7+CN",WEEKDAY($D169,2)&gt;=6,WEEKDAY($D169,2)=7),"Nghỉ tuần","Ngày thường")))</f>
        <v/>
      </c>
      <c r="F169" s="107" t="n"/>
      <c r="G169" s="107" t="n"/>
      <c r="H169" s="107" t="n"/>
      <c r="I169" s="81" t="n"/>
      <c r="J169" s="108">
        <f>IF($B169="","",IF($E169="Ngày thường",N($G169),0))</f>
        <v/>
      </c>
      <c r="K169" s="108">
        <f>IF($B169="","",IF($E169="Nghỉ tuần",N($G169),0))</f>
        <v/>
      </c>
      <c r="L169" s="108">
        <f>IF($B169="","",IF($E169="Lễ",N($G169),0))</f>
        <v/>
      </c>
      <c r="M169" s="108">
        <f>IF($B169="","",IF($E169="Ngày thường",N($H169),0))</f>
        <v/>
      </c>
      <c r="N169" s="108">
        <f>IF($B169="","",IF($E169="Nghỉ tuần",N($H169),0))</f>
        <v/>
      </c>
      <c r="O169" s="108">
        <f>IF($B169="","",IF($E169="Lễ",N($H169),0))</f>
        <v/>
      </c>
    </row>
    <row r="170" ht="15" customHeight="1" s="63">
      <c r="A170" s="85">
        <f>IF($B170="","",ROW()-5)</f>
        <v/>
      </c>
      <c r="B170" s="97" t="n"/>
      <c r="C170" s="96">
        <f>IF($B170="","",IFERROR(INDEX(DM_NHAN_SU!$C$6:$C$155,MATCH($B170,DM_NHAN_SU!$B$6:$B$155,0)),"SAI MÃ NV"))</f>
        <v/>
      </c>
      <c r="D170" s="86" t="n"/>
      <c r="E170" s="103">
        <f>IF(OR($B170="",$D170=""),"",IF(COUNTIF(THAM_SO_CC!$F$10:$F$40,$D170)&gt;0,"Lễ",IF(IF(THAM_SO_CC!$B$12="T7+CN",WEEKDAY($D170,2)&gt;=6,WEEKDAY($D170,2)=7),"Nghỉ tuần","Ngày thường")))</f>
        <v/>
      </c>
      <c r="F170" s="107" t="n"/>
      <c r="G170" s="107" t="n"/>
      <c r="H170" s="107" t="n"/>
      <c r="I170" s="81" t="n"/>
      <c r="J170" s="108">
        <f>IF($B170="","",IF($E170="Ngày thường",N($G170),0))</f>
        <v/>
      </c>
      <c r="K170" s="108">
        <f>IF($B170="","",IF($E170="Nghỉ tuần",N($G170),0))</f>
        <v/>
      </c>
      <c r="L170" s="108">
        <f>IF($B170="","",IF($E170="Lễ",N($G170),0))</f>
        <v/>
      </c>
      <c r="M170" s="108">
        <f>IF($B170="","",IF($E170="Ngày thường",N($H170),0))</f>
        <v/>
      </c>
      <c r="N170" s="108">
        <f>IF($B170="","",IF($E170="Nghỉ tuần",N($H170),0))</f>
        <v/>
      </c>
      <c r="O170" s="108">
        <f>IF($B170="","",IF($E170="Lễ",N($H170),0))</f>
        <v/>
      </c>
    </row>
    <row r="171" ht="15" customHeight="1" s="63">
      <c r="A171" s="85">
        <f>IF($B171="","",ROW()-5)</f>
        <v/>
      </c>
      <c r="B171" s="97" t="n"/>
      <c r="C171" s="96">
        <f>IF($B171="","",IFERROR(INDEX(DM_NHAN_SU!$C$6:$C$155,MATCH($B171,DM_NHAN_SU!$B$6:$B$155,0)),"SAI MÃ NV"))</f>
        <v/>
      </c>
      <c r="D171" s="86" t="n"/>
      <c r="E171" s="103">
        <f>IF(OR($B171="",$D171=""),"",IF(COUNTIF(THAM_SO_CC!$F$10:$F$40,$D171)&gt;0,"Lễ",IF(IF(THAM_SO_CC!$B$12="T7+CN",WEEKDAY($D171,2)&gt;=6,WEEKDAY($D171,2)=7),"Nghỉ tuần","Ngày thường")))</f>
        <v/>
      </c>
      <c r="F171" s="107" t="n"/>
      <c r="G171" s="107" t="n"/>
      <c r="H171" s="107" t="n"/>
      <c r="I171" s="81" t="n"/>
      <c r="J171" s="108">
        <f>IF($B171="","",IF($E171="Ngày thường",N($G171),0))</f>
        <v/>
      </c>
      <c r="K171" s="108">
        <f>IF($B171="","",IF($E171="Nghỉ tuần",N($G171),0))</f>
        <v/>
      </c>
      <c r="L171" s="108">
        <f>IF($B171="","",IF($E171="Lễ",N($G171),0))</f>
        <v/>
      </c>
      <c r="M171" s="108">
        <f>IF($B171="","",IF($E171="Ngày thường",N($H171),0))</f>
        <v/>
      </c>
      <c r="N171" s="108">
        <f>IF($B171="","",IF($E171="Nghỉ tuần",N($H171),0))</f>
        <v/>
      </c>
      <c r="O171" s="108">
        <f>IF($B171="","",IF($E171="Lễ",N($H171),0))</f>
        <v/>
      </c>
    </row>
    <row r="172" ht="15" customHeight="1" s="63">
      <c r="A172" s="85">
        <f>IF($B172="","",ROW()-5)</f>
        <v/>
      </c>
      <c r="B172" s="97" t="n"/>
      <c r="C172" s="96">
        <f>IF($B172="","",IFERROR(INDEX(DM_NHAN_SU!$C$6:$C$155,MATCH($B172,DM_NHAN_SU!$B$6:$B$155,0)),"SAI MÃ NV"))</f>
        <v/>
      </c>
      <c r="D172" s="86" t="n"/>
      <c r="E172" s="103">
        <f>IF(OR($B172="",$D172=""),"",IF(COUNTIF(THAM_SO_CC!$F$10:$F$40,$D172)&gt;0,"Lễ",IF(IF(THAM_SO_CC!$B$12="T7+CN",WEEKDAY($D172,2)&gt;=6,WEEKDAY($D172,2)=7),"Nghỉ tuần","Ngày thường")))</f>
        <v/>
      </c>
      <c r="F172" s="107" t="n"/>
      <c r="G172" s="107" t="n"/>
      <c r="H172" s="107" t="n"/>
      <c r="I172" s="81" t="n"/>
      <c r="J172" s="108">
        <f>IF($B172="","",IF($E172="Ngày thường",N($G172),0))</f>
        <v/>
      </c>
      <c r="K172" s="108">
        <f>IF($B172="","",IF($E172="Nghỉ tuần",N($G172),0))</f>
        <v/>
      </c>
      <c r="L172" s="108">
        <f>IF($B172="","",IF($E172="Lễ",N($G172),0))</f>
        <v/>
      </c>
      <c r="M172" s="108">
        <f>IF($B172="","",IF($E172="Ngày thường",N($H172),0))</f>
        <v/>
      </c>
      <c r="N172" s="108">
        <f>IF($B172="","",IF($E172="Nghỉ tuần",N($H172),0))</f>
        <v/>
      </c>
      <c r="O172" s="108">
        <f>IF($B172="","",IF($E172="Lễ",N($H172),0))</f>
        <v/>
      </c>
    </row>
    <row r="173" ht="15" customHeight="1" s="63">
      <c r="A173" s="85">
        <f>IF($B173="","",ROW()-5)</f>
        <v/>
      </c>
      <c r="B173" s="97" t="n"/>
      <c r="C173" s="96">
        <f>IF($B173="","",IFERROR(INDEX(DM_NHAN_SU!$C$6:$C$155,MATCH($B173,DM_NHAN_SU!$B$6:$B$155,0)),"SAI MÃ NV"))</f>
        <v/>
      </c>
      <c r="D173" s="86" t="n"/>
      <c r="E173" s="103">
        <f>IF(OR($B173="",$D173=""),"",IF(COUNTIF(THAM_SO_CC!$F$10:$F$40,$D173)&gt;0,"Lễ",IF(IF(THAM_SO_CC!$B$12="T7+CN",WEEKDAY($D173,2)&gt;=6,WEEKDAY($D173,2)=7),"Nghỉ tuần","Ngày thường")))</f>
        <v/>
      </c>
      <c r="F173" s="107" t="n"/>
      <c r="G173" s="107" t="n"/>
      <c r="H173" s="107" t="n"/>
      <c r="I173" s="81" t="n"/>
      <c r="J173" s="108">
        <f>IF($B173="","",IF($E173="Ngày thường",N($G173),0))</f>
        <v/>
      </c>
      <c r="K173" s="108">
        <f>IF($B173="","",IF($E173="Nghỉ tuần",N($G173),0))</f>
        <v/>
      </c>
      <c r="L173" s="108">
        <f>IF($B173="","",IF($E173="Lễ",N($G173),0))</f>
        <v/>
      </c>
      <c r="M173" s="108">
        <f>IF($B173="","",IF($E173="Ngày thường",N($H173),0))</f>
        <v/>
      </c>
      <c r="N173" s="108">
        <f>IF($B173="","",IF($E173="Nghỉ tuần",N($H173),0))</f>
        <v/>
      </c>
      <c r="O173" s="108">
        <f>IF($B173="","",IF($E173="Lễ",N($H173),0))</f>
        <v/>
      </c>
    </row>
    <row r="174" ht="15" customHeight="1" s="63">
      <c r="A174" s="85">
        <f>IF($B174="","",ROW()-5)</f>
        <v/>
      </c>
      <c r="B174" s="97" t="n"/>
      <c r="C174" s="96">
        <f>IF($B174="","",IFERROR(INDEX(DM_NHAN_SU!$C$6:$C$155,MATCH($B174,DM_NHAN_SU!$B$6:$B$155,0)),"SAI MÃ NV"))</f>
        <v/>
      </c>
      <c r="D174" s="86" t="n"/>
      <c r="E174" s="103">
        <f>IF(OR($B174="",$D174=""),"",IF(COUNTIF(THAM_SO_CC!$F$10:$F$40,$D174)&gt;0,"Lễ",IF(IF(THAM_SO_CC!$B$12="T7+CN",WEEKDAY($D174,2)&gt;=6,WEEKDAY($D174,2)=7),"Nghỉ tuần","Ngày thường")))</f>
        <v/>
      </c>
      <c r="F174" s="107" t="n"/>
      <c r="G174" s="107" t="n"/>
      <c r="H174" s="107" t="n"/>
      <c r="I174" s="81" t="n"/>
      <c r="J174" s="108">
        <f>IF($B174="","",IF($E174="Ngày thường",N($G174),0))</f>
        <v/>
      </c>
      <c r="K174" s="108">
        <f>IF($B174="","",IF($E174="Nghỉ tuần",N($G174),0))</f>
        <v/>
      </c>
      <c r="L174" s="108">
        <f>IF($B174="","",IF($E174="Lễ",N($G174),0))</f>
        <v/>
      </c>
      <c r="M174" s="108">
        <f>IF($B174="","",IF($E174="Ngày thường",N($H174),0))</f>
        <v/>
      </c>
      <c r="N174" s="108">
        <f>IF($B174="","",IF($E174="Nghỉ tuần",N($H174),0))</f>
        <v/>
      </c>
      <c r="O174" s="108">
        <f>IF($B174="","",IF($E174="Lễ",N($H174),0))</f>
        <v/>
      </c>
    </row>
    <row r="175" ht="15" customHeight="1" s="63">
      <c r="A175" s="85">
        <f>IF($B175="","",ROW()-5)</f>
        <v/>
      </c>
      <c r="B175" s="97" t="n"/>
      <c r="C175" s="96">
        <f>IF($B175="","",IFERROR(INDEX(DM_NHAN_SU!$C$6:$C$155,MATCH($B175,DM_NHAN_SU!$B$6:$B$155,0)),"SAI MÃ NV"))</f>
        <v/>
      </c>
      <c r="D175" s="86" t="n"/>
      <c r="E175" s="103">
        <f>IF(OR($B175="",$D175=""),"",IF(COUNTIF(THAM_SO_CC!$F$10:$F$40,$D175)&gt;0,"Lễ",IF(IF(THAM_SO_CC!$B$12="T7+CN",WEEKDAY($D175,2)&gt;=6,WEEKDAY($D175,2)=7),"Nghỉ tuần","Ngày thường")))</f>
        <v/>
      </c>
      <c r="F175" s="107" t="n"/>
      <c r="G175" s="107" t="n"/>
      <c r="H175" s="107" t="n"/>
      <c r="I175" s="81" t="n"/>
      <c r="J175" s="108">
        <f>IF($B175="","",IF($E175="Ngày thường",N($G175),0))</f>
        <v/>
      </c>
      <c r="K175" s="108">
        <f>IF($B175="","",IF($E175="Nghỉ tuần",N($G175),0))</f>
        <v/>
      </c>
      <c r="L175" s="108">
        <f>IF($B175="","",IF($E175="Lễ",N($G175),0))</f>
        <v/>
      </c>
      <c r="M175" s="108">
        <f>IF($B175="","",IF($E175="Ngày thường",N($H175),0))</f>
        <v/>
      </c>
      <c r="N175" s="108">
        <f>IF($B175="","",IF($E175="Nghỉ tuần",N($H175),0))</f>
        <v/>
      </c>
      <c r="O175" s="108">
        <f>IF($B175="","",IF($E175="Lễ",N($H175),0))</f>
        <v/>
      </c>
    </row>
    <row r="176" ht="15" customHeight="1" s="63">
      <c r="A176" s="85">
        <f>IF($B176="","",ROW()-5)</f>
        <v/>
      </c>
      <c r="B176" s="97" t="n"/>
      <c r="C176" s="96">
        <f>IF($B176="","",IFERROR(INDEX(DM_NHAN_SU!$C$6:$C$155,MATCH($B176,DM_NHAN_SU!$B$6:$B$155,0)),"SAI MÃ NV"))</f>
        <v/>
      </c>
      <c r="D176" s="86" t="n"/>
      <c r="E176" s="103">
        <f>IF(OR($B176="",$D176=""),"",IF(COUNTIF(THAM_SO_CC!$F$10:$F$40,$D176)&gt;0,"Lễ",IF(IF(THAM_SO_CC!$B$12="T7+CN",WEEKDAY($D176,2)&gt;=6,WEEKDAY($D176,2)=7),"Nghỉ tuần","Ngày thường")))</f>
        <v/>
      </c>
      <c r="F176" s="107" t="n"/>
      <c r="G176" s="107" t="n"/>
      <c r="H176" s="107" t="n"/>
      <c r="I176" s="81" t="n"/>
      <c r="J176" s="108">
        <f>IF($B176="","",IF($E176="Ngày thường",N($G176),0))</f>
        <v/>
      </c>
      <c r="K176" s="108">
        <f>IF($B176="","",IF($E176="Nghỉ tuần",N($G176),0))</f>
        <v/>
      </c>
      <c r="L176" s="108">
        <f>IF($B176="","",IF($E176="Lễ",N($G176),0))</f>
        <v/>
      </c>
      <c r="M176" s="108">
        <f>IF($B176="","",IF($E176="Ngày thường",N($H176),0))</f>
        <v/>
      </c>
      <c r="N176" s="108">
        <f>IF($B176="","",IF($E176="Nghỉ tuần",N($H176),0))</f>
        <v/>
      </c>
      <c r="O176" s="108">
        <f>IF($B176="","",IF($E176="Lễ",N($H176),0))</f>
        <v/>
      </c>
    </row>
    <row r="177" ht="15" customHeight="1" s="63">
      <c r="A177" s="85">
        <f>IF($B177="","",ROW()-5)</f>
        <v/>
      </c>
      <c r="B177" s="97" t="n"/>
      <c r="C177" s="96">
        <f>IF($B177="","",IFERROR(INDEX(DM_NHAN_SU!$C$6:$C$155,MATCH($B177,DM_NHAN_SU!$B$6:$B$155,0)),"SAI MÃ NV"))</f>
        <v/>
      </c>
      <c r="D177" s="86" t="n"/>
      <c r="E177" s="103">
        <f>IF(OR($B177="",$D177=""),"",IF(COUNTIF(THAM_SO_CC!$F$10:$F$40,$D177)&gt;0,"Lễ",IF(IF(THAM_SO_CC!$B$12="T7+CN",WEEKDAY($D177,2)&gt;=6,WEEKDAY($D177,2)=7),"Nghỉ tuần","Ngày thường")))</f>
        <v/>
      </c>
      <c r="F177" s="107" t="n"/>
      <c r="G177" s="107" t="n"/>
      <c r="H177" s="107" t="n"/>
      <c r="I177" s="81" t="n"/>
      <c r="J177" s="108">
        <f>IF($B177="","",IF($E177="Ngày thường",N($G177),0))</f>
        <v/>
      </c>
      <c r="K177" s="108">
        <f>IF($B177="","",IF($E177="Nghỉ tuần",N($G177),0))</f>
        <v/>
      </c>
      <c r="L177" s="108">
        <f>IF($B177="","",IF($E177="Lễ",N($G177),0))</f>
        <v/>
      </c>
      <c r="M177" s="108">
        <f>IF($B177="","",IF($E177="Ngày thường",N($H177),0))</f>
        <v/>
      </c>
      <c r="N177" s="108">
        <f>IF($B177="","",IF($E177="Nghỉ tuần",N($H177),0))</f>
        <v/>
      </c>
      <c r="O177" s="108">
        <f>IF($B177="","",IF($E177="Lễ",N($H177),0))</f>
        <v/>
      </c>
    </row>
    <row r="178" ht="15" customHeight="1" s="63">
      <c r="A178" s="85">
        <f>IF($B178="","",ROW()-5)</f>
        <v/>
      </c>
      <c r="B178" s="97" t="n"/>
      <c r="C178" s="96">
        <f>IF($B178="","",IFERROR(INDEX(DM_NHAN_SU!$C$6:$C$155,MATCH($B178,DM_NHAN_SU!$B$6:$B$155,0)),"SAI MÃ NV"))</f>
        <v/>
      </c>
      <c r="D178" s="86" t="n"/>
      <c r="E178" s="103">
        <f>IF(OR($B178="",$D178=""),"",IF(COUNTIF(THAM_SO_CC!$F$10:$F$40,$D178)&gt;0,"Lễ",IF(IF(THAM_SO_CC!$B$12="T7+CN",WEEKDAY($D178,2)&gt;=6,WEEKDAY($D178,2)=7),"Nghỉ tuần","Ngày thường")))</f>
        <v/>
      </c>
      <c r="F178" s="107" t="n"/>
      <c r="G178" s="107" t="n"/>
      <c r="H178" s="107" t="n"/>
      <c r="I178" s="81" t="n"/>
      <c r="J178" s="108">
        <f>IF($B178="","",IF($E178="Ngày thường",N($G178),0))</f>
        <v/>
      </c>
      <c r="K178" s="108">
        <f>IF($B178="","",IF($E178="Nghỉ tuần",N($G178),0))</f>
        <v/>
      </c>
      <c r="L178" s="108">
        <f>IF($B178="","",IF($E178="Lễ",N($G178),0))</f>
        <v/>
      </c>
      <c r="M178" s="108">
        <f>IF($B178="","",IF($E178="Ngày thường",N($H178),0))</f>
        <v/>
      </c>
      <c r="N178" s="108">
        <f>IF($B178="","",IF($E178="Nghỉ tuần",N($H178),0))</f>
        <v/>
      </c>
      <c r="O178" s="108">
        <f>IF($B178="","",IF($E178="Lễ",N($H178),0))</f>
        <v/>
      </c>
    </row>
    <row r="179" ht="15" customHeight="1" s="63">
      <c r="A179" s="85">
        <f>IF($B179="","",ROW()-5)</f>
        <v/>
      </c>
      <c r="B179" s="97" t="n"/>
      <c r="C179" s="96">
        <f>IF($B179="","",IFERROR(INDEX(DM_NHAN_SU!$C$6:$C$155,MATCH($B179,DM_NHAN_SU!$B$6:$B$155,0)),"SAI MÃ NV"))</f>
        <v/>
      </c>
      <c r="D179" s="86" t="n"/>
      <c r="E179" s="103">
        <f>IF(OR($B179="",$D179=""),"",IF(COUNTIF(THAM_SO_CC!$F$10:$F$40,$D179)&gt;0,"Lễ",IF(IF(THAM_SO_CC!$B$12="T7+CN",WEEKDAY($D179,2)&gt;=6,WEEKDAY($D179,2)=7),"Nghỉ tuần","Ngày thường")))</f>
        <v/>
      </c>
      <c r="F179" s="107" t="n"/>
      <c r="G179" s="107" t="n"/>
      <c r="H179" s="107" t="n"/>
      <c r="I179" s="81" t="n"/>
      <c r="J179" s="108">
        <f>IF($B179="","",IF($E179="Ngày thường",N($G179),0))</f>
        <v/>
      </c>
      <c r="K179" s="108">
        <f>IF($B179="","",IF($E179="Nghỉ tuần",N($G179),0))</f>
        <v/>
      </c>
      <c r="L179" s="108">
        <f>IF($B179="","",IF($E179="Lễ",N($G179),0))</f>
        <v/>
      </c>
      <c r="M179" s="108">
        <f>IF($B179="","",IF($E179="Ngày thường",N($H179),0))</f>
        <v/>
      </c>
      <c r="N179" s="108">
        <f>IF($B179="","",IF($E179="Nghỉ tuần",N($H179),0))</f>
        <v/>
      </c>
      <c r="O179" s="108">
        <f>IF($B179="","",IF($E179="Lễ",N($H179),0))</f>
        <v/>
      </c>
    </row>
    <row r="180" ht="15" customHeight="1" s="63">
      <c r="A180" s="85">
        <f>IF($B180="","",ROW()-5)</f>
        <v/>
      </c>
      <c r="B180" s="97" t="n"/>
      <c r="C180" s="96">
        <f>IF($B180="","",IFERROR(INDEX(DM_NHAN_SU!$C$6:$C$155,MATCH($B180,DM_NHAN_SU!$B$6:$B$155,0)),"SAI MÃ NV"))</f>
        <v/>
      </c>
      <c r="D180" s="86" t="n"/>
      <c r="E180" s="103">
        <f>IF(OR($B180="",$D180=""),"",IF(COUNTIF(THAM_SO_CC!$F$10:$F$40,$D180)&gt;0,"Lễ",IF(IF(THAM_SO_CC!$B$12="T7+CN",WEEKDAY($D180,2)&gt;=6,WEEKDAY($D180,2)=7),"Nghỉ tuần","Ngày thường")))</f>
        <v/>
      </c>
      <c r="F180" s="107" t="n"/>
      <c r="G180" s="107" t="n"/>
      <c r="H180" s="107" t="n"/>
      <c r="I180" s="81" t="n"/>
      <c r="J180" s="108">
        <f>IF($B180="","",IF($E180="Ngày thường",N($G180),0))</f>
        <v/>
      </c>
      <c r="K180" s="108">
        <f>IF($B180="","",IF($E180="Nghỉ tuần",N($G180),0))</f>
        <v/>
      </c>
      <c r="L180" s="108">
        <f>IF($B180="","",IF($E180="Lễ",N($G180),0))</f>
        <v/>
      </c>
      <c r="M180" s="108">
        <f>IF($B180="","",IF($E180="Ngày thường",N($H180),0))</f>
        <v/>
      </c>
      <c r="N180" s="108">
        <f>IF($B180="","",IF($E180="Nghỉ tuần",N($H180),0))</f>
        <v/>
      </c>
      <c r="O180" s="108">
        <f>IF($B180="","",IF($E180="Lễ",N($H180),0))</f>
        <v/>
      </c>
    </row>
    <row r="181" ht="15" customHeight="1" s="63">
      <c r="A181" s="85">
        <f>IF($B181="","",ROW()-5)</f>
        <v/>
      </c>
      <c r="B181" s="97" t="n"/>
      <c r="C181" s="96">
        <f>IF($B181="","",IFERROR(INDEX(DM_NHAN_SU!$C$6:$C$155,MATCH($B181,DM_NHAN_SU!$B$6:$B$155,0)),"SAI MÃ NV"))</f>
        <v/>
      </c>
      <c r="D181" s="86" t="n"/>
      <c r="E181" s="103">
        <f>IF(OR($B181="",$D181=""),"",IF(COUNTIF(THAM_SO_CC!$F$10:$F$40,$D181)&gt;0,"Lễ",IF(IF(THAM_SO_CC!$B$12="T7+CN",WEEKDAY($D181,2)&gt;=6,WEEKDAY($D181,2)=7),"Nghỉ tuần","Ngày thường")))</f>
        <v/>
      </c>
      <c r="F181" s="107" t="n"/>
      <c r="G181" s="107" t="n"/>
      <c r="H181" s="107" t="n"/>
      <c r="I181" s="81" t="n"/>
      <c r="J181" s="108">
        <f>IF($B181="","",IF($E181="Ngày thường",N($G181),0))</f>
        <v/>
      </c>
      <c r="K181" s="108">
        <f>IF($B181="","",IF($E181="Nghỉ tuần",N($G181),0))</f>
        <v/>
      </c>
      <c r="L181" s="108">
        <f>IF($B181="","",IF($E181="Lễ",N($G181),0))</f>
        <v/>
      </c>
      <c r="M181" s="108">
        <f>IF($B181="","",IF($E181="Ngày thường",N($H181),0))</f>
        <v/>
      </c>
      <c r="N181" s="108">
        <f>IF($B181="","",IF($E181="Nghỉ tuần",N($H181),0))</f>
        <v/>
      </c>
      <c r="O181" s="108">
        <f>IF($B181="","",IF($E181="Lễ",N($H181),0))</f>
        <v/>
      </c>
    </row>
    <row r="182" ht="15" customHeight="1" s="63">
      <c r="A182" s="85">
        <f>IF($B182="","",ROW()-5)</f>
        <v/>
      </c>
      <c r="B182" s="97" t="n"/>
      <c r="C182" s="96">
        <f>IF($B182="","",IFERROR(INDEX(DM_NHAN_SU!$C$6:$C$155,MATCH($B182,DM_NHAN_SU!$B$6:$B$155,0)),"SAI MÃ NV"))</f>
        <v/>
      </c>
      <c r="D182" s="86" t="n"/>
      <c r="E182" s="103">
        <f>IF(OR($B182="",$D182=""),"",IF(COUNTIF(THAM_SO_CC!$F$10:$F$40,$D182)&gt;0,"Lễ",IF(IF(THAM_SO_CC!$B$12="T7+CN",WEEKDAY($D182,2)&gt;=6,WEEKDAY($D182,2)=7),"Nghỉ tuần","Ngày thường")))</f>
        <v/>
      </c>
      <c r="F182" s="107" t="n"/>
      <c r="G182" s="107" t="n"/>
      <c r="H182" s="107" t="n"/>
      <c r="I182" s="81" t="n"/>
      <c r="J182" s="108">
        <f>IF($B182="","",IF($E182="Ngày thường",N($G182),0))</f>
        <v/>
      </c>
      <c r="K182" s="108">
        <f>IF($B182="","",IF($E182="Nghỉ tuần",N($G182),0))</f>
        <v/>
      </c>
      <c r="L182" s="108">
        <f>IF($B182="","",IF($E182="Lễ",N($G182),0))</f>
        <v/>
      </c>
      <c r="M182" s="108">
        <f>IF($B182="","",IF($E182="Ngày thường",N($H182),0))</f>
        <v/>
      </c>
      <c r="N182" s="108">
        <f>IF($B182="","",IF($E182="Nghỉ tuần",N($H182),0))</f>
        <v/>
      </c>
      <c r="O182" s="108">
        <f>IF($B182="","",IF($E182="Lễ",N($H182),0))</f>
        <v/>
      </c>
    </row>
    <row r="183" ht="15" customHeight="1" s="63">
      <c r="A183" s="85">
        <f>IF($B183="","",ROW()-5)</f>
        <v/>
      </c>
      <c r="B183" s="97" t="n"/>
      <c r="C183" s="96">
        <f>IF($B183="","",IFERROR(INDEX(DM_NHAN_SU!$C$6:$C$155,MATCH($B183,DM_NHAN_SU!$B$6:$B$155,0)),"SAI MÃ NV"))</f>
        <v/>
      </c>
      <c r="D183" s="86" t="n"/>
      <c r="E183" s="103">
        <f>IF(OR($B183="",$D183=""),"",IF(COUNTIF(THAM_SO_CC!$F$10:$F$40,$D183)&gt;0,"Lễ",IF(IF(THAM_SO_CC!$B$12="T7+CN",WEEKDAY($D183,2)&gt;=6,WEEKDAY($D183,2)=7),"Nghỉ tuần","Ngày thường")))</f>
        <v/>
      </c>
      <c r="F183" s="107" t="n"/>
      <c r="G183" s="107" t="n"/>
      <c r="H183" s="107" t="n"/>
      <c r="I183" s="81" t="n"/>
      <c r="J183" s="108">
        <f>IF($B183="","",IF($E183="Ngày thường",N($G183),0))</f>
        <v/>
      </c>
      <c r="K183" s="108">
        <f>IF($B183="","",IF($E183="Nghỉ tuần",N($G183),0))</f>
        <v/>
      </c>
      <c r="L183" s="108">
        <f>IF($B183="","",IF($E183="Lễ",N($G183),0))</f>
        <v/>
      </c>
      <c r="M183" s="108">
        <f>IF($B183="","",IF($E183="Ngày thường",N($H183),0))</f>
        <v/>
      </c>
      <c r="N183" s="108">
        <f>IF($B183="","",IF($E183="Nghỉ tuần",N($H183),0))</f>
        <v/>
      </c>
      <c r="O183" s="108">
        <f>IF($B183="","",IF($E183="Lễ",N($H183),0))</f>
        <v/>
      </c>
    </row>
    <row r="184" ht="15" customHeight="1" s="63">
      <c r="A184" s="85">
        <f>IF($B184="","",ROW()-5)</f>
        <v/>
      </c>
      <c r="B184" s="97" t="n"/>
      <c r="C184" s="96">
        <f>IF($B184="","",IFERROR(INDEX(DM_NHAN_SU!$C$6:$C$155,MATCH($B184,DM_NHAN_SU!$B$6:$B$155,0)),"SAI MÃ NV"))</f>
        <v/>
      </c>
      <c r="D184" s="86" t="n"/>
      <c r="E184" s="103">
        <f>IF(OR($B184="",$D184=""),"",IF(COUNTIF(THAM_SO_CC!$F$10:$F$40,$D184)&gt;0,"Lễ",IF(IF(THAM_SO_CC!$B$12="T7+CN",WEEKDAY($D184,2)&gt;=6,WEEKDAY($D184,2)=7),"Nghỉ tuần","Ngày thường")))</f>
        <v/>
      </c>
      <c r="F184" s="107" t="n"/>
      <c r="G184" s="107" t="n"/>
      <c r="H184" s="107" t="n"/>
      <c r="I184" s="81" t="n"/>
      <c r="J184" s="108">
        <f>IF($B184="","",IF($E184="Ngày thường",N($G184),0))</f>
        <v/>
      </c>
      <c r="K184" s="108">
        <f>IF($B184="","",IF($E184="Nghỉ tuần",N($G184),0))</f>
        <v/>
      </c>
      <c r="L184" s="108">
        <f>IF($B184="","",IF($E184="Lễ",N($G184),0))</f>
        <v/>
      </c>
      <c r="M184" s="108">
        <f>IF($B184="","",IF($E184="Ngày thường",N($H184),0))</f>
        <v/>
      </c>
      <c r="N184" s="108">
        <f>IF($B184="","",IF($E184="Nghỉ tuần",N($H184),0))</f>
        <v/>
      </c>
      <c r="O184" s="108">
        <f>IF($B184="","",IF($E184="Lễ",N($H184),0))</f>
        <v/>
      </c>
    </row>
    <row r="185" ht="15" customHeight="1" s="63">
      <c r="A185" s="85">
        <f>IF($B185="","",ROW()-5)</f>
        <v/>
      </c>
      <c r="B185" s="97" t="n"/>
      <c r="C185" s="96">
        <f>IF($B185="","",IFERROR(INDEX(DM_NHAN_SU!$C$6:$C$155,MATCH($B185,DM_NHAN_SU!$B$6:$B$155,0)),"SAI MÃ NV"))</f>
        <v/>
      </c>
      <c r="D185" s="86" t="n"/>
      <c r="E185" s="103">
        <f>IF(OR($B185="",$D185=""),"",IF(COUNTIF(THAM_SO_CC!$F$10:$F$40,$D185)&gt;0,"Lễ",IF(IF(THAM_SO_CC!$B$12="T7+CN",WEEKDAY($D185,2)&gt;=6,WEEKDAY($D185,2)=7),"Nghỉ tuần","Ngày thường")))</f>
        <v/>
      </c>
      <c r="F185" s="107" t="n"/>
      <c r="G185" s="107" t="n"/>
      <c r="H185" s="107" t="n"/>
      <c r="I185" s="81" t="n"/>
      <c r="J185" s="108">
        <f>IF($B185="","",IF($E185="Ngày thường",N($G185),0))</f>
        <v/>
      </c>
      <c r="K185" s="108">
        <f>IF($B185="","",IF($E185="Nghỉ tuần",N($G185),0))</f>
        <v/>
      </c>
      <c r="L185" s="108">
        <f>IF($B185="","",IF($E185="Lễ",N($G185),0))</f>
        <v/>
      </c>
      <c r="M185" s="108">
        <f>IF($B185="","",IF($E185="Ngày thường",N($H185),0))</f>
        <v/>
      </c>
      <c r="N185" s="108">
        <f>IF($B185="","",IF($E185="Nghỉ tuần",N($H185),0))</f>
        <v/>
      </c>
      <c r="O185" s="108">
        <f>IF($B185="","",IF($E185="Lễ",N($H185),0))</f>
        <v/>
      </c>
    </row>
    <row r="186" ht="15" customHeight="1" s="63">
      <c r="A186" s="85">
        <f>IF($B186="","",ROW()-5)</f>
        <v/>
      </c>
      <c r="B186" s="97" t="n"/>
      <c r="C186" s="96">
        <f>IF($B186="","",IFERROR(INDEX(DM_NHAN_SU!$C$6:$C$155,MATCH($B186,DM_NHAN_SU!$B$6:$B$155,0)),"SAI MÃ NV"))</f>
        <v/>
      </c>
      <c r="D186" s="86" t="n"/>
      <c r="E186" s="103">
        <f>IF(OR($B186="",$D186=""),"",IF(COUNTIF(THAM_SO_CC!$F$10:$F$40,$D186)&gt;0,"Lễ",IF(IF(THAM_SO_CC!$B$12="T7+CN",WEEKDAY($D186,2)&gt;=6,WEEKDAY($D186,2)=7),"Nghỉ tuần","Ngày thường")))</f>
        <v/>
      </c>
      <c r="F186" s="107" t="n"/>
      <c r="G186" s="107" t="n"/>
      <c r="H186" s="107" t="n"/>
      <c r="I186" s="81" t="n"/>
      <c r="J186" s="108">
        <f>IF($B186="","",IF($E186="Ngày thường",N($G186),0))</f>
        <v/>
      </c>
      <c r="K186" s="108">
        <f>IF($B186="","",IF($E186="Nghỉ tuần",N($G186),0))</f>
        <v/>
      </c>
      <c r="L186" s="108">
        <f>IF($B186="","",IF($E186="Lễ",N($G186),0))</f>
        <v/>
      </c>
      <c r="M186" s="108">
        <f>IF($B186="","",IF($E186="Ngày thường",N($H186),0))</f>
        <v/>
      </c>
      <c r="N186" s="108">
        <f>IF($B186="","",IF($E186="Nghỉ tuần",N($H186),0))</f>
        <v/>
      </c>
      <c r="O186" s="108">
        <f>IF($B186="","",IF($E186="Lễ",N($H186),0))</f>
        <v/>
      </c>
    </row>
    <row r="187" ht="15" customHeight="1" s="63">
      <c r="A187" s="85">
        <f>IF($B187="","",ROW()-5)</f>
        <v/>
      </c>
      <c r="B187" s="97" t="n"/>
      <c r="C187" s="96">
        <f>IF($B187="","",IFERROR(INDEX(DM_NHAN_SU!$C$6:$C$155,MATCH($B187,DM_NHAN_SU!$B$6:$B$155,0)),"SAI MÃ NV"))</f>
        <v/>
      </c>
      <c r="D187" s="86" t="n"/>
      <c r="E187" s="103">
        <f>IF(OR($B187="",$D187=""),"",IF(COUNTIF(THAM_SO_CC!$F$10:$F$40,$D187)&gt;0,"Lễ",IF(IF(THAM_SO_CC!$B$12="T7+CN",WEEKDAY($D187,2)&gt;=6,WEEKDAY($D187,2)=7),"Nghỉ tuần","Ngày thường")))</f>
        <v/>
      </c>
      <c r="F187" s="107" t="n"/>
      <c r="G187" s="107" t="n"/>
      <c r="H187" s="107" t="n"/>
      <c r="I187" s="81" t="n"/>
      <c r="J187" s="108">
        <f>IF($B187="","",IF($E187="Ngày thường",N($G187),0))</f>
        <v/>
      </c>
      <c r="K187" s="108">
        <f>IF($B187="","",IF($E187="Nghỉ tuần",N($G187),0))</f>
        <v/>
      </c>
      <c r="L187" s="108">
        <f>IF($B187="","",IF($E187="Lễ",N($G187),0))</f>
        <v/>
      </c>
      <c r="M187" s="108">
        <f>IF($B187="","",IF($E187="Ngày thường",N($H187),0))</f>
        <v/>
      </c>
      <c r="N187" s="108">
        <f>IF($B187="","",IF($E187="Nghỉ tuần",N($H187),0))</f>
        <v/>
      </c>
      <c r="O187" s="108">
        <f>IF($B187="","",IF($E187="Lễ",N($H187),0))</f>
        <v/>
      </c>
    </row>
    <row r="188" ht="15" customHeight="1" s="63">
      <c r="A188" s="85">
        <f>IF($B188="","",ROW()-5)</f>
        <v/>
      </c>
      <c r="B188" s="97" t="n"/>
      <c r="C188" s="96">
        <f>IF($B188="","",IFERROR(INDEX(DM_NHAN_SU!$C$6:$C$155,MATCH($B188,DM_NHAN_SU!$B$6:$B$155,0)),"SAI MÃ NV"))</f>
        <v/>
      </c>
      <c r="D188" s="86" t="n"/>
      <c r="E188" s="103">
        <f>IF(OR($B188="",$D188=""),"",IF(COUNTIF(THAM_SO_CC!$F$10:$F$40,$D188)&gt;0,"Lễ",IF(IF(THAM_SO_CC!$B$12="T7+CN",WEEKDAY($D188,2)&gt;=6,WEEKDAY($D188,2)=7),"Nghỉ tuần","Ngày thường")))</f>
        <v/>
      </c>
      <c r="F188" s="107" t="n"/>
      <c r="G188" s="107" t="n"/>
      <c r="H188" s="107" t="n"/>
      <c r="I188" s="81" t="n"/>
      <c r="J188" s="108">
        <f>IF($B188="","",IF($E188="Ngày thường",N($G188),0))</f>
        <v/>
      </c>
      <c r="K188" s="108">
        <f>IF($B188="","",IF($E188="Nghỉ tuần",N($G188),0))</f>
        <v/>
      </c>
      <c r="L188" s="108">
        <f>IF($B188="","",IF($E188="Lễ",N($G188),0))</f>
        <v/>
      </c>
      <c r="M188" s="108">
        <f>IF($B188="","",IF($E188="Ngày thường",N($H188),0))</f>
        <v/>
      </c>
      <c r="N188" s="108">
        <f>IF($B188="","",IF($E188="Nghỉ tuần",N($H188),0))</f>
        <v/>
      </c>
      <c r="O188" s="108">
        <f>IF($B188="","",IF($E188="Lễ",N($H188),0))</f>
        <v/>
      </c>
    </row>
    <row r="189" ht="15" customHeight="1" s="63">
      <c r="A189" s="85">
        <f>IF($B189="","",ROW()-5)</f>
        <v/>
      </c>
      <c r="B189" s="97" t="n"/>
      <c r="C189" s="96">
        <f>IF($B189="","",IFERROR(INDEX(DM_NHAN_SU!$C$6:$C$155,MATCH($B189,DM_NHAN_SU!$B$6:$B$155,0)),"SAI MÃ NV"))</f>
        <v/>
      </c>
      <c r="D189" s="86" t="n"/>
      <c r="E189" s="103">
        <f>IF(OR($B189="",$D189=""),"",IF(COUNTIF(THAM_SO_CC!$F$10:$F$40,$D189)&gt;0,"Lễ",IF(IF(THAM_SO_CC!$B$12="T7+CN",WEEKDAY($D189,2)&gt;=6,WEEKDAY($D189,2)=7),"Nghỉ tuần","Ngày thường")))</f>
        <v/>
      </c>
      <c r="F189" s="107" t="n"/>
      <c r="G189" s="107" t="n"/>
      <c r="H189" s="107" t="n"/>
      <c r="I189" s="81" t="n"/>
      <c r="J189" s="108">
        <f>IF($B189="","",IF($E189="Ngày thường",N($G189),0))</f>
        <v/>
      </c>
      <c r="K189" s="108">
        <f>IF($B189="","",IF($E189="Nghỉ tuần",N($G189),0))</f>
        <v/>
      </c>
      <c r="L189" s="108">
        <f>IF($B189="","",IF($E189="Lễ",N($G189),0))</f>
        <v/>
      </c>
      <c r="M189" s="108">
        <f>IF($B189="","",IF($E189="Ngày thường",N($H189),0))</f>
        <v/>
      </c>
      <c r="N189" s="108">
        <f>IF($B189="","",IF($E189="Nghỉ tuần",N($H189),0))</f>
        <v/>
      </c>
      <c r="O189" s="108">
        <f>IF($B189="","",IF($E189="Lễ",N($H189),0))</f>
        <v/>
      </c>
    </row>
    <row r="190" ht="15" customHeight="1" s="63">
      <c r="A190" s="85">
        <f>IF($B190="","",ROW()-5)</f>
        <v/>
      </c>
      <c r="B190" s="97" t="n"/>
      <c r="C190" s="96">
        <f>IF($B190="","",IFERROR(INDEX(DM_NHAN_SU!$C$6:$C$155,MATCH($B190,DM_NHAN_SU!$B$6:$B$155,0)),"SAI MÃ NV"))</f>
        <v/>
      </c>
      <c r="D190" s="86" t="n"/>
      <c r="E190" s="103">
        <f>IF(OR($B190="",$D190=""),"",IF(COUNTIF(THAM_SO_CC!$F$10:$F$40,$D190)&gt;0,"Lễ",IF(IF(THAM_SO_CC!$B$12="T7+CN",WEEKDAY($D190,2)&gt;=6,WEEKDAY($D190,2)=7),"Nghỉ tuần","Ngày thường")))</f>
        <v/>
      </c>
      <c r="F190" s="107" t="n"/>
      <c r="G190" s="107" t="n"/>
      <c r="H190" s="107" t="n"/>
      <c r="I190" s="81" t="n"/>
      <c r="J190" s="108">
        <f>IF($B190="","",IF($E190="Ngày thường",N($G190),0))</f>
        <v/>
      </c>
      <c r="K190" s="108">
        <f>IF($B190="","",IF($E190="Nghỉ tuần",N($G190),0))</f>
        <v/>
      </c>
      <c r="L190" s="108">
        <f>IF($B190="","",IF($E190="Lễ",N($G190),0))</f>
        <v/>
      </c>
      <c r="M190" s="108">
        <f>IF($B190="","",IF($E190="Ngày thường",N($H190),0))</f>
        <v/>
      </c>
      <c r="N190" s="108">
        <f>IF($B190="","",IF($E190="Nghỉ tuần",N($H190),0))</f>
        <v/>
      </c>
      <c r="O190" s="108">
        <f>IF($B190="","",IF($E190="Lễ",N($H190),0))</f>
        <v/>
      </c>
    </row>
    <row r="191" ht="15" customHeight="1" s="63">
      <c r="A191" s="85">
        <f>IF($B191="","",ROW()-5)</f>
        <v/>
      </c>
      <c r="B191" s="97" t="n"/>
      <c r="C191" s="96">
        <f>IF($B191="","",IFERROR(INDEX(DM_NHAN_SU!$C$6:$C$155,MATCH($B191,DM_NHAN_SU!$B$6:$B$155,0)),"SAI MÃ NV"))</f>
        <v/>
      </c>
      <c r="D191" s="86" t="n"/>
      <c r="E191" s="103">
        <f>IF(OR($B191="",$D191=""),"",IF(COUNTIF(THAM_SO_CC!$F$10:$F$40,$D191)&gt;0,"Lễ",IF(IF(THAM_SO_CC!$B$12="T7+CN",WEEKDAY($D191,2)&gt;=6,WEEKDAY($D191,2)=7),"Nghỉ tuần","Ngày thường")))</f>
        <v/>
      </c>
      <c r="F191" s="107" t="n"/>
      <c r="G191" s="107" t="n"/>
      <c r="H191" s="107" t="n"/>
      <c r="I191" s="81" t="n"/>
      <c r="J191" s="108">
        <f>IF($B191="","",IF($E191="Ngày thường",N($G191),0))</f>
        <v/>
      </c>
      <c r="K191" s="108">
        <f>IF($B191="","",IF($E191="Nghỉ tuần",N($G191),0))</f>
        <v/>
      </c>
      <c r="L191" s="108">
        <f>IF($B191="","",IF($E191="Lễ",N($G191),0))</f>
        <v/>
      </c>
      <c r="M191" s="108">
        <f>IF($B191="","",IF($E191="Ngày thường",N($H191),0))</f>
        <v/>
      </c>
      <c r="N191" s="108">
        <f>IF($B191="","",IF($E191="Nghỉ tuần",N($H191),0))</f>
        <v/>
      </c>
      <c r="O191" s="108">
        <f>IF($B191="","",IF($E191="Lễ",N($H191),0))</f>
        <v/>
      </c>
    </row>
    <row r="192" ht="15" customHeight="1" s="63">
      <c r="A192" s="85">
        <f>IF($B192="","",ROW()-5)</f>
        <v/>
      </c>
      <c r="B192" s="97" t="n"/>
      <c r="C192" s="96">
        <f>IF($B192="","",IFERROR(INDEX(DM_NHAN_SU!$C$6:$C$155,MATCH($B192,DM_NHAN_SU!$B$6:$B$155,0)),"SAI MÃ NV"))</f>
        <v/>
      </c>
      <c r="D192" s="86" t="n"/>
      <c r="E192" s="103">
        <f>IF(OR($B192="",$D192=""),"",IF(COUNTIF(THAM_SO_CC!$F$10:$F$40,$D192)&gt;0,"Lễ",IF(IF(THAM_SO_CC!$B$12="T7+CN",WEEKDAY($D192,2)&gt;=6,WEEKDAY($D192,2)=7),"Nghỉ tuần","Ngày thường")))</f>
        <v/>
      </c>
      <c r="F192" s="107" t="n"/>
      <c r="G192" s="107" t="n"/>
      <c r="H192" s="107" t="n"/>
      <c r="I192" s="81" t="n"/>
      <c r="J192" s="108">
        <f>IF($B192="","",IF($E192="Ngày thường",N($G192),0))</f>
        <v/>
      </c>
      <c r="K192" s="108">
        <f>IF($B192="","",IF($E192="Nghỉ tuần",N($G192),0))</f>
        <v/>
      </c>
      <c r="L192" s="108">
        <f>IF($B192="","",IF($E192="Lễ",N($G192),0))</f>
        <v/>
      </c>
      <c r="M192" s="108">
        <f>IF($B192="","",IF($E192="Ngày thường",N($H192),0))</f>
        <v/>
      </c>
      <c r="N192" s="108">
        <f>IF($B192="","",IF($E192="Nghỉ tuần",N($H192),0))</f>
        <v/>
      </c>
      <c r="O192" s="108">
        <f>IF($B192="","",IF($E192="Lễ",N($H192),0))</f>
        <v/>
      </c>
    </row>
    <row r="193" ht="15" customHeight="1" s="63">
      <c r="A193" s="85">
        <f>IF($B193="","",ROW()-5)</f>
        <v/>
      </c>
      <c r="B193" s="97" t="n"/>
      <c r="C193" s="96">
        <f>IF($B193="","",IFERROR(INDEX(DM_NHAN_SU!$C$6:$C$155,MATCH($B193,DM_NHAN_SU!$B$6:$B$155,0)),"SAI MÃ NV"))</f>
        <v/>
      </c>
      <c r="D193" s="86" t="n"/>
      <c r="E193" s="103">
        <f>IF(OR($B193="",$D193=""),"",IF(COUNTIF(THAM_SO_CC!$F$10:$F$40,$D193)&gt;0,"Lễ",IF(IF(THAM_SO_CC!$B$12="T7+CN",WEEKDAY($D193,2)&gt;=6,WEEKDAY($D193,2)=7),"Nghỉ tuần","Ngày thường")))</f>
        <v/>
      </c>
      <c r="F193" s="107" t="n"/>
      <c r="G193" s="107" t="n"/>
      <c r="H193" s="107" t="n"/>
      <c r="I193" s="81" t="n"/>
      <c r="J193" s="108">
        <f>IF($B193="","",IF($E193="Ngày thường",N($G193),0))</f>
        <v/>
      </c>
      <c r="K193" s="108">
        <f>IF($B193="","",IF($E193="Nghỉ tuần",N($G193),0))</f>
        <v/>
      </c>
      <c r="L193" s="108">
        <f>IF($B193="","",IF($E193="Lễ",N($G193),0))</f>
        <v/>
      </c>
      <c r="M193" s="108">
        <f>IF($B193="","",IF($E193="Ngày thường",N($H193),0))</f>
        <v/>
      </c>
      <c r="N193" s="108">
        <f>IF($B193="","",IF($E193="Nghỉ tuần",N($H193),0))</f>
        <v/>
      </c>
      <c r="O193" s="108">
        <f>IF($B193="","",IF($E193="Lễ",N($H193),0))</f>
        <v/>
      </c>
    </row>
    <row r="194" ht="15" customHeight="1" s="63">
      <c r="A194" s="85">
        <f>IF($B194="","",ROW()-5)</f>
        <v/>
      </c>
      <c r="B194" s="97" t="n"/>
      <c r="C194" s="96">
        <f>IF($B194="","",IFERROR(INDEX(DM_NHAN_SU!$C$6:$C$155,MATCH($B194,DM_NHAN_SU!$B$6:$B$155,0)),"SAI MÃ NV"))</f>
        <v/>
      </c>
      <c r="D194" s="86" t="n"/>
      <c r="E194" s="103">
        <f>IF(OR($B194="",$D194=""),"",IF(COUNTIF(THAM_SO_CC!$F$10:$F$40,$D194)&gt;0,"Lễ",IF(IF(THAM_SO_CC!$B$12="T7+CN",WEEKDAY($D194,2)&gt;=6,WEEKDAY($D194,2)=7),"Nghỉ tuần","Ngày thường")))</f>
        <v/>
      </c>
      <c r="F194" s="107" t="n"/>
      <c r="G194" s="107" t="n"/>
      <c r="H194" s="107" t="n"/>
      <c r="I194" s="81" t="n"/>
      <c r="J194" s="108">
        <f>IF($B194="","",IF($E194="Ngày thường",N($G194),0))</f>
        <v/>
      </c>
      <c r="K194" s="108">
        <f>IF($B194="","",IF($E194="Nghỉ tuần",N($G194),0))</f>
        <v/>
      </c>
      <c r="L194" s="108">
        <f>IF($B194="","",IF($E194="Lễ",N($G194),0))</f>
        <v/>
      </c>
      <c r="M194" s="108">
        <f>IF($B194="","",IF($E194="Ngày thường",N($H194),0))</f>
        <v/>
      </c>
      <c r="N194" s="108">
        <f>IF($B194="","",IF($E194="Nghỉ tuần",N($H194),0))</f>
        <v/>
      </c>
      <c r="O194" s="108">
        <f>IF($B194="","",IF($E194="Lễ",N($H194),0))</f>
        <v/>
      </c>
    </row>
    <row r="195" ht="15" customHeight="1" s="63">
      <c r="A195" s="85">
        <f>IF($B195="","",ROW()-5)</f>
        <v/>
      </c>
      <c r="B195" s="97" t="n"/>
      <c r="C195" s="96">
        <f>IF($B195="","",IFERROR(INDEX(DM_NHAN_SU!$C$6:$C$155,MATCH($B195,DM_NHAN_SU!$B$6:$B$155,0)),"SAI MÃ NV"))</f>
        <v/>
      </c>
      <c r="D195" s="86" t="n"/>
      <c r="E195" s="103">
        <f>IF(OR($B195="",$D195=""),"",IF(COUNTIF(THAM_SO_CC!$F$10:$F$40,$D195)&gt;0,"Lễ",IF(IF(THAM_SO_CC!$B$12="T7+CN",WEEKDAY($D195,2)&gt;=6,WEEKDAY($D195,2)=7),"Nghỉ tuần","Ngày thường")))</f>
        <v/>
      </c>
      <c r="F195" s="107" t="n"/>
      <c r="G195" s="107" t="n"/>
      <c r="H195" s="107" t="n"/>
      <c r="I195" s="81" t="n"/>
      <c r="J195" s="108">
        <f>IF($B195="","",IF($E195="Ngày thường",N($G195),0))</f>
        <v/>
      </c>
      <c r="K195" s="108">
        <f>IF($B195="","",IF($E195="Nghỉ tuần",N($G195),0))</f>
        <v/>
      </c>
      <c r="L195" s="108">
        <f>IF($B195="","",IF($E195="Lễ",N($G195),0))</f>
        <v/>
      </c>
      <c r="M195" s="108">
        <f>IF($B195="","",IF($E195="Ngày thường",N($H195),0))</f>
        <v/>
      </c>
      <c r="N195" s="108">
        <f>IF($B195="","",IF($E195="Nghỉ tuần",N($H195),0))</f>
        <v/>
      </c>
      <c r="O195" s="108">
        <f>IF($B195="","",IF($E195="Lễ",N($H195),0))</f>
        <v/>
      </c>
    </row>
    <row r="196" ht="15" customHeight="1" s="63">
      <c r="A196" s="85">
        <f>IF($B196="","",ROW()-5)</f>
        <v/>
      </c>
      <c r="B196" s="97" t="n"/>
      <c r="C196" s="96">
        <f>IF($B196="","",IFERROR(INDEX(DM_NHAN_SU!$C$6:$C$155,MATCH($B196,DM_NHAN_SU!$B$6:$B$155,0)),"SAI MÃ NV"))</f>
        <v/>
      </c>
      <c r="D196" s="86" t="n"/>
      <c r="E196" s="103">
        <f>IF(OR($B196="",$D196=""),"",IF(COUNTIF(THAM_SO_CC!$F$10:$F$40,$D196)&gt;0,"Lễ",IF(IF(THAM_SO_CC!$B$12="T7+CN",WEEKDAY($D196,2)&gt;=6,WEEKDAY($D196,2)=7),"Nghỉ tuần","Ngày thường")))</f>
        <v/>
      </c>
      <c r="F196" s="107" t="n"/>
      <c r="G196" s="107" t="n"/>
      <c r="H196" s="107" t="n"/>
      <c r="I196" s="81" t="n"/>
      <c r="J196" s="108">
        <f>IF($B196="","",IF($E196="Ngày thường",N($G196),0))</f>
        <v/>
      </c>
      <c r="K196" s="108">
        <f>IF($B196="","",IF($E196="Nghỉ tuần",N($G196),0))</f>
        <v/>
      </c>
      <c r="L196" s="108">
        <f>IF($B196="","",IF($E196="Lễ",N($G196),0))</f>
        <v/>
      </c>
      <c r="M196" s="108">
        <f>IF($B196="","",IF($E196="Ngày thường",N($H196),0))</f>
        <v/>
      </c>
      <c r="N196" s="108">
        <f>IF($B196="","",IF($E196="Nghỉ tuần",N($H196),0))</f>
        <v/>
      </c>
      <c r="O196" s="108">
        <f>IF($B196="","",IF($E196="Lễ",N($H196),0))</f>
        <v/>
      </c>
    </row>
    <row r="197" ht="15" customHeight="1" s="63">
      <c r="A197" s="85">
        <f>IF($B197="","",ROW()-5)</f>
        <v/>
      </c>
      <c r="B197" s="97" t="n"/>
      <c r="C197" s="96">
        <f>IF($B197="","",IFERROR(INDEX(DM_NHAN_SU!$C$6:$C$155,MATCH($B197,DM_NHAN_SU!$B$6:$B$155,0)),"SAI MÃ NV"))</f>
        <v/>
      </c>
      <c r="D197" s="86" t="n"/>
      <c r="E197" s="103">
        <f>IF(OR($B197="",$D197=""),"",IF(COUNTIF(THAM_SO_CC!$F$10:$F$40,$D197)&gt;0,"Lễ",IF(IF(THAM_SO_CC!$B$12="T7+CN",WEEKDAY($D197,2)&gt;=6,WEEKDAY($D197,2)=7),"Nghỉ tuần","Ngày thường")))</f>
        <v/>
      </c>
      <c r="F197" s="107" t="n"/>
      <c r="G197" s="107" t="n"/>
      <c r="H197" s="107" t="n"/>
      <c r="I197" s="81" t="n"/>
      <c r="J197" s="108">
        <f>IF($B197="","",IF($E197="Ngày thường",N($G197),0))</f>
        <v/>
      </c>
      <c r="K197" s="108">
        <f>IF($B197="","",IF($E197="Nghỉ tuần",N($G197),0))</f>
        <v/>
      </c>
      <c r="L197" s="108">
        <f>IF($B197="","",IF($E197="Lễ",N($G197),0))</f>
        <v/>
      </c>
      <c r="M197" s="108">
        <f>IF($B197="","",IF($E197="Ngày thường",N($H197),0))</f>
        <v/>
      </c>
      <c r="N197" s="108">
        <f>IF($B197="","",IF($E197="Nghỉ tuần",N($H197),0))</f>
        <v/>
      </c>
      <c r="O197" s="108">
        <f>IF($B197="","",IF($E197="Lễ",N($H197),0))</f>
        <v/>
      </c>
    </row>
    <row r="198" ht="15" customHeight="1" s="63">
      <c r="A198" s="85">
        <f>IF($B198="","",ROW()-5)</f>
        <v/>
      </c>
      <c r="B198" s="97" t="n"/>
      <c r="C198" s="96">
        <f>IF($B198="","",IFERROR(INDEX(DM_NHAN_SU!$C$6:$C$155,MATCH($B198,DM_NHAN_SU!$B$6:$B$155,0)),"SAI MÃ NV"))</f>
        <v/>
      </c>
      <c r="D198" s="86" t="n"/>
      <c r="E198" s="103">
        <f>IF(OR($B198="",$D198=""),"",IF(COUNTIF(THAM_SO_CC!$F$10:$F$40,$D198)&gt;0,"Lễ",IF(IF(THAM_SO_CC!$B$12="T7+CN",WEEKDAY($D198,2)&gt;=6,WEEKDAY($D198,2)=7),"Nghỉ tuần","Ngày thường")))</f>
        <v/>
      </c>
      <c r="F198" s="107" t="n"/>
      <c r="G198" s="107" t="n"/>
      <c r="H198" s="107" t="n"/>
      <c r="I198" s="81" t="n"/>
      <c r="J198" s="108">
        <f>IF($B198="","",IF($E198="Ngày thường",N($G198),0))</f>
        <v/>
      </c>
      <c r="K198" s="108">
        <f>IF($B198="","",IF($E198="Nghỉ tuần",N($G198),0))</f>
        <v/>
      </c>
      <c r="L198" s="108">
        <f>IF($B198="","",IF($E198="Lễ",N($G198),0))</f>
        <v/>
      </c>
      <c r="M198" s="108">
        <f>IF($B198="","",IF($E198="Ngày thường",N($H198),0))</f>
        <v/>
      </c>
      <c r="N198" s="108">
        <f>IF($B198="","",IF($E198="Nghỉ tuần",N($H198),0))</f>
        <v/>
      </c>
      <c r="O198" s="108">
        <f>IF($B198="","",IF($E198="Lễ",N($H198),0))</f>
        <v/>
      </c>
    </row>
    <row r="199" ht="15" customHeight="1" s="63">
      <c r="A199" s="85">
        <f>IF($B199="","",ROW()-5)</f>
        <v/>
      </c>
      <c r="B199" s="97" t="n"/>
      <c r="C199" s="96">
        <f>IF($B199="","",IFERROR(INDEX(DM_NHAN_SU!$C$6:$C$155,MATCH($B199,DM_NHAN_SU!$B$6:$B$155,0)),"SAI MÃ NV"))</f>
        <v/>
      </c>
      <c r="D199" s="86" t="n"/>
      <c r="E199" s="103">
        <f>IF(OR($B199="",$D199=""),"",IF(COUNTIF(THAM_SO_CC!$F$10:$F$40,$D199)&gt;0,"Lễ",IF(IF(THAM_SO_CC!$B$12="T7+CN",WEEKDAY($D199,2)&gt;=6,WEEKDAY($D199,2)=7),"Nghỉ tuần","Ngày thường")))</f>
        <v/>
      </c>
      <c r="F199" s="107" t="n"/>
      <c r="G199" s="107" t="n"/>
      <c r="H199" s="107" t="n"/>
      <c r="I199" s="81" t="n"/>
      <c r="J199" s="108">
        <f>IF($B199="","",IF($E199="Ngày thường",N($G199),0))</f>
        <v/>
      </c>
      <c r="K199" s="108">
        <f>IF($B199="","",IF($E199="Nghỉ tuần",N($G199),0))</f>
        <v/>
      </c>
      <c r="L199" s="108">
        <f>IF($B199="","",IF($E199="Lễ",N($G199),0))</f>
        <v/>
      </c>
      <c r="M199" s="108">
        <f>IF($B199="","",IF($E199="Ngày thường",N($H199),0))</f>
        <v/>
      </c>
      <c r="N199" s="108">
        <f>IF($B199="","",IF($E199="Nghỉ tuần",N($H199),0))</f>
        <v/>
      </c>
      <c r="O199" s="108">
        <f>IF($B199="","",IF($E199="Lễ",N($H199),0))</f>
        <v/>
      </c>
    </row>
    <row r="200" ht="15" customHeight="1" s="63">
      <c r="A200" s="85">
        <f>IF($B200="","",ROW()-5)</f>
        <v/>
      </c>
      <c r="B200" s="97" t="n"/>
      <c r="C200" s="96">
        <f>IF($B200="","",IFERROR(INDEX(DM_NHAN_SU!$C$6:$C$155,MATCH($B200,DM_NHAN_SU!$B$6:$B$155,0)),"SAI MÃ NV"))</f>
        <v/>
      </c>
      <c r="D200" s="86" t="n"/>
      <c r="E200" s="103">
        <f>IF(OR($B200="",$D200=""),"",IF(COUNTIF(THAM_SO_CC!$F$10:$F$40,$D200)&gt;0,"Lễ",IF(IF(THAM_SO_CC!$B$12="T7+CN",WEEKDAY($D200,2)&gt;=6,WEEKDAY($D200,2)=7),"Nghỉ tuần","Ngày thường")))</f>
        <v/>
      </c>
      <c r="F200" s="107" t="n"/>
      <c r="G200" s="107" t="n"/>
      <c r="H200" s="107" t="n"/>
      <c r="I200" s="81" t="n"/>
      <c r="J200" s="108">
        <f>IF($B200="","",IF($E200="Ngày thường",N($G200),0))</f>
        <v/>
      </c>
      <c r="K200" s="108">
        <f>IF($B200="","",IF($E200="Nghỉ tuần",N($G200),0))</f>
        <v/>
      </c>
      <c r="L200" s="108">
        <f>IF($B200="","",IF($E200="Lễ",N($G200),0))</f>
        <v/>
      </c>
      <c r="M200" s="108">
        <f>IF($B200="","",IF($E200="Ngày thường",N($H200),0))</f>
        <v/>
      </c>
      <c r="N200" s="108">
        <f>IF($B200="","",IF($E200="Nghỉ tuần",N($H200),0))</f>
        <v/>
      </c>
      <c r="O200" s="108">
        <f>IF($B200="","",IF($E200="Lễ",N($H200),0))</f>
        <v/>
      </c>
    </row>
    <row r="201" ht="15" customHeight="1" s="63">
      <c r="A201" s="85">
        <f>IF($B201="","",ROW()-5)</f>
        <v/>
      </c>
      <c r="B201" s="97" t="n"/>
      <c r="C201" s="96">
        <f>IF($B201="","",IFERROR(INDEX(DM_NHAN_SU!$C$6:$C$155,MATCH($B201,DM_NHAN_SU!$B$6:$B$155,0)),"SAI MÃ NV"))</f>
        <v/>
      </c>
      <c r="D201" s="86" t="n"/>
      <c r="E201" s="103">
        <f>IF(OR($B201="",$D201=""),"",IF(COUNTIF(THAM_SO_CC!$F$10:$F$40,$D201)&gt;0,"Lễ",IF(IF(THAM_SO_CC!$B$12="T7+CN",WEEKDAY($D201,2)&gt;=6,WEEKDAY($D201,2)=7),"Nghỉ tuần","Ngày thường")))</f>
        <v/>
      </c>
      <c r="F201" s="107" t="n"/>
      <c r="G201" s="107" t="n"/>
      <c r="H201" s="107" t="n"/>
      <c r="I201" s="81" t="n"/>
      <c r="J201" s="108">
        <f>IF($B201="","",IF($E201="Ngày thường",N($G201),0))</f>
        <v/>
      </c>
      <c r="K201" s="108">
        <f>IF($B201="","",IF($E201="Nghỉ tuần",N($G201),0))</f>
        <v/>
      </c>
      <c r="L201" s="108">
        <f>IF($B201="","",IF($E201="Lễ",N($G201),0))</f>
        <v/>
      </c>
      <c r="M201" s="108">
        <f>IF($B201="","",IF($E201="Ngày thường",N($H201),0))</f>
        <v/>
      </c>
      <c r="N201" s="108">
        <f>IF($B201="","",IF($E201="Nghỉ tuần",N($H201),0))</f>
        <v/>
      </c>
      <c r="O201" s="108">
        <f>IF($B201="","",IF($E201="Lễ",N($H201),0))</f>
        <v/>
      </c>
    </row>
    <row r="202" ht="15" customHeight="1" s="63">
      <c r="A202" s="85">
        <f>IF($B202="","",ROW()-5)</f>
        <v/>
      </c>
      <c r="B202" s="97" t="n"/>
      <c r="C202" s="96">
        <f>IF($B202="","",IFERROR(INDEX(DM_NHAN_SU!$C$6:$C$155,MATCH($B202,DM_NHAN_SU!$B$6:$B$155,0)),"SAI MÃ NV"))</f>
        <v/>
      </c>
      <c r="D202" s="86" t="n"/>
      <c r="E202" s="103">
        <f>IF(OR($B202="",$D202=""),"",IF(COUNTIF(THAM_SO_CC!$F$10:$F$40,$D202)&gt;0,"Lễ",IF(IF(THAM_SO_CC!$B$12="T7+CN",WEEKDAY($D202,2)&gt;=6,WEEKDAY($D202,2)=7),"Nghỉ tuần","Ngày thường")))</f>
        <v/>
      </c>
      <c r="F202" s="107" t="n"/>
      <c r="G202" s="107" t="n"/>
      <c r="H202" s="107" t="n"/>
      <c r="I202" s="81" t="n"/>
      <c r="J202" s="108">
        <f>IF($B202="","",IF($E202="Ngày thường",N($G202),0))</f>
        <v/>
      </c>
      <c r="K202" s="108">
        <f>IF($B202="","",IF($E202="Nghỉ tuần",N($G202),0))</f>
        <v/>
      </c>
      <c r="L202" s="108">
        <f>IF($B202="","",IF($E202="Lễ",N($G202),0))</f>
        <v/>
      </c>
      <c r="M202" s="108">
        <f>IF($B202="","",IF($E202="Ngày thường",N($H202),0))</f>
        <v/>
      </c>
      <c r="N202" s="108">
        <f>IF($B202="","",IF($E202="Nghỉ tuần",N($H202),0))</f>
        <v/>
      </c>
      <c r="O202" s="108">
        <f>IF($B202="","",IF($E202="Lễ",N($H202),0))</f>
        <v/>
      </c>
    </row>
    <row r="203" ht="15" customHeight="1" s="63">
      <c r="A203" s="85">
        <f>IF($B203="","",ROW()-5)</f>
        <v/>
      </c>
      <c r="B203" s="97" t="n"/>
      <c r="C203" s="96">
        <f>IF($B203="","",IFERROR(INDEX(DM_NHAN_SU!$C$6:$C$155,MATCH($B203,DM_NHAN_SU!$B$6:$B$155,0)),"SAI MÃ NV"))</f>
        <v/>
      </c>
      <c r="D203" s="86" t="n"/>
      <c r="E203" s="103">
        <f>IF(OR($B203="",$D203=""),"",IF(COUNTIF(THAM_SO_CC!$F$10:$F$40,$D203)&gt;0,"Lễ",IF(IF(THAM_SO_CC!$B$12="T7+CN",WEEKDAY($D203,2)&gt;=6,WEEKDAY($D203,2)=7),"Nghỉ tuần","Ngày thường")))</f>
        <v/>
      </c>
      <c r="F203" s="107" t="n"/>
      <c r="G203" s="107" t="n"/>
      <c r="H203" s="107" t="n"/>
      <c r="I203" s="81" t="n"/>
      <c r="J203" s="108">
        <f>IF($B203="","",IF($E203="Ngày thường",N($G203),0))</f>
        <v/>
      </c>
      <c r="K203" s="108">
        <f>IF($B203="","",IF($E203="Nghỉ tuần",N($G203),0))</f>
        <v/>
      </c>
      <c r="L203" s="108">
        <f>IF($B203="","",IF($E203="Lễ",N($G203),0))</f>
        <v/>
      </c>
      <c r="M203" s="108">
        <f>IF($B203="","",IF($E203="Ngày thường",N($H203),0))</f>
        <v/>
      </c>
      <c r="N203" s="108">
        <f>IF($B203="","",IF($E203="Nghỉ tuần",N($H203),0))</f>
        <v/>
      </c>
      <c r="O203" s="108">
        <f>IF($B203="","",IF($E203="Lễ",N($H203),0))</f>
        <v/>
      </c>
    </row>
    <row r="204" ht="15" customHeight="1" s="63">
      <c r="A204" s="85">
        <f>IF($B204="","",ROW()-5)</f>
        <v/>
      </c>
      <c r="B204" s="97" t="n"/>
      <c r="C204" s="96">
        <f>IF($B204="","",IFERROR(INDEX(DM_NHAN_SU!$C$6:$C$155,MATCH($B204,DM_NHAN_SU!$B$6:$B$155,0)),"SAI MÃ NV"))</f>
        <v/>
      </c>
      <c r="D204" s="86" t="n"/>
      <c r="E204" s="103">
        <f>IF(OR($B204="",$D204=""),"",IF(COUNTIF(THAM_SO_CC!$F$10:$F$40,$D204)&gt;0,"Lễ",IF(IF(THAM_SO_CC!$B$12="T7+CN",WEEKDAY($D204,2)&gt;=6,WEEKDAY($D204,2)=7),"Nghỉ tuần","Ngày thường")))</f>
        <v/>
      </c>
      <c r="F204" s="107" t="n"/>
      <c r="G204" s="107" t="n"/>
      <c r="H204" s="107" t="n"/>
      <c r="I204" s="81" t="n"/>
      <c r="J204" s="108">
        <f>IF($B204="","",IF($E204="Ngày thường",N($G204),0))</f>
        <v/>
      </c>
      <c r="K204" s="108">
        <f>IF($B204="","",IF($E204="Nghỉ tuần",N($G204),0))</f>
        <v/>
      </c>
      <c r="L204" s="108">
        <f>IF($B204="","",IF($E204="Lễ",N($G204),0))</f>
        <v/>
      </c>
      <c r="M204" s="108">
        <f>IF($B204="","",IF($E204="Ngày thường",N($H204),0))</f>
        <v/>
      </c>
      <c r="N204" s="108">
        <f>IF($B204="","",IF($E204="Nghỉ tuần",N($H204),0))</f>
        <v/>
      </c>
      <c r="O204" s="108">
        <f>IF($B204="","",IF($E204="Lễ",N($H204),0))</f>
        <v/>
      </c>
    </row>
    <row r="205" ht="15" customHeight="1" s="63">
      <c r="A205" s="85">
        <f>IF($B205="","",ROW()-5)</f>
        <v/>
      </c>
      <c r="B205" s="97" t="n"/>
      <c r="C205" s="96">
        <f>IF($B205="","",IFERROR(INDEX(DM_NHAN_SU!$C$6:$C$155,MATCH($B205,DM_NHAN_SU!$B$6:$B$155,0)),"SAI MÃ NV"))</f>
        <v/>
      </c>
      <c r="D205" s="86" t="n"/>
      <c r="E205" s="103">
        <f>IF(OR($B205="",$D205=""),"",IF(COUNTIF(THAM_SO_CC!$F$10:$F$40,$D205)&gt;0,"Lễ",IF(IF(THAM_SO_CC!$B$12="T7+CN",WEEKDAY($D205,2)&gt;=6,WEEKDAY($D205,2)=7),"Nghỉ tuần","Ngày thường")))</f>
        <v/>
      </c>
      <c r="F205" s="107" t="n"/>
      <c r="G205" s="107" t="n"/>
      <c r="H205" s="107" t="n"/>
      <c r="I205" s="81" t="n"/>
      <c r="J205" s="108">
        <f>IF($B205="","",IF($E205="Ngày thường",N($G205),0))</f>
        <v/>
      </c>
      <c r="K205" s="108">
        <f>IF($B205="","",IF($E205="Nghỉ tuần",N($G205),0))</f>
        <v/>
      </c>
      <c r="L205" s="108">
        <f>IF($B205="","",IF($E205="Lễ",N($G205),0))</f>
        <v/>
      </c>
      <c r="M205" s="108">
        <f>IF($B205="","",IF($E205="Ngày thường",N($H205),0))</f>
        <v/>
      </c>
      <c r="N205" s="108">
        <f>IF($B205="","",IF($E205="Nghỉ tuần",N($H205),0))</f>
        <v/>
      </c>
      <c r="O205" s="108">
        <f>IF($B205="","",IF($E205="Lễ",N($H205),0))</f>
        <v/>
      </c>
    </row>
    <row r="206" ht="15" customHeight="1" s="63">
      <c r="A206" s="85">
        <f>IF($B206="","",ROW()-5)</f>
        <v/>
      </c>
      <c r="B206" s="97" t="n"/>
      <c r="C206" s="96">
        <f>IF($B206="","",IFERROR(INDEX(DM_NHAN_SU!$C$6:$C$155,MATCH($B206,DM_NHAN_SU!$B$6:$B$155,0)),"SAI MÃ NV"))</f>
        <v/>
      </c>
      <c r="D206" s="86" t="n"/>
      <c r="E206" s="103">
        <f>IF(OR($B206="",$D206=""),"",IF(COUNTIF(THAM_SO_CC!$F$10:$F$40,$D206)&gt;0,"Lễ",IF(IF(THAM_SO_CC!$B$12="T7+CN",WEEKDAY($D206,2)&gt;=6,WEEKDAY($D206,2)=7),"Nghỉ tuần","Ngày thường")))</f>
        <v/>
      </c>
      <c r="F206" s="107" t="n"/>
      <c r="G206" s="107" t="n"/>
      <c r="H206" s="107" t="n"/>
      <c r="I206" s="81" t="n"/>
      <c r="J206" s="108">
        <f>IF($B206="","",IF($E206="Ngày thường",N($G206),0))</f>
        <v/>
      </c>
      <c r="K206" s="108">
        <f>IF($B206="","",IF($E206="Nghỉ tuần",N($G206),0))</f>
        <v/>
      </c>
      <c r="L206" s="108">
        <f>IF($B206="","",IF($E206="Lễ",N($G206),0))</f>
        <v/>
      </c>
      <c r="M206" s="108">
        <f>IF($B206="","",IF($E206="Ngày thường",N($H206),0))</f>
        <v/>
      </c>
      <c r="N206" s="108">
        <f>IF($B206="","",IF($E206="Nghỉ tuần",N($H206),0))</f>
        <v/>
      </c>
      <c r="O206" s="108">
        <f>IF($B206="","",IF($E206="Lễ",N($H206),0))</f>
        <v/>
      </c>
    </row>
    <row r="207" ht="15" customHeight="1" s="63">
      <c r="A207" s="85">
        <f>IF($B207="","",ROW()-5)</f>
        <v/>
      </c>
      <c r="B207" s="97" t="n"/>
      <c r="C207" s="96">
        <f>IF($B207="","",IFERROR(INDEX(DM_NHAN_SU!$C$6:$C$155,MATCH($B207,DM_NHAN_SU!$B$6:$B$155,0)),"SAI MÃ NV"))</f>
        <v/>
      </c>
      <c r="D207" s="86" t="n"/>
      <c r="E207" s="103">
        <f>IF(OR($B207="",$D207=""),"",IF(COUNTIF(THAM_SO_CC!$F$10:$F$40,$D207)&gt;0,"Lễ",IF(IF(THAM_SO_CC!$B$12="T7+CN",WEEKDAY($D207,2)&gt;=6,WEEKDAY($D207,2)=7),"Nghỉ tuần","Ngày thường")))</f>
        <v/>
      </c>
      <c r="F207" s="107" t="n"/>
      <c r="G207" s="107" t="n"/>
      <c r="H207" s="107" t="n"/>
      <c r="I207" s="81" t="n"/>
      <c r="J207" s="108">
        <f>IF($B207="","",IF($E207="Ngày thường",N($G207),0))</f>
        <v/>
      </c>
      <c r="K207" s="108">
        <f>IF($B207="","",IF($E207="Nghỉ tuần",N($G207),0))</f>
        <v/>
      </c>
      <c r="L207" s="108">
        <f>IF($B207="","",IF($E207="Lễ",N($G207),0))</f>
        <v/>
      </c>
      <c r="M207" s="108">
        <f>IF($B207="","",IF($E207="Ngày thường",N($H207),0))</f>
        <v/>
      </c>
      <c r="N207" s="108">
        <f>IF($B207="","",IF($E207="Nghỉ tuần",N($H207),0))</f>
        <v/>
      </c>
      <c r="O207" s="108">
        <f>IF($B207="","",IF($E207="Lễ",N($H207),0))</f>
        <v/>
      </c>
    </row>
    <row r="208" ht="15" customHeight="1" s="63">
      <c r="A208" s="85">
        <f>IF($B208="","",ROW()-5)</f>
        <v/>
      </c>
      <c r="B208" s="97" t="n"/>
      <c r="C208" s="96">
        <f>IF($B208="","",IFERROR(INDEX(DM_NHAN_SU!$C$6:$C$155,MATCH($B208,DM_NHAN_SU!$B$6:$B$155,0)),"SAI MÃ NV"))</f>
        <v/>
      </c>
      <c r="D208" s="86" t="n"/>
      <c r="E208" s="103">
        <f>IF(OR($B208="",$D208=""),"",IF(COUNTIF(THAM_SO_CC!$F$10:$F$40,$D208)&gt;0,"Lễ",IF(IF(THAM_SO_CC!$B$12="T7+CN",WEEKDAY($D208,2)&gt;=6,WEEKDAY($D208,2)=7),"Nghỉ tuần","Ngày thường")))</f>
        <v/>
      </c>
      <c r="F208" s="107" t="n"/>
      <c r="G208" s="107" t="n"/>
      <c r="H208" s="107" t="n"/>
      <c r="I208" s="81" t="n"/>
      <c r="J208" s="108">
        <f>IF($B208="","",IF($E208="Ngày thường",N($G208),0))</f>
        <v/>
      </c>
      <c r="K208" s="108">
        <f>IF($B208="","",IF($E208="Nghỉ tuần",N($G208),0))</f>
        <v/>
      </c>
      <c r="L208" s="108">
        <f>IF($B208="","",IF($E208="Lễ",N($G208),0))</f>
        <v/>
      </c>
      <c r="M208" s="108">
        <f>IF($B208="","",IF($E208="Ngày thường",N($H208),0))</f>
        <v/>
      </c>
      <c r="N208" s="108">
        <f>IF($B208="","",IF($E208="Nghỉ tuần",N($H208),0))</f>
        <v/>
      </c>
      <c r="O208" s="108">
        <f>IF($B208="","",IF($E208="Lễ",N($H208),0))</f>
        <v/>
      </c>
    </row>
    <row r="209" ht="15" customHeight="1" s="63">
      <c r="A209" s="85">
        <f>IF($B209="","",ROW()-5)</f>
        <v/>
      </c>
      <c r="B209" s="97" t="n"/>
      <c r="C209" s="96">
        <f>IF($B209="","",IFERROR(INDEX(DM_NHAN_SU!$C$6:$C$155,MATCH($B209,DM_NHAN_SU!$B$6:$B$155,0)),"SAI MÃ NV"))</f>
        <v/>
      </c>
      <c r="D209" s="86" t="n"/>
      <c r="E209" s="103">
        <f>IF(OR($B209="",$D209=""),"",IF(COUNTIF(THAM_SO_CC!$F$10:$F$40,$D209)&gt;0,"Lễ",IF(IF(THAM_SO_CC!$B$12="T7+CN",WEEKDAY($D209,2)&gt;=6,WEEKDAY($D209,2)=7),"Nghỉ tuần","Ngày thường")))</f>
        <v/>
      </c>
      <c r="F209" s="107" t="n"/>
      <c r="G209" s="107" t="n"/>
      <c r="H209" s="107" t="n"/>
      <c r="I209" s="81" t="n"/>
      <c r="J209" s="108">
        <f>IF($B209="","",IF($E209="Ngày thường",N($G209),0))</f>
        <v/>
      </c>
      <c r="K209" s="108">
        <f>IF($B209="","",IF($E209="Nghỉ tuần",N($G209),0))</f>
        <v/>
      </c>
      <c r="L209" s="108">
        <f>IF($B209="","",IF($E209="Lễ",N($G209),0))</f>
        <v/>
      </c>
      <c r="M209" s="108">
        <f>IF($B209="","",IF($E209="Ngày thường",N($H209),0))</f>
        <v/>
      </c>
      <c r="N209" s="108">
        <f>IF($B209="","",IF($E209="Nghỉ tuần",N($H209),0))</f>
        <v/>
      </c>
      <c r="O209" s="108">
        <f>IF($B209="","",IF($E209="Lễ",N($H209),0))</f>
        <v/>
      </c>
    </row>
    <row r="210" ht="15" customHeight="1" s="63">
      <c r="A210" s="85">
        <f>IF($B210="","",ROW()-5)</f>
        <v/>
      </c>
      <c r="B210" s="97" t="n"/>
      <c r="C210" s="96">
        <f>IF($B210="","",IFERROR(INDEX(DM_NHAN_SU!$C$6:$C$155,MATCH($B210,DM_NHAN_SU!$B$6:$B$155,0)),"SAI MÃ NV"))</f>
        <v/>
      </c>
      <c r="D210" s="86" t="n"/>
      <c r="E210" s="103">
        <f>IF(OR($B210="",$D210=""),"",IF(COUNTIF(THAM_SO_CC!$F$10:$F$40,$D210)&gt;0,"Lễ",IF(IF(THAM_SO_CC!$B$12="T7+CN",WEEKDAY($D210,2)&gt;=6,WEEKDAY($D210,2)=7),"Nghỉ tuần","Ngày thường")))</f>
        <v/>
      </c>
      <c r="F210" s="107" t="n"/>
      <c r="G210" s="107" t="n"/>
      <c r="H210" s="107" t="n"/>
      <c r="I210" s="81" t="n"/>
      <c r="J210" s="108">
        <f>IF($B210="","",IF($E210="Ngày thường",N($G210),0))</f>
        <v/>
      </c>
      <c r="K210" s="108">
        <f>IF($B210="","",IF($E210="Nghỉ tuần",N($G210),0))</f>
        <v/>
      </c>
      <c r="L210" s="108">
        <f>IF($B210="","",IF($E210="Lễ",N($G210),0))</f>
        <v/>
      </c>
      <c r="M210" s="108">
        <f>IF($B210="","",IF($E210="Ngày thường",N($H210),0))</f>
        <v/>
      </c>
      <c r="N210" s="108">
        <f>IF($B210="","",IF($E210="Nghỉ tuần",N($H210),0))</f>
        <v/>
      </c>
      <c r="O210" s="108">
        <f>IF($B210="","",IF($E210="Lễ",N($H210),0))</f>
        <v/>
      </c>
    </row>
    <row r="211" ht="15" customHeight="1" s="63">
      <c r="A211" s="85">
        <f>IF($B211="","",ROW()-5)</f>
        <v/>
      </c>
      <c r="B211" s="97" t="n"/>
      <c r="C211" s="96">
        <f>IF($B211="","",IFERROR(INDEX(DM_NHAN_SU!$C$6:$C$155,MATCH($B211,DM_NHAN_SU!$B$6:$B$155,0)),"SAI MÃ NV"))</f>
        <v/>
      </c>
      <c r="D211" s="86" t="n"/>
      <c r="E211" s="103">
        <f>IF(OR($B211="",$D211=""),"",IF(COUNTIF(THAM_SO_CC!$F$10:$F$40,$D211)&gt;0,"Lễ",IF(IF(THAM_SO_CC!$B$12="T7+CN",WEEKDAY($D211,2)&gt;=6,WEEKDAY($D211,2)=7),"Nghỉ tuần","Ngày thường")))</f>
        <v/>
      </c>
      <c r="F211" s="107" t="n"/>
      <c r="G211" s="107" t="n"/>
      <c r="H211" s="107" t="n"/>
      <c r="I211" s="81" t="n"/>
      <c r="J211" s="108">
        <f>IF($B211="","",IF($E211="Ngày thường",N($G211),0))</f>
        <v/>
      </c>
      <c r="K211" s="108">
        <f>IF($B211="","",IF($E211="Nghỉ tuần",N($G211),0))</f>
        <v/>
      </c>
      <c r="L211" s="108">
        <f>IF($B211="","",IF($E211="Lễ",N($G211),0))</f>
        <v/>
      </c>
      <c r="M211" s="108">
        <f>IF($B211="","",IF($E211="Ngày thường",N($H211),0))</f>
        <v/>
      </c>
      <c r="N211" s="108">
        <f>IF($B211="","",IF($E211="Nghỉ tuần",N($H211),0))</f>
        <v/>
      </c>
      <c r="O211" s="108">
        <f>IF($B211="","",IF($E211="Lễ",N($H211),0))</f>
        <v/>
      </c>
    </row>
    <row r="212" ht="15" customHeight="1" s="63">
      <c r="A212" s="85">
        <f>IF($B212="","",ROW()-5)</f>
        <v/>
      </c>
      <c r="B212" s="97" t="n"/>
      <c r="C212" s="96">
        <f>IF($B212="","",IFERROR(INDEX(DM_NHAN_SU!$C$6:$C$155,MATCH($B212,DM_NHAN_SU!$B$6:$B$155,0)),"SAI MÃ NV"))</f>
        <v/>
      </c>
      <c r="D212" s="86" t="n"/>
      <c r="E212" s="103">
        <f>IF(OR($B212="",$D212=""),"",IF(COUNTIF(THAM_SO_CC!$F$10:$F$40,$D212)&gt;0,"Lễ",IF(IF(THAM_SO_CC!$B$12="T7+CN",WEEKDAY($D212,2)&gt;=6,WEEKDAY($D212,2)=7),"Nghỉ tuần","Ngày thường")))</f>
        <v/>
      </c>
      <c r="F212" s="107" t="n"/>
      <c r="G212" s="107" t="n"/>
      <c r="H212" s="107" t="n"/>
      <c r="I212" s="81" t="n"/>
      <c r="J212" s="108">
        <f>IF($B212="","",IF($E212="Ngày thường",N($G212),0))</f>
        <v/>
      </c>
      <c r="K212" s="108">
        <f>IF($B212="","",IF($E212="Nghỉ tuần",N($G212),0))</f>
        <v/>
      </c>
      <c r="L212" s="108">
        <f>IF($B212="","",IF($E212="Lễ",N($G212),0))</f>
        <v/>
      </c>
      <c r="M212" s="108">
        <f>IF($B212="","",IF($E212="Ngày thường",N($H212),0))</f>
        <v/>
      </c>
      <c r="N212" s="108">
        <f>IF($B212="","",IF($E212="Nghỉ tuần",N($H212),0))</f>
        <v/>
      </c>
      <c r="O212" s="108">
        <f>IF($B212="","",IF($E212="Lễ",N($H212),0))</f>
        <v/>
      </c>
    </row>
    <row r="213" ht="15" customHeight="1" s="63">
      <c r="A213" s="85">
        <f>IF($B213="","",ROW()-5)</f>
        <v/>
      </c>
      <c r="B213" s="97" t="n"/>
      <c r="C213" s="96">
        <f>IF($B213="","",IFERROR(INDEX(DM_NHAN_SU!$C$6:$C$155,MATCH($B213,DM_NHAN_SU!$B$6:$B$155,0)),"SAI MÃ NV"))</f>
        <v/>
      </c>
      <c r="D213" s="86" t="n"/>
      <c r="E213" s="103">
        <f>IF(OR($B213="",$D213=""),"",IF(COUNTIF(THAM_SO_CC!$F$10:$F$40,$D213)&gt;0,"Lễ",IF(IF(THAM_SO_CC!$B$12="T7+CN",WEEKDAY($D213,2)&gt;=6,WEEKDAY($D213,2)=7),"Nghỉ tuần","Ngày thường")))</f>
        <v/>
      </c>
      <c r="F213" s="107" t="n"/>
      <c r="G213" s="107" t="n"/>
      <c r="H213" s="107" t="n"/>
      <c r="I213" s="81" t="n"/>
      <c r="J213" s="108">
        <f>IF($B213="","",IF($E213="Ngày thường",N($G213),0))</f>
        <v/>
      </c>
      <c r="K213" s="108">
        <f>IF($B213="","",IF($E213="Nghỉ tuần",N($G213),0))</f>
        <v/>
      </c>
      <c r="L213" s="108">
        <f>IF($B213="","",IF($E213="Lễ",N($G213),0))</f>
        <v/>
      </c>
      <c r="M213" s="108">
        <f>IF($B213="","",IF($E213="Ngày thường",N($H213),0))</f>
        <v/>
      </c>
      <c r="N213" s="108">
        <f>IF($B213="","",IF($E213="Nghỉ tuần",N($H213),0))</f>
        <v/>
      </c>
      <c r="O213" s="108">
        <f>IF($B213="","",IF($E213="Lễ",N($H213),0))</f>
        <v/>
      </c>
    </row>
    <row r="214" ht="15" customHeight="1" s="63">
      <c r="A214" s="85">
        <f>IF($B214="","",ROW()-5)</f>
        <v/>
      </c>
      <c r="B214" s="97" t="n"/>
      <c r="C214" s="96">
        <f>IF($B214="","",IFERROR(INDEX(DM_NHAN_SU!$C$6:$C$155,MATCH($B214,DM_NHAN_SU!$B$6:$B$155,0)),"SAI MÃ NV"))</f>
        <v/>
      </c>
      <c r="D214" s="86" t="n"/>
      <c r="E214" s="103">
        <f>IF(OR($B214="",$D214=""),"",IF(COUNTIF(THAM_SO_CC!$F$10:$F$40,$D214)&gt;0,"Lễ",IF(IF(THAM_SO_CC!$B$12="T7+CN",WEEKDAY($D214,2)&gt;=6,WEEKDAY($D214,2)=7),"Nghỉ tuần","Ngày thường")))</f>
        <v/>
      </c>
      <c r="F214" s="107" t="n"/>
      <c r="G214" s="107" t="n"/>
      <c r="H214" s="107" t="n"/>
      <c r="I214" s="81" t="n"/>
      <c r="J214" s="108">
        <f>IF($B214="","",IF($E214="Ngày thường",N($G214),0))</f>
        <v/>
      </c>
      <c r="K214" s="108">
        <f>IF($B214="","",IF($E214="Nghỉ tuần",N($G214),0))</f>
        <v/>
      </c>
      <c r="L214" s="108">
        <f>IF($B214="","",IF($E214="Lễ",N($G214),0))</f>
        <v/>
      </c>
      <c r="M214" s="108">
        <f>IF($B214="","",IF($E214="Ngày thường",N($H214),0))</f>
        <v/>
      </c>
      <c r="N214" s="108">
        <f>IF($B214="","",IF($E214="Nghỉ tuần",N($H214),0))</f>
        <v/>
      </c>
      <c r="O214" s="108">
        <f>IF($B214="","",IF($E214="Lễ",N($H214),0))</f>
        <v/>
      </c>
    </row>
    <row r="215" ht="15" customHeight="1" s="63">
      <c r="A215" s="85">
        <f>IF($B215="","",ROW()-5)</f>
        <v/>
      </c>
      <c r="B215" s="97" t="n"/>
      <c r="C215" s="96">
        <f>IF($B215="","",IFERROR(INDEX(DM_NHAN_SU!$C$6:$C$155,MATCH($B215,DM_NHAN_SU!$B$6:$B$155,0)),"SAI MÃ NV"))</f>
        <v/>
      </c>
      <c r="D215" s="86" t="n"/>
      <c r="E215" s="103">
        <f>IF(OR($B215="",$D215=""),"",IF(COUNTIF(THAM_SO_CC!$F$10:$F$40,$D215)&gt;0,"Lễ",IF(IF(THAM_SO_CC!$B$12="T7+CN",WEEKDAY($D215,2)&gt;=6,WEEKDAY($D215,2)=7),"Nghỉ tuần","Ngày thường")))</f>
        <v/>
      </c>
      <c r="F215" s="107" t="n"/>
      <c r="G215" s="107" t="n"/>
      <c r="H215" s="107" t="n"/>
      <c r="I215" s="81" t="n"/>
      <c r="J215" s="108">
        <f>IF($B215="","",IF($E215="Ngày thường",N($G215),0))</f>
        <v/>
      </c>
      <c r="K215" s="108">
        <f>IF($B215="","",IF($E215="Nghỉ tuần",N($G215),0))</f>
        <v/>
      </c>
      <c r="L215" s="108">
        <f>IF($B215="","",IF($E215="Lễ",N($G215),0))</f>
        <v/>
      </c>
      <c r="M215" s="108">
        <f>IF($B215="","",IF($E215="Ngày thường",N($H215),0))</f>
        <v/>
      </c>
      <c r="N215" s="108">
        <f>IF($B215="","",IF($E215="Nghỉ tuần",N($H215),0))</f>
        <v/>
      </c>
      <c r="O215" s="108">
        <f>IF($B215="","",IF($E215="Lễ",N($H215),0))</f>
        <v/>
      </c>
    </row>
    <row r="216" ht="15" customHeight="1" s="63">
      <c r="A216" s="85">
        <f>IF($B216="","",ROW()-5)</f>
        <v/>
      </c>
      <c r="B216" s="97" t="n"/>
      <c r="C216" s="96">
        <f>IF($B216="","",IFERROR(INDEX(DM_NHAN_SU!$C$6:$C$155,MATCH($B216,DM_NHAN_SU!$B$6:$B$155,0)),"SAI MÃ NV"))</f>
        <v/>
      </c>
      <c r="D216" s="86" t="n"/>
      <c r="E216" s="103">
        <f>IF(OR($B216="",$D216=""),"",IF(COUNTIF(THAM_SO_CC!$F$10:$F$40,$D216)&gt;0,"Lễ",IF(IF(THAM_SO_CC!$B$12="T7+CN",WEEKDAY($D216,2)&gt;=6,WEEKDAY($D216,2)=7),"Nghỉ tuần","Ngày thường")))</f>
        <v/>
      </c>
      <c r="F216" s="107" t="n"/>
      <c r="G216" s="107" t="n"/>
      <c r="H216" s="107" t="n"/>
      <c r="I216" s="81" t="n"/>
      <c r="J216" s="108">
        <f>IF($B216="","",IF($E216="Ngày thường",N($G216),0))</f>
        <v/>
      </c>
      <c r="K216" s="108">
        <f>IF($B216="","",IF($E216="Nghỉ tuần",N($G216),0))</f>
        <v/>
      </c>
      <c r="L216" s="108">
        <f>IF($B216="","",IF($E216="Lễ",N($G216),0))</f>
        <v/>
      </c>
      <c r="M216" s="108">
        <f>IF($B216="","",IF($E216="Ngày thường",N($H216),0))</f>
        <v/>
      </c>
      <c r="N216" s="108">
        <f>IF($B216="","",IF($E216="Nghỉ tuần",N($H216),0))</f>
        <v/>
      </c>
      <c r="O216" s="108">
        <f>IF($B216="","",IF($E216="Lễ",N($H216),0))</f>
        <v/>
      </c>
    </row>
    <row r="217" ht="15" customHeight="1" s="63">
      <c r="A217" s="85">
        <f>IF($B217="","",ROW()-5)</f>
        <v/>
      </c>
      <c r="B217" s="97" t="n"/>
      <c r="C217" s="96">
        <f>IF($B217="","",IFERROR(INDEX(DM_NHAN_SU!$C$6:$C$155,MATCH($B217,DM_NHAN_SU!$B$6:$B$155,0)),"SAI MÃ NV"))</f>
        <v/>
      </c>
      <c r="D217" s="86" t="n"/>
      <c r="E217" s="103">
        <f>IF(OR($B217="",$D217=""),"",IF(COUNTIF(THAM_SO_CC!$F$10:$F$40,$D217)&gt;0,"Lễ",IF(IF(THAM_SO_CC!$B$12="T7+CN",WEEKDAY($D217,2)&gt;=6,WEEKDAY($D217,2)=7),"Nghỉ tuần","Ngày thường")))</f>
        <v/>
      </c>
      <c r="F217" s="107" t="n"/>
      <c r="G217" s="107" t="n"/>
      <c r="H217" s="107" t="n"/>
      <c r="I217" s="81" t="n"/>
      <c r="J217" s="108">
        <f>IF($B217="","",IF($E217="Ngày thường",N($G217),0))</f>
        <v/>
      </c>
      <c r="K217" s="108">
        <f>IF($B217="","",IF($E217="Nghỉ tuần",N($G217),0))</f>
        <v/>
      </c>
      <c r="L217" s="108">
        <f>IF($B217="","",IF($E217="Lễ",N($G217),0))</f>
        <v/>
      </c>
      <c r="M217" s="108">
        <f>IF($B217="","",IF($E217="Ngày thường",N($H217),0))</f>
        <v/>
      </c>
      <c r="N217" s="108">
        <f>IF($B217="","",IF($E217="Nghỉ tuần",N($H217),0))</f>
        <v/>
      </c>
      <c r="O217" s="108">
        <f>IF($B217="","",IF($E217="Lễ",N($H217),0))</f>
        <v/>
      </c>
    </row>
    <row r="218" ht="15" customHeight="1" s="63">
      <c r="A218" s="85">
        <f>IF($B218="","",ROW()-5)</f>
        <v/>
      </c>
      <c r="B218" s="97" t="n"/>
      <c r="C218" s="96">
        <f>IF($B218="","",IFERROR(INDEX(DM_NHAN_SU!$C$6:$C$155,MATCH($B218,DM_NHAN_SU!$B$6:$B$155,0)),"SAI MÃ NV"))</f>
        <v/>
      </c>
      <c r="D218" s="86" t="n"/>
      <c r="E218" s="103">
        <f>IF(OR($B218="",$D218=""),"",IF(COUNTIF(THAM_SO_CC!$F$10:$F$40,$D218)&gt;0,"Lễ",IF(IF(THAM_SO_CC!$B$12="T7+CN",WEEKDAY($D218,2)&gt;=6,WEEKDAY($D218,2)=7),"Nghỉ tuần","Ngày thường")))</f>
        <v/>
      </c>
      <c r="F218" s="107" t="n"/>
      <c r="G218" s="107" t="n"/>
      <c r="H218" s="107" t="n"/>
      <c r="I218" s="81" t="n"/>
      <c r="J218" s="108">
        <f>IF($B218="","",IF($E218="Ngày thường",N($G218),0))</f>
        <v/>
      </c>
      <c r="K218" s="108">
        <f>IF($B218="","",IF($E218="Nghỉ tuần",N($G218),0))</f>
        <v/>
      </c>
      <c r="L218" s="108">
        <f>IF($B218="","",IF($E218="Lễ",N($G218),0))</f>
        <v/>
      </c>
      <c r="M218" s="108">
        <f>IF($B218="","",IF($E218="Ngày thường",N($H218),0))</f>
        <v/>
      </c>
      <c r="N218" s="108">
        <f>IF($B218="","",IF($E218="Nghỉ tuần",N($H218),0))</f>
        <v/>
      </c>
      <c r="O218" s="108">
        <f>IF($B218="","",IF($E218="Lễ",N($H218),0))</f>
        <v/>
      </c>
    </row>
    <row r="219" ht="15" customHeight="1" s="63">
      <c r="A219" s="85">
        <f>IF($B219="","",ROW()-5)</f>
        <v/>
      </c>
      <c r="B219" s="97" t="n"/>
      <c r="C219" s="96">
        <f>IF($B219="","",IFERROR(INDEX(DM_NHAN_SU!$C$6:$C$155,MATCH($B219,DM_NHAN_SU!$B$6:$B$155,0)),"SAI MÃ NV"))</f>
        <v/>
      </c>
      <c r="D219" s="86" t="n"/>
      <c r="E219" s="103">
        <f>IF(OR($B219="",$D219=""),"",IF(COUNTIF(THAM_SO_CC!$F$10:$F$40,$D219)&gt;0,"Lễ",IF(IF(THAM_SO_CC!$B$12="T7+CN",WEEKDAY($D219,2)&gt;=6,WEEKDAY($D219,2)=7),"Nghỉ tuần","Ngày thường")))</f>
        <v/>
      </c>
      <c r="F219" s="107" t="n"/>
      <c r="G219" s="107" t="n"/>
      <c r="H219" s="107" t="n"/>
      <c r="I219" s="81" t="n"/>
      <c r="J219" s="108">
        <f>IF($B219="","",IF($E219="Ngày thường",N($G219),0))</f>
        <v/>
      </c>
      <c r="K219" s="108">
        <f>IF($B219="","",IF($E219="Nghỉ tuần",N($G219),0))</f>
        <v/>
      </c>
      <c r="L219" s="108">
        <f>IF($B219="","",IF($E219="Lễ",N($G219),0))</f>
        <v/>
      </c>
      <c r="M219" s="108">
        <f>IF($B219="","",IF($E219="Ngày thường",N($H219),0))</f>
        <v/>
      </c>
      <c r="N219" s="108">
        <f>IF($B219="","",IF($E219="Nghỉ tuần",N($H219),0))</f>
        <v/>
      </c>
      <c r="O219" s="108">
        <f>IF($B219="","",IF($E219="Lễ",N($H219),0))</f>
        <v/>
      </c>
    </row>
    <row r="220" ht="15" customHeight="1" s="63">
      <c r="A220" s="85">
        <f>IF($B220="","",ROW()-5)</f>
        <v/>
      </c>
      <c r="B220" s="97" t="n"/>
      <c r="C220" s="96">
        <f>IF($B220="","",IFERROR(INDEX(DM_NHAN_SU!$C$6:$C$155,MATCH($B220,DM_NHAN_SU!$B$6:$B$155,0)),"SAI MÃ NV"))</f>
        <v/>
      </c>
      <c r="D220" s="86" t="n"/>
      <c r="E220" s="103">
        <f>IF(OR($B220="",$D220=""),"",IF(COUNTIF(THAM_SO_CC!$F$10:$F$40,$D220)&gt;0,"Lễ",IF(IF(THAM_SO_CC!$B$12="T7+CN",WEEKDAY($D220,2)&gt;=6,WEEKDAY($D220,2)=7),"Nghỉ tuần","Ngày thường")))</f>
        <v/>
      </c>
      <c r="F220" s="107" t="n"/>
      <c r="G220" s="107" t="n"/>
      <c r="H220" s="107" t="n"/>
      <c r="I220" s="81" t="n"/>
      <c r="J220" s="108">
        <f>IF($B220="","",IF($E220="Ngày thường",N($G220),0))</f>
        <v/>
      </c>
      <c r="K220" s="108">
        <f>IF($B220="","",IF($E220="Nghỉ tuần",N($G220),0))</f>
        <v/>
      </c>
      <c r="L220" s="108">
        <f>IF($B220="","",IF($E220="Lễ",N($G220),0))</f>
        <v/>
      </c>
      <c r="M220" s="108">
        <f>IF($B220="","",IF($E220="Ngày thường",N($H220),0))</f>
        <v/>
      </c>
      <c r="N220" s="108">
        <f>IF($B220="","",IF($E220="Nghỉ tuần",N($H220),0))</f>
        <v/>
      </c>
      <c r="O220" s="108">
        <f>IF($B220="","",IF($E220="Lễ",N($H220),0))</f>
        <v/>
      </c>
    </row>
    <row r="221" ht="15" customHeight="1" s="63">
      <c r="A221" s="85">
        <f>IF($B221="","",ROW()-5)</f>
        <v/>
      </c>
      <c r="B221" s="97" t="n"/>
      <c r="C221" s="96">
        <f>IF($B221="","",IFERROR(INDEX(DM_NHAN_SU!$C$6:$C$155,MATCH($B221,DM_NHAN_SU!$B$6:$B$155,0)),"SAI MÃ NV"))</f>
        <v/>
      </c>
      <c r="D221" s="86" t="n"/>
      <c r="E221" s="103">
        <f>IF(OR($B221="",$D221=""),"",IF(COUNTIF(THAM_SO_CC!$F$10:$F$40,$D221)&gt;0,"Lễ",IF(IF(THAM_SO_CC!$B$12="T7+CN",WEEKDAY($D221,2)&gt;=6,WEEKDAY($D221,2)=7),"Nghỉ tuần","Ngày thường")))</f>
        <v/>
      </c>
      <c r="F221" s="107" t="n"/>
      <c r="G221" s="107" t="n"/>
      <c r="H221" s="107" t="n"/>
      <c r="I221" s="81" t="n"/>
      <c r="J221" s="108">
        <f>IF($B221="","",IF($E221="Ngày thường",N($G221),0))</f>
        <v/>
      </c>
      <c r="K221" s="108">
        <f>IF($B221="","",IF($E221="Nghỉ tuần",N($G221),0))</f>
        <v/>
      </c>
      <c r="L221" s="108">
        <f>IF($B221="","",IF($E221="Lễ",N($G221),0))</f>
        <v/>
      </c>
      <c r="M221" s="108">
        <f>IF($B221="","",IF($E221="Ngày thường",N($H221),0))</f>
        <v/>
      </c>
      <c r="N221" s="108">
        <f>IF($B221="","",IF($E221="Nghỉ tuần",N($H221),0))</f>
        <v/>
      </c>
      <c r="O221" s="108">
        <f>IF($B221="","",IF($E221="Lễ",N($H221),0))</f>
        <v/>
      </c>
    </row>
    <row r="222" ht="15" customHeight="1" s="63">
      <c r="A222" s="85">
        <f>IF($B222="","",ROW()-5)</f>
        <v/>
      </c>
      <c r="B222" s="97" t="n"/>
      <c r="C222" s="96">
        <f>IF($B222="","",IFERROR(INDEX(DM_NHAN_SU!$C$6:$C$155,MATCH($B222,DM_NHAN_SU!$B$6:$B$155,0)),"SAI MÃ NV"))</f>
        <v/>
      </c>
      <c r="D222" s="86" t="n"/>
      <c r="E222" s="103">
        <f>IF(OR($B222="",$D222=""),"",IF(COUNTIF(THAM_SO_CC!$F$10:$F$40,$D222)&gt;0,"Lễ",IF(IF(THAM_SO_CC!$B$12="T7+CN",WEEKDAY($D222,2)&gt;=6,WEEKDAY($D222,2)=7),"Nghỉ tuần","Ngày thường")))</f>
        <v/>
      </c>
      <c r="F222" s="107" t="n"/>
      <c r="G222" s="107" t="n"/>
      <c r="H222" s="107" t="n"/>
      <c r="I222" s="81" t="n"/>
      <c r="J222" s="108">
        <f>IF($B222="","",IF($E222="Ngày thường",N($G222),0))</f>
        <v/>
      </c>
      <c r="K222" s="108">
        <f>IF($B222="","",IF($E222="Nghỉ tuần",N($G222),0))</f>
        <v/>
      </c>
      <c r="L222" s="108">
        <f>IF($B222="","",IF($E222="Lễ",N($G222),0))</f>
        <v/>
      </c>
      <c r="M222" s="108">
        <f>IF($B222="","",IF($E222="Ngày thường",N($H222),0))</f>
        <v/>
      </c>
      <c r="N222" s="108">
        <f>IF($B222="","",IF($E222="Nghỉ tuần",N($H222),0))</f>
        <v/>
      </c>
      <c r="O222" s="108">
        <f>IF($B222="","",IF($E222="Lễ",N($H222),0))</f>
        <v/>
      </c>
    </row>
    <row r="223" ht="15" customHeight="1" s="63">
      <c r="A223" s="85">
        <f>IF($B223="","",ROW()-5)</f>
        <v/>
      </c>
      <c r="B223" s="97" t="n"/>
      <c r="C223" s="96">
        <f>IF($B223="","",IFERROR(INDEX(DM_NHAN_SU!$C$6:$C$155,MATCH($B223,DM_NHAN_SU!$B$6:$B$155,0)),"SAI MÃ NV"))</f>
        <v/>
      </c>
      <c r="D223" s="86" t="n"/>
      <c r="E223" s="103">
        <f>IF(OR($B223="",$D223=""),"",IF(COUNTIF(THAM_SO_CC!$F$10:$F$40,$D223)&gt;0,"Lễ",IF(IF(THAM_SO_CC!$B$12="T7+CN",WEEKDAY($D223,2)&gt;=6,WEEKDAY($D223,2)=7),"Nghỉ tuần","Ngày thường")))</f>
        <v/>
      </c>
      <c r="F223" s="107" t="n"/>
      <c r="G223" s="107" t="n"/>
      <c r="H223" s="107" t="n"/>
      <c r="I223" s="81" t="n"/>
      <c r="J223" s="108">
        <f>IF($B223="","",IF($E223="Ngày thường",N($G223),0))</f>
        <v/>
      </c>
      <c r="K223" s="108">
        <f>IF($B223="","",IF($E223="Nghỉ tuần",N($G223),0))</f>
        <v/>
      </c>
      <c r="L223" s="108">
        <f>IF($B223="","",IF($E223="Lễ",N($G223),0))</f>
        <v/>
      </c>
      <c r="M223" s="108">
        <f>IF($B223="","",IF($E223="Ngày thường",N($H223),0))</f>
        <v/>
      </c>
      <c r="N223" s="108">
        <f>IF($B223="","",IF($E223="Nghỉ tuần",N($H223),0))</f>
        <v/>
      </c>
      <c r="O223" s="108">
        <f>IF($B223="","",IF($E223="Lễ",N($H223),0))</f>
        <v/>
      </c>
    </row>
    <row r="224" ht="15" customHeight="1" s="63">
      <c r="A224" s="85">
        <f>IF($B224="","",ROW()-5)</f>
        <v/>
      </c>
      <c r="B224" s="97" t="n"/>
      <c r="C224" s="96">
        <f>IF($B224="","",IFERROR(INDEX(DM_NHAN_SU!$C$6:$C$155,MATCH($B224,DM_NHAN_SU!$B$6:$B$155,0)),"SAI MÃ NV"))</f>
        <v/>
      </c>
      <c r="D224" s="86" t="n"/>
      <c r="E224" s="103">
        <f>IF(OR($B224="",$D224=""),"",IF(COUNTIF(THAM_SO_CC!$F$10:$F$40,$D224)&gt;0,"Lễ",IF(IF(THAM_SO_CC!$B$12="T7+CN",WEEKDAY($D224,2)&gt;=6,WEEKDAY($D224,2)=7),"Nghỉ tuần","Ngày thường")))</f>
        <v/>
      </c>
      <c r="F224" s="107" t="n"/>
      <c r="G224" s="107" t="n"/>
      <c r="H224" s="107" t="n"/>
      <c r="I224" s="81" t="n"/>
      <c r="J224" s="108">
        <f>IF($B224="","",IF($E224="Ngày thường",N($G224),0))</f>
        <v/>
      </c>
      <c r="K224" s="108">
        <f>IF($B224="","",IF($E224="Nghỉ tuần",N($G224),0))</f>
        <v/>
      </c>
      <c r="L224" s="108">
        <f>IF($B224="","",IF($E224="Lễ",N($G224),0))</f>
        <v/>
      </c>
      <c r="M224" s="108">
        <f>IF($B224="","",IF($E224="Ngày thường",N($H224),0))</f>
        <v/>
      </c>
      <c r="N224" s="108">
        <f>IF($B224="","",IF($E224="Nghỉ tuần",N($H224),0))</f>
        <v/>
      </c>
      <c r="O224" s="108">
        <f>IF($B224="","",IF($E224="Lễ",N($H224),0))</f>
        <v/>
      </c>
    </row>
    <row r="225" ht="15" customHeight="1" s="63">
      <c r="A225" s="85">
        <f>IF($B225="","",ROW()-5)</f>
        <v/>
      </c>
      <c r="B225" s="97" t="n"/>
      <c r="C225" s="96">
        <f>IF($B225="","",IFERROR(INDEX(DM_NHAN_SU!$C$6:$C$155,MATCH($B225,DM_NHAN_SU!$B$6:$B$155,0)),"SAI MÃ NV"))</f>
        <v/>
      </c>
      <c r="D225" s="86" t="n"/>
      <c r="E225" s="103">
        <f>IF(OR($B225="",$D225=""),"",IF(COUNTIF(THAM_SO_CC!$F$10:$F$40,$D225)&gt;0,"Lễ",IF(IF(THAM_SO_CC!$B$12="T7+CN",WEEKDAY($D225,2)&gt;=6,WEEKDAY($D225,2)=7),"Nghỉ tuần","Ngày thường")))</f>
        <v/>
      </c>
      <c r="F225" s="107" t="n"/>
      <c r="G225" s="107" t="n"/>
      <c r="H225" s="107" t="n"/>
      <c r="I225" s="81" t="n"/>
      <c r="J225" s="108">
        <f>IF($B225="","",IF($E225="Ngày thường",N($G225),0))</f>
        <v/>
      </c>
      <c r="K225" s="108">
        <f>IF($B225="","",IF($E225="Nghỉ tuần",N($G225),0))</f>
        <v/>
      </c>
      <c r="L225" s="108">
        <f>IF($B225="","",IF($E225="Lễ",N($G225),0))</f>
        <v/>
      </c>
      <c r="M225" s="108">
        <f>IF($B225="","",IF($E225="Ngày thường",N($H225),0))</f>
        <v/>
      </c>
      <c r="N225" s="108">
        <f>IF($B225="","",IF($E225="Nghỉ tuần",N($H225),0))</f>
        <v/>
      </c>
      <c r="O225" s="108">
        <f>IF($B225="","",IF($E225="Lễ",N($H225),0))</f>
        <v/>
      </c>
    </row>
    <row r="226" ht="15" customHeight="1" s="63">
      <c r="A226" s="85">
        <f>IF($B226="","",ROW()-5)</f>
        <v/>
      </c>
      <c r="B226" s="97" t="n"/>
      <c r="C226" s="96">
        <f>IF($B226="","",IFERROR(INDEX(DM_NHAN_SU!$C$6:$C$155,MATCH($B226,DM_NHAN_SU!$B$6:$B$155,0)),"SAI MÃ NV"))</f>
        <v/>
      </c>
      <c r="D226" s="86" t="n"/>
      <c r="E226" s="103">
        <f>IF(OR($B226="",$D226=""),"",IF(COUNTIF(THAM_SO_CC!$F$10:$F$40,$D226)&gt;0,"Lễ",IF(IF(THAM_SO_CC!$B$12="T7+CN",WEEKDAY($D226,2)&gt;=6,WEEKDAY($D226,2)=7),"Nghỉ tuần","Ngày thường")))</f>
        <v/>
      </c>
      <c r="F226" s="107" t="n"/>
      <c r="G226" s="107" t="n"/>
      <c r="H226" s="107" t="n"/>
      <c r="I226" s="81" t="n"/>
      <c r="J226" s="108">
        <f>IF($B226="","",IF($E226="Ngày thường",N($G226),0))</f>
        <v/>
      </c>
      <c r="K226" s="108">
        <f>IF($B226="","",IF($E226="Nghỉ tuần",N($G226),0))</f>
        <v/>
      </c>
      <c r="L226" s="108">
        <f>IF($B226="","",IF($E226="Lễ",N($G226),0))</f>
        <v/>
      </c>
      <c r="M226" s="108">
        <f>IF($B226="","",IF($E226="Ngày thường",N($H226),0))</f>
        <v/>
      </c>
      <c r="N226" s="108">
        <f>IF($B226="","",IF($E226="Nghỉ tuần",N($H226),0))</f>
        <v/>
      </c>
      <c r="O226" s="108">
        <f>IF($B226="","",IF($E226="Lễ",N($H226),0))</f>
        <v/>
      </c>
    </row>
    <row r="227" ht="15" customHeight="1" s="63">
      <c r="A227" s="85">
        <f>IF($B227="","",ROW()-5)</f>
        <v/>
      </c>
      <c r="B227" s="97" t="n"/>
      <c r="C227" s="96">
        <f>IF($B227="","",IFERROR(INDEX(DM_NHAN_SU!$C$6:$C$155,MATCH($B227,DM_NHAN_SU!$B$6:$B$155,0)),"SAI MÃ NV"))</f>
        <v/>
      </c>
      <c r="D227" s="86" t="n"/>
      <c r="E227" s="103">
        <f>IF(OR($B227="",$D227=""),"",IF(COUNTIF(THAM_SO_CC!$F$10:$F$40,$D227)&gt;0,"Lễ",IF(IF(THAM_SO_CC!$B$12="T7+CN",WEEKDAY($D227,2)&gt;=6,WEEKDAY($D227,2)=7),"Nghỉ tuần","Ngày thường")))</f>
        <v/>
      </c>
      <c r="F227" s="107" t="n"/>
      <c r="G227" s="107" t="n"/>
      <c r="H227" s="107" t="n"/>
      <c r="I227" s="81" t="n"/>
      <c r="J227" s="108">
        <f>IF($B227="","",IF($E227="Ngày thường",N($G227),0))</f>
        <v/>
      </c>
      <c r="K227" s="108">
        <f>IF($B227="","",IF($E227="Nghỉ tuần",N($G227),0))</f>
        <v/>
      </c>
      <c r="L227" s="108">
        <f>IF($B227="","",IF($E227="Lễ",N($G227),0))</f>
        <v/>
      </c>
      <c r="M227" s="108">
        <f>IF($B227="","",IF($E227="Ngày thường",N($H227),0))</f>
        <v/>
      </c>
      <c r="N227" s="108">
        <f>IF($B227="","",IF($E227="Nghỉ tuần",N($H227),0))</f>
        <v/>
      </c>
      <c r="O227" s="108">
        <f>IF($B227="","",IF($E227="Lễ",N($H227),0))</f>
        <v/>
      </c>
    </row>
    <row r="228" ht="15" customHeight="1" s="63">
      <c r="A228" s="85">
        <f>IF($B228="","",ROW()-5)</f>
        <v/>
      </c>
      <c r="B228" s="97" t="n"/>
      <c r="C228" s="96">
        <f>IF($B228="","",IFERROR(INDEX(DM_NHAN_SU!$C$6:$C$155,MATCH($B228,DM_NHAN_SU!$B$6:$B$155,0)),"SAI MÃ NV"))</f>
        <v/>
      </c>
      <c r="D228" s="86" t="n"/>
      <c r="E228" s="103">
        <f>IF(OR($B228="",$D228=""),"",IF(COUNTIF(THAM_SO_CC!$F$10:$F$40,$D228)&gt;0,"Lễ",IF(IF(THAM_SO_CC!$B$12="T7+CN",WEEKDAY($D228,2)&gt;=6,WEEKDAY($D228,2)=7),"Nghỉ tuần","Ngày thường")))</f>
        <v/>
      </c>
      <c r="F228" s="107" t="n"/>
      <c r="G228" s="107" t="n"/>
      <c r="H228" s="107" t="n"/>
      <c r="I228" s="81" t="n"/>
      <c r="J228" s="108">
        <f>IF($B228="","",IF($E228="Ngày thường",N($G228),0))</f>
        <v/>
      </c>
      <c r="K228" s="108">
        <f>IF($B228="","",IF($E228="Nghỉ tuần",N($G228),0))</f>
        <v/>
      </c>
      <c r="L228" s="108">
        <f>IF($B228="","",IF($E228="Lễ",N($G228),0))</f>
        <v/>
      </c>
      <c r="M228" s="108">
        <f>IF($B228="","",IF($E228="Ngày thường",N($H228),0))</f>
        <v/>
      </c>
      <c r="N228" s="108">
        <f>IF($B228="","",IF($E228="Nghỉ tuần",N($H228),0))</f>
        <v/>
      </c>
      <c r="O228" s="108">
        <f>IF($B228="","",IF($E228="Lễ",N($H228),0))</f>
        <v/>
      </c>
    </row>
    <row r="229" ht="15" customHeight="1" s="63">
      <c r="A229" s="85">
        <f>IF($B229="","",ROW()-5)</f>
        <v/>
      </c>
      <c r="B229" s="97" t="n"/>
      <c r="C229" s="96">
        <f>IF($B229="","",IFERROR(INDEX(DM_NHAN_SU!$C$6:$C$155,MATCH($B229,DM_NHAN_SU!$B$6:$B$155,0)),"SAI MÃ NV"))</f>
        <v/>
      </c>
      <c r="D229" s="86" t="n"/>
      <c r="E229" s="103">
        <f>IF(OR($B229="",$D229=""),"",IF(COUNTIF(THAM_SO_CC!$F$10:$F$40,$D229)&gt;0,"Lễ",IF(IF(THAM_SO_CC!$B$12="T7+CN",WEEKDAY($D229,2)&gt;=6,WEEKDAY($D229,2)=7),"Nghỉ tuần","Ngày thường")))</f>
        <v/>
      </c>
      <c r="F229" s="107" t="n"/>
      <c r="G229" s="107" t="n"/>
      <c r="H229" s="107" t="n"/>
      <c r="I229" s="81" t="n"/>
      <c r="J229" s="108">
        <f>IF($B229="","",IF($E229="Ngày thường",N($G229),0))</f>
        <v/>
      </c>
      <c r="K229" s="108">
        <f>IF($B229="","",IF($E229="Nghỉ tuần",N($G229),0))</f>
        <v/>
      </c>
      <c r="L229" s="108">
        <f>IF($B229="","",IF($E229="Lễ",N($G229),0))</f>
        <v/>
      </c>
      <c r="M229" s="108">
        <f>IF($B229="","",IF($E229="Ngày thường",N($H229),0))</f>
        <v/>
      </c>
      <c r="N229" s="108">
        <f>IF($B229="","",IF($E229="Nghỉ tuần",N($H229),0))</f>
        <v/>
      </c>
      <c r="O229" s="108">
        <f>IF($B229="","",IF($E229="Lễ",N($H229),0))</f>
        <v/>
      </c>
    </row>
    <row r="230" ht="15" customHeight="1" s="63">
      <c r="A230" s="85">
        <f>IF($B230="","",ROW()-5)</f>
        <v/>
      </c>
      <c r="B230" s="97" t="n"/>
      <c r="C230" s="96">
        <f>IF($B230="","",IFERROR(INDEX(DM_NHAN_SU!$C$6:$C$155,MATCH($B230,DM_NHAN_SU!$B$6:$B$155,0)),"SAI MÃ NV"))</f>
        <v/>
      </c>
      <c r="D230" s="86" t="n"/>
      <c r="E230" s="103">
        <f>IF(OR($B230="",$D230=""),"",IF(COUNTIF(THAM_SO_CC!$F$10:$F$40,$D230)&gt;0,"Lễ",IF(IF(THAM_SO_CC!$B$12="T7+CN",WEEKDAY($D230,2)&gt;=6,WEEKDAY($D230,2)=7),"Nghỉ tuần","Ngày thường")))</f>
        <v/>
      </c>
      <c r="F230" s="107" t="n"/>
      <c r="G230" s="107" t="n"/>
      <c r="H230" s="107" t="n"/>
      <c r="I230" s="81" t="n"/>
      <c r="J230" s="108">
        <f>IF($B230="","",IF($E230="Ngày thường",N($G230),0))</f>
        <v/>
      </c>
      <c r="K230" s="108">
        <f>IF($B230="","",IF($E230="Nghỉ tuần",N($G230),0))</f>
        <v/>
      </c>
      <c r="L230" s="108">
        <f>IF($B230="","",IF($E230="Lễ",N($G230),0))</f>
        <v/>
      </c>
      <c r="M230" s="108">
        <f>IF($B230="","",IF($E230="Ngày thường",N($H230),0))</f>
        <v/>
      </c>
      <c r="N230" s="108">
        <f>IF($B230="","",IF($E230="Nghỉ tuần",N($H230),0))</f>
        <v/>
      </c>
      <c r="O230" s="108">
        <f>IF($B230="","",IF($E230="Lễ",N($H230),0))</f>
        <v/>
      </c>
    </row>
    <row r="231" ht="15" customHeight="1" s="63">
      <c r="A231" s="85">
        <f>IF($B231="","",ROW()-5)</f>
        <v/>
      </c>
      <c r="B231" s="97" t="n"/>
      <c r="C231" s="96">
        <f>IF($B231="","",IFERROR(INDEX(DM_NHAN_SU!$C$6:$C$155,MATCH($B231,DM_NHAN_SU!$B$6:$B$155,0)),"SAI MÃ NV"))</f>
        <v/>
      </c>
      <c r="D231" s="86" t="n"/>
      <c r="E231" s="103">
        <f>IF(OR($B231="",$D231=""),"",IF(COUNTIF(THAM_SO_CC!$F$10:$F$40,$D231)&gt;0,"Lễ",IF(IF(THAM_SO_CC!$B$12="T7+CN",WEEKDAY($D231,2)&gt;=6,WEEKDAY($D231,2)=7),"Nghỉ tuần","Ngày thường")))</f>
        <v/>
      </c>
      <c r="F231" s="107" t="n"/>
      <c r="G231" s="107" t="n"/>
      <c r="H231" s="107" t="n"/>
      <c r="I231" s="81" t="n"/>
      <c r="J231" s="108">
        <f>IF($B231="","",IF($E231="Ngày thường",N($G231),0))</f>
        <v/>
      </c>
      <c r="K231" s="108">
        <f>IF($B231="","",IF($E231="Nghỉ tuần",N($G231),0))</f>
        <v/>
      </c>
      <c r="L231" s="108">
        <f>IF($B231="","",IF($E231="Lễ",N($G231),0))</f>
        <v/>
      </c>
      <c r="M231" s="108">
        <f>IF($B231="","",IF($E231="Ngày thường",N($H231),0))</f>
        <v/>
      </c>
      <c r="N231" s="108">
        <f>IF($B231="","",IF($E231="Nghỉ tuần",N($H231),0))</f>
        <v/>
      </c>
      <c r="O231" s="108">
        <f>IF($B231="","",IF($E231="Lễ",N($H231),0))</f>
        <v/>
      </c>
    </row>
    <row r="232" ht="15" customHeight="1" s="63">
      <c r="A232" s="85">
        <f>IF($B232="","",ROW()-5)</f>
        <v/>
      </c>
      <c r="B232" s="97" t="n"/>
      <c r="C232" s="96">
        <f>IF($B232="","",IFERROR(INDEX(DM_NHAN_SU!$C$6:$C$155,MATCH($B232,DM_NHAN_SU!$B$6:$B$155,0)),"SAI MÃ NV"))</f>
        <v/>
      </c>
      <c r="D232" s="86" t="n"/>
      <c r="E232" s="103">
        <f>IF(OR($B232="",$D232=""),"",IF(COUNTIF(THAM_SO_CC!$F$10:$F$40,$D232)&gt;0,"Lễ",IF(IF(THAM_SO_CC!$B$12="T7+CN",WEEKDAY($D232,2)&gt;=6,WEEKDAY($D232,2)=7),"Nghỉ tuần","Ngày thường")))</f>
        <v/>
      </c>
      <c r="F232" s="107" t="n"/>
      <c r="G232" s="107" t="n"/>
      <c r="H232" s="107" t="n"/>
      <c r="I232" s="81" t="n"/>
      <c r="J232" s="108">
        <f>IF($B232="","",IF($E232="Ngày thường",N($G232),0))</f>
        <v/>
      </c>
      <c r="K232" s="108">
        <f>IF($B232="","",IF($E232="Nghỉ tuần",N($G232),0))</f>
        <v/>
      </c>
      <c r="L232" s="108">
        <f>IF($B232="","",IF($E232="Lễ",N($G232),0))</f>
        <v/>
      </c>
      <c r="M232" s="108">
        <f>IF($B232="","",IF($E232="Ngày thường",N($H232),0))</f>
        <v/>
      </c>
      <c r="N232" s="108">
        <f>IF($B232="","",IF($E232="Nghỉ tuần",N($H232),0))</f>
        <v/>
      </c>
      <c r="O232" s="108">
        <f>IF($B232="","",IF($E232="Lễ",N($H232),0))</f>
        <v/>
      </c>
    </row>
    <row r="233" ht="15" customHeight="1" s="63">
      <c r="A233" s="85">
        <f>IF($B233="","",ROW()-5)</f>
        <v/>
      </c>
      <c r="B233" s="97" t="n"/>
      <c r="C233" s="96">
        <f>IF($B233="","",IFERROR(INDEX(DM_NHAN_SU!$C$6:$C$155,MATCH($B233,DM_NHAN_SU!$B$6:$B$155,0)),"SAI MÃ NV"))</f>
        <v/>
      </c>
      <c r="D233" s="86" t="n"/>
      <c r="E233" s="103">
        <f>IF(OR($B233="",$D233=""),"",IF(COUNTIF(THAM_SO_CC!$F$10:$F$40,$D233)&gt;0,"Lễ",IF(IF(THAM_SO_CC!$B$12="T7+CN",WEEKDAY($D233,2)&gt;=6,WEEKDAY($D233,2)=7),"Nghỉ tuần","Ngày thường")))</f>
        <v/>
      </c>
      <c r="F233" s="107" t="n"/>
      <c r="G233" s="107" t="n"/>
      <c r="H233" s="107" t="n"/>
      <c r="I233" s="81" t="n"/>
      <c r="J233" s="108">
        <f>IF($B233="","",IF($E233="Ngày thường",N($G233),0))</f>
        <v/>
      </c>
      <c r="K233" s="108">
        <f>IF($B233="","",IF($E233="Nghỉ tuần",N($G233),0))</f>
        <v/>
      </c>
      <c r="L233" s="108">
        <f>IF($B233="","",IF($E233="Lễ",N($G233),0))</f>
        <v/>
      </c>
      <c r="M233" s="108">
        <f>IF($B233="","",IF($E233="Ngày thường",N($H233),0))</f>
        <v/>
      </c>
      <c r="N233" s="108">
        <f>IF($B233="","",IF($E233="Nghỉ tuần",N($H233),0))</f>
        <v/>
      </c>
      <c r="O233" s="108">
        <f>IF($B233="","",IF($E233="Lễ",N($H233),0))</f>
        <v/>
      </c>
    </row>
    <row r="234" ht="15" customHeight="1" s="63">
      <c r="A234" s="85">
        <f>IF($B234="","",ROW()-5)</f>
        <v/>
      </c>
      <c r="B234" s="97" t="n"/>
      <c r="C234" s="96">
        <f>IF($B234="","",IFERROR(INDEX(DM_NHAN_SU!$C$6:$C$155,MATCH($B234,DM_NHAN_SU!$B$6:$B$155,0)),"SAI MÃ NV"))</f>
        <v/>
      </c>
      <c r="D234" s="86" t="n"/>
      <c r="E234" s="103">
        <f>IF(OR($B234="",$D234=""),"",IF(COUNTIF(THAM_SO_CC!$F$10:$F$40,$D234)&gt;0,"Lễ",IF(IF(THAM_SO_CC!$B$12="T7+CN",WEEKDAY($D234,2)&gt;=6,WEEKDAY($D234,2)=7),"Nghỉ tuần","Ngày thường")))</f>
        <v/>
      </c>
      <c r="F234" s="107" t="n"/>
      <c r="G234" s="107" t="n"/>
      <c r="H234" s="107" t="n"/>
      <c r="I234" s="81" t="n"/>
      <c r="J234" s="108">
        <f>IF($B234="","",IF($E234="Ngày thường",N($G234),0))</f>
        <v/>
      </c>
      <c r="K234" s="108">
        <f>IF($B234="","",IF($E234="Nghỉ tuần",N($G234),0))</f>
        <v/>
      </c>
      <c r="L234" s="108">
        <f>IF($B234="","",IF($E234="Lễ",N($G234),0))</f>
        <v/>
      </c>
      <c r="M234" s="108">
        <f>IF($B234="","",IF($E234="Ngày thường",N($H234),0))</f>
        <v/>
      </c>
      <c r="N234" s="108">
        <f>IF($B234="","",IF($E234="Nghỉ tuần",N($H234),0))</f>
        <v/>
      </c>
      <c r="O234" s="108">
        <f>IF($B234="","",IF($E234="Lễ",N($H234),0))</f>
        <v/>
      </c>
    </row>
    <row r="235" ht="15" customHeight="1" s="63">
      <c r="A235" s="85">
        <f>IF($B235="","",ROW()-5)</f>
        <v/>
      </c>
      <c r="B235" s="97" t="n"/>
      <c r="C235" s="96">
        <f>IF($B235="","",IFERROR(INDEX(DM_NHAN_SU!$C$6:$C$155,MATCH($B235,DM_NHAN_SU!$B$6:$B$155,0)),"SAI MÃ NV"))</f>
        <v/>
      </c>
      <c r="D235" s="86" t="n"/>
      <c r="E235" s="103">
        <f>IF(OR($B235="",$D235=""),"",IF(COUNTIF(THAM_SO_CC!$F$10:$F$40,$D235)&gt;0,"Lễ",IF(IF(THAM_SO_CC!$B$12="T7+CN",WEEKDAY($D235,2)&gt;=6,WEEKDAY($D235,2)=7),"Nghỉ tuần","Ngày thường")))</f>
        <v/>
      </c>
      <c r="F235" s="107" t="n"/>
      <c r="G235" s="107" t="n"/>
      <c r="H235" s="107" t="n"/>
      <c r="I235" s="81" t="n"/>
      <c r="J235" s="108">
        <f>IF($B235="","",IF($E235="Ngày thường",N($G235),0))</f>
        <v/>
      </c>
      <c r="K235" s="108">
        <f>IF($B235="","",IF($E235="Nghỉ tuần",N($G235),0))</f>
        <v/>
      </c>
      <c r="L235" s="108">
        <f>IF($B235="","",IF($E235="Lễ",N($G235),0))</f>
        <v/>
      </c>
      <c r="M235" s="108">
        <f>IF($B235="","",IF($E235="Ngày thường",N($H235),0))</f>
        <v/>
      </c>
      <c r="N235" s="108">
        <f>IF($B235="","",IF($E235="Nghỉ tuần",N($H235),0))</f>
        <v/>
      </c>
      <c r="O235" s="108">
        <f>IF($B235="","",IF($E235="Lễ",N($H235),0))</f>
        <v/>
      </c>
    </row>
    <row r="236" ht="15" customHeight="1" s="63">
      <c r="A236" s="85">
        <f>IF($B236="","",ROW()-5)</f>
        <v/>
      </c>
      <c r="B236" s="97" t="n"/>
      <c r="C236" s="96">
        <f>IF($B236="","",IFERROR(INDEX(DM_NHAN_SU!$C$6:$C$155,MATCH($B236,DM_NHAN_SU!$B$6:$B$155,0)),"SAI MÃ NV"))</f>
        <v/>
      </c>
      <c r="D236" s="86" t="n"/>
      <c r="E236" s="103">
        <f>IF(OR($B236="",$D236=""),"",IF(COUNTIF(THAM_SO_CC!$F$10:$F$40,$D236)&gt;0,"Lễ",IF(IF(THAM_SO_CC!$B$12="T7+CN",WEEKDAY($D236,2)&gt;=6,WEEKDAY($D236,2)=7),"Nghỉ tuần","Ngày thường")))</f>
        <v/>
      </c>
      <c r="F236" s="107" t="n"/>
      <c r="G236" s="107" t="n"/>
      <c r="H236" s="107" t="n"/>
      <c r="I236" s="81" t="n"/>
      <c r="J236" s="108">
        <f>IF($B236="","",IF($E236="Ngày thường",N($G236),0))</f>
        <v/>
      </c>
      <c r="K236" s="108">
        <f>IF($B236="","",IF($E236="Nghỉ tuần",N($G236),0))</f>
        <v/>
      </c>
      <c r="L236" s="108">
        <f>IF($B236="","",IF($E236="Lễ",N($G236),0))</f>
        <v/>
      </c>
      <c r="M236" s="108">
        <f>IF($B236="","",IF($E236="Ngày thường",N($H236),0))</f>
        <v/>
      </c>
      <c r="N236" s="108">
        <f>IF($B236="","",IF($E236="Nghỉ tuần",N($H236),0))</f>
        <v/>
      </c>
      <c r="O236" s="108">
        <f>IF($B236="","",IF($E236="Lễ",N($H236),0))</f>
        <v/>
      </c>
    </row>
    <row r="237" ht="15" customHeight="1" s="63">
      <c r="A237" s="85">
        <f>IF($B237="","",ROW()-5)</f>
        <v/>
      </c>
      <c r="B237" s="97" t="n"/>
      <c r="C237" s="96">
        <f>IF($B237="","",IFERROR(INDEX(DM_NHAN_SU!$C$6:$C$155,MATCH($B237,DM_NHAN_SU!$B$6:$B$155,0)),"SAI MÃ NV"))</f>
        <v/>
      </c>
      <c r="D237" s="86" t="n"/>
      <c r="E237" s="103">
        <f>IF(OR($B237="",$D237=""),"",IF(COUNTIF(THAM_SO_CC!$F$10:$F$40,$D237)&gt;0,"Lễ",IF(IF(THAM_SO_CC!$B$12="T7+CN",WEEKDAY($D237,2)&gt;=6,WEEKDAY($D237,2)=7),"Nghỉ tuần","Ngày thường")))</f>
        <v/>
      </c>
      <c r="F237" s="107" t="n"/>
      <c r="G237" s="107" t="n"/>
      <c r="H237" s="107" t="n"/>
      <c r="I237" s="81" t="n"/>
      <c r="J237" s="108">
        <f>IF($B237="","",IF($E237="Ngày thường",N($G237),0))</f>
        <v/>
      </c>
      <c r="K237" s="108">
        <f>IF($B237="","",IF($E237="Nghỉ tuần",N($G237),0))</f>
        <v/>
      </c>
      <c r="L237" s="108">
        <f>IF($B237="","",IF($E237="Lễ",N($G237),0))</f>
        <v/>
      </c>
      <c r="M237" s="108">
        <f>IF($B237="","",IF($E237="Ngày thường",N($H237),0))</f>
        <v/>
      </c>
      <c r="N237" s="108">
        <f>IF($B237="","",IF($E237="Nghỉ tuần",N($H237),0))</f>
        <v/>
      </c>
      <c r="O237" s="108">
        <f>IF($B237="","",IF($E237="Lễ",N($H237),0))</f>
        <v/>
      </c>
    </row>
    <row r="238" ht="15" customHeight="1" s="63">
      <c r="A238" s="85">
        <f>IF($B238="","",ROW()-5)</f>
        <v/>
      </c>
      <c r="B238" s="97" t="n"/>
      <c r="C238" s="96">
        <f>IF($B238="","",IFERROR(INDEX(DM_NHAN_SU!$C$6:$C$155,MATCH($B238,DM_NHAN_SU!$B$6:$B$155,0)),"SAI MÃ NV"))</f>
        <v/>
      </c>
      <c r="D238" s="86" t="n"/>
      <c r="E238" s="103">
        <f>IF(OR($B238="",$D238=""),"",IF(COUNTIF(THAM_SO_CC!$F$10:$F$40,$D238)&gt;0,"Lễ",IF(IF(THAM_SO_CC!$B$12="T7+CN",WEEKDAY($D238,2)&gt;=6,WEEKDAY($D238,2)=7),"Nghỉ tuần","Ngày thường")))</f>
        <v/>
      </c>
      <c r="F238" s="107" t="n"/>
      <c r="G238" s="107" t="n"/>
      <c r="H238" s="107" t="n"/>
      <c r="I238" s="81" t="n"/>
      <c r="J238" s="108">
        <f>IF($B238="","",IF($E238="Ngày thường",N($G238),0))</f>
        <v/>
      </c>
      <c r="K238" s="108">
        <f>IF($B238="","",IF($E238="Nghỉ tuần",N($G238),0))</f>
        <v/>
      </c>
      <c r="L238" s="108">
        <f>IF($B238="","",IF($E238="Lễ",N($G238),0))</f>
        <v/>
      </c>
      <c r="M238" s="108">
        <f>IF($B238="","",IF($E238="Ngày thường",N($H238),0))</f>
        <v/>
      </c>
      <c r="N238" s="108">
        <f>IF($B238="","",IF($E238="Nghỉ tuần",N($H238),0))</f>
        <v/>
      </c>
      <c r="O238" s="108">
        <f>IF($B238="","",IF($E238="Lễ",N($H238),0))</f>
        <v/>
      </c>
    </row>
    <row r="239" ht="15" customHeight="1" s="63">
      <c r="A239" s="85">
        <f>IF($B239="","",ROW()-5)</f>
        <v/>
      </c>
      <c r="B239" s="97" t="n"/>
      <c r="C239" s="96">
        <f>IF($B239="","",IFERROR(INDEX(DM_NHAN_SU!$C$6:$C$155,MATCH($B239,DM_NHAN_SU!$B$6:$B$155,0)),"SAI MÃ NV"))</f>
        <v/>
      </c>
      <c r="D239" s="86" t="n"/>
      <c r="E239" s="103">
        <f>IF(OR($B239="",$D239=""),"",IF(COUNTIF(THAM_SO_CC!$F$10:$F$40,$D239)&gt;0,"Lễ",IF(IF(THAM_SO_CC!$B$12="T7+CN",WEEKDAY($D239,2)&gt;=6,WEEKDAY($D239,2)=7),"Nghỉ tuần","Ngày thường")))</f>
        <v/>
      </c>
      <c r="F239" s="107" t="n"/>
      <c r="G239" s="107" t="n"/>
      <c r="H239" s="107" t="n"/>
      <c r="I239" s="81" t="n"/>
      <c r="J239" s="108">
        <f>IF($B239="","",IF($E239="Ngày thường",N($G239),0))</f>
        <v/>
      </c>
      <c r="K239" s="108">
        <f>IF($B239="","",IF($E239="Nghỉ tuần",N($G239),0))</f>
        <v/>
      </c>
      <c r="L239" s="108">
        <f>IF($B239="","",IF($E239="Lễ",N($G239),0))</f>
        <v/>
      </c>
      <c r="M239" s="108">
        <f>IF($B239="","",IF($E239="Ngày thường",N($H239),0))</f>
        <v/>
      </c>
      <c r="N239" s="108">
        <f>IF($B239="","",IF($E239="Nghỉ tuần",N($H239),0))</f>
        <v/>
      </c>
      <c r="O239" s="108">
        <f>IF($B239="","",IF($E239="Lễ",N($H239),0))</f>
        <v/>
      </c>
    </row>
    <row r="240" ht="15" customHeight="1" s="63">
      <c r="A240" s="85">
        <f>IF($B240="","",ROW()-5)</f>
        <v/>
      </c>
      <c r="B240" s="97" t="n"/>
      <c r="C240" s="96">
        <f>IF($B240="","",IFERROR(INDEX(DM_NHAN_SU!$C$6:$C$155,MATCH($B240,DM_NHAN_SU!$B$6:$B$155,0)),"SAI MÃ NV"))</f>
        <v/>
      </c>
      <c r="D240" s="86" t="n"/>
      <c r="E240" s="103">
        <f>IF(OR($B240="",$D240=""),"",IF(COUNTIF(THAM_SO_CC!$F$10:$F$40,$D240)&gt;0,"Lễ",IF(IF(THAM_SO_CC!$B$12="T7+CN",WEEKDAY($D240,2)&gt;=6,WEEKDAY($D240,2)=7),"Nghỉ tuần","Ngày thường")))</f>
        <v/>
      </c>
      <c r="F240" s="107" t="n"/>
      <c r="G240" s="107" t="n"/>
      <c r="H240" s="107" t="n"/>
      <c r="I240" s="81" t="n"/>
      <c r="J240" s="108">
        <f>IF($B240="","",IF($E240="Ngày thường",N($G240),0))</f>
        <v/>
      </c>
      <c r="K240" s="108">
        <f>IF($B240="","",IF($E240="Nghỉ tuần",N($G240),0))</f>
        <v/>
      </c>
      <c r="L240" s="108">
        <f>IF($B240="","",IF($E240="Lễ",N($G240),0))</f>
        <v/>
      </c>
      <c r="M240" s="108">
        <f>IF($B240="","",IF($E240="Ngày thường",N($H240),0))</f>
        <v/>
      </c>
      <c r="N240" s="108">
        <f>IF($B240="","",IF($E240="Nghỉ tuần",N($H240),0))</f>
        <v/>
      </c>
      <c r="O240" s="108">
        <f>IF($B240="","",IF($E240="Lễ",N($H240),0))</f>
        <v/>
      </c>
    </row>
    <row r="241" ht="15" customHeight="1" s="63">
      <c r="A241" s="85">
        <f>IF($B241="","",ROW()-5)</f>
        <v/>
      </c>
      <c r="B241" s="97" t="n"/>
      <c r="C241" s="96">
        <f>IF($B241="","",IFERROR(INDEX(DM_NHAN_SU!$C$6:$C$155,MATCH($B241,DM_NHAN_SU!$B$6:$B$155,0)),"SAI MÃ NV"))</f>
        <v/>
      </c>
      <c r="D241" s="86" t="n"/>
      <c r="E241" s="103">
        <f>IF(OR($B241="",$D241=""),"",IF(COUNTIF(THAM_SO_CC!$F$10:$F$40,$D241)&gt;0,"Lễ",IF(IF(THAM_SO_CC!$B$12="T7+CN",WEEKDAY($D241,2)&gt;=6,WEEKDAY($D241,2)=7),"Nghỉ tuần","Ngày thường")))</f>
        <v/>
      </c>
      <c r="F241" s="107" t="n"/>
      <c r="G241" s="107" t="n"/>
      <c r="H241" s="107" t="n"/>
      <c r="I241" s="81" t="n"/>
      <c r="J241" s="108">
        <f>IF($B241="","",IF($E241="Ngày thường",N($G241),0))</f>
        <v/>
      </c>
      <c r="K241" s="108">
        <f>IF($B241="","",IF($E241="Nghỉ tuần",N($G241),0))</f>
        <v/>
      </c>
      <c r="L241" s="108">
        <f>IF($B241="","",IF($E241="Lễ",N($G241),0))</f>
        <v/>
      </c>
      <c r="M241" s="108">
        <f>IF($B241="","",IF($E241="Ngày thường",N($H241),0))</f>
        <v/>
      </c>
      <c r="N241" s="108">
        <f>IF($B241="","",IF($E241="Nghỉ tuần",N($H241),0))</f>
        <v/>
      </c>
      <c r="O241" s="108">
        <f>IF($B241="","",IF($E241="Lễ",N($H241),0))</f>
        <v/>
      </c>
    </row>
    <row r="242" ht="15" customHeight="1" s="63">
      <c r="A242" s="85">
        <f>IF($B242="","",ROW()-5)</f>
        <v/>
      </c>
      <c r="B242" s="97" t="n"/>
      <c r="C242" s="96">
        <f>IF($B242="","",IFERROR(INDEX(DM_NHAN_SU!$C$6:$C$155,MATCH($B242,DM_NHAN_SU!$B$6:$B$155,0)),"SAI MÃ NV"))</f>
        <v/>
      </c>
      <c r="D242" s="86" t="n"/>
      <c r="E242" s="103">
        <f>IF(OR($B242="",$D242=""),"",IF(COUNTIF(THAM_SO_CC!$F$10:$F$40,$D242)&gt;0,"Lễ",IF(IF(THAM_SO_CC!$B$12="T7+CN",WEEKDAY($D242,2)&gt;=6,WEEKDAY($D242,2)=7),"Nghỉ tuần","Ngày thường")))</f>
        <v/>
      </c>
      <c r="F242" s="107" t="n"/>
      <c r="G242" s="107" t="n"/>
      <c r="H242" s="107" t="n"/>
      <c r="I242" s="81" t="n"/>
      <c r="J242" s="108">
        <f>IF($B242="","",IF($E242="Ngày thường",N($G242),0))</f>
        <v/>
      </c>
      <c r="K242" s="108">
        <f>IF($B242="","",IF($E242="Nghỉ tuần",N($G242),0))</f>
        <v/>
      </c>
      <c r="L242" s="108">
        <f>IF($B242="","",IF($E242="Lễ",N($G242),0))</f>
        <v/>
      </c>
      <c r="M242" s="108">
        <f>IF($B242="","",IF($E242="Ngày thường",N($H242),0))</f>
        <v/>
      </c>
      <c r="N242" s="108">
        <f>IF($B242="","",IF($E242="Nghỉ tuần",N($H242),0))</f>
        <v/>
      </c>
      <c r="O242" s="108">
        <f>IF($B242="","",IF($E242="Lễ",N($H242),0))</f>
        <v/>
      </c>
    </row>
    <row r="243" ht="15" customHeight="1" s="63">
      <c r="A243" s="85">
        <f>IF($B243="","",ROW()-5)</f>
        <v/>
      </c>
      <c r="B243" s="97" t="n"/>
      <c r="C243" s="96">
        <f>IF($B243="","",IFERROR(INDEX(DM_NHAN_SU!$C$6:$C$155,MATCH($B243,DM_NHAN_SU!$B$6:$B$155,0)),"SAI MÃ NV"))</f>
        <v/>
      </c>
      <c r="D243" s="86" t="n"/>
      <c r="E243" s="103">
        <f>IF(OR($B243="",$D243=""),"",IF(COUNTIF(THAM_SO_CC!$F$10:$F$40,$D243)&gt;0,"Lễ",IF(IF(THAM_SO_CC!$B$12="T7+CN",WEEKDAY($D243,2)&gt;=6,WEEKDAY($D243,2)=7),"Nghỉ tuần","Ngày thường")))</f>
        <v/>
      </c>
      <c r="F243" s="107" t="n"/>
      <c r="G243" s="107" t="n"/>
      <c r="H243" s="107" t="n"/>
      <c r="I243" s="81" t="n"/>
      <c r="J243" s="108">
        <f>IF($B243="","",IF($E243="Ngày thường",N($G243),0))</f>
        <v/>
      </c>
      <c r="K243" s="108">
        <f>IF($B243="","",IF($E243="Nghỉ tuần",N($G243),0))</f>
        <v/>
      </c>
      <c r="L243" s="108">
        <f>IF($B243="","",IF($E243="Lễ",N($G243),0))</f>
        <v/>
      </c>
      <c r="M243" s="108">
        <f>IF($B243="","",IF($E243="Ngày thường",N($H243),0))</f>
        <v/>
      </c>
      <c r="N243" s="108">
        <f>IF($B243="","",IF($E243="Nghỉ tuần",N($H243),0))</f>
        <v/>
      </c>
      <c r="O243" s="108">
        <f>IF($B243="","",IF($E243="Lễ",N($H243),0))</f>
        <v/>
      </c>
    </row>
    <row r="244" ht="15" customHeight="1" s="63">
      <c r="A244" s="85">
        <f>IF($B244="","",ROW()-5)</f>
        <v/>
      </c>
      <c r="B244" s="97" t="n"/>
      <c r="C244" s="96">
        <f>IF($B244="","",IFERROR(INDEX(DM_NHAN_SU!$C$6:$C$155,MATCH($B244,DM_NHAN_SU!$B$6:$B$155,0)),"SAI MÃ NV"))</f>
        <v/>
      </c>
      <c r="D244" s="86" t="n"/>
      <c r="E244" s="103">
        <f>IF(OR($B244="",$D244=""),"",IF(COUNTIF(THAM_SO_CC!$F$10:$F$40,$D244)&gt;0,"Lễ",IF(IF(THAM_SO_CC!$B$12="T7+CN",WEEKDAY($D244,2)&gt;=6,WEEKDAY($D244,2)=7),"Nghỉ tuần","Ngày thường")))</f>
        <v/>
      </c>
      <c r="F244" s="107" t="n"/>
      <c r="G244" s="107" t="n"/>
      <c r="H244" s="107" t="n"/>
      <c r="I244" s="81" t="n"/>
      <c r="J244" s="108">
        <f>IF($B244="","",IF($E244="Ngày thường",N($G244),0))</f>
        <v/>
      </c>
      <c r="K244" s="108">
        <f>IF($B244="","",IF($E244="Nghỉ tuần",N($G244),0))</f>
        <v/>
      </c>
      <c r="L244" s="108">
        <f>IF($B244="","",IF($E244="Lễ",N($G244),0))</f>
        <v/>
      </c>
      <c r="M244" s="108">
        <f>IF($B244="","",IF($E244="Ngày thường",N($H244),0))</f>
        <v/>
      </c>
      <c r="N244" s="108">
        <f>IF($B244="","",IF($E244="Nghỉ tuần",N($H244),0))</f>
        <v/>
      </c>
      <c r="O244" s="108">
        <f>IF($B244="","",IF($E244="Lễ",N($H244),0))</f>
        <v/>
      </c>
    </row>
    <row r="245" ht="15" customHeight="1" s="63">
      <c r="A245" s="85">
        <f>IF($B245="","",ROW()-5)</f>
        <v/>
      </c>
      <c r="B245" s="97" t="n"/>
      <c r="C245" s="96">
        <f>IF($B245="","",IFERROR(INDEX(DM_NHAN_SU!$C$6:$C$155,MATCH($B245,DM_NHAN_SU!$B$6:$B$155,0)),"SAI MÃ NV"))</f>
        <v/>
      </c>
      <c r="D245" s="86" t="n"/>
      <c r="E245" s="103">
        <f>IF(OR($B245="",$D245=""),"",IF(COUNTIF(THAM_SO_CC!$F$10:$F$40,$D245)&gt;0,"Lễ",IF(IF(THAM_SO_CC!$B$12="T7+CN",WEEKDAY($D245,2)&gt;=6,WEEKDAY($D245,2)=7),"Nghỉ tuần","Ngày thường")))</f>
        <v/>
      </c>
      <c r="F245" s="107" t="n"/>
      <c r="G245" s="107" t="n"/>
      <c r="H245" s="107" t="n"/>
      <c r="I245" s="81" t="n"/>
      <c r="J245" s="108">
        <f>IF($B245="","",IF($E245="Ngày thường",N($G245),0))</f>
        <v/>
      </c>
      <c r="K245" s="108">
        <f>IF($B245="","",IF($E245="Nghỉ tuần",N($G245),0))</f>
        <v/>
      </c>
      <c r="L245" s="108">
        <f>IF($B245="","",IF($E245="Lễ",N($G245),0))</f>
        <v/>
      </c>
      <c r="M245" s="108">
        <f>IF($B245="","",IF($E245="Ngày thường",N($H245),0))</f>
        <v/>
      </c>
      <c r="N245" s="108">
        <f>IF($B245="","",IF($E245="Nghỉ tuần",N($H245),0))</f>
        <v/>
      </c>
      <c r="O245" s="108">
        <f>IF($B245="","",IF($E245="Lễ",N($H245),0))</f>
        <v/>
      </c>
    </row>
    <row r="246" ht="15" customHeight="1" s="63">
      <c r="A246" s="85">
        <f>IF($B246="","",ROW()-5)</f>
        <v/>
      </c>
      <c r="B246" s="97" t="n"/>
      <c r="C246" s="96">
        <f>IF($B246="","",IFERROR(INDEX(DM_NHAN_SU!$C$6:$C$155,MATCH($B246,DM_NHAN_SU!$B$6:$B$155,0)),"SAI MÃ NV"))</f>
        <v/>
      </c>
      <c r="D246" s="86" t="n"/>
      <c r="E246" s="103">
        <f>IF(OR($B246="",$D246=""),"",IF(COUNTIF(THAM_SO_CC!$F$10:$F$40,$D246)&gt;0,"Lễ",IF(IF(THAM_SO_CC!$B$12="T7+CN",WEEKDAY($D246,2)&gt;=6,WEEKDAY($D246,2)=7),"Nghỉ tuần","Ngày thường")))</f>
        <v/>
      </c>
      <c r="F246" s="107" t="n"/>
      <c r="G246" s="107" t="n"/>
      <c r="H246" s="107" t="n"/>
      <c r="I246" s="81" t="n"/>
      <c r="J246" s="108">
        <f>IF($B246="","",IF($E246="Ngày thường",N($G246),0))</f>
        <v/>
      </c>
      <c r="K246" s="108">
        <f>IF($B246="","",IF($E246="Nghỉ tuần",N($G246),0))</f>
        <v/>
      </c>
      <c r="L246" s="108">
        <f>IF($B246="","",IF($E246="Lễ",N($G246),0))</f>
        <v/>
      </c>
      <c r="M246" s="108">
        <f>IF($B246="","",IF($E246="Ngày thường",N($H246),0))</f>
        <v/>
      </c>
      <c r="N246" s="108">
        <f>IF($B246="","",IF($E246="Nghỉ tuần",N($H246),0))</f>
        <v/>
      </c>
      <c r="O246" s="108">
        <f>IF($B246="","",IF($E246="Lễ",N($H246),0))</f>
        <v/>
      </c>
    </row>
    <row r="247" ht="15" customHeight="1" s="63">
      <c r="A247" s="85">
        <f>IF($B247="","",ROW()-5)</f>
        <v/>
      </c>
      <c r="B247" s="97" t="n"/>
      <c r="C247" s="96">
        <f>IF($B247="","",IFERROR(INDEX(DM_NHAN_SU!$C$6:$C$155,MATCH($B247,DM_NHAN_SU!$B$6:$B$155,0)),"SAI MÃ NV"))</f>
        <v/>
      </c>
      <c r="D247" s="86" t="n"/>
      <c r="E247" s="103">
        <f>IF(OR($B247="",$D247=""),"",IF(COUNTIF(THAM_SO_CC!$F$10:$F$40,$D247)&gt;0,"Lễ",IF(IF(THAM_SO_CC!$B$12="T7+CN",WEEKDAY($D247,2)&gt;=6,WEEKDAY($D247,2)=7),"Nghỉ tuần","Ngày thường")))</f>
        <v/>
      </c>
      <c r="F247" s="107" t="n"/>
      <c r="G247" s="107" t="n"/>
      <c r="H247" s="107" t="n"/>
      <c r="I247" s="81" t="n"/>
      <c r="J247" s="108">
        <f>IF($B247="","",IF($E247="Ngày thường",N($G247),0))</f>
        <v/>
      </c>
      <c r="K247" s="108">
        <f>IF($B247="","",IF($E247="Nghỉ tuần",N($G247),0))</f>
        <v/>
      </c>
      <c r="L247" s="108">
        <f>IF($B247="","",IF($E247="Lễ",N($G247),0))</f>
        <v/>
      </c>
      <c r="M247" s="108">
        <f>IF($B247="","",IF($E247="Ngày thường",N($H247),0))</f>
        <v/>
      </c>
      <c r="N247" s="108">
        <f>IF($B247="","",IF($E247="Nghỉ tuần",N($H247),0))</f>
        <v/>
      </c>
      <c r="O247" s="108">
        <f>IF($B247="","",IF($E247="Lễ",N($H247),0))</f>
        <v/>
      </c>
    </row>
    <row r="248" ht="15" customHeight="1" s="63">
      <c r="A248" s="85">
        <f>IF($B248="","",ROW()-5)</f>
        <v/>
      </c>
      <c r="B248" s="97" t="n"/>
      <c r="C248" s="96">
        <f>IF($B248="","",IFERROR(INDEX(DM_NHAN_SU!$C$6:$C$155,MATCH($B248,DM_NHAN_SU!$B$6:$B$155,0)),"SAI MÃ NV"))</f>
        <v/>
      </c>
      <c r="D248" s="86" t="n"/>
      <c r="E248" s="103">
        <f>IF(OR($B248="",$D248=""),"",IF(COUNTIF(THAM_SO_CC!$F$10:$F$40,$D248)&gt;0,"Lễ",IF(IF(THAM_SO_CC!$B$12="T7+CN",WEEKDAY($D248,2)&gt;=6,WEEKDAY($D248,2)=7),"Nghỉ tuần","Ngày thường")))</f>
        <v/>
      </c>
      <c r="F248" s="107" t="n"/>
      <c r="G248" s="107" t="n"/>
      <c r="H248" s="107" t="n"/>
      <c r="I248" s="81" t="n"/>
      <c r="J248" s="108">
        <f>IF($B248="","",IF($E248="Ngày thường",N($G248),0))</f>
        <v/>
      </c>
      <c r="K248" s="108">
        <f>IF($B248="","",IF($E248="Nghỉ tuần",N($G248),0))</f>
        <v/>
      </c>
      <c r="L248" s="108">
        <f>IF($B248="","",IF($E248="Lễ",N($G248),0))</f>
        <v/>
      </c>
      <c r="M248" s="108">
        <f>IF($B248="","",IF($E248="Ngày thường",N($H248),0))</f>
        <v/>
      </c>
      <c r="N248" s="108">
        <f>IF($B248="","",IF($E248="Nghỉ tuần",N($H248),0))</f>
        <v/>
      </c>
      <c r="O248" s="108">
        <f>IF($B248="","",IF($E248="Lễ",N($H248),0))</f>
        <v/>
      </c>
    </row>
    <row r="249" ht="15" customHeight="1" s="63">
      <c r="A249" s="85">
        <f>IF($B249="","",ROW()-5)</f>
        <v/>
      </c>
      <c r="B249" s="97" t="n"/>
      <c r="C249" s="96">
        <f>IF($B249="","",IFERROR(INDEX(DM_NHAN_SU!$C$6:$C$155,MATCH($B249,DM_NHAN_SU!$B$6:$B$155,0)),"SAI MÃ NV"))</f>
        <v/>
      </c>
      <c r="D249" s="86" t="n"/>
      <c r="E249" s="103">
        <f>IF(OR($B249="",$D249=""),"",IF(COUNTIF(THAM_SO_CC!$F$10:$F$40,$D249)&gt;0,"Lễ",IF(IF(THAM_SO_CC!$B$12="T7+CN",WEEKDAY($D249,2)&gt;=6,WEEKDAY($D249,2)=7),"Nghỉ tuần","Ngày thường")))</f>
        <v/>
      </c>
      <c r="F249" s="107" t="n"/>
      <c r="G249" s="107" t="n"/>
      <c r="H249" s="107" t="n"/>
      <c r="I249" s="81" t="n"/>
      <c r="J249" s="108">
        <f>IF($B249="","",IF($E249="Ngày thường",N($G249),0))</f>
        <v/>
      </c>
      <c r="K249" s="108">
        <f>IF($B249="","",IF($E249="Nghỉ tuần",N($G249),0))</f>
        <v/>
      </c>
      <c r="L249" s="108">
        <f>IF($B249="","",IF($E249="Lễ",N($G249),0))</f>
        <v/>
      </c>
      <c r="M249" s="108">
        <f>IF($B249="","",IF($E249="Ngày thường",N($H249),0))</f>
        <v/>
      </c>
      <c r="N249" s="108">
        <f>IF($B249="","",IF($E249="Nghỉ tuần",N($H249),0))</f>
        <v/>
      </c>
      <c r="O249" s="108">
        <f>IF($B249="","",IF($E249="Lễ",N($H249),0))</f>
        <v/>
      </c>
    </row>
    <row r="250" ht="15" customHeight="1" s="63">
      <c r="A250" s="85">
        <f>IF($B250="","",ROW()-5)</f>
        <v/>
      </c>
      <c r="B250" s="97" t="n"/>
      <c r="C250" s="96">
        <f>IF($B250="","",IFERROR(INDEX(DM_NHAN_SU!$C$6:$C$155,MATCH($B250,DM_NHAN_SU!$B$6:$B$155,0)),"SAI MÃ NV"))</f>
        <v/>
      </c>
      <c r="D250" s="86" t="n"/>
      <c r="E250" s="103">
        <f>IF(OR($B250="",$D250=""),"",IF(COUNTIF(THAM_SO_CC!$F$10:$F$40,$D250)&gt;0,"Lễ",IF(IF(THAM_SO_CC!$B$12="T7+CN",WEEKDAY($D250,2)&gt;=6,WEEKDAY($D250,2)=7),"Nghỉ tuần","Ngày thường")))</f>
        <v/>
      </c>
      <c r="F250" s="107" t="n"/>
      <c r="G250" s="107" t="n"/>
      <c r="H250" s="107" t="n"/>
      <c r="I250" s="81" t="n"/>
      <c r="J250" s="108">
        <f>IF($B250="","",IF($E250="Ngày thường",N($G250),0))</f>
        <v/>
      </c>
      <c r="K250" s="108">
        <f>IF($B250="","",IF($E250="Nghỉ tuần",N($G250),0))</f>
        <v/>
      </c>
      <c r="L250" s="108">
        <f>IF($B250="","",IF($E250="Lễ",N($G250),0))</f>
        <v/>
      </c>
      <c r="M250" s="108">
        <f>IF($B250="","",IF($E250="Ngày thường",N($H250),0))</f>
        <v/>
      </c>
      <c r="N250" s="108">
        <f>IF($B250="","",IF($E250="Nghỉ tuần",N($H250),0))</f>
        <v/>
      </c>
      <c r="O250" s="108">
        <f>IF($B250="","",IF($E250="Lễ",N($H250),0))</f>
        <v/>
      </c>
    </row>
    <row r="251" ht="15" customHeight="1" s="63">
      <c r="A251" s="85">
        <f>IF($B251="","",ROW()-5)</f>
        <v/>
      </c>
      <c r="B251" s="97" t="n"/>
      <c r="C251" s="96">
        <f>IF($B251="","",IFERROR(INDEX(DM_NHAN_SU!$C$6:$C$155,MATCH($B251,DM_NHAN_SU!$B$6:$B$155,0)),"SAI MÃ NV"))</f>
        <v/>
      </c>
      <c r="D251" s="86" t="n"/>
      <c r="E251" s="103">
        <f>IF(OR($B251="",$D251=""),"",IF(COUNTIF(THAM_SO_CC!$F$10:$F$40,$D251)&gt;0,"Lễ",IF(IF(THAM_SO_CC!$B$12="T7+CN",WEEKDAY($D251,2)&gt;=6,WEEKDAY($D251,2)=7),"Nghỉ tuần","Ngày thường")))</f>
        <v/>
      </c>
      <c r="F251" s="107" t="n"/>
      <c r="G251" s="107" t="n"/>
      <c r="H251" s="107" t="n"/>
      <c r="I251" s="81" t="n"/>
      <c r="J251" s="108">
        <f>IF($B251="","",IF($E251="Ngày thường",N($G251),0))</f>
        <v/>
      </c>
      <c r="K251" s="108">
        <f>IF($B251="","",IF($E251="Nghỉ tuần",N($G251),0))</f>
        <v/>
      </c>
      <c r="L251" s="108">
        <f>IF($B251="","",IF($E251="Lễ",N($G251),0))</f>
        <v/>
      </c>
      <c r="M251" s="108">
        <f>IF($B251="","",IF($E251="Ngày thường",N($H251),0))</f>
        <v/>
      </c>
      <c r="N251" s="108">
        <f>IF($B251="","",IF($E251="Nghỉ tuần",N($H251),0))</f>
        <v/>
      </c>
      <c r="O251" s="108">
        <f>IF($B251="","",IF($E251="Lễ",N($H251),0))</f>
        <v/>
      </c>
    </row>
    <row r="252" ht="15" customHeight="1" s="63">
      <c r="A252" s="85">
        <f>IF($B252="","",ROW()-5)</f>
        <v/>
      </c>
      <c r="B252" s="97" t="n"/>
      <c r="C252" s="96">
        <f>IF($B252="","",IFERROR(INDEX(DM_NHAN_SU!$C$6:$C$155,MATCH($B252,DM_NHAN_SU!$B$6:$B$155,0)),"SAI MÃ NV"))</f>
        <v/>
      </c>
      <c r="D252" s="86" t="n"/>
      <c r="E252" s="103">
        <f>IF(OR($B252="",$D252=""),"",IF(COUNTIF(THAM_SO_CC!$F$10:$F$40,$D252)&gt;0,"Lễ",IF(IF(THAM_SO_CC!$B$12="T7+CN",WEEKDAY($D252,2)&gt;=6,WEEKDAY($D252,2)=7),"Nghỉ tuần","Ngày thường")))</f>
        <v/>
      </c>
      <c r="F252" s="107" t="n"/>
      <c r="G252" s="107" t="n"/>
      <c r="H252" s="107" t="n"/>
      <c r="I252" s="81" t="n"/>
      <c r="J252" s="108">
        <f>IF($B252="","",IF($E252="Ngày thường",N($G252),0))</f>
        <v/>
      </c>
      <c r="K252" s="108">
        <f>IF($B252="","",IF($E252="Nghỉ tuần",N($G252),0))</f>
        <v/>
      </c>
      <c r="L252" s="108">
        <f>IF($B252="","",IF($E252="Lễ",N($G252),0))</f>
        <v/>
      </c>
      <c r="M252" s="108">
        <f>IF($B252="","",IF($E252="Ngày thường",N($H252),0))</f>
        <v/>
      </c>
      <c r="N252" s="108">
        <f>IF($B252="","",IF($E252="Nghỉ tuần",N($H252),0))</f>
        <v/>
      </c>
      <c r="O252" s="108">
        <f>IF($B252="","",IF($E252="Lễ",N($H252),0))</f>
        <v/>
      </c>
    </row>
    <row r="253" ht="15" customHeight="1" s="63">
      <c r="A253" s="85">
        <f>IF($B253="","",ROW()-5)</f>
        <v/>
      </c>
      <c r="B253" s="97" t="n"/>
      <c r="C253" s="96">
        <f>IF($B253="","",IFERROR(INDEX(DM_NHAN_SU!$C$6:$C$155,MATCH($B253,DM_NHAN_SU!$B$6:$B$155,0)),"SAI MÃ NV"))</f>
        <v/>
      </c>
      <c r="D253" s="86" t="n"/>
      <c r="E253" s="103">
        <f>IF(OR($B253="",$D253=""),"",IF(COUNTIF(THAM_SO_CC!$F$10:$F$40,$D253)&gt;0,"Lễ",IF(IF(THAM_SO_CC!$B$12="T7+CN",WEEKDAY($D253,2)&gt;=6,WEEKDAY($D253,2)=7),"Nghỉ tuần","Ngày thường")))</f>
        <v/>
      </c>
      <c r="F253" s="107" t="n"/>
      <c r="G253" s="107" t="n"/>
      <c r="H253" s="107" t="n"/>
      <c r="I253" s="81" t="n"/>
      <c r="J253" s="108">
        <f>IF($B253="","",IF($E253="Ngày thường",N($G253),0))</f>
        <v/>
      </c>
      <c r="K253" s="108">
        <f>IF($B253="","",IF($E253="Nghỉ tuần",N($G253),0))</f>
        <v/>
      </c>
      <c r="L253" s="108">
        <f>IF($B253="","",IF($E253="Lễ",N($G253),0))</f>
        <v/>
      </c>
      <c r="M253" s="108">
        <f>IF($B253="","",IF($E253="Ngày thường",N($H253),0))</f>
        <v/>
      </c>
      <c r="N253" s="108">
        <f>IF($B253="","",IF($E253="Nghỉ tuần",N($H253),0))</f>
        <v/>
      </c>
      <c r="O253" s="108">
        <f>IF($B253="","",IF($E253="Lễ",N($H253),0))</f>
        <v/>
      </c>
    </row>
    <row r="254" ht="15" customHeight="1" s="63">
      <c r="A254" s="85">
        <f>IF($B254="","",ROW()-5)</f>
        <v/>
      </c>
      <c r="B254" s="97" t="n"/>
      <c r="C254" s="96">
        <f>IF($B254="","",IFERROR(INDEX(DM_NHAN_SU!$C$6:$C$155,MATCH($B254,DM_NHAN_SU!$B$6:$B$155,0)),"SAI MÃ NV"))</f>
        <v/>
      </c>
      <c r="D254" s="86" t="n"/>
      <c r="E254" s="103">
        <f>IF(OR($B254="",$D254=""),"",IF(COUNTIF(THAM_SO_CC!$F$10:$F$40,$D254)&gt;0,"Lễ",IF(IF(THAM_SO_CC!$B$12="T7+CN",WEEKDAY($D254,2)&gt;=6,WEEKDAY($D254,2)=7),"Nghỉ tuần","Ngày thường")))</f>
        <v/>
      </c>
      <c r="F254" s="107" t="n"/>
      <c r="G254" s="107" t="n"/>
      <c r="H254" s="107" t="n"/>
      <c r="I254" s="81" t="n"/>
      <c r="J254" s="108">
        <f>IF($B254="","",IF($E254="Ngày thường",N($G254),0))</f>
        <v/>
      </c>
      <c r="K254" s="108">
        <f>IF($B254="","",IF($E254="Nghỉ tuần",N($G254),0))</f>
        <v/>
      </c>
      <c r="L254" s="108">
        <f>IF($B254="","",IF($E254="Lễ",N($G254),0))</f>
        <v/>
      </c>
      <c r="M254" s="108">
        <f>IF($B254="","",IF($E254="Ngày thường",N($H254),0))</f>
        <v/>
      </c>
      <c r="N254" s="108">
        <f>IF($B254="","",IF($E254="Nghỉ tuần",N($H254),0))</f>
        <v/>
      </c>
      <c r="O254" s="108">
        <f>IF($B254="","",IF($E254="Lễ",N($H254),0))</f>
        <v/>
      </c>
    </row>
    <row r="255" ht="15" customHeight="1" s="63">
      <c r="A255" s="85">
        <f>IF($B255="","",ROW()-5)</f>
        <v/>
      </c>
      <c r="B255" s="97" t="n"/>
      <c r="C255" s="96">
        <f>IF($B255="","",IFERROR(INDEX(DM_NHAN_SU!$C$6:$C$155,MATCH($B255,DM_NHAN_SU!$B$6:$B$155,0)),"SAI MÃ NV"))</f>
        <v/>
      </c>
      <c r="D255" s="86" t="n"/>
      <c r="E255" s="103">
        <f>IF(OR($B255="",$D255=""),"",IF(COUNTIF(THAM_SO_CC!$F$10:$F$40,$D255)&gt;0,"Lễ",IF(IF(THAM_SO_CC!$B$12="T7+CN",WEEKDAY($D255,2)&gt;=6,WEEKDAY($D255,2)=7),"Nghỉ tuần","Ngày thường")))</f>
        <v/>
      </c>
      <c r="F255" s="107" t="n"/>
      <c r="G255" s="107" t="n"/>
      <c r="H255" s="107" t="n"/>
      <c r="I255" s="81" t="n"/>
      <c r="J255" s="108">
        <f>IF($B255="","",IF($E255="Ngày thường",N($G255),0))</f>
        <v/>
      </c>
      <c r="K255" s="108">
        <f>IF($B255="","",IF($E255="Nghỉ tuần",N($G255),0))</f>
        <v/>
      </c>
      <c r="L255" s="108">
        <f>IF($B255="","",IF($E255="Lễ",N($G255),0))</f>
        <v/>
      </c>
      <c r="M255" s="108">
        <f>IF($B255="","",IF($E255="Ngày thường",N($H255),0))</f>
        <v/>
      </c>
      <c r="N255" s="108">
        <f>IF($B255="","",IF($E255="Nghỉ tuần",N($H255),0))</f>
        <v/>
      </c>
      <c r="O255" s="108">
        <f>IF($B255="","",IF($E255="Lễ",N($H255),0))</f>
        <v/>
      </c>
    </row>
    <row r="256" ht="15" customHeight="1" s="63">
      <c r="A256" s="85">
        <f>IF($B256="","",ROW()-5)</f>
        <v/>
      </c>
      <c r="B256" s="97" t="n"/>
      <c r="C256" s="96">
        <f>IF($B256="","",IFERROR(INDEX(DM_NHAN_SU!$C$6:$C$155,MATCH($B256,DM_NHAN_SU!$B$6:$B$155,0)),"SAI MÃ NV"))</f>
        <v/>
      </c>
      <c r="D256" s="86" t="n"/>
      <c r="E256" s="103">
        <f>IF(OR($B256="",$D256=""),"",IF(COUNTIF(THAM_SO_CC!$F$10:$F$40,$D256)&gt;0,"Lễ",IF(IF(THAM_SO_CC!$B$12="T7+CN",WEEKDAY($D256,2)&gt;=6,WEEKDAY($D256,2)=7),"Nghỉ tuần","Ngày thường")))</f>
        <v/>
      </c>
      <c r="F256" s="107" t="n"/>
      <c r="G256" s="107" t="n"/>
      <c r="H256" s="107" t="n"/>
      <c r="I256" s="81" t="n"/>
      <c r="J256" s="108">
        <f>IF($B256="","",IF($E256="Ngày thường",N($G256),0))</f>
        <v/>
      </c>
      <c r="K256" s="108">
        <f>IF($B256="","",IF($E256="Nghỉ tuần",N($G256),0))</f>
        <v/>
      </c>
      <c r="L256" s="108">
        <f>IF($B256="","",IF($E256="Lễ",N($G256),0))</f>
        <v/>
      </c>
      <c r="M256" s="108">
        <f>IF($B256="","",IF($E256="Ngày thường",N($H256),0))</f>
        <v/>
      </c>
      <c r="N256" s="108">
        <f>IF($B256="","",IF($E256="Nghỉ tuần",N($H256),0))</f>
        <v/>
      </c>
      <c r="O256" s="108">
        <f>IF($B256="","",IF($E256="Lễ",N($H256),0))</f>
        <v/>
      </c>
    </row>
    <row r="257" ht="15" customHeight="1" s="63">
      <c r="A257" s="85">
        <f>IF($B257="","",ROW()-5)</f>
        <v/>
      </c>
      <c r="B257" s="97" t="n"/>
      <c r="C257" s="96">
        <f>IF($B257="","",IFERROR(INDEX(DM_NHAN_SU!$C$6:$C$155,MATCH($B257,DM_NHAN_SU!$B$6:$B$155,0)),"SAI MÃ NV"))</f>
        <v/>
      </c>
      <c r="D257" s="86" t="n"/>
      <c r="E257" s="103">
        <f>IF(OR($B257="",$D257=""),"",IF(COUNTIF(THAM_SO_CC!$F$10:$F$40,$D257)&gt;0,"Lễ",IF(IF(THAM_SO_CC!$B$12="T7+CN",WEEKDAY($D257,2)&gt;=6,WEEKDAY($D257,2)=7),"Nghỉ tuần","Ngày thường")))</f>
        <v/>
      </c>
      <c r="F257" s="107" t="n"/>
      <c r="G257" s="107" t="n"/>
      <c r="H257" s="107" t="n"/>
      <c r="I257" s="81" t="n"/>
      <c r="J257" s="108">
        <f>IF($B257="","",IF($E257="Ngày thường",N($G257),0))</f>
        <v/>
      </c>
      <c r="K257" s="108">
        <f>IF($B257="","",IF($E257="Nghỉ tuần",N($G257),0))</f>
        <v/>
      </c>
      <c r="L257" s="108">
        <f>IF($B257="","",IF($E257="Lễ",N($G257),0))</f>
        <v/>
      </c>
      <c r="M257" s="108">
        <f>IF($B257="","",IF($E257="Ngày thường",N($H257),0))</f>
        <v/>
      </c>
      <c r="N257" s="108">
        <f>IF($B257="","",IF($E257="Nghỉ tuần",N($H257),0))</f>
        <v/>
      </c>
      <c r="O257" s="108">
        <f>IF($B257="","",IF($E257="Lễ",N($H257),0))</f>
        <v/>
      </c>
    </row>
    <row r="258" ht="15" customHeight="1" s="63">
      <c r="A258" s="85">
        <f>IF($B258="","",ROW()-5)</f>
        <v/>
      </c>
      <c r="B258" s="97" t="n"/>
      <c r="C258" s="96">
        <f>IF($B258="","",IFERROR(INDEX(DM_NHAN_SU!$C$6:$C$155,MATCH($B258,DM_NHAN_SU!$B$6:$B$155,0)),"SAI MÃ NV"))</f>
        <v/>
      </c>
      <c r="D258" s="86" t="n"/>
      <c r="E258" s="103">
        <f>IF(OR($B258="",$D258=""),"",IF(COUNTIF(THAM_SO_CC!$F$10:$F$40,$D258)&gt;0,"Lễ",IF(IF(THAM_SO_CC!$B$12="T7+CN",WEEKDAY($D258,2)&gt;=6,WEEKDAY($D258,2)=7),"Nghỉ tuần","Ngày thường")))</f>
        <v/>
      </c>
      <c r="F258" s="107" t="n"/>
      <c r="G258" s="107" t="n"/>
      <c r="H258" s="107" t="n"/>
      <c r="I258" s="81" t="n"/>
      <c r="J258" s="108">
        <f>IF($B258="","",IF($E258="Ngày thường",N($G258),0))</f>
        <v/>
      </c>
      <c r="K258" s="108">
        <f>IF($B258="","",IF($E258="Nghỉ tuần",N($G258),0))</f>
        <v/>
      </c>
      <c r="L258" s="108">
        <f>IF($B258="","",IF($E258="Lễ",N($G258),0))</f>
        <v/>
      </c>
      <c r="M258" s="108">
        <f>IF($B258="","",IF($E258="Ngày thường",N($H258),0))</f>
        <v/>
      </c>
      <c r="N258" s="108">
        <f>IF($B258="","",IF($E258="Nghỉ tuần",N($H258),0))</f>
        <v/>
      </c>
      <c r="O258" s="108">
        <f>IF($B258="","",IF($E258="Lễ",N($H258),0))</f>
        <v/>
      </c>
    </row>
    <row r="259" ht="15" customHeight="1" s="63">
      <c r="A259" s="85">
        <f>IF($B259="","",ROW()-5)</f>
        <v/>
      </c>
      <c r="B259" s="97" t="n"/>
      <c r="C259" s="96">
        <f>IF($B259="","",IFERROR(INDEX(DM_NHAN_SU!$C$6:$C$155,MATCH($B259,DM_NHAN_SU!$B$6:$B$155,0)),"SAI MÃ NV"))</f>
        <v/>
      </c>
      <c r="D259" s="86" t="n"/>
      <c r="E259" s="103">
        <f>IF(OR($B259="",$D259=""),"",IF(COUNTIF(THAM_SO_CC!$F$10:$F$40,$D259)&gt;0,"Lễ",IF(IF(THAM_SO_CC!$B$12="T7+CN",WEEKDAY($D259,2)&gt;=6,WEEKDAY($D259,2)=7),"Nghỉ tuần","Ngày thường")))</f>
        <v/>
      </c>
      <c r="F259" s="107" t="n"/>
      <c r="G259" s="107" t="n"/>
      <c r="H259" s="107" t="n"/>
      <c r="I259" s="81" t="n"/>
      <c r="J259" s="108">
        <f>IF($B259="","",IF($E259="Ngày thường",N($G259),0))</f>
        <v/>
      </c>
      <c r="K259" s="108">
        <f>IF($B259="","",IF($E259="Nghỉ tuần",N($G259),0))</f>
        <v/>
      </c>
      <c r="L259" s="108">
        <f>IF($B259="","",IF($E259="Lễ",N($G259),0))</f>
        <v/>
      </c>
      <c r="M259" s="108">
        <f>IF($B259="","",IF($E259="Ngày thường",N($H259),0))</f>
        <v/>
      </c>
      <c r="N259" s="108">
        <f>IF($B259="","",IF($E259="Nghỉ tuần",N($H259),0))</f>
        <v/>
      </c>
      <c r="O259" s="108">
        <f>IF($B259="","",IF($E259="Lễ",N($H259),0))</f>
        <v/>
      </c>
    </row>
    <row r="260" ht="15" customHeight="1" s="63">
      <c r="A260" s="85">
        <f>IF($B260="","",ROW()-5)</f>
        <v/>
      </c>
      <c r="B260" s="97" t="n"/>
      <c r="C260" s="96">
        <f>IF($B260="","",IFERROR(INDEX(DM_NHAN_SU!$C$6:$C$155,MATCH($B260,DM_NHAN_SU!$B$6:$B$155,0)),"SAI MÃ NV"))</f>
        <v/>
      </c>
      <c r="D260" s="86" t="n"/>
      <c r="E260" s="103">
        <f>IF(OR($B260="",$D260=""),"",IF(COUNTIF(THAM_SO_CC!$F$10:$F$40,$D260)&gt;0,"Lễ",IF(IF(THAM_SO_CC!$B$12="T7+CN",WEEKDAY($D260,2)&gt;=6,WEEKDAY($D260,2)=7),"Nghỉ tuần","Ngày thường")))</f>
        <v/>
      </c>
      <c r="F260" s="107" t="n"/>
      <c r="G260" s="107" t="n"/>
      <c r="H260" s="107" t="n"/>
      <c r="I260" s="81" t="n"/>
      <c r="J260" s="108">
        <f>IF($B260="","",IF($E260="Ngày thường",N($G260),0))</f>
        <v/>
      </c>
      <c r="K260" s="108">
        <f>IF($B260="","",IF($E260="Nghỉ tuần",N($G260),0))</f>
        <v/>
      </c>
      <c r="L260" s="108">
        <f>IF($B260="","",IF($E260="Lễ",N($G260),0))</f>
        <v/>
      </c>
      <c r="M260" s="108">
        <f>IF($B260="","",IF($E260="Ngày thường",N($H260),0))</f>
        <v/>
      </c>
      <c r="N260" s="108">
        <f>IF($B260="","",IF($E260="Nghỉ tuần",N($H260),0))</f>
        <v/>
      </c>
      <c r="O260" s="108">
        <f>IF($B260="","",IF($E260="Lễ",N($H260),0))</f>
        <v/>
      </c>
    </row>
    <row r="261" ht="15" customHeight="1" s="63">
      <c r="A261" s="85">
        <f>IF($B261="","",ROW()-5)</f>
        <v/>
      </c>
      <c r="B261" s="97" t="n"/>
      <c r="C261" s="96">
        <f>IF($B261="","",IFERROR(INDEX(DM_NHAN_SU!$C$6:$C$155,MATCH($B261,DM_NHAN_SU!$B$6:$B$155,0)),"SAI MÃ NV"))</f>
        <v/>
      </c>
      <c r="D261" s="86" t="n"/>
      <c r="E261" s="103">
        <f>IF(OR($B261="",$D261=""),"",IF(COUNTIF(THAM_SO_CC!$F$10:$F$40,$D261)&gt;0,"Lễ",IF(IF(THAM_SO_CC!$B$12="T7+CN",WEEKDAY($D261,2)&gt;=6,WEEKDAY($D261,2)=7),"Nghỉ tuần","Ngày thường")))</f>
        <v/>
      </c>
      <c r="F261" s="107" t="n"/>
      <c r="G261" s="107" t="n"/>
      <c r="H261" s="107" t="n"/>
      <c r="I261" s="81" t="n"/>
      <c r="J261" s="108">
        <f>IF($B261="","",IF($E261="Ngày thường",N($G261),0))</f>
        <v/>
      </c>
      <c r="K261" s="108">
        <f>IF($B261="","",IF($E261="Nghỉ tuần",N($G261),0))</f>
        <v/>
      </c>
      <c r="L261" s="108">
        <f>IF($B261="","",IF($E261="Lễ",N($G261),0))</f>
        <v/>
      </c>
      <c r="M261" s="108">
        <f>IF($B261="","",IF($E261="Ngày thường",N($H261),0))</f>
        <v/>
      </c>
      <c r="N261" s="108">
        <f>IF($B261="","",IF($E261="Nghỉ tuần",N($H261),0))</f>
        <v/>
      </c>
      <c r="O261" s="108">
        <f>IF($B261="","",IF($E261="Lễ",N($H261),0))</f>
        <v/>
      </c>
    </row>
    <row r="262" ht="15" customHeight="1" s="63">
      <c r="A262" s="85">
        <f>IF($B262="","",ROW()-5)</f>
        <v/>
      </c>
      <c r="B262" s="97" t="n"/>
      <c r="C262" s="96">
        <f>IF($B262="","",IFERROR(INDEX(DM_NHAN_SU!$C$6:$C$155,MATCH($B262,DM_NHAN_SU!$B$6:$B$155,0)),"SAI MÃ NV"))</f>
        <v/>
      </c>
      <c r="D262" s="86" t="n"/>
      <c r="E262" s="103">
        <f>IF(OR($B262="",$D262=""),"",IF(COUNTIF(THAM_SO_CC!$F$10:$F$40,$D262)&gt;0,"Lễ",IF(IF(THAM_SO_CC!$B$12="T7+CN",WEEKDAY($D262,2)&gt;=6,WEEKDAY($D262,2)=7),"Nghỉ tuần","Ngày thường")))</f>
        <v/>
      </c>
      <c r="F262" s="107" t="n"/>
      <c r="G262" s="107" t="n"/>
      <c r="H262" s="107" t="n"/>
      <c r="I262" s="81" t="n"/>
      <c r="J262" s="108">
        <f>IF($B262="","",IF($E262="Ngày thường",N($G262),0))</f>
        <v/>
      </c>
      <c r="K262" s="108">
        <f>IF($B262="","",IF($E262="Nghỉ tuần",N($G262),0))</f>
        <v/>
      </c>
      <c r="L262" s="108">
        <f>IF($B262="","",IF($E262="Lễ",N($G262),0))</f>
        <v/>
      </c>
      <c r="M262" s="108">
        <f>IF($B262="","",IF($E262="Ngày thường",N($H262),0))</f>
        <v/>
      </c>
      <c r="N262" s="108">
        <f>IF($B262="","",IF($E262="Nghỉ tuần",N($H262),0))</f>
        <v/>
      </c>
      <c r="O262" s="108">
        <f>IF($B262="","",IF($E262="Lễ",N($H262),0))</f>
        <v/>
      </c>
    </row>
    <row r="263" ht="15" customHeight="1" s="63">
      <c r="A263" s="85">
        <f>IF($B263="","",ROW()-5)</f>
        <v/>
      </c>
      <c r="B263" s="97" t="n"/>
      <c r="C263" s="96">
        <f>IF($B263="","",IFERROR(INDEX(DM_NHAN_SU!$C$6:$C$155,MATCH($B263,DM_NHAN_SU!$B$6:$B$155,0)),"SAI MÃ NV"))</f>
        <v/>
      </c>
      <c r="D263" s="86" t="n"/>
      <c r="E263" s="103">
        <f>IF(OR($B263="",$D263=""),"",IF(COUNTIF(THAM_SO_CC!$F$10:$F$40,$D263)&gt;0,"Lễ",IF(IF(THAM_SO_CC!$B$12="T7+CN",WEEKDAY($D263,2)&gt;=6,WEEKDAY($D263,2)=7),"Nghỉ tuần","Ngày thường")))</f>
        <v/>
      </c>
      <c r="F263" s="107" t="n"/>
      <c r="G263" s="107" t="n"/>
      <c r="H263" s="107" t="n"/>
      <c r="I263" s="81" t="n"/>
      <c r="J263" s="108">
        <f>IF($B263="","",IF($E263="Ngày thường",N($G263),0))</f>
        <v/>
      </c>
      <c r="K263" s="108">
        <f>IF($B263="","",IF($E263="Nghỉ tuần",N($G263),0))</f>
        <v/>
      </c>
      <c r="L263" s="108">
        <f>IF($B263="","",IF($E263="Lễ",N($G263),0))</f>
        <v/>
      </c>
      <c r="M263" s="108">
        <f>IF($B263="","",IF($E263="Ngày thường",N($H263),0))</f>
        <v/>
      </c>
      <c r="N263" s="108">
        <f>IF($B263="","",IF($E263="Nghỉ tuần",N($H263),0))</f>
        <v/>
      </c>
      <c r="O263" s="108">
        <f>IF($B263="","",IF($E263="Lễ",N($H263),0))</f>
        <v/>
      </c>
    </row>
    <row r="264" ht="15" customHeight="1" s="63">
      <c r="A264" s="85">
        <f>IF($B264="","",ROW()-5)</f>
        <v/>
      </c>
      <c r="B264" s="97" t="n"/>
      <c r="C264" s="96">
        <f>IF($B264="","",IFERROR(INDEX(DM_NHAN_SU!$C$6:$C$155,MATCH($B264,DM_NHAN_SU!$B$6:$B$155,0)),"SAI MÃ NV"))</f>
        <v/>
      </c>
      <c r="D264" s="86" t="n"/>
      <c r="E264" s="103">
        <f>IF(OR($B264="",$D264=""),"",IF(COUNTIF(THAM_SO_CC!$F$10:$F$40,$D264)&gt;0,"Lễ",IF(IF(THAM_SO_CC!$B$12="T7+CN",WEEKDAY($D264,2)&gt;=6,WEEKDAY($D264,2)=7),"Nghỉ tuần","Ngày thường")))</f>
        <v/>
      </c>
      <c r="F264" s="107" t="n"/>
      <c r="G264" s="107" t="n"/>
      <c r="H264" s="107" t="n"/>
      <c r="I264" s="81" t="n"/>
      <c r="J264" s="108">
        <f>IF($B264="","",IF($E264="Ngày thường",N($G264),0))</f>
        <v/>
      </c>
      <c r="K264" s="108">
        <f>IF($B264="","",IF($E264="Nghỉ tuần",N($G264),0))</f>
        <v/>
      </c>
      <c r="L264" s="108">
        <f>IF($B264="","",IF($E264="Lễ",N($G264),0))</f>
        <v/>
      </c>
      <c r="M264" s="108">
        <f>IF($B264="","",IF($E264="Ngày thường",N($H264),0))</f>
        <v/>
      </c>
      <c r="N264" s="108">
        <f>IF($B264="","",IF($E264="Nghỉ tuần",N($H264),0))</f>
        <v/>
      </c>
      <c r="O264" s="108">
        <f>IF($B264="","",IF($E264="Lễ",N($H264),0))</f>
        <v/>
      </c>
    </row>
    <row r="265" ht="15" customHeight="1" s="63">
      <c r="A265" s="85">
        <f>IF($B265="","",ROW()-5)</f>
        <v/>
      </c>
      <c r="B265" s="97" t="n"/>
      <c r="C265" s="96">
        <f>IF($B265="","",IFERROR(INDEX(DM_NHAN_SU!$C$6:$C$155,MATCH($B265,DM_NHAN_SU!$B$6:$B$155,0)),"SAI MÃ NV"))</f>
        <v/>
      </c>
      <c r="D265" s="86" t="n"/>
      <c r="E265" s="103">
        <f>IF(OR($B265="",$D265=""),"",IF(COUNTIF(THAM_SO_CC!$F$10:$F$40,$D265)&gt;0,"Lễ",IF(IF(THAM_SO_CC!$B$12="T7+CN",WEEKDAY($D265,2)&gt;=6,WEEKDAY($D265,2)=7),"Nghỉ tuần","Ngày thường")))</f>
        <v/>
      </c>
      <c r="F265" s="107" t="n"/>
      <c r="G265" s="107" t="n"/>
      <c r="H265" s="107" t="n"/>
      <c r="I265" s="81" t="n"/>
      <c r="J265" s="108">
        <f>IF($B265="","",IF($E265="Ngày thường",N($G265),0))</f>
        <v/>
      </c>
      <c r="K265" s="108">
        <f>IF($B265="","",IF($E265="Nghỉ tuần",N($G265),0))</f>
        <v/>
      </c>
      <c r="L265" s="108">
        <f>IF($B265="","",IF($E265="Lễ",N($G265),0))</f>
        <v/>
      </c>
      <c r="M265" s="108">
        <f>IF($B265="","",IF($E265="Ngày thường",N($H265),0))</f>
        <v/>
      </c>
      <c r="N265" s="108">
        <f>IF($B265="","",IF($E265="Nghỉ tuần",N($H265),0))</f>
        <v/>
      </c>
      <c r="O265" s="108">
        <f>IF($B265="","",IF($E265="Lễ",N($H265),0))</f>
        <v/>
      </c>
    </row>
    <row r="266" ht="15" customHeight="1" s="63">
      <c r="A266" s="85">
        <f>IF($B266="","",ROW()-5)</f>
        <v/>
      </c>
      <c r="B266" s="97" t="n"/>
      <c r="C266" s="96">
        <f>IF($B266="","",IFERROR(INDEX(DM_NHAN_SU!$C$6:$C$155,MATCH($B266,DM_NHAN_SU!$B$6:$B$155,0)),"SAI MÃ NV"))</f>
        <v/>
      </c>
      <c r="D266" s="86" t="n"/>
      <c r="E266" s="103">
        <f>IF(OR($B266="",$D266=""),"",IF(COUNTIF(THAM_SO_CC!$F$10:$F$40,$D266)&gt;0,"Lễ",IF(IF(THAM_SO_CC!$B$12="T7+CN",WEEKDAY($D266,2)&gt;=6,WEEKDAY($D266,2)=7),"Nghỉ tuần","Ngày thường")))</f>
        <v/>
      </c>
      <c r="F266" s="107" t="n"/>
      <c r="G266" s="107" t="n"/>
      <c r="H266" s="107" t="n"/>
      <c r="I266" s="81" t="n"/>
      <c r="J266" s="108">
        <f>IF($B266="","",IF($E266="Ngày thường",N($G266),0))</f>
        <v/>
      </c>
      <c r="K266" s="108">
        <f>IF($B266="","",IF($E266="Nghỉ tuần",N($G266),0))</f>
        <v/>
      </c>
      <c r="L266" s="108">
        <f>IF($B266="","",IF($E266="Lễ",N($G266),0))</f>
        <v/>
      </c>
      <c r="M266" s="108">
        <f>IF($B266="","",IF($E266="Ngày thường",N($H266),0))</f>
        <v/>
      </c>
      <c r="N266" s="108">
        <f>IF($B266="","",IF($E266="Nghỉ tuần",N($H266),0))</f>
        <v/>
      </c>
      <c r="O266" s="108">
        <f>IF($B266="","",IF($E266="Lễ",N($H266),0))</f>
        <v/>
      </c>
    </row>
    <row r="267" ht="15" customHeight="1" s="63">
      <c r="A267" s="85">
        <f>IF($B267="","",ROW()-5)</f>
        <v/>
      </c>
      <c r="B267" s="97" t="n"/>
      <c r="C267" s="96">
        <f>IF($B267="","",IFERROR(INDEX(DM_NHAN_SU!$C$6:$C$155,MATCH($B267,DM_NHAN_SU!$B$6:$B$155,0)),"SAI MÃ NV"))</f>
        <v/>
      </c>
      <c r="D267" s="86" t="n"/>
      <c r="E267" s="103">
        <f>IF(OR($B267="",$D267=""),"",IF(COUNTIF(THAM_SO_CC!$F$10:$F$40,$D267)&gt;0,"Lễ",IF(IF(THAM_SO_CC!$B$12="T7+CN",WEEKDAY($D267,2)&gt;=6,WEEKDAY($D267,2)=7),"Nghỉ tuần","Ngày thường")))</f>
        <v/>
      </c>
      <c r="F267" s="107" t="n"/>
      <c r="G267" s="107" t="n"/>
      <c r="H267" s="107" t="n"/>
      <c r="I267" s="81" t="n"/>
      <c r="J267" s="108">
        <f>IF($B267="","",IF($E267="Ngày thường",N($G267),0))</f>
        <v/>
      </c>
      <c r="K267" s="108">
        <f>IF($B267="","",IF($E267="Nghỉ tuần",N($G267),0))</f>
        <v/>
      </c>
      <c r="L267" s="108">
        <f>IF($B267="","",IF($E267="Lễ",N($G267),0))</f>
        <v/>
      </c>
      <c r="M267" s="108">
        <f>IF($B267="","",IF($E267="Ngày thường",N($H267),0))</f>
        <v/>
      </c>
      <c r="N267" s="108">
        <f>IF($B267="","",IF($E267="Nghỉ tuần",N($H267),0))</f>
        <v/>
      </c>
      <c r="O267" s="108">
        <f>IF($B267="","",IF($E267="Lễ",N($H267),0))</f>
        <v/>
      </c>
    </row>
    <row r="268" ht="15" customHeight="1" s="63">
      <c r="A268" s="85">
        <f>IF($B268="","",ROW()-5)</f>
        <v/>
      </c>
      <c r="B268" s="97" t="n"/>
      <c r="C268" s="96">
        <f>IF($B268="","",IFERROR(INDEX(DM_NHAN_SU!$C$6:$C$155,MATCH($B268,DM_NHAN_SU!$B$6:$B$155,0)),"SAI MÃ NV"))</f>
        <v/>
      </c>
      <c r="D268" s="86" t="n"/>
      <c r="E268" s="103">
        <f>IF(OR($B268="",$D268=""),"",IF(COUNTIF(THAM_SO_CC!$F$10:$F$40,$D268)&gt;0,"Lễ",IF(IF(THAM_SO_CC!$B$12="T7+CN",WEEKDAY($D268,2)&gt;=6,WEEKDAY($D268,2)=7),"Nghỉ tuần","Ngày thường")))</f>
        <v/>
      </c>
      <c r="F268" s="107" t="n"/>
      <c r="G268" s="107" t="n"/>
      <c r="H268" s="107" t="n"/>
      <c r="I268" s="81" t="n"/>
      <c r="J268" s="108">
        <f>IF($B268="","",IF($E268="Ngày thường",N($G268),0))</f>
        <v/>
      </c>
      <c r="K268" s="108">
        <f>IF($B268="","",IF($E268="Nghỉ tuần",N($G268),0))</f>
        <v/>
      </c>
      <c r="L268" s="108">
        <f>IF($B268="","",IF($E268="Lễ",N($G268),0))</f>
        <v/>
      </c>
      <c r="M268" s="108">
        <f>IF($B268="","",IF($E268="Ngày thường",N($H268),0))</f>
        <v/>
      </c>
      <c r="N268" s="108">
        <f>IF($B268="","",IF($E268="Nghỉ tuần",N($H268),0))</f>
        <v/>
      </c>
      <c r="O268" s="108">
        <f>IF($B268="","",IF($E268="Lễ",N($H268),0))</f>
        <v/>
      </c>
    </row>
    <row r="269" ht="15" customHeight="1" s="63">
      <c r="A269" s="85">
        <f>IF($B269="","",ROW()-5)</f>
        <v/>
      </c>
      <c r="B269" s="97" t="n"/>
      <c r="C269" s="96">
        <f>IF($B269="","",IFERROR(INDEX(DM_NHAN_SU!$C$6:$C$155,MATCH($B269,DM_NHAN_SU!$B$6:$B$155,0)),"SAI MÃ NV"))</f>
        <v/>
      </c>
      <c r="D269" s="86" t="n"/>
      <c r="E269" s="103">
        <f>IF(OR($B269="",$D269=""),"",IF(COUNTIF(THAM_SO_CC!$F$10:$F$40,$D269)&gt;0,"Lễ",IF(IF(THAM_SO_CC!$B$12="T7+CN",WEEKDAY($D269,2)&gt;=6,WEEKDAY($D269,2)=7),"Nghỉ tuần","Ngày thường")))</f>
        <v/>
      </c>
      <c r="F269" s="107" t="n"/>
      <c r="G269" s="107" t="n"/>
      <c r="H269" s="107" t="n"/>
      <c r="I269" s="81" t="n"/>
      <c r="J269" s="108">
        <f>IF($B269="","",IF($E269="Ngày thường",N($G269),0))</f>
        <v/>
      </c>
      <c r="K269" s="108">
        <f>IF($B269="","",IF($E269="Nghỉ tuần",N($G269),0))</f>
        <v/>
      </c>
      <c r="L269" s="108">
        <f>IF($B269="","",IF($E269="Lễ",N($G269),0))</f>
        <v/>
      </c>
      <c r="M269" s="108">
        <f>IF($B269="","",IF($E269="Ngày thường",N($H269),0))</f>
        <v/>
      </c>
      <c r="N269" s="108">
        <f>IF($B269="","",IF($E269="Nghỉ tuần",N($H269),0))</f>
        <v/>
      </c>
      <c r="O269" s="108">
        <f>IF($B269="","",IF($E269="Lễ",N($H269),0))</f>
        <v/>
      </c>
    </row>
    <row r="270" ht="15" customHeight="1" s="63">
      <c r="A270" s="85">
        <f>IF($B270="","",ROW()-5)</f>
        <v/>
      </c>
      <c r="B270" s="97" t="n"/>
      <c r="C270" s="96">
        <f>IF($B270="","",IFERROR(INDEX(DM_NHAN_SU!$C$6:$C$155,MATCH($B270,DM_NHAN_SU!$B$6:$B$155,0)),"SAI MÃ NV"))</f>
        <v/>
      </c>
      <c r="D270" s="86" t="n"/>
      <c r="E270" s="103">
        <f>IF(OR($B270="",$D270=""),"",IF(COUNTIF(THAM_SO_CC!$F$10:$F$40,$D270)&gt;0,"Lễ",IF(IF(THAM_SO_CC!$B$12="T7+CN",WEEKDAY($D270,2)&gt;=6,WEEKDAY($D270,2)=7),"Nghỉ tuần","Ngày thường")))</f>
        <v/>
      </c>
      <c r="F270" s="107" t="n"/>
      <c r="G270" s="107" t="n"/>
      <c r="H270" s="107" t="n"/>
      <c r="I270" s="81" t="n"/>
      <c r="J270" s="108">
        <f>IF($B270="","",IF($E270="Ngày thường",N($G270),0))</f>
        <v/>
      </c>
      <c r="K270" s="108">
        <f>IF($B270="","",IF($E270="Nghỉ tuần",N($G270),0))</f>
        <v/>
      </c>
      <c r="L270" s="108">
        <f>IF($B270="","",IF($E270="Lễ",N($G270),0))</f>
        <v/>
      </c>
      <c r="M270" s="108">
        <f>IF($B270="","",IF($E270="Ngày thường",N($H270),0))</f>
        <v/>
      </c>
      <c r="N270" s="108">
        <f>IF($B270="","",IF($E270="Nghỉ tuần",N($H270),0))</f>
        <v/>
      </c>
      <c r="O270" s="108">
        <f>IF($B270="","",IF($E270="Lễ",N($H270),0))</f>
        <v/>
      </c>
    </row>
    <row r="271" ht="15" customHeight="1" s="63">
      <c r="A271" s="85">
        <f>IF($B271="","",ROW()-5)</f>
        <v/>
      </c>
      <c r="B271" s="97" t="n"/>
      <c r="C271" s="96">
        <f>IF($B271="","",IFERROR(INDEX(DM_NHAN_SU!$C$6:$C$155,MATCH($B271,DM_NHAN_SU!$B$6:$B$155,0)),"SAI MÃ NV"))</f>
        <v/>
      </c>
      <c r="D271" s="86" t="n"/>
      <c r="E271" s="103">
        <f>IF(OR($B271="",$D271=""),"",IF(COUNTIF(THAM_SO_CC!$F$10:$F$40,$D271)&gt;0,"Lễ",IF(IF(THAM_SO_CC!$B$12="T7+CN",WEEKDAY($D271,2)&gt;=6,WEEKDAY($D271,2)=7),"Nghỉ tuần","Ngày thường")))</f>
        <v/>
      </c>
      <c r="F271" s="107" t="n"/>
      <c r="G271" s="107" t="n"/>
      <c r="H271" s="107" t="n"/>
      <c r="I271" s="81" t="n"/>
      <c r="J271" s="108">
        <f>IF($B271="","",IF($E271="Ngày thường",N($G271),0))</f>
        <v/>
      </c>
      <c r="K271" s="108">
        <f>IF($B271="","",IF($E271="Nghỉ tuần",N($G271),0))</f>
        <v/>
      </c>
      <c r="L271" s="108">
        <f>IF($B271="","",IF($E271="Lễ",N($G271),0))</f>
        <v/>
      </c>
      <c r="M271" s="108">
        <f>IF($B271="","",IF($E271="Ngày thường",N($H271),0))</f>
        <v/>
      </c>
      <c r="N271" s="108">
        <f>IF($B271="","",IF($E271="Nghỉ tuần",N($H271),0))</f>
        <v/>
      </c>
      <c r="O271" s="108">
        <f>IF($B271="","",IF($E271="Lễ",N($H271),0))</f>
        <v/>
      </c>
    </row>
    <row r="272" ht="15" customHeight="1" s="63">
      <c r="A272" s="85">
        <f>IF($B272="","",ROW()-5)</f>
        <v/>
      </c>
      <c r="B272" s="97" t="n"/>
      <c r="C272" s="96">
        <f>IF($B272="","",IFERROR(INDEX(DM_NHAN_SU!$C$6:$C$155,MATCH($B272,DM_NHAN_SU!$B$6:$B$155,0)),"SAI MÃ NV"))</f>
        <v/>
      </c>
      <c r="D272" s="86" t="n"/>
      <c r="E272" s="103">
        <f>IF(OR($B272="",$D272=""),"",IF(COUNTIF(THAM_SO_CC!$F$10:$F$40,$D272)&gt;0,"Lễ",IF(IF(THAM_SO_CC!$B$12="T7+CN",WEEKDAY($D272,2)&gt;=6,WEEKDAY($D272,2)=7),"Nghỉ tuần","Ngày thường")))</f>
        <v/>
      </c>
      <c r="F272" s="107" t="n"/>
      <c r="G272" s="107" t="n"/>
      <c r="H272" s="107" t="n"/>
      <c r="I272" s="81" t="n"/>
      <c r="J272" s="108">
        <f>IF($B272="","",IF($E272="Ngày thường",N($G272),0))</f>
        <v/>
      </c>
      <c r="K272" s="108">
        <f>IF($B272="","",IF($E272="Nghỉ tuần",N($G272),0))</f>
        <v/>
      </c>
      <c r="L272" s="108">
        <f>IF($B272="","",IF($E272="Lễ",N($G272),0))</f>
        <v/>
      </c>
      <c r="M272" s="108">
        <f>IF($B272="","",IF($E272="Ngày thường",N($H272),0))</f>
        <v/>
      </c>
      <c r="N272" s="108">
        <f>IF($B272="","",IF($E272="Nghỉ tuần",N($H272),0))</f>
        <v/>
      </c>
      <c r="O272" s="108">
        <f>IF($B272="","",IF($E272="Lễ",N($H272),0))</f>
        <v/>
      </c>
    </row>
    <row r="273" ht="15" customHeight="1" s="63">
      <c r="A273" s="85">
        <f>IF($B273="","",ROW()-5)</f>
        <v/>
      </c>
      <c r="B273" s="97" t="n"/>
      <c r="C273" s="96">
        <f>IF($B273="","",IFERROR(INDEX(DM_NHAN_SU!$C$6:$C$155,MATCH($B273,DM_NHAN_SU!$B$6:$B$155,0)),"SAI MÃ NV"))</f>
        <v/>
      </c>
      <c r="D273" s="86" t="n"/>
      <c r="E273" s="103">
        <f>IF(OR($B273="",$D273=""),"",IF(COUNTIF(THAM_SO_CC!$F$10:$F$40,$D273)&gt;0,"Lễ",IF(IF(THAM_SO_CC!$B$12="T7+CN",WEEKDAY($D273,2)&gt;=6,WEEKDAY($D273,2)=7),"Nghỉ tuần","Ngày thường")))</f>
        <v/>
      </c>
      <c r="F273" s="107" t="n"/>
      <c r="G273" s="107" t="n"/>
      <c r="H273" s="107" t="n"/>
      <c r="I273" s="81" t="n"/>
      <c r="J273" s="108">
        <f>IF($B273="","",IF($E273="Ngày thường",N($G273),0))</f>
        <v/>
      </c>
      <c r="K273" s="108">
        <f>IF($B273="","",IF($E273="Nghỉ tuần",N($G273),0))</f>
        <v/>
      </c>
      <c r="L273" s="108">
        <f>IF($B273="","",IF($E273="Lễ",N($G273),0))</f>
        <v/>
      </c>
      <c r="M273" s="108">
        <f>IF($B273="","",IF($E273="Ngày thường",N($H273),0))</f>
        <v/>
      </c>
      <c r="N273" s="108">
        <f>IF($B273="","",IF($E273="Nghỉ tuần",N($H273),0))</f>
        <v/>
      </c>
      <c r="O273" s="108">
        <f>IF($B273="","",IF($E273="Lễ",N($H273),0))</f>
        <v/>
      </c>
    </row>
    <row r="274" ht="15" customHeight="1" s="63">
      <c r="A274" s="85">
        <f>IF($B274="","",ROW()-5)</f>
        <v/>
      </c>
      <c r="B274" s="97" t="n"/>
      <c r="C274" s="96">
        <f>IF($B274="","",IFERROR(INDEX(DM_NHAN_SU!$C$6:$C$155,MATCH($B274,DM_NHAN_SU!$B$6:$B$155,0)),"SAI MÃ NV"))</f>
        <v/>
      </c>
      <c r="D274" s="86" t="n"/>
      <c r="E274" s="103">
        <f>IF(OR($B274="",$D274=""),"",IF(COUNTIF(THAM_SO_CC!$F$10:$F$40,$D274)&gt;0,"Lễ",IF(IF(THAM_SO_CC!$B$12="T7+CN",WEEKDAY($D274,2)&gt;=6,WEEKDAY($D274,2)=7),"Nghỉ tuần","Ngày thường")))</f>
        <v/>
      </c>
      <c r="F274" s="107" t="n"/>
      <c r="G274" s="107" t="n"/>
      <c r="H274" s="107" t="n"/>
      <c r="I274" s="81" t="n"/>
      <c r="J274" s="108">
        <f>IF($B274="","",IF($E274="Ngày thường",N($G274),0))</f>
        <v/>
      </c>
      <c r="K274" s="108">
        <f>IF($B274="","",IF($E274="Nghỉ tuần",N($G274),0))</f>
        <v/>
      </c>
      <c r="L274" s="108">
        <f>IF($B274="","",IF($E274="Lễ",N($G274),0))</f>
        <v/>
      </c>
      <c r="M274" s="108">
        <f>IF($B274="","",IF($E274="Ngày thường",N($H274),0))</f>
        <v/>
      </c>
      <c r="N274" s="108">
        <f>IF($B274="","",IF($E274="Nghỉ tuần",N($H274),0))</f>
        <v/>
      </c>
      <c r="O274" s="108">
        <f>IF($B274="","",IF($E274="Lễ",N($H274),0))</f>
        <v/>
      </c>
    </row>
    <row r="275" ht="15" customHeight="1" s="63">
      <c r="A275" s="85">
        <f>IF($B275="","",ROW()-5)</f>
        <v/>
      </c>
      <c r="B275" s="97" t="n"/>
      <c r="C275" s="96">
        <f>IF($B275="","",IFERROR(INDEX(DM_NHAN_SU!$C$6:$C$155,MATCH($B275,DM_NHAN_SU!$B$6:$B$155,0)),"SAI MÃ NV"))</f>
        <v/>
      </c>
      <c r="D275" s="86" t="n"/>
      <c r="E275" s="103">
        <f>IF(OR($B275="",$D275=""),"",IF(COUNTIF(THAM_SO_CC!$F$10:$F$40,$D275)&gt;0,"Lễ",IF(IF(THAM_SO_CC!$B$12="T7+CN",WEEKDAY($D275,2)&gt;=6,WEEKDAY($D275,2)=7),"Nghỉ tuần","Ngày thường")))</f>
        <v/>
      </c>
      <c r="F275" s="107" t="n"/>
      <c r="G275" s="107" t="n"/>
      <c r="H275" s="107" t="n"/>
      <c r="I275" s="81" t="n"/>
      <c r="J275" s="108">
        <f>IF($B275="","",IF($E275="Ngày thường",N($G275),0))</f>
        <v/>
      </c>
      <c r="K275" s="108">
        <f>IF($B275="","",IF($E275="Nghỉ tuần",N($G275),0))</f>
        <v/>
      </c>
      <c r="L275" s="108">
        <f>IF($B275="","",IF($E275="Lễ",N($G275),0))</f>
        <v/>
      </c>
      <c r="M275" s="108">
        <f>IF($B275="","",IF($E275="Ngày thường",N($H275),0))</f>
        <v/>
      </c>
      <c r="N275" s="108">
        <f>IF($B275="","",IF($E275="Nghỉ tuần",N($H275),0))</f>
        <v/>
      </c>
      <c r="O275" s="108">
        <f>IF($B275="","",IF($E275="Lễ",N($H275),0))</f>
        <v/>
      </c>
    </row>
    <row r="276" ht="15" customHeight="1" s="63">
      <c r="A276" s="85">
        <f>IF($B276="","",ROW()-5)</f>
        <v/>
      </c>
      <c r="B276" s="97" t="n"/>
      <c r="C276" s="96">
        <f>IF($B276="","",IFERROR(INDEX(DM_NHAN_SU!$C$6:$C$155,MATCH($B276,DM_NHAN_SU!$B$6:$B$155,0)),"SAI MÃ NV"))</f>
        <v/>
      </c>
      <c r="D276" s="86" t="n"/>
      <c r="E276" s="103">
        <f>IF(OR($B276="",$D276=""),"",IF(COUNTIF(THAM_SO_CC!$F$10:$F$40,$D276)&gt;0,"Lễ",IF(IF(THAM_SO_CC!$B$12="T7+CN",WEEKDAY($D276,2)&gt;=6,WEEKDAY($D276,2)=7),"Nghỉ tuần","Ngày thường")))</f>
        <v/>
      </c>
      <c r="F276" s="107" t="n"/>
      <c r="G276" s="107" t="n"/>
      <c r="H276" s="107" t="n"/>
      <c r="I276" s="81" t="n"/>
      <c r="J276" s="108">
        <f>IF($B276="","",IF($E276="Ngày thường",N($G276),0))</f>
        <v/>
      </c>
      <c r="K276" s="108">
        <f>IF($B276="","",IF($E276="Nghỉ tuần",N($G276),0))</f>
        <v/>
      </c>
      <c r="L276" s="108">
        <f>IF($B276="","",IF($E276="Lễ",N($G276),0))</f>
        <v/>
      </c>
      <c r="M276" s="108">
        <f>IF($B276="","",IF($E276="Ngày thường",N($H276),0))</f>
        <v/>
      </c>
      <c r="N276" s="108">
        <f>IF($B276="","",IF($E276="Nghỉ tuần",N($H276),0))</f>
        <v/>
      </c>
      <c r="O276" s="108">
        <f>IF($B276="","",IF($E276="Lễ",N($H276),0))</f>
        <v/>
      </c>
    </row>
    <row r="277" ht="15" customHeight="1" s="63">
      <c r="A277" s="85">
        <f>IF($B277="","",ROW()-5)</f>
        <v/>
      </c>
      <c r="B277" s="97" t="n"/>
      <c r="C277" s="96">
        <f>IF($B277="","",IFERROR(INDEX(DM_NHAN_SU!$C$6:$C$155,MATCH($B277,DM_NHAN_SU!$B$6:$B$155,0)),"SAI MÃ NV"))</f>
        <v/>
      </c>
      <c r="D277" s="86" t="n"/>
      <c r="E277" s="103">
        <f>IF(OR($B277="",$D277=""),"",IF(COUNTIF(THAM_SO_CC!$F$10:$F$40,$D277)&gt;0,"Lễ",IF(IF(THAM_SO_CC!$B$12="T7+CN",WEEKDAY($D277,2)&gt;=6,WEEKDAY($D277,2)=7),"Nghỉ tuần","Ngày thường")))</f>
        <v/>
      </c>
      <c r="F277" s="107" t="n"/>
      <c r="G277" s="107" t="n"/>
      <c r="H277" s="107" t="n"/>
      <c r="I277" s="81" t="n"/>
      <c r="J277" s="108">
        <f>IF($B277="","",IF($E277="Ngày thường",N($G277),0))</f>
        <v/>
      </c>
      <c r="K277" s="108">
        <f>IF($B277="","",IF($E277="Nghỉ tuần",N($G277),0))</f>
        <v/>
      </c>
      <c r="L277" s="108">
        <f>IF($B277="","",IF($E277="Lễ",N($G277),0))</f>
        <v/>
      </c>
      <c r="M277" s="108">
        <f>IF($B277="","",IF($E277="Ngày thường",N($H277),0))</f>
        <v/>
      </c>
      <c r="N277" s="108">
        <f>IF($B277="","",IF($E277="Nghỉ tuần",N($H277),0))</f>
        <v/>
      </c>
      <c r="O277" s="108">
        <f>IF($B277="","",IF($E277="Lễ",N($H277),0))</f>
        <v/>
      </c>
    </row>
    <row r="278" ht="15" customHeight="1" s="63">
      <c r="A278" s="85">
        <f>IF($B278="","",ROW()-5)</f>
        <v/>
      </c>
      <c r="B278" s="97" t="n"/>
      <c r="C278" s="96">
        <f>IF($B278="","",IFERROR(INDEX(DM_NHAN_SU!$C$6:$C$155,MATCH($B278,DM_NHAN_SU!$B$6:$B$155,0)),"SAI MÃ NV"))</f>
        <v/>
      </c>
      <c r="D278" s="86" t="n"/>
      <c r="E278" s="103">
        <f>IF(OR($B278="",$D278=""),"",IF(COUNTIF(THAM_SO_CC!$F$10:$F$40,$D278)&gt;0,"Lễ",IF(IF(THAM_SO_CC!$B$12="T7+CN",WEEKDAY($D278,2)&gt;=6,WEEKDAY($D278,2)=7),"Nghỉ tuần","Ngày thường")))</f>
        <v/>
      </c>
      <c r="F278" s="107" t="n"/>
      <c r="G278" s="107" t="n"/>
      <c r="H278" s="107" t="n"/>
      <c r="I278" s="81" t="n"/>
      <c r="J278" s="108">
        <f>IF($B278="","",IF($E278="Ngày thường",N($G278),0))</f>
        <v/>
      </c>
      <c r="K278" s="108">
        <f>IF($B278="","",IF($E278="Nghỉ tuần",N($G278),0))</f>
        <v/>
      </c>
      <c r="L278" s="108">
        <f>IF($B278="","",IF($E278="Lễ",N($G278),0))</f>
        <v/>
      </c>
      <c r="M278" s="108">
        <f>IF($B278="","",IF($E278="Ngày thường",N($H278),0))</f>
        <v/>
      </c>
      <c r="N278" s="108">
        <f>IF($B278="","",IF($E278="Nghỉ tuần",N($H278),0))</f>
        <v/>
      </c>
      <c r="O278" s="108">
        <f>IF($B278="","",IF($E278="Lễ",N($H278),0))</f>
        <v/>
      </c>
    </row>
    <row r="279" ht="15" customHeight="1" s="63">
      <c r="A279" s="85">
        <f>IF($B279="","",ROW()-5)</f>
        <v/>
      </c>
      <c r="B279" s="97" t="n"/>
      <c r="C279" s="96">
        <f>IF($B279="","",IFERROR(INDEX(DM_NHAN_SU!$C$6:$C$155,MATCH($B279,DM_NHAN_SU!$B$6:$B$155,0)),"SAI MÃ NV"))</f>
        <v/>
      </c>
      <c r="D279" s="86" t="n"/>
      <c r="E279" s="103">
        <f>IF(OR($B279="",$D279=""),"",IF(COUNTIF(THAM_SO_CC!$F$10:$F$40,$D279)&gt;0,"Lễ",IF(IF(THAM_SO_CC!$B$12="T7+CN",WEEKDAY($D279,2)&gt;=6,WEEKDAY($D279,2)=7),"Nghỉ tuần","Ngày thường")))</f>
        <v/>
      </c>
      <c r="F279" s="107" t="n"/>
      <c r="G279" s="107" t="n"/>
      <c r="H279" s="107" t="n"/>
      <c r="I279" s="81" t="n"/>
      <c r="J279" s="108">
        <f>IF($B279="","",IF($E279="Ngày thường",N($G279),0))</f>
        <v/>
      </c>
      <c r="K279" s="108">
        <f>IF($B279="","",IF($E279="Nghỉ tuần",N($G279),0))</f>
        <v/>
      </c>
      <c r="L279" s="108">
        <f>IF($B279="","",IF($E279="Lễ",N($G279),0))</f>
        <v/>
      </c>
      <c r="M279" s="108">
        <f>IF($B279="","",IF($E279="Ngày thường",N($H279),0))</f>
        <v/>
      </c>
      <c r="N279" s="108">
        <f>IF($B279="","",IF($E279="Nghỉ tuần",N($H279),0))</f>
        <v/>
      </c>
      <c r="O279" s="108">
        <f>IF($B279="","",IF($E279="Lễ",N($H279),0))</f>
        <v/>
      </c>
    </row>
    <row r="280" ht="15" customHeight="1" s="63">
      <c r="A280" s="85">
        <f>IF($B280="","",ROW()-5)</f>
        <v/>
      </c>
      <c r="B280" s="97" t="n"/>
      <c r="C280" s="96">
        <f>IF($B280="","",IFERROR(INDEX(DM_NHAN_SU!$C$6:$C$155,MATCH($B280,DM_NHAN_SU!$B$6:$B$155,0)),"SAI MÃ NV"))</f>
        <v/>
      </c>
      <c r="D280" s="86" t="n"/>
      <c r="E280" s="103">
        <f>IF(OR($B280="",$D280=""),"",IF(COUNTIF(THAM_SO_CC!$F$10:$F$40,$D280)&gt;0,"Lễ",IF(IF(THAM_SO_CC!$B$12="T7+CN",WEEKDAY($D280,2)&gt;=6,WEEKDAY($D280,2)=7),"Nghỉ tuần","Ngày thường")))</f>
        <v/>
      </c>
      <c r="F280" s="107" t="n"/>
      <c r="G280" s="107" t="n"/>
      <c r="H280" s="107" t="n"/>
      <c r="I280" s="81" t="n"/>
      <c r="J280" s="108">
        <f>IF($B280="","",IF($E280="Ngày thường",N($G280),0))</f>
        <v/>
      </c>
      <c r="K280" s="108">
        <f>IF($B280="","",IF($E280="Nghỉ tuần",N($G280),0))</f>
        <v/>
      </c>
      <c r="L280" s="108">
        <f>IF($B280="","",IF($E280="Lễ",N($G280),0))</f>
        <v/>
      </c>
      <c r="M280" s="108">
        <f>IF($B280="","",IF($E280="Ngày thường",N($H280),0))</f>
        <v/>
      </c>
      <c r="N280" s="108">
        <f>IF($B280="","",IF($E280="Nghỉ tuần",N($H280),0))</f>
        <v/>
      </c>
      <c r="O280" s="108">
        <f>IF($B280="","",IF($E280="Lễ",N($H280),0))</f>
        <v/>
      </c>
    </row>
    <row r="281" ht="15" customHeight="1" s="63">
      <c r="A281" s="85">
        <f>IF($B281="","",ROW()-5)</f>
        <v/>
      </c>
      <c r="B281" s="97" t="n"/>
      <c r="C281" s="96">
        <f>IF($B281="","",IFERROR(INDEX(DM_NHAN_SU!$C$6:$C$155,MATCH($B281,DM_NHAN_SU!$B$6:$B$155,0)),"SAI MÃ NV"))</f>
        <v/>
      </c>
      <c r="D281" s="86" t="n"/>
      <c r="E281" s="103">
        <f>IF(OR($B281="",$D281=""),"",IF(COUNTIF(THAM_SO_CC!$F$10:$F$40,$D281)&gt;0,"Lễ",IF(IF(THAM_SO_CC!$B$12="T7+CN",WEEKDAY($D281,2)&gt;=6,WEEKDAY($D281,2)=7),"Nghỉ tuần","Ngày thường")))</f>
        <v/>
      </c>
      <c r="F281" s="107" t="n"/>
      <c r="G281" s="107" t="n"/>
      <c r="H281" s="107" t="n"/>
      <c r="I281" s="81" t="n"/>
      <c r="J281" s="108">
        <f>IF($B281="","",IF($E281="Ngày thường",N($G281),0))</f>
        <v/>
      </c>
      <c r="K281" s="108">
        <f>IF($B281="","",IF($E281="Nghỉ tuần",N($G281),0))</f>
        <v/>
      </c>
      <c r="L281" s="108">
        <f>IF($B281="","",IF($E281="Lễ",N($G281),0))</f>
        <v/>
      </c>
      <c r="M281" s="108">
        <f>IF($B281="","",IF($E281="Ngày thường",N($H281),0))</f>
        <v/>
      </c>
      <c r="N281" s="108">
        <f>IF($B281="","",IF($E281="Nghỉ tuần",N($H281),0))</f>
        <v/>
      </c>
      <c r="O281" s="108">
        <f>IF($B281="","",IF($E281="Lễ",N($H281),0))</f>
        <v/>
      </c>
    </row>
    <row r="282" ht="15" customHeight="1" s="63">
      <c r="A282" s="85">
        <f>IF($B282="","",ROW()-5)</f>
        <v/>
      </c>
      <c r="B282" s="97" t="n"/>
      <c r="C282" s="96">
        <f>IF($B282="","",IFERROR(INDEX(DM_NHAN_SU!$C$6:$C$155,MATCH($B282,DM_NHAN_SU!$B$6:$B$155,0)),"SAI MÃ NV"))</f>
        <v/>
      </c>
      <c r="D282" s="86" t="n"/>
      <c r="E282" s="103">
        <f>IF(OR($B282="",$D282=""),"",IF(COUNTIF(THAM_SO_CC!$F$10:$F$40,$D282)&gt;0,"Lễ",IF(IF(THAM_SO_CC!$B$12="T7+CN",WEEKDAY($D282,2)&gt;=6,WEEKDAY($D282,2)=7),"Nghỉ tuần","Ngày thường")))</f>
        <v/>
      </c>
      <c r="F282" s="107" t="n"/>
      <c r="G282" s="107" t="n"/>
      <c r="H282" s="107" t="n"/>
      <c r="I282" s="81" t="n"/>
      <c r="J282" s="108">
        <f>IF($B282="","",IF($E282="Ngày thường",N($G282),0))</f>
        <v/>
      </c>
      <c r="K282" s="108">
        <f>IF($B282="","",IF($E282="Nghỉ tuần",N($G282),0))</f>
        <v/>
      </c>
      <c r="L282" s="108">
        <f>IF($B282="","",IF($E282="Lễ",N($G282),0))</f>
        <v/>
      </c>
      <c r="M282" s="108">
        <f>IF($B282="","",IF($E282="Ngày thường",N($H282),0))</f>
        <v/>
      </c>
      <c r="N282" s="108">
        <f>IF($B282="","",IF($E282="Nghỉ tuần",N($H282),0))</f>
        <v/>
      </c>
      <c r="O282" s="108">
        <f>IF($B282="","",IF($E282="Lễ",N($H282),0))</f>
        <v/>
      </c>
    </row>
    <row r="283" ht="15" customHeight="1" s="63">
      <c r="A283" s="85">
        <f>IF($B283="","",ROW()-5)</f>
        <v/>
      </c>
      <c r="B283" s="97" t="n"/>
      <c r="C283" s="96">
        <f>IF($B283="","",IFERROR(INDEX(DM_NHAN_SU!$C$6:$C$155,MATCH($B283,DM_NHAN_SU!$B$6:$B$155,0)),"SAI MÃ NV"))</f>
        <v/>
      </c>
      <c r="D283" s="86" t="n"/>
      <c r="E283" s="103">
        <f>IF(OR($B283="",$D283=""),"",IF(COUNTIF(THAM_SO_CC!$F$10:$F$40,$D283)&gt;0,"Lễ",IF(IF(THAM_SO_CC!$B$12="T7+CN",WEEKDAY($D283,2)&gt;=6,WEEKDAY($D283,2)=7),"Nghỉ tuần","Ngày thường")))</f>
        <v/>
      </c>
      <c r="F283" s="107" t="n"/>
      <c r="G283" s="107" t="n"/>
      <c r="H283" s="107" t="n"/>
      <c r="I283" s="81" t="n"/>
      <c r="J283" s="108">
        <f>IF($B283="","",IF($E283="Ngày thường",N($G283),0))</f>
        <v/>
      </c>
      <c r="K283" s="108">
        <f>IF($B283="","",IF($E283="Nghỉ tuần",N($G283),0))</f>
        <v/>
      </c>
      <c r="L283" s="108">
        <f>IF($B283="","",IF($E283="Lễ",N($G283),0))</f>
        <v/>
      </c>
      <c r="M283" s="108">
        <f>IF($B283="","",IF($E283="Ngày thường",N($H283),0))</f>
        <v/>
      </c>
      <c r="N283" s="108">
        <f>IF($B283="","",IF($E283="Nghỉ tuần",N($H283),0))</f>
        <v/>
      </c>
      <c r="O283" s="108">
        <f>IF($B283="","",IF($E283="Lễ",N($H283),0))</f>
        <v/>
      </c>
    </row>
    <row r="284" ht="15" customHeight="1" s="63">
      <c r="A284" s="85">
        <f>IF($B284="","",ROW()-5)</f>
        <v/>
      </c>
      <c r="B284" s="97" t="n"/>
      <c r="C284" s="96">
        <f>IF($B284="","",IFERROR(INDEX(DM_NHAN_SU!$C$6:$C$155,MATCH($B284,DM_NHAN_SU!$B$6:$B$155,0)),"SAI MÃ NV"))</f>
        <v/>
      </c>
      <c r="D284" s="86" t="n"/>
      <c r="E284" s="103">
        <f>IF(OR($B284="",$D284=""),"",IF(COUNTIF(THAM_SO_CC!$F$10:$F$40,$D284)&gt;0,"Lễ",IF(IF(THAM_SO_CC!$B$12="T7+CN",WEEKDAY($D284,2)&gt;=6,WEEKDAY($D284,2)=7),"Nghỉ tuần","Ngày thường")))</f>
        <v/>
      </c>
      <c r="F284" s="107" t="n"/>
      <c r="G284" s="107" t="n"/>
      <c r="H284" s="107" t="n"/>
      <c r="I284" s="81" t="n"/>
      <c r="J284" s="108">
        <f>IF($B284="","",IF($E284="Ngày thường",N($G284),0))</f>
        <v/>
      </c>
      <c r="K284" s="108">
        <f>IF($B284="","",IF($E284="Nghỉ tuần",N($G284),0))</f>
        <v/>
      </c>
      <c r="L284" s="108">
        <f>IF($B284="","",IF($E284="Lễ",N($G284),0))</f>
        <v/>
      </c>
      <c r="M284" s="108">
        <f>IF($B284="","",IF($E284="Ngày thường",N($H284),0))</f>
        <v/>
      </c>
      <c r="N284" s="108">
        <f>IF($B284="","",IF($E284="Nghỉ tuần",N($H284),0))</f>
        <v/>
      </c>
      <c r="O284" s="108">
        <f>IF($B284="","",IF($E284="Lễ",N($H284),0))</f>
        <v/>
      </c>
    </row>
    <row r="285" ht="15" customHeight="1" s="63">
      <c r="A285" s="85">
        <f>IF($B285="","",ROW()-5)</f>
        <v/>
      </c>
      <c r="B285" s="97" t="n"/>
      <c r="C285" s="96">
        <f>IF($B285="","",IFERROR(INDEX(DM_NHAN_SU!$C$6:$C$155,MATCH($B285,DM_NHAN_SU!$B$6:$B$155,0)),"SAI MÃ NV"))</f>
        <v/>
      </c>
      <c r="D285" s="86" t="n"/>
      <c r="E285" s="103">
        <f>IF(OR($B285="",$D285=""),"",IF(COUNTIF(THAM_SO_CC!$F$10:$F$40,$D285)&gt;0,"Lễ",IF(IF(THAM_SO_CC!$B$12="T7+CN",WEEKDAY($D285,2)&gt;=6,WEEKDAY($D285,2)=7),"Nghỉ tuần","Ngày thường")))</f>
        <v/>
      </c>
      <c r="F285" s="107" t="n"/>
      <c r="G285" s="107" t="n"/>
      <c r="H285" s="107" t="n"/>
      <c r="I285" s="81" t="n"/>
      <c r="J285" s="108">
        <f>IF($B285="","",IF($E285="Ngày thường",N($G285),0))</f>
        <v/>
      </c>
      <c r="K285" s="108">
        <f>IF($B285="","",IF($E285="Nghỉ tuần",N($G285),0))</f>
        <v/>
      </c>
      <c r="L285" s="108">
        <f>IF($B285="","",IF($E285="Lễ",N($G285),0))</f>
        <v/>
      </c>
      <c r="M285" s="108">
        <f>IF($B285="","",IF($E285="Ngày thường",N($H285),0))</f>
        <v/>
      </c>
      <c r="N285" s="108">
        <f>IF($B285="","",IF($E285="Nghỉ tuần",N($H285),0))</f>
        <v/>
      </c>
      <c r="O285" s="108">
        <f>IF($B285="","",IF($E285="Lễ",N($H285),0))</f>
        <v/>
      </c>
    </row>
    <row r="286" ht="15" customHeight="1" s="63">
      <c r="A286" s="85">
        <f>IF($B286="","",ROW()-5)</f>
        <v/>
      </c>
      <c r="B286" s="97" t="n"/>
      <c r="C286" s="96">
        <f>IF($B286="","",IFERROR(INDEX(DM_NHAN_SU!$C$6:$C$155,MATCH($B286,DM_NHAN_SU!$B$6:$B$155,0)),"SAI MÃ NV"))</f>
        <v/>
      </c>
      <c r="D286" s="86" t="n"/>
      <c r="E286" s="103">
        <f>IF(OR($B286="",$D286=""),"",IF(COUNTIF(THAM_SO_CC!$F$10:$F$40,$D286)&gt;0,"Lễ",IF(IF(THAM_SO_CC!$B$12="T7+CN",WEEKDAY($D286,2)&gt;=6,WEEKDAY($D286,2)=7),"Nghỉ tuần","Ngày thường")))</f>
        <v/>
      </c>
      <c r="F286" s="107" t="n"/>
      <c r="G286" s="107" t="n"/>
      <c r="H286" s="107" t="n"/>
      <c r="I286" s="81" t="n"/>
      <c r="J286" s="108">
        <f>IF($B286="","",IF($E286="Ngày thường",N($G286),0))</f>
        <v/>
      </c>
      <c r="K286" s="108">
        <f>IF($B286="","",IF($E286="Nghỉ tuần",N($G286),0))</f>
        <v/>
      </c>
      <c r="L286" s="108">
        <f>IF($B286="","",IF($E286="Lễ",N($G286),0))</f>
        <v/>
      </c>
      <c r="M286" s="108">
        <f>IF($B286="","",IF($E286="Ngày thường",N($H286),0))</f>
        <v/>
      </c>
      <c r="N286" s="108">
        <f>IF($B286="","",IF($E286="Nghỉ tuần",N($H286),0))</f>
        <v/>
      </c>
      <c r="O286" s="108">
        <f>IF($B286="","",IF($E286="Lễ",N($H286),0))</f>
        <v/>
      </c>
    </row>
    <row r="287" ht="15" customHeight="1" s="63">
      <c r="A287" s="85">
        <f>IF($B287="","",ROW()-5)</f>
        <v/>
      </c>
      <c r="B287" s="97" t="n"/>
      <c r="C287" s="96">
        <f>IF($B287="","",IFERROR(INDEX(DM_NHAN_SU!$C$6:$C$155,MATCH($B287,DM_NHAN_SU!$B$6:$B$155,0)),"SAI MÃ NV"))</f>
        <v/>
      </c>
      <c r="D287" s="86" t="n"/>
      <c r="E287" s="103">
        <f>IF(OR($B287="",$D287=""),"",IF(COUNTIF(THAM_SO_CC!$F$10:$F$40,$D287)&gt;0,"Lễ",IF(IF(THAM_SO_CC!$B$12="T7+CN",WEEKDAY($D287,2)&gt;=6,WEEKDAY($D287,2)=7),"Nghỉ tuần","Ngày thường")))</f>
        <v/>
      </c>
      <c r="F287" s="107" t="n"/>
      <c r="G287" s="107" t="n"/>
      <c r="H287" s="107" t="n"/>
      <c r="I287" s="81" t="n"/>
      <c r="J287" s="108">
        <f>IF($B287="","",IF($E287="Ngày thường",N($G287),0))</f>
        <v/>
      </c>
      <c r="K287" s="108">
        <f>IF($B287="","",IF($E287="Nghỉ tuần",N($G287),0))</f>
        <v/>
      </c>
      <c r="L287" s="108">
        <f>IF($B287="","",IF($E287="Lễ",N($G287),0))</f>
        <v/>
      </c>
      <c r="M287" s="108">
        <f>IF($B287="","",IF($E287="Ngày thường",N($H287),0))</f>
        <v/>
      </c>
      <c r="N287" s="108">
        <f>IF($B287="","",IF($E287="Nghỉ tuần",N($H287),0))</f>
        <v/>
      </c>
      <c r="O287" s="108">
        <f>IF($B287="","",IF($E287="Lễ",N($H287),0))</f>
        <v/>
      </c>
    </row>
    <row r="288" ht="15" customHeight="1" s="63">
      <c r="A288" s="85">
        <f>IF($B288="","",ROW()-5)</f>
        <v/>
      </c>
      <c r="B288" s="97" t="n"/>
      <c r="C288" s="96">
        <f>IF($B288="","",IFERROR(INDEX(DM_NHAN_SU!$C$6:$C$155,MATCH($B288,DM_NHAN_SU!$B$6:$B$155,0)),"SAI MÃ NV"))</f>
        <v/>
      </c>
      <c r="D288" s="86" t="n"/>
      <c r="E288" s="103">
        <f>IF(OR($B288="",$D288=""),"",IF(COUNTIF(THAM_SO_CC!$F$10:$F$40,$D288)&gt;0,"Lễ",IF(IF(THAM_SO_CC!$B$12="T7+CN",WEEKDAY($D288,2)&gt;=6,WEEKDAY($D288,2)=7),"Nghỉ tuần","Ngày thường")))</f>
        <v/>
      </c>
      <c r="F288" s="107" t="n"/>
      <c r="G288" s="107" t="n"/>
      <c r="H288" s="107" t="n"/>
      <c r="I288" s="81" t="n"/>
      <c r="J288" s="108">
        <f>IF($B288="","",IF($E288="Ngày thường",N($G288),0))</f>
        <v/>
      </c>
      <c r="K288" s="108">
        <f>IF($B288="","",IF($E288="Nghỉ tuần",N($G288),0))</f>
        <v/>
      </c>
      <c r="L288" s="108">
        <f>IF($B288="","",IF($E288="Lễ",N($G288),0))</f>
        <v/>
      </c>
      <c r="M288" s="108">
        <f>IF($B288="","",IF($E288="Ngày thường",N($H288),0))</f>
        <v/>
      </c>
      <c r="N288" s="108">
        <f>IF($B288="","",IF($E288="Nghỉ tuần",N($H288),0))</f>
        <v/>
      </c>
      <c r="O288" s="108">
        <f>IF($B288="","",IF($E288="Lễ",N($H288),0))</f>
        <v/>
      </c>
    </row>
    <row r="289" ht="15" customHeight="1" s="63">
      <c r="A289" s="85">
        <f>IF($B289="","",ROW()-5)</f>
        <v/>
      </c>
      <c r="B289" s="97" t="n"/>
      <c r="C289" s="96">
        <f>IF($B289="","",IFERROR(INDEX(DM_NHAN_SU!$C$6:$C$155,MATCH($B289,DM_NHAN_SU!$B$6:$B$155,0)),"SAI MÃ NV"))</f>
        <v/>
      </c>
      <c r="D289" s="86" t="n"/>
      <c r="E289" s="103">
        <f>IF(OR($B289="",$D289=""),"",IF(COUNTIF(THAM_SO_CC!$F$10:$F$40,$D289)&gt;0,"Lễ",IF(IF(THAM_SO_CC!$B$12="T7+CN",WEEKDAY($D289,2)&gt;=6,WEEKDAY($D289,2)=7),"Nghỉ tuần","Ngày thường")))</f>
        <v/>
      </c>
      <c r="F289" s="107" t="n"/>
      <c r="G289" s="107" t="n"/>
      <c r="H289" s="107" t="n"/>
      <c r="I289" s="81" t="n"/>
      <c r="J289" s="108">
        <f>IF($B289="","",IF($E289="Ngày thường",N($G289),0))</f>
        <v/>
      </c>
      <c r="K289" s="108">
        <f>IF($B289="","",IF($E289="Nghỉ tuần",N($G289),0))</f>
        <v/>
      </c>
      <c r="L289" s="108">
        <f>IF($B289="","",IF($E289="Lễ",N($G289),0))</f>
        <v/>
      </c>
      <c r="M289" s="108">
        <f>IF($B289="","",IF($E289="Ngày thường",N($H289),0))</f>
        <v/>
      </c>
      <c r="N289" s="108">
        <f>IF($B289="","",IF($E289="Nghỉ tuần",N($H289),0))</f>
        <v/>
      </c>
      <c r="O289" s="108">
        <f>IF($B289="","",IF($E289="Lễ",N($H289),0))</f>
        <v/>
      </c>
    </row>
    <row r="290" ht="15" customHeight="1" s="63">
      <c r="A290" s="85">
        <f>IF($B290="","",ROW()-5)</f>
        <v/>
      </c>
      <c r="B290" s="97" t="n"/>
      <c r="C290" s="96">
        <f>IF($B290="","",IFERROR(INDEX(DM_NHAN_SU!$C$6:$C$155,MATCH($B290,DM_NHAN_SU!$B$6:$B$155,0)),"SAI MÃ NV"))</f>
        <v/>
      </c>
      <c r="D290" s="86" t="n"/>
      <c r="E290" s="103">
        <f>IF(OR($B290="",$D290=""),"",IF(COUNTIF(THAM_SO_CC!$F$10:$F$40,$D290)&gt;0,"Lễ",IF(IF(THAM_SO_CC!$B$12="T7+CN",WEEKDAY($D290,2)&gt;=6,WEEKDAY($D290,2)=7),"Nghỉ tuần","Ngày thường")))</f>
        <v/>
      </c>
      <c r="F290" s="107" t="n"/>
      <c r="G290" s="107" t="n"/>
      <c r="H290" s="107" t="n"/>
      <c r="I290" s="81" t="n"/>
      <c r="J290" s="108">
        <f>IF($B290="","",IF($E290="Ngày thường",N($G290),0))</f>
        <v/>
      </c>
      <c r="K290" s="108">
        <f>IF($B290="","",IF($E290="Nghỉ tuần",N($G290),0))</f>
        <v/>
      </c>
      <c r="L290" s="108">
        <f>IF($B290="","",IF($E290="Lễ",N($G290),0))</f>
        <v/>
      </c>
      <c r="M290" s="108">
        <f>IF($B290="","",IF($E290="Ngày thường",N($H290),0))</f>
        <v/>
      </c>
      <c r="N290" s="108">
        <f>IF($B290="","",IF($E290="Nghỉ tuần",N($H290),0))</f>
        <v/>
      </c>
      <c r="O290" s="108">
        <f>IF($B290="","",IF($E290="Lễ",N($H290),0))</f>
        <v/>
      </c>
    </row>
    <row r="291" ht="15" customHeight="1" s="63">
      <c r="A291" s="85">
        <f>IF($B291="","",ROW()-5)</f>
        <v/>
      </c>
      <c r="B291" s="97" t="n"/>
      <c r="C291" s="96">
        <f>IF($B291="","",IFERROR(INDEX(DM_NHAN_SU!$C$6:$C$155,MATCH($B291,DM_NHAN_SU!$B$6:$B$155,0)),"SAI MÃ NV"))</f>
        <v/>
      </c>
      <c r="D291" s="86" t="n"/>
      <c r="E291" s="103">
        <f>IF(OR($B291="",$D291=""),"",IF(COUNTIF(THAM_SO_CC!$F$10:$F$40,$D291)&gt;0,"Lễ",IF(IF(THAM_SO_CC!$B$12="T7+CN",WEEKDAY($D291,2)&gt;=6,WEEKDAY($D291,2)=7),"Nghỉ tuần","Ngày thường")))</f>
        <v/>
      </c>
      <c r="F291" s="107" t="n"/>
      <c r="G291" s="107" t="n"/>
      <c r="H291" s="107" t="n"/>
      <c r="I291" s="81" t="n"/>
      <c r="J291" s="108">
        <f>IF($B291="","",IF($E291="Ngày thường",N($G291),0))</f>
        <v/>
      </c>
      <c r="K291" s="108">
        <f>IF($B291="","",IF($E291="Nghỉ tuần",N($G291),0))</f>
        <v/>
      </c>
      <c r="L291" s="108">
        <f>IF($B291="","",IF($E291="Lễ",N($G291),0))</f>
        <v/>
      </c>
      <c r="M291" s="108">
        <f>IF($B291="","",IF($E291="Ngày thường",N($H291),0))</f>
        <v/>
      </c>
      <c r="N291" s="108">
        <f>IF($B291="","",IF($E291="Nghỉ tuần",N($H291),0))</f>
        <v/>
      </c>
      <c r="O291" s="108">
        <f>IF($B291="","",IF($E291="Lễ",N($H291),0))</f>
        <v/>
      </c>
    </row>
    <row r="292" ht="15" customHeight="1" s="63">
      <c r="A292" s="85">
        <f>IF($B292="","",ROW()-5)</f>
        <v/>
      </c>
      <c r="B292" s="97" t="n"/>
      <c r="C292" s="96">
        <f>IF($B292="","",IFERROR(INDEX(DM_NHAN_SU!$C$6:$C$155,MATCH($B292,DM_NHAN_SU!$B$6:$B$155,0)),"SAI MÃ NV"))</f>
        <v/>
      </c>
      <c r="D292" s="86" t="n"/>
      <c r="E292" s="103">
        <f>IF(OR($B292="",$D292=""),"",IF(COUNTIF(THAM_SO_CC!$F$10:$F$40,$D292)&gt;0,"Lễ",IF(IF(THAM_SO_CC!$B$12="T7+CN",WEEKDAY($D292,2)&gt;=6,WEEKDAY($D292,2)=7),"Nghỉ tuần","Ngày thường")))</f>
        <v/>
      </c>
      <c r="F292" s="107" t="n"/>
      <c r="G292" s="107" t="n"/>
      <c r="H292" s="107" t="n"/>
      <c r="I292" s="81" t="n"/>
      <c r="J292" s="108">
        <f>IF($B292="","",IF($E292="Ngày thường",N($G292),0))</f>
        <v/>
      </c>
      <c r="K292" s="108">
        <f>IF($B292="","",IF($E292="Nghỉ tuần",N($G292),0))</f>
        <v/>
      </c>
      <c r="L292" s="108">
        <f>IF($B292="","",IF($E292="Lễ",N($G292),0))</f>
        <v/>
      </c>
      <c r="M292" s="108">
        <f>IF($B292="","",IF($E292="Ngày thường",N($H292),0))</f>
        <v/>
      </c>
      <c r="N292" s="108">
        <f>IF($B292="","",IF($E292="Nghỉ tuần",N($H292),0))</f>
        <v/>
      </c>
      <c r="O292" s="108">
        <f>IF($B292="","",IF($E292="Lễ",N($H292),0))</f>
        <v/>
      </c>
    </row>
    <row r="293" ht="15" customHeight="1" s="63">
      <c r="A293" s="85">
        <f>IF($B293="","",ROW()-5)</f>
        <v/>
      </c>
      <c r="B293" s="97" t="n"/>
      <c r="C293" s="96">
        <f>IF($B293="","",IFERROR(INDEX(DM_NHAN_SU!$C$6:$C$155,MATCH($B293,DM_NHAN_SU!$B$6:$B$155,0)),"SAI MÃ NV"))</f>
        <v/>
      </c>
      <c r="D293" s="86" t="n"/>
      <c r="E293" s="103">
        <f>IF(OR($B293="",$D293=""),"",IF(COUNTIF(THAM_SO_CC!$F$10:$F$40,$D293)&gt;0,"Lễ",IF(IF(THAM_SO_CC!$B$12="T7+CN",WEEKDAY($D293,2)&gt;=6,WEEKDAY($D293,2)=7),"Nghỉ tuần","Ngày thường")))</f>
        <v/>
      </c>
      <c r="F293" s="107" t="n"/>
      <c r="G293" s="107" t="n"/>
      <c r="H293" s="107" t="n"/>
      <c r="I293" s="81" t="n"/>
      <c r="J293" s="108">
        <f>IF($B293="","",IF($E293="Ngày thường",N($G293),0))</f>
        <v/>
      </c>
      <c r="K293" s="108">
        <f>IF($B293="","",IF($E293="Nghỉ tuần",N($G293),0))</f>
        <v/>
      </c>
      <c r="L293" s="108">
        <f>IF($B293="","",IF($E293="Lễ",N($G293),0))</f>
        <v/>
      </c>
      <c r="M293" s="108">
        <f>IF($B293="","",IF($E293="Ngày thường",N($H293),0))</f>
        <v/>
      </c>
      <c r="N293" s="108">
        <f>IF($B293="","",IF($E293="Nghỉ tuần",N($H293),0))</f>
        <v/>
      </c>
      <c r="O293" s="108">
        <f>IF($B293="","",IF($E293="Lễ",N($H293),0))</f>
        <v/>
      </c>
    </row>
    <row r="294" ht="15" customHeight="1" s="63">
      <c r="A294" s="85">
        <f>IF($B294="","",ROW()-5)</f>
        <v/>
      </c>
      <c r="B294" s="97" t="n"/>
      <c r="C294" s="96">
        <f>IF($B294="","",IFERROR(INDEX(DM_NHAN_SU!$C$6:$C$155,MATCH($B294,DM_NHAN_SU!$B$6:$B$155,0)),"SAI MÃ NV"))</f>
        <v/>
      </c>
      <c r="D294" s="86" t="n"/>
      <c r="E294" s="103">
        <f>IF(OR($B294="",$D294=""),"",IF(COUNTIF(THAM_SO_CC!$F$10:$F$40,$D294)&gt;0,"Lễ",IF(IF(THAM_SO_CC!$B$12="T7+CN",WEEKDAY($D294,2)&gt;=6,WEEKDAY($D294,2)=7),"Nghỉ tuần","Ngày thường")))</f>
        <v/>
      </c>
      <c r="F294" s="107" t="n"/>
      <c r="G294" s="107" t="n"/>
      <c r="H294" s="107" t="n"/>
      <c r="I294" s="81" t="n"/>
      <c r="J294" s="108">
        <f>IF($B294="","",IF($E294="Ngày thường",N($G294),0))</f>
        <v/>
      </c>
      <c r="K294" s="108">
        <f>IF($B294="","",IF($E294="Nghỉ tuần",N($G294),0))</f>
        <v/>
      </c>
      <c r="L294" s="108">
        <f>IF($B294="","",IF($E294="Lễ",N($G294),0))</f>
        <v/>
      </c>
      <c r="M294" s="108">
        <f>IF($B294="","",IF($E294="Ngày thường",N($H294),0))</f>
        <v/>
      </c>
      <c r="N294" s="108">
        <f>IF($B294="","",IF($E294="Nghỉ tuần",N($H294),0))</f>
        <v/>
      </c>
      <c r="O294" s="108">
        <f>IF($B294="","",IF($E294="Lễ",N($H294),0))</f>
        <v/>
      </c>
    </row>
    <row r="295" ht="15" customHeight="1" s="63">
      <c r="A295" s="85">
        <f>IF($B295="","",ROW()-5)</f>
        <v/>
      </c>
      <c r="B295" s="97" t="n"/>
      <c r="C295" s="96">
        <f>IF($B295="","",IFERROR(INDEX(DM_NHAN_SU!$C$6:$C$155,MATCH($B295,DM_NHAN_SU!$B$6:$B$155,0)),"SAI MÃ NV"))</f>
        <v/>
      </c>
      <c r="D295" s="86" t="n"/>
      <c r="E295" s="103">
        <f>IF(OR($B295="",$D295=""),"",IF(COUNTIF(THAM_SO_CC!$F$10:$F$40,$D295)&gt;0,"Lễ",IF(IF(THAM_SO_CC!$B$12="T7+CN",WEEKDAY($D295,2)&gt;=6,WEEKDAY($D295,2)=7),"Nghỉ tuần","Ngày thường")))</f>
        <v/>
      </c>
      <c r="F295" s="107" t="n"/>
      <c r="G295" s="107" t="n"/>
      <c r="H295" s="107" t="n"/>
      <c r="I295" s="81" t="n"/>
      <c r="J295" s="108">
        <f>IF($B295="","",IF($E295="Ngày thường",N($G295),0))</f>
        <v/>
      </c>
      <c r="K295" s="108">
        <f>IF($B295="","",IF($E295="Nghỉ tuần",N($G295),0))</f>
        <v/>
      </c>
      <c r="L295" s="108">
        <f>IF($B295="","",IF($E295="Lễ",N($G295),0))</f>
        <v/>
      </c>
      <c r="M295" s="108">
        <f>IF($B295="","",IF($E295="Ngày thường",N($H295),0))</f>
        <v/>
      </c>
      <c r="N295" s="108">
        <f>IF($B295="","",IF($E295="Nghỉ tuần",N($H295),0))</f>
        <v/>
      </c>
      <c r="O295" s="108">
        <f>IF($B295="","",IF($E295="Lễ",N($H295),0))</f>
        <v/>
      </c>
    </row>
    <row r="296" ht="15" customHeight="1" s="63">
      <c r="A296" s="85">
        <f>IF($B296="","",ROW()-5)</f>
        <v/>
      </c>
      <c r="B296" s="97" t="n"/>
      <c r="C296" s="96">
        <f>IF($B296="","",IFERROR(INDEX(DM_NHAN_SU!$C$6:$C$155,MATCH($B296,DM_NHAN_SU!$B$6:$B$155,0)),"SAI MÃ NV"))</f>
        <v/>
      </c>
      <c r="D296" s="86" t="n"/>
      <c r="E296" s="103">
        <f>IF(OR($B296="",$D296=""),"",IF(COUNTIF(THAM_SO_CC!$F$10:$F$40,$D296)&gt;0,"Lễ",IF(IF(THAM_SO_CC!$B$12="T7+CN",WEEKDAY($D296,2)&gt;=6,WEEKDAY($D296,2)=7),"Nghỉ tuần","Ngày thường")))</f>
        <v/>
      </c>
      <c r="F296" s="107" t="n"/>
      <c r="G296" s="107" t="n"/>
      <c r="H296" s="107" t="n"/>
      <c r="I296" s="81" t="n"/>
      <c r="J296" s="108">
        <f>IF($B296="","",IF($E296="Ngày thường",N($G296),0))</f>
        <v/>
      </c>
      <c r="K296" s="108">
        <f>IF($B296="","",IF($E296="Nghỉ tuần",N($G296),0))</f>
        <v/>
      </c>
      <c r="L296" s="108">
        <f>IF($B296="","",IF($E296="Lễ",N($G296),0))</f>
        <v/>
      </c>
      <c r="M296" s="108">
        <f>IF($B296="","",IF($E296="Ngày thường",N($H296),0))</f>
        <v/>
      </c>
      <c r="N296" s="108">
        <f>IF($B296="","",IF($E296="Nghỉ tuần",N($H296),0))</f>
        <v/>
      </c>
      <c r="O296" s="108">
        <f>IF($B296="","",IF($E296="Lễ",N($H296),0))</f>
        <v/>
      </c>
    </row>
    <row r="297" ht="15" customHeight="1" s="63">
      <c r="A297" s="85">
        <f>IF($B297="","",ROW()-5)</f>
        <v/>
      </c>
      <c r="B297" s="97" t="n"/>
      <c r="C297" s="96">
        <f>IF($B297="","",IFERROR(INDEX(DM_NHAN_SU!$C$6:$C$155,MATCH($B297,DM_NHAN_SU!$B$6:$B$155,0)),"SAI MÃ NV"))</f>
        <v/>
      </c>
      <c r="D297" s="86" t="n"/>
      <c r="E297" s="103">
        <f>IF(OR($B297="",$D297=""),"",IF(COUNTIF(THAM_SO_CC!$F$10:$F$40,$D297)&gt;0,"Lễ",IF(IF(THAM_SO_CC!$B$12="T7+CN",WEEKDAY($D297,2)&gt;=6,WEEKDAY($D297,2)=7),"Nghỉ tuần","Ngày thường")))</f>
        <v/>
      </c>
      <c r="F297" s="107" t="n"/>
      <c r="G297" s="107" t="n"/>
      <c r="H297" s="107" t="n"/>
      <c r="I297" s="81" t="n"/>
      <c r="J297" s="108">
        <f>IF($B297="","",IF($E297="Ngày thường",N($G297),0))</f>
        <v/>
      </c>
      <c r="K297" s="108">
        <f>IF($B297="","",IF($E297="Nghỉ tuần",N($G297),0))</f>
        <v/>
      </c>
      <c r="L297" s="108">
        <f>IF($B297="","",IF($E297="Lễ",N($G297),0))</f>
        <v/>
      </c>
      <c r="M297" s="108">
        <f>IF($B297="","",IF($E297="Ngày thường",N($H297),0))</f>
        <v/>
      </c>
      <c r="N297" s="108">
        <f>IF($B297="","",IF($E297="Nghỉ tuần",N($H297),0))</f>
        <v/>
      </c>
      <c r="O297" s="108">
        <f>IF($B297="","",IF($E297="Lễ",N($H297),0))</f>
        <v/>
      </c>
    </row>
    <row r="298" ht="15" customHeight="1" s="63">
      <c r="A298" s="85">
        <f>IF($B298="","",ROW()-5)</f>
        <v/>
      </c>
      <c r="B298" s="97" t="n"/>
      <c r="C298" s="96">
        <f>IF($B298="","",IFERROR(INDEX(DM_NHAN_SU!$C$6:$C$155,MATCH($B298,DM_NHAN_SU!$B$6:$B$155,0)),"SAI MÃ NV"))</f>
        <v/>
      </c>
      <c r="D298" s="86" t="n"/>
      <c r="E298" s="103">
        <f>IF(OR($B298="",$D298=""),"",IF(COUNTIF(THAM_SO_CC!$F$10:$F$40,$D298)&gt;0,"Lễ",IF(IF(THAM_SO_CC!$B$12="T7+CN",WEEKDAY($D298,2)&gt;=6,WEEKDAY($D298,2)=7),"Nghỉ tuần","Ngày thường")))</f>
        <v/>
      </c>
      <c r="F298" s="107" t="n"/>
      <c r="G298" s="107" t="n"/>
      <c r="H298" s="107" t="n"/>
      <c r="I298" s="81" t="n"/>
      <c r="J298" s="108">
        <f>IF($B298="","",IF($E298="Ngày thường",N($G298),0))</f>
        <v/>
      </c>
      <c r="K298" s="108">
        <f>IF($B298="","",IF($E298="Nghỉ tuần",N($G298),0))</f>
        <v/>
      </c>
      <c r="L298" s="108">
        <f>IF($B298="","",IF($E298="Lễ",N($G298),0))</f>
        <v/>
      </c>
      <c r="M298" s="108">
        <f>IF($B298="","",IF($E298="Ngày thường",N($H298),0))</f>
        <v/>
      </c>
      <c r="N298" s="108">
        <f>IF($B298="","",IF($E298="Nghỉ tuần",N($H298),0))</f>
        <v/>
      </c>
      <c r="O298" s="108">
        <f>IF($B298="","",IF($E298="Lễ",N($H298),0))</f>
        <v/>
      </c>
    </row>
    <row r="299" ht="15" customHeight="1" s="63">
      <c r="A299" s="85">
        <f>IF($B299="","",ROW()-5)</f>
        <v/>
      </c>
      <c r="B299" s="97" t="n"/>
      <c r="C299" s="96">
        <f>IF($B299="","",IFERROR(INDEX(DM_NHAN_SU!$C$6:$C$155,MATCH($B299,DM_NHAN_SU!$B$6:$B$155,0)),"SAI MÃ NV"))</f>
        <v/>
      </c>
      <c r="D299" s="86" t="n"/>
      <c r="E299" s="103">
        <f>IF(OR($B299="",$D299=""),"",IF(COUNTIF(THAM_SO_CC!$F$10:$F$40,$D299)&gt;0,"Lễ",IF(IF(THAM_SO_CC!$B$12="T7+CN",WEEKDAY($D299,2)&gt;=6,WEEKDAY($D299,2)=7),"Nghỉ tuần","Ngày thường")))</f>
        <v/>
      </c>
      <c r="F299" s="107" t="n"/>
      <c r="G299" s="107" t="n"/>
      <c r="H299" s="107" t="n"/>
      <c r="I299" s="81" t="n"/>
      <c r="J299" s="108">
        <f>IF($B299="","",IF($E299="Ngày thường",N($G299),0))</f>
        <v/>
      </c>
      <c r="K299" s="108">
        <f>IF($B299="","",IF($E299="Nghỉ tuần",N($G299),0))</f>
        <v/>
      </c>
      <c r="L299" s="108">
        <f>IF($B299="","",IF($E299="Lễ",N($G299),0))</f>
        <v/>
      </c>
      <c r="M299" s="108">
        <f>IF($B299="","",IF($E299="Ngày thường",N($H299),0))</f>
        <v/>
      </c>
      <c r="N299" s="108">
        <f>IF($B299="","",IF($E299="Nghỉ tuần",N($H299),0))</f>
        <v/>
      </c>
      <c r="O299" s="108">
        <f>IF($B299="","",IF($E299="Lễ",N($H299),0))</f>
        <v/>
      </c>
    </row>
    <row r="300" ht="15" customHeight="1" s="63">
      <c r="A300" s="85">
        <f>IF($B300="","",ROW()-5)</f>
        <v/>
      </c>
      <c r="B300" s="97" t="n"/>
      <c r="C300" s="96">
        <f>IF($B300="","",IFERROR(INDEX(DM_NHAN_SU!$C$6:$C$155,MATCH($B300,DM_NHAN_SU!$B$6:$B$155,0)),"SAI MÃ NV"))</f>
        <v/>
      </c>
      <c r="D300" s="86" t="n"/>
      <c r="E300" s="103">
        <f>IF(OR($B300="",$D300=""),"",IF(COUNTIF(THAM_SO_CC!$F$10:$F$40,$D300)&gt;0,"Lễ",IF(IF(THAM_SO_CC!$B$12="T7+CN",WEEKDAY($D300,2)&gt;=6,WEEKDAY($D300,2)=7),"Nghỉ tuần","Ngày thường")))</f>
        <v/>
      </c>
      <c r="F300" s="107" t="n"/>
      <c r="G300" s="107" t="n"/>
      <c r="H300" s="107" t="n"/>
      <c r="I300" s="81" t="n"/>
      <c r="J300" s="108">
        <f>IF($B300="","",IF($E300="Ngày thường",N($G300),0))</f>
        <v/>
      </c>
      <c r="K300" s="108">
        <f>IF($B300="","",IF($E300="Nghỉ tuần",N($G300),0))</f>
        <v/>
      </c>
      <c r="L300" s="108">
        <f>IF($B300="","",IF($E300="Lễ",N($G300),0))</f>
        <v/>
      </c>
      <c r="M300" s="108">
        <f>IF($B300="","",IF($E300="Ngày thường",N($H300),0))</f>
        <v/>
      </c>
      <c r="N300" s="108">
        <f>IF($B300="","",IF($E300="Nghỉ tuần",N($H300),0))</f>
        <v/>
      </c>
      <c r="O300" s="108">
        <f>IF($B300="","",IF($E300="Lễ",N($H300),0))</f>
        <v/>
      </c>
    </row>
    <row r="301" ht="15" customHeight="1" s="63">
      <c r="A301" s="85">
        <f>IF($B301="","",ROW()-5)</f>
        <v/>
      </c>
      <c r="B301" s="97" t="n"/>
      <c r="C301" s="96">
        <f>IF($B301="","",IFERROR(INDEX(DM_NHAN_SU!$C$6:$C$155,MATCH($B301,DM_NHAN_SU!$B$6:$B$155,0)),"SAI MÃ NV"))</f>
        <v/>
      </c>
      <c r="D301" s="86" t="n"/>
      <c r="E301" s="103">
        <f>IF(OR($B301="",$D301=""),"",IF(COUNTIF(THAM_SO_CC!$F$10:$F$40,$D301)&gt;0,"Lễ",IF(IF(THAM_SO_CC!$B$12="T7+CN",WEEKDAY($D301,2)&gt;=6,WEEKDAY($D301,2)=7),"Nghỉ tuần","Ngày thường")))</f>
        <v/>
      </c>
      <c r="F301" s="107" t="n"/>
      <c r="G301" s="107" t="n"/>
      <c r="H301" s="107" t="n"/>
      <c r="I301" s="81" t="n"/>
      <c r="J301" s="108">
        <f>IF($B301="","",IF($E301="Ngày thường",N($G301),0))</f>
        <v/>
      </c>
      <c r="K301" s="108">
        <f>IF($B301="","",IF($E301="Nghỉ tuần",N($G301),0))</f>
        <v/>
      </c>
      <c r="L301" s="108">
        <f>IF($B301="","",IF($E301="Lễ",N($G301),0))</f>
        <v/>
      </c>
      <c r="M301" s="108">
        <f>IF($B301="","",IF($E301="Ngày thường",N($H301),0))</f>
        <v/>
      </c>
      <c r="N301" s="108">
        <f>IF($B301="","",IF($E301="Nghỉ tuần",N($H301),0))</f>
        <v/>
      </c>
      <c r="O301" s="108">
        <f>IF($B301="","",IF($E301="Lễ",N($H301),0))</f>
        <v/>
      </c>
    </row>
    <row r="302" ht="15" customHeight="1" s="63">
      <c r="A302" s="85">
        <f>IF($B302="","",ROW()-5)</f>
        <v/>
      </c>
      <c r="B302" s="97" t="n"/>
      <c r="C302" s="96">
        <f>IF($B302="","",IFERROR(INDEX(DM_NHAN_SU!$C$6:$C$155,MATCH($B302,DM_NHAN_SU!$B$6:$B$155,0)),"SAI MÃ NV"))</f>
        <v/>
      </c>
      <c r="D302" s="86" t="n"/>
      <c r="E302" s="103">
        <f>IF(OR($B302="",$D302=""),"",IF(COUNTIF(THAM_SO_CC!$F$10:$F$40,$D302)&gt;0,"Lễ",IF(IF(THAM_SO_CC!$B$12="T7+CN",WEEKDAY($D302,2)&gt;=6,WEEKDAY($D302,2)=7),"Nghỉ tuần","Ngày thường")))</f>
        <v/>
      </c>
      <c r="F302" s="107" t="n"/>
      <c r="G302" s="107" t="n"/>
      <c r="H302" s="107" t="n"/>
      <c r="I302" s="81" t="n"/>
      <c r="J302" s="108">
        <f>IF($B302="","",IF($E302="Ngày thường",N($G302),0))</f>
        <v/>
      </c>
      <c r="K302" s="108">
        <f>IF($B302="","",IF($E302="Nghỉ tuần",N($G302),0))</f>
        <v/>
      </c>
      <c r="L302" s="108">
        <f>IF($B302="","",IF($E302="Lễ",N($G302),0))</f>
        <v/>
      </c>
      <c r="M302" s="108">
        <f>IF($B302="","",IF($E302="Ngày thường",N($H302),0))</f>
        <v/>
      </c>
      <c r="N302" s="108">
        <f>IF($B302="","",IF($E302="Nghỉ tuần",N($H302),0))</f>
        <v/>
      </c>
      <c r="O302" s="108">
        <f>IF($B302="","",IF($E302="Lễ",N($H302),0))</f>
        <v/>
      </c>
    </row>
    <row r="303" ht="15" customHeight="1" s="63">
      <c r="A303" s="85">
        <f>IF($B303="","",ROW()-5)</f>
        <v/>
      </c>
      <c r="B303" s="97" t="n"/>
      <c r="C303" s="96">
        <f>IF($B303="","",IFERROR(INDEX(DM_NHAN_SU!$C$6:$C$155,MATCH($B303,DM_NHAN_SU!$B$6:$B$155,0)),"SAI MÃ NV"))</f>
        <v/>
      </c>
      <c r="D303" s="86" t="n"/>
      <c r="E303" s="103">
        <f>IF(OR($B303="",$D303=""),"",IF(COUNTIF(THAM_SO_CC!$F$10:$F$40,$D303)&gt;0,"Lễ",IF(IF(THAM_SO_CC!$B$12="T7+CN",WEEKDAY($D303,2)&gt;=6,WEEKDAY($D303,2)=7),"Nghỉ tuần","Ngày thường")))</f>
        <v/>
      </c>
      <c r="F303" s="107" t="n"/>
      <c r="G303" s="107" t="n"/>
      <c r="H303" s="107" t="n"/>
      <c r="I303" s="81" t="n"/>
      <c r="J303" s="108">
        <f>IF($B303="","",IF($E303="Ngày thường",N($G303),0))</f>
        <v/>
      </c>
      <c r="K303" s="108">
        <f>IF($B303="","",IF($E303="Nghỉ tuần",N($G303),0))</f>
        <v/>
      </c>
      <c r="L303" s="108">
        <f>IF($B303="","",IF($E303="Lễ",N($G303),0))</f>
        <v/>
      </c>
      <c r="M303" s="108">
        <f>IF($B303="","",IF($E303="Ngày thường",N($H303),0))</f>
        <v/>
      </c>
      <c r="N303" s="108">
        <f>IF($B303="","",IF($E303="Nghỉ tuần",N($H303),0))</f>
        <v/>
      </c>
      <c r="O303" s="108">
        <f>IF($B303="","",IF($E303="Lễ",N($H303),0))</f>
        <v/>
      </c>
    </row>
    <row r="304" ht="15" customHeight="1" s="63">
      <c r="A304" s="85">
        <f>IF($B304="","",ROW()-5)</f>
        <v/>
      </c>
      <c r="B304" s="97" t="n"/>
      <c r="C304" s="96">
        <f>IF($B304="","",IFERROR(INDEX(DM_NHAN_SU!$C$6:$C$155,MATCH($B304,DM_NHAN_SU!$B$6:$B$155,0)),"SAI MÃ NV"))</f>
        <v/>
      </c>
      <c r="D304" s="86" t="n"/>
      <c r="E304" s="103">
        <f>IF(OR($B304="",$D304=""),"",IF(COUNTIF(THAM_SO_CC!$F$10:$F$40,$D304)&gt;0,"Lễ",IF(IF(THAM_SO_CC!$B$12="T7+CN",WEEKDAY($D304,2)&gt;=6,WEEKDAY($D304,2)=7),"Nghỉ tuần","Ngày thường")))</f>
        <v/>
      </c>
      <c r="F304" s="107" t="n"/>
      <c r="G304" s="107" t="n"/>
      <c r="H304" s="107" t="n"/>
      <c r="I304" s="81" t="n"/>
      <c r="J304" s="108">
        <f>IF($B304="","",IF($E304="Ngày thường",N($G304),0))</f>
        <v/>
      </c>
      <c r="K304" s="108">
        <f>IF($B304="","",IF($E304="Nghỉ tuần",N($G304),0))</f>
        <v/>
      </c>
      <c r="L304" s="108">
        <f>IF($B304="","",IF($E304="Lễ",N($G304),0))</f>
        <v/>
      </c>
      <c r="M304" s="108">
        <f>IF($B304="","",IF($E304="Ngày thường",N($H304),0))</f>
        <v/>
      </c>
      <c r="N304" s="108">
        <f>IF($B304="","",IF($E304="Nghỉ tuần",N($H304),0))</f>
        <v/>
      </c>
      <c r="O304" s="108">
        <f>IF($B304="","",IF($E304="Lễ",N($H304),0))</f>
        <v/>
      </c>
    </row>
    <row r="305" ht="15" customHeight="1" s="63">
      <c r="A305" s="85">
        <f>IF($B305="","",ROW()-5)</f>
        <v/>
      </c>
      <c r="B305" s="97" t="n"/>
      <c r="C305" s="96">
        <f>IF($B305="","",IFERROR(INDEX(DM_NHAN_SU!$C$6:$C$155,MATCH($B305,DM_NHAN_SU!$B$6:$B$155,0)),"SAI MÃ NV"))</f>
        <v/>
      </c>
      <c r="D305" s="86" t="n"/>
      <c r="E305" s="103">
        <f>IF(OR($B305="",$D305=""),"",IF(COUNTIF(THAM_SO_CC!$F$10:$F$40,$D305)&gt;0,"Lễ",IF(IF(THAM_SO_CC!$B$12="T7+CN",WEEKDAY($D305,2)&gt;=6,WEEKDAY($D305,2)=7),"Nghỉ tuần","Ngày thường")))</f>
        <v/>
      </c>
      <c r="F305" s="107" t="n"/>
      <c r="G305" s="107" t="n"/>
      <c r="H305" s="107" t="n"/>
      <c r="I305" s="81" t="n"/>
      <c r="J305" s="108">
        <f>IF($B305="","",IF($E305="Ngày thường",N($G305),0))</f>
        <v/>
      </c>
      <c r="K305" s="108">
        <f>IF($B305="","",IF($E305="Nghỉ tuần",N($G305),0))</f>
        <v/>
      </c>
      <c r="L305" s="108">
        <f>IF($B305="","",IF($E305="Lễ",N($G305),0))</f>
        <v/>
      </c>
      <c r="M305" s="108">
        <f>IF($B305="","",IF($E305="Ngày thường",N($H305),0))</f>
        <v/>
      </c>
      <c r="N305" s="108">
        <f>IF($B305="","",IF($E305="Nghỉ tuần",N($H305),0))</f>
        <v/>
      </c>
      <c r="O305" s="108">
        <f>IF($B305="","",IF($E305="Lễ",N($H305),0))</f>
        <v/>
      </c>
    </row>
    <row r="306" ht="15" customHeight="1" s="63">
      <c r="A306" s="85">
        <f>IF($B306="","",ROW()-5)</f>
        <v/>
      </c>
      <c r="B306" s="97" t="n"/>
      <c r="C306" s="96">
        <f>IF($B306="","",IFERROR(INDEX(DM_NHAN_SU!$C$6:$C$155,MATCH($B306,DM_NHAN_SU!$B$6:$B$155,0)),"SAI MÃ NV"))</f>
        <v/>
      </c>
      <c r="D306" s="86" t="n"/>
      <c r="E306" s="103">
        <f>IF(OR($B306="",$D306=""),"",IF(COUNTIF(THAM_SO_CC!$F$10:$F$40,$D306)&gt;0,"Lễ",IF(IF(THAM_SO_CC!$B$12="T7+CN",WEEKDAY($D306,2)&gt;=6,WEEKDAY($D306,2)=7),"Nghỉ tuần","Ngày thường")))</f>
        <v/>
      </c>
      <c r="F306" s="107" t="n"/>
      <c r="G306" s="107" t="n"/>
      <c r="H306" s="107" t="n"/>
      <c r="I306" s="81" t="n"/>
      <c r="J306" s="108">
        <f>IF($B306="","",IF($E306="Ngày thường",N($G306),0))</f>
        <v/>
      </c>
      <c r="K306" s="108">
        <f>IF($B306="","",IF($E306="Nghỉ tuần",N($G306),0))</f>
        <v/>
      </c>
      <c r="L306" s="108">
        <f>IF($B306="","",IF($E306="Lễ",N($G306),0))</f>
        <v/>
      </c>
      <c r="M306" s="108">
        <f>IF($B306="","",IF($E306="Ngày thường",N($H306),0))</f>
        <v/>
      </c>
      <c r="N306" s="108">
        <f>IF($B306="","",IF($E306="Nghỉ tuần",N($H306),0))</f>
        <v/>
      </c>
      <c r="O306" s="108">
        <f>IF($B306="","",IF($E306="Lễ",N($H306),0))</f>
        <v/>
      </c>
    </row>
    <row r="307" ht="15" customHeight="1" s="63">
      <c r="A307" s="85">
        <f>IF($B307="","",ROW()-5)</f>
        <v/>
      </c>
      <c r="B307" s="97" t="n"/>
      <c r="C307" s="96">
        <f>IF($B307="","",IFERROR(INDEX(DM_NHAN_SU!$C$6:$C$155,MATCH($B307,DM_NHAN_SU!$B$6:$B$155,0)),"SAI MÃ NV"))</f>
        <v/>
      </c>
      <c r="D307" s="86" t="n"/>
      <c r="E307" s="103">
        <f>IF(OR($B307="",$D307=""),"",IF(COUNTIF(THAM_SO_CC!$F$10:$F$40,$D307)&gt;0,"Lễ",IF(IF(THAM_SO_CC!$B$12="T7+CN",WEEKDAY($D307,2)&gt;=6,WEEKDAY($D307,2)=7),"Nghỉ tuần","Ngày thường")))</f>
        <v/>
      </c>
      <c r="F307" s="107" t="n"/>
      <c r="G307" s="107" t="n"/>
      <c r="H307" s="107" t="n"/>
      <c r="I307" s="81" t="n"/>
      <c r="J307" s="108">
        <f>IF($B307="","",IF($E307="Ngày thường",N($G307),0))</f>
        <v/>
      </c>
      <c r="K307" s="108">
        <f>IF($B307="","",IF($E307="Nghỉ tuần",N($G307),0))</f>
        <v/>
      </c>
      <c r="L307" s="108">
        <f>IF($B307="","",IF($E307="Lễ",N($G307),0))</f>
        <v/>
      </c>
      <c r="M307" s="108">
        <f>IF($B307="","",IF($E307="Ngày thường",N($H307),0))</f>
        <v/>
      </c>
      <c r="N307" s="108">
        <f>IF($B307="","",IF($E307="Nghỉ tuần",N($H307),0))</f>
        <v/>
      </c>
      <c r="O307" s="108">
        <f>IF($B307="","",IF($E307="Lễ",N($H307),0))</f>
        <v/>
      </c>
    </row>
    <row r="308" ht="15" customHeight="1" s="63">
      <c r="A308" s="85">
        <f>IF($B308="","",ROW()-5)</f>
        <v/>
      </c>
      <c r="B308" s="97" t="n"/>
      <c r="C308" s="96">
        <f>IF($B308="","",IFERROR(INDEX(DM_NHAN_SU!$C$6:$C$155,MATCH($B308,DM_NHAN_SU!$B$6:$B$155,0)),"SAI MÃ NV"))</f>
        <v/>
      </c>
      <c r="D308" s="86" t="n"/>
      <c r="E308" s="103">
        <f>IF(OR($B308="",$D308=""),"",IF(COUNTIF(THAM_SO_CC!$F$10:$F$40,$D308)&gt;0,"Lễ",IF(IF(THAM_SO_CC!$B$12="T7+CN",WEEKDAY($D308,2)&gt;=6,WEEKDAY($D308,2)=7),"Nghỉ tuần","Ngày thường")))</f>
        <v/>
      </c>
      <c r="F308" s="107" t="n"/>
      <c r="G308" s="107" t="n"/>
      <c r="H308" s="107" t="n"/>
      <c r="I308" s="81" t="n"/>
      <c r="J308" s="108">
        <f>IF($B308="","",IF($E308="Ngày thường",N($G308),0))</f>
        <v/>
      </c>
      <c r="K308" s="108">
        <f>IF($B308="","",IF($E308="Nghỉ tuần",N($G308),0))</f>
        <v/>
      </c>
      <c r="L308" s="108">
        <f>IF($B308="","",IF($E308="Lễ",N($G308),0))</f>
        <v/>
      </c>
      <c r="M308" s="108">
        <f>IF($B308="","",IF($E308="Ngày thường",N($H308),0))</f>
        <v/>
      </c>
      <c r="N308" s="108">
        <f>IF($B308="","",IF($E308="Nghỉ tuần",N($H308),0))</f>
        <v/>
      </c>
      <c r="O308" s="108">
        <f>IF($B308="","",IF($E308="Lễ",N($H308),0))</f>
        <v/>
      </c>
    </row>
    <row r="309" ht="15" customHeight="1" s="63">
      <c r="A309" s="85">
        <f>IF($B309="","",ROW()-5)</f>
        <v/>
      </c>
      <c r="B309" s="97" t="n"/>
      <c r="C309" s="96">
        <f>IF($B309="","",IFERROR(INDEX(DM_NHAN_SU!$C$6:$C$155,MATCH($B309,DM_NHAN_SU!$B$6:$B$155,0)),"SAI MÃ NV"))</f>
        <v/>
      </c>
      <c r="D309" s="86" t="n"/>
      <c r="E309" s="103">
        <f>IF(OR($B309="",$D309=""),"",IF(COUNTIF(THAM_SO_CC!$F$10:$F$40,$D309)&gt;0,"Lễ",IF(IF(THAM_SO_CC!$B$12="T7+CN",WEEKDAY($D309,2)&gt;=6,WEEKDAY($D309,2)=7),"Nghỉ tuần","Ngày thường")))</f>
        <v/>
      </c>
      <c r="F309" s="107" t="n"/>
      <c r="G309" s="107" t="n"/>
      <c r="H309" s="107" t="n"/>
      <c r="I309" s="81" t="n"/>
      <c r="J309" s="108">
        <f>IF($B309="","",IF($E309="Ngày thường",N($G309),0))</f>
        <v/>
      </c>
      <c r="K309" s="108">
        <f>IF($B309="","",IF($E309="Nghỉ tuần",N($G309),0))</f>
        <v/>
      </c>
      <c r="L309" s="108">
        <f>IF($B309="","",IF($E309="Lễ",N($G309),0))</f>
        <v/>
      </c>
      <c r="M309" s="108">
        <f>IF($B309="","",IF($E309="Ngày thường",N($H309),0))</f>
        <v/>
      </c>
      <c r="N309" s="108">
        <f>IF($B309="","",IF($E309="Nghỉ tuần",N($H309),0))</f>
        <v/>
      </c>
      <c r="O309" s="108">
        <f>IF($B309="","",IF($E309="Lễ",N($H309),0))</f>
        <v/>
      </c>
    </row>
    <row r="310" ht="15" customHeight="1" s="63">
      <c r="A310" s="85">
        <f>IF($B310="","",ROW()-5)</f>
        <v/>
      </c>
      <c r="B310" s="97" t="n"/>
      <c r="C310" s="96">
        <f>IF($B310="","",IFERROR(INDEX(DM_NHAN_SU!$C$6:$C$155,MATCH($B310,DM_NHAN_SU!$B$6:$B$155,0)),"SAI MÃ NV"))</f>
        <v/>
      </c>
      <c r="D310" s="86" t="n"/>
      <c r="E310" s="103">
        <f>IF(OR($B310="",$D310=""),"",IF(COUNTIF(THAM_SO_CC!$F$10:$F$40,$D310)&gt;0,"Lễ",IF(IF(THAM_SO_CC!$B$12="T7+CN",WEEKDAY($D310,2)&gt;=6,WEEKDAY($D310,2)=7),"Nghỉ tuần","Ngày thường")))</f>
        <v/>
      </c>
      <c r="F310" s="107" t="n"/>
      <c r="G310" s="107" t="n"/>
      <c r="H310" s="107" t="n"/>
      <c r="I310" s="81" t="n"/>
      <c r="J310" s="108">
        <f>IF($B310="","",IF($E310="Ngày thường",N($G310),0))</f>
        <v/>
      </c>
      <c r="K310" s="108">
        <f>IF($B310="","",IF($E310="Nghỉ tuần",N($G310),0))</f>
        <v/>
      </c>
      <c r="L310" s="108">
        <f>IF($B310="","",IF($E310="Lễ",N($G310),0))</f>
        <v/>
      </c>
      <c r="M310" s="108">
        <f>IF($B310="","",IF($E310="Ngày thường",N($H310),0))</f>
        <v/>
      </c>
      <c r="N310" s="108">
        <f>IF($B310="","",IF($E310="Nghỉ tuần",N($H310),0))</f>
        <v/>
      </c>
      <c r="O310" s="108">
        <f>IF($B310="","",IF($E310="Lễ",N($H310),0))</f>
        <v/>
      </c>
    </row>
    <row r="311" ht="15" customHeight="1" s="63">
      <c r="A311" s="85">
        <f>IF($B311="","",ROW()-5)</f>
        <v/>
      </c>
      <c r="B311" s="97" t="n"/>
      <c r="C311" s="96">
        <f>IF($B311="","",IFERROR(INDEX(DM_NHAN_SU!$C$6:$C$155,MATCH($B311,DM_NHAN_SU!$B$6:$B$155,0)),"SAI MÃ NV"))</f>
        <v/>
      </c>
      <c r="D311" s="86" t="n"/>
      <c r="E311" s="103">
        <f>IF(OR($B311="",$D311=""),"",IF(COUNTIF(THAM_SO_CC!$F$10:$F$40,$D311)&gt;0,"Lễ",IF(IF(THAM_SO_CC!$B$12="T7+CN",WEEKDAY($D311,2)&gt;=6,WEEKDAY($D311,2)=7),"Nghỉ tuần","Ngày thường")))</f>
        <v/>
      </c>
      <c r="F311" s="107" t="n"/>
      <c r="G311" s="107" t="n"/>
      <c r="H311" s="107" t="n"/>
      <c r="I311" s="81" t="n"/>
      <c r="J311" s="108">
        <f>IF($B311="","",IF($E311="Ngày thường",N($G311),0))</f>
        <v/>
      </c>
      <c r="K311" s="108">
        <f>IF($B311="","",IF($E311="Nghỉ tuần",N($G311),0))</f>
        <v/>
      </c>
      <c r="L311" s="108">
        <f>IF($B311="","",IF($E311="Lễ",N($G311),0))</f>
        <v/>
      </c>
      <c r="M311" s="108">
        <f>IF($B311="","",IF($E311="Ngày thường",N($H311),0))</f>
        <v/>
      </c>
      <c r="N311" s="108">
        <f>IF($B311="","",IF($E311="Nghỉ tuần",N($H311),0))</f>
        <v/>
      </c>
      <c r="O311" s="108">
        <f>IF($B311="","",IF($E311="Lễ",N($H311),0))</f>
        <v/>
      </c>
    </row>
    <row r="312" ht="15" customHeight="1" s="63">
      <c r="A312" s="85">
        <f>IF($B312="","",ROW()-5)</f>
        <v/>
      </c>
      <c r="B312" s="97" t="n"/>
      <c r="C312" s="96">
        <f>IF($B312="","",IFERROR(INDEX(DM_NHAN_SU!$C$6:$C$155,MATCH($B312,DM_NHAN_SU!$B$6:$B$155,0)),"SAI MÃ NV"))</f>
        <v/>
      </c>
      <c r="D312" s="86" t="n"/>
      <c r="E312" s="103">
        <f>IF(OR($B312="",$D312=""),"",IF(COUNTIF(THAM_SO_CC!$F$10:$F$40,$D312)&gt;0,"Lễ",IF(IF(THAM_SO_CC!$B$12="T7+CN",WEEKDAY($D312,2)&gt;=6,WEEKDAY($D312,2)=7),"Nghỉ tuần","Ngày thường")))</f>
        <v/>
      </c>
      <c r="F312" s="107" t="n"/>
      <c r="G312" s="107" t="n"/>
      <c r="H312" s="107" t="n"/>
      <c r="I312" s="81" t="n"/>
      <c r="J312" s="108">
        <f>IF($B312="","",IF($E312="Ngày thường",N($G312),0))</f>
        <v/>
      </c>
      <c r="K312" s="108">
        <f>IF($B312="","",IF($E312="Nghỉ tuần",N($G312),0))</f>
        <v/>
      </c>
      <c r="L312" s="108">
        <f>IF($B312="","",IF($E312="Lễ",N($G312),0))</f>
        <v/>
      </c>
      <c r="M312" s="108">
        <f>IF($B312="","",IF($E312="Ngày thường",N($H312),0))</f>
        <v/>
      </c>
      <c r="N312" s="108">
        <f>IF($B312="","",IF($E312="Nghỉ tuần",N($H312),0))</f>
        <v/>
      </c>
      <c r="O312" s="108">
        <f>IF($B312="","",IF($E312="Lễ",N($H312),0))</f>
        <v/>
      </c>
    </row>
    <row r="313" ht="15" customHeight="1" s="63">
      <c r="A313" s="85">
        <f>IF($B313="","",ROW()-5)</f>
        <v/>
      </c>
      <c r="B313" s="97" t="n"/>
      <c r="C313" s="96">
        <f>IF($B313="","",IFERROR(INDEX(DM_NHAN_SU!$C$6:$C$155,MATCH($B313,DM_NHAN_SU!$B$6:$B$155,0)),"SAI MÃ NV"))</f>
        <v/>
      </c>
      <c r="D313" s="86" t="n"/>
      <c r="E313" s="103">
        <f>IF(OR($B313="",$D313=""),"",IF(COUNTIF(THAM_SO_CC!$F$10:$F$40,$D313)&gt;0,"Lễ",IF(IF(THAM_SO_CC!$B$12="T7+CN",WEEKDAY($D313,2)&gt;=6,WEEKDAY($D313,2)=7),"Nghỉ tuần","Ngày thường")))</f>
        <v/>
      </c>
      <c r="F313" s="107" t="n"/>
      <c r="G313" s="107" t="n"/>
      <c r="H313" s="107" t="n"/>
      <c r="I313" s="81" t="n"/>
      <c r="J313" s="108">
        <f>IF($B313="","",IF($E313="Ngày thường",N($G313),0))</f>
        <v/>
      </c>
      <c r="K313" s="108">
        <f>IF($B313="","",IF($E313="Nghỉ tuần",N($G313),0))</f>
        <v/>
      </c>
      <c r="L313" s="108">
        <f>IF($B313="","",IF($E313="Lễ",N($G313),0))</f>
        <v/>
      </c>
      <c r="M313" s="108">
        <f>IF($B313="","",IF($E313="Ngày thường",N($H313),0))</f>
        <v/>
      </c>
      <c r="N313" s="108">
        <f>IF($B313="","",IF($E313="Nghỉ tuần",N($H313),0))</f>
        <v/>
      </c>
      <c r="O313" s="108">
        <f>IF($B313="","",IF($E313="Lễ",N($H313),0))</f>
        <v/>
      </c>
    </row>
    <row r="314" ht="15" customHeight="1" s="63">
      <c r="A314" s="85">
        <f>IF($B314="","",ROW()-5)</f>
        <v/>
      </c>
      <c r="B314" s="97" t="n"/>
      <c r="C314" s="96">
        <f>IF($B314="","",IFERROR(INDEX(DM_NHAN_SU!$C$6:$C$155,MATCH($B314,DM_NHAN_SU!$B$6:$B$155,0)),"SAI MÃ NV"))</f>
        <v/>
      </c>
      <c r="D314" s="86" t="n"/>
      <c r="E314" s="103">
        <f>IF(OR($B314="",$D314=""),"",IF(COUNTIF(THAM_SO_CC!$F$10:$F$40,$D314)&gt;0,"Lễ",IF(IF(THAM_SO_CC!$B$12="T7+CN",WEEKDAY($D314,2)&gt;=6,WEEKDAY($D314,2)=7),"Nghỉ tuần","Ngày thường")))</f>
        <v/>
      </c>
      <c r="F314" s="107" t="n"/>
      <c r="G314" s="107" t="n"/>
      <c r="H314" s="107" t="n"/>
      <c r="I314" s="81" t="n"/>
      <c r="J314" s="108">
        <f>IF($B314="","",IF($E314="Ngày thường",N($G314),0))</f>
        <v/>
      </c>
      <c r="K314" s="108">
        <f>IF($B314="","",IF($E314="Nghỉ tuần",N($G314),0))</f>
        <v/>
      </c>
      <c r="L314" s="108">
        <f>IF($B314="","",IF($E314="Lễ",N($G314),0))</f>
        <v/>
      </c>
      <c r="M314" s="108">
        <f>IF($B314="","",IF($E314="Ngày thường",N($H314),0))</f>
        <v/>
      </c>
      <c r="N314" s="108">
        <f>IF($B314="","",IF($E314="Nghỉ tuần",N($H314),0))</f>
        <v/>
      </c>
      <c r="O314" s="108">
        <f>IF($B314="","",IF($E314="Lễ",N($H314),0))</f>
        <v/>
      </c>
    </row>
    <row r="315" ht="15" customHeight="1" s="63">
      <c r="A315" s="85">
        <f>IF($B315="","",ROW()-5)</f>
        <v/>
      </c>
      <c r="B315" s="97" t="n"/>
      <c r="C315" s="96">
        <f>IF($B315="","",IFERROR(INDEX(DM_NHAN_SU!$C$6:$C$155,MATCH($B315,DM_NHAN_SU!$B$6:$B$155,0)),"SAI MÃ NV"))</f>
        <v/>
      </c>
      <c r="D315" s="86" t="n"/>
      <c r="E315" s="103">
        <f>IF(OR($B315="",$D315=""),"",IF(COUNTIF(THAM_SO_CC!$F$10:$F$40,$D315)&gt;0,"Lễ",IF(IF(THAM_SO_CC!$B$12="T7+CN",WEEKDAY($D315,2)&gt;=6,WEEKDAY($D315,2)=7),"Nghỉ tuần","Ngày thường")))</f>
        <v/>
      </c>
      <c r="F315" s="107" t="n"/>
      <c r="G315" s="107" t="n"/>
      <c r="H315" s="107" t="n"/>
      <c r="I315" s="81" t="n"/>
      <c r="J315" s="108">
        <f>IF($B315="","",IF($E315="Ngày thường",N($G315),0))</f>
        <v/>
      </c>
      <c r="K315" s="108">
        <f>IF($B315="","",IF($E315="Nghỉ tuần",N($G315),0))</f>
        <v/>
      </c>
      <c r="L315" s="108">
        <f>IF($B315="","",IF($E315="Lễ",N($G315),0))</f>
        <v/>
      </c>
      <c r="M315" s="108">
        <f>IF($B315="","",IF($E315="Ngày thường",N($H315),0))</f>
        <v/>
      </c>
      <c r="N315" s="108">
        <f>IF($B315="","",IF($E315="Nghỉ tuần",N($H315),0))</f>
        <v/>
      </c>
      <c r="O315" s="108">
        <f>IF($B315="","",IF($E315="Lễ",N($H315),0))</f>
        <v/>
      </c>
    </row>
    <row r="316" ht="15" customHeight="1" s="63">
      <c r="A316" s="85">
        <f>IF($B316="","",ROW()-5)</f>
        <v/>
      </c>
      <c r="B316" s="97" t="n"/>
      <c r="C316" s="96">
        <f>IF($B316="","",IFERROR(INDEX(DM_NHAN_SU!$C$6:$C$155,MATCH($B316,DM_NHAN_SU!$B$6:$B$155,0)),"SAI MÃ NV"))</f>
        <v/>
      </c>
      <c r="D316" s="86" t="n"/>
      <c r="E316" s="103">
        <f>IF(OR($B316="",$D316=""),"",IF(COUNTIF(THAM_SO_CC!$F$10:$F$40,$D316)&gt;0,"Lễ",IF(IF(THAM_SO_CC!$B$12="T7+CN",WEEKDAY($D316,2)&gt;=6,WEEKDAY($D316,2)=7),"Nghỉ tuần","Ngày thường")))</f>
        <v/>
      </c>
      <c r="F316" s="107" t="n"/>
      <c r="G316" s="107" t="n"/>
      <c r="H316" s="107" t="n"/>
      <c r="I316" s="81" t="n"/>
      <c r="J316" s="108">
        <f>IF($B316="","",IF($E316="Ngày thường",N($G316),0))</f>
        <v/>
      </c>
      <c r="K316" s="108">
        <f>IF($B316="","",IF($E316="Nghỉ tuần",N($G316),0))</f>
        <v/>
      </c>
      <c r="L316" s="108">
        <f>IF($B316="","",IF($E316="Lễ",N($G316),0))</f>
        <v/>
      </c>
      <c r="M316" s="108">
        <f>IF($B316="","",IF($E316="Ngày thường",N($H316),0))</f>
        <v/>
      </c>
      <c r="N316" s="108">
        <f>IF($B316="","",IF($E316="Nghỉ tuần",N($H316),0))</f>
        <v/>
      </c>
      <c r="O316" s="108">
        <f>IF($B316="","",IF($E316="Lễ",N($H316),0))</f>
        <v/>
      </c>
    </row>
    <row r="317" ht="15" customHeight="1" s="63">
      <c r="A317" s="85">
        <f>IF($B317="","",ROW()-5)</f>
        <v/>
      </c>
      <c r="B317" s="97" t="n"/>
      <c r="C317" s="96">
        <f>IF($B317="","",IFERROR(INDEX(DM_NHAN_SU!$C$6:$C$155,MATCH($B317,DM_NHAN_SU!$B$6:$B$155,0)),"SAI MÃ NV"))</f>
        <v/>
      </c>
      <c r="D317" s="86" t="n"/>
      <c r="E317" s="103">
        <f>IF(OR($B317="",$D317=""),"",IF(COUNTIF(THAM_SO_CC!$F$10:$F$40,$D317)&gt;0,"Lễ",IF(IF(THAM_SO_CC!$B$12="T7+CN",WEEKDAY($D317,2)&gt;=6,WEEKDAY($D317,2)=7),"Nghỉ tuần","Ngày thường")))</f>
        <v/>
      </c>
      <c r="F317" s="107" t="n"/>
      <c r="G317" s="107" t="n"/>
      <c r="H317" s="107" t="n"/>
      <c r="I317" s="81" t="n"/>
      <c r="J317" s="108">
        <f>IF($B317="","",IF($E317="Ngày thường",N($G317),0))</f>
        <v/>
      </c>
      <c r="K317" s="108">
        <f>IF($B317="","",IF($E317="Nghỉ tuần",N($G317),0))</f>
        <v/>
      </c>
      <c r="L317" s="108">
        <f>IF($B317="","",IF($E317="Lễ",N($G317),0))</f>
        <v/>
      </c>
      <c r="M317" s="108">
        <f>IF($B317="","",IF($E317="Ngày thường",N($H317),0))</f>
        <v/>
      </c>
      <c r="N317" s="108">
        <f>IF($B317="","",IF($E317="Nghỉ tuần",N($H317),0))</f>
        <v/>
      </c>
      <c r="O317" s="108">
        <f>IF($B317="","",IF($E317="Lễ",N($H317),0))</f>
        <v/>
      </c>
    </row>
    <row r="318" ht="15" customHeight="1" s="63">
      <c r="A318" s="85">
        <f>IF($B318="","",ROW()-5)</f>
        <v/>
      </c>
      <c r="B318" s="97" t="n"/>
      <c r="C318" s="96">
        <f>IF($B318="","",IFERROR(INDEX(DM_NHAN_SU!$C$6:$C$155,MATCH($B318,DM_NHAN_SU!$B$6:$B$155,0)),"SAI MÃ NV"))</f>
        <v/>
      </c>
      <c r="D318" s="86" t="n"/>
      <c r="E318" s="103">
        <f>IF(OR($B318="",$D318=""),"",IF(COUNTIF(THAM_SO_CC!$F$10:$F$40,$D318)&gt;0,"Lễ",IF(IF(THAM_SO_CC!$B$12="T7+CN",WEEKDAY($D318,2)&gt;=6,WEEKDAY($D318,2)=7),"Nghỉ tuần","Ngày thường")))</f>
        <v/>
      </c>
      <c r="F318" s="107" t="n"/>
      <c r="G318" s="107" t="n"/>
      <c r="H318" s="107" t="n"/>
      <c r="I318" s="81" t="n"/>
      <c r="J318" s="108">
        <f>IF($B318="","",IF($E318="Ngày thường",N($G318),0))</f>
        <v/>
      </c>
      <c r="K318" s="108">
        <f>IF($B318="","",IF($E318="Nghỉ tuần",N($G318),0))</f>
        <v/>
      </c>
      <c r="L318" s="108">
        <f>IF($B318="","",IF($E318="Lễ",N($G318),0))</f>
        <v/>
      </c>
      <c r="M318" s="108">
        <f>IF($B318="","",IF($E318="Ngày thường",N($H318),0))</f>
        <v/>
      </c>
      <c r="N318" s="108">
        <f>IF($B318="","",IF($E318="Nghỉ tuần",N($H318),0))</f>
        <v/>
      </c>
      <c r="O318" s="108">
        <f>IF($B318="","",IF($E318="Lễ",N($H318),0))</f>
        <v/>
      </c>
    </row>
    <row r="319" ht="15" customHeight="1" s="63">
      <c r="A319" s="85">
        <f>IF($B319="","",ROW()-5)</f>
        <v/>
      </c>
      <c r="B319" s="97" t="n"/>
      <c r="C319" s="96">
        <f>IF($B319="","",IFERROR(INDEX(DM_NHAN_SU!$C$6:$C$155,MATCH($B319,DM_NHAN_SU!$B$6:$B$155,0)),"SAI MÃ NV"))</f>
        <v/>
      </c>
      <c r="D319" s="86" t="n"/>
      <c r="E319" s="103">
        <f>IF(OR($B319="",$D319=""),"",IF(COUNTIF(THAM_SO_CC!$F$10:$F$40,$D319)&gt;0,"Lễ",IF(IF(THAM_SO_CC!$B$12="T7+CN",WEEKDAY($D319,2)&gt;=6,WEEKDAY($D319,2)=7),"Nghỉ tuần","Ngày thường")))</f>
        <v/>
      </c>
      <c r="F319" s="107" t="n"/>
      <c r="G319" s="107" t="n"/>
      <c r="H319" s="107" t="n"/>
      <c r="I319" s="81" t="n"/>
      <c r="J319" s="108">
        <f>IF($B319="","",IF($E319="Ngày thường",N($G319),0))</f>
        <v/>
      </c>
      <c r="K319" s="108">
        <f>IF($B319="","",IF($E319="Nghỉ tuần",N($G319),0))</f>
        <v/>
      </c>
      <c r="L319" s="108">
        <f>IF($B319="","",IF($E319="Lễ",N($G319),0))</f>
        <v/>
      </c>
      <c r="M319" s="108">
        <f>IF($B319="","",IF($E319="Ngày thường",N($H319),0))</f>
        <v/>
      </c>
      <c r="N319" s="108">
        <f>IF($B319="","",IF($E319="Nghỉ tuần",N($H319),0))</f>
        <v/>
      </c>
      <c r="O319" s="108">
        <f>IF($B319="","",IF($E319="Lễ",N($H319),0))</f>
        <v/>
      </c>
    </row>
    <row r="320" ht="15" customHeight="1" s="63">
      <c r="A320" s="85">
        <f>IF($B320="","",ROW()-5)</f>
        <v/>
      </c>
      <c r="B320" s="97" t="n"/>
      <c r="C320" s="96">
        <f>IF($B320="","",IFERROR(INDEX(DM_NHAN_SU!$C$6:$C$155,MATCH($B320,DM_NHAN_SU!$B$6:$B$155,0)),"SAI MÃ NV"))</f>
        <v/>
      </c>
      <c r="D320" s="86" t="n"/>
      <c r="E320" s="103">
        <f>IF(OR($B320="",$D320=""),"",IF(COUNTIF(THAM_SO_CC!$F$10:$F$40,$D320)&gt;0,"Lễ",IF(IF(THAM_SO_CC!$B$12="T7+CN",WEEKDAY($D320,2)&gt;=6,WEEKDAY($D320,2)=7),"Nghỉ tuần","Ngày thường")))</f>
        <v/>
      </c>
      <c r="F320" s="107" t="n"/>
      <c r="G320" s="107" t="n"/>
      <c r="H320" s="107" t="n"/>
      <c r="I320" s="81" t="n"/>
      <c r="J320" s="108">
        <f>IF($B320="","",IF($E320="Ngày thường",N($G320),0))</f>
        <v/>
      </c>
      <c r="K320" s="108">
        <f>IF($B320="","",IF($E320="Nghỉ tuần",N($G320),0))</f>
        <v/>
      </c>
      <c r="L320" s="108">
        <f>IF($B320="","",IF($E320="Lễ",N($G320),0))</f>
        <v/>
      </c>
      <c r="M320" s="108">
        <f>IF($B320="","",IF($E320="Ngày thường",N($H320),0))</f>
        <v/>
      </c>
      <c r="N320" s="108">
        <f>IF($B320="","",IF($E320="Nghỉ tuần",N($H320),0))</f>
        <v/>
      </c>
      <c r="O320" s="108">
        <f>IF($B320="","",IF($E320="Lễ",N($H320),0))</f>
        <v/>
      </c>
    </row>
    <row r="321" ht="15" customHeight="1" s="63">
      <c r="A321" s="85">
        <f>IF($B321="","",ROW()-5)</f>
        <v/>
      </c>
      <c r="B321" s="97" t="n"/>
      <c r="C321" s="96">
        <f>IF($B321="","",IFERROR(INDEX(DM_NHAN_SU!$C$6:$C$155,MATCH($B321,DM_NHAN_SU!$B$6:$B$155,0)),"SAI MÃ NV"))</f>
        <v/>
      </c>
      <c r="D321" s="86" t="n"/>
      <c r="E321" s="103">
        <f>IF(OR($B321="",$D321=""),"",IF(COUNTIF(THAM_SO_CC!$F$10:$F$40,$D321)&gt;0,"Lễ",IF(IF(THAM_SO_CC!$B$12="T7+CN",WEEKDAY($D321,2)&gt;=6,WEEKDAY($D321,2)=7),"Nghỉ tuần","Ngày thường")))</f>
        <v/>
      </c>
      <c r="F321" s="107" t="n"/>
      <c r="G321" s="107" t="n"/>
      <c r="H321" s="107" t="n"/>
      <c r="I321" s="81" t="n"/>
      <c r="J321" s="108">
        <f>IF($B321="","",IF($E321="Ngày thường",N($G321),0))</f>
        <v/>
      </c>
      <c r="K321" s="108">
        <f>IF($B321="","",IF($E321="Nghỉ tuần",N($G321),0))</f>
        <v/>
      </c>
      <c r="L321" s="108">
        <f>IF($B321="","",IF($E321="Lễ",N($G321),0))</f>
        <v/>
      </c>
      <c r="M321" s="108">
        <f>IF($B321="","",IF($E321="Ngày thường",N($H321),0))</f>
        <v/>
      </c>
      <c r="N321" s="108">
        <f>IF($B321="","",IF($E321="Nghỉ tuần",N($H321),0))</f>
        <v/>
      </c>
      <c r="O321" s="108">
        <f>IF($B321="","",IF($E321="Lễ",N($H321),0))</f>
        <v/>
      </c>
    </row>
    <row r="322" ht="15" customHeight="1" s="63">
      <c r="A322" s="85">
        <f>IF($B322="","",ROW()-5)</f>
        <v/>
      </c>
      <c r="B322" s="97" t="n"/>
      <c r="C322" s="96">
        <f>IF($B322="","",IFERROR(INDEX(DM_NHAN_SU!$C$6:$C$155,MATCH($B322,DM_NHAN_SU!$B$6:$B$155,0)),"SAI MÃ NV"))</f>
        <v/>
      </c>
      <c r="D322" s="86" t="n"/>
      <c r="E322" s="103">
        <f>IF(OR($B322="",$D322=""),"",IF(COUNTIF(THAM_SO_CC!$F$10:$F$40,$D322)&gt;0,"Lễ",IF(IF(THAM_SO_CC!$B$12="T7+CN",WEEKDAY($D322,2)&gt;=6,WEEKDAY($D322,2)=7),"Nghỉ tuần","Ngày thường")))</f>
        <v/>
      </c>
      <c r="F322" s="107" t="n"/>
      <c r="G322" s="107" t="n"/>
      <c r="H322" s="107" t="n"/>
      <c r="I322" s="81" t="n"/>
      <c r="J322" s="108">
        <f>IF($B322="","",IF($E322="Ngày thường",N($G322),0))</f>
        <v/>
      </c>
      <c r="K322" s="108">
        <f>IF($B322="","",IF($E322="Nghỉ tuần",N($G322),0))</f>
        <v/>
      </c>
      <c r="L322" s="108">
        <f>IF($B322="","",IF($E322="Lễ",N($G322),0))</f>
        <v/>
      </c>
      <c r="M322" s="108">
        <f>IF($B322="","",IF($E322="Ngày thường",N($H322),0))</f>
        <v/>
      </c>
      <c r="N322" s="108">
        <f>IF($B322="","",IF($E322="Nghỉ tuần",N($H322),0))</f>
        <v/>
      </c>
      <c r="O322" s="108">
        <f>IF($B322="","",IF($E322="Lễ",N($H322),0))</f>
        <v/>
      </c>
    </row>
    <row r="323" ht="15" customHeight="1" s="63">
      <c r="A323" s="85">
        <f>IF($B323="","",ROW()-5)</f>
        <v/>
      </c>
      <c r="B323" s="97" t="n"/>
      <c r="C323" s="96">
        <f>IF($B323="","",IFERROR(INDEX(DM_NHAN_SU!$C$6:$C$155,MATCH($B323,DM_NHAN_SU!$B$6:$B$155,0)),"SAI MÃ NV"))</f>
        <v/>
      </c>
      <c r="D323" s="86" t="n"/>
      <c r="E323" s="103">
        <f>IF(OR($B323="",$D323=""),"",IF(COUNTIF(THAM_SO_CC!$F$10:$F$40,$D323)&gt;0,"Lễ",IF(IF(THAM_SO_CC!$B$12="T7+CN",WEEKDAY($D323,2)&gt;=6,WEEKDAY($D323,2)=7),"Nghỉ tuần","Ngày thường")))</f>
        <v/>
      </c>
      <c r="F323" s="107" t="n"/>
      <c r="G323" s="107" t="n"/>
      <c r="H323" s="107" t="n"/>
      <c r="I323" s="81" t="n"/>
      <c r="J323" s="108">
        <f>IF($B323="","",IF($E323="Ngày thường",N($G323),0))</f>
        <v/>
      </c>
      <c r="K323" s="108">
        <f>IF($B323="","",IF($E323="Nghỉ tuần",N($G323),0))</f>
        <v/>
      </c>
      <c r="L323" s="108">
        <f>IF($B323="","",IF($E323="Lễ",N($G323),0))</f>
        <v/>
      </c>
      <c r="M323" s="108">
        <f>IF($B323="","",IF($E323="Ngày thường",N($H323),0))</f>
        <v/>
      </c>
      <c r="N323" s="108">
        <f>IF($B323="","",IF($E323="Nghỉ tuần",N($H323),0))</f>
        <v/>
      </c>
      <c r="O323" s="108">
        <f>IF($B323="","",IF($E323="Lễ",N($H323),0))</f>
        <v/>
      </c>
    </row>
    <row r="324" ht="15" customHeight="1" s="63">
      <c r="A324" s="85">
        <f>IF($B324="","",ROW()-5)</f>
        <v/>
      </c>
      <c r="B324" s="97" t="n"/>
      <c r="C324" s="96">
        <f>IF($B324="","",IFERROR(INDEX(DM_NHAN_SU!$C$6:$C$155,MATCH($B324,DM_NHAN_SU!$B$6:$B$155,0)),"SAI MÃ NV"))</f>
        <v/>
      </c>
      <c r="D324" s="86" t="n"/>
      <c r="E324" s="103">
        <f>IF(OR($B324="",$D324=""),"",IF(COUNTIF(THAM_SO_CC!$F$10:$F$40,$D324)&gt;0,"Lễ",IF(IF(THAM_SO_CC!$B$12="T7+CN",WEEKDAY($D324,2)&gt;=6,WEEKDAY($D324,2)=7),"Nghỉ tuần","Ngày thường")))</f>
        <v/>
      </c>
      <c r="F324" s="107" t="n"/>
      <c r="G324" s="107" t="n"/>
      <c r="H324" s="107" t="n"/>
      <c r="I324" s="81" t="n"/>
      <c r="J324" s="108">
        <f>IF($B324="","",IF($E324="Ngày thường",N($G324),0))</f>
        <v/>
      </c>
      <c r="K324" s="108">
        <f>IF($B324="","",IF($E324="Nghỉ tuần",N($G324),0))</f>
        <v/>
      </c>
      <c r="L324" s="108">
        <f>IF($B324="","",IF($E324="Lễ",N($G324),0))</f>
        <v/>
      </c>
      <c r="M324" s="108">
        <f>IF($B324="","",IF($E324="Ngày thường",N($H324),0))</f>
        <v/>
      </c>
      <c r="N324" s="108">
        <f>IF($B324="","",IF($E324="Nghỉ tuần",N($H324),0))</f>
        <v/>
      </c>
      <c r="O324" s="108">
        <f>IF($B324="","",IF($E324="Lễ",N($H324),0))</f>
        <v/>
      </c>
    </row>
    <row r="325" ht="15" customHeight="1" s="63">
      <c r="A325" s="85">
        <f>IF($B325="","",ROW()-5)</f>
        <v/>
      </c>
      <c r="B325" s="97" t="n"/>
      <c r="C325" s="96">
        <f>IF($B325="","",IFERROR(INDEX(DM_NHAN_SU!$C$6:$C$155,MATCH($B325,DM_NHAN_SU!$B$6:$B$155,0)),"SAI MÃ NV"))</f>
        <v/>
      </c>
      <c r="D325" s="86" t="n"/>
      <c r="E325" s="103">
        <f>IF(OR($B325="",$D325=""),"",IF(COUNTIF(THAM_SO_CC!$F$10:$F$40,$D325)&gt;0,"Lễ",IF(IF(THAM_SO_CC!$B$12="T7+CN",WEEKDAY($D325,2)&gt;=6,WEEKDAY($D325,2)=7),"Nghỉ tuần","Ngày thường")))</f>
        <v/>
      </c>
      <c r="F325" s="107" t="n"/>
      <c r="G325" s="107" t="n"/>
      <c r="H325" s="107" t="n"/>
      <c r="I325" s="81" t="n"/>
      <c r="J325" s="108">
        <f>IF($B325="","",IF($E325="Ngày thường",N($G325),0))</f>
        <v/>
      </c>
      <c r="K325" s="108">
        <f>IF($B325="","",IF($E325="Nghỉ tuần",N($G325),0))</f>
        <v/>
      </c>
      <c r="L325" s="108">
        <f>IF($B325="","",IF($E325="Lễ",N($G325),0))</f>
        <v/>
      </c>
      <c r="M325" s="108">
        <f>IF($B325="","",IF($E325="Ngày thường",N($H325),0))</f>
        <v/>
      </c>
      <c r="N325" s="108">
        <f>IF($B325="","",IF($E325="Nghỉ tuần",N($H325),0))</f>
        <v/>
      </c>
      <c r="O325" s="108">
        <f>IF($B325="","",IF($E325="Lễ",N($H325),0))</f>
        <v/>
      </c>
    </row>
    <row r="326" ht="15" customHeight="1" s="63">
      <c r="A326" s="85">
        <f>IF($B326="","",ROW()-5)</f>
        <v/>
      </c>
      <c r="B326" s="97" t="n"/>
      <c r="C326" s="96">
        <f>IF($B326="","",IFERROR(INDEX(DM_NHAN_SU!$C$6:$C$155,MATCH($B326,DM_NHAN_SU!$B$6:$B$155,0)),"SAI MÃ NV"))</f>
        <v/>
      </c>
      <c r="D326" s="86" t="n"/>
      <c r="E326" s="103">
        <f>IF(OR($B326="",$D326=""),"",IF(COUNTIF(THAM_SO_CC!$F$10:$F$40,$D326)&gt;0,"Lễ",IF(IF(THAM_SO_CC!$B$12="T7+CN",WEEKDAY($D326,2)&gt;=6,WEEKDAY($D326,2)=7),"Nghỉ tuần","Ngày thường")))</f>
        <v/>
      </c>
      <c r="F326" s="107" t="n"/>
      <c r="G326" s="107" t="n"/>
      <c r="H326" s="107" t="n"/>
      <c r="I326" s="81" t="n"/>
      <c r="J326" s="108">
        <f>IF($B326="","",IF($E326="Ngày thường",N($G326),0))</f>
        <v/>
      </c>
      <c r="K326" s="108">
        <f>IF($B326="","",IF($E326="Nghỉ tuần",N($G326),0))</f>
        <v/>
      </c>
      <c r="L326" s="108">
        <f>IF($B326="","",IF($E326="Lễ",N($G326),0))</f>
        <v/>
      </c>
      <c r="M326" s="108">
        <f>IF($B326="","",IF($E326="Ngày thường",N($H326),0))</f>
        <v/>
      </c>
      <c r="N326" s="108">
        <f>IF($B326="","",IF($E326="Nghỉ tuần",N($H326),0))</f>
        <v/>
      </c>
      <c r="O326" s="108">
        <f>IF($B326="","",IF($E326="Lễ",N($H326),0))</f>
        <v/>
      </c>
    </row>
    <row r="327" ht="15" customHeight="1" s="63">
      <c r="A327" s="85">
        <f>IF($B327="","",ROW()-5)</f>
        <v/>
      </c>
      <c r="B327" s="97" t="n"/>
      <c r="C327" s="96">
        <f>IF($B327="","",IFERROR(INDEX(DM_NHAN_SU!$C$6:$C$155,MATCH($B327,DM_NHAN_SU!$B$6:$B$155,0)),"SAI MÃ NV"))</f>
        <v/>
      </c>
      <c r="D327" s="86" t="n"/>
      <c r="E327" s="103">
        <f>IF(OR($B327="",$D327=""),"",IF(COUNTIF(THAM_SO_CC!$F$10:$F$40,$D327)&gt;0,"Lễ",IF(IF(THAM_SO_CC!$B$12="T7+CN",WEEKDAY($D327,2)&gt;=6,WEEKDAY($D327,2)=7),"Nghỉ tuần","Ngày thường")))</f>
        <v/>
      </c>
      <c r="F327" s="107" t="n"/>
      <c r="G327" s="107" t="n"/>
      <c r="H327" s="107" t="n"/>
      <c r="I327" s="81" t="n"/>
      <c r="J327" s="108">
        <f>IF($B327="","",IF($E327="Ngày thường",N($G327),0))</f>
        <v/>
      </c>
      <c r="K327" s="108">
        <f>IF($B327="","",IF($E327="Nghỉ tuần",N($G327),0))</f>
        <v/>
      </c>
      <c r="L327" s="108">
        <f>IF($B327="","",IF($E327="Lễ",N($G327),0))</f>
        <v/>
      </c>
      <c r="M327" s="108">
        <f>IF($B327="","",IF($E327="Ngày thường",N($H327),0))</f>
        <v/>
      </c>
      <c r="N327" s="108">
        <f>IF($B327="","",IF($E327="Nghỉ tuần",N($H327),0))</f>
        <v/>
      </c>
      <c r="O327" s="108">
        <f>IF($B327="","",IF($E327="Lễ",N($H327),0))</f>
        <v/>
      </c>
    </row>
    <row r="328" ht="15" customHeight="1" s="63">
      <c r="A328" s="85">
        <f>IF($B328="","",ROW()-5)</f>
        <v/>
      </c>
      <c r="B328" s="97" t="n"/>
      <c r="C328" s="96">
        <f>IF($B328="","",IFERROR(INDEX(DM_NHAN_SU!$C$6:$C$155,MATCH($B328,DM_NHAN_SU!$B$6:$B$155,0)),"SAI MÃ NV"))</f>
        <v/>
      </c>
      <c r="D328" s="86" t="n"/>
      <c r="E328" s="103">
        <f>IF(OR($B328="",$D328=""),"",IF(COUNTIF(THAM_SO_CC!$F$10:$F$40,$D328)&gt;0,"Lễ",IF(IF(THAM_SO_CC!$B$12="T7+CN",WEEKDAY($D328,2)&gt;=6,WEEKDAY($D328,2)=7),"Nghỉ tuần","Ngày thường")))</f>
        <v/>
      </c>
      <c r="F328" s="107" t="n"/>
      <c r="G328" s="107" t="n"/>
      <c r="H328" s="107" t="n"/>
      <c r="I328" s="81" t="n"/>
      <c r="J328" s="108">
        <f>IF($B328="","",IF($E328="Ngày thường",N($G328),0))</f>
        <v/>
      </c>
      <c r="K328" s="108">
        <f>IF($B328="","",IF($E328="Nghỉ tuần",N($G328),0))</f>
        <v/>
      </c>
      <c r="L328" s="108">
        <f>IF($B328="","",IF($E328="Lễ",N($G328),0))</f>
        <v/>
      </c>
      <c r="M328" s="108">
        <f>IF($B328="","",IF($E328="Ngày thường",N($H328),0))</f>
        <v/>
      </c>
      <c r="N328" s="108">
        <f>IF($B328="","",IF($E328="Nghỉ tuần",N($H328),0))</f>
        <v/>
      </c>
      <c r="O328" s="108">
        <f>IF($B328="","",IF($E328="Lễ",N($H328),0))</f>
        <v/>
      </c>
    </row>
    <row r="329" ht="15" customHeight="1" s="63">
      <c r="A329" s="85">
        <f>IF($B329="","",ROW()-5)</f>
        <v/>
      </c>
      <c r="B329" s="97" t="n"/>
      <c r="C329" s="96">
        <f>IF($B329="","",IFERROR(INDEX(DM_NHAN_SU!$C$6:$C$155,MATCH($B329,DM_NHAN_SU!$B$6:$B$155,0)),"SAI MÃ NV"))</f>
        <v/>
      </c>
      <c r="D329" s="86" t="n"/>
      <c r="E329" s="103">
        <f>IF(OR($B329="",$D329=""),"",IF(COUNTIF(THAM_SO_CC!$F$10:$F$40,$D329)&gt;0,"Lễ",IF(IF(THAM_SO_CC!$B$12="T7+CN",WEEKDAY($D329,2)&gt;=6,WEEKDAY($D329,2)=7),"Nghỉ tuần","Ngày thường")))</f>
        <v/>
      </c>
      <c r="F329" s="107" t="n"/>
      <c r="G329" s="107" t="n"/>
      <c r="H329" s="107" t="n"/>
      <c r="I329" s="81" t="n"/>
      <c r="J329" s="108">
        <f>IF($B329="","",IF($E329="Ngày thường",N($G329),0))</f>
        <v/>
      </c>
      <c r="K329" s="108">
        <f>IF($B329="","",IF($E329="Nghỉ tuần",N($G329),0))</f>
        <v/>
      </c>
      <c r="L329" s="108">
        <f>IF($B329="","",IF($E329="Lễ",N($G329),0))</f>
        <v/>
      </c>
      <c r="M329" s="108">
        <f>IF($B329="","",IF($E329="Ngày thường",N($H329),0))</f>
        <v/>
      </c>
      <c r="N329" s="108">
        <f>IF($B329="","",IF($E329="Nghỉ tuần",N($H329),0))</f>
        <v/>
      </c>
      <c r="O329" s="108">
        <f>IF($B329="","",IF($E329="Lễ",N($H329),0))</f>
        <v/>
      </c>
    </row>
    <row r="330" ht="15" customHeight="1" s="63">
      <c r="A330" s="85">
        <f>IF($B330="","",ROW()-5)</f>
        <v/>
      </c>
      <c r="B330" s="97" t="n"/>
      <c r="C330" s="96">
        <f>IF($B330="","",IFERROR(INDEX(DM_NHAN_SU!$C$6:$C$155,MATCH($B330,DM_NHAN_SU!$B$6:$B$155,0)),"SAI MÃ NV"))</f>
        <v/>
      </c>
      <c r="D330" s="86" t="n"/>
      <c r="E330" s="103">
        <f>IF(OR($B330="",$D330=""),"",IF(COUNTIF(THAM_SO_CC!$F$10:$F$40,$D330)&gt;0,"Lễ",IF(IF(THAM_SO_CC!$B$12="T7+CN",WEEKDAY($D330,2)&gt;=6,WEEKDAY($D330,2)=7),"Nghỉ tuần","Ngày thường")))</f>
        <v/>
      </c>
      <c r="F330" s="107" t="n"/>
      <c r="G330" s="107" t="n"/>
      <c r="H330" s="107" t="n"/>
      <c r="I330" s="81" t="n"/>
      <c r="J330" s="108">
        <f>IF($B330="","",IF($E330="Ngày thường",N($G330),0))</f>
        <v/>
      </c>
      <c r="K330" s="108">
        <f>IF($B330="","",IF($E330="Nghỉ tuần",N($G330),0))</f>
        <v/>
      </c>
      <c r="L330" s="108">
        <f>IF($B330="","",IF($E330="Lễ",N($G330),0))</f>
        <v/>
      </c>
      <c r="M330" s="108">
        <f>IF($B330="","",IF($E330="Ngày thường",N($H330),0))</f>
        <v/>
      </c>
      <c r="N330" s="108">
        <f>IF($B330="","",IF($E330="Nghỉ tuần",N($H330),0))</f>
        <v/>
      </c>
      <c r="O330" s="108">
        <f>IF($B330="","",IF($E330="Lễ",N($H330),0))</f>
        <v/>
      </c>
    </row>
    <row r="331" ht="15" customHeight="1" s="63">
      <c r="A331" s="85">
        <f>IF($B331="","",ROW()-5)</f>
        <v/>
      </c>
      <c r="B331" s="97" t="n"/>
      <c r="C331" s="96">
        <f>IF($B331="","",IFERROR(INDEX(DM_NHAN_SU!$C$6:$C$155,MATCH($B331,DM_NHAN_SU!$B$6:$B$155,0)),"SAI MÃ NV"))</f>
        <v/>
      </c>
      <c r="D331" s="86" t="n"/>
      <c r="E331" s="103">
        <f>IF(OR($B331="",$D331=""),"",IF(COUNTIF(THAM_SO_CC!$F$10:$F$40,$D331)&gt;0,"Lễ",IF(IF(THAM_SO_CC!$B$12="T7+CN",WEEKDAY($D331,2)&gt;=6,WEEKDAY($D331,2)=7),"Nghỉ tuần","Ngày thường")))</f>
        <v/>
      </c>
      <c r="F331" s="107" t="n"/>
      <c r="G331" s="107" t="n"/>
      <c r="H331" s="107" t="n"/>
      <c r="I331" s="81" t="n"/>
      <c r="J331" s="108">
        <f>IF($B331="","",IF($E331="Ngày thường",N($G331),0))</f>
        <v/>
      </c>
      <c r="K331" s="108">
        <f>IF($B331="","",IF($E331="Nghỉ tuần",N($G331),0))</f>
        <v/>
      </c>
      <c r="L331" s="108">
        <f>IF($B331="","",IF($E331="Lễ",N($G331),0))</f>
        <v/>
      </c>
      <c r="M331" s="108">
        <f>IF($B331="","",IF($E331="Ngày thường",N($H331),0))</f>
        <v/>
      </c>
      <c r="N331" s="108">
        <f>IF($B331="","",IF($E331="Nghỉ tuần",N($H331),0))</f>
        <v/>
      </c>
      <c r="O331" s="108">
        <f>IF($B331="","",IF($E331="Lễ",N($H331),0))</f>
        <v/>
      </c>
    </row>
    <row r="332" ht="15" customHeight="1" s="63">
      <c r="A332" s="85">
        <f>IF($B332="","",ROW()-5)</f>
        <v/>
      </c>
      <c r="B332" s="97" t="n"/>
      <c r="C332" s="96">
        <f>IF($B332="","",IFERROR(INDEX(DM_NHAN_SU!$C$6:$C$155,MATCH($B332,DM_NHAN_SU!$B$6:$B$155,0)),"SAI MÃ NV"))</f>
        <v/>
      </c>
      <c r="D332" s="86" t="n"/>
      <c r="E332" s="103">
        <f>IF(OR($B332="",$D332=""),"",IF(COUNTIF(THAM_SO_CC!$F$10:$F$40,$D332)&gt;0,"Lễ",IF(IF(THAM_SO_CC!$B$12="T7+CN",WEEKDAY($D332,2)&gt;=6,WEEKDAY($D332,2)=7),"Nghỉ tuần","Ngày thường")))</f>
        <v/>
      </c>
      <c r="F332" s="107" t="n"/>
      <c r="G332" s="107" t="n"/>
      <c r="H332" s="107" t="n"/>
      <c r="I332" s="81" t="n"/>
      <c r="J332" s="108">
        <f>IF($B332="","",IF($E332="Ngày thường",N($G332),0))</f>
        <v/>
      </c>
      <c r="K332" s="108">
        <f>IF($B332="","",IF($E332="Nghỉ tuần",N($G332),0))</f>
        <v/>
      </c>
      <c r="L332" s="108">
        <f>IF($B332="","",IF($E332="Lễ",N($G332),0))</f>
        <v/>
      </c>
      <c r="M332" s="108">
        <f>IF($B332="","",IF($E332="Ngày thường",N($H332),0))</f>
        <v/>
      </c>
      <c r="N332" s="108">
        <f>IF($B332="","",IF($E332="Nghỉ tuần",N($H332),0))</f>
        <v/>
      </c>
      <c r="O332" s="108">
        <f>IF($B332="","",IF($E332="Lễ",N($H332),0))</f>
        <v/>
      </c>
    </row>
    <row r="333" ht="15" customHeight="1" s="63">
      <c r="A333" s="85">
        <f>IF($B333="","",ROW()-5)</f>
        <v/>
      </c>
      <c r="B333" s="97" t="n"/>
      <c r="C333" s="96">
        <f>IF($B333="","",IFERROR(INDEX(DM_NHAN_SU!$C$6:$C$155,MATCH($B333,DM_NHAN_SU!$B$6:$B$155,0)),"SAI MÃ NV"))</f>
        <v/>
      </c>
      <c r="D333" s="86" t="n"/>
      <c r="E333" s="103">
        <f>IF(OR($B333="",$D333=""),"",IF(COUNTIF(THAM_SO_CC!$F$10:$F$40,$D333)&gt;0,"Lễ",IF(IF(THAM_SO_CC!$B$12="T7+CN",WEEKDAY($D333,2)&gt;=6,WEEKDAY($D333,2)=7),"Nghỉ tuần","Ngày thường")))</f>
        <v/>
      </c>
      <c r="F333" s="107" t="n"/>
      <c r="G333" s="107" t="n"/>
      <c r="H333" s="107" t="n"/>
      <c r="I333" s="81" t="n"/>
      <c r="J333" s="108">
        <f>IF($B333="","",IF($E333="Ngày thường",N($G333),0))</f>
        <v/>
      </c>
      <c r="K333" s="108">
        <f>IF($B333="","",IF($E333="Nghỉ tuần",N($G333),0))</f>
        <v/>
      </c>
      <c r="L333" s="108">
        <f>IF($B333="","",IF($E333="Lễ",N($G333),0))</f>
        <v/>
      </c>
      <c r="M333" s="108">
        <f>IF($B333="","",IF($E333="Ngày thường",N($H333),0))</f>
        <v/>
      </c>
      <c r="N333" s="108">
        <f>IF($B333="","",IF($E333="Nghỉ tuần",N($H333),0))</f>
        <v/>
      </c>
      <c r="O333" s="108">
        <f>IF($B333="","",IF($E333="Lễ",N($H333),0))</f>
        <v/>
      </c>
    </row>
    <row r="334" ht="15" customHeight="1" s="63">
      <c r="A334" s="85">
        <f>IF($B334="","",ROW()-5)</f>
        <v/>
      </c>
      <c r="B334" s="97" t="n"/>
      <c r="C334" s="96">
        <f>IF($B334="","",IFERROR(INDEX(DM_NHAN_SU!$C$6:$C$155,MATCH($B334,DM_NHAN_SU!$B$6:$B$155,0)),"SAI MÃ NV"))</f>
        <v/>
      </c>
      <c r="D334" s="86" t="n"/>
      <c r="E334" s="103">
        <f>IF(OR($B334="",$D334=""),"",IF(COUNTIF(THAM_SO_CC!$F$10:$F$40,$D334)&gt;0,"Lễ",IF(IF(THAM_SO_CC!$B$12="T7+CN",WEEKDAY($D334,2)&gt;=6,WEEKDAY($D334,2)=7),"Nghỉ tuần","Ngày thường")))</f>
        <v/>
      </c>
      <c r="F334" s="107" t="n"/>
      <c r="G334" s="107" t="n"/>
      <c r="H334" s="107" t="n"/>
      <c r="I334" s="81" t="n"/>
      <c r="J334" s="108">
        <f>IF($B334="","",IF($E334="Ngày thường",N($G334),0))</f>
        <v/>
      </c>
      <c r="K334" s="108">
        <f>IF($B334="","",IF($E334="Nghỉ tuần",N($G334),0))</f>
        <v/>
      </c>
      <c r="L334" s="108">
        <f>IF($B334="","",IF($E334="Lễ",N($G334),0))</f>
        <v/>
      </c>
      <c r="M334" s="108">
        <f>IF($B334="","",IF($E334="Ngày thường",N($H334),0))</f>
        <v/>
      </c>
      <c r="N334" s="108">
        <f>IF($B334="","",IF($E334="Nghỉ tuần",N($H334),0))</f>
        <v/>
      </c>
      <c r="O334" s="108">
        <f>IF($B334="","",IF($E334="Lễ",N($H334),0))</f>
        <v/>
      </c>
    </row>
    <row r="335" ht="15" customHeight="1" s="63">
      <c r="A335" s="85">
        <f>IF($B335="","",ROW()-5)</f>
        <v/>
      </c>
      <c r="B335" s="97" t="n"/>
      <c r="C335" s="96">
        <f>IF($B335="","",IFERROR(INDEX(DM_NHAN_SU!$C$6:$C$155,MATCH($B335,DM_NHAN_SU!$B$6:$B$155,0)),"SAI MÃ NV"))</f>
        <v/>
      </c>
      <c r="D335" s="86" t="n"/>
      <c r="E335" s="103">
        <f>IF(OR($B335="",$D335=""),"",IF(COUNTIF(THAM_SO_CC!$F$10:$F$40,$D335)&gt;0,"Lễ",IF(IF(THAM_SO_CC!$B$12="T7+CN",WEEKDAY($D335,2)&gt;=6,WEEKDAY($D335,2)=7),"Nghỉ tuần","Ngày thường")))</f>
        <v/>
      </c>
      <c r="F335" s="107" t="n"/>
      <c r="G335" s="107" t="n"/>
      <c r="H335" s="107" t="n"/>
      <c r="I335" s="81" t="n"/>
      <c r="J335" s="108">
        <f>IF($B335="","",IF($E335="Ngày thường",N($G335),0))</f>
        <v/>
      </c>
      <c r="K335" s="108">
        <f>IF($B335="","",IF($E335="Nghỉ tuần",N($G335),0))</f>
        <v/>
      </c>
      <c r="L335" s="108">
        <f>IF($B335="","",IF($E335="Lễ",N($G335),0))</f>
        <v/>
      </c>
      <c r="M335" s="108">
        <f>IF($B335="","",IF($E335="Ngày thường",N($H335),0))</f>
        <v/>
      </c>
      <c r="N335" s="108">
        <f>IF($B335="","",IF($E335="Nghỉ tuần",N($H335),0))</f>
        <v/>
      </c>
      <c r="O335" s="108">
        <f>IF($B335="","",IF($E335="Lễ",N($H335),0))</f>
        <v/>
      </c>
    </row>
    <row r="336" ht="15" customHeight="1" s="63">
      <c r="A336" s="85">
        <f>IF($B336="","",ROW()-5)</f>
        <v/>
      </c>
      <c r="B336" s="97" t="n"/>
      <c r="C336" s="96">
        <f>IF($B336="","",IFERROR(INDEX(DM_NHAN_SU!$C$6:$C$155,MATCH($B336,DM_NHAN_SU!$B$6:$B$155,0)),"SAI MÃ NV"))</f>
        <v/>
      </c>
      <c r="D336" s="86" t="n"/>
      <c r="E336" s="103">
        <f>IF(OR($B336="",$D336=""),"",IF(COUNTIF(THAM_SO_CC!$F$10:$F$40,$D336)&gt;0,"Lễ",IF(IF(THAM_SO_CC!$B$12="T7+CN",WEEKDAY($D336,2)&gt;=6,WEEKDAY($D336,2)=7),"Nghỉ tuần","Ngày thường")))</f>
        <v/>
      </c>
      <c r="F336" s="107" t="n"/>
      <c r="G336" s="107" t="n"/>
      <c r="H336" s="107" t="n"/>
      <c r="I336" s="81" t="n"/>
      <c r="J336" s="108">
        <f>IF($B336="","",IF($E336="Ngày thường",N($G336),0))</f>
        <v/>
      </c>
      <c r="K336" s="108">
        <f>IF($B336="","",IF($E336="Nghỉ tuần",N($G336),0))</f>
        <v/>
      </c>
      <c r="L336" s="108">
        <f>IF($B336="","",IF($E336="Lễ",N($G336),0))</f>
        <v/>
      </c>
      <c r="M336" s="108">
        <f>IF($B336="","",IF($E336="Ngày thường",N($H336),0))</f>
        <v/>
      </c>
      <c r="N336" s="108">
        <f>IF($B336="","",IF($E336="Nghỉ tuần",N($H336),0))</f>
        <v/>
      </c>
      <c r="O336" s="108">
        <f>IF($B336="","",IF($E336="Lễ",N($H336),0))</f>
        <v/>
      </c>
    </row>
    <row r="337" ht="15" customHeight="1" s="63">
      <c r="A337" s="85">
        <f>IF($B337="","",ROW()-5)</f>
        <v/>
      </c>
      <c r="B337" s="97" t="n"/>
      <c r="C337" s="96">
        <f>IF($B337="","",IFERROR(INDEX(DM_NHAN_SU!$C$6:$C$155,MATCH($B337,DM_NHAN_SU!$B$6:$B$155,0)),"SAI MÃ NV"))</f>
        <v/>
      </c>
      <c r="D337" s="86" t="n"/>
      <c r="E337" s="103">
        <f>IF(OR($B337="",$D337=""),"",IF(COUNTIF(THAM_SO_CC!$F$10:$F$40,$D337)&gt;0,"Lễ",IF(IF(THAM_SO_CC!$B$12="T7+CN",WEEKDAY($D337,2)&gt;=6,WEEKDAY($D337,2)=7),"Nghỉ tuần","Ngày thường")))</f>
        <v/>
      </c>
      <c r="F337" s="107" t="n"/>
      <c r="G337" s="107" t="n"/>
      <c r="H337" s="107" t="n"/>
      <c r="I337" s="81" t="n"/>
      <c r="J337" s="108">
        <f>IF($B337="","",IF($E337="Ngày thường",N($G337),0))</f>
        <v/>
      </c>
      <c r="K337" s="108">
        <f>IF($B337="","",IF($E337="Nghỉ tuần",N($G337),0))</f>
        <v/>
      </c>
      <c r="L337" s="108">
        <f>IF($B337="","",IF($E337="Lễ",N($G337),0))</f>
        <v/>
      </c>
      <c r="M337" s="108">
        <f>IF($B337="","",IF($E337="Ngày thường",N($H337),0))</f>
        <v/>
      </c>
      <c r="N337" s="108">
        <f>IF($B337="","",IF($E337="Nghỉ tuần",N($H337),0))</f>
        <v/>
      </c>
      <c r="O337" s="108">
        <f>IF($B337="","",IF($E337="Lễ",N($H337),0))</f>
        <v/>
      </c>
    </row>
    <row r="338" ht="15" customHeight="1" s="63">
      <c r="A338" s="85">
        <f>IF($B338="","",ROW()-5)</f>
        <v/>
      </c>
      <c r="B338" s="97" t="n"/>
      <c r="C338" s="96">
        <f>IF($B338="","",IFERROR(INDEX(DM_NHAN_SU!$C$6:$C$155,MATCH($B338,DM_NHAN_SU!$B$6:$B$155,0)),"SAI MÃ NV"))</f>
        <v/>
      </c>
      <c r="D338" s="86" t="n"/>
      <c r="E338" s="103">
        <f>IF(OR($B338="",$D338=""),"",IF(COUNTIF(THAM_SO_CC!$F$10:$F$40,$D338)&gt;0,"Lễ",IF(IF(THAM_SO_CC!$B$12="T7+CN",WEEKDAY($D338,2)&gt;=6,WEEKDAY($D338,2)=7),"Nghỉ tuần","Ngày thường")))</f>
        <v/>
      </c>
      <c r="F338" s="107" t="n"/>
      <c r="G338" s="107" t="n"/>
      <c r="H338" s="107" t="n"/>
      <c r="I338" s="81" t="n"/>
      <c r="J338" s="108">
        <f>IF($B338="","",IF($E338="Ngày thường",N($G338),0))</f>
        <v/>
      </c>
      <c r="K338" s="108">
        <f>IF($B338="","",IF($E338="Nghỉ tuần",N($G338),0))</f>
        <v/>
      </c>
      <c r="L338" s="108">
        <f>IF($B338="","",IF($E338="Lễ",N($G338),0))</f>
        <v/>
      </c>
      <c r="M338" s="108">
        <f>IF($B338="","",IF($E338="Ngày thường",N($H338),0))</f>
        <v/>
      </c>
      <c r="N338" s="108">
        <f>IF($B338="","",IF($E338="Nghỉ tuần",N($H338),0))</f>
        <v/>
      </c>
      <c r="O338" s="108">
        <f>IF($B338="","",IF($E338="Lễ",N($H338),0))</f>
        <v/>
      </c>
    </row>
    <row r="339" ht="15" customHeight="1" s="63">
      <c r="A339" s="85">
        <f>IF($B339="","",ROW()-5)</f>
        <v/>
      </c>
      <c r="B339" s="97" t="n"/>
      <c r="C339" s="96">
        <f>IF($B339="","",IFERROR(INDEX(DM_NHAN_SU!$C$6:$C$155,MATCH($B339,DM_NHAN_SU!$B$6:$B$155,0)),"SAI MÃ NV"))</f>
        <v/>
      </c>
      <c r="D339" s="86" t="n"/>
      <c r="E339" s="103">
        <f>IF(OR($B339="",$D339=""),"",IF(COUNTIF(THAM_SO_CC!$F$10:$F$40,$D339)&gt;0,"Lễ",IF(IF(THAM_SO_CC!$B$12="T7+CN",WEEKDAY($D339,2)&gt;=6,WEEKDAY($D339,2)=7),"Nghỉ tuần","Ngày thường")))</f>
        <v/>
      </c>
      <c r="F339" s="107" t="n"/>
      <c r="G339" s="107" t="n"/>
      <c r="H339" s="107" t="n"/>
      <c r="I339" s="81" t="n"/>
      <c r="J339" s="108">
        <f>IF($B339="","",IF($E339="Ngày thường",N($G339),0))</f>
        <v/>
      </c>
      <c r="K339" s="108">
        <f>IF($B339="","",IF($E339="Nghỉ tuần",N($G339),0))</f>
        <v/>
      </c>
      <c r="L339" s="108">
        <f>IF($B339="","",IF($E339="Lễ",N($G339),0))</f>
        <v/>
      </c>
      <c r="M339" s="108">
        <f>IF($B339="","",IF($E339="Ngày thường",N($H339),0))</f>
        <v/>
      </c>
      <c r="N339" s="108">
        <f>IF($B339="","",IF($E339="Nghỉ tuần",N($H339),0))</f>
        <v/>
      </c>
      <c r="O339" s="108">
        <f>IF($B339="","",IF($E339="Lễ",N($H339),0))</f>
        <v/>
      </c>
    </row>
    <row r="340" ht="15" customHeight="1" s="63">
      <c r="A340" s="85">
        <f>IF($B340="","",ROW()-5)</f>
        <v/>
      </c>
      <c r="B340" s="97" t="n"/>
      <c r="C340" s="96">
        <f>IF($B340="","",IFERROR(INDEX(DM_NHAN_SU!$C$6:$C$155,MATCH($B340,DM_NHAN_SU!$B$6:$B$155,0)),"SAI MÃ NV"))</f>
        <v/>
      </c>
      <c r="D340" s="86" t="n"/>
      <c r="E340" s="103">
        <f>IF(OR($B340="",$D340=""),"",IF(COUNTIF(THAM_SO_CC!$F$10:$F$40,$D340)&gt;0,"Lễ",IF(IF(THAM_SO_CC!$B$12="T7+CN",WEEKDAY($D340,2)&gt;=6,WEEKDAY($D340,2)=7),"Nghỉ tuần","Ngày thường")))</f>
        <v/>
      </c>
      <c r="F340" s="107" t="n"/>
      <c r="G340" s="107" t="n"/>
      <c r="H340" s="107" t="n"/>
      <c r="I340" s="81" t="n"/>
      <c r="J340" s="108">
        <f>IF($B340="","",IF($E340="Ngày thường",N($G340),0))</f>
        <v/>
      </c>
      <c r="K340" s="108">
        <f>IF($B340="","",IF($E340="Nghỉ tuần",N($G340),0))</f>
        <v/>
      </c>
      <c r="L340" s="108">
        <f>IF($B340="","",IF($E340="Lễ",N($G340),0))</f>
        <v/>
      </c>
      <c r="M340" s="108">
        <f>IF($B340="","",IF($E340="Ngày thường",N($H340),0))</f>
        <v/>
      </c>
      <c r="N340" s="108">
        <f>IF($B340="","",IF($E340="Nghỉ tuần",N($H340),0))</f>
        <v/>
      </c>
      <c r="O340" s="108">
        <f>IF($B340="","",IF($E340="Lễ",N($H340),0))</f>
        <v/>
      </c>
    </row>
    <row r="341" ht="15" customHeight="1" s="63">
      <c r="A341" s="85">
        <f>IF($B341="","",ROW()-5)</f>
        <v/>
      </c>
      <c r="B341" s="97" t="n"/>
      <c r="C341" s="96">
        <f>IF($B341="","",IFERROR(INDEX(DM_NHAN_SU!$C$6:$C$155,MATCH($B341,DM_NHAN_SU!$B$6:$B$155,0)),"SAI MÃ NV"))</f>
        <v/>
      </c>
      <c r="D341" s="86" t="n"/>
      <c r="E341" s="103">
        <f>IF(OR($B341="",$D341=""),"",IF(COUNTIF(THAM_SO_CC!$F$10:$F$40,$D341)&gt;0,"Lễ",IF(IF(THAM_SO_CC!$B$12="T7+CN",WEEKDAY($D341,2)&gt;=6,WEEKDAY($D341,2)=7),"Nghỉ tuần","Ngày thường")))</f>
        <v/>
      </c>
      <c r="F341" s="107" t="n"/>
      <c r="G341" s="107" t="n"/>
      <c r="H341" s="107" t="n"/>
      <c r="I341" s="81" t="n"/>
      <c r="J341" s="108">
        <f>IF($B341="","",IF($E341="Ngày thường",N($G341),0))</f>
        <v/>
      </c>
      <c r="K341" s="108">
        <f>IF($B341="","",IF($E341="Nghỉ tuần",N($G341),0))</f>
        <v/>
      </c>
      <c r="L341" s="108">
        <f>IF($B341="","",IF($E341="Lễ",N($G341),0))</f>
        <v/>
      </c>
      <c r="M341" s="108">
        <f>IF($B341="","",IF($E341="Ngày thường",N($H341),0))</f>
        <v/>
      </c>
      <c r="N341" s="108">
        <f>IF($B341="","",IF($E341="Nghỉ tuần",N($H341),0))</f>
        <v/>
      </c>
      <c r="O341" s="108">
        <f>IF($B341="","",IF($E341="Lễ",N($H341),0))</f>
        <v/>
      </c>
    </row>
    <row r="342" ht="15" customHeight="1" s="63">
      <c r="A342" s="85">
        <f>IF($B342="","",ROW()-5)</f>
        <v/>
      </c>
      <c r="B342" s="97" t="n"/>
      <c r="C342" s="96">
        <f>IF($B342="","",IFERROR(INDEX(DM_NHAN_SU!$C$6:$C$155,MATCH($B342,DM_NHAN_SU!$B$6:$B$155,0)),"SAI MÃ NV"))</f>
        <v/>
      </c>
      <c r="D342" s="86" t="n"/>
      <c r="E342" s="103">
        <f>IF(OR($B342="",$D342=""),"",IF(COUNTIF(THAM_SO_CC!$F$10:$F$40,$D342)&gt;0,"Lễ",IF(IF(THAM_SO_CC!$B$12="T7+CN",WEEKDAY($D342,2)&gt;=6,WEEKDAY($D342,2)=7),"Nghỉ tuần","Ngày thường")))</f>
        <v/>
      </c>
      <c r="F342" s="107" t="n"/>
      <c r="G342" s="107" t="n"/>
      <c r="H342" s="107" t="n"/>
      <c r="I342" s="81" t="n"/>
      <c r="J342" s="108">
        <f>IF($B342="","",IF($E342="Ngày thường",N($G342),0))</f>
        <v/>
      </c>
      <c r="K342" s="108">
        <f>IF($B342="","",IF($E342="Nghỉ tuần",N($G342),0))</f>
        <v/>
      </c>
      <c r="L342" s="108">
        <f>IF($B342="","",IF($E342="Lễ",N($G342),0))</f>
        <v/>
      </c>
      <c r="M342" s="108">
        <f>IF($B342="","",IF($E342="Ngày thường",N($H342),0))</f>
        <v/>
      </c>
      <c r="N342" s="108">
        <f>IF($B342="","",IF($E342="Nghỉ tuần",N($H342),0))</f>
        <v/>
      </c>
      <c r="O342" s="108">
        <f>IF($B342="","",IF($E342="Lễ",N($H342),0))</f>
        <v/>
      </c>
    </row>
    <row r="343" ht="15" customHeight="1" s="63">
      <c r="A343" s="85">
        <f>IF($B343="","",ROW()-5)</f>
        <v/>
      </c>
      <c r="B343" s="97" t="n"/>
      <c r="C343" s="96">
        <f>IF($B343="","",IFERROR(INDEX(DM_NHAN_SU!$C$6:$C$155,MATCH($B343,DM_NHAN_SU!$B$6:$B$155,0)),"SAI MÃ NV"))</f>
        <v/>
      </c>
      <c r="D343" s="86" t="n"/>
      <c r="E343" s="103">
        <f>IF(OR($B343="",$D343=""),"",IF(COUNTIF(THAM_SO_CC!$F$10:$F$40,$D343)&gt;0,"Lễ",IF(IF(THAM_SO_CC!$B$12="T7+CN",WEEKDAY($D343,2)&gt;=6,WEEKDAY($D343,2)=7),"Nghỉ tuần","Ngày thường")))</f>
        <v/>
      </c>
      <c r="F343" s="107" t="n"/>
      <c r="G343" s="107" t="n"/>
      <c r="H343" s="107" t="n"/>
      <c r="I343" s="81" t="n"/>
      <c r="J343" s="108">
        <f>IF($B343="","",IF($E343="Ngày thường",N($G343),0))</f>
        <v/>
      </c>
      <c r="K343" s="108">
        <f>IF($B343="","",IF($E343="Nghỉ tuần",N($G343),0))</f>
        <v/>
      </c>
      <c r="L343" s="108">
        <f>IF($B343="","",IF($E343="Lễ",N($G343),0))</f>
        <v/>
      </c>
      <c r="M343" s="108">
        <f>IF($B343="","",IF($E343="Ngày thường",N($H343),0))</f>
        <v/>
      </c>
      <c r="N343" s="108">
        <f>IF($B343="","",IF($E343="Nghỉ tuần",N($H343),0))</f>
        <v/>
      </c>
      <c r="O343" s="108">
        <f>IF($B343="","",IF($E343="Lễ",N($H343),0))</f>
        <v/>
      </c>
    </row>
    <row r="344" ht="15" customHeight="1" s="63">
      <c r="A344" s="85">
        <f>IF($B344="","",ROW()-5)</f>
        <v/>
      </c>
      <c r="B344" s="97" t="n"/>
      <c r="C344" s="96">
        <f>IF($B344="","",IFERROR(INDEX(DM_NHAN_SU!$C$6:$C$155,MATCH($B344,DM_NHAN_SU!$B$6:$B$155,0)),"SAI MÃ NV"))</f>
        <v/>
      </c>
      <c r="D344" s="86" t="n"/>
      <c r="E344" s="103">
        <f>IF(OR($B344="",$D344=""),"",IF(COUNTIF(THAM_SO_CC!$F$10:$F$40,$D344)&gt;0,"Lễ",IF(IF(THAM_SO_CC!$B$12="T7+CN",WEEKDAY($D344,2)&gt;=6,WEEKDAY($D344,2)=7),"Nghỉ tuần","Ngày thường")))</f>
        <v/>
      </c>
      <c r="F344" s="107" t="n"/>
      <c r="G344" s="107" t="n"/>
      <c r="H344" s="107" t="n"/>
      <c r="I344" s="81" t="n"/>
      <c r="J344" s="108">
        <f>IF($B344="","",IF($E344="Ngày thường",N($G344),0))</f>
        <v/>
      </c>
      <c r="K344" s="108">
        <f>IF($B344="","",IF($E344="Nghỉ tuần",N($G344),0))</f>
        <v/>
      </c>
      <c r="L344" s="108">
        <f>IF($B344="","",IF($E344="Lễ",N($G344),0))</f>
        <v/>
      </c>
      <c r="M344" s="108">
        <f>IF($B344="","",IF($E344="Ngày thường",N($H344),0))</f>
        <v/>
      </c>
      <c r="N344" s="108">
        <f>IF($B344="","",IF($E344="Nghỉ tuần",N($H344),0))</f>
        <v/>
      </c>
      <c r="O344" s="108">
        <f>IF($B344="","",IF($E344="Lễ",N($H344),0))</f>
        <v/>
      </c>
    </row>
    <row r="345" ht="15" customHeight="1" s="63">
      <c r="A345" s="85">
        <f>IF($B345="","",ROW()-5)</f>
        <v/>
      </c>
      <c r="B345" s="97" t="n"/>
      <c r="C345" s="96">
        <f>IF($B345="","",IFERROR(INDEX(DM_NHAN_SU!$C$6:$C$155,MATCH($B345,DM_NHAN_SU!$B$6:$B$155,0)),"SAI MÃ NV"))</f>
        <v/>
      </c>
      <c r="D345" s="86" t="n"/>
      <c r="E345" s="103">
        <f>IF(OR($B345="",$D345=""),"",IF(COUNTIF(THAM_SO_CC!$F$10:$F$40,$D345)&gt;0,"Lễ",IF(IF(THAM_SO_CC!$B$12="T7+CN",WEEKDAY($D345,2)&gt;=6,WEEKDAY($D345,2)=7),"Nghỉ tuần","Ngày thường")))</f>
        <v/>
      </c>
      <c r="F345" s="107" t="n"/>
      <c r="G345" s="107" t="n"/>
      <c r="H345" s="107" t="n"/>
      <c r="I345" s="81" t="n"/>
      <c r="J345" s="108">
        <f>IF($B345="","",IF($E345="Ngày thường",N($G345),0))</f>
        <v/>
      </c>
      <c r="K345" s="108">
        <f>IF($B345="","",IF($E345="Nghỉ tuần",N($G345),0))</f>
        <v/>
      </c>
      <c r="L345" s="108">
        <f>IF($B345="","",IF($E345="Lễ",N($G345),0))</f>
        <v/>
      </c>
      <c r="M345" s="108">
        <f>IF($B345="","",IF($E345="Ngày thường",N($H345),0))</f>
        <v/>
      </c>
      <c r="N345" s="108">
        <f>IF($B345="","",IF($E345="Nghỉ tuần",N($H345),0))</f>
        <v/>
      </c>
      <c r="O345" s="108">
        <f>IF($B345="","",IF($E345="Lễ",N($H345),0))</f>
        <v/>
      </c>
    </row>
    <row r="346" ht="15" customHeight="1" s="63">
      <c r="A346" s="85">
        <f>IF($B346="","",ROW()-5)</f>
        <v/>
      </c>
      <c r="B346" s="97" t="n"/>
      <c r="C346" s="96">
        <f>IF($B346="","",IFERROR(INDEX(DM_NHAN_SU!$C$6:$C$155,MATCH($B346,DM_NHAN_SU!$B$6:$B$155,0)),"SAI MÃ NV"))</f>
        <v/>
      </c>
      <c r="D346" s="86" t="n"/>
      <c r="E346" s="103">
        <f>IF(OR($B346="",$D346=""),"",IF(COUNTIF(THAM_SO_CC!$F$10:$F$40,$D346)&gt;0,"Lễ",IF(IF(THAM_SO_CC!$B$12="T7+CN",WEEKDAY($D346,2)&gt;=6,WEEKDAY($D346,2)=7),"Nghỉ tuần","Ngày thường")))</f>
        <v/>
      </c>
      <c r="F346" s="107" t="n"/>
      <c r="G346" s="107" t="n"/>
      <c r="H346" s="107" t="n"/>
      <c r="I346" s="81" t="n"/>
      <c r="J346" s="108">
        <f>IF($B346="","",IF($E346="Ngày thường",N($G346),0))</f>
        <v/>
      </c>
      <c r="K346" s="108">
        <f>IF($B346="","",IF($E346="Nghỉ tuần",N($G346),0))</f>
        <v/>
      </c>
      <c r="L346" s="108">
        <f>IF($B346="","",IF($E346="Lễ",N($G346),0))</f>
        <v/>
      </c>
      <c r="M346" s="108">
        <f>IF($B346="","",IF($E346="Ngày thường",N($H346),0))</f>
        <v/>
      </c>
      <c r="N346" s="108">
        <f>IF($B346="","",IF($E346="Nghỉ tuần",N($H346),0))</f>
        <v/>
      </c>
      <c r="O346" s="108">
        <f>IF($B346="","",IF($E346="Lễ",N($H346),0))</f>
        <v/>
      </c>
    </row>
    <row r="347" ht="15" customHeight="1" s="63">
      <c r="A347" s="85">
        <f>IF($B347="","",ROW()-5)</f>
        <v/>
      </c>
      <c r="B347" s="97" t="n"/>
      <c r="C347" s="96">
        <f>IF($B347="","",IFERROR(INDEX(DM_NHAN_SU!$C$6:$C$155,MATCH($B347,DM_NHAN_SU!$B$6:$B$155,0)),"SAI MÃ NV"))</f>
        <v/>
      </c>
      <c r="D347" s="86" t="n"/>
      <c r="E347" s="103">
        <f>IF(OR($B347="",$D347=""),"",IF(COUNTIF(THAM_SO_CC!$F$10:$F$40,$D347)&gt;0,"Lễ",IF(IF(THAM_SO_CC!$B$12="T7+CN",WEEKDAY($D347,2)&gt;=6,WEEKDAY($D347,2)=7),"Nghỉ tuần","Ngày thường")))</f>
        <v/>
      </c>
      <c r="F347" s="107" t="n"/>
      <c r="G347" s="107" t="n"/>
      <c r="H347" s="107" t="n"/>
      <c r="I347" s="81" t="n"/>
      <c r="J347" s="108">
        <f>IF($B347="","",IF($E347="Ngày thường",N($G347),0))</f>
        <v/>
      </c>
      <c r="K347" s="108">
        <f>IF($B347="","",IF($E347="Nghỉ tuần",N($G347),0))</f>
        <v/>
      </c>
      <c r="L347" s="108">
        <f>IF($B347="","",IF($E347="Lễ",N($G347),0))</f>
        <v/>
      </c>
      <c r="M347" s="108">
        <f>IF($B347="","",IF($E347="Ngày thường",N($H347),0))</f>
        <v/>
      </c>
      <c r="N347" s="108">
        <f>IF($B347="","",IF($E347="Nghỉ tuần",N($H347),0))</f>
        <v/>
      </c>
      <c r="O347" s="108">
        <f>IF($B347="","",IF($E347="Lễ",N($H347),0))</f>
        <v/>
      </c>
    </row>
    <row r="348" ht="15" customHeight="1" s="63">
      <c r="A348" s="85">
        <f>IF($B348="","",ROW()-5)</f>
        <v/>
      </c>
      <c r="B348" s="97" t="n"/>
      <c r="C348" s="96">
        <f>IF($B348="","",IFERROR(INDEX(DM_NHAN_SU!$C$6:$C$155,MATCH($B348,DM_NHAN_SU!$B$6:$B$155,0)),"SAI MÃ NV"))</f>
        <v/>
      </c>
      <c r="D348" s="86" t="n"/>
      <c r="E348" s="103">
        <f>IF(OR($B348="",$D348=""),"",IF(COUNTIF(THAM_SO_CC!$F$10:$F$40,$D348)&gt;0,"Lễ",IF(IF(THAM_SO_CC!$B$12="T7+CN",WEEKDAY($D348,2)&gt;=6,WEEKDAY($D348,2)=7),"Nghỉ tuần","Ngày thường")))</f>
        <v/>
      </c>
      <c r="F348" s="107" t="n"/>
      <c r="G348" s="107" t="n"/>
      <c r="H348" s="107" t="n"/>
      <c r="I348" s="81" t="n"/>
      <c r="J348" s="108">
        <f>IF($B348="","",IF($E348="Ngày thường",N($G348),0))</f>
        <v/>
      </c>
      <c r="K348" s="108">
        <f>IF($B348="","",IF($E348="Nghỉ tuần",N($G348),0))</f>
        <v/>
      </c>
      <c r="L348" s="108">
        <f>IF($B348="","",IF($E348="Lễ",N($G348),0))</f>
        <v/>
      </c>
      <c r="M348" s="108">
        <f>IF($B348="","",IF($E348="Ngày thường",N($H348),0))</f>
        <v/>
      </c>
      <c r="N348" s="108">
        <f>IF($B348="","",IF($E348="Nghỉ tuần",N($H348),0))</f>
        <v/>
      </c>
      <c r="O348" s="108">
        <f>IF($B348="","",IF($E348="Lễ",N($H348),0))</f>
        <v/>
      </c>
    </row>
    <row r="349" ht="15" customHeight="1" s="63">
      <c r="A349" s="85">
        <f>IF($B349="","",ROW()-5)</f>
        <v/>
      </c>
      <c r="B349" s="97" t="n"/>
      <c r="C349" s="96">
        <f>IF($B349="","",IFERROR(INDEX(DM_NHAN_SU!$C$6:$C$155,MATCH($B349,DM_NHAN_SU!$B$6:$B$155,0)),"SAI MÃ NV"))</f>
        <v/>
      </c>
      <c r="D349" s="86" t="n"/>
      <c r="E349" s="103">
        <f>IF(OR($B349="",$D349=""),"",IF(COUNTIF(THAM_SO_CC!$F$10:$F$40,$D349)&gt;0,"Lễ",IF(IF(THAM_SO_CC!$B$12="T7+CN",WEEKDAY($D349,2)&gt;=6,WEEKDAY($D349,2)=7),"Nghỉ tuần","Ngày thường")))</f>
        <v/>
      </c>
      <c r="F349" s="107" t="n"/>
      <c r="G349" s="107" t="n"/>
      <c r="H349" s="107" t="n"/>
      <c r="I349" s="81" t="n"/>
      <c r="J349" s="108">
        <f>IF($B349="","",IF($E349="Ngày thường",N($G349),0))</f>
        <v/>
      </c>
      <c r="K349" s="108">
        <f>IF($B349="","",IF($E349="Nghỉ tuần",N($G349),0))</f>
        <v/>
      </c>
      <c r="L349" s="108">
        <f>IF($B349="","",IF($E349="Lễ",N($G349),0))</f>
        <v/>
      </c>
      <c r="M349" s="108">
        <f>IF($B349="","",IF($E349="Ngày thường",N($H349),0))</f>
        <v/>
      </c>
      <c r="N349" s="108">
        <f>IF($B349="","",IF($E349="Nghỉ tuần",N($H349),0))</f>
        <v/>
      </c>
      <c r="O349" s="108">
        <f>IF($B349="","",IF($E349="Lễ",N($H349),0))</f>
        <v/>
      </c>
    </row>
    <row r="350" ht="15" customHeight="1" s="63">
      <c r="A350" s="85">
        <f>IF($B350="","",ROW()-5)</f>
        <v/>
      </c>
      <c r="B350" s="97" t="n"/>
      <c r="C350" s="96">
        <f>IF($B350="","",IFERROR(INDEX(DM_NHAN_SU!$C$6:$C$155,MATCH($B350,DM_NHAN_SU!$B$6:$B$155,0)),"SAI MÃ NV"))</f>
        <v/>
      </c>
      <c r="D350" s="86" t="n"/>
      <c r="E350" s="103">
        <f>IF(OR($B350="",$D350=""),"",IF(COUNTIF(THAM_SO_CC!$F$10:$F$40,$D350)&gt;0,"Lễ",IF(IF(THAM_SO_CC!$B$12="T7+CN",WEEKDAY($D350,2)&gt;=6,WEEKDAY($D350,2)=7),"Nghỉ tuần","Ngày thường")))</f>
        <v/>
      </c>
      <c r="F350" s="107" t="n"/>
      <c r="G350" s="107" t="n"/>
      <c r="H350" s="107" t="n"/>
      <c r="I350" s="81" t="n"/>
      <c r="J350" s="108">
        <f>IF($B350="","",IF($E350="Ngày thường",N($G350),0))</f>
        <v/>
      </c>
      <c r="K350" s="108">
        <f>IF($B350="","",IF($E350="Nghỉ tuần",N($G350),0))</f>
        <v/>
      </c>
      <c r="L350" s="108">
        <f>IF($B350="","",IF($E350="Lễ",N($G350),0))</f>
        <v/>
      </c>
      <c r="M350" s="108">
        <f>IF($B350="","",IF($E350="Ngày thường",N($H350),0))</f>
        <v/>
      </c>
      <c r="N350" s="108">
        <f>IF($B350="","",IF($E350="Nghỉ tuần",N($H350),0))</f>
        <v/>
      </c>
      <c r="O350" s="108">
        <f>IF($B350="","",IF($E350="Lễ",N($H350),0))</f>
        <v/>
      </c>
    </row>
    <row r="351" ht="15" customHeight="1" s="63">
      <c r="A351" s="85">
        <f>IF($B351="","",ROW()-5)</f>
        <v/>
      </c>
      <c r="B351" s="97" t="n"/>
      <c r="C351" s="96">
        <f>IF($B351="","",IFERROR(INDEX(DM_NHAN_SU!$C$6:$C$155,MATCH($B351,DM_NHAN_SU!$B$6:$B$155,0)),"SAI MÃ NV"))</f>
        <v/>
      </c>
      <c r="D351" s="86" t="n"/>
      <c r="E351" s="103">
        <f>IF(OR($B351="",$D351=""),"",IF(COUNTIF(THAM_SO_CC!$F$10:$F$40,$D351)&gt;0,"Lễ",IF(IF(THAM_SO_CC!$B$12="T7+CN",WEEKDAY($D351,2)&gt;=6,WEEKDAY($D351,2)=7),"Nghỉ tuần","Ngày thường")))</f>
        <v/>
      </c>
      <c r="F351" s="107" t="n"/>
      <c r="G351" s="107" t="n"/>
      <c r="H351" s="107" t="n"/>
      <c r="I351" s="81" t="n"/>
      <c r="J351" s="108">
        <f>IF($B351="","",IF($E351="Ngày thường",N($G351),0))</f>
        <v/>
      </c>
      <c r="K351" s="108">
        <f>IF($B351="","",IF($E351="Nghỉ tuần",N($G351),0))</f>
        <v/>
      </c>
      <c r="L351" s="108">
        <f>IF($B351="","",IF($E351="Lễ",N($G351),0))</f>
        <v/>
      </c>
      <c r="M351" s="108">
        <f>IF($B351="","",IF($E351="Ngày thường",N($H351),0))</f>
        <v/>
      </c>
      <c r="N351" s="108">
        <f>IF($B351="","",IF($E351="Nghỉ tuần",N($H351),0))</f>
        <v/>
      </c>
      <c r="O351" s="108">
        <f>IF($B351="","",IF($E351="Lễ",N($H351),0))</f>
        <v/>
      </c>
    </row>
    <row r="352" ht="15" customHeight="1" s="63">
      <c r="A352" s="85">
        <f>IF($B352="","",ROW()-5)</f>
        <v/>
      </c>
      <c r="B352" s="97" t="n"/>
      <c r="C352" s="96">
        <f>IF($B352="","",IFERROR(INDEX(DM_NHAN_SU!$C$6:$C$155,MATCH($B352,DM_NHAN_SU!$B$6:$B$155,0)),"SAI MÃ NV"))</f>
        <v/>
      </c>
      <c r="D352" s="86" t="n"/>
      <c r="E352" s="103">
        <f>IF(OR($B352="",$D352=""),"",IF(COUNTIF(THAM_SO_CC!$F$10:$F$40,$D352)&gt;0,"Lễ",IF(IF(THAM_SO_CC!$B$12="T7+CN",WEEKDAY($D352,2)&gt;=6,WEEKDAY($D352,2)=7),"Nghỉ tuần","Ngày thường")))</f>
        <v/>
      </c>
      <c r="F352" s="107" t="n"/>
      <c r="G352" s="107" t="n"/>
      <c r="H352" s="107" t="n"/>
      <c r="I352" s="81" t="n"/>
      <c r="J352" s="108">
        <f>IF($B352="","",IF($E352="Ngày thường",N($G352),0))</f>
        <v/>
      </c>
      <c r="K352" s="108">
        <f>IF($B352="","",IF($E352="Nghỉ tuần",N($G352),0))</f>
        <v/>
      </c>
      <c r="L352" s="108">
        <f>IF($B352="","",IF($E352="Lễ",N($G352),0))</f>
        <v/>
      </c>
      <c r="M352" s="108">
        <f>IF($B352="","",IF($E352="Ngày thường",N($H352),0))</f>
        <v/>
      </c>
      <c r="N352" s="108">
        <f>IF($B352="","",IF($E352="Nghỉ tuần",N($H352),0))</f>
        <v/>
      </c>
      <c r="O352" s="108">
        <f>IF($B352="","",IF($E352="Lễ",N($H352),0))</f>
        <v/>
      </c>
    </row>
    <row r="353" ht="15" customHeight="1" s="63">
      <c r="A353" s="85">
        <f>IF($B353="","",ROW()-5)</f>
        <v/>
      </c>
      <c r="B353" s="97" t="n"/>
      <c r="C353" s="96">
        <f>IF($B353="","",IFERROR(INDEX(DM_NHAN_SU!$C$6:$C$155,MATCH($B353,DM_NHAN_SU!$B$6:$B$155,0)),"SAI MÃ NV"))</f>
        <v/>
      </c>
      <c r="D353" s="86" t="n"/>
      <c r="E353" s="103">
        <f>IF(OR($B353="",$D353=""),"",IF(COUNTIF(THAM_SO_CC!$F$10:$F$40,$D353)&gt;0,"Lễ",IF(IF(THAM_SO_CC!$B$12="T7+CN",WEEKDAY($D353,2)&gt;=6,WEEKDAY($D353,2)=7),"Nghỉ tuần","Ngày thường")))</f>
        <v/>
      </c>
      <c r="F353" s="107" t="n"/>
      <c r="G353" s="107" t="n"/>
      <c r="H353" s="107" t="n"/>
      <c r="I353" s="81" t="n"/>
      <c r="J353" s="108">
        <f>IF($B353="","",IF($E353="Ngày thường",N($G353),0))</f>
        <v/>
      </c>
      <c r="K353" s="108">
        <f>IF($B353="","",IF($E353="Nghỉ tuần",N($G353),0))</f>
        <v/>
      </c>
      <c r="L353" s="108">
        <f>IF($B353="","",IF($E353="Lễ",N($G353),0))</f>
        <v/>
      </c>
      <c r="M353" s="108">
        <f>IF($B353="","",IF($E353="Ngày thường",N($H353),0))</f>
        <v/>
      </c>
      <c r="N353" s="108">
        <f>IF($B353="","",IF($E353="Nghỉ tuần",N($H353),0))</f>
        <v/>
      </c>
      <c r="O353" s="108">
        <f>IF($B353="","",IF($E353="Lễ",N($H353),0))</f>
        <v/>
      </c>
    </row>
    <row r="354" ht="15" customHeight="1" s="63">
      <c r="A354" s="85">
        <f>IF($B354="","",ROW()-5)</f>
        <v/>
      </c>
      <c r="B354" s="97" t="n"/>
      <c r="C354" s="96">
        <f>IF($B354="","",IFERROR(INDEX(DM_NHAN_SU!$C$6:$C$155,MATCH($B354,DM_NHAN_SU!$B$6:$B$155,0)),"SAI MÃ NV"))</f>
        <v/>
      </c>
      <c r="D354" s="86" t="n"/>
      <c r="E354" s="103">
        <f>IF(OR($B354="",$D354=""),"",IF(COUNTIF(THAM_SO_CC!$F$10:$F$40,$D354)&gt;0,"Lễ",IF(IF(THAM_SO_CC!$B$12="T7+CN",WEEKDAY($D354,2)&gt;=6,WEEKDAY($D354,2)=7),"Nghỉ tuần","Ngày thường")))</f>
        <v/>
      </c>
      <c r="F354" s="107" t="n"/>
      <c r="G354" s="107" t="n"/>
      <c r="H354" s="107" t="n"/>
      <c r="I354" s="81" t="n"/>
      <c r="J354" s="108">
        <f>IF($B354="","",IF($E354="Ngày thường",N($G354),0))</f>
        <v/>
      </c>
      <c r="K354" s="108">
        <f>IF($B354="","",IF($E354="Nghỉ tuần",N($G354),0))</f>
        <v/>
      </c>
      <c r="L354" s="108">
        <f>IF($B354="","",IF($E354="Lễ",N($G354),0))</f>
        <v/>
      </c>
      <c r="M354" s="108">
        <f>IF($B354="","",IF($E354="Ngày thường",N($H354),0))</f>
        <v/>
      </c>
      <c r="N354" s="108">
        <f>IF($B354="","",IF($E354="Nghỉ tuần",N($H354),0))</f>
        <v/>
      </c>
      <c r="O354" s="108">
        <f>IF($B354="","",IF($E354="Lễ",N($H354),0))</f>
        <v/>
      </c>
    </row>
    <row r="355" ht="15" customHeight="1" s="63">
      <c r="A355" s="85">
        <f>IF($B355="","",ROW()-5)</f>
        <v/>
      </c>
      <c r="B355" s="97" t="n"/>
      <c r="C355" s="96">
        <f>IF($B355="","",IFERROR(INDEX(DM_NHAN_SU!$C$6:$C$155,MATCH($B355,DM_NHAN_SU!$B$6:$B$155,0)),"SAI MÃ NV"))</f>
        <v/>
      </c>
      <c r="D355" s="86" t="n"/>
      <c r="E355" s="103">
        <f>IF(OR($B355="",$D355=""),"",IF(COUNTIF(THAM_SO_CC!$F$10:$F$40,$D355)&gt;0,"Lễ",IF(IF(THAM_SO_CC!$B$12="T7+CN",WEEKDAY($D355,2)&gt;=6,WEEKDAY($D355,2)=7),"Nghỉ tuần","Ngày thường")))</f>
        <v/>
      </c>
      <c r="F355" s="107" t="n"/>
      <c r="G355" s="107" t="n"/>
      <c r="H355" s="107" t="n"/>
      <c r="I355" s="81" t="n"/>
      <c r="J355" s="108">
        <f>IF($B355="","",IF($E355="Ngày thường",N($G355),0))</f>
        <v/>
      </c>
      <c r="K355" s="108">
        <f>IF($B355="","",IF($E355="Nghỉ tuần",N($G355),0))</f>
        <v/>
      </c>
      <c r="L355" s="108">
        <f>IF($B355="","",IF($E355="Lễ",N($G355),0))</f>
        <v/>
      </c>
      <c r="M355" s="108">
        <f>IF($B355="","",IF($E355="Ngày thường",N($H355),0))</f>
        <v/>
      </c>
      <c r="N355" s="108">
        <f>IF($B355="","",IF($E355="Nghỉ tuần",N($H355),0))</f>
        <v/>
      </c>
      <c r="O355" s="108">
        <f>IF($B355="","",IF($E355="Lễ",N($H355),0))</f>
        <v/>
      </c>
    </row>
    <row r="356" ht="15" customHeight="1" s="63">
      <c r="A356" s="85">
        <f>IF($B356="","",ROW()-5)</f>
        <v/>
      </c>
      <c r="B356" s="97" t="n"/>
      <c r="C356" s="96">
        <f>IF($B356="","",IFERROR(INDEX(DM_NHAN_SU!$C$6:$C$155,MATCH($B356,DM_NHAN_SU!$B$6:$B$155,0)),"SAI MÃ NV"))</f>
        <v/>
      </c>
      <c r="D356" s="86" t="n"/>
      <c r="E356" s="103">
        <f>IF(OR($B356="",$D356=""),"",IF(COUNTIF(THAM_SO_CC!$F$10:$F$40,$D356)&gt;0,"Lễ",IF(IF(THAM_SO_CC!$B$12="T7+CN",WEEKDAY($D356,2)&gt;=6,WEEKDAY($D356,2)=7),"Nghỉ tuần","Ngày thường")))</f>
        <v/>
      </c>
      <c r="F356" s="107" t="n"/>
      <c r="G356" s="107" t="n"/>
      <c r="H356" s="107" t="n"/>
      <c r="I356" s="81" t="n"/>
      <c r="J356" s="108">
        <f>IF($B356="","",IF($E356="Ngày thường",N($G356),0))</f>
        <v/>
      </c>
      <c r="K356" s="108">
        <f>IF($B356="","",IF($E356="Nghỉ tuần",N($G356),0))</f>
        <v/>
      </c>
      <c r="L356" s="108">
        <f>IF($B356="","",IF($E356="Lễ",N($G356),0))</f>
        <v/>
      </c>
      <c r="M356" s="108">
        <f>IF($B356="","",IF($E356="Ngày thường",N($H356),0))</f>
        <v/>
      </c>
      <c r="N356" s="108">
        <f>IF($B356="","",IF($E356="Nghỉ tuần",N($H356),0))</f>
        <v/>
      </c>
      <c r="O356" s="108">
        <f>IF($B356="","",IF($E356="Lễ",N($H356),0))</f>
        <v/>
      </c>
    </row>
    <row r="357" ht="15" customHeight="1" s="63">
      <c r="A357" s="85">
        <f>IF($B357="","",ROW()-5)</f>
        <v/>
      </c>
      <c r="B357" s="97" t="n"/>
      <c r="C357" s="96">
        <f>IF($B357="","",IFERROR(INDEX(DM_NHAN_SU!$C$6:$C$155,MATCH($B357,DM_NHAN_SU!$B$6:$B$155,0)),"SAI MÃ NV"))</f>
        <v/>
      </c>
      <c r="D357" s="86" t="n"/>
      <c r="E357" s="103">
        <f>IF(OR($B357="",$D357=""),"",IF(COUNTIF(THAM_SO_CC!$F$10:$F$40,$D357)&gt;0,"Lễ",IF(IF(THAM_SO_CC!$B$12="T7+CN",WEEKDAY($D357,2)&gt;=6,WEEKDAY($D357,2)=7),"Nghỉ tuần","Ngày thường")))</f>
        <v/>
      </c>
      <c r="F357" s="107" t="n"/>
      <c r="G357" s="107" t="n"/>
      <c r="H357" s="107" t="n"/>
      <c r="I357" s="81" t="n"/>
      <c r="J357" s="108">
        <f>IF($B357="","",IF($E357="Ngày thường",N($G357),0))</f>
        <v/>
      </c>
      <c r="K357" s="108">
        <f>IF($B357="","",IF($E357="Nghỉ tuần",N($G357),0))</f>
        <v/>
      </c>
      <c r="L357" s="108">
        <f>IF($B357="","",IF($E357="Lễ",N($G357),0))</f>
        <v/>
      </c>
      <c r="M357" s="108">
        <f>IF($B357="","",IF($E357="Ngày thường",N($H357),0))</f>
        <v/>
      </c>
      <c r="N357" s="108">
        <f>IF($B357="","",IF($E357="Nghỉ tuần",N($H357),0))</f>
        <v/>
      </c>
      <c r="O357" s="108">
        <f>IF($B357="","",IF($E357="Lễ",N($H357),0))</f>
        <v/>
      </c>
    </row>
    <row r="358" ht="15" customHeight="1" s="63">
      <c r="A358" s="85">
        <f>IF($B358="","",ROW()-5)</f>
        <v/>
      </c>
      <c r="B358" s="97" t="n"/>
      <c r="C358" s="96">
        <f>IF($B358="","",IFERROR(INDEX(DM_NHAN_SU!$C$6:$C$155,MATCH($B358,DM_NHAN_SU!$B$6:$B$155,0)),"SAI MÃ NV"))</f>
        <v/>
      </c>
      <c r="D358" s="86" t="n"/>
      <c r="E358" s="103">
        <f>IF(OR($B358="",$D358=""),"",IF(COUNTIF(THAM_SO_CC!$F$10:$F$40,$D358)&gt;0,"Lễ",IF(IF(THAM_SO_CC!$B$12="T7+CN",WEEKDAY($D358,2)&gt;=6,WEEKDAY($D358,2)=7),"Nghỉ tuần","Ngày thường")))</f>
        <v/>
      </c>
      <c r="F358" s="107" t="n"/>
      <c r="G358" s="107" t="n"/>
      <c r="H358" s="107" t="n"/>
      <c r="I358" s="81" t="n"/>
      <c r="J358" s="108">
        <f>IF($B358="","",IF($E358="Ngày thường",N($G358),0))</f>
        <v/>
      </c>
      <c r="K358" s="108">
        <f>IF($B358="","",IF($E358="Nghỉ tuần",N($G358),0))</f>
        <v/>
      </c>
      <c r="L358" s="108">
        <f>IF($B358="","",IF($E358="Lễ",N($G358),0))</f>
        <v/>
      </c>
      <c r="M358" s="108">
        <f>IF($B358="","",IF($E358="Ngày thường",N($H358),0))</f>
        <v/>
      </c>
      <c r="N358" s="108">
        <f>IF($B358="","",IF($E358="Nghỉ tuần",N($H358),0))</f>
        <v/>
      </c>
      <c r="O358" s="108">
        <f>IF($B358="","",IF($E358="Lễ",N($H358),0))</f>
        <v/>
      </c>
    </row>
    <row r="359" ht="15" customHeight="1" s="63">
      <c r="A359" s="85">
        <f>IF($B359="","",ROW()-5)</f>
        <v/>
      </c>
      <c r="B359" s="97" t="n"/>
      <c r="C359" s="96">
        <f>IF($B359="","",IFERROR(INDEX(DM_NHAN_SU!$C$6:$C$155,MATCH($B359,DM_NHAN_SU!$B$6:$B$155,0)),"SAI MÃ NV"))</f>
        <v/>
      </c>
      <c r="D359" s="86" t="n"/>
      <c r="E359" s="103">
        <f>IF(OR($B359="",$D359=""),"",IF(COUNTIF(THAM_SO_CC!$F$10:$F$40,$D359)&gt;0,"Lễ",IF(IF(THAM_SO_CC!$B$12="T7+CN",WEEKDAY($D359,2)&gt;=6,WEEKDAY($D359,2)=7),"Nghỉ tuần","Ngày thường")))</f>
        <v/>
      </c>
      <c r="F359" s="107" t="n"/>
      <c r="G359" s="107" t="n"/>
      <c r="H359" s="107" t="n"/>
      <c r="I359" s="81" t="n"/>
      <c r="J359" s="108">
        <f>IF($B359="","",IF($E359="Ngày thường",N($G359),0))</f>
        <v/>
      </c>
      <c r="K359" s="108">
        <f>IF($B359="","",IF($E359="Nghỉ tuần",N($G359),0))</f>
        <v/>
      </c>
      <c r="L359" s="108">
        <f>IF($B359="","",IF($E359="Lễ",N($G359),0))</f>
        <v/>
      </c>
      <c r="M359" s="108">
        <f>IF($B359="","",IF($E359="Ngày thường",N($H359),0))</f>
        <v/>
      </c>
      <c r="N359" s="108">
        <f>IF($B359="","",IF($E359="Nghỉ tuần",N($H359),0))</f>
        <v/>
      </c>
      <c r="O359" s="108">
        <f>IF($B359="","",IF($E359="Lễ",N($H359),0))</f>
        <v/>
      </c>
    </row>
    <row r="360" ht="15" customHeight="1" s="63">
      <c r="A360" s="85">
        <f>IF($B360="","",ROW()-5)</f>
        <v/>
      </c>
      <c r="B360" s="97" t="n"/>
      <c r="C360" s="96">
        <f>IF($B360="","",IFERROR(INDEX(DM_NHAN_SU!$C$6:$C$155,MATCH($B360,DM_NHAN_SU!$B$6:$B$155,0)),"SAI MÃ NV"))</f>
        <v/>
      </c>
      <c r="D360" s="86" t="n"/>
      <c r="E360" s="103">
        <f>IF(OR($B360="",$D360=""),"",IF(COUNTIF(THAM_SO_CC!$F$10:$F$40,$D360)&gt;0,"Lễ",IF(IF(THAM_SO_CC!$B$12="T7+CN",WEEKDAY($D360,2)&gt;=6,WEEKDAY($D360,2)=7),"Nghỉ tuần","Ngày thường")))</f>
        <v/>
      </c>
      <c r="F360" s="107" t="n"/>
      <c r="G360" s="107" t="n"/>
      <c r="H360" s="107" t="n"/>
      <c r="I360" s="81" t="n"/>
      <c r="J360" s="108">
        <f>IF($B360="","",IF($E360="Ngày thường",N($G360),0))</f>
        <v/>
      </c>
      <c r="K360" s="108">
        <f>IF($B360="","",IF($E360="Nghỉ tuần",N($G360),0))</f>
        <v/>
      </c>
      <c r="L360" s="108">
        <f>IF($B360="","",IF($E360="Lễ",N($G360),0))</f>
        <v/>
      </c>
      <c r="M360" s="108">
        <f>IF($B360="","",IF($E360="Ngày thường",N($H360),0))</f>
        <v/>
      </c>
      <c r="N360" s="108">
        <f>IF($B360="","",IF($E360="Nghỉ tuần",N($H360),0))</f>
        <v/>
      </c>
      <c r="O360" s="108">
        <f>IF($B360="","",IF($E360="Lễ",N($H360),0))</f>
        <v/>
      </c>
    </row>
    <row r="361" ht="15" customHeight="1" s="63">
      <c r="A361" s="85">
        <f>IF($B361="","",ROW()-5)</f>
        <v/>
      </c>
      <c r="B361" s="97" t="n"/>
      <c r="C361" s="96">
        <f>IF($B361="","",IFERROR(INDEX(DM_NHAN_SU!$C$6:$C$155,MATCH($B361,DM_NHAN_SU!$B$6:$B$155,0)),"SAI MÃ NV"))</f>
        <v/>
      </c>
      <c r="D361" s="86" t="n"/>
      <c r="E361" s="103">
        <f>IF(OR($B361="",$D361=""),"",IF(COUNTIF(THAM_SO_CC!$F$10:$F$40,$D361)&gt;0,"Lễ",IF(IF(THAM_SO_CC!$B$12="T7+CN",WEEKDAY($D361,2)&gt;=6,WEEKDAY($D361,2)=7),"Nghỉ tuần","Ngày thường")))</f>
        <v/>
      </c>
      <c r="F361" s="107" t="n"/>
      <c r="G361" s="107" t="n"/>
      <c r="H361" s="107" t="n"/>
      <c r="I361" s="81" t="n"/>
      <c r="J361" s="108">
        <f>IF($B361="","",IF($E361="Ngày thường",N($G361),0))</f>
        <v/>
      </c>
      <c r="K361" s="108">
        <f>IF($B361="","",IF($E361="Nghỉ tuần",N($G361),0))</f>
        <v/>
      </c>
      <c r="L361" s="108">
        <f>IF($B361="","",IF($E361="Lễ",N($G361),0))</f>
        <v/>
      </c>
      <c r="M361" s="108">
        <f>IF($B361="","",IF($E361="Ngày thường",N($H361),0))</f>
        <v/>
      </c>
      <c r="N361" s="108">
        <f>IF($B361="","",IF($E361="Nghỉ tuần",N($H361),0))</f>
        <v/>
      </c>
      <c r="O361" s="108">
        <f>IF($B361="","",IF($E361="Lễ",N($H361),0))</f>
        <v/>
      </c>
    </row>
    <row r="362" ht="15" customHeight="1" s="63">
      <c r="A362" s="85">
        <f>IF($B362="","",ROW()-5)</f>
        <v/>
      </c>
      <c r="B362" s="97" t="n"/>
      <c r="C362" s="96">
        <f>IF($B362="","",IFERROR(INDEX(DM_NHAN_SU!$C$6:$C$155,MATCH($B362,DM_NHAN_SU!$B$6:$B$155,0)),"SAI MÃ NV"))</f>
        <v/>
      </c>
      <c r="D362" s="86" t="n"/>
      <c r="E362" s="103">
        <f>IF(OR($B362="",$D362=""),"",IF(COUNTIF(THAM_SO_CC!$F$10:$F$40,$D362)&gt;0,"Lễ",IF(IF(THAM_SO_CC!$B$12="T7+CN",WEEKDAY($D362,2)&gt;=6,WEEKDAY($D362,2)=7),"Nghỉ tuần","Ngày thường")))</f>
        <v/>
      </c>
      <c r="F362" s="107" t="n"/>
      <c r="G362" s="107" t="n"/>
      <c r="H362" s="107" t="n"/>
      <c r="I362" s="81" t="n"/>
      <c r="J362" s="108">
        <f>IF($B362="","",IF($E362="Ngày thường",N($G362),0))</f>
        <v/>
      </c>
      <c r="K362" s="108">
        <f>IF($B362="","",IF($E362="Nghỉ tuần",N($G362),0))</f>
        <v/>
      </c>
      <c r="L362" s="108">
        <f>IF($B362="","",IF($E362="Lễ",N($G362),0))</f>
        <v/>
      </c>
      <c r="M362" s="108">
        <f>IF($B362="","",IF($E362="Ngày thường",N($H362),0))</f>
        <v/>
      </c>
      <c r="N362" s="108">
        <f>IF($B362="","",IF($E362="Nghỉ tuần",N($H362),0))</f>
        <v/>
      </c>
      <c r="O362" s="108">
        <f>IF($B362="","",IF($E362="Lễ",N($H362),0))</f>
        <v/>
      </c>
    </row>
    <row r="363" ht="15" customHeight="1" s="63">
      <c r="A363" s="85">
        <f>IF($B363="","",ROW()-5)</f>
        <v/>
      </c>
      <c r="B363" s="97" t="n"/>
      <c r="C363" s="96">
        <f>IF($B363="","",IFERROR(INDEX(DM_NHAN_SU!$C$6:$C$155,MATCH($B363,DM_NHAN_SU!$B$6:$B$155,0)),"SAI MÃ NV"))</f>
        <v/>
      </c>
      <c r="D363" s="86" t="n"/>
      <c r="E363" s="103">
        <f>IF(OR($B363="",$D363=""),"",IF(COUNTIF(THAM_SO_CC!$F$10:$F$40,$D363)&gt;0,"Lễ",IF(IF(THAM_SO_CC!$B$12="T7+CN",WEEKDAY($D363,2)&gt;=6,WEEKDAY($D363,2)=7),"Nghỉ tuần","Ngày thường")))</f>
        <v/>
      </c>
      <c r="F363" s="107" t="n"/>
      <c r="G363" s="107" t="n"/>
      <c r="H363" s="107" t="n"/>
      <c r="I363" s="81" t="n"/>
      <c r="J363" s="108">
        <f>IF($B363="","",IF($E363="Ngày thường",N($G363),0))</f>
        <v/>
      </c>
      <c r="K363" s="108">
        <f>IF($B363="","",IF($E363="Nghỉ tuần",N($G363),0))</f>
        <v/>
      </c>
      <c r="L363" s="108">
        <f>IF($B363="","",IF($E363="Lễ",N($G363),0))</f>
        <v/>
      </c>
      <c r="M363" s="108">
        <f>IF($B363="","",IF($E363="Ngày thường",N($H363),0))</f>
        <v/>
      </c>
      <c r="N363" s="108">
        <f>IF($B363="","",IF($E363="Nghỉ tuần",N($H363),0))</f>
        <v/>
      </c>
      <c r="O363" s="108">
        <f>IF($B363="","",IF($E363="Lễ",N($H363),0))</f>
        <v/>
      </c>
    </row>
    <row r="364" ht="15" customHeight="1" s="63">
      <c r="A364" s="85">
        <f>IF($B364="","",ROW()-5)</f>
        <v/>
      </c>
      <c r="B364" s="97" t="n"/>
      <c r="C364" s="96">
        <f>IF($B364="","",IFERROR(INDEX(DM_NHAN_SU!$C$6:$C$155,MATCH($B364,DM_NHAN_SU!$B$6:$B$155,0)),"SAI MÃ NV"))</f>
        <v/>
      </c>
      <c r="D364" s="86" t="n"/>
      <c r="E364" s="103">
        <f>IF(OR($B364="",$D364=""),"",IF(COUNTIF(THAM_SO_CC!$F$10:$F$40,$D364)&gt;0,"Lễ",IF(IF(THAM_SO_CC!$B$12="T7+CN",WEEKDAY($D364,2)&gt;=6,WEEKDAY($D364,2)=7),"Nghỉ tuần","Ngày thường")))</f>
        <v/>
      </c>
      <c r="F364" s="107" t="n"/>
      <c r="G364" s="107" t="n"/>
      <c r="H364" s="107" t="n"/>
      <c r="I364" s="81" t="n"/>
      <c r="J364" s="108">
        <f>IF($B364="","",IF($E364="Ngày thường",N($G364),0))</f>
        <v/>
      </c>
      <c r="K364" s="108">
        <f>IF($B364="","",IF($E364="Nghỉ tuần",N($G364),0))</f>
        <v/>
      </c>
      <c r="L364" s="108">
        <f>IF($B364="","",IF($E364="Lễ",N($G364),0))</f>
        <v/>
      </c>
      <c r="M364" s="108">
        <f>IF($B364="","",IF($E364="Ngày thường",N($H364),0))</f>
        <v/>
      </c>
      <c r="N364" s="108">
        <f>IF($B364="","",IF($E364="Nghỉ tuần",N($H364),0))</f>
        <v/>
      </c>
      <c r="O364" s="108">
        <f>IF($B364="","",IF($E364="Lễ",N($H364),0))</f>
        <v/>
      </c>
    </row>
    <row r="365" ht="15" customHeight="1" s="63">
      <c r="A365" s="85">
        <f>IF($B365="","",ROW()-5)</f>
        <v/>
      </c>
      <c r="B365" s="97" t="n"/>
      <c r="C365" s="96">
        <f>IF($B365="","",IFERROR(INDEX(DM_NHAN_SU!$C$6:$C$155,MATCH($B365,DM_NHAN_SU!$B$6:$B$155,0)),"SAI MÃ NV"))</f>
        <v/>
      </c>
      <c r="D365" s="86" t="n"/>
      <c r="E365" s="103">
        <f>IF(OR($B365="",$D365=""),"",IF(COUNTIF(THAM_SO_CC!$F$10:$F$40,$D365)&gt;0,"Lễ",IF(IF(THAM_SO_CC!$B$12="T7+CN",WEEKDAY($D365,2)&gt;=6,WEEKDAY($D365,2)=7),"Nghỉ tuần","Ngày thường")))</f>
        <v/>
      </c>
      <c r="F365" s="107" t="n"/>
      <c r="G365" s="107" t="n"/>
      <c r="H365" s="107" t="n"/>
      <c r="I365" s="81" t="n"/>
      <c r="J365" s="108">
        <f>IF($B365="","",IF($E365="Ngày thường",N($G365),0))</f>
        <v/>
      </c>
      <c r="K365" s="108">
        <f>IF($B365="","",IF($E365="Nghỉ tuần",N($G365),0))</f>
        <v/>
      </c>
      <c r="L365" s="108">
        <f>IF($B365="","",IF($E365="Lễ",N($G365),0))</f>
        <v/>
      </c>
      <c r="M365" s="108">
        <f>IF($B365="","",IF($E365="Ngày thường",N($H365),0))</f>
        <v/>
      </c>
      <c r="N365" s="108">
        <f>IF($B365="","",IF($E365="Nghỉ tuần",N($H365),0))</f>
        <v/>
      </c>
      <c r="O365" s="108">
        <f>IF($B365="","",IF($E365="Lễ",N($H365),0))</f>
        <v/>
      </c>
    </row>
    <row r="366" ht="15" customHeight="1" s="63">
      <c r="A366" s="85">
        <f>IF($B366="","",ROW()-5)</f>
        <v/>
      </c>
      <c r="B366" s="97" t="n"/>
      <c r="C366" s="96">
        <f>IF($B366="","",IFERROR(INDEX(DM_NHAN_SU!$C$6:$C$155,MATCH($B366,DM_NHAN_SU!$B$6:$B$155,0)),"SAI MÃ NV"))</f>
        <v/>
      </c>
      <c r="D366" s="86" t="n"/>
      <c r="E366" s="103">
        <f>IF(OR($B366="",$D366=""),"",IF(COUNTIF(THAM_SO_CC!$F$10:$F$40,$D366)&gt;0,"Lễ",IF(IF(THAM_SO_CC!$B$12="T7+CN",WEEKDAY($D366,2)&gt;=6,WEEKDAY($D366,2)=7),"Nghỉ tuần","Ngày thường")))</f>
        <v/>
      </c>
      <c r="F366" s="107" t="n"/>
      <c r="G366" s="107" t="n"/>
      <c r="H366" s="107" t="n"/>
      <c r="I366" s="81" t="n"/>
      <c r="J366" s="108">
        <f>IF($B366="","",IF($E366="Ngày thường",N($G366),0))</f>
        <v/>
      </c>
      <c r="K366" s="108">
        <f>IF($B366="","",IF($E366="Nghỉ tuần",N($G366),0))</f>
        <v/>
      </c>
      <c r="L366" s="108">
        <f>IF($B366="","",IF($E366="Lễ",N($G366),0))</f>
        <v/>
      </c>
      <c r="M366" s="108">
        <f>IF($B366="","",IF($E366="Ngày thường",N($H366),0))</f>
        <v/>
      </c>
      <c r="N366" s="108">
        <f>IF($B366="","",IF($E366="Nghỉ tuần",N($H366),0))</f>
        <v/>
      </c>
      <c r="O366" s="108">
        <f>IF($B366="","",IF($E366="Lễ",N($H366),0))</f>
        <v/>
      </c>
    </row>
    <row r="367" ht="15" customHeight="1" s="63">
      <c r="A367" s="85">
        <f>IF($B367="","",ROW()-5)</f>
        <v/>
      </c>
      <c r="B367" s="97" t="n"/>
      <c r="C367" s="96">
        <f>IF($B367="","",IFERROR(INDEX(DM_NHAN_SU!$C$6:$C$155,MATCH($B367,DM_NHAN_SU!$B$6:$B$155,0)),"SAI MÃ NV"))</f>
        <v/>
      </c>
      <c r="D367" s="86" t="n"/>
      <c r="E367" s="103">
        <f>IF(OR($B367="",$D367=""),"",IF(COUNTIF(THAM_SO_CC!$F$10:$F$40,$D367)&gt;0,"Lễ",IF(IF(THAM_SO_CC!$B$12="T7+CN",WEEKDAY($D367,2)&gt;=6,WEEKDAY($D367,2)=7),"Nghỉ tuần","Ngày thường")))</f>
        <v/>
      </c>
      <c r="F367" s="107" t="n"/>
      <c r="G367" s="107" t="n"/>
      <c r="H367" s="107" t="n"/>
      <c r="I367" s="81" t="n"/>
      <c r="J367" s="108">
        <f>IF($B367="","",IF($E367="Ngày thường",N($G367),0))</f>
        <v/>
      </c>
      <c r="K367" s="108">
        <f>IF($B367="","",IF($E367="Nghỉ tuần",N($G367),0))</f>
        <v/>
      </c>
      <c r="L367" s="108">
        <f>IF($B367="","",IF($E367="Lễ",N($G367),0))</f>
        <v/>
      </c>
      <c r="M367" s="108">
        <f>IF($B367="","",IF($E367="Ngày thường",N($H367),0))</f>
        <v/>
      </c>
      <c r="N367" s="108">
        <f>IF($B367="","",IF($E367="Nghỉ tuần",N($H367),0))</f>
        <v/>
      </c>
      <c r="O367" s="108">
        <f>IF($B367="","",IF($E367="Lễ",N($H367),0))</f>
        <v/>
      </c>
    </row>
    <row r="368" ht="15" customHeight="1" s="63">
      <c r="A368" s="85">
        <f>IF($B368="","",ROW()-5)</f>
        <v/>
      </c>
      <c r="B368" s="97" t="n"/>
      <c r="C368" s="96">
        <f>IF($B368="","",IFERROR(INDEX(DM_NHAN_SU!$C$6:$C$155,MATCH($B368,DM_NHAN_SU!$B$6:$B$155,0)),"SAI MÃ NV"))</f>
        <v/>
      </c>
      <c r="D368" s="86" t="n"/>
      <c r="E368" s="103">
        <f>IF(OR($B368="",$D368=""),"",IF(COUNTIF(THAM_SO_CC!$F$10:$F$40,$D368)&gt;0,"Lễ",IF(IF(THAM_SO_CC!$B$12="T7+CN",WEEKDAY($D368,2)&gt;=6,WEEKDAY($D368,2)=7),"Nghỉ tuần","Ngày thường")))</f>
        <v/>
      </c>
      <c r="F368" s="107" t="n"/>
      <c r="G368" s="107" t="n"/>
      <c r="H368" s="107" t="n"/>
      <c r="I368" s="81" t="n"/>
      <c r="J368" s="108">
        <f>IF($B368="","",IF($E368="Ngày thường",N($G368),0))</f>
        <v/>
      </c>
      <c r="K368" s="108">
        <f>IF($B368="","",IF($E368="Nghỉ tuần",N($G368),0))</f>
        <v/>
      </c>
      <c r="L368" s="108">
        <f>IF($B368="","",IF($E368="Lễ",N($G368),0))</f>
        <v/>
      </c>
      <c r="M368" s="108">
        <f>IF($B368="","",IF($E368="Ngày thường",N($H368),0))</f>
        <v/>
      </c>
      <c r="N368" s="108">
        <f>IF($B368="","",IF($E368="Nghỉ tuần",N($H368),0))</f>
        <v/>
      </c>
      <c r="O368" s="108">
        <f>IF($B368="","",IF($E368="Lễ",N($H368),0))</f>
        <v/>
      </c>
    </row>
    <row r="369" ht="15" customHeight="1" s="63">
      <c r="A369" s="85">
        <f>IF($B369="","",ROW()-5)</f>
        <v/>
      </c>
      <c r="B369" s="97" t="n"/>
      <c r="C369" s="96">
        <f>IF($B369="","",IFERROR(INDEX(DM_NHAN_SU!$C$6:$C$155,MATCH($B369,DM_NHAN_SU!$B$6:$B$155,0)),"SAI MÃ NV"))</f>
        <v/>
      </c>
      <c r="D369" s="86" t="n"/>
      <c r="E369" s="103">
        <f>IF(OR($B369="",$D369=""),"",IF(COUNTIF(THAM_SO_CC!$F$10:$F$40,$D369)&gt;0,"Lễ",IF(IF(THAM_SO_CC!$B$12="T7+CN",WEEKDAY($D369,2)&gt;=6,WEEKDAY($D369,2)=7),"Nghỉ tuần","Ngày thường")))</f>
        <v/>
      </c>
      <c r="F369" s="107" t="n"/>
      <c r="G369" s="107" t="n"/>
      <c r="H369" s="107" t="n"/>
      <c r="I369" s="81" t="n"/>
      <c r="J369" s="108">
        <f>IF($B369="","",IF($E369="Ngày thường",N($G369),0))</f>
        <v/>
      </c>
      <c r="K369" s="108">
        <f>IF($B369="","",IF($E369="Nghỉ tuần",N($G369),0))</f>
        <v/>
      </c>
      <c r="L369" s="108">
        <f>IF($B369="","",IF($E369="Lễ",N($G369),0))</f>
        <v/>
      </c>
      <c r="M369" s="108">
        <f>IF($B369="","",IF($E369="Ngày thường",N($H369),0))</f>
        <v/>
      </c>
      <c r="N369" s="108">
        <f>IF($B369="","",IF($E369="Nghỉ tuần",N($H369),0))</f>
        <v/>
      </c>
      <c r="O369" s="108">
        <f>IF($B369="","",IF($E369="Lễ",N($H369),0))</f>
        <v/>
      </c>
    </row>
    <row r="370" ht="15" customHeight="1" s="63">
      <c r="A370" s="85">
        <f>IF($B370="","",ROW()-5)</f>
        <v/>
      </c>
      <c r="B370" s="97" t="n"/>
      <c r="C370" s="96">
        <f>IF($B370="","",IFERROR(INDEX(DM_NHAN_SU!$C$6:$C$155,MATCH($B370,DM_NHAN_SU!$B$6:$B$155,0)),"SAI MÃ NV"))</f>
        <v/>
      </c>
      <c r="D370" s="86" t="n"/>
      <c r="E370" s="103">
        <f>IF(OR($B370="",$D370=""),"",IF(COUNTIF(THAM_SO_CC!$F$10:$F$40,$D370)&gt;0,"Lễ",IF(IF(THAM_SO_CC!$B$12="T7+CN",WEEKDAY($D370,2)&gt;=6,WEEKDAY($D370,2)=7),"Nghỉ tuần","Ngày thường")))</f>
        <v/>
      </c>
      <c r="F370" s="107" t="n"/>
      <c r="G370" s="107" t="n"/>
      <c r="H370" s="107" t="n"/>
      <c r="I370" s="81" t="n"/>
      <c r="J370" s="108">
        <f>IF($B370="","",IF($E370="Ngày thường",N($G370),0))</f>
        <v/>
      </c>
      <c r="K370" s="108">
        <f>IF($B370="","",IF($E370="Nghỉ tuần",N($G370),0))</f>
        <v/>
      </c>
      <c r="L370" s="108">
        <f>IF($B370="","",IF($E370="Lễ",N($G370),0))</f>
        <v/>
      </c>
      <c r="M370" s="108">
        <f>IF($B370="","",IF($E370="Ngày thường",N($H370),0))</f>
        <v/>
      </c>
      <c r="N370" s="108">
        <f>IF($B370="","",IF($E370="Nghỉ tuần",N($H370),0))</f>
        <v/>
      </c>
      <c r="O370" s="108">
        <f>IF($B370="","",IF($E370="Lễ",N($H370),0))</f>
        <v/>
      </c>
    </row>
    <row r="371" ht="15" customHeight="1" s="63">
      <c r="A371" s="85">
        <f>IF($B371="","",ROW()-5)</f>
        <v/>
      </c>
      <c r="B371" s="97" t="n"/>
      <c r="C371" s="96">
        <f>IF($B371="","",IFERROR(INDEX(DM_NHAN_SU!$C$6:$C$155,MATCH($B371,DM_NHAN_SU!$B$6:$B$155,0)),"SAI MÃ NV"))</f>
        <v/>
      </c>
      <c r="D371" s="86" t="n"/>
      <c r="E371" s="103">
        <f>IF(OR($B371="",$D371=""),"",IF(COUNTIF(THAM_SO_CC!$F$10:$F$40,$D371)&gt;0,"Lễ",IF(IF(THAM_SO_CC!$B$12="T7+CN",WEEKDAY($D371,2)&gt;=6,WEEKDAY($D371,2)=7),"Nghỉ tuần","Ngày thường")))</f>
        <v/>
      </c>
      <c r="F371" s="107" t="n"/>
      <c r="G371" s="107" t="n"/>
      <c r="H371" s="107" t="n"/>
      <c r="I371" s="81" t="n"/>
      <c r="J371" s="108">
        <f>IF($B371="","",IF($E371="Ngày thường",N($G371),0))</f>
        <v/>
      </c>
      <c r="K371" s="108">
        <f>IF($B371="","",IF($E371="Nghỉ tuần",N($G371),0))</f>
        <v/>
      </c>
      <c r="L371" s="108">
        <f>IF($B371="","",IF($E371="Lễ",N($G371),0))</f>
        <v/>
      </c>
      <c r="M371" s="108">
        <f>IF($B371="","",IF($E371="Ngày thường",N($H371),0))</f>
        <v/>
      </c>
      <c r="N371" s="108">
        <f>IF($B371="","",IF($E371="Nghỉ tuần",N($H371),0))</f>
        <v/>
      </c>
      <c r="O371" s="108">
        <f>IF($B371="","",IF($E371="Lễ",N($H371),0))</f>
        <v/>
      </c>
    </row>
    <row r="372" ht="15" customHeight="1" s="63">
      <c r="A372" s="85">
        <f>IF($B372="","",ROW()-5)</f>
        <v/>
      </c>
      <c r="B372" s="97" t="n"/>
      <c r="C372" s="96">
        <f>IF($B372="","",IFERROR(INDEX(DM_NHAN_SU!$C$6:$C$155,MATCH($B372,DM_NHAN_SU!$B$6:$B$155,0)),"SAI MÃ NV"))</f>
        <v/>
      </c>
      <c r="D372" s="86" t="n"/>
      <c r="E372" s="103">
        <f>IF(OR($B372="",$D372=""),"",IF(COUNTIF(THAM_SO_CC!$F$10:$F$40,$D372)&gt;0,"Lễ",IF(IF(THAM_SO_CC!$B$12="T7+CN",WEEKDAY($D372,2)&gt;=6,WEEKDAY($D372,2)=7),"Nghỉ tuần","Ngày thường")))</f>
        <v/>
      </c>
      <c r="F372" s="107" t="n"/>
      <c r="G372" s="107" t="n"/>
      <c r="H372" s="107" t="n"/>
      <c r="I372" s="81" t="n"/>
      <c r="J372" s="108">
        <f>IF($B372="","",IF($E372="Ngày thường",N($G372),0))</f>
        <v/>
      </c>
      <c r="K372" s="108">
        <f>IF($B372="","",IF($E372="Nghỉ tuần",N($G372),0))</f>
        <v/>
      </c>
      <c r="L372" s="108">
        <f>IF($B372="","",IF($E372="Lễ",N($G372),0))</f>
        <v/>
      </c>
      <c r="M372" s="108">
        <f>IF($B372="","",IF($E372="Ngày thường",N($H372),0))</f>
        <v/>
      </c>
      <c r="N372" s="108">
        <f>IF($B372="","",IF($E372="Nghỉ tuần",N($H372),0))</f>
        <v/>
      </c>
      <c r="O372" s="108">
        <f>IF($B372="","",IF($E372="Lễ",N($H372),0))</f>
        <v/>
      </c>
    </row>
    <row r="373" ht="15" customHeight="1" s="63">
      <c r="A373" s="85">
        <f>IF($B373="","",ROW()-5)</f>
        <v/>
      </c>
      <c r="B373" s="97" t="n"/>
      <c r="C373" s="96">
        <f>IF($B373="","",IFERROR(INDEX(DM_NHAN_SU!$C$6:$C$155,MATCH($B373,DM_NHAN_SU!$B$6:$B$155,0)),"SAI MÃ NV"))</f>
        <v/>
      </c>
      <c r="D373" s="86" t="n"/>
      <c r="E373" s="103">
        <f>IF(OR($B373="",$D373=""),"",IF(COUNTIF(THAM_SO_CC!$F$10:$F$40,$D373)&gt;0,"Lễ",IF(IF(THAM_SO_CC!$B$12="T7+CN",WEEKDAY($D373,2)&gt;=6,WEEKDAY($D373,2)=7),"Nghỉ tuần","Ngày thường")))</f>
        <v/>
      </c>
      <c r="F373" s="107" t="n"/>
      <c r="G373" s="107" t="n"/>
      <c r="H373" s="107" t="n"/>
      <c r="I373" s="81" t="n"/>
      <c r="J373" s="108">
        <f>IF($B373="","",IF($E373="Ngày thường",N($G373),0))</f>
        <v/>
      </c>
      <c r="K373" s="108">
        <f>IF($B373="","",IF($E373="Nghỉ tuần",N($G373),0))</f>
        <v/>
      </c>
      <c r="L373" s="108">
        <f>IF($B373="","",IF($E373="Lễ",N($G373),0))</f>
        <v/>
      </c>
      <c r="M373" s="108">
        <f>IF($B373="","",IF($E373="Ngày thường",N($H373),0))</f>
        <v/>
      </c>
      <c r="N373" s="108">
        <f>IF($B373="","",IF($E373="Nghỉ tuần",N($H373),0))</f>
        <v/>
      </c>
      <c r="O373" s="108">
        <f>IF($B373="","",IF($E373="Lễ",N($H373),0))</f>
        <v/>
      </c>
    </row>
    <row r="374" ht="15" customHeight="1" s="63">
      <c r="A374" s="85">
        <f>IF($B374="","",ROW()-5)</f>
        <v/>
      </c>
      <c r="B374" s="97" t="n"/>
      <c r="C374" s="96">
        <f>IF($B374="","",IFERROR(INDEX(DM_NHAN_SU!$C$6:$C$155,MATCH($B374,DM_NHAN_SU!$B$6:$B$155,0)),"SAI MÃ NV"))</f>
        <v/>
      </c>
      <c r="D374" s="86" t="n"/>
      <c r="E374" s="103">
        <f>IF(OR($B374="",$D374=""),"",IF(COUNTIF(THAM_SO_CC!$F$10:$F$40,$D374)&gt;0,"Lễ",IF(IF(THAM_SO_CC!$B$12="T7+CN",WEEKDAY($D374,2)&gt;=6,WEEKDAY($D374,2)=7),"Nghỉ tuần","Ngày thường")))</f>
        <v/>
      </c>
      <c r="F374" s="107" t="n"/>
      <c r="G374" s="107" t="n"/>
      <c r="H374" s="107" t="n"/>
      <c r="I374" s="81" t="n"/>
      <c r="J374" s="108">
        <f>IF($B374="","",IF($E374="Ngày thường",N($G374),0))</f>
        <v/>
      </c>
      <c r="K374" s="108">
        <f>IF($B374="","",IF($E374="Nghỉ tuần",N($G374),0))</f>
        <v/>
      </c>
      <c r="L374" s="108">
        <f>IF($B374="","",IF($E374="Lễ",N($G374),0))</f>
        <v/>
      </c>
      <c r="M374" s="108">
        <f>IF($B374="","",IF($E374="Ngày thường",N($H374),0))</f>
        <v/>
      </c>
      <c r="N374" s="108">
        <f>IF($B374="","",IF($E374="Nghỉ tuần",N($H374),0))</f>
        <v/>
      </c>
      <c r="O374" s="108">
        <f>IF($B374="","",IF($E374="Lễ",N($H374),0))</f>
        <v/>
      </c>
    </row>
    <row r="375" ht="15" customHeight="1" s="63">
      <c r="A375" s="85">
        <f>IF($B375="","",ROW()-5)</f>
        <v/>
      </c>
      <c r="B375" s="97" t="n"/>
      <c r="C375" s="96">
        <f>IF($B375="","",IFERROR(INDEX(DM_NHAN_SU!$C$6:$C$155,MATCH($B375,DM_NHAN_SU!$B$6:$B$155,0)),"SAI MÃ NV"))</f>
        <v/>
      </c>
      <c r="D375" s="86" t="n"/>
      <c r="E375" s="103">
        <f>IF(OR($B375="",$D375=""),"",IF(COUNTIF(THAM_SO_CC!$F$10:$F$40,$D375)&gt;0,"Lễ",IF(IF(THAM_SO_CC!$B$12="T7+CN",WEEKDAY($D375,2)&gt;=6,WEEKDAY($D375,2)=7),"Nghỉ tuần","Ngày thường")))</f>
        <v/>
      </c>
      <c r="F375" s="107" t="n"/>
      <c r="G375" s="107" t="n"/>
      <c r="H375" s="107" t="n"/>
      <c r="I375" s="81" t="n"/>
      <c r="J375" s="108">
        <f>IF($B375="","",IF($E375="Ngày thường",N($G375),0))</f>
        <v/>
      </c>
      <c r="K375" s="108">
        <f>IF($B375="","",IF($E375="Nghỉ tuần",N($G375),0))</f>
        <v/>
      </c>
      <c r="L375" s="108">
        <f>IF($B375="","",IF($E375="Lễ",N($G375),0))</f>
        <v/>
      </c>
      <c r="M375" s="108">
        <f>IF($B375="","",IF($E375="Ngày thường",N($H375),0))</f>
        <v/>
      </c>
      <c r="N375" s="108">
        <f>IF($B375="","",IF($E375="Nghỉ tuần",N($H375),0))</f>
        <v/>
      </c>
      <c r="O375" s="108">
        <f>IF($B375="","",IF($E375="Lễ",N($H375),0))</f>
        <v/>
      </c>
    </row>
    <row r="376" ht="15" customHeight="1" s="63">
      <c r="A376" s="85">
        <f>IF($B376="","",ROW()-5)</f>
        <v/>
      </c>
      <c r="B376" s="97" t="n"/>
      <c r="C376" s="96">
        <f>IF($B376="","",IFERROR(INDEX(DM_NHAN_SU!$C$6:$C$155,MATCH($B376,DM_NHAN_SU!$B$6:$B$155,0)),"SAI MÃ NV"))</f>
        <v/>
      </c>
      <c r="D376" s="86" t="n"/>
      <c r="E376" s="103">
        <f>IF(OR($B376="",$D376=""),"",IF(COUNTIF(THAM_SO_CC!$F$10:$F$40,$D376)&gt;0,"Lễ",IF(IF(THAM_SO_CC!$B$12="T7+CN",WEEKDAY($D376,2)&gt;=6,WEEKDAY($D376,2)=7),"Nghỉ tuần","Ngày thường")))</f>
        <v/>
      </c>
      <c r="F376" s="107" t="n"/>
      <c r="G376" s="107" t="n"/>
      <c r="H376" s="107" t="n"/>
      <c r="I376" s="81" t="n"/>
      <c r="J376" s="108">
        <f>IF($B376="","",IF($E376="Ngày thường",N($G376),0))</f>
        <v/>
      </c>
      <c r="K376" s="108">
        <f>IF($B376="","",IF($E376="Nghỉ tuần",N($G376),0))</f>
        <v/>
      </c>
      <c r="L376" s="108">
        <f>IF($B376="","",IF($E376="Lễ",N($G376),0))</f>
        <v/>
      </c>
      <c r="M376" s="108">
        <f>IF($B376="","",IF($E376="Ngày thường",N($H376),0))</f>
        <v/>
      </c>
      <c r="N376" s="108">
        <f>IF($B376="","",IF($E376="Nghỉ tuần",N($H376),0))</f>
        <v/>
      </c>
      <c r="O376" s="108">
        <f>IF($B376="","",IF($E376="Lễ",N($H376),0))</f>
        <v/>
      </c>
    </row>
    <row r="377" ht="15" customHeight="1" s="63">
      <c r="A377" s="85">
        <f>IF($B377="","",ROW()-5)</f>
        <v/>
      </c>
      <c r="B377" s="97" t="n"/>
      <c r="C377" s="96">
        <f>IF($B377="","",IFERROR(INDEX(DM_NHAN_SU!$C$6:$C$155,MATCH($B377,DM_NHAN_SU!$B$6:$B$155,0)),"SAI MÃ NV"))</f>
        <v/>
      </c>
      <c r="D377" s="86" t="n"/>
      <c r="E377" s="103">
        <f>IF(OR($B377="",$D377=""),"",IF(COUNTIF(THAM_SO_CC!$F$10:$F$40,$D377)&gt;0,"Lễ",IF(IF(THAM_SO_CC!$B$12="T7+CN",WEEKDAY($D377,2)&gt;=6,WEEKDAY($D377,2)=7),"Nghỉ tuần","Ngày thường")))</f>
        <v/>
      </c>
      <c r="F377" s="107" t="n"/>
      <c r="G377" s="107" t="n"/>
      <c r="H377" s="107" t="n"/>
      <c r="I377" s="81" t="n"/>
      <c r="J377" s="108">
        <f>IF($B377="","",IF($E377="Ngày thường",N($G377),0))</f>
        <v/>
      </c>
      <c r="K377" s="108">
        <f>IF($B377="","",IF($E377="Nghỉ tuần",N($G377),0))</f>
        <v/>
      </c>
      <c r="L377" s="108">
        <f>IF($B377="","",IF($E377="Lễ",N($G377),0))</f>
        <v/>
      </c>
      <c r="M377" s="108">
        <f>IF($B377="","",IF($E377="Ngày thường",N($H377),0))</f>
        <v/>
      </c>
      <c r="N377" s="108">
        <f>IF($B377="","",IF($E377="Nghỉ tuần",N($H377),0))</f>
        <v/>
      </c>
      <c r="O377" s="108">
        <f>IF($B377="","",IF($E377="Lễ",N($H377),0))</f>
        <v/>
      </c>
    </row>
    <row r="378" ht="15" customHeight="1" s="63">
      <c r="A378" s="85">
        <f>IF($B378="","",ROW()-5)</f>
        <v/>
      </c>
      <c r="B378" s="97" t="n"/>
      <c r="C378" s="96">
        <f>IF($B378="","",IFERROR(INDEX(DM_NHAN_SU!$C$6:$C$155,MATCH($B378,DM_NHAN_SU!$B$6:$B$155,0)),"SAI MÃ NV"))</f>
        <v/>
      </c>
      <c r="D378" s="86" t="n"/>
      <c r="E378" s="103">
        <f>IF(OR($B378="",$D378=""),"",IF(COUNTIF(THAM_SO_CC!$F$10:$F$40,$D378)&gt;0,"Lễ",IF(IF(THAM_SO_CC!$B$12="T7+CN",WEEKDAY($D378,2)&gt;=6,WEEKDAY($D378,2)=7),"Nghỉ tuần","Ngày thường")))</f>
        <v/>
      </c>
      <c r="F378" s="107" t="n"/>
      <c r="G378" s="107" t="n"/>
      <c r="H378" s="107" t="n"/>
      <c r="I378" s="81" t="n"/>
      <c r="J378" s="108">
        <f>IF($B378="","",IF($E378="Ngày thường",N($G378),0))</f>
        <v/>
      </c>
      <c r="K378" s="108">
        <f>IF($B378="","",IF($E378="Nghỉ tuần",N($G378),0))</f>
        <v/>
      </c>
      <c r="L378" s="108">
        <f>IF($B378="","",IF($E378="Lễ",N($G378),0))</f>
        <v/>
      </c>
      <c r="M378" s="108">
        <f>IF($B378="","",IF($E378="Ngày thường",N($H378),0))</f>
        <v/>
      </c>
      <c r="N378" s="108">
        <f>IF($B378="","",IF($E378="Nghỉ tuần",N($H378),0))</f>
        <v/>
      </c>
      <c r="O378" s="108">
        <f>IF($B378="","",IF($E378="Lễ",N($H378),0))</f>
        <v/>
      </c>
    </row>
    <row r="379" ht="15" customHeight="1" s="63">
      <c r="A379" s="85">
        <f>IF($B379="","",ROW()-5)</f>
        <v/>
      </c>
      <c r="B379" s="97" t="n"/>
      <c r="C379" s="96">
        <f>IF($B379="","",IFERROR(INDEX(DM_NHAN_SU!$C$6:$C$155,MATCH($B379,DM_NHAN_SU!$B$6:$B$155,0)),"SAI MÃ NV"))</f>
        <v/>
      </c>
      <c r="D379" s="86" t="n"/>
      <c r="E379" s="103">
        <f>IF(OR($B379="",$D379=""),"",IF(COUNTIF(THAM_SO_CC!$F$10:$F$40,$D379)&gt;0,"Lễ",IF(IF(THAM_SO_CC!$B$12="T7+CN",WEEKDAY($D379,2)&gt;=6,WEEKDAY($D379,2)=7),"Nghỉ tuần","Ngày thường")))</f>
        <v/>
      </c>
      <c r="F379" s="107" t="n"/>
      <c r="G379" s="107" t="n"/>
      <c r="H379" s="107" t="n"/>
      <c r="I379" s="81" t="n"/>
      <c r="J379" s="108">
        <f>IF($B379="","",IF($E379="Ngày thường",N($G379),0))</f>
        <v/>
      </c>
      <c r="K379" s="108">
        <f>IF($B379="","",IF($E379="Nghỉ tuần",N($G379),0))</f>
        <v/>
      </c>
      <c r="L379" s="108">
        <f>IF($B379="","",IF($E379="Lễ",N($G379),0))</f>
        <v/>
      </c>
      <c r="M379" s="108">
        <f>IF($B379="","",IF($E379="Ngày thường",N($H379),0))</f>
        <v/>
      </c>
      <c r="N379" s="108">
        <f>IF($B379="","",IF($E379="Nghỉ tuần",N($H379),0))</f>
        <v/>
      </c>
      <c r="O379" s="108">
        <f>IF($B379="","",IF($E379="Lễ",N($H379),0))</f>
        <v/>
      </c>
    </row>
    <row r="380" ht="15" customHeight="1" s="63">
      <c r="A380" s="85">
        <f>IF($B380="","",ROW()-5)</f>
        <v/>
      </c>
      <c r="B380" s="97" t="n"/>
      <c r="C380" s="96">
        <f>IF($B380="","",IFERROR(INDEX(DM_NHAN_SU!$C$6:$C$155,MATCH($B380,DM_NHAN_SU!$B$6:$B$155,0)),"SAI MÃ NV"))</f>
        <v/>
      </c>
      <c r="D380" s="86" t="n"/>
      <c r="E380" s="103">
        <f>IF(OR($B380="",$D380=""),"",IF(COUNTIF(THAM_SO_CC!$F$10:$F$40,$D380)&gt;0,"Lễ",IF(IF(THAM_SO_CC!$B$12="T7+CN",WEEKDAY($D380,2)&gt;=6,WEEKDAY($D380,2)=7),"Nghỉ tuần","Ngày thường")))</f>
        <v/>
      </c>
      <c r="F380" s="107" t="n"/>
      <c r="G380" s="107" t="n"/>
      <c r="H380" s="107" t="n"/>
      <c r="I380" s="81" t="n"/>
      <c r="J380" s="108">
        <f>IF($B380="","",IF($E380="Ngày thường",N($G380),0))</f>
        <v/>
      </c>
      <c r="K380" s="108">
        <f>IF($B380="","",IF($E380="Nghỉ tuần",N($G380),0))</f>
        <v/>
      </c>
      <c r="L380" s="108">
        <f>IF($B380="","",IF($E380="Lễ",N($G380),0))</f>
        <v/>
      </c>
      <c r="M380" s="108">
        <f>IF($B380="","",IF($E380="Ngày thường",N($H380),0))</f>
        <v/>
      </c>
      <c r="N380" s="108">
        <f>IF($B380="","",IF($E380="Nghỉ tuần",N($H380),0))</f>
        <v/>
      </c>
      <c r="O380" s="108">
        <f>IF($B380="","",IF($E380="Lễ",N($H380),0))</f>
        <v/>
      </c>
    </row>
    <row r="381" ht="15" customHeight="1" s="63">
      <c r="A381" s="85">
        <f>IF($B381="","",ROW()-5)</f>
        <v/>
      </c>
      <c r="B381" s="97" t="n"/>
      <c r="C381" s="96">
        <f>IF($B381="","",IFERROR(INDEX(DM_NHAN_SU!$C$6:$C$155,MATCH($B381,DM_NHAN_SU!$B$6:$B$155,0)),"SAI MÃ NV"))</f>
        <v/>
      </c>
      <c r="D381" s="86" t="n"/>
      <c r="E381" s="103">
        <f>IF(OR($B381="",$D381=""),"",IF(COUNTIF(THAM_SO_CC!$F$10:$F$40,$D381)&gt;0,"Lễ",IF(IF(THAM_SO_CC!$B$12="T7+CN",WEEKDAY($D381,2)&gt;=6,WEEKDAY($D381,2)=7),"Nghỉ tuần","Ngày thường")))</f>
        <v/>
      </c>
      <c r="F381" s="107" t="n"/>
      <c r="G381" s="107" t="n"/>
      <c r="H381" s="107" t="n"/>
      <c r="I381" s="81" t="n"/>
      <c r="J381" s="108">
        <f>IF($B381="","",IF($E381="Ngày thường",N($G381),0))</f>
        <v/>
      </c>
      <c r="K381" s="108">
        <f>IF($B381="","",IF($E381="Nghỉ tuần",N($G381),0))</f>
        <v/>
      </c>
      <c r="L381" s="108">
        <f>IF($B381="","",IF($E381="Lễ",N($G381),0))</f>
        <v/>
      </c>
      <c r="M381" s="108">
        <f>IF($B381="","",IF($E381="Ngày thường",N($H381),0))</f>
        <v/>
      </c>
      <c r="N381" s="108">
        <f>IF($B381="","",IF($E381="Nghỉ tuần",N($H381),0))</f>
        <v/>
      </c>
      <c r="O381" s="108">
        <f>IF($B381="","",IF($E381="Lễ",N($H381),0))</f>
        <v/>
      </c>
    </row>
    <row r="382" ht="15" customHeight="1" s="63">
      <c r="A382" s="85">
        <f>IF($B382="","",ROW()-5)</f>
        <v/>
      </c>
      <c r="B382" s="97" t="n"/>
      <c r="C382" s="96">
        <f>IF($B382="","",IFERROR(INDEX(DM_NHAN_SU!$C$6:$C$155,MATCH($B382,DM_NHAN_SU!$B$6:$B$155,0)),"SAI MÃ NV"))</f>
        <v/>
      </c>
      <c r="D382" s="86" t="n"/>
      <c r="E382" s="103">
        <f>IF(OR($B382="",$D382=""),"",IF(COUNTIF(THAM_SO_CC!$F$10:$F$40,$D382)&gt;0,"Lễ",IF(IF(THAM_SO_CC!$B$12="T7+CN",WEEKDAY($D382,2)&gt;=6,WEEKDAY($D382,2)=7),"Nghỉ tuần","Ngày thường")))</f>
        <v/>
      </c>
      <c r="F382" s="107" t="n"/>
      <c r="G382" s="107" t="n"/>
      <c r="H382" s="107" t="n"/>
      <c r="I382" s="81" t="n"/>
      <c r="J382" s="108">
        <f>IF($B382="","",IF($E382="Ngày thường",N($G382),0))</f>
        <v/>
      </c>
      <c r="K382" s="108">
        <f>IF($B382="","",IF($E382="Nghỉ tuần",N($G382),0))</f>
        <v/>
      </c>
      <c r="L382" s="108">
        <f>IF($B382="","",IF($E382="Lễ",N($G382),0))</f>
        <v/>
      </c>
      <c r="M382" s="108">
        <f>IF($B382="","",IF($E382="Ngày thường",N($H382),0))</f>
        <v/>
      </c>
      <c r="N382" s="108">
        <f>IF($B382="","",IF($E382="Nghỉ tuần",N($H382),0))</f>
        <v/>
      </c>
      <c r="O382" s="108">
        <f>IF($B382="","",IF($E382="Lễ",N($H382),0))</f>
        <v/>
      </c>
    </row>
    <row r="383" ht="15" customHeight="1" s="63">
      <c r="A383" s="85">
        <f>IF($B383="","",ROW()-5)</f>
        <v/>
      </c>
      <c r="B383" s="97" t="n"/>
      <c r="C383" s="96">
        <f>IF($B383="","",IFERROR(INDEX(DM_NHAN_SU!$C$6:$C$155,MATCH($B383,DM_NHAN_SU!$B$6:$B$155,0)),"SAI MÃ NV"))</f>
        <v/>
      </c>
      <c r="D383" s="86" t="n"/>
      <c r="E383" s="103">
        <f>IF(OR($B383="",$D383=""),"",IF(COUNTIF(THAM_SO_CC!$F$10:$F$40,$D383)&gt;0,"Lễ",IF(IF(THAM_SO_CC!$B$12="T7+CN",WEEKDAY($D383,2)&gt;=6,WEEKDAY($D383,2)=7),"Nghỉ tuần","Ngày thường")))</f>
        <v/>
      </c>
      <c r="F383" s="107" t="n"/>
      <c r="G383" s="107" t="n"/>
      <c r="H383" s="107" t="n"/>
      <c r="I383" s="81" t="n"/>
      <c r="J383" s="108">
        <f>IF($B383="","",IF($E383="Ngày thường",N($G383),0))</f>
        <v/>
      </c>
      <c r="K383" s="108">
        <f>IF($B383="","",IF($E383="Nghỉ tuần",N($G383),0))</f>
        <v/>
      </c>
      <c r="L383" s="108">
        <f>IF($B383="","",IF($E383="Lễ",N($G383),0))</f>
        <v/>
      </c>
      <c r="M383" s="108">
        <f>IF($B383="","",IF($E383="Ngày thường",N($H383),0))</f>
        <v/>
      </c>
      <c r="N383" s="108">
        <f>IF($B383="","",IF($E383="Nghỉ tuần",N($H383),0))</f>
        <v/>
      </c>
      <c r="O383" s="108">
        <f>IF($B383="","",IF($E383="Lễ",N($H383),0))</f>
        <v/>
      </c>
    </row>
    <row r="384" ht="15" customHeight="1" s="63">
      <c r="A384" s="85">
        <f>IF($B384="","",ROW()-5)</f>
        <v/>
      </c>
      <c r="B384" s="97" t="n"/>
      <c r="C384" s="96">
        <f>IF($B384="","",IFERROR(INDEX(DM_NHAN_SU!$C$6:$C$155,MATCH($B384,DM_NHAN_SU!$B$6:$B$155,0)),"SAI MÃ NV"))</f>
        <v/>
      </c>
      <c r="D384" s="86" t="n"/>
      <c r="E384" s="103">
        <f>IF(OR($B384="",$D384=""),"",IF(COUNTIF(THAM_SO_CC!$F$10:$F$40,$D384)&gt;0,"Lễ",IF(IF(THAM_SO_CC!$B$12="T7+CN",WEEKDAY($D384,2)&gt;=6,WEEKDAY($D384,2)=7),"Nghỉ tuần","Ngày thường")))</f>
        <v/>
      </c>
      <c r="F384" s="107" t="n"/>
      <c r="G384" s="107" t="n"/>
      <c r="H384" s="107" t="n"/>
      <c r="I384" s="81" t="n"/>
      <c r="J384" s="108">
        <f>IF($B384="","",IF($E384="Ngày thường",N($G384),0))</f>
        <v/>
      </c>
      <c r="K384" s="108">
        <f>IF($B384="","",IF($E384="Nghỉ tuần",N($G384),0))</f>
        <v/>
      </c>
      <c r="L384" s="108">
        <f>IF($B384="","",IF($E384="Lễ",N($G384),0))</f>
        <v/>
      </c>
      <c r="M384" s="108">
        <f>IF($B384="","",IF($E384="Ngày thường",N($H384),0))</f>
        <v/>
      </c>
      <c r="N384" s="108">
        <f>IF($B384="","",IF($E384="Nghỉ tuần",N($H384),0))</f>
        <v/>
      </c>
      <c r="O384" s="108">
        <f>IF($B384="","",IF($E384="Lễ",N($H384),0))</f>
        <v/>
      </c>
    </row>
    <row r="385" ht="15" customHeight="1" s="63">
      <c r="A385" s="85">
        <f>IF($B385="","",ROW()-5)</f>
        <v/>
      </c>
      <c r="B385" s="97" t="n"/>
      <c r="C385" s="96">
        <f>IF($B385="","",IFERROR(INDEX(DM_NHAN_SU!$C$6:$C$155,MATCH($B385,DM_NHAN_SU!$B$6:$B$155,0)),"SAI MÃ NV"))</f>
        <v/>
      </c>
      <c r="D385" s="86" t="n"/>
      <c r="E385" s="103">
        <f>IF(OR($B385="",$D385=""),"",IF(COUNTIF(THAM_SO_CC!$F$10:$F$40,$D385)&gt;0,"Lễ",IF(IF(THAM_SO_CC!$B$12="T7+CN",WEEKDAY($D385,2)&gt;=6,WEEKDAY($D385,2)=7),"Nghỉ tuần","Ngày thường")))</f>
        <v/>
      </c>
      <c r="F385" s="107" t="n"/>
      <c r="G385" s="107" t="n"/>
      <c r="H385" s="107" t="n"/>
      <c r="I385" s="81" t="n"/>
      <c r="J385" s="108">
        <f>IF($B385="","",IF($E385="Ngày thường",N($G385),0))</f>
        <v/>
      </c>
      <c r="K385" s="108">
        <f>IF($B385="","",IF($E385="Nghỉ tuần",N($G385),0))</f>
        <v/>
      </c>
      <c r="L385" s="108">
        <f>IF($B385="","",IF($E385="Lễ",N($G385),0))</f>
        <v/>
      </c>
      <c r="M385" s="108">
        <f>IF($B385="","",IF($E385="Ngày thường",N($H385),0))</f>
        <v/>
      </c>
      <c r="N385" s="108">
        <f>IF($B385="","",IF($E385="Nghỉ tuần",N($H385),0))</f>
        <v/>
      </c>
      <c r="O385" s="108">
        <f>IF($B385="","",IF($E385="Lễ",N($H385),0))</f>
        <v/>
      </c>
    </row>
    <row r="386" ht="15" customHeight="1" s="63">
      <c r="A386" s="85">
        <f>IF($B386="","",ROW()-5)</f>
        <v/>
      </c>
      <c r="B386" s="97" t="n"/>
      <c r="C386" s="96">
        <f>IF($B386="","",IFERROR(INDEX(DM_NHAN_SU!$C$6:$C$155,MATCH($B386,DM_NHAN_SU!$B$6:$B$155,0)),"SAI MÃ NV"))</f>
        <v/>
      </c>
      <c r="D386" s="86" t="n"/>
      <c r="E386" s="103">
        <f>IF(OR($B386="",$D386=""),"",IF(COUNTIF(THAM_SO_CC!$F$10:$F$40,$D386)&gt;0,"Lễ",IF(IF(THAM_SO_CC!$B$12="T7+CN",WEEKDAY($D386,2)&gt;=6,WEEKDAY($D386,2)=7),"Nghỉ tuần","Ngày thường")))</f>
        <v/>
      </c>
      <c r="F386" s="107" t="n"/>
      <c r="G386" s="107" t="n"/>
      <c r="H386" s="107" t="n"/>
      <c r="I386" s="81" t="n"/>
      <c r="J386" s="108">
        <f>IF($B386="","",IF($E386="Ngày thường",N($G386),0))</f>
        <v/>
      </c>
      <c r="K386" s="108">
        <f>IF($B386="","",IF($E386="Nghỉ tuần",N($G386),0))</f>
        <v/>
      </c>
      <c r="L386" s="108">
        <f>IF($B386="","",IF($E386="Lễ",N($G386),0))</f>
        <v/>
      </c>
      <c r="M386" s="108">
        <f>IF($B386="","",IF($E386="Ngày thường",N($H386),0))</f>
        <v/>
      </c>
      <c r="N386" s="108">
        <f>IF($B386="","",IF($E386="Nghỉ tuần",N($H386),0))</f>
        <v/>
      </c>
      <c r="O386" s="108">
        <f>IF($B386="","",IF($E386="Lễ",N($H386),0))</f>
        <v/>
      </c>
    </row>
    <row r="387" ht="15" customHeight="1" s="63">
      <c r="A387" s="85">
        <f>IF($B387="","",ROW()-5)</f>
        <v/>
      </c>
      <c r="B387" s="97" t="n"/>
      <c r="C387" s="96">
        <f>IF($B387="","",IFERROR(INDEX(DM_NHAN_SU!$C$6:$C$155,MATCH($B387,DM_NHAN_SU!$B$6:$B$155,0)),"SAI MÃ NV"))</f>
        <v/>
      </c>
      <c r="D387" s="86" t="n"/>
      <c r="E387" s="103">
        <f>IF(OR($B387="",$D387=""),"",IF(COUNTIF(THAM_SO_CC!$F$10:$F$40,$D387)&gt;0,"Lễ",IF(IF(THAM_SO_CC!$B$12="T7+CN",WEEKDAY($D387,2)&gt;=6,WEEKDAY($D387,2)=7),"Nghỉ tuần","Ngày thường")))</f>
        <v/>
      </c>
      <c r="F387" s="107" t="n"/>
      <c r="G387" s="107" t="n"/>
      <c r="H387" s="107" t="n"/>
      <c r="I387" s="81" t="n"/>
      <c r="J387" s="108">
        <f>IF($B387="","",IF($E387="Ngày thường",N($G387),0))</f>
        <v/>
      </c>
      <c r="K387" s="108">
        <f>IF($B387="","",IF($E387="Nghỉ tuần",N($G387),0))</f>
        <v/>
      </c>
      <c r="L387" s="108">
        <f>IF($B387="","",IF($E387="Lễ",N($G387),0))</f>
        <v/>
      </c>
      <c r="M387" s="108">
        <f>IF($B387="","",IF($E387="Ngày thường",N($H387),0))</f>
        <v/>
      </c>
      <c r="N387" s="108">
        <f>IF($B387="","",IF($E387="Nghỉ tuần",N($H387),0))</f>
        <v/>
      </c>
      <c r="O387" s="108">
        <f>IF($B387="","",IF($E387="Lễ",N($H387),0))</f>
        <v/>
      </c>
    </row>
    <row r="388" ht="15" customHeight="1" s="63">
      <c r="A388" s="85">
        <f>IF($B388="","",ROW()-5)</f>
        <v/>
      </c>
      <c r="B388" s="97" t="n"/>
      <c r="C388" s="96">
        <f>IF($B388="","",IFERROR(INDEX(DM_NHAN_SU!$C$6:$C$155,MATCH($B388,DM_NHAN_SU!$B$6:$B$155,0)),"SAI MÃ NV"))</f>
        <v/>
      </c>
      <c r="D388" s="86" t="n"/>
      <c r="E388" s="103">
        <f>IF(OR($B388="",$D388=""),"",IF(COUNTIF(THAM_SO_CC!$F$10:$F$40,$D388)&gt;0,"Lễ",IF(IF(THAM_SO_CC!$B$12="T7+CN",WEEKDAY($D388,2)&gt;=6,WEEKDAY($D388,2)=7),"Nghỉ tuần","Ngày thường")))</f>
        <v/>
      </c>
      <c r="F388" s="107" t="n"/>
      <c r="G388" s="107" t="n"/>
      <c r="H388" s="107" t="n"/>
      <c r="I388" s="81" t="n"/>
      <c r="J388" s="108">
        <f>IF($B388="","",IF($E388="Ngày thường",N($G388),0))</f>
        <v/>
      </c>
      <c r="K388" s="108">
        <f>IF($B388="","",IF($E388="Nghỉ tuần",N($G388),0))</f>
        <v/>
      </c>
      <c r="L388" s="108">
        <f>IF($B388="","",IF($E388="Lễ",N($G388),0))</f>
        <v/>
      </c>
      <c r="M388" s="108">
        <f>IF($B388="","",IF($E388="Ngày thường",N($H388),0))</f>
        <v/>
      </c>
      <c r="N388" s="108">
        <f>IF($B388="","",IF($E388="Nghỉ tuần",N($H388),0))</f>
        <v/>
      </c>
      <c r="O388" s="108">
        <f>IF($B388="","",IF($E388="Lễ",N($H388),0))</f>
        <v/>
      </c>
    </row>
    <row r="389" ht="15" customHeight="1" s="63">
      <c r="A389" s="85">
        <f>IF($B389="","",ROW()-5)</f>
        <v/>
      </c>
      <c r="B389" s="97" t="n"/>
      <c r="C389" s="96">
        <f>IF($B389="","",IFERROR(INDEX(DM_NHAN_SU!$C$6:$C$155,MATCH($B389,DM_NHAN_SU!$B$6:$B$155,0)),"SAI MÃ NV"))</f>
        <v/>
      </c>
      <c r="D389" s="86" t="n"/>
      <c r="E389" s="103">
        <f>IF(OR($B389="",$D389=""),"",IF(COUNTIF(THAM_SO_CC!$F$10:$F$40,$D389)&gt;0,"Lễ",IF(IF(THAM_SO_CC!$B$12="T7+CN",WEEKDAY($D389,2)&gt;=6,WEEKDAY($D389,2)=7),"Nghỉ tuần","Ngày thường")))</f>
        <v/>
      </c>
      <c r="F389" s="107" t="n"/>
      <c r="G389" s="107" t="n"/>
      <c r="H389" s="107" t="n"/>
      <c r="I389" s="81" t="n"/>
      <c r="J389" s="108">
        <f>IF($B389="","",IF($E389="Ngày thường",N($G389),0))</f>
        <v/>
      </c>
      <c r="K389" s="108">
        <f>IF($B389="","",IF($E389="Nghỉ tuần",N($G389),0))</f>
        <v/>
      </c>
      <c r="L389" s="108">
        <f>IF($B389="","",IF($E389="Lễ",N($G389),0))</f>
        <v/>
      </c>
      <c r="M389" s="108">
        <f>IF($B389="","",IF($E389="Ngày thường",N($H389),0))</f>
        <v/>
      </c>
      <c r="N389" s="108">
        <f>IF($B389="","",IF($E389="Nghỉ tuần",N($H389),0))</f>
        <v/>
      </c>
      <c r="O389" s="108">
        <f>IF($B389="","",IF($E389="Lễ",N($H389),0))</f>
        <v/>
      </c>
    </row>
    <row r="390" ht="15" customHeight="1" s="63">
      <c r="A390" s="85">
        <f>IF($B390="","",ROW()-5)</f>
        <v/>
      </c>
      <c r="B390" s="97" t="n"/>
      <c r="C390" s="96">
        <f>IF($B390="","",IFERROR(INDEX(DM_NHAN_SU!$C$6:$C$155,MATCH($B390,DM_NHAN_SU!$B$6:$B$155,0)),"SAI MÃ NV"))</f>
        <v/>
      </c>
      <c r="D390" s="86" t="n"/>
      <c r="E390" s="103">
        <f>IF(OR($B390="",$D390=""),"",IF(COUNTIF(THAM_SO_CC!$F$10:$F$40,$D390)&gt;0,"Lễ",IF(IF(THAM_SO_CC!$B$12="T7+CN",WEEKDAY($D390,2)&gt;=6,WEEKDAY($D390,2)=7),"Nghỉ tuần","Ngày thường")))</f>
        <v/>
      </c>
      <c r="F390" s="107" t="n"/>
      <c r="G390" s="107" t="n"/>
      <c r="H390" s="107" t="n"/>
      <c r="I390" s="81" t="n"/>
      <c r="J390" s="108">
        <f>IF($B390="","",IF($E390="Ngày thường",N($G390),0))</f>
        <v/>
      </c>
      <c r="K390" s="108">
        <f>IF($B390="","",IF($E390="Nghỉ tuần",N($G390),0))</f>
        <v/>
      </c>
      <c r="L390" s="108">
        <f>IF($B390="","",IF($E390="Lễ",N($G390),0))</f>
        <v/>
      </c>
      <c r="M390" s="108">
        <f>IF($B390="","",IF($E390="Ngày thường",N($H390),0))</f>
        <v/>
      </c>
      <c r="N390" s="108">
        <f>IF($B390="","",IF($E390="Nghỉ tuần",N($H390),0))</f>
        <v/>
      </c>
      <c r="O390" s="108">
        <f>IF($B390="","",IF($E390="Lễ",N($H390),0))</f>
        <v/>
      </c>
    </row>
    <row r="391" ht="15" customHeight="1" s="63">
      <c r="A391" s="85">
        <f>IF($B391="","",ROW()-5)</f>
        <v/>
      </c>
      <c r="B391" s="97" t="n"/>
      <c r="C391" s="96">
        <f>IF($B391="","",IFERROR(INDEX(DM_NHAN_SU!$C$6:$C$155,MATCH($B391,DM_NHAN_SU!$B$6:$B$155,0)),"SAI MÃ NV"))</f>
        <v/>
      </c>
      <c r="D391" s="86" t="n"/>
      <c r="E391" s="103">
        <f>IF(OR($B391="",$D391=""),"",IF(COUNTIF(THAM_SO_CC!$F$10:$F$40,$D391)&gt;0,"Lễ",IF(IF(THAM_SO_CC!$B$12="T7+CN",WEEKDAY($D391,2)&gt;=6,WEEKDAY($D391,2)=7),"Nghỉ tuần","Ngày thường")))</f>
        <v/>
      </c>
      <c r="F391" s="107" t="n"/>
      <c r="G391" s="107" t="n"/>
      <c r="H391" s="107" t="n"/>
      <c r="I391" s="81" t="n"/>
      <c r="J391" s="108">
        <f>IF($B391="","",IF($E391="Ngày thường",N($G391),0))</f>
        <v/>
      </c>
      <c r="K391" s="108">
        <f>IF($B391="","",IF($E391="Nghỉ tuần",N($G391),0))</f>
        <v/>
      </c>
      <c r="L391" s="108">
        <f>IF($B391="","",IF($E391="Lễ",N($G391),0))</f>
        <v/>
      </c>
      <c r="M391" s="108">
        <f>IF($B391="","",IF($E391="Ngày thường",N($H391),0))</f>
        <v/>
      </c>
      <c r="N391" s="108">
        <f>IF($B391="","",IF($E391="Nghỉ tuần",N($H391),0))</f>
        <v/>
      </c>
      <c r="O391" s="108">
        <f>IF($B391="","",IF($E391="Lễ",N($H391),0))</f>
        <v/>
      </c>
    </row>
    <row r="392" ht="15" customHeight="1" s="63">
      <c r="A392" s="85">
        <f>IF($B392="","",ROW()-5)</f>
        <v/>
      </c>
      <c r="B392" s="97" t="n"/>
      <c r="C392" s="96">
        <f>IF($B392="","",IFERROR(INDEX(DM_NHAN_SU!$C$6:$C$155,MATCH($B392,DM_NHAN_SU!$B$6:$B$155,0)),"SAI MÃ NV"))</f>
        <v/>
      </c>
      <c r="D392" s="86" t="n"/>
      <c r="E392" s="103">
        <f>IF(OR($B392="",$D392=""),"",IF(COUNTIF(THAM_SO_CC!$F$10:$F$40,$D392)&gt;0,"Lễ",IF(IF(THAM_SO_CC!$B$12="T7+CN",WEEKDAY($D392,2)&gt;=6,WEEKDAY($D392,2)=7),"Nghỉ tuần","Ngày thường")))</f>
        <v/>
      </c>
      <c r="F392" s="107" t="n"/>
      <c r="G392" s="107" t="n"/>
      <c r="H392" s="107" t="n"/>
      <c r="I392" s="81" t="n"/>
      <c r="J392" s="108">
        <f>IF($B392="","",IF($E392="Ngày thường",N($G392),0))</f>
        <v/>
      </c>
      <c r="K392" s="108">
        <f>IF($B392="","",IF($E392="Nghỉ tuần",N($G392),0))</f>
        <v/>
      </c>
      <c r="L392" s="108">
        <f>IF($B392="","",IF($E392="Lễ",N($G392),0))</f>
        <v/>
      </c>
      <c r="M392" s="108">
        <f>IF($B392="","",IF($E392="Ngày thường",N($H392),0))</f>
        <v/>
      </c>
      <c r="N392" s="108">
        <f>IF($B392="","",IF($E392="Nghỉ tuần",N($H392),0))</f>
        <v/>
      </c>
      <c r="O392" s="108">
        <f>IF($B392="","",IF($E392="Lễ",N($H392),0))</f>
        <v/>
      </c>
    </row>
    <row r="393" ht="15" customHeight="1" s="63">
      <c r="A393" s="85">
        <f>IF($B393="","",ROW()-5)</f>
        <v/>
      </c>
      <c r="B393" s="97" t="n"/>
      <c r="C393" s="96">
        <f>IF($B393="","",IFERROR(INDEX(DM_NHAN_SU!$C$6:$C$155,MATCH($B393,DM_NHAN_SU!$B$6:$B$155,0)),"SAI MÃ NV"))</f>
        <v/>
      </c>
      <c r="D393" s="86" t="n"/>
      <c r="E393" s="103">
        <f>IF(OR($B393="",$D393=""),"",IF(COUNTIF(THAM_SO_CC!$F$10:$F$40,$D393)&gt;0,"Lễ",IF(IF(THAM_SO_CC!$B$12="T7+CN",WEEKDAY($D393,2)&gt;=6,WEEKDAY($D393,2)=7),"Nghỉ tuần","Ngày thường")))</f>
        <v/>
      </c>
      <c r="F393" s="107" t="n"/>
      <c r="G393" s="107" t="n"/>
      <c r="H393" s="107" t="n"/>
      <c r="I393" s="81" t="n"/>
      <c r="J393" s="108">
        <f>IF($B393="","",IF($E393="Ngày thường",N($G393),0))</f>
        <v/>
      </c>
      <c r="K393" s="108">
        <f>IF($B393="","",IF($E393="Nghỉ tuần",N($G393),0))</f>
        <v/>
      </c>
      <c r="L393" s="108">
        <f>IF($B393="","",IF($E393="Lễ",N($G393),0))</f>
        <v/>
      </c>
      <c r="M393" s="108">
        <f>IF($B393="","",IF($E393="Ngày thường",N($H393),0))</f>
        <v/>
      </c>
      <c r="N393" s="108">
        <f>IF($B393="","",IF($E393="Nghỉ tuần",N($H393),0))</f>
        <v/>
      </c>
      <c r="O393" s="108">
        <f>IF($B393="","",IF($E393="Lễ",N($H393),0))</f>
        <v/>
      </c>
    </row>
    <row r="394" ht="15" customHeight="1" s="63">
      <c r="A394" s="85">
        <f>IF($B394="","",ROW()-5)</f>
        <v/>
      </c>
      <c r="B394" s="97" t="n"/>
      <c r="C394" s="96">
        <f>IF($B394="","",IFERROR(INDEX(DM_NHAN_SU!$C$6:$C$155,MATCH($B394,DM_NHAN_SU!$B$6:$B$155,0)),"SAI MÃ NV"))</f>
        <v/>
      </c>
      <c r="D394" s="86" t="n"/>
      <c r="E394" s="103">
        <f>IF(OR($B394="",$D394=""),"",IF(COUNTIF(THAM_SO_CC!$F$10:$F$40,$D394)&gt;0,"Lễ",IF(IF(THAM_SO_CC!$B$12="T7+CN",WEEKDAY($D394,2)&gt;=6,WEEKDAY($D394,2)=7),"Nghỉ tuần","Ngày thường")))</f>
        <v/>
      </c>
      <c r="F394" s="107" t="n"/>
      <c r="G394" s="107" t="n"/>
      <c r="H394" s="107" t="n"/>
      <c r="I394" s="81" t="n"/>
      <c r="J394" s="108">
        <f>IF($B394="","",IF($E394="Ngày thường",N($G394),0))</f>
        <v/>
      </c>
      <c r="K394" s="108">
        <f>IF($B394="","",IF($E394="Nghỉ tuần",N($G394),0))</f>
        <v/>
      </c>
      <c r="L394" s="108">
        <f>IF($B394="","",IF($E394="Lễ",N($G394),0))</f>
        <v/>
      </c>
      <c r="M394" s="108">
        <f>IF($B394="","",IF($E394="Ngày thường",N($H394),0))</f>
        <v/>
      </c>
      <c r="N394" s="108">
        <f>IF($B394="","",IF($E394="Nghỉ tuần",N($H394),0))</f>
        <v/>
      </c>
      <c r="O394" s="108">
        <f>IF($B394="","",IF($E394="Lễ",N($H394),0))</f>
        <v/>
      </c>
    </row>
    <row r="395" ht="15" customHeight="1" s="63">
      <c r="A395" s="85">
        <f>IF($B395="","",ROW()-5)</f>
        <v/>
      </c>
      <c r="B395" s="97" t="n"/>
      <c r="C395" s="96">
        <f>IF($B395="","",IFERROR(INDEX(DM_NHAN_SU!$C$6:$C$155,MATCH($B395,DM_NHAN_SU!$B$6:$B$155,0)),"SAI MÃ NV"))</f>
        <v/>
      </c>
      <c r="D395" s="86" t="n"/>
      <c r="E395" s="103">
        <f>IF(OR($B395="",$D395=""),"",IF(COUNTIF(THAM_SO_CC!$F$10:$F$40,$D395)&gt;0,"Lễ",IF(IF(THAM_SO_CC!$B$12="T7+CN",WEEKDAY($D395,2)&gt;=6,WEEKDAY($D395,2)=7),"Nghỉ tuần","Ngày thường")))</f>
        <v/>
      </c>
      <c r="F395" s="107" t="n"/>
      <c r="G395" s="107" t="n"/>
      <c r="H395" s="107" t="n"/>
      <c r="I395" s="81" t="n"/>
      <c r="J395" s="108">
        <f>IF($B395="","",IF($E395="Ngày thường",N($G395),0))</f>
        <v/>
      </c>
      <c r="K395" s="108">
        <f>IF($B395="","",IF($E395="Nghỉ tuần",N($G395),0))</f>
        <v/>
      </c>
      <c r="L395" s="108">
        <f>IF($B395="","",IF($E395="Lễ",N($G395),0))</f>
        <v/>
      </c>
      <c r="M395" s="108">
        <f>IF($B395="","",IF($E395="Ngày thường",N($H395),0))</f>
        <v/>
      </c>
      <c r="N395" s="108">
        <f>IF($B395="","",IF($E395="Nghỉ tuần",N($H395),0))</f>
        <v/>
      </c>
      <c r="O395" s="108">
        <f>IF($B395="","",IF($E395="Lễ",N($H395),0))</f>
        <v/>
      </c>
    </row>
    <row r="396" ht="15" customHeight="1" s="63">
      <c r="A396" s="85">
        <f>IF($B396="","",ROW()-5)</f>
        <v/>
      </c>
      <c r="B396" s="97" t="n"/>
      <c r="C396" s="96">
        <f>IF($B396="","",IFERROR(INDEX(DM_NHAN_SU!$C$6:$C$155,MATCH($B396,DM_NHAN_SU!$B$6:$B$155,0)),"SAI MÃ NV"))</f>
        <v/>
      </c>
      <c r="D396" s="86" t="n"/>
      <c r="E396" s="103">
        <f>IF(OR($B396="",$D396=""),"",IF(COUNTIF(THAM_SO_CC!$F$10:$F$40,$D396)&gt;0,"Lễ",IF(IF(THAM_SO_CC!$B$12="T7+CN",WEEKDAY($D396,2)&gt;=6,WEEKDAY($D396,2)=7),"Nghỉ tuần","Ngày thường")))</f>
        <v/>
      </c>
      <c r="F396" s="107" t="n"/>
      <c r="G396" s="107" t="n"/>
      <c r="H396" s="107" t="n"/>
      <c r="I396" s="81" t="n"/>
      <c r="J396" s="108">
        <f>IF($B396="","",IF($E396="Ngày thường",N($G396),0))</f>
        <v/>
      </c>
      <c r="K396" s="108">
        <f>IF($B396="","",IF($E396="Nghỉ tuần",N($G396),0))</f>
        <v/>
      </c>
      <c r="L396" s="108">
        <f>IF($B396="","",IF($E396="Lễ",N($G396),0))</f>
        <v/>
      </c>
      <c r="M396" s="108">
        <f>IF($B396="","",IF($E396="Ngày thường",N($H396),0))</f>
        <v/>
      </c>
      <c r="N396" s="108">
        <f>IF($B396="","",IF($E396="Nghỉ tuần",N($H396),0))</f>
        <v/>
      </c>
      <c r="O396" s="108">
        <f>IF($B396="","",IF($E396="Lễ",N($H396),0))</f>
        <v/>
      </c>
    </row>
    <row r="397" ht="15" customHeight="1" s="63">
      <c r="A397" s="85">
        <f>IF($B397="","",ROW()-5)</f>
        <v/>
      </c>
      <c r="B397" s="97" t="n"/>
      <c r="C397" s="96">
        <f>IF($B397="","",IFERROR(INDEX(DM_NHAN_SU!$C$6:$C$155,MATCH($B397,DM_NHAN_SU!$B$6:$B$155,0)),"SAI MÃ NV"))</f>
        <v/>
      </c>
      <c r="D397" s="86" t="n"/>
      <c r="E397" s="103">
        <f>IF(OR($B397="",$D397=""),"",IF(COUNTIF(THAM_SO_CC!$F$10:$F$40,$D397)&gt;0,"Lễ",IF(IF(THAM_SO_CC!$B$12="T7+CN",WEEKDAY($D397,2)&gt;=6,WEEKDAY($D397,2)=7),"Nghỉ tuần","Ngày thường")))</f>
        <v/>
      </c>
      <c r="F397" s="107" t="n"/>
      <c r="G397" s="107" t="n"/>
      <c r="H397" s="107" t="n"/>
      <c r="I397" s="81" t="n"/>
      <c r="J397" s="108">
        <f>IF($B397="","",IF($E397="Ngày thường",N($G397),0))</f>
        <v/>
      </c>
      <c r="K397" s="108">
        <f>IF($B397="","",IF($E397="Nghỉ tuần",N($G397),0))</f>
        <v/>
      </c>
      <c r="L397" s="108">
        <f>IF($B397="","",IF($E397="Lễ",N($G397),0))</f>
        <v/>
      </c>
      <c r="M397" s="108">
        <f>IF($B397="","",IF($E397="Ngày thường",N($H397),0))</f>
        <v/>
      </c>
      <c r="N397" s="108">
        <f>IF($B397="","",IF($E397="Nghỉ tuần",N($H397),0))</f>
        <v/>
      </c>
      <c r="O397" s="108">
        <f>IF($B397="","",IF($E397="Lễ",N($H397),0))</f>
        <v/>
      </c>
    </row>
    <row r="398" ht="15" customHeight="1" s="63">
      <c r="A398" s="85">
        <f>IF($B398="","",ROW()-5)</f>
        <v/>
      </c>
      <c r="B398" s="97" t="n"/>
      <c r="C398" s="96">
        <f>IF($B398="","",IFERROR(INDEX(DM_NHAN_SU!$C$6:$C$155,MATCH($B398,DM_NHAN_SU!$B$6:$B$155,0)),"SAI MÃ NV"))</f>
        <v/>
      </c>
      <c r="D398" s="86" t="n"/>
      <c r="E398" s="103">
        <f>IF(OR($B398="",$D398=""),"",IF(COUNTIF(THAM_SO_CC!$F$10:$F$40,$D398)&gt;0,"Lễ",IF(IF(THAM_SO_CC!$B$12="T7+CN",WEEKDAY($D398,2)&gt;=6,WEEKDAY($D398,2)=7),"Nghỉ tuần","Ngày thường")))</f>
        <v/>
      </c>
      <c r="F398" s="107" t="n"/>
      <c r="G398" s="107" t="n"/>
      <c r="H398" s="107" t="n"/>
      <c r="I398" s="81" t="n"/>
      <c r="J398" s="108">
        <f>IF($B398="","",IF($E398="Ngày thường",N($G398),0))</f>
        <v/>
      </c>
      <c r="K398" s="108">
        <f>IF($B398="","",IF($E398="Nghỉ tuần",N($G398),0))</f>
        <v/>
      </c>
      <c r="L398" s="108">
        <f>IF($B398="","",IF($E398="Lễ",N($G398),0))</f>
        <v/>
      </c>
      <c r="M398" s="108">
        <f>IF($B398="","",IF($E398="Ngày thường",N($H398),0))</f>
        <v/>
      </c>
      <c r="N398" s="108">
        <f>IF($B398="","",IF($E398="Nghỉ tuần",N($H398),0))</f>
        <v/>
      </c>
      <c r="O398" s="108">
        <f>IF($B398="","",IF($E398="Lễ",N($H398),0))</f>
        <v/>
      </c>
    </row>
    <row r="399" ht="15" customHeight="1" s="63">
      <c r="A399" s="85">
        <f>IF($B399="","",ROW()-5)</f>
        <v/>
      </c>
      <c r="B399" s="97" t="n"/>
      <c r="C399" s="96">
        <f>IF($B399="","",IFERROR(INDEX(DM_NHAN_SU!$C$6:$C$155,MATCH($B399,DM_NHAN_SU!$B$6:$B$155,0)),"SAI MÃ NV"))</f>
        <v/>
      </c>
      <c r="D399" s="86" t="n"/>
      <c r="E399" s="103">
        <f>IF(OR($B399="",$D399=""),"",IF(COUNTIF(THAM_SO_CC!$F$10:$F$40,$D399)&gt;0,"Lễ",IF(IF(THAM_SO_CC!$B$12="T7+CN",WEEKDAY($D399,2)&gt;=6,WEEKDAY($D399,2)=7),"Nghỉ tuần","Ngày thường")))</f>
        <v/>
      </c>
      <c r="F399" s="107" t="n"/>
      <c r="G399" s="107" t="n"/>
      <c r="H399" s="107" t="n"/>
      <c r="I399" s="81" t="n"/>
      <c r="J399" s="108">
        <f>IF($B399="","",IF($E399="Ngày thường",N($G399),0))</f>
        <v/>
      </c>
      <c r="K399" s="108">
        <f>IF($B399="","",IF($E399="Nghỉ tuần",N($G399),0))</f>
        <v/>
      </c>
      <c r="L399" s="108">
        <f>IF($B399="","",IF($E399="Lễ",N($G399),0))</f>
        <v/>
      </c>
      <c r="M399" s="108">
        <f>IF($B399="","",IF($E399="Ngày thường",N($H399),0))</f>
        <v/>
      </c>
      <c r="N399" s="108">
        <f>IF($B399="","",IF($E399="Nghỉ tuần",N($H399),0))</f>
        <v/>
      </c>
      <c r="O399" s="108">
        <f>IF($B399="","",IF($E399="Lễ",N($H399),0))</f>
        <v/>
      </c>
    </row>
    <row r="400" ht="15" customHeight="1" s="63">
      <c r="A400" s="85">
        <f>IF($B400="","",ROW()-5)</f>
        <v/>
      </c>
      <c r="B400" s="97" t="n"/>
      <c r="C400" s="96">
        <f>IF($B400="","",IFERROR(INDEX(DM_NHAN_SU!$C$6:$C$155,MATCH($B400,DM_NHAN_SU!$B$6:$B$155,0)),"SAI MÃ NV"))</f>
        <v/>
      </c>
      <c r="D400" s="86" t="n"/>
      <c r="E400" s="103">
        <f>IF(OR($B400="",$D400=""),"",IF(COUNTIF(THAM_SO_CC!$F$10:$F$40,$D400)&gt;0,"Lễ",IF(IF(THAM_SO_CC!$B$12="T7+CN",WEEKDAY($D400,2)&gt;=6,WEEKDAY($D400,2)=7),"Nghỉ tuần","Ngày thường")))</f>
        <v/>
      </c>
      <c r="F400" s="107" t="n"/>
      <c r="G400" s="107" t="n"/>
      <c r="H400" s="107" t="n"/>
      <c r="I400" s="81" t="n"/>
      <c r="J400" s="108">
        <f>IF($B400="","",IF($E400="Ngày thường",N($G400),0))</f>
        <v/>
      </c>
      <c r="K400" s="108">
        <f>IF($B400="","",IF($E400="Nghỉ tuần",N($G400),0))</f>
        <v/>
      </c>
      <c r="L400" s="108">
        <f>IF($B400="","",IF($E400="Lễ",N($G400),0))</f>
        <v/>
      </c>
      <c r="M400" s="108">
        <f>IF($B400="","",IF($E400="Ngày thường",N($H400),0))</f>
        <v/>
      </c>
      <c r="N400" s="108">
        <f>IF($B400="","",IF($E400="Nghỉ tuần",N($H400),0))</f>
        <v/>
      </c>
      <c r="O400" s="108">
        <f>IF($B400="","",IF($E400="Lễ",N($H400),0))</f>
        <v/>
      </c>
    </row>
    <row r="401" ht="15" customHeight="1" s="63">
      <c r="A401" s="85">
        <f>IF($B401="","",ROW()-5)</f>
        <v/>
      </c>
      <c r="B401" s="97" t="n"/>
      <c r="C401" s="96">
        <f>IF($B401="","",IFERROR(INDEX(DM_NHAN_SU!$C$6:$C$155,MATCH($B401,DM_NHAN_SU!$B$6:$B$155,0)),"SAI MÃ NV"))</f>
        <v/>
      </c>
      <c r="D401" s="86" t="n"/>
      <c r="E401" s="103">
        <f>IF(OR($B401="",$D401=""),"",IF(COUNTIF(THAM_SO_CC!$F$10:$F$40,$D401)&gt;0,"Lễ",IF(IF(THAM_SO_CC!$B$12="T7+CN",WEEKDAY($D401,2)&gt;=6,WEEKDAY($D401,2)=7),"Nghỉ tuần","Ngày thường")))</f>
        <v/>
      </c>
      <c r="F401" s="107" t="n"/>
      <c r="G401" s="107" t="n"/>
      <c r="H401" s="107" t="n"/>
      <c r="I401" s="81" t="n"/>
      <c r="J401" s="108">
        <f>IF($B401="","",IF($E401="Ngày thường",N($G401),0))</f>
        <v/>
      </c>
      <c r="K401" s="108">
        <f>IF($B401="","",IF($E401="Nghỉ tuần",N($G401),0))</f>
        <v/>
      </c>
      <c r="L401" s="108">
        <f>IF($B401="","",IF($E401="Lễ",N($G401),0))</f>
        <v/>
      </c>
      <c r="M401" s="108">
        <f>IF($B401="","",IF($E401="Ngày thường",N($H401),0))</f>
        <v/>
      </c>
      <c r="N401" s="108">
        <f>IF($B401="","",IF($E401="Nghỉ tuần",N($H401),0))</f>
        <v/>
      </c>
      <c r="O401" s="108">
        <f>IF($B401="","",IF($E401="Lễ",N($H401),0))</f>
        <v/>
      </c>
    </row>
    <row r="402" ht="15" customHeight="1" s="63">
      <c r="A402" s="85">
        <f>IF($B402="","",ROW()-5)</f>
        <v/>
      </c>
      <c r="B402" s="97" t="n"/>
      <c r="C402" s="96">
        <f>IF($B402="","",IFERROR(INDEX(DM_NHAN_SU!$C$6:$C$155,MATCH($B402,DM_NHAN_SU!$B$6:$B$155,0)),"SAI MÃ NV"))</f>
        <v/>
      </c>
      <c r="D402" s="86" t="n"/>
      <c r="E402" s="103">
        <f>IF(OR($B402="",$D402=""),"",IF(COUNTIF(THAM_SO_CC!$F$10:$F$40,$D402)&gt;0,"Lễ",IF(IF(THAM_SO_CC!$B$12="T7+CN",WEEKDAY($D402,2)&gt;=6,WEEKDAY($D402,2)=7),"Nghỉ tuần","Ngày thường")))</f>
        <v/>
      </c>
      <c r="F402" s="107" t="n"/>
      <c r="G402" s="107" t="n"/>
      <c r="H402" s="107" t="n"/>
      <c r="I402" s="81" t="n"/>
      <c r="J402" s="108">
        <f>IF($B402="","",IF($E402="Ngày thường",N($G402),0))</f>
        <v/>
      </c>
      <c r="K402" s="108">
        <f>IF($B402="","",IF($E402="Nghỉ tuần",N($G402),0))</f>
        <v/>
      </c>
      <c r="L402" s="108">
        <f>IF($B402="","",IF($E402="Lễ",N($G402),0))</f>
        <v/>
      </c>
      <c r="M402" s="108">
        <f>IF($B402="","",IF($E402="Ngày thường",N($H402),0))</f>
        <v/>
      </c>
      <c r="N402" s="108">
        <f>IF($B402="","",IF($E402="Nghỉ tuần",N($H402),0))</f>
        <v/>
      </c>
      <c r="O402" s="108">
        <f>IF($B402="","",IF($E402="Lễ",N($H402),0))</f>
        <v/>
      </c>
    </row>
    <row r="403" ht="15" customHeight="1" s="63">
      <c r="A403" s="85">
        <f>IF($B403="","",ROW()-5)</f>
        <v/>
      </c>
      <c r="B403" s="97" t="n"/>
      <c r="C403" s="96">
        <f>IF($B403="","",IFERROR(INDEX(DM_NHAN_SU!$C$6:$C$155,MATCH($B403,DM_NHAN_SU!$B$6:$B$155,0)),"SAI MÃ NV"))</f>
        <v/>
      </c>
      <c r="D403" s="86" t="n"/>
      <c r="E403" s="103">
        <f>IF(OR($B403="",$D403=""),"",IF(COUNTIF(THAM_SO_CC!$F$10:$F$40,$D403)&gt;0,"Lễ",IF(IF(THAM_SO_CC!$B$12="T7+CN",WEEKDAY($D403,2)&gt;=6,WEEKDAY($D403,2)=7),"Nghỉ tuần","Ngày thường")))</f>
        <v/>
      </c>
      <c r="F403" s="107" t="n"/>
      <c r="G403" s="107" t="n"/>
      <c r="H403" s="107" t="n"/>
      <c r="I403" s="81" t="n"/>
      <c r="J403" s="108">
        <f>IF($B403="","",IF($E403="Ngày thường",N($G403),0))</f>
        <v/>
      </c>
      <c r="K403" s="108">
        <f>IF($B403="","",IF($E403="Nghỉ tuần",N($G403),0))</f>
        <v/>
      </c>
      <c r="L403" s="108">
        <f>IF($B403="","",IF($E403="Lễ",N($G403),0))</f>
        <v/>
      </c>
      <c r="M403" s="108">
        <f>IF($B403="","",IF($E403="Ngày thường",N($H403),0))</f>
        <v/>
      </c>
      <c r="N403" s="108">
        <f>IF($B403="","",IF($E403="Nghỉ tuần",N($H403),0))</f>
        <v/>
      </c>
      <c r="O403" s="108">
        <f>IF($B403="","",IF($E403="Lễ",N($H403),0))</f>
        <v/>
      </c>
    </row>
    <row r="404" ht="15" customHeight="1" s="63">
      <c r="A404" s="85">
        <f>IF($B404="","",ROW()-5)</f>
        <v/>
      </c>
      <c r="B404" s="97" t="n"/>
      <c r="C404" s="96">
        <f>IF($B404="","",IFERROR(INDEX(DM_NHAN_SU!$C$6:$C$155,MATCH($B404,DM_NHAN_SU!$B$6:$B$155,0)),"SAI MÃ NV"))</f>
        <v/>
      </c>
      <c r="D404" s="86" t="n"/>
      <c r="E404" s="103">
        <f>IF(OR($B404="",$D404=""),"",IF(COUNTIF(THAM_SO_CC!$F$10:$F$40,$D404)&gt;0,"Lễ",IF(IF(THAM_SO_CC!$B$12="T7+CN",WEEKDAY($D404,2)&gt;=6,WEEKDAY($D404,2)=7),"Nghỉ tuần","Ngày thường")))</f>
        <v/>
      </c>
      <c r="F404" s="107" t="n"/>
      <c r="G404" s="107" t="n"/>
      <c r="H404" s="107" t="n"/>
      <c r="I404" s="81" t="n"/>
      <c r="J404" s="108">
        <f>IF($B404="","",IF($E404="Ngày thường",N($G404),0))</f>
        <v/>
      </c>
      <c r="K404" s="108">
        <f>IF($B404="","",IF($E404="Nghỉ tuần",N($G404),0))</f>
        <v/>
      </c>
      <c r="L404" s="108">
        <f>IF($B404="","",IF($E404="Lễ",N($G404),0))</f>
        <v/>
      </c>
      <c r="M404" s="108">
        <f>IF($B404="","",IF($E404="Ngày thường",N($H404),0))</f>
        <v/>
      </c>
      <c r="N404" s="108">
        <f>IF($B404="","",IF($E404="Nghỉ tuần",N($H404),0))</f>
        <v/>
      </c>
      <c r="O404" s="108">
        <f>IF($B404="","",IF($E404="Lễ",N($H404),0))</f>
        <v/>
      </c>
    </row>
    <row r="405" ht="15" customHeight="1" s="63">
      <c r="A405" s="85">
        <f>IF($B405="","",ROW()-5)</f>
        <v/>
      </c>
      <c r="B405" s="97" t="n"/>
      <c r="C405" s="96">
        <f>IF($B405="","",IFERROR(INDEX(DM_NHAN_SU!$C$6:$C$155,MATCH($B405,DM_NHAN_SU!$B$6:$B$155,0)),"SAI MÃ NV"))</f>
        <v/>
      </c>
      <c r="D405" s="86" t="n"/>
      <c r="E405" s="103">
        <f>IF(OR($B405="",$D405=""),"",IF(COUNTIF(THAM_SO_CC!$F$10:$F$40,$D405)&gt;0,"Lễ",IF(IF(THAM_SO_CC!$B$12="T7+CN",WEEKDAY($D405,2)&gt;=6,WEEKDAY($D405,2)=7),"Nghỉ tuần","Ngày thường")))</f>
        <v/>
      </c>
      <c r="F405" s="107" t="n"/>
      <c r="G405" s="107" t="n"/>
      <c r="H405" s="107" t="n"/>
      <c r="I405" s="81" t="n"/>
      <c r="J405" s="108">
        <f>IF($B405="","",IF($E405="Ngày thường",N($G405),0))</f>
        <v/>
      </c>
      <c r="K405" s="108">
        <f>IF($B405="","",IF($E405="Nghỉ tuần",N($G405),0))</f>
        <v/>
      </c>
      <c r="L405" s="108">
        <f>IF($B405="","",IF($E405="Lễ",N($G405),0))</f>
        <v/>
      </c>
      <c r="M405" s="108">
        <f>IF($B405="","",IF($E405="Ngày thường",N($H405),0))</f>
        <v/>
      </c>
      <c r="N405" s="108">
        <f>IF($B405="","",IF($E405="Nghỉ tuần",N($H405),0))</f>
        <v/>
      </c>
      <c r="O405" s="108">
        <f>IF($B405="","",IF($E405="Lễ",N($H405),0))</f>
        <v/>
      </c>
    </row>
    <row r="406" ht="15" customHeight="1" s="63">
      <c r="A406" s="85">
        <f>IF($B406="","",ROW()-5)</f>
        <v/>
      </c>
      <c r="B406" s="97" t="n"/>
      <c r="C406" s="96">
        <f>IF($B406="","",IFERROR(INDEX(DM_NHAN_SU!$C$6:$C$155,MATCH($B406,DM_NHAN_SU!$B$6:$B$155,0)),"SAI MÃ NV"))</f>
        <v/>
      </c>
      <c r="D406" s="86" t="n"/>
      <c r="E406" s="103">
        <f>IF(OR($B406="",$D406=""),"",IF(COUNTIF(THAM_SO_CC!$F$10:$F$40,$D406)&gt;0,"Lễ",IF(IF(THAM_SO_CC!$B$12="T7+CN",WEEKDAY($D406,2)&gt;=6,WEEKDAY($D406,2)=7),"Nghỉ tuần","Ngày thường")))</f>
        <v/>
      </c>
      <c r="F406" s="107" t="n"/>
      <c r="G406" s="107" t="n"/>
      <c r="H406" s="107" t="n"/>
      <c r="I406" s="81" t="n"/>
      <c r="J406" s="108">
        <f>IF($B406="","",IF($E406="Ngày thường",N($G406),0))</f>
        <v/>
      </c>
      <c r="K406" s="108">
        <f>IF($B406="","",IF($E406="Nghỉ tuần",N($G406),0))</f>
        <v/>
      </c>
      <c r="L406" s="108">
        <f>IF($B406="","",IF($E406="Lễ",N($G406),0))</f>
        <v/>
      </c>
      <c r="M406" s="108">
        <f>IF($B406="","",IF($E406="Ngày thường",N($H406),0))</f>
        <v/>
      </c>
      <c r="N406" s="108">
        <f>IF($B406="","",IF($E406="Nghỉ tuần",N($H406),0))</f>
        <v/>
      </c>
      <c r="O406" s="108">
        <f>IF($B406="","",IF($E406="Lễ",N($H406),0))</f>
        <v/>
      </c>
    </row>
    <row r="407" ht="15" customHeight="1" s="63">
      <c r="A407" s="85">
        <f>IF($B407="","",ROW()-5)</f>
        <v/>
      </c>
      <c r="B407" s="97" t="n"/>
      <c r="C407" s="96">
        <f>IF($B407="","",IFERROR(INDEX(DM_NHAN_SU!$C$6:$C$155,MATCH($B407,DM_NHAN_SU!$B$6:$B$155,0)),"SAI MÃ NV"))</f>
        <v/>
      </c>
      <c r="D407" s="86" t="n"/>
      <c r="E407" s="103">
        <f>IF(OR($B407="",$D407=""),"",IF(COUNTIF(THAM_SO_CC!$F$10:$F$40,$D407)&gt;0,"Lễ",IF(IF(THAM_SO_CC!$B$12="T7+CN",WEEKDAY($D407,2)&gt;=6,WEEKDAY($D407,2)=7),"Nghỉ tuần","Ngày thường")))</f>
        <v/>
      </c>
      <c r="F407" s="107" t="n"/>
      <c r="G407" s="107" t="n"/>
      <c r="H407" s="107" t="n"/>
      <c r="I407" s="81" t="n"/>
      <c r="J407" s="108">
        <f>IF($B407="","",IF($E407="Ngày thường",N($G407),0))</f>
        <v/>
      </c>
      <c r="K407" s="108">
        <f>IF($B407="","",IF($E407="Nghỉ tuần",N($G407),0))</f>
        <v/>
      </c>
      <c r="L407" s="108">
        <f>IF($B407="","",IF($E407="Lễ",N($G407),0))</f>
        <v/>
      </c>
      <c r="M407" s="108">
        <f>IF($B407="","",IF($E407="Ngày thường",N($H407),0))</f>
        <v/>
      </c>
      <c r="N407" s="108">
        <f>IF($B407="","",IF($E407="Nghỉ tuần",N($H407),0))</f>
        <v/>
      </c>
      <c r="O407" s="108">
        <f>IF($B407="","",IF($E407="Lễ",N($H407),0))</f>
        <v/>
      </c>
    </row>
    <row r="408" ht="15" customHeight="1" s="63">
      <c r="A408" s="85">
        <f>IF($B408="","",ROW()-5)</f>
        <v/>
      </c>
      <c r="B408" s="97" t="n"/>
      <c r="C408" s="96">
        <f>IF($B408="","",IFERROR(INDEX(DM_NHAN_SU!$C$6:$C$155,MATCH($B408,DM_NHAN_SU!$B$6:$B$155,0)),"SAI MÃ NV"))</f>
        <v/>
      </c>
      <c r="D408" s="86" t="n"/>
      <c r="E408" s="103">
        <f>IF(OR($B408="",$D408=""),"",IF(COUNTIF(THAM_SO_CC!$F$10:$F$40,$D408)&gt;0,"Lễ",IF(IF(THAM_SO_CC!$B$12="T7+CN",WEEKDAY($D408,2)&gt;=6,WEEKDAY($D408,2)=7),"Nghỉ tuần","Ngày thường")))</f>
        <v/>
      </c>
      <c r="F408" s="107" t="n"/>
      <c r="G408" s="107" t="n"/>
      <c r="H408" s="107" t="n"/>
      <c r="I408" s="81" t="n"/>
      <c r="J408" s="108">
        <f>IF($B408="","",IF($E408="Ngày thường",N($G408),0))</f>
        <v/>
      </c>
      <c r="K408" s="108">
        <f>IF($B408="","",IF($E408="Nghỉ tuần",N($G408),0))</f>
        <v/>
      </c>
      <c r="L408" s="108">
        <f>IF($B408="","",IF($E408="Lễ",N($G408),0))</f>
        <v/>
      </c>
      <c r="M408" s="108">
        <f>IF($B408="","",IF($E408="Ngày thường",N($H408),0))</f>
        <v/>
      </c>
      <c r="N408" s="108">
        <f>IF($B408="","",IF($E408="Nghỉ tuần",N($H408),0))</f>
        <v/>
      </c>
      <c r="O408" s="108">
        <f>IF($B408="","",IF($E408="Lễ",N($H408),0))</f>
        <v/>
      </c>
    </row>
    <row r="409" ht="15" customHeight="1" s="63">
      <c r="A409" s="85">
        <f>IF($B409="","",ROW()-5)</f>
        <v/>
      </c>
      <c r="B409" s="97" t="n"/>
      <c r="C409" s="96">
        <f>IF($B409="","",IFERROR(INDEX(DM_NHAN_SU!$C$6:$C$155,MATCH($B409,DM_NHAN_SU!$B$6:$B$155,0)),"SAI MÃ NV"))</f>
        <v/>
      </c>
      <c r="D409" s="86" t="n"/>
      <c r="E409" s="103">
        <f>IF(OR($B409="",$D409=""),"",IF(COUNTIF(THAM_SO_CC!$F$10:$F$40,$D409)&gt;0,"Lễ",IF(IF(THAM_SO_CC!$B$12="T7+CN",WEEKDAY($D409,2)&gt;=6,WEEKDAY($D409,2)=7),"Nghỉ tuần","Ngày thường")))</f>
        <v/>
      </c>
      <c r="F409" s="107" t="n"/>
      <c r="G409" s="107" t="n"/>
      <c r="H409" s="107" t="n"/>
      <c r="I409" s="81" t="n"/>
      <c r="J409" s="108">
        <f>IF($B409="","",IF($E409="Ngày thường",N($G409),0))</f>
        <v/>
      </c>
      <c r="K409" s="108">
        <f>IF($B409="","",IF($E409="Nghỉ tuần",N($G409),0))</f>
        <v/>
      </c>
      <c r="L409" s="108">
        <f>IF($B409="","",IF($E409="Lễ",N($G409),0))</f>
        <v/>
      </c>
      <c r="M409" s="108">
        <f>IF($B409="","",IF($E409="Ngày thường",N($H409),0))</f>
        <v/>
      </c>
      <c r="N409" s="108">
        <f>IF($B409="","",IF($E409="Nghỉ tuần",N($H409),0))</f>
        <v/>
      </c>
      <c r="O409" s="108">
        <f>IF($B409="","",IF($E409="Lễ",N($H409),0))</f>
        <v/>
      </c>
    </row>
    <row r="410" ht="15" customHeight="1" s="63">
      <c r="A410" s="85">
        <f>IF($B410="","",ROW()-5)</f>
        <v/>
      </c>
      <c r="B410" s="97" t="n"/>
      <c r="C410" s="96">
        <f>IF($B410="","",IFERROR(INDEX(DM_NHAN_SU!$C$6:$C$155,MATCH($B410,DM_NHAN_SU!$B$6:$B$155,0)),"SAI MÃ NV"))</f>
        <v/>
      </c>
      <c r="D410" s="86" t="n"/>
      <c r="E410" s="103">
        <f>IF(OR($B410="",$D410=""),"",IF(COUNTIF(THAM_SO_CC!$F$10:$F$40,$D410)&gt;0,"Lễ",IF(IF(THAM_SO_CC!$B$12="T7+CN",WEEKDAY($D410,2)&gt;=6,WEEKDAY($D410,2)=7),"Nghỉ tuần","Ngày thường")))</f>
        <v/>
      </c>
      <c r="F410" s="107" t="n"/>
      <c r="G410" s="107" t="n"/>
      <c r="H410" s="107" t="n"/>
      <c r="I410" s="81" t="n"/>
      <c r="J410" s="108">
        <f>IF($B410="","",IF($E410="Ngày thường",N($G410),0))</f>
        <v/>
      </c>
      <c r="K410" s="108">
        <f>IF($B410="","",IF($E410="Nghỉ tuần",N($G410),0))</f>
        <v/>
      </c>
      <c r="L410" s="108">
        <f>IF($B410="","",IF($E410="Lễ",N($G410),0))</f>
        <v/>
      </c>
      <c r="M410" s="108">
        <f>IF($B410="","",IF($E410="Ngày thường",N($H410),0))</f>
        <v/>
      </c>
      <c r="N410" s="108">
        <f>IF($B410="","",IF($E410="Nghỉ tuần",N($H410),0))</f>
        <v/>
      </c>
      <c r="O410" s="108">
        <f>IF($B410="","",IF($E410="Lễ",N($H410),0))</f>
        <v/>
      </c>
    </row>
    <row r="411" ht="15" customHeight="1" s="63">
      <c r="A411" s="85">
        <f>IF($B411="","",ROW()-5)</f>
        <v/>
      </c>
      <c r="B411" s="97" t="n"/>
      <c r="C411" s="96">
        <f>IF($B411="","",IFERROR(INDEX(DM_NHAN_SU!$C$6:$C$155,MATCH($B411,DM_NHAN_SU!$B$6:$B$155,0)),"SAI MÃ NV"))</f>
        <v/>
      </c>
      <c r="D411" s="86" t="n"/>
      <c r="E411" s="103">
        <f>IF(OR($B411="",$D411=""),"",IF(COUNTIF(THAM_SO_CC!$F$10:$F$40,$D411)&gt;0,"Lễ",IF(IF(THAM_SO_CC!$B$12="T7+CN",WEEKDAY($D411,2)&gt;=6,WEEKDAY($D411,2)=7),"Nghỉ tuần","Ngày thường")))</f>
        <v/>
      </c>
      <c r="F411" s="107" t="n"/>
      <c r="G411" s="107" t="n"/>
      <c r="H411" s="107" t="n"/>
      <c r="I411" s="81" t="n"/>
      <c r="J411" s="108">
        <f>IF($B411="","",IF($E411="Ngày thường",N($G411),0))</f>
        <v/>
      </c>
      <c r="K411" s="108">
        <f>IF($B411="","",IF($E411="Nghỉ tuần",N($G411),0))</f>
        <v/>
      </c>
      <c r="L411" s="108">
        <f>IF($B411="","",IF($E411="Lễ",N($G411),0))</f>
        <v/>
      </c>
      <c r="M411" s="108">
        <f>IF($B411="","",IF($E411="Ngày thường",N($H411),0))</f>
        <v/>
      </c>
      <c r="N411" s="108">
        <f>IF($B411="","",IF($E411="Nghỉ tuần",N($H411),0))</f>
        <v/>
      </c>
      <c r="O411" s="108">
        <f>IF($B411="","",IF($E411="Lễ",N($H411),0))</f>
        <v/>
      </c>
    </row>
    <row r="412" ht="15" customHeight="1" s="63">
      <c r="A412" s="85">
        <f>IF($B412="","",ROW()-5)</f>
        <v/>
      </c>
      <c r="B412" s="97" t="n"/>
      <c r="C412" s="96">
        <f>IF($B412="","",IFERROR(INDEX(DM_NHAN_SU!$C$6:$C$155,MATCH($B412,DM_NHAN_SU!$B$6:$B$155,0)),"SAI MÃ NV"))</f>
        <v/>
      </c>
      <c r="D412" s="86" t="n"/>
      <c r="E412" s="103">
        <f>IF(OR($B412="",$D412=""),"",IF(COUNTIF(THAM_SO_CC!$F$10:$F$40,$D412)&gt;0,"Lễ",IF(IF(THAM_SO_CC!$B$12="T7+CN",WEEKDAY($D412,2)&gt;=6,WEEKDAY($D412,2)=7),"Nghỉ tuần","Ngày thường")))</f>
        <v/>
      </c>
      <c r="F412" s="107" t="n"/>
      <c r="G412" s="107" t="n"/>
      <c r="H412" s="107" t="n"/>
      <c r="I412" s="81" t="n"/>
      <c r="J412" s="108">
        <f>IF($B412="","",IF($E412="Ngày thường",N($G412),0))</f>
        <v/>
      </c>
      <c r="K412" s="108">
        <f>IF($B412="","",IF($E412="Nghỉ tuần",N($G412),0))</f>
        <v/>
      </c>
      <c r="L412" s="108">
        <f>IF($B412="","",IF($E412="Lễ",N($G412),0))</f>
        <v/>
      </c>
      <c r="M412" s="108">
        <f>IF($B412="","",IF($E412="Ngày thường",N($H412),0))</f>
        <v/>
      </c>
      <c r="N412" s="108">
        <f>IF($B412="","",IF($E412="Nghỉ tuần",N($H412),0))</f>
        <v/>
      </c>
      <c r="O412" s="108">
        <f>IF($B412="","",IF($E412="Lễ",N($H412),0))</f>
        <v/>
      </c>
    </row>
    <row r="413" ht="15" customHeight="1" s="63">
      <c r="A413" s="85">
        <f>IF($B413="","",ROW()-5)</f>
        <v/>
      </c>
      <c r="B413" s="97" t="n"/>
      <c r="C413" s="96">
        <f>IF($B413="","",IFERROR(INDEX(DM_NHAN_SU!$C$6:$C$155,MATCH($B413,DM_NHAN_SU!$B$6:$B$155,0)),"SAI MÃ NV"))</f>
        <v/>
      </c>
      <c r="D413" s="86" t="n"/>
      <c r="E413" s="103">
        <f>IF(OR($B413="",$D413=""),"",IF(COUNTIF(THAM_SO_CC!$F$10:$F$40,$D413)&gt;0,"Lễ",IF(IF(THAM_SO_CC!$B$12="T7+CN",WEEKDAY($D413,2)&gt;=6,WEEKDAY($D413,2)=7),"Nghỉ tuần","Ngày thường")))</f>
        <v/>
      </c>
      <c r="F413" s="107" t="n"/>
      <c r="G413" s="107" t="n"/>
      <c r="H413" s="107" t="n"/>
      <c r="I413" s="81" t="n"/>
      <c r="J413" s="108">
        <f>IF($B413="","",IF($E413="Ngày thường",N($G413),0))</f>
        <v/>
      </c>
      <c r="K413" s="108">
        <f>IF($B413="","",IF($E413="Nghỉ tuần",N($G413),0))</f>
        <v/>
      </c>
      <c r="L413" s="108">
        <f>IF($B413="","",IF($E413="Lễ",N($G413),0))</f>
        <v/>
      </c>
      <c r="M413" s="108">
        <f>IF($B413="","",IF($E413="Ngày thường",N($H413),0))</f>
        <v/>
      </c>
      <c r="N413" s="108">
        <f>IF($B413="","",IF($E413="Nghỉ tuần",N($H413),0))</f>
        <v/>
      </c>
      <c r="O413" s="108">
        <f>IF($B413="","",IF($E413="Lễ",N($H413),0))</f>
        <v/>
      </c>
    </row>
    <row r="414" ht="15" customHeight="1" s="63">
      <c r="A414" s="85">
        <f>IF($B414="","",ROW()-5)</f>
        <v/>
      </c>
      <c r="B414" s="97" t="n"/>
      <c r="C414" s="96">
        <f>IF($B414="","",IFERROR(INDEX(DM_NHAN_SU!$C$6:$C$155,MATCH($B414,DM_NHAN_SU!$B$6:$B$155,0)),"SAI MÃ NV"))</f>
        <v/>
      </c>
      <c r="D414" s="86" t="n"/>
      <c r="E414" s="103">
        <f>IF(OR($B414="",$D414=""),"",IF(COUNTIF(THAM_SO_CC!$F$10:$F$40,$D414)&gt;0,"Lễ",IF(IF(THAM_SO_CC!$B$12="T7+CN",WEEKDAY($D414,2)&gt;=6,WEEKDAY($D414,2)=7),"Nghỉ tuần","Ngày thường")))</f>
        <v/>
      </c>
      <c r="F414" s="107" t="n"/>
      <c r="G414" s="107" t="n"/>
      <c r="H414" s="107" t="n"/>
      <c r="I414" s="81" t="n"/>
      <c r="J414" s="108">
        <f>IF($B414="","",IF($E414="Ngày thường",N($G414),0))</f>
        <v/>
      </c>
      <c r="K414" s="108">
        <f>IF($B414="","",IF($E414="Nghỉ tuần",N($G414),0))</f>
        <v/>
      </c>
      <c r="L414" s="108">
        <f>IF($B414="","",IF($E414="Lễ",N($G414),0))</f>
        <v/>
      </c>
      <c r="M414" s="108">
        <f>IF($B414="","",IF($E414="Ngày thường",N($H414),0))</f>
        <v/>
      </c>
      <c r="N414" s="108">
        <f>IF($B414="","",IF($E414="Nghỉ tuần",N($H414),0))</f>
        <v/>
      </c>
      <c r="O414" s="108">
        <f>IF($B414="","",IF($E414="Lễ",N($H414),0))</f>
        <v/>
      </c>
    </row>
    <row r="415" ht="15" customHeight="1" s="63">
      <c r="A415" s="85">
        <f>IF($B415="","",ROW()-5)</f>
        <v/>
      </c>
      <c r="B415" s="97" t="n"/>
      <c r="C415" s="96">
        <f>IF($B415="","",IFERROR(INDEX(DM_NHAN_SU!$C$6:$C$155,MATCH($B415,DM_NHAN_SU!$B$6:$B$155,0)),"SAI MÃ NV"))</f>
        <v/>
      </c>
      <c r="D415" s="86" t="n"/>
      <c r="E415" s="103">
        <f>IF(OR($B415="",$D415=""),"",IF(COUNTIF(THAM_SO_CC!$F$10:$F$40,$D415)&gt;0,"Lễ",IF(IF(THAM_SO_CC!$B$12="T7+CN",WEEKDAY($D415,2)&gt;=6,WEEKDAY($D415,2)=7),"Nghỉ tuần","Ngày thường")))</f>
        <v/>
      </c>
      <c r="F415" s="107" t="n"/>
      <c r="G415" s="107" t="n"/>
      <c r="H415" s="107" t="n"/>
      <c r="I415" s="81" t="n"/>
      <c r="J415" s="108">
        <f>IF($B415="","",IF($E415="Ngày thường",N($G415),0))</f>
        <v/>
      </c>
      <c r="K415" s="108">
        <f>IF($B415="","",IF($E415="Nghỉ tuần",N($G415),0))</f>
        <v/>
      </c>
      <c r="L415" s="108">
        <f>IF($B415="","",IF($E415="Lễ",N($G415),0))</f>
        <v/>
      </c>
      <c r="M415" s="108">
        <f>IF($B415="","",IF($E415="Ngày thường",N($H415),0))</f>
        <v/>
      </c>
      <c r="N415" s="108">
        <f>IF($B415="","",IF($E415="Nghỉ tuần",N($H415),0))</f>
        <v/>
      </c>
      <c r="O415" s="108">
        <f>IF($B415="","",IF($E415="Lễ",N($H415),0))</f>
        <v/>
      </c>
    </row>
    <row r="416" ht="15" customHeight="1" s="63">
      <c r="A416" s="85">
        <f>IF($B416="","",ROW()-5)</f>
        <v/>
      </c>
      <c r="B416" s="97" t="n"/>
      <c r="C416" s="96">
        <f>IF($B416="","",IFERROR(INDEX(DM_NHAN_SU!$C$6:$C$155,MATCH($B416,DM_NHAN_SU!$B$6:$B$155,0)),"SAI MÃ NV"))</f>
        <v/>
      </c>
      <c r="D416" s="86" t="n"/>
      <c r="E416" s="103">
        <f>IF(OR($B416="",$D416=""),"",IF(COUNTIF(THAM_SO_CC!$F$10:$F$40,$D416)&gt;0,"Lễ",IF(IF(THAM_SO_CC!$B$12="T7+CN",WEEKDAY($D416,2)&gt;=6,WEEKDAY($D416,2)=7),"Nghỉ tuần","Ngày thường")))</f>
        <v/>
      </c>
      <c r="F416" s="107" t="n"/>
      <c r="G416" s="107" t="n"/>
      <c r="H416" s="107" t="n"/>
      <c r="I416" s="81" t="n"/>
      <c r="J416" s="108">
        <f>IF($B416="","",IF($E416="Ngày thường",N($G416),0))</f>
        <v/>
      </c>
      <c r="K416" s="108">
        <f>IF($B416="","",IF($E416="Nghỉ tuần",N($G416),0))</f>
        <v/>
      </c>
      <c r="L416" s="108">
        <f>IF($B416="","",IF($E416="Lễ",N($G416),0))</f>
        <v/>
      </c>
      <c r="M416" s="108">
        <f>IF($B416="","",IF($E416="Ngày thường",N($H416),0))</f>
        <v/>
      </c>
      <c r="N416" s="108">
        <f>IF($B416="","",IF($E416="Nghỉ tuần",N($H416),0))</f>
        <v/>
      </c>
      <c r="O416" s="108">
        <f>IF($B416="","",IF($E416="Lễ",N($H416),0))</f>
        <v/>
      </c>
    </row>
    <row r="417" ht="15" customHeight="1" s="63">
      <c r="A417" s="85">
        <f>IF($B417="","",ROW()-5)</f>
        <v/>
      </c>
      <c r="B417" s="97" t="n"/>
      <c r="C417" s="96">
        <f>IF($B417="","",IFERROR(INDEX(DM_NHAN_SU!$C$6:$C$155,MATCH($B417,DM_NHAN_SU!$B$6:$B$155,0)),"SAI MÃ NV"))</f>
        <v/>
      </c>
      <c r="D417" s="86" t="n"/>
      <c r="E417" s="103">
        <f>IF(OR($B417="",$D417=""),"",IF(COUNTIF(THAM_SO_CC!$F$10:$F$40,$D417)&gt;0,"Lễ",IF(IF(THAM_SO_CC!$B$12="T7+CN",WEEKDAY($D417,2)&gt;=6,WEEKDAY($D417,2)=7),"Nghỉ tuần","Ngày thường")))</f>
        <v/>
      </c>
      <c r="F417" s="107" t="n"/>
      <c r="G417" s="107" t="n"/>
      <c r="H417" s="107" t="n"/>
      <c r="I417" s="81" t="n"/>
      <c r="J417" s="108">
        <f>IF($B417="","",IF($E417="Ngày thường",N($G417),0))</f>
        <v/>
      </c>
      <c r="K417" s="108">
        <f>IF($B417="","",IF($E417="Nghỉ tuần",N($G417),0))</f>
        <v/>
      </c>
      <c r="L417" s="108">
        <f>IF($B417="","",IF($E417="Lễ",N($G417),0))</f>
        <v/>
      </c>
      <c r="M417" s="108">
        <f>IF($B417="","",IF($E417="Ngày thường",N($H417),0))</f>
        <v/>
      </c>
      <c r="N417" s="108">
        <f>IF($B417="","",IF($E417="Nghỉ tuần",N($H417),0))</f>
        <v/>
      </c>
      <c r="O417" s="108">
        <f>IF($B417="","",IF($E417="Lễ",N($H417),0))</f>
        <v/>
      </c>
    </row>
    <row r="418" ht="15" customHeight="1" s="63">
      <c r="A418" s="85">
        <f>IF($B418="","",ROW()-5)</f>
        <v/>
      </c>
      <c r="B418" s="97" t="n"/>
      <c r="C418" s="96">
        <f>IF($B418="","",IFERROR(INDEX(DM_NHAN_SU!$C$6:$C$155,MATCH($B418,DM_NHAN_SU!$B$6:$B$155,0)),"SAI MÃ NV"))</f>
        <v/>
      </c>
      <c r="D418" s="86" t="n"/>
      <c r="E418" s="103">
        <f>IF(OR($B418="",$D418=""),"",IF(COUNTIF(THAM_SO_CC!$F$10:$F$40,$D418)&gt;0,"Lễ",IF(IF(THAM_SO_CC!$B$12="T7+CN",WEEKDAY($D418,2)&gt;=6,WEEKDAY($D418,2)=7),"Nghỉ tuần","Ngày thường")))</f>
        <v/>
      </c>
      <c r="F418" s="107" t="n"/>
      <c r="G418" s="107" t="n"/>
      <c r="H418" s="107" t="n"/>
      <c r="I418" s="81" t="n"/>
      <c r="J418" s="108">
        <f>IF($B418="","",IF($E418="Ngày thường",N($G418),0))</f>
        <v/>
      </c>
      <c r="K418" s="108">
        <f>IF($B418="","",IF($E418="Nghỉ tuần",N($G418),0))</f>
        <v/>
      </c>
      <c r="L418" s="108">
        <f>IF($B418="","",IF($E418="Lễ",N($G418),0))</f>
        <v/>
      </c>
      <c r="M418" s="108">
        <f>IF($B418="","",IF($E418="Ngày thường",N($H418),0))</f>
        <v/>
      </c>
      <c r="N418" s="108">
        <f>IF($B418="","",IF($E418="Nghỉ tuần",N($H418),0))</f>
        <v/>
      </c>
      <c r="O418" s="108">
        <f>IF($B418="","",IF($E418="Lễ",N($H418),0))</f>
        <v/>
      </c>
    </row>
    <row r="419" ht="15" customHeight="1" s="63">
      <c r="A419" s="85">
        <f>IF($B419="","",ROW()-5)</f>
        <v/>
      </c>
      <c r="B419" s="97" t="n"/>
      <c r="C419" s="96">
        <f>IF($B419="","",IFERROR(INDEX(DM_NHAN_SU!$C$6:$C$155,MATCH($B419,DM_NHAN_SU!$B$6:$B$155,0)),"SAI MÃ NV"))</f>
        <v/>
      </c>
      <c r="D419" s="86" t="n"/>
      <c r="E419" s="103">
        <f>IF(OR($B419="",$D419=""),"",IF(COUNTIF(THAM_SO_CC!$F$10:$F$40,$D419)&gt;0,"Lễ",IF(IF(THAM_SO_CC!$B$12="T7+CN",WEEKDAY($D419,2)&gt;=6,WEEKDAY($D419,2)=7),"Nghỉ tuần","Ngày thường")))</f>
        <v/>
      </c>
      <c r="F419" s="107" t="n"/>
      <c r="G419" s="107" t="n"/>
      <c r="H419" s="107" t="n"/>
      <c r="I419" s="81" t="n"/>
      <c r="J419" s="108">
        <f>IF($B419="","",IF($E419="Ngày thường",N($G419),0))</f>
        <v/>
      </c>
      <c r="K419" s="108">
        <f>IF($B419="","",IF($E419="Nghỉ tuần",N($G419),0))</f>
        <v/>
      </c>
      <c r="L419" s="108">
        <f>IF($B419="","",IF($E419="Lễ",N($G419),0))</f>
        <v/>
      </c>
      <c r="M419" s="108">
        <f>IF($B419="","",IF($E419="Ngày thường",N($H419),0))</f>
        <v/>
      </c>
      <c r="N419" s="108">
        <f>IF($B419="","",IF($E419="Nghỉ tuần",N($H419),0))</f>
        <v/>
      </c>
      <c r="O419" s="108">
        <f>IF($B419="","",IF($E419="Lễ",N($H419),0))</f>
        <v/>
      </c>
    </row>
    <row r="420" ht="15" customHeight="1" s="63">
      <c r="A420" s="85">
        <f>IF($B420="","",ROW()-5)</f>
        <v/>
      </c>
      <c r="B420" s="97" t="n"/>
      <c r="C420" s="96">
        <f>IF($B420="","",IFERROR(INDEX(DM_NHAN_SU!$C$6:$C$155,MATCH($B420,DM_NHAN_SU!$B$6:$B$155,0)),"SAI MÃ NV"))</f>
        <v/>
      </c>
      <c r="D420" s="86" t="n"/>
      <c r="E420" s="103">
        <f>IF(OR($B420="",$D420=""),"",IF(COUNTIF(THAM_SO_CC!$F$10:$F$40,$D420)&gt;0,"Lễ",IF(IF(THAM_SO_CC!$B$12="T7+CN",WEEKDAY($D420,2)&gt;=6,WEEKDAY($D420,2)=7),"Nghỉ tuần","Ngày thường")))</f>
        <v/>
      </c>
      <c r="F420" s="107" t="n"/>
      <c r="G420" s="107" t="n"/>
      <c r="H420" s="107" t="n"/>
      <c r="I420" s="81" t="n"/>
      <c r="J420" s="108">
        <f>IF($B420="","",IF($E420="Ngày thường",N($G420),0))</f>
        <v/>
      </c>
      <c r="K420" s="108">
        <f>IF($B420="","",IF($E420="Nghỉ tuần",N($G420),0))</f>
        <v/>
      </c>
      <c r="L420" s="108">
        <f>IF($B420="","",IF($E420="Lễ",N($G420),0))</f>
        <v/>
      </c>
      <c r="M420" s="108">
        <f>IF($B420="","",IF($E420="Ngày thường",N($H420),0))</f>
        <v/>
      </c>
      <c r="N420" s="108">
        <f>IF($B420="","",IF($E420="Nghỉ tuần",N($H420),0))</f>
        <v/>
      </c>
      <c r="O420" s="108">
        <f>IF($B420="","",IF($E420="Lễ",N($H420),0))</f>
        <v/>
      </c>
    </row>
    <row r="421" ht="15" customHeight="1" s="63">
      <c r="A421" s="85">
        <f>IF($B421="","",ROW()-5)</f>
        <v/>
      </c>
      <c r="B421" s="97" t="n"/>
      <c r="C421" s="96">
        <f>IF($B421="","",IFERROR(INDEX(DM_NHAN_SU!$C$6:$C$155,MATCH($B421,DM_NHAN_SU!$B$6:$B$155,0)),"SAI MÃ NV"))</f>
        <v/>
      </c>
      <c r="D421" s="86" t="n"/>
      <c r="E421" s="103">
        <f>IF(OR($B421="",$D421=""),"",IF(COUNTIF(THAM_SO_CC!$F$10:$F$40,$D421)&gt;0,"Lễ",IF(IF(THAM_SO_CC!$B$12="T7+CN",WEEKDAY($D421,2)&gt;=6,WEEKDAY($D421,2)=7),"Nghỉ tuần","Ngày thường")))</f>
        <v/>
      </c>
      <c r="F421" s="107" t="n"/>
      <c r="G421" s="107" t="n"/>
      <c r="H421" s="107" t="n"/>
      <c r="I421" s="81" t="n"/>
      <c r="J421" s="108">
        <f>IF($B421="","",IF($E421="Ngày thường",N($G421),0))</f>
        <v/>
      </c>
      <c r="K421" s="108">
        <f>IF($B421="","",IF($E421="Nghỉ tuần",N($G421),0))</f>
        <v/>
      </c>
      <c r="L421" s="108">
        <f>IF($B421="","",IF($E421="Lễ",N($G421),0))</f>
        <v/>
      </c>
      <c r="M421" s="108">
        <f>IF($B421="","",IF($E421="Ngày thường",N($H421),0))</f>
        <v/>
      </c>
      <c r="N421" s="108">
        <f>IF($B421="","",IF($E421="Nghỉ tuần",N($H421),0))</f>
        <v/>
      </c>
      <c r="O421" s="108">
        <f>IF($B421="","",IF($E421="Lễ",N($H421),0))</f>
        <v/>
      </c>
    </row>
    <row r="422" ht="15" customHeight="1" s="63">
      <c r="A422" s="85">
        <f>IF($B422="","",ROW()-5)</f>
        <v/>
      </c>
      <c r="B422" s="97" t="n"/>
      <c r="C422" s="96">
        <f>IF($B422="","",IFERROR(INDEX(DM_NHAN_SU!$C$6:$C$155,MATCH($B422,DM_NHAN_SU!$B$6:$B$155,0)),"SAI MÃ NV"))</f>
        <v/>
      </c>
      <c r="D422" s="86" t="n"/>
      <c r="E422" s="103">
        <f>IF(OR($B422="",$D422=""),"",IF(COUNTIF(THAM_SO_CC!$F$10:$F$40,$D422)&gt;0,"Lễ",IF(IF(THAM_SO_CC!$B$12="T7+CN",WEEKDAY($D422,2)&gt;=6,WEEKDAY($D422,2)=7),"Nghỉ tuần","Ngày thường")))</f>
        <v/>
      </c>
      <c r="F422" s="107" t="n"/>
      <c r="G422" s="107" t="n"/>
      <c r="H422" s="107" t="n"/>
      <c r="I422" s="81" t="n"/>
      <c r="J422" s="108">
        <f>IF($B422="","",IF($E422="Ngày thường",N($G422),0))</f>
        <v/>
      </c>
      <c r="K422" s="108">
        <f>IF($B422="","",IF($E422="Nghỉ tuần",N($G422),0))</f>
        <v/>
      </c>
      <c r="L422" s="108">
        <f>IF($B422="","",IF($E422="Lễ",N($G422),0))</f>
        <v/>
      </c>
      <c r="M422" s="108">
        <f>IF($B422="","",IF($E422="Ngày thường",N($H422),0))</f>
        <v/>
      </c>
      <c r="N422" s="108">
        <f>IF($B422="","",IF($E422="Nghỉ tuần",N($H422),0))</f>
        <v/>
      </c>
      <c r="O422" s="108">
        <f>IF($B422="","",IF($E422="Lễ",N($H422),0))</f>
        <v/>
      </c>
    </row>
    <row r="423" ht="15" customHeight="1" s="63">
      <c r="A423" s="85">
        <f>IF($B423="","",ROW()-5)</f>
        <v/>
      </c>
      <c r="B423" s="97" t="n"/>
      <c r="C423" s="96">
        <f>IF($B423="","",IFERROR(INDEX(DM_NHAN_SU!$C$6:$C$155,MATCH($B423,DM_NHAN_SU!$B$6:$B$155,0)),"SAI MÃ NV"))</f>
        <v/>
      </c>
      <c r="D423" s="86" t="n"/>
      <c r="E423" s="103">
        <f>IF(OR($B423="",$D423=""),"",IF(COUNTIF(THAM_SO_CC!$F$10:$F$40,$D423)&gt;0,"Lễ",IF(IF(THAM_SO_CC!$B$12="T7+CN",WEEKDAY($D423,2)&gt;=6,WEEKDAY($D423,2)=7),"Nghỉ tuần","Ngày thường")))</f>
        <v/>
      </c>
      <c r="F423" s="107" t="n"/>
      <c r="G423" s="107" t="n"/>
      <c r="H423" s="107" t="n"/>
      <c r="I423" s="81" t="n"/>
      <c r="J423" s="108">
        <f>IF($B423="","",IF($E423="Ngày thường",N($G423),0))</f>
        <v/>
      </c>
      <c r="K423" s="108">
        <f>IF($B423="","",IF($E423="Nghỉ tuần",N($G423),0))</f>
        <v/>
      </c>
      <c r="L423" s="108">
        <f>IF($B423="","",IF($E423="Lễ",N($G423),0))</f>
        <v/>
      </c>
      <c r="M423" s="108">
        <f>IF($B423="","",IF($E423="Ngày thường",N($H423),0))</f>
        <v/>
      </c>
      <c r="N423" s="108">
        <f>IF($B423="","",IF($E423="Nghỉ tuần",N($H423),0))</f>
        <v/>
      </c>
      <c r="O423" s="108">
        <f>IF($B423="","",IF($E423="Lễ",N($H423),0))</f>
        <v/>
      </c>
    </row>
    <row r="424" ht="15" customHeight="1" s="63">
      <c r="A424" s="85">
        <f>IF($B424="","",ROW()-5)</f>
        <v/>
      </c>
      <c r="B424" s="97" t="n"/>
      <c r="C424" s="96">
        <f>IF($B424="","",IFERROR(INDEX(DM_NHAN_SU!$C$6:$C$155,MATCH($B424,DM_NHAN_SU!$B$6:$B$155,0)),"SAI MÃ NV"))</f>
        <v/>
      </c>
      <c r="D424" s="86" t="n"/>
      <c r="E424" s="103">
        <f>IF(OR($B424="",$D424=""),"",IF(COUNTIF(THAM_SO_CC!$F$10:$F$40,$D424)&gt;0,"Lễ",IF(IF(THAM_SO_CC!$B$12="T7+CN",WEEKDAY($D424,2)&gt;=6,WEEKDAY($D424,2)=7),"Nghỉ tuần","Ngày thường")))</f>
        <v/>
      </c>
      <c r="F424" s="107" t="n"/>
      <c r="G424" s="107" t="n"/>
      <c r="H424" s="107" t="n"/>
      <c r="I424" s="81" t="n"/>
      <c r="J424" s="108">
        <f>IF($B424="","",IF($E424="Ngày thường",N($G424),0))</f>
        <v/>
      </c>
      <c r="K424" s="108">
        <f>IF($B424="","",IF($E424="Nghỉ tuần",N($G424),0))</f>
        <v/>
      </c>
      <c r="L424" s="108">
        <f>IF($B424="","",IF($E424="Lễ",N($G424),0))</f>
        <v/>
      </c>
      <c r="M424" s="108">
        <f>IF($B424="","",IF($E424="Ngày thường",N($H424),0))</f>
        <v/>
      </c>
      <c r="N424" s="108">
        <f>IF($B424="","",IF($E424="Nghỉ tuần",N($H424),0))</f>
        <v/>
      </c>
      <c r="O424" s="108">
        <f>IF($B424="","",IF($E424="Lễ",N($H424),0))</f>
        <v/>
      </c>
    </row>
    <row r="425" ht="15" customHeight="1" s="63">
      <c r="A425" s="85">
        <f>IF($B425="","",ROW()-5)</f>
        <v/>
      </c>
      <c r="B425" s="97" t="n"/>
      <c r="C425" s="96">
        <f>IF($B425="","",IFERROR(INDEX(DM_NHAN_SU!$C$6:$C$155,MATCH($B425,DM_NHAN_SU!$B$6:$B$155,0)),"SAI MÃ NV"))</f>
        <v/>
      </c>
      <c r="D425" s="86" t="n"/>
      <c r="E425" s="103">
        <f>IF(OR($B425="",$D425=""),"",IF(COUNTIF(THAM_SO_CC!$F$10:$F$40,$D425)&gt;0,"Lễ",IF(IF(THAM_SO_CC!$B$12="T7+CN",WEEKDAY($D425,2)&gt;=6,WEEKDAY($D425,2)=7),"Nghỉ tuần","Ngày thường")))</f>
        <v/>
      </c>
      <c r="F425" s="107" t="n"/>
      <c r="G425" s="107" t="n"/>
      <c r="H425" s="107" t="n"/>
      <c r="I425" s="81" t="n"/>
      <c r="J425" s="108">
        <f>IF($B425="","",IF($E425="Ngày thường",N($G425),0))</f>
        <v/>
      </c>
      <c r="K425" s="108">
        <f>IF($B425="","",IF($E425="Nghỉ tuần",N($G425),0))</f>
        <v/>
      </c>
      <c r="L425" s="108">
        <f>IF($B425="","",IF($E425="Lễ",N($G425),0))</f>
        <v/>
      </c>
      <c r="M425" s="108">
        <f>IF($B425="","",IF($E425="Ngày thường",N($H425),0))</f>
        <v/>
      </c>
      <c r="N425" s="108">
        <f>IF($B425="","",IF($E425="Nghỉ tuần",N($H425),0))</f>
        <v/>
      </c>
      <c r="O425" s="108">
        <f>IF($B425="","",IF($E425="Lễ",N($H425),0))</f>
        <v/>
      </c>
    </row>
    <row r="426" ht="15" customHeight="1" s="63">
      <c r="A426" s="85">
        <f>IF($B426="","",ROW()-5)</f>
        <v/>
      </c>
      <c r="B426" s="97" t="n"/>
      <c r="C426" s="96">
        <f>IF($B426="","",IFERROR(INDEX(DM_NHAN_SU!$C$6:$C$155,MATCH($B426,DM_NHAN_SU!$B$6:$B$155,0)),"SAI MÃ NV"))</f>
        <v/>
      </c>
      <c r="D426" s="86" t="n"/>
      <c r="E426" s="103">
        <f>IF(OR($B426="",$D426=""),"",IF(COUNTIF(THAM_SO_CC!$F$10:$F$40,$D426)&gt;0,"Lễ",IF(IF(THAM_SO_CC!$B$12="T7+CN",WEEKDAY($D426,2)&gt;=6,WEEKDAY($D426,2)=7),"Nghỉ tuần","Ngày thường")))</f>
        <v/>
      </c>
      <c r="F426" s="107" t="n"/>
      <c r="G426" s="107" t="n"/>
      <c r="H426" s="107" t="n"/>
      <c r="I426" s="81" t="n"/>
      <c r="J426" s="108">
        <f>IF($B426="","",IF($E426="Ngày thường",N($G426),0))</f>
        <v/>
      </c>
      <c r="K426" s="108">
        <f>IF($B426="","",IF($E426="Nghỉ tuần",N($G426),0))</f>
        <v/>
      </c>
      <c r="L426" s="108">
        <f>IF($B426="","",IF($E426="Lễ",N($G426),0))</f>
        <v/>
      </c>
      <c r="M426" s="108">
        <f>IF($B426="","",IF($E426="Ngày thường",N($H426),0))</f>
        <v/>
      </c>
      <c r="N426" s="108">
        <f>IF($B426="","",IF($E426="Nghỉ tuần",N($H426),0))</f>
        <v/>
      </c>
      <c r="O426" s="108">
        <f>IF($B426="","",IF($E426="Lễ",N($H426),0))</f>
        <v/>
      </c>
    </row>
    <row r="427" ht="15" customHeight="1" s="63">
      <c r="A427" s="85">
        <f>IF($B427="","",ROW()-5)</f>
        <v/>
      </c>
      <c r="B427" s="97" t="n"/>
      <c r="C427" s="96">
        <f>IF($B427="","",IFERROR(INDEX(DM_NHAN_SU!$C$6:$C$155,MATCH($B427,DM_NHAN_SU!$B$6:$B$155,0)),"SAI MÃ NV"))</f>
        <v/>
      </c>
      <c r="D427" s="86" t="n"/>
      <c r="E427" s="103">
        <f>IF(OR($B427="",$D427=""),"",IF(COUNTIF(THAM_SO_CC!$F$10:$F$40,$D427)&gt;0,"Lễ",IF(IF(THAM_SO_CC!$B$12="T7+CN",WEEKDAY($D427,2)&gt;=6,WEEKDAY($D427,2)=7),"Nghỉ tuần","Ngày thường")))</f>
        <v/>
      </c>
      <c r="F427" s="107" t="n"/>
      <c r="G427" s="107" t="n"/>
      <c r="H427" s="107" t="n"/>
      <c r="I427" s="81" t="n"/>
      <c r="J427" s="108">
        <f>IF($B427="","",IF($E427="Ngày thường",N($G427),0))</f>
        <v/>
      </c>
      <c r="K427" s="108">
        <f>IF($B427="","",IF($E427="Nghỉ tuần",N($G427),0))</f>
        <v/>
      </c>
      <c r="L427" s="108">
        <f>IF($B427="","",IF($E427="Lễ",N($G427),0))</f>
        <v/>
      </c>
      <c r="M427" s="108">
        <f>IF($B427="","",IF($E427="Ngày thường",N($H427),0))</f>
        <v/>
      </c>
      <c r="N427" s="108">
        <f>IF($B427="","",IF($E427="Nghỉ tuần",N($H427),0))</f>
        <v/>
      </c>
      <c r="O427" s="108">
        <f>IF($B427="","",IF($E427="Lễ",N($H427),0))</f>
        <v/>
      </c>
    </row>
    <row r="428" ht="15" customHeight="1" s="63">
      <c r="A428" s="85">
        <f>IF($B428="","",ROW()-5)</f>
        <v/>
      </c>
      <c r="B428" s="97" t="n"/>
      <c r="C428" s="96">
        <f>IF($B428="","",IFERROR(INDEX(DM_NHAN_SU!$C$6:$C$155,MATCH($B428,DM_NHAN_SU!$B$6:$B$155,0)),"SAI MÃ NV"))</f>
        <v/>
      </c>
      <c r="D428" s="86" t="n"/>
      <c r="E428" s="103">
        <f>IF(OR($B428="",$D428=""),"",IF(COUNTIF(THAM_SO_CC!$F$10:$F$40,$D428)&gt;0,"Lễ",IF(IF(THAM_SO_CC!$B$12="T7+CN",WEEKDAY($D428,2)&gt;=6,WEEKDAY($D428,2)=7),"Nghỉ tuần","Ngày thường")))</f>
        <v/>
      </c>
      <c r="F428" s="107" t="n"/>
      <c r="G428" s="107" t="n"/>
      <c r="H428" s="107" t="n"/>
      <c r="I428" s="81" t="n"/>
      <c r="J428" s="108">
        <f>IF($B428="","",IF($E428="Ngày thường",N($G428),0))</f>
        <v/>
      </c>
      <c r="K428" s="108">
        <f>IF($B428="","",IF($E428="Nghỉ tuần",N($G428),0))</f>
        <v/>
      </c>
      <c r="L428" s="108">
        <f>IF($B428="","",IF($E428="Lễ",N($G428),0))</f>
        <v/>
      </c>
      <c r="M428" s="108">
        <f>IF($B428="","",IF($E428="Ngày thường",N($H428),0))</f>
        <v/>
      </c>
      <c r="N428" s="108">
        <f>IF($B428="","",IF($E428="Nghỉ tuần",N($H428),0))</f>
        <v/>
      </c>
      <c r="O428" s="108">
        <f>IF($B428="","",IF($E428="Lễ",N($H428),0))</f>
        <v/>
      </c>
    </row>
    <row r="429" ht="15" customHeight="1" s="63">
      <c r="A429" s="85">
        <f>IF($B429="","",ROW()-5)</f>
        <v/>
      </c>
      <c r="B429" s="97" t="n"/>
      <c r="C429" s="96">
        <f>IF($B429="","",IFERROR(INDEX(DM_NHAN_SU!$C$6:$C$155,MATCH($B429,DM_NHAN_SU!$B$6:$B$155,0)),"SAI MÃ NV"))</f>
        <v/>
      </c>
      <c r="D429" s="86" t="n"/>
      <c r="E429" s="103">
        <f>IF(OR($B429="",$D429=""),"",IF(COUNTIF(THAM_SO_CC!$F$10:$F$40,$D429)&gt;0,"Lễ",IF(IF(THAM_SO_CC!$B$12="T7+CN",WEEKDAY($D429,2)&gt;=6,WEEKDAY($D429,2)=7),"Nghỉ tuần","Ngày thường")))</f>
        <v/>
      </c>
      <c r="F429" s="107" t="n"/>
      <c r="G429" s="107" t="n"/>
      <c r="H429" s="107" t="n"/>
      <c r="I429" s="81" t="n"/>
      <c r="J429" s="108">
        <f>IF($B429="","",IF($E429="Ngày thường",N($G429),0))</f>
        <v/>
      </c>
      <c r="K429" s="108">
        <f>IF($B429="","",IF($E429="Nghỉ tuần",N($G429),0))</f>
        <v/>
      </c>
      <c r="L429" s="108">
        <f>IF($B429="","",IF($E429="Lễ",N($G429),0))</f>
        <v/>
      </c>
      <c r="M429" s="108">
        <f>IF($B429="","",IF($E429="Ngày thường",N($H429),0))</f>
        <v/>
      </c>
      <c r="N429" s="108">
        <f>IF($B429="","",IF($E429="Nghỉ tuần",N($H429),0))</f>
        <v/>
      </c>
      <c r="O429" s="108">
        <f>IF($B429="","",IF($E429="Lễ",N($H429),0))</f>
        <v/>
      </c>
    </row>
    <row r="430" ht="15" customHeight="1" s="63">
      <c r="A430" s="85">
        <f>IF($B430="","",ROW()-5)</f>
        <v/>
      </c>
      <c r="B430" s="97" t="n"/>
      <c r="C430" s="96">
        <f>IF($B430="","",IFERROR(INDEX(DM_NHAN_SU!$C$6:$C$155,MATCH($B430,DM_NHAN_SU!$B$6:$B$155,0)),"SAI MÃ NV"))</f>
        <v/>
      </c>
      <c r="D430" s="86" t="n"/>
      <c r="E430" s="103">
        <f>IF(OR($B430="",$D430=""),"",IF(COUNTIF(THAM_SO_CC!$F$10:$F$40,$D430)&gt;0,"Lễ",IF(IF(THAM_SO_CC!$B$12="T7+CN",WEEKDAY($D430,2)&gt;=6,WEEKDAY($D430,2)=7),"Nghỉ tuần","Ngày thường")))</f>
        <v/>
      </c>
      <c r="F430" s="107" t="n"/>
      <c r="G430" s="107" t="n"/>
      <c r="H430" s="107" t="n"/>
      <c r="I430" s="81" t="n"/>
      <c r="J430" s="108">
        <f>IF($B430="","",IF($E430="Ngày thường",N($G430),0))</f>
        <v/>
      </c>
      <c r="K430" s="108">
        <f>IF($B430="","",IF($E430="Nghỉ tuần",N($G430),0))</f>
        <v/>
      </c>
      <c r="L430" s="108">
        <f>IF($B430="","",IF($E430="Lễ",N($G430),0))</f>
        <v/>
      </c>
      <c r="M430" s="108">
        <f>IF($B430="","",IF($E430="Ngày thường",N($H430),0))</f>
        <v/>
      </c>
      <c r="N430" s="108">
        <f>IF($B430="","",IF($E430="Nghỉ tuần",N($H430),0))</f>
        <v/>
      </c>
      <c r="O430" s="108">
        <f>IF($B430="","",IF($E430="Lễ",N($H430),0))</f>
        <v/>
      </c>
    </row>
    <row r="431" ht="15" customHeight="1" s="63">
      <c r="A431" s="85">
        <f>IF($B431="","",ROW()-5)</f>
        <v/>
      </c>
      <c r="B431" s="97" t="n"/>
      <c r="C431" s="96">
        <f>IF($B431="","",IFERROR(INDEX(DM_NHAN_SU!$C$6:$C$155,MATCH($B431,DM_NHAN_SU!$B$6:$B$155,0)),"SAI MÃ NV"))</f>
        <v/>
      </c>
      <c r="D431" s="86" t="n"/>
      <c r="E431" s="103">
        <f>IF(OR($B431="",$D431=""),"",IF(COUNTIF(THAM_SO_CC!$F$10:$F$40,$D431)&gt;0,"Lễ",IF(IF(THAM_SO_CC!$B$12="T7+CN",WEEKDAY($D431,2)&gt;=6,WEEKDAY($D431,2)=7),"Nghỉ tuần","Ngày thường")))</f>
        <v/>
      </c>
      <c r="F431" s="107" t="n"/>
      <c r="G431" s="107" t="n"/>
      <c r="H431" s="107" t="n"/>
      <c r="I431" s="81" t="n"/>
      <c r="J431" s="108">
        <f>IF($B431="","",IF($E431="Ngày thường",N($G431),0))</f>
        <v/>
      </c>
      <c r="K431" s="108">
        <f>IF($B431="","",IF($E431="Nghỉ tuần",N($G431),0))</f>
        <v/>
      </c>
      <c r="L431" s="108">
        <f>IF($B431="","",IF($E431="Lễ",N($G431),0))</f>
        <v/>
      </c>
      <c r="M431" s="108">
        <f>IF($B431="","",IF($E431="Ngày thường",N($H431),0))</f>
        <v/>
      </c>
      <c r="N431" s="108">
        <f>IF($B431="","",IF($E431="Nghỉ tuần",N($H431),0))</f>
        <v/>
      </c>
      <c r="O431" s="108">
        <f>IF($B431="","",IF($E431="Lễ",N($H431),0))</f>
        <v/>
      </c>
    </row>
    <row r="432" ht="15" customHeight="1" s="63">
      <c r="A432" s="85">
        <f>IF($B432="","",ROW()-5)</f>
        <v/>
      </c>
      <c r="B432" s="97" t="n"/>
      <c r="C432" s="96">
        <f>IF($B432="","",IFERROR(INDEX(DM_NHAN_SU!$C$6:$C$155,MATCH($B432,DM_NHAN_SU!$B$6:$B$155,0)),"SAI MÃ NV"))</f>
        <v/>
      </c>
      <c r="D432" s="86" t="n"/>
      <c r="E432" s="103">
        <f>IF(OR($B432="",$D432=""),"",IF(COUNTIF(THAM_SO_CC!$F$10:$F$40,$D432)&gt;0,"Lễ",IF(IF(THAM_SO_CC!$B$12="T7+CN",WEEKDAY($D432,2)&gt;=6,WEEKDAY($D432,2)=7),"Nghỉ tuần","Ngày thường")))</f>
        <v/>
      </c>
      <c r="F432" s="107" t="n"/>
      <c r="G432" s="107" t="n"/>
      <c r="H432" s="107" t="n"/>
      <c r="I432" s="81" t="n"/>
      <c r="J432" s="108">
        <f>IF($B432="","",IF($E432="Ngày thường",N($G432),0))</f>
        <v/>
      </c>
      <c r="K432" s="108">
        <f>IF($B432="","",IF($E432="Nghỉ tuần",N($G432),0))</f>
        <v/>
      </c>
      <c r="L432" s="108">
        <f>IF($B432="","",IF($E432="Lễ",N($G432),0))</f>
        <v/>
      </c>
      <c r="M432" s="108">
        <f>IF($B432="","",IF($E432="Ngày thường",N($H432),0))</f>
        <v/>
      </c>
      <c r="N432" s="108">
        <f>IF($B432="","",IF($E432="Nghỉ tuần",N($H432),0))</f>
        <v/>
      </c>
      <c r="O432" s="108">
        <f>IF($B432="","",IF($E432="Lễ",N($H432),0))</f>
        <v/>
      </c>
    </row>
    <row r="433" ht="15" customHeight="1" s="63">
      <c r="A433" s="85">
        <f>IF($B433="","",ROW()-5)</f>
        <v/>
      </c>
      <c r="B433" s="97" t="n"/>
      <c r="C433" s="96">
        <f>IF($B433="","",IFERROR(INDEX(DM_NHAN_SU!$C$6:$C$155,MATCH($B433,DM_NHAN_SU!$B$6:$B$155,0)),"SAI MÃ NV"))</f>
        <v/>
      </c>
      <c r="D433" s="86" t="n"/>
      <c r="E433" s="103">
        <f>IF(OR($B433="",$D433=""),"",IF(COUNTIF(THAM_SO_CC!$F$10:$F$40,$D433)&gt;0,"Lễ",IF(IF(THAM_SO_CC!$B$12="T7+CN",WEEKDAY($D433,2)&gt;=6,WEEKDAY($D433,2)=7),"Nghỉ tuần","Ngày thường")))</f>
        <v/>
      </c>
      <c r="F433" s="107" t="n"/>
      <c r="G433" s="107" t="n"/>
      <c r="H433" s="107" t="n"/>
      <c r="I433" s="81" t="n"/>
      <c r="J433" s="108">
        <f>IF($B433="","",IF($E433="Ngày thường",N($G433),0))</f>
        <v/>
      </c>
      <c r="K433" s="108">
        <f>IF($B433="","",IF($E433="Nghỉ tuần",N($G433),0))</f>
        <v/>
      </c>
      <c r="L433" s="108">
        <f>IF($B433="","",IF($E433="Lễ",N($G433),0))</f>
        <v/>
      </c>
      <c r="M433" s="108">
        <f>IF($B433="","",IF($E433="Ngày thường",N($H433),0))</f>
        <v/>
      </c>
      <c r="N433" s="108">
        <f>IF($B433="","",IF($E433="Nghỉ tuần",N($H433),0))</f>
        <v/>
      </c>
      <c r="O433" s="108">
        <f>IF($B433="","",IF($E433="Lễ",N($H433),0))</f>
        <v/>
      </c>
    </row>
    <row r="434" ht="15" customHeight="1" s="63">
      <c r="A434" s="85">
        <f>IF($B434="","",ROW()-5)</f>
        <v/>
      </c>
      <c r="B434" s="97" t="n"/>
      <c r="C434" s="96">
        <f>IF($B434="","",IFERROR(INDEX(DM_NHAN_SU!$C$6:$C$155,MATCH($B434,DM_NHAN_SU!$B$6:$B$155,0)),"SAI MÃ NV"))</f>
        <v/>
      </c>
      <c r="D434" s="86" t="n"/>
      <c r="E434" s="103">
        <f>IF(OR($B434="",$D434=""),"",IF(COUNTIF(THAM_SO_CC!$F$10:$F$40,$D434)&gt;0,"Lễ",IF(IF(THAM_SO_CC!$B$12="T7+CN",WEEKDAY($D434,2)&gt;=6,WEEKDAY($D434,2)=7),"Nghỉ tuần","Ngày thường")))</f>
        <v/>
      </c>
      <c r="F434" s="107" t="n"/>
      <c r="G434" s="107" t="n"/>
      <c r="H434" s="107" t="n"/>
      <c r="I434" s="81" t="n"/>
      <c r="J434" s="108">
        <f>IF($B434="","",IF($E434="Ngày thường",N($G434),0))</f>
        <v/>
      </c>
      <c r="K434" s="108">
        <f>IF($B434="","",IF($E434="Nghỉ tuần",N($G434),0))</f>
        <v/>
      </c>
      <c r="L434" s="108">
        <f>IF($B434="","",IF($E434="Lễ",N($G434),0))</f>
        <v/>
      </c>
      <c r="M434" s="108">
        <f>IF($B434="","",IF($E434="Ngày thường",N($H434),0))</f>
        <v/>
      </c>
      <c r="N434" s="108">
        <f>IF($B434="","",IF($E434="Nghỉ tuần",N($H434),0))</f>
        <v/>
      </c>
      <c r="O434" s="108">
        <f>IF($B434="","",IF($E434="Lễ",N($H434),0))</f>
        <v/>
      </c>
    </row>
    <row r="435" ht="15" customHeight="1" s="63">
      <c r="A435" s="85">
        <f>IF($B435="","",ROW()-5)</f>
        <v/>
      </c>
      <c r="B435" s="97" t="n"/>
      <c r="C435" s="96">
        <f>IF($B435="","",IFERROR(INDEX(DM_NHAN_SU!$C$6:$C$155,MATCH($B435,DM_NHAN_SU!$B$6:$B$155,0)),"SAI MÃ NV"))</f>
        <v/>
      </c>
      <c r="D435" s="86" t="n"/>
      <c r="E435" s="103">
        <f>IF(OR($B435="",$D435=""),"",IF(COUNTIF(THAM_SO_CC!$F$10:$F$40,$D435)&gt;0,"Lễ",IF(IF(THAM_SO_CC!$B$12="T7+CN",WEEKDAY($D435,2)&gt;=6,WEEKDAY($D435,2)=7),"Nghỉ tuần","Ngày thường")))</f>
        <v/>
      </c>
      <c r="F435" s="107" t="n"/>
      <c r="G435" s="107" t="n"/>
      <c r="H435" s="107" t="n"/>
      <c r="I435" s="81" t="n"/>
      <c r="J435" s="108">
        <f>IF($B435="","",IF($E435="Ngày thường",N($G435),0))</f>
        <v/>
      </c>
      <c r="K435" s="108">
        <f>IF($B435="","",IF($E435="Nghỉ tuần",N($G435),0))</f>
        <v/>
      </c>
      <c r="L435" s="108">
        <f>IF($B435="","",IF($E435="Lễ",N($G435),0))</f>
        <v/>
      </c>
      <c r="M435" s="108">
        <f>IF($B435="","",IF($E435="Ngày thường",N($H435),0))</f>
        <v/>
      </c>
      <c r="N435" s="108">
        <f>IF($B435="","",IF($E435="Nghỉ tuần",N($H435),0))</f>
        <v/>
      </c>
      <c r="O435" s="108">
        <f>IF($B435="","",IF($E435="Lễ",N($H435),0))</f>
        <v/>
      </c>
    </row>
    <row r="436" ht="15" customHeight="1" s="63">
      <c r="A436" s="85">
        <f>IF($B436="","",ROW()-5)</f>
        <v/>
      </c>
      <c r="B436" s="97" t="n"/>
      <c r="C436" s="96">
        <f>IF($B436="","",IFERROR(INDEX(DM_NHAN_SU!$C$6:$C$155,MATCH($B436,DM_NHAN_SU!$B$6:$B$155,0)),"SAI MÃ NV"))</f>
        <v/>
      </c>
      <c r="D436" s="86" t="n"/>
      <c r="E436" s="103">
        <f>IF(OR($B436="",$D436=""),"",IF(COUNTIF(THAM_SO_CC!$F$10:$F$40,$D436)&gt;0,"Lễ",IF(IF(THAM_SO_CC!$B$12="T7+CN",WEEKDAY($D436,2)&gt;=6,WEEKDAY($D436,2)=7),"Nghỉ tuần","Ngày thường")))</f>
        <v/>
      </c>
      <c r="F436" s="107" t="n"/>
      <c r="G436" s="107" t="n"/>
      <c r="H436" s="107" t="n"/>
      <c r="I436" s="81" t="n"/>
      <c r="J436" s="108">
        <f>IF($B436="","",IF($E436="Ngày thường",N($G436),0))</f>
        <v/>
      </c>
      <c r="K436" s="108">
        <f>IF($B436="","",IF($E436="Nghỉ tuần",N($G436),0))</f>
        <v/>
      </c>
      <c r="L436" s="108">
        <f>IF($B436="","",IF($E436="Lễ",N($G436),0))</f>
        <v/>
      </c>
      <c r="M436" s="108">
        <f>IF($B436="","",IF($E436="Ngày thường",N($H436),0))</f>
        <v/>
      </c>
      <c r="N436" s="108">
        <f>IF($B436="","",IF($E436="Nghỉ tuần",N($H436),0))</f>
        <v/>
      </c>
      <c r="O436" s="108">
        <f>IF($B436="","",IF($E436="Lễ",N($H436),0))</f>
        <v/>
      </c>
    </row>
    <row r="437" ht="15" customHeight="1" s="63">
      <c r="A437" s="85">
        <f>IF($B437="","",ROW()-5)</f>
        <v/>
      </c>
      <c r="B437" s="97" t="n"/>
      <c r="C437" s="96">
        <f>IF($B437="","",IFERROR(INDEX(DM_NHAN_SU!$C$6:$C$155,MATCH($B437,DM_NHAN_SU!$B$6:$B$155,0)),"SAI MÃ NV"))</f>
        <v/>
      </c>
      <c r="D437" s="86" t="n"/>
      <c r="E437" s="103">
        <f>IF(OR($B437="",$D437=""),"",IF(COUNTIF(THAM_SO_CC!$F$10:$F$40,$D437)&gt;0,"Lễ",IF(IF(THAM_SO_CC!$B$12="T7+CN",WEEKDAY($D437,2)&gt;=6,WEEKDAY($D437,2)=7),"Nghỉ tuần","Ngày thường")))</f>
        <v/>
      </c>
      <c r="F437" s="107" t="n"/>
      <c r="G437" s="107" t="n"/>
      <c r="H437" s="107" t="n"/>
      <c r="I437" s="81" t="n"/>
      <c r="J437" s="108">
        <f>IF($B437="","",IF($E437="Ngày thường",N($G437),0))</f>
        <v/>
      </c>
      <c r="K437" s="108">
        <f>IF($B437="","",IF($E437="Nghỉ tuần",N($G437),0))</f>
        <v/>
      </c>
      <c r="L437" s="108">
        <f>IF($B437="","",IF($E437="Lễ",N($G437),0))</f>
        <v/>
      </c>
      <c r="M437" s="108">
        <f>IF($B437="","",IF($E437="Ngày thường",N($H437),0))</f>
        <v/>
      </c>
      <c r="N437" s="108">
        <f>IF($B437="","",IF($E437="Nghỉ tuần",N($H437),0))</f>
        <v/>
      </c>
      <c r="O437" s="108">
        <f>IF($B437="","",IF($E437="Lễ",N($H437),0))</f>
        <v/>
      </c>
    </row>
    <row r="438" ht="15" customHeight="1" s="63">
      <c r="A438" s="85">
        <f>IF($B438="","",ROW()-5)</f>
        <v/>
      </c>
      <c r="B438" s="97" t="n"/>
      <c r="C438" s="96">
        <f>IF($B438="","",IFERROR(INDEX(DM_NHAN_SU!$C$6:$C$155,MATCH($B438,DM_NHAN_SU!$B$6:$B$155,0)),"SAI MÃ NV"))</f>
        <v/>
      </c>
      <c r="D438" s="86" t="n"/>
      <c r="E438" s="103">
        <f>IF(OR($B438="",$D438=""),"",IF(COUNTIF(THAM_SO_CC!$F$10:$F$40,$D438)&gt;0,"Lễ",IF(IF(THAM_SO_CC!$B$12="T7+CN",WEEKDAY($D438,2)&gt;=6,WEEKDAY($D438,2)=7),"Nghỉ tuần","Ngày thường")))</f>
        <v/>
      </c>
      <c r="F438" s="107" t="n"/>
      <c r="G438" s="107" t="n"/>
      <c r="H438" s="107" t="n"/>
      <c r="I438" s="81" t="n"/>
      <c r="J438" s="108">
        <f>IF($B438="","",IF($E438="Ngày thường",N($G438),0))</f>
        <v/>
      </c>
      <c r="K438" s="108">
        <f>IF($B438="","",IF($E438="Nghỉ tuần",N($G438),0))</f>
        <v/>
      </c>
      <c r="L438" s="108">
        <f>IF($B438="","",IF($E438="Lễ",N($G438),0))</f>
        <v/>
      </c>
      <c r="M438" s="108">
        <f>IF($B438="","",IF($E438="Ngày thường",N($H438),0))</f>
        <v/>
      </c>
      <c r="N438" s="108">
        <f>IF($B438="","",IF($E438="Nghỉ tuần",N($H438),0))</f>
        <v/>
      </c>
      <c r="O438" s="108">
        <f>IF($B438="","",IF($E438="Lễ",N($H438),0))</f>
        <v/>
      </c>
    </row>
    <row r="439" ht="15" customHeight="1" s="63">
      <c r="A439" s="85">
        <f>IF($B439="","",ROW()-5)</f>
        <v/>
      </c>
      <c r="B439" s="97" t="n"/>
      <c r="C439" s="96">
        <f>IF($B439="","",IFERROR(INDEX(DM_NHAN_SU!$C$6:$C$155,MATCH($B439,DM_NHAN_SU!$B$6:$B$155,0)),"SAI MÃ NV"))</f>
        <v/>
      </c>
      <c r="D439" s="86" t="n"/>
      <c r="E439" s="103">
        <f>IF(OR($B439="",$D439=""),"",IF(COUNTIF(THAM_SO_CC!$F$10:$F$40,$D439)&gt;0,"Lễ",IF(IF(THAM_SO_CC!$B$12="T7+CN",WEEKDAY($D439,2)&gt;=6,WEEKDAY($D439,2)=7),"Nghỉ tuần","Ngày thường")))</f>
        <v/>
      </c>
      <c r="F439" s="107" t="n"/>
      <c r="G439" s="107" t="n"/>
      <c r="H439" s="107" t="n"/>
      <c r="I439" s="81" t="n"/>
      <c r="J439" s="108">
        <f>IF($B439="","",IF($E439="Ngày thường",N($G439),0))</f>
        <v/>
      </c>
      <c r="K439" s="108">
        <f>IF($B439="","",IF($E439="Nghỉ tuần",N($G439),0))</f>
        <v/>
      </c>
      <c r="L439" s="108">
        <f>IF($B439="","",IF($E439="Lễ",N($G439),0))</f>
        <v/>
      </c>
      <c r="M439" s="108">
        <f>IF($B439="","",IF($E439="Ngày thường",N($H439),0))</f>
        <v/>
      </c>
      <c r="N439" s="108">
        <f>IF($B439="","",IF($E439="Nghỉ tuần",N($H439),0))</f>
        <v/>
      </c>
      <c r="O439" s="108">
        <f>IF($B439="","",IF($E439="Lễ",N($H439),0))</f>
        <v/>
      </c>
    </row>
    <row r="440" ht="15" customHeight="1" s="63">
      <c r="A440" s="85">
        <f>IF($B440="","",ROW()-5)</f>
        <v/>
      </c>
      <c r="B440" s="97" t="n"/>
      <c r="C440" s="96">
        <f>IF($B440="","",IFERROR(INDEX(DM_NHAN_SU!$C$6:$C$155,MATCH($B440,DM_NHAN_SU!$B$6:$B$155,0)),"SAI MÃ NV"))</f>
        <v/>
      </c>
      <c r="D440" s="86" t="n"/>
      <c r="E440" s="103">
        <f>IF(OR($B440="",$D440=""),"",IF(COUNTIF(THAM_SO_CC!$F$10:$F$40,$D440)&gt;0,"Lễ",IF(IF(THAM_SO_CC!$B$12="T7+CN",WEEKDAY($D440,2)&gt;=6,WEEKDAY($D440,2)=7),"Nghỉ tuần","Ngày thường")))</f>
        <v/>
      </c>
      <c r="F440" s="107" t="n"/>
      <c r="G440" s="107" t="n"/>
      <c r="H440" s="107" t="n"/>
      <c r="I440" s="81" t="n"/>
      <c r="J440" s="108">
        <f>IF($B440="","",IF($E440="Ngày thường",N($G440),0))</f>
        <v/>
      </c>
      <c r="K440" s="108">
        <f>IF($B440="","",IF($E440="Nghỉ tuần",N($G440),0))</f>
        <v/>
      </c>
      <c r="L440" s="108">
        <f>IF($B440="","",IF($E440="Lễ",N($G440),0))</f>
        <v/>
      </c>
      <c r="M440" s="108">
        <f>IF($B440="","",IF($E440="Ngày thường",N($H440),0))</f>
        <v/>
      </c>
      <c r="N440" s="108">
        <f>IF($B440="","",IF($E440="Nghỉ tuần",N($H440),0))</f>
        <v/>
      </c>
      <c r="O440" s="108">
        <f>IF($B440="","",IF($E440="Lễ",N($H440),0))</f>
        <v/>
      </c>
    </row>
    <row r="441" ht="15" customHeight="1" s="63">
      <c r="A441" s="85">
        <f>IF($B441="","",ROW()-5)</f>
        <v/>
      </c>
      <c r="B441" s="97" t="n"/>
      <c r="C441" s="96">
        <f>IF($B441="","",IFERROR(INDEX(DM_NHAN_SU!$C$6:$C$155,MATCH($B441,DM_NHAN_SU!$B$6:$B$155,0)),"SAI MÃ NV"))</f>
        <v/>
      </c>
      <c r="D441" s="86" t="n"/>
      <c r="E441" s="103">
        <f>IF(OR($B441="",$D441=""),"",IF(COUNTIF(THAM_SO_CC!$F$10:$F$40,$D441)&gt;0,"Lễ",IF(IF(THAM_SO_CC!$B$12="T7+CN",WEEKDAY($D441,2)&gt;=6,WEEKDAY($D441,2)=7),"Nghỉ tuần","Ngày thường")))</f>
        <v/>
      </c>
      <c r="F441" s="107" t="n"/>
      <c r="G441" s="107" t="n"/>
      <c r="H441" s="107" t="n"/>
      <c r="I441" s="81" t="n"/>
      <c r="J441" s="108">
        <f>IF($B441="","",IF($E441="Ngày thường",N($G441),0))</f>
        <v/>
      </c>
      <c r="K441" s="108">
        <f>IF($B441="","",IF($E441="Nghỉ tuần",N($G441),0))</f>
        <v/>
      </c>
      <c r="L441" s="108">
        <f>IF($B441="","",IF($E441="Lễ",N($G441),0))</f>
        <v/>
      </c>
      <c r="M441" s="108">
        <f>IF($B441="","",IF($E441="Ngày thường",N($H441),0))</f>
        <v/>
      </c>
      <c r="N441" s="108">
        <f>IF($B441="","",IF($E441="Nghỉ tuần",N($H441),0))</f>
        <v/>
      </c>
      <c r="O441" s="108">
        <f>IF($B441="","",IF($E441="Lễ",N($H441),0))</f>
        <v/>
      </c>
    </row>
    <row r="442" ht="15" customHeight="1" s="63">
      <c r="A442" s="85">
        <f>IF($B442="","",ROW()-5)</f>
        <v/>
      </c>
      <c r="B442" s="97" t="n"/>
      <c r="C442" s="96">
        <f>IF($B442="","",IFERROR(INDEX(DM_NHAN_SU!$C$6:$C$155,MATCH($B442,DM_NHAN_SU!$B$6:$B$155,0)),"SAI MÃ NV"))</f>
        <v/>
      </c>
      <c r="D442" s="86" t="n"/>
      <c r="E442" s="103">
        <f>IF(OR($B442="",$D442=""),"",IF(COUNTIF(THAM_SO_CC!$F$10:$F$40,$D442)&gt;0,"Lễ",IF(IF(THAM_SO_CC!$B$12="T7+CN",WEEKDAY($D442,2)&gt;=6,WEEKDAY($D442,2)=7),"Nghỉ tuần","Ngày thường")))</f>
        <v/>
      </c>
      <c r="F442" s="107" t="n"/>
      <c r="G442" s="107" t="n"/>
      <c r="H442" s="107" t="n"/>
      <c r="I442" s="81" t="n"/>
      <c r="J442" s="108">
        <f>IF($B442="","",IF($E442="Ngày thường",N($G442),0))</f>
        <v/>
      </c>
      <c r="K442" s="108">
        <f>IF($B442="","",IF($E442="Nghỉ tuần",N($G442),0))</f>
        <v/>
      </c>
      <c r="L442" s="108">
        <f>IF($B442="","",IF($E442="Lễ",N($G442),0))</f>
        <v/>
      </c>
      <c r="M442" s="108">
        <f>IF($B442="","",IF($E442="Ngày thường",N($H442),0))</f>
        <v/>
      </c>
      <c r="N442" s="108">
        <f>IF($B442="","",IF($E442="Nghỉ tuần",N($H442),0))</f>
        <v/>
      </c>
      <c r="O442" s="108">
        <f>IF($B442="","",IF($E442="Lễ",N($H442),0))</f>
        <v/>
      </c>
    </row>
    <row r="443" ht="15" customHeight="1" s="63">
      <c r="A443" s="85">
        <f>IF($B443="","",ROW()-5)</f>
        <v/>
      </c>
      <c r="B443" s="97" t="n"/>
      <c r="C443" s="96">
        <f>IF($B443="","",IFERROR(INDEX(DM_NHAN_SU!$C$6:$C$155,MATCH($B443,DM_NHAN_SU!$B$6:$B$155,0)),"SAI MÃ NV"))</f>
        <v/>
      </c>
      <c r="D443" s="86" t="n"/>
      <c r="E443" s="103">
        <f>IF(OR($B443="",$D443=""),"",IF(COUNTIF(THAM_SO_CC!$F$10:$F$40,$D443)&gt;0,"Lễ",IF(IF(THAM_SO_CC!$B$12="T7+CN",WEEKDAY($D443,2)&gt;=6,WEEKDAY($D443,2)=7),"Nghỉ tuần","Ngày thường")))</f>
        <v/>
      </c>
      <c r="F443" s="107" t="n"/>
      <c r="G443" s="107" t="n"/>
      <c r="H443" s="107" t="n"/>
      <c r="I443" s="81" t="n"/>
      <c r="J443" s="108">
        <f>IF($B443="","",IF($E443="Ngày thường",N($G443),0))</f>
        <v/>
      </c>
      <c r="K443" s="108">
        <f>IF($B443="","",IF($E443="Nghỉ tuần",N($G443),0))</f>
        <v/>
      </c>
      <c r="L443" s="108">
        <f>IF($B443="","",IF($E443="Lễ",N($G443),0))</f>
        <v/>
      </c>
      <c r="M443" s="108">
        <f>IF($B443="","",IF($E443="Ngày thường",N($H443),0))</f>
        <v/>
      </c>
      <c r="N443" s="108">
        <f>IF($B443="","",IF($E443="Nghỉ tuần",N($H443),0))</f>
        <v/>
      </c>
      <c r="O443" s="108">
        <f>IF($B443="","",IF($E443="Lễ",N($H443),0))</f>
        <v/>
      </c>
    </row>
    <row r="444" ht="15" customHeight="1" s="63">
      <c r="A444" s="85">
        <f>IF($B444="","",ROW()-5)</f>
        <v/>
      </c>
      <c r="B444" s="97" t="n"/>
      <c r="C444" s="96">
        <f>IF($B444="","",IFERROR(INDEX(DM_NHAN_SU!$C$6:$C$155,MATCH($B444,DM_NHAN_SU!$B$6:$B$155,0)),"SAI MÃ NV"))</f>
        <v/>
      </c>
      <c r="D444" s="86" t="n"/>
      <c r="E444" s="103">
        <f>IF(OR($B444="",$D444=""),"",IF(COUNTIF(THAM_SO_CC!$F$10:$F$40,$D444)&gt;0,"Lễ",IF(IF(THAM_SO_CC!$B$12="T7+CN",WEEKDAY($D444,2)&gt;=6,WEEKDAY($D444,2)=7),"Nghỉ tuần","Ngày thường")))</f>
        <v/>
      </c>
      <c r="F444" s="107" t="n"/>
      <c r="G444" s="107" t="n"/>
      <c r="H444" s="107" t="n"/>
      <c r="I444" s="81" t="n"/>
      <c r="J444" s="108">
        <f>IF($B444="","",IF($E444="Ngày thường",N($G444),0))</f>
        <v/>
      </c>
      <c r="K444" s="108">
        <f>IF($B444="","",IF($E444="Nghỉ tuần",N($G444),0))</f>
        <v/>
      </c>
      <c r="L444" s="108">
        <f>IF($B444="","",IF($E444="Lễ",N($G444),0))</f>
        <v/>
      </c>
      <c r="M444" s="108">
        <f>IF($B444="","",IF($E444="Ngày thường",N($H444),0))</f>
        <v/>
      </c>
      <c r="N444" s="108">
        <f>IF($B444="","",IF($E444="Nghỉ tuần",N($H444),0))</f>
        <v/>
      </c>
      <c r="O444" s="108">
        <f>IF($B444="","",IF($E444="Lễ",N($H444),0))</f>
        <v/>
      </c>
    </row>
    <row r="445" ht="15" customHeight="1" s="63">
      <c r="A445" s="85">
        <f>IF($B445="","",ROW()-5)</f>
        <v/>
      </c>
      <c r="B445" s="97" t="n"/>
      <c r="C445" s="96">
        <f>IF($B445="","",IFERROR(INDEX(DM_NHAN_SU!$C$6:$C$155,MATCH($B445,DM_NHAN_SU!$B$6:$B$155,0)),"SAI MÃ NV"))</f>
        <v/>
      </c>
      <c r="D445" s="86" t="n"/>
      <c r="E445" s="103">
        <f>IF(OR($B445="",$D445=""),"",IF(COUNTIF(THAM_SO_CC!$F$10:$F$40,$D445)&gt;0,"Lễ",IF(IF(THAM_SO_CC!$B$12="T7+CN",WEEKDAY($D445,2)&gt;=6,WEEKDAY($D445,2)=7),"Nghỉ tuần","Ngày thường")))</f>
        <v/>
      </c>
      <c r="F445" s="107" t="n"/>
      <c r="G445" s="107" t="n"/>
      <c r="H445" s="107" t="n"/>
      <c r="I445" s="81" t="n"/>
      <c r="J445" s="108">
        <f>IF($B445="","",IF($E445="Ngày thường",N($G445),0))</f>
        <v/>
      </c>
      <c r="K445" s="108">
        <f>IF($B445="","",IF($E445="Nghỉ tuần",N($G445),0))</f>
        <v/>
      </c>
      <c r="L445" s="108">
        <f>IF($B445="","",IF($E445="Lễ",N($G445),0))</f>
        <v/>
      </c>
      <c r="M445" s="108">
        <f>IF($B445="","",IF($E445="Ngày thường",N($H445),0))</f>
        <v/>
      </c>
      <c r="N445" s="108">
        <f>IF($B445="","",IF($E445="Nghỉ tuần",N($H445),0))</f>
        <v/>
      </c>
      <c r="O445" s="108">
        <f>IF($B445="","",IF($E445="Lễ",N($H445),0))</f>
        <v/>
      </c>
    </row>
    <row r="446" ht="15" customHeight="1" s="63">
      <c r="A446" s="85">
        <f>IF($B446="","",ROW()-5)</f>
        <v/>
      </c>
      <c r="B446" s="97" t="n"/>
      <c r="C446" s="96">
        <f>IF($B446="","",IFERROR(INDEX(DM_NHAN_SU!$C$6:$C$155,MATCH($B446,DM_NHAN_SU!$B$6:$B$155,0)),"SAI MÃ NV"))</f>
        <v/>
      </c>
      <c r="D446" s="86" t="n"/>
      <c r="E446" s="103">
        <f>IF(OR($B446="",$D446=""),"",IF(COUNTIF(THAM_SO_CC!$F$10:$F$40,$D446)&gt;0,"Lễ",IF(IF(THAM_SO_CC!$B$12="T7+CN",WEEKDAY($D446,2)&gt;=6,WEEKDAY($D446,2)=7),"Nghỉ tuần","Ngày thường")))</f>
        <v/>
      </c>
      <c r="F446" s="107" t="n"/>
      <c r="G446" s="107" t="n"/>
      <c r="H446" s="107" t="n"/>
      <c r="I446" s="81" t="n"/>
      <c r="J446" s="108">
        <f>IF($B446="","",IF($E446="Ngày thường",N($G446),0))</f>
        <v/>
      </c>
      <c r="K446" s="108">
        <f>IF($B446="","",IF($E446="Nghỉ tuần",N($G446),0))</f>
        <v/>
      </c>
      <c r="L446" s="108">
        <f>IF($B446="","",IF($E446="Lễ",N($G446),0))</f>
        <v/>
      </c>
      <c r="M446" s="108">
        <f>IF($B446="","",IF($E446="Ngày thường",N($H446),0))</f>
        <v/>
      </c>
      <c r="N446" s="108">
        <f>IF($B446="","",IF($E446="Nghỉ tuần",N($H446),0))</f>
        <v/>
      </c>
      <c r="O446" s="108">
        <f>IF($B446="","",IF($E446="Lễ",N($H446),0))</f>
        <v/>
      </c>
    </row>
    <row r="447" ht="15" customHeight="1" s="63">
      <c r="A447" s="85">
        <f>IF($B447="","",ROW()-5)</f>
        <v/>
      </c>
      <c r="B447" s="97" t="n"/>
      <c r="C447" s="96">
        <f>IF($B447="","",IFERROR(INDEX(DM_NHAN_SU!$C$6:$C$155,MATCH($B447,DM_NHAN_SU!$B$6:$B$155,0)),"SAI MÃ NV"))</f>
        <v/>
      </c>
      <c r="D447" s="86" t="n"/>
      <c r="E447" s="103">
        <f>IF(OR($B447="",$D447=""),"",IF(COUNTIF(THAM_SO_CC!$F$10:$F$40,$D447)&gt;0,"Lễ",IF(IF(THAM_SO_CC!$B$12="T7+CN",WEEKDAY($D447,2)&gt;=6,WEEKDAY($D447,2)=7),"Nghỉ tuần","Ngày thường")))</f>
        <v/>
      </c>
      <c r="F447" s="107" t="n"/>
      <c r="G447" s="107" t="n"/>
      <c r="H447" s="107" t="n"/>
      <c r="I447" s="81" t="n"/>
      <c r="J447" s="108">
        <f>IF($B447="","",IF($E447="Ngày thường",N($G447),0))</f>
        <v/>
      </c>
      <c r="K447" s="108">
        <f>IF($B447="","",IF($E447="Nghỉ tuần",N($G447),0))</f>
        <v/>
      </c>
      <c r="L447" s="108">
        <f>IF($B447="","",IF($E447="Lễ",N($G447),0))</f>
        <v/>
      </c>
      <c r="M447" s="108">
        <f>IF($B447="","",IF($E447="Ngày thường",N($H447),0))</f>
        <v/>
      </c>
      <c r="N447" s="108">
        <f>IF($B447="","",IF($E447="Nghỉ tuần",N($H447),0))</f>
        <v/>
      </c>
      <c r="O447" s="108">
        <f>IF($B447="","",IF($E447="Lễ",N($H447),0))</f>
        <v/>
      </c>
    </row>
    <row r="448" ht="15" customHeight="1" s="63">
      <c r="A448" s="85">
        <f>IF($B448="","",ROW()-5)</f>
        <v/>
      </c>
      <c r="B448" s="97" t="n"/>
      <c r="C448" s="96">
        <f>IF($B448="","",IFERROR(INDEX(DM_NHAN_SU!$C$6:$C$155,MATCH($B448,DM_NHAN_SU!$B$6:$B$155,0)),"SAI MÃ NV"))</f>
        <v/>
      </c>
      <c r="D448" s="86" t="n"/>
      <c r="E448" s="103">
        <f>IF(OR($B448="",$D448=""),"",IF(COUNTIF(THAM_SO_CC!$F$10:$F$40,$D448)&gt;0,"Lễ",IF(IF(THAM_SO_CC!$B$12="T7+CN",WEEKDAY($D448,2)&gt;=6,WEEKDAY($D448,2)=7),"Nghỉ tuần","Ngày thường")))</f>
        <v/>
      </c>
      <c r="F448" s="107" t="n"/>
      <c r="G448" s="107" t="n"/>
      <c r="H448" s="107" t="n"/>
      <c r="I448" s="81" t="n"/>
      <c r="J448" s="108">
        <f>IF($B448="","",IF($E448="Ngày thường",N($G448),0))</f>
        <v/>
      </c>
      <c r="K448" s="108">
        <f>IF($B448="","",IF($E448="Nghỉ tuần",N($G448),0))</f>
        <v/>
      </c>
      <c r="L448" s="108">
        <f>IF($B448="","",IF($E448="Lễ",N($G448),0))</f>
        <v/>
      </c>
      <c r="M448" s="108">
        <f>IF($B448="","",IF($E448="Ngày thường",N($H448),0))</f>
        <v/>
      </c>
      <c r="N448" s="108">
        <f>IF($B448="","",IF($E448="Nghỉ tuần",N($H448),0))</f>
        <v/>
      </c>
      <c r="O448" s="108">
        <f>IF($B448="","",IF($E448="Lễ",N($H448),0))</f>
        <v/>
      </c>
    </row>
    <row r="449" ht="15" customHeight="1" s="63">
      <c r="A449" s="85">
        <f>IF($B449="","",ROW()-5)</f>
        <v/>
      </c>
      <c r="B449" s="97" t="n"/>
      <c r="C449" s="96">
        <f>IF($B449="","",IFERROR(INDEX(DM_NHAN_SU!$C$6:$C$155,MATCH($B449,DM_NHAN_SU!$B$6:$B$155,0)),"SAI MÃ NV"))</f>
        <v/>
      </c>
      <c r="D449" s="86" t="n"/>
      <c r="E449" s="103">
        <f>IF(OR($B449="",$D449=""),"",IF(COUNTIF(THAM_SO_CC!$F$10:$F$40,$D449)&gt;0,"Lễ",IF(IF(THAM_SO_CC!$B$12="T7+CN",WEEKDAY($D449,2)&gt;=6,WEEKDAY($D449,2)=7),"Nghỉ tuần","Ngày thường")))</f>
        <v/>
      </c>
      <c r="F449" s="107" t="n"/>
      <c r="G449" s="107" t="n"/>
      <c r="H449" s="107" t="n"/>
      <c r="I449" s="81" t="n"/>
      <c r="J449" s="108">
        <f>IF($B449="","",IF($E449="Ngày thường",N($G449),0))</f>
        <v/>
      </c>
      <c r="K449" s="108">
        <f>IF($B449="","",IF($E449="Nghỉ tuần",N($G449),0))</f>
        <v/>
      </c>
      <c r="L449" s="108">
        <f>IF($B449="","",IF($E449="Lễ",N($G449),0))</f>
        <v/>
      </c>
      <c r="M449" s="108">
        <f>IF($B449="","",IF($E449="Ngày thường",N($H449),0))</f>
        <v/>
      </c>
      <c r="N449" s="108">
        <f>IF($B449="","",IF($E449="Nghỉ tuần",N($H449),0))</f>
        <v/>
      </c>
      <c r="O449" s="108">
        <f>IF($B449="","",IF($E449="Lễ",N($H449),0))</f>
        <v/>
      </c>
    </row>
    <row r="450" ht="15" customHeight="1" s="63">
      <c r="A450" s="85">
        <f>IF($B450="","",ROW()-5)</f>
        <v/>
      </c>
      <c r="B450" s="97" t="n"/>
      <c r="C450" s="96">
        <f>IF($B450="","",IFERROR(INDEX(DM_NHAN_SU!$C$6:$C$155,MATCH($B450,DM_NHAN_SU!$B$6:$B$155,0)),"SAI MÃ NV"))</f>
        <v/>
      </c>
      <c r="D450" s="86" t="n"/>
      <c r="E450" s="103">
        <f>IF(OR($B450="",$D450=""),"",IF(COUNTIF(THAM_SO_CC!$F$10:$F$40,$D450)&gt;0,"Lễ",IF(IF(THAM_SO_CC!$B$12="T7+CN",WEEKDAY($D450,2)&gt;=6,WEEKDAY($D450,2)=7),"Nghỉ tuần","Ngày thường")))</f>
        <v/>
      </c>
      <c r="F450" s="107" t="n"/>
      <c r="G450" s="107" t="n"/>
      <c r="H450" s="107" t="n"/>
      <c r="I450" s="81" t="n"/>
      <c r="J450" s="108">
        <f>IF($B450="","",IF($E450="Ngày thường",N($G450),0))</f>
        <v/>
      </c>
      <c r="K450" s="108">
        <f>IF($B450="","",IF($E450="Nghỉ tuần",N($G450),0))</f>
        <v/>
      </c>
      <c r="L450" s="108">
        <f>IF($B450="","",IF($E450="Lễ",N($G450),0))</f>
        <v/>
      </c>
      <c r="M450" s="108">
        <f>IF($B450="","",IF($E450="Ngày thường",N($H450),0))</f>
        <v/>
      </c>
      <c r="N450" s="108">
        <f>IF($B450="","",IF($E450="Nghỉ tuần",N($H450),0))</f>
        <v/>
      </c>
      <c r="O450" s="108">
        <f>IF($B450="","",IF($E450="Lễ",N($H450),0))</f>
        <v/>
      </c>
    </row>
    <row r="451" ht="15" customHeight="1" s="63">
      <c r="A451" s="85">
        <f>IF($B451="","",ROW()-5)</f>
        <v/>
      </c>
      <c r="B451" s="97" t="n"/>
      <c r="C451" s="96">
        <f>IF($B451="","",IFERROR(INDEX(DM_NHAN_SU!$C$6:$C$155,MATCH($B451,DM_NHAN_SU!$B$6:$B$155,0)),"SAI MÃ NV"))</f>
        <v/>
      </c>
      <c r="D451" s="86" t="n"/>
      <c r="E451" s="103">
        <f>IF(OR($B451="",$D451=""),"",IF(COUNTIF(THAM_SO_CC!$F$10:$F$40,$D451)&gt;0,"Lễ",IF(IF(THAM_SO_CC!$B$12="T7+CN",WEEKDAY($D451,2)&gt;=6,WEEKDAY($D451,2)=7),"Nghỉ tuần","Ngày thường")))</f>
        <v/>
      </c>
      <c r="F451" s="107" t="n"/>
      <c r="G451" s="107" t="n"/>
      <c r="H451" s="107" t="n"/>
      <c r="I451" s="81" t="n"/>
      <c r="J451" s="108">
        <f>IF($B451="","",IF($E451="Ngày thường",N($G451),0))</f>
        <v/>
      </c>
      <c r="K451" s="108">
        <f>IF($B451="","",IF($E451="Nghỉ tuần",N($G451),0))</f>
        <v/>
      </c>
      <c r="L451" s="108">
        <f>IF($B451="","",IF($E451="Lễ",N($G451),0))</f>
        <v/>
      </c>
      <c r="M451" s="108">
        <f>IF($B451="","",IF($E451="Ngày thường",N($H451),0))</f>
        <v/>
      </c>
      <c r="N451" s="108">
        <f>IF($B451="","",IF($E451="Nghỉ tuần",N($H451),0))</f>
        <v/>
      </c>
      <c r="O451" s="108">
        <f>IF($B451="","",IF($E451="Lễ",N($H451),0))</f>
        <v/>
      </c>
    </row>
    <row r="452" ht="15" customHeight="1" s="63">
      <c r="A452" s="85">
        <f>IF($B452="","",ROW()-5)</f>
        <v/>
      </c>
      <c r="B452" s="97" t="n"/>
      <c r="C452" s="96">
        <f>IF($B452="","",IFERROR(INDEX(DM_NHAN_SU!$C$6:$C$155,MATCH($B452,DM_NHAN_SU!$B$6:$B$155,0)),"SAI MÃ NV"))</f>
        <v/>
      </c>
      <c r="D452" s="86" t="n"/>
      <c r="E452" s="103">
        <f>IF(OR($B452="",$D452=""),"",IF(COUNTIF(THAM_SO_CC!$F$10:$F$40,$D452)&gt;0,"Lễ",IF(IF(THAM_SO_CC!$B$12="T7+CN",WEEKDAY($D452,2)&gt;=6,WEEKDAY($D452,2)=7),"Nghỉ tuần","Ngày thường")))</f>
        <v/>
      </c>
      <c r="F452" s="107" t="n"/>
      <c r="G452" s="107" t="n"/>
      <c r="H452" s="107" t="n"/>
      <c r="I452" s="81" t="n"/>
      <c r="J452" s="108">
        <f>IF($B452="","",IF($E452="Ngày thường",N($G452),0))</f>
        <v/>
      </c>
      <c r="K452" s="108">
        <f>IF($B452="","",IF($E452="Nghỉ tuần",N($G452),0))</f>
        <v/>
      </c>
      <c r="L452" s="108">
        <f>IF($B452="","",IF($E452="Lễ",N($G452),0))</f>
        <v/>
      </c>
      <c r="M452" s="108">
        <f>IF($B452="","",IF($E452="Ngày thường",N($H452),0))</f>
        <v/>
      </c>
      <c r="N452" s="108">
        <f>IF($B452="","",IF($E452="Nghỉ tuần",N($H452),0))</f>
        <v/>
      </c>
      <c r="O452" s="108">
        <f>IF($B452="","",IF($E452="Lễ",N($H452),0))</f>
        <v/>
      </c>
    </row>
    <row r="453" ht="15" customHeight="1" s="63">
      <c r="A453" s="85">
        <f>IF($B453="","",ROW()-5)</f>
        <v/>
      </c>
      <c r="B453" s="97" t="n"/>
      <c r="C453" s="96">
        <f>IF($B453="","",IFERROR(INDEX(DM_NHAN_SU!$C$6:$C$155,MATCH($B453,DM_NHAN_SU!$B$6:$B$155,0)),"SAI MÃ NV"))</f>
        <v/>
      </c>
      <c r="D453" s="86" t="n"/>
      <c r="E453" s="103">
        <f>IF(OR($B453="",$D453=""),"",IF(COUNTIF(THAM_SO_CC!$F$10:$F$40,$D453)&gt;0,"Lễ",IF(IF(THAM_SO_CC!$B$12="T7+CN",WEEKDAY($D453,2)&gt;=6,WEEKDAY($D453,2)=7),"Nghỉ tuần","Ngày thường")))</f>
        <v/>
      </c>
      <c r="F453" s="107" t="n"/>
      <c r="G453" s="107" t="n"/>
      <c r="H453" s="107" t="n"/>
      <c r="I453" s="81" t="n"/>
      <c r="J453" s="108">
        <f>IF($B453="","",IF($E453="Ngày thường",N($G453),0))</f>
        <v/>
      </c>
      <c r="K453" s="108">
        <f>IF($B453="","",IF($E453="Nghỉ tuần",N($G453),0))</f>
        <v/>
      </c>
      <c r="L453" s="108">
        <f>IF($B453="","",IF($E453="Lễ",N($G453),0))</f>
        <v/>
      </c>
      <c r="M453" s="108">
        <f>IF($B453="","",IF($E453="Ngày thường",N($H453),0))</f>
        <v/>
      </c>
      <c r="N453" s="108">
        <f>IF($B453="","",IF($E453="Nghỉ tuần",N($H453),0))</f>
        <v/>
      </c>
      <c r="O453" s="108">
        <f>IF($B453="","",IF($E453="Lễ",N($H453),0))</f>
        <v/>
      </c>
    </row>
    <row r="454" ht="15" customHeight="1" s="63">
      <c r="A454" s="85">
        <f>IF($B454="","",ROW()-5)</f>
        <v/>
      </c>
      <c r="B454" s="97" t="n"/>
      <c r="C454" s="96">
        <f>IF($B454="","",IFERROR(INDEX(DM_NHAN_SU!$C$6:$C$155,MATCH($B454,DM_NHAN_SU!$B$6:$B$155,0)),"SAI MÃ NV"))</f>
        <v/>
      </c>
      <c r="D454" s="86" t="n"/>
      <c r="E454" s="103">
        <f>IF(OR($B454="",$D454=""),"",IF(COUNTIF(THAM_SO_CC!$F$10:$F$40,$D454)&gt;0,"Lễ",IF(IF(THAM_SO_CC!$B$12="T7+CN",WEEKDAY($D454,2)&gt;=6,WEEKDAY($D454,2)=7),"Nghỉ tuần","Ngày thường")))</f>
        <v/>
      </c>
      <c r="F454" s="107" t="n"/>
      <c r="G454" s="107" t="n"/>
      <c r="H454" s="107" t="n"/>
      <c r="I454" s="81" t="n"/>
      <c r="J454" s="108">
        <f>IF($B454="","",IF($E454="Ngày thường",N($G454),0))</f>
        <v/>
      </c>
      <c r="K454" s="108">
        <f>IF($B454="","",IF($E454="Nghỉ tuần",N($G454),0))</f>
        <v/>
      </c>
      <c r="L454" s="108">
        <f>IF($B454="","",IF($E454="Lễ",N($G454),0))</f>
        <v/>
      </c>
      <c r="M454" s="108">
        <f>IF($B454="","",IF($E454="Ngày thường",N($H454),0))</f>
        <v/>
      </c>
      <c r="N454" s="108">
        <f>IF($B454="","",IF($E454="Nghỉ tuần",N($H454),0))</f>
        <v/>
      </c>
      <c r="O454" s="108">
        <f>IF($B454="","",IF($E454="Lễ",N($H454),0))</f>
        <v/>
      </c>
    </row>
    <row r="455" ht="15" customHeight="1" s="63">
      <c r="A455" s="85">
        <f>IF($B455="","",ROW()-5)</f>
        <v/>
      </c>
      <c r="B455" s="97" t="n"/>
      <c r="C455" s="96">
        <f>IF($B455="","",IFERROR(INDEX(DM_NHAN_SU!$C$6:$C$155,MATCH($B455,DM_NHAN_SU!$B$6:$B$155,0)),"SAI MÃ NV"))</f>
        <v/>
      </c>
      <c r="D455" s="86" t="n"/>
      <c r="E455" s="103">
        <f>IF(OR($B455="",$D455=""),"",IF(COUNTIF(THAM_SO_CC!$F$10:$F$40,$D455)&gt;0,"Lễ",IF(IF(THAM_SO_CC!$B$12="T7+CN",WEEKDAY($D455,2)&gt;=6,WEEKDAY($D455,2)=7),"Nghỉ tuần","Ngày thường")))</f>
        <v/>
      </c>
      <c r="F455" s="107" t="n"/>
      <c r="G455" s="107" t="n"/>
      <c r="H455" s="107" t="n"/>
      <c r="I455" s="81" t="n"/>
      <c r="J455" s="108">
        <f>IF($B455="","",IF($E455="Ngày thường",N($G455),0))</f>
        <v/>
      </c>
      <c r="K455" s="108">
        <f>IF($B455="","",IF($E455="Nghỉ tuần",N($G455),0))</f>
        <v/>
      </c>
      <c r="L455" s="108">
        <f>IF($B455="","",IF($E455="Lễ",N($G455),0))</f>
        <v/>
      </c>
      <c r="M455" s="108">
        <f>IF($B455="","",IF($E455="Ngày thường",N($H455),0))</f>
        <v/>
      </c>
      <c r="N455" s="108">
        <f>IF($B455="","",IF($E455="Nghỉ tuần",N($H455),0))</f>
        <v/>
      </c>
      <c r="O455" s="108">
        <f>IF($B455="","",IF($E455="Lễ",N($H455),0))</f>
        <v/>
      </c>
    </row>
    <row r="456" ht="15" customHeight="1" s="63">
      <c r="A456" s="85">
        <f>IF($B456="","",ROW()-5)</f>
        <v/>
      </c>
      <c r="B456" s="97" t="n"/>
      <c r="C456" s="96">
        <f>IF($B456="","",IFERROR(INDEX(DM_NHAN_SU!$C$6:$C$155,MATCH($B456,DM_NHAN_SU!$B$6:$B$155,0)),"SAI MÃ NV"))</f>
        <v/>
      </c>
      <c r="D456" s="86" t="n"/>
      <c r="E456" s="103">
        <f>IF(OR($B456="",$D456=""),"",IF(COUNTIF(THAM_SO_CC!$F$10:$F$40,$D456)&gt;0,"Lễ",IF(IF(THAM_SO_CC!$B$12="T7+CN",WEEKDAY($D456,2)&gt;=6,WEEKDAY($D456,2)=7),"Nghỉ tuần","Ngày thường")))</f>
        <v/>
      </c>
      <c r="F456" s="107" t="n"/>
      <c r="G456" s="107" t="n"/>
      <c r="H456" s="107" t="n"/>
      <c r="I456" s="81" t="n"/>
      <c r="J456" s="108">
        <f>IF($B456="","",IF($E456="Ngày thường",N($G456),0))</f>
        <v/>
      </c>
      <c r="K456" s="108">
        <f>IF($B456="","",IF($E456="Nghỉ tuần",N($G456),0))</f>
        <v/>
      </c>
      <c r="L456" s="108">
        <f>IF($B456="","",IF($E456="Lễ",N($G456),0))</f>
        <v/>
      </c>
      <c r="M456" s="108">
        <f>IF($B456="","",IF($E456="Ngày thường",N($H456),0))</f>
        <v/>
      </c>
      <c r="N456" s="108">
        <f>IF($B456="","",IF($E456="Nghỉ tuần",N($H456),0))</f>
        <v/>
      </c>
      <c r="O456" s="108">
        <f>IF($B456="","",IF($E456="Lễ",N($H456),0))</f>
        <v/>
      </c>
    </row>
    <row r="457" ht="15" customHeight="1" s="63">
      <c r="A457" s="85">
        <f>IF($B457="","",ROW()-5)</f>
        <v/>
      </c>
      <c r="B457" s="97" t="n"/>
      <c r="C457" s="96">
        <f>IF($B457="","",IFERROR(INDEX(DM_NHAN_SU!$C$6:$C$155,MATCH($B457,DM_NHAN_SU!$B$6:$B$155,0)),"SAI MÃ NV"))</f>
        <v/>
      </c>
      <c r="D457" s="86" t="n"/>
      <c r="E457" s="103">
        <f>IF(OR($B457="",$D457=""),"",IF(COUNTIF(THAM_SO_CC!$F$10:$F$40,$D457)&gt;0,"Lễ",IF(IF(THAM_SO_CC!$B$12="T7+CN",WEEKDAY($D457,2)&gt;=6,WEEKDAY($D457,2)=7),"Nghỉ tuần","Ngày thường")))</f>
        <v/>
      </c>
      <c r="F457" s="107" t="n"/>
      <c r="G457" s="107" t="n"/>
      <c r="H457" s="107" t="n"/>
      <c r="I457" s="81" t="n"/>
      <c r="J457" s="108">
        <f>IF($B457="","",IF($E457="Ngày thường",N($G457),0))</f>
        <v/>
      </c>
      <c r="K457" s="108">
        <f>IF($B457="","",IF($E457="Nghỉ tuần",N($G457),0))</f>
        <v/>
      </c>
      <c r="L457" s="108">
        <f>IF($B457="","",IF($E457="Lễ",N($G457),0))</f>
        <v/>
      </c>
      <c r="M457" s="108">
        <f>IF($B457="","",IF($E457="Ngày thường",N($H457),0))</f>
        <v/>
      </c>
      <c r="N457" s="108">
        <f>IF($B457="","",IF($E457="Nghỉ tuần",N($H457),0))</f>
        <v/>
      </c>
      <c r="O457" s="108">
        <f>IF($B457="","",IF($E457="Lễ",N($H457),0))</f>
        <v/>
      </c>
    </row>
    <row r="458" ht="15" customHeight="1" s="63">
      <c r="A458" s="85">
        <f>IF($B458="","",ROW()-5)</f>
        <v/>
      </c>
      <c r="B458" s="97" t="n"/>
      <c r="C458" s="96">
        <f>IF($B458="","",IFERROR(INDEX(DM_NHAN_SU!$C$6:$C$155,MATCH($B458,DM_NHAN_SU!$B$6:$B$155,0)),"SAI MÃ NV"))</f>
        <v/>
      </c>
      <c r="D458" s="86" t="n"/>
      <c r="E458" s="103">
        <f>IF(OR($B458="",$D458=""),"",IF(COUNTIF(THAM_SO_CC!$F$10:$F$40,$D458)&gt;0,"Lễ",IF(IF(THAM_SO_CC!$B$12="T7+CN",WEEKDAY($D458,2)&gt;=6,WEEKDAY($D458,2)=7),"Nghỉ tuần","Ngày thường")))</f>
        <v/>
      </c>
      <c r="F458" s="107" t="n"/>
      <c r="G458" s="107" t="n"/>
      <c r="H458" s="107" t="n"/>
      <c r="I458" s="81" t="n"/>
      <c r="J458" s="108">
        <f>IF($B458="","",IF($E458="Ngày thường",N($G458),0))</f>
        <v/>
      </c>
      <c r="K458" s="108">
        <f>IF($B458="","",IF($E458="Nghỉ tuần",N($G458),0))</f>
        <v/>
      </c>
      <c r="L458" s="108">
        <f>IF($B458="","",IF($E458="Lễ",N($G458),0))</f>
        <v/>
      </c>
      <c r="M458" s="108">
        <f>IF($B458="","",IF($E458="Ngày thường",N($H458),0))</f>
        <v/>
      </c>
      <c r="N458" s="108">
        <f>IF($B458="","",IF($E458="Nghỉ tuần",N($H458),0))</f>
        <v/>
      </c>
      <c r="O458" s="108">
        <f>IF($B458="","",IF($E458="Lễ",N($H458),0))</f>
        <v/>
      </c>
    </row>
    <row r="459" ht="15" customHeight="1" s="63">
      <c r="A459" s="85">
        <f>IF($B459="","",ROW()-5)</f>
        <v/>
      </c>
      <c r="B459" s="97" t="n"/>
      <c r="C459" s="96">
        <f>IF($B459="","",IFERROR(INDEX(DM_NHAN_SU!$C$6:$C$155,MATCH($B459,DM_NHAN_SU!$B$6:$B$155,0)),"SAI MÃ NV"))</f>
        <v/>
      </c>
      <c r="D459" s="86" t="n"/>
      <c r="E459" s="103">
        <f>IF(OR($B459="",$D459=""),"",IF(COUNTIF(THAM_SO_CC!$F$10:$F$40,$D459)&gt;0,"Lễ",IF(IF(THAM_SO_CC!$B$12="T7+CN",WEEKDAY($D459,2)&gt;=6,WEEKDAY($D459,2)=7),"Nghỉ tuần","Ngày thường")))</f>
        <v/>
      </c>
      <c r="F459" s="107" t="n"/>
      <c r="G459" s="107" t="n"/>
      <c r="H459" s="107" t="n"/>
      <c r="I459" s="81" t="n"/>
      <c r="J459" s="108">
        <f>IF($B459="","",IF($E459="Ngày thường",N($G459),0))</f>
        <v/>
      </c>
      <c r="K459" s="108">
        <f>IF($B459="","",IF($E459="Nghỉ tuần",N($G459),0))</f>
        <v/>
      </c>
      <c r="L459" s="108">
        <f>IF($B459="","",IF($E459="Lễ",N($G459),0))</f>
        <v/>
      </c>
      <c r="M459" s="108">
        <f>IF($B459="","",IF($E459="Ngày thường",N($H459),0))</f>
        <v/>
      </c>
      <c r="N459" s="108">
        <f>IF($B459="","",IF($E459="Nghỉ tuần",N($H459),0))</f>
        <v/>
      </c>
      <c r="O459" s="108">
        <f>IF($B459="","",IF($E459="Lễ",N($H459),0))</f>
        <v/>
      </c>
    </row>
    <row r="460" ht="15" customHeight="1" s="63">
      <c r="A460" s="85">
        <f>IF($B460="","",ROW()-5)</f>
        <v/>
      </c>
      <c r="B460" s="97" t="n"/>
      <c r="C460" s="96">
        <f>IF($B460="","",IFERROR(INDEX(DM_NHAN_SU!$C$6:$C$155,MATCH($B460,DM_NHAN_SU!$B$6:$B$155,0)),"SAI MÃ NV"))</f>
        <v/>
      </c>
      <c r="D460" s="86" t="n"/>
      <c r="E460" s="103">
        <f>IF(OR($B460="",$D460=""),"",IF(COUNTIF(THAM_SO_CC!$F$10:$F$40,$D460)&gt;0,"Lễ",IF(IF(THAM_SO_CC!$B$12="T7+CN",WEEKDAY($D460,2)&gt;=6,WEEKDAY($D460,2)=7),"Nghỉ tuần","Ngày thường")))</f>
        <v/>
      </c>
      <c r="F460" s="107" t="n"/>
      <c r="G460" s="107" t="n"/>
      <c r="H460" s="107" t="n"/>
      <c r="I460" s="81" t="n"/>
      <c r="J460" s="108">
        <f>IF($B460="","",IF($E460="Ngày thường",N($G460),0))</f>
        <v/>
      </c>
      <c r="K460" s="108">
        <f>IF($B460="","",IF($E460="Nghỉ tuần",N($G460),0))</f>
        <v/>
      </c>
      <c r="L460" s="108">
        <f>IF($B460="","",IF($E460="Lễ",N($G460),0))</f>
        <v/>
      </c>
      <c r="M460" s="108">
        <f>IF($B460="","",IF($E460="Ngày thường",N($H460),0))</f>
        <v/>
      </c>
      <c r="N460" s="108">
        <f>IF($B460="","",IF($E460="Nghỉ tuần",N($H460),0))</f>
        <v/>
      </c>
      <c r="O460" s="108">
        <f>IF($B460="","",IF($E460="Lễ",N($H460),0))</f>
        <v/>
      </c>
    </row>
    <row r="461" ht="15" customHeight="1" s="63">
      <c r="A461" s="85">
        <f>IF($B461="","",ROW()-5)</f>
        <v/>
      </c>
      <c r="B461" s="97" t="n"/>
      <c r="C461" s="96">
        <f>IF($B461="","",IFERROR(INDEX(DM_NHAN_SU!$C$6:$C$155,MATCH($B461,DM_NHAN_SU!$B$6:$B$155,0)),"SAI MÃ NV"))</f>
        <v/>
      </c>
      <c r="D461" s="86" t="n"/>
      <c r="E461" s="103">
        <f>IF(OR($B461="",$D461=""),"",IF(COUNTIF(THAM_SO_CC!$F$10:$F$40,$D461)&gt;0,"Lễ",IF(IF(THAM_SO_CC!$B$12="T7+CN",WEEKDAY($D461,2)&gt;=6,WEEKDAY($D461,2)=7),"Nghỉ tuần","Ngày thường")))</f>
        <v/>
      </c>
      <c r="F461" s="107" t="n"/>
      <c r="G461" s="107" t="n"/>
      <c r="H461" s="107" t="n"/>
      <c r="I461" s="81" t="n"/>
      <c r="J461" s="108">
        <f>IF($B461="","",IF($E461="Ngày thường",N($G461),0))</f>
        <v/>
      </c>
      <c r="K461" s="108">
        <f>IF($B461="","",IF($E461="Nghỉ tuần",N($G461),0))</f>
        <v/>
      </c>
      <c r="L461" s="108">
        <f>IF($B461="","",IF($E461="Lễ",N($G461),0))</f>
        <v/>
      </c>
      <c r="M461" s="108">
        <f>IF($B461="","",IF($E461="Ngày thường",N($H461),0))</f>
        <v/>
      </c>
      <c r="N461" s="108">
        <f>IF($B461="","",IF($E461="Nghỉ tuần",N($H461),0))</f>
        <v/>
      </c>
      <c r="O461" s="108">
        <f>IF($B461="","",IF($E461="Lễ",N($H461),0))</f>
        <v/>
      </c>
    </row>
    <row r="462" ht="15" customHeight="1" s="63">
      <c r="A462" s="85">
        <f>IF($B462="","",ROW()-5)</f>
        <v/>
      </c>
      <c r="B462" s="97" t="n"/>
      <c r="C462" s="96">
        <f>IF($B462="","",IFERROR(INDEX(DM_NHAN_SU!$C$6:$C$155,MATCH($B462,DM_NHAN_SU!$B$6:$B$155,0)),"SAI MÃ NV"))</f>
        <v/>
      </c>
      <c r="D462" s="86" t="n"/>
      <c r="E462" s="103">
        <f>IF(OR($B462="",$D462=""),"",IF(COUNTIF(THAM_SO_CC!$F$10:$F$40,$D462)&gt;0,"Lễ",IF(IF(THAM_SO_CC!$B$12="T7+CN",WEEKDAY($D462,2)&gt;=6,WEEKDAY($D462,2)=7),"Nghỉ tuần","Ngày thường")))</f>
        <v/>
      </c>
      <c r="F462" s="107" t="n"/>
      <c r="G462" s="107" t="n"/>
      <c r="H462" s="107" t="n"/>
      <c r="I462" s="81" t="n"/>
      <c r="J462" s="108">
        <f>IF($B462="","",IF($E462="Ngày thường",N($G462),0))</f>
        <v/>
      </c>
      <c r="K462" s="108">
        <f>IF($B462="","",IF($E462="Nghỉ tuần",N($G462),0))</f>
        <v/>
      </c>
      <c r="L462" s="108">
        <f>IF($B462="","",IF($E462="Lễ",N($G462),0))</f>
        <v/>
      </c>
      <c r="M462" s="108">
        <f>IF($B462="","",IF($E462="Ngày thường",N($H462),0))</f>
        <v/>
      </c>
      <c r="N462" s="108">
        <f>IF($B462="","",IF($E462="Nghỉ tuần",N($H462),0))</f>
        <v/>
      </c>
      <c r="O462" s="108">
        <f>IF($B462="","",IF($E462="Lễ",N($H462),0))</f>
        <v/>
      </c>
    </row>
    <row r="463" ht="15" customHeight="1" s="63">
      <c r="A463" s="85">
        <f>IF($B463="","",ROW()-5)</f>
        <v/>
      </c>
      <c r="B463" s="97" t="n"/>
      <c r="C463" s="96">
        <f>IF($B463="","",IFERROR(INDEX(DM_NHAN_SU!$C$6:$C$155,MATCH($B463,DM_NHAN_SU!$B$6:$B$155,0)),"SAI MÃ NV"))</f>
        <v/>
      </c>
      <c r="D463" s="86" t="n"/>
      <c r="E463" s="103">
        <f>IF(OR($B463="",$D463=""),"",IF(COUNTIF(THAM_SO_CC!$F$10:$F$40,$D463)&gt;0,"Lễ",IF(IF(THAM_SO_CC!$B$12="T7+CN",WEEKDAY($D463,2)&gt;=6,WEEKDAY($D463,2)=7),"Nghỉ tuần","Ngày thường")))</f>
        <v/>
      </c>
      <c r="F463" s="107" t="n"/>
      <c r="G463" s="107" t="n"/>
      <c r="H463" s="107" t="n"/>
      <c r="I463" s="81" t="n"/>
      <c r="J463" s="108">
        <f>IF($B463="","",IF($E463="Ngày thường",N($G463),0))</f>
        <v/>
      </c>
      <c r="K463" s="108">
        <f>IF($B463="","",IF($E463="Nghỉ tuần",N($G463),0))</f>
        <v/>
      </c>
      <c r="L463" s="108">
        <f>IF($B463="","",IF($E463="Lễ",N($G463),0))</f>
        <v/>
      </c>
      <c r="M463" s="108">
        <f>IF($B463="","",IF($E463="Ngày thường",N($H463),0))</f>
        <v/>
      </c>
      <c r="N463" s="108">
        <f>IF($B463="","",IF($E463="Nghỉ tuần",N($H463),0))</f>
        <v/>
      </c>
      <c r="O463" s="108">
        <f>IF($B463="","",IF($E463="Lễ",N($H463),0))</f>
        <v/>
      </c>
    </row>
    <row r="464" ht="15" customHeight="1" s="63">
      <c r="A464" s="85">
        <f>IF($B464="","",ROW()-5)</f>
        <v/>
      </c>
      <c r="B464" s="97" t="n"/>
      <c r="C464" s="96">
        <f>IF($B464="","",IFERROR(INDEX(DM_NHAN_SU!$C$6:$C$155,MATCH($B464,DM_NHAN_SU!$B$6:$B$155,0)),"SAI MÃ NV"))</f>
        <v/>
      </c>
      <c r="D464" s="86" t="n"/>
      <c r="E464" s="103">
        <f>IF(OR($B464="",$D464=""),"",IF(COUNTIF(THAM_SO_CC!$F$10:$F$40,$D464)&gt;0,"Lễ",IF(IF(THAM_SO_CC!$B$12="T7+CN",WEEKDAY($D464,2)&gt;=6,WEEKDAY($D464,2)=7),"Nghỉ tuần","Ngày thường")))</f>
        <v/>
      </c>
      <c r="F464" s="107" t="n"/>
      <c r="G464" s="107" t="n"/>
      <c r="H464" s="107" t="n"/>
      <c r="I464" s="81" t="n"/>
      <c r="J464" s="108">
        <f>IF($B464="","",IF($E464="Ngày thường",N($G464),0))</f>
        <v/>
      </c>
      <c r="K464" s="108">
        <f>IF($B464="","",IF($E464="Nghỉ tuần",N($G464),0))</f>
        <v/>
      </c>
      <c r="L464" s="108">
        <f>IF($B464="","",IF($E464="Lễ",N($G464),0))</f>
        <v/>
      </c>
      <c r="M464" s="108">
        <f>IF($B464="","",IF($E464="Ngày thường",N($H464),0))</f>
        <v/>
      </c>
      <c r="N464" s="108">
        <f>IF($B464="","",IF($E464="Nghỉ tuần",N($H464),0))</f>
        <v/>
      </c>
      <c r="O464" s="108">
        <f>IF($B464="","",IF($E464="Lễ",N($H464),0))</f>
        <v/>
      </c>
    </row>
    <row r="465" ht="15" customHeight="1" s="63">
      <c r="A465" s="85">
        <f>IF($B465="","",ROW()-5)</f>
        <v/>
      </c>
      <c r="B465" s="97" t="n"/>
      <c r="C465" s="96">
        <f>IF($B465="","",IFERROR(INDEX(DM_NHAN_SU!$C$6:$C$155,MATCH($B465,DM_NHAN_SU!$B$6:$B$155,0)),"SAI MÃ NV"))</f>
        <v/>
      </c>
      <c r="D465" s="86" t="n"/>
      <c r="E465" s="103">
        <f>IF(OR($B465="",$D465=""),"",IF(COUNTIF(THAM_SO_CC!$F$10:$F$40,$D465)&gt;0,"Lễ",IF(IF(THAM_SO_CC!$B$12="T7+CN",WEEKDAY($D465,2)&gt;=6,WEEKDAY($D465,2)=7),"Nghỉ tuần","Ngày thường")))</f>
        <v/>
      </c>
      <c r="F465" s="107" t="n"/>
      <c r="G465" s="107" t="n"/>
      <c r="H465" s="107" t="n"/>
      <c r="I465" s="81" t="n"/>
      <c r="J465" s="108">
        <f>IF($B465="","",IF($E465="Ngày thường",N($G465),0))</f>
        <v/>
      </c>
      <c r="K465" s="108">
        <f>IF($B465="","",IF($E465="Nghỉ tuần",N($G465),0))</f>
        <v/>
      </c>
      <c r="L465" s="108">
        <f>IF($B465="","",IF($E465="Lễ",N($G465),0))</f>
        <v/>
      </c>
      <c r="M465" s="108">
        <f>IF($B465="","",IF($E465="Ngày thường",N($H465),0))</f>
        <v/>
      </c>
      <c r="N465" s="108">
        <f>IF($B465="","",IF($E465="Nghỉ tuần",N($H465),0))</f>
        <v/>
      </c>
      <c r="O465" s="108">
        <f>IF($B465="","",IF($E465="Lễ",N($H465),0))</f>
        <v/>
      </c>
    </row>
    <row r="466" ht="15" customHeight="1" s="63">
      <c r="A466" s="85">
        <f>IF($B466="","",ROW()-5)</f>
        <v/>
      </c>
      <c r="B466" s="97" t="n"/>
      <c r="C466" s="96">
        <f>IF($B466="","",IFERROR(INDEX(DM_NHAN_SU!$C$6:$C$155,MATCH($B466,DM_NHAN_SU!$B$6:$B$155,0)),"SAI MÃ NV"))</f>
        <v/>
      </c>
      <c r="D466" s="86" t="n"/>
      <c r="E466" s="103">
        <f>IF(OR($B466="",$D466=""),"",IF(COUNTIF(THAM_SO_CC!$F$10:$F$40,$D466)&gt;0,"Lễ",IF(IF(THAM_SO_CC!$B$12="T7+CN",WEEKDAY($D466,2)&gt;=6,WEEKDAY($D466,2)=7),"Nghỉ tuần","Ngày thường")))</f>
        <v/>
      </c>
      <c r="F466" s="107" t="n"/>
      <c r="G466" s="107" t="n"/>
      <c r="H466" s="107" t="n"/>
      <c r="I466" s="81" t="n"/>
      <c r="J466" s="108">
        <f>IF($B466="","",IF($E466="Ngày thường",N($G466),0))</f>
        <v/>
      </c>
      <c r="K466" s="108">
        <f>IF($B466="","",IF($E466="Nghỉ tuần",N($G466),0))</f>
        <v/>
      </c>
      <c r="L466" s="108">
        <f>IF($B466="","",IF($E466="Lễ",N($G466),0))</f>
        <v/>
      </c>
      <c r="M466" s="108">
        <f>IF($B466="","",IF($E466="Ngày thường",N($H466),0))</f>
        <v/>
      </c>
      <c r="N466" s="108">
        <f>IF($B466="","",IF($E466="Nghỉ tuần",N($H466),0))</f>
        <v/>
      </c>
      <c r="O466" s="108">
        <f>IF($B466="","",IF($E466="Lễ",N($H466),0))</f>
        <v/>
      </c>
    </row>
    <row r="467" ht="15" customHeight="1" s="63">
      <c r="A467" s="85">
        <f>IF($B467="","",ROW()-5)</f>
        <v/>
      </c>
      <c r="B467" s="97" t="n"/>
      <c r="C467" s="96">
        <f>IF($B467="","",IFERROR(INDEX(DM_NHAN_SU!$C$6:$C$155,MATCH($B467,DM_NHAN_SU!$B$6:$B$155,0)),"SAI MÃ NV"))</f>
        <v/>
      </c>
      <c r="D467" s="86" t="n"/>
      <c r="E467" s="103">
        <f>IF(OR($B467="",$D467=""),"",IF(COUNTIF(THAM_SO_CC!$F$10:$F$40,$D467)&gt;0,"Lễ",IF(IF(THAM_SO_CC!$B$12="T7+CN",WEEKDAY($D467,2)&gt;=6,WEEKDAY($D467,2)=7),"Nghỉ tuần","Ngày thường")))</f>
        <v/>
      </c>
      <c r="F467" s="107" t="n"/>
      <c r="G467" s="107" t="n"/>
      <c r="H467" s="107" t="n"/>
      <c r="I467" s="81" t="n"/>
      <c r="J467" s="108">
        <f>IF($B467="","",IF($E467="Ngày thường",N($G467),0))</f>
        <v/>
      </c>
      <c r="K467" s="108">
        <f>IF($B467="","",IF($E467="Nghỉ tuần",N($G467),0))</f>
        <v/>
      </c>
      <c r="L467" s="108">
        <f>IF($B467="","",IF($E467="Lễ",N($G467),0))</f>
        <v/>
      </c>
      <c r="M467" s="108">
        <f>IF($B467="","",IF($E467="Ngày thường",N($H467),0))</f>
        <v/>
      </c>
      <c r="N467" s="108">
        <f>IF($B467="","",IF($E467="Nghỉ tuần",N($H467),0))</f>
        <v/>
      </c>
      <c r="O467" s="108">
        <f>IF($B467="","",IF($E467="Lễ",N($H467),0))</f>
        <v/>
      </c>
    </row>
    <row r="468" ht="15" customHeight="1" s="63">
      <c r="A468" s="85">
        <f>IF($B468="","",ROW()-5)</f>
        <v/>
      </c>
      <c r="B468" s="97" t="n"/>
      <c r="C468" s="96">
        <f>IF($B468="","",IFERROR(INDEX(DM_NHAN_SU!$C$6:$C$155,MATCH($B468,DM_NHAN_SU!$B$6:$B$155,0)),"SAI MÃ NV"))</f>
        <v/>
      </c>
      <c r="D468" s="86" t="n"/>
      <c r="E468" s="103">
        <f>IF(OR($B468="",$D468=""),"",IF(COUNTIF(THAM_SO_CC!$F$10:$F$40,$D468)&gt;0,"Lễ",IF(IF(THAM_SO_CC!$B$12="T7+CN",WEEKDAY($D468,2)&gt;=6,WEEKDAY($D468,2)=7),"Nghỉ tuần","Ngày thường")))</f>
        <v/>
      </c>
      <c r="F468" s="107" t="n"/>
      <c r="G468" s="107" t="n"/>
      <c r="H468" s="107" t="n"/>
      <c r="I468" s="81" t="n"/>
      <c r="J468" s="108">
        <f>IF($B468="","",IF($E468="Ngày thường",N($G468),0))</f>
        <v/>
      </c>
      <c r="K468" s="108">
        <f>IF($B468="","",IF($E468="Nghỉ tuần",N($G468),0))</f>
        <v/>
      </c>
      <c r="L468" s="108">
        <f>IF($B468="","",IF($E468="Lễ",N($G468),0))</f>
        <v/>
      </c>
      <c r="M468" s="108">
        <f>IF($B468="","",IF($E468="Ngày thường",N($H468),0))</f>
        <v/>
      </c>
      <c r="N468" s="108">
        <f>IF($B468="","",IF($E468="Nghỉ tuần",N($H468),0))</f>
        <v/>
      </c>
      <c r="O468" s="108">
        <f>IF($B468="","",IF($E468="Lễ",N($H468),0))</f>
        <v/>
      </c>
    </row>
    <row r="469" ht="15" customHeight="1" s="63">
      <c r="A469" s="85">
        <f>IF($B469="","",ROW()-5)</f>
        <v/>
      </c>
      <c r="B469" s="97" t="n"/>
      <c r="C469" s="96">
        <f>IF($B469="","",IFERROR(INDEX(DM_NHAN_SU!$C$6:$C$155,MATCH($B469,DM_NHAN_SU!$B$6:$B$155,0)),"SAI MÃ NV"))</f>
        <v/>
      </c>
      <c r="D469" s="86" t="n"/>
      <c r="E469" s="103">
        <f>IF(OR($B469="",$D469=""),"",IF(COUNTIF(THAM_SO_CC!$F$10:$F$40,$D469)&gt;0,"Lễ",IF(IF(THAM_SO_CC!$B$12="T7+CN",WEEKDAY($D469,2)&gt;=6,WEEKDAY($D469,2)=7),"Nghỉ tuần","Ngày thường")))</f>
        <v/>
      </c>
      <c r="F469" s="107" t="n"/>
      <c r="G469" s="107" t="n"/>
      <c r="H469" s="107" t="n"/>
      <c r="I469" s="81" t="n"/>
      <c r="J469" s="108">
        <f>IF($B469="","",IF($E469="Ngày thường",N($G469),0))</f>
        <v/>
      </c>
      <c r="K469" s="108">
        <f>IF($B469="","",IF($E469="Nghỉ tuần",N($G469),0))</f>
        <v/>
      </c>
      <c r="L469" s="108">
        <f>IF($B469="","",IF($E469="Lễ",N($G469),0))</f>
        <v/>
      </c>
      <c r="M469" s="108">
        <f>IF($B469="","",IF($E469="Ngày thường",N($H469),0))</f>
        <v/>
      </c>
      <c r="N469" s="108">
        <f>IF($B469="","",IF($E469="Nghỉ tuần",N($H469),0))</f>
        <v/>
      </c>
      <c r="O469" s="108">
        <f>IF($B469="","",IF($E469="Lễ",N($H469),0))</f>
        <v/>
      </c>
    </row>
    <row r="470" ht="15" customHeight="1" s="63">
      <c r="A470" s="85">
        <f>IF($B470="","",ROW()-5)</f>
        <v/>
      </c>
      <c r="B470" s="97" t="n"/>
      <c r="C470" s="96">
        <f>IF($B470="","",IFERROR(INDEX(DM_NHAN_SU!$C$6:$C$155,MATCH($B470,DM_NHAN_SU!$B$6:$B$155,0)),"SAI MÃ NV"))</f>
        <v/>
      </c>
      <c r="D470" s="86" t="n"/>
      <c r="E470" s="103">
        <f>IF(OR($B470="",$D470=""),"",IF(COUNTIF(THAM_SO_CC!$F$10:$F$40,$D470)&gt;0,"Lễ",IF(IF(THAM_SO_CC!$B$12="T7+CN",WEEKDAY($D470,2)&gt;=6,WEEKDAY($D470,2)=7),"Nghỉ tuần","Ngày thường")))</f>
        <v/>
      </c>
      <c r="F470" s="107" t="n"/>
      <c r="G470" s="107" t="n"/>
      <c r="H470" s="107" t="n"/>
      <c r="I470" s="81" t="n"/>
      <c r="J470" s="108">
        <f>IF($B470="","",IF($E470="Ngày thường",N($G470),0))</f>
        <v/>
      </c>
      <c r="K470" s="108">
        <f>IF($B470="","",IF($E470="Nghỉ tuần",N($G470),0))</f>
        <v/>
      </c>
      <c r="L470" s="108">
        <f>IF($B470="","",IF($E470="Lễ",N($G470),0))</f>
        <v/>
      </c>
      <c r="M470" s="108">
        <f>IF($B470="","",IF($E470="Ngày thường",N($H470),0))</f>
        <v/>
      </c>
      <c r="N470" s="108">
        <f>IF($B470="","",IF($E470="Nghỉ tuần",N($H470),0))</f>
        <v/>
      </c>
      <c r="O470" s="108">
        <f>IF($B470="","",IF($E470="Lễ",N($H470),0))</f>
        <v/>
      </c>
    </row>
    <row r="471" ht="15" customHeight="1" s="63">
      <c r="A471" s="85">
        <f>IF($B471="","",ROW()-5)</f>
        <v/>
      </c>
      <c r="B471" s="97" t="n"/>
      <c r="C471" s="96">
        <f>IF($B471="","",IFERROR(INDEX(DM_NHAN_SU!$C$6:$C$155,MATCH($B471,DM_NHAN_SU!$B$6:$B$155,0)),"SAI MÃ NV"))</f>
        <v/>
      </c>
      <c r="D471" s="86" t="n"/>
      <c r="E471" s="103">
        <f>IF(OR($B471="",$D471=""),"",IF(COUNTIF(THAM_SO_CC!$F$10:$F$40,$D471)&gt;0,"Lễ",IF(IF(THAM_SO_CC!$B$12="T7+CN",WEEKDAY($D471,2)&gt;=6,WEEKDAY($D471,2)=7),"Nghỉ tuần","Ngày thường")))</f>
        <v/>
      </c>
      <c r="F471" s="107" t="n"/>
      <c r="G471" s="107" t="n"/>
      <c r="H471" s="107" t="n"/>
      <c r="I471" s="81" t="n"/>
      <c r="J471" s="108">
        <f>IF($B471="","",IF($E471="Ngày thường",N($G471),0))</f>
        <v/>
      </c>
      <c r="K471" s="108">
        <f>IF($B471="","",IF($E471="Nghỉ tuần",N($G471),0))</f>
        <v/>
      </c>
      <c r="L471" s="108">
        <f>IF($B471="","",IF($E471="Lễ",N($G471),0))</f>
        <v/>
      </c>
      <c r="M471" s="108">
        <f>IF($B471="","",IF($E471="Ngày thường",N($H471),0))</f>
        <v/>
      </c>
      <c r="N471" s="108">
        <f>IF($B471="","",IF($E471="Nghỉ tuần",N($H471),0))</f>
        <v/>
      </c>
      <c r="O471" s="108">
        <f>IF($B471="","",IF($E471="Lễ",N($H471),0))</f>
        <v/>
      </c>
    </row>
    <row r="472" ht="15" customHeight="1" s="63">
      <c r="A472" s="85">
        <f>IF($B472="","",ROW()-5)</f>
        <v/>
      </c>
      <c r="B472" s="97" t="n"/>
      <c r="C472" s="96">
        <f>IF($B472="","",IFERROR(INDEX(DM_NHAN_SU!$C$6:$C$155,MATCH($B472,DM_NHAN_SU!$B$6:$B$155,0)),"SAI MÃ NV"))</f>
        <v/>
      </c>
      <c r="D472" s="86" t="n"/>
      <c r="E472" s="103">
        <f>IF(OR($B472="",$D472=""),"",IF(COUNTIF(THAM_SO_CC!$F$10:$F$40,$D472)&gt;0,"Lễ",IF(IF(THAM_SO_CC!$B$12="T7+CN",WEEKDAY($D472,2)&gt;=6,WEEKDAY($D472,2)=7),"Nghỉ tuần","Ngày thường")))</f>
        <v/>
      </c>
      <c r="F472" s="107" t="n"/>
      <c r="G472" s="107" t="n"/>
      <c r="H472" s="107" t="n"/>
      <c r="I472" s="81" t="n"/>
      <c r="J472" s="108">
        <f>IF($B472="","",IF($E472="Ngày thường",N($G472),0))</f>
        <v/>
      </c>
      <c r="K472" s="108">
        <f>IF($B472="","",IF($E472="Nghỉ tuần",N($G472),0))</f>
        <v/>
      </c>
      <c r="L472" s="108">
        <f>IF($B472="","",IF($E472="Lễ",N($G472),0))</f>
        <v/>
      </c>
      <c r="M472" s="108">
        <f>IF($B472="","",IF($E472="Ngày thường",N($H472),0))</f>
        <v/>
      </c>
      <c r="N472" s="108">
        <f>IF($B472="","",IF($E472="Nghỉ tuần",N($H472),0))</f>
        <v/>
      </c>
      <c r="O472" s="108">
        <f>IF($B472="","",IF($E472="Lễ",N($H472),0))</f>
        <v/>
      </c>
    </row>
    <row r="473" ht="15" customHeight="1" s="63">
      <c r="A473" s="85">
        <f>IF($B473="","",ROW()-5)</f>
        <v/>
      </c>
      <c r="B473" s="97" t="n"/>
      <c r="C473" s="96">
        <f>IF($B473="","",IFERROR(INDEX(DM_NHAN_SU!$C$6:$C$155,MATCH($B473,DM_NHAN_SU!$B$6:$B$155,0)),"SAI MÃ NV"))</f>
        <v/>
      </c>
      <c r="D473" s="86" t="n"/>
      <c r="E473" s="103">
        <f>IF(OR($B473="",$D473=""),"",IF(COUNTIF(THAM_SO_CC!$F$10:$F$40,$D473)&gt;0,"Lễ",IF(IF(THAM_SO_CC!$B$12="T7+CN",WEEKDAY($D473,2)&gt;=6,WEEKDAY($D473,2)=7),"Nghỉ tuần","Ngày thường")))</f>
        <v/>
      </c>
      <c r="F473" s="107" t="n"/>
      <c r="G473" s="107" t="n"/>
      <c r="H473" s="107" t="n"/>
      <c r="I473" s="81" t="n"/>
      <c r="J473" s="108">
        <f>IF($B473="","",IF($E473="Ngày thường",N($G473),0))</f>
        <v/>
      </c>
      <c r="K473" s="108">
        <f>IF($B473="","",IF($E473="Nghỉ tuần",N($G473),0))</f>
        <v/>
      </c>
      <c r="L473" s="108">
        <f>IF($B473="","",IF($E473="Lễ",N($G473),0))</f>
        <v/>
      </c>
      <c r="M473" s="108">
        <f>IF($B473="","",IF($E473="Ngày thường",N($H473),0))</f>
        <v/>
      </c>
      <c r="N473" s="108">
        <f>IF($B473="","",IF($E473="Nghỉ tuần",N($H473),0))</f>
        <v/>
      </c>
      <c r="O473" s="108">
        <f>IF($B473="","",IF($E473="Lễ",N($H473),0))</f>
        <v/>
      </c>
    </row>
    <row r="474" ht="15" customHeight="1" s="63">
      <c r="A474" s="85">
        <f>IF($B474="","",ROW()-5)</f>
        <v/>
      </c>
      <c r="B474" s="97" t="n"/>
      <c r="C474" s="96">
        <f>IF($B474="","",IFERROR(INDEX(DM_NHAN_SU!$C$6:$C$155,MATCH($B474,DM_NHAN_SU!$B$6:$B$155,0)),"SAI MÃ NV"))</f>
        <v/>
      </c>
      <c r="D474" s="86" t="n"/>
      <c r="E474" s="103">
        <f>IF(OR($B474="",$D474=""),"",IF(COUNTIF(THAM_SO_CC!$F$10:$F$40,$D474)&gt;0,"Lễ",IF(IF(THAM_SO_CC!$B$12="T7+CN",WEEKDAY($D474,2)&gt;=6,WEEKDAY($D474,2)=7),"Nghỉ tuần","Ngày thường")))</f>
        <v/>
      </c>
      <c r="F474" s="107" t="n"/>
      <c r="G474" s="107" t="n"/>
      <c r="H474" s="107" t="n"/>
      <c r="I474" s="81" t="n"/>
      <c r="J474" s="108">
        <f>IF($B474="","",IF($E474="Ngày thường",N($G474),0))</f>
        <v/>
      </c>
      <c r="K474" s="108">
        <f>IF($B474="","",IF($E474="Nghỉ tuần",N($G474),0))</f>
        <v/>
      </c>
      <c r="L474" s="108">
        <f>IF($B474="","",IF($E474="Lễ",N($G474),0))</f>
        <v/>
      </c>
      <c r="M474" s="108">
        <f>IF($B474="","",IF($E474="Ngày thường",N($H474),0))</f>
        <v/>
      </c>
      <c r="N474" s="108">
        <f>IF($B474="","",IF($E474="Nghỉ tuần",N($H474),0))</f>
        <v/>
      </c>
      <c r="O474" s="108">
        <f>IF($B474="","",IF($E474="Lễ",N($H474),0))</f>
        <v/>
      </c>
    </row>
    <row r="475" ht="15" customHeight="1" s="63">
      <c r="A475" s="85">
        <f>IF($B475="","",ROW()-5)</f>
        <v/>
      </c>
      <c r="B475" s="97" t="n"/>
      <c r="C475" s="96">
        <f>IF($B475="","",IFERROR(INDEX(DM_NHAN_SU!$C$6:$C$155,MATCH($B475,DM_NHAN_SU!$B$6:$B$155,0)),"SAI MÃ NV"))</f>
        <v/>
      </c>
      <c r="D475" s="86" t="n"/>
      <c r="E475" s="103">
        <f>IF(OR($B475="",$D475=""),"",IF(COUNTIF(THAM_SO_CC!$F$10:$F$40,$D475)&gt;0,"Lễ",IF(IF(THAM_SO_CC!$B$12="T7+CN",WEEKDAY($D475,2)&gt;=6,WEEKDAY($D475,2)=7),"Nghỉ tuần","Ngày thường")))</f>
        <v/>
      </c>
      <c r="F475" s="107" t="n"/>
      <c r="G475" s="107" t="n"/>
      <c r="H475" s="107" t="n"/>
      <c r="I475" s="81" t="n"/>
      <c r="J475" s="108">
        <f>IF($B475="","",IF($E475="Ngày thường",N($G475),0))</f>
        <v/>
      </c>
      <c r="K475" s="108">
        <f>IF($B475="","",IF($E475="Nghỉ tuần",N($G475),0))</f>
        <v/>
      </c>
      <c r="L475" s="108">
        <f>IF($B475="","",IF($E475="Lễ",N($G475),0))</f>
        <v/>
      </c>
      <c r="M475" s="108">
        <f>IF($B475="","",IF($E475="Ngày thường",N($H475),0))</f>
        <v/>
      </c>
      <c r="N475" s="108">
        <f>IF($B475="","",IF($E475="Nghỉ tuần",N($H475),0))</f>
        <v/>
      </c>
      <c r="O475" s="108">
        <f>IF($B475="","",IF($E475="Lễ",N($H475),0))</f>
        <v/>
      </c>
    </row>
    <row r="476" ht="15" customHeight="1" s="63">
      <c r="A476" s="85">
        <f>IF($B476="","",ROW()-5)</f>
        <v/>
      </c>
      <c r="B476" s="97" t="n"/>
      <c r="C476" s="96">
        <f>IF($B476="","",IFERROR(INDEX(DM_NHAN_SU!$C$6:$C$155,MATCH($B476,DM_NHAN_SU!$B$6:$B$155,0)),"SAI MÃ NV"))</f>
        <v/>
      </c>
      <c r="D476" s="86" t="n"/>
      <c r="E476" s="103">
        <f>IF(OR($B476="",$D476=""),"",IF(COUNTIF(THAM_SO_CC!$F$10:$F$40,$D476)&gt;0,"Lễ",IF(IF(THAM_SO_CC!$B$12="T7+CN",WEEKDAY($D476,2)&gt;=6,WEEKDAY($D476,2)=7),"Nghỉ tuần","Ngày thường")))</f>
        <v/>
      </c>
      <c r="F476" s="107" t="n"/>
      <c r="G476" s="107" t="n"/>
      <c r="H476" s="107" t="n"/>
      <c r="I476" s="81" t="n"/>
      <c r="J476" s="108">
        <f>IF($B476="","",IF($E476="Ngày thường",N($G476),0))</f>
        <v/>
      </c>
      <c r="K476" s="108">
        <f>IF($B476="","",IF($E476="Nghỉ tuần",N($G476),0))</f>
        <v/>
      </c>
      <c r="L476" s="108">
        <f>IF($B476="","",IF($E476="Lễ",N($G476),0))</f>
        <v/>
      </c>
      <c r="M476" s="108">
        <f>IF($B476="","",IF($E476="Ngày thường",N($H476),0))</f>
        <v/>
      </c>
      <c r="N476" s="108">
        <f>IF($B476="","",IF($E476="Nghỉ tuần",N($H476),0))</f>
        <v/>
      </c>
      <c r="O476" s="108">
        <f>IF($B476="","",IF($E476="Lễ",N($H476),0))</f>
        <v/>
      </c>
    </row>
    <row r="477" ht="15" customHeight="1" s="63">
      <c r="A477" s="85">
        <f>IF($B477="","",ROW()-5)</f>
        <v/>
      </c>
      <c r="B477" s="97" t="n"/>
      <c r="C477" s="96">
        <f>IF($B477="","",IFERROR(INDEX(DM_NHAN_SU!$C$6:$C$155,MATCH($B477,DM_NHAN_SU!$B$6:$B$155,0)),"SAI MÃ NV"))</f>
        <v/>
      </c>
      <c r="D477" s="86" t="n"/>
      <c r="E477" s="103">
        <f>IF(OR($B477="",$D477=""),"",IF(COUNTIF(THAM_SO_CC!$F$10:$F$40,$D477)&gt;0,"Lễ",IF(IF(THAM_SO_CC!$B$12="T7+CN",WEEKDAY($D477,2)&gt;=6,WEEKDAY($D477,2)=7),"Nghỉ tuần","Ngày thường")))</f>
        <v/>
      </c>
      <c r="F477" s="107" t="n"/>
      <c r="G477" s="107" t="n"/>
      <c r="H477" s="107" t="n"/>
      <c r="I477" s="81" t="n"/>
      <c r="J477" s="108">
        <f>IF($B477="","",IF($E477="Ngày thường",N($G477),0))</f>
        <v/>
      </c>
      <c r="K477" s="108">
        <f>IF($B477="","",IF($E477="Nghỉ tuần",N($G477),0))</f>
        <v/>
      </c>
      <c r="L477" s="108">
        <f>IF($B477="","",IF($E477="Lễ",N($G477),0))</f>
        <v/>
      </c>
      <c r="M477" s="108">
        <f>IF($B477="","",IF($E477="Ngày thường",N($H477),0))</f>
        <v/>
      </c>
      <c r="N477" s="108">
        <f>IF($B477="","",IF($E477="Nghỉ tuần",N($H477),0))</f>
        <v/>
      </c>
      <c r="O477" s="108">
        <f>IF($B477="","",IF($E477="Lễ",N($H477),0))</f>
        <v/>
      </c>
    </row>
    <row r="478" ht="15" customHeight="1" s="63">
      <c r="A478" s="85">
        <f>IF($B478="","",ROW()-5)</f>
        <v/>
      </c>
      <c r="B478" s="97" t="n"/>
      <c r="C478" s="96">
        <f>IF($B478="","",IFERROR(INDEX(DM_NHAN_SU!$C$6:$C$155,MATCH($B478,DM_NHAN_SU!$B$6:$B$155,0)),"SAI MÃ NV"))</f>
        <v/>
      </c>
      <c r="D478" s="86" t="n"/>
      <c r="E478" s="103">
        <f>IF(OR($B478="",$D478=""),"",IF(COUNTIF(THAM_SO_CC!$F$10:$F$40,$D478)&gt;0,"Lễ",IF(IF(THAM_SO_CC!$B$12="T7+CN",WEEKDAY($D478,2)&gt;=6,WEEKDAY($D478,2)=7),"Nghỉ tuần","Ngày thường")))</f>
        <v/>
      </c>
      <c r="F478" s="107" t="n"/>
      <c r="G478" s="107" t="n"/>
      <c r="H478" s="107" t="n"/>
      <c r="I478" s="81" t="n"/>
      <c r="J478" s="108">
        <f>IF($B478="","",IF($E478="Ngày thường",N($G478),0))</f>
        <v/>
      </c>
      <c r="K478" s="108">
        <f>IF($B478="","",IF($E478="Nghỉ tuần",N($G478),0))</f>
        <v/>
      </c>
      <c r="L478" s="108">
        <f>IF($B478="","",IF($E478="Lễ",N($G478),0))</f>
        <v/>
      </c>
      <c r="M478" s="108">
        <f>IF($B478="","",IF($E478="Ngày thường",N($H478),0))</f>
        <v/>
      </c>
      <c r="N478" s="108">
        <f>IF($B478="","",IF($E478="Nghỉ tuần",N($H478),0))</f>
        <v/>
      </c>
      <c r="O478" s="108">
        <f>IF($B478="","",IF($E478="Lễ",N($H478),0))</f>
        <v/>
      </c>
    </row>
    <row r="479" ht="15" customHeight="1" s="63">
      <c r="A479" s="85">
        <f>IF($B479="","",ROW()-5)</f>
        <v/>
      </c>
      <c r="B479" s="97" t="n"/>
      <c r="C479" s="96">
        <f>IF($B479="","",IFERROR(INDEX(DM_NHAN_SU!$C$6:$C$155,MATCH($B479,DM_NHAN_SU!$B$6:$B$155,0)),"SAI MÃ NV"))</f>
        <v/>
      </c>
      <c r="D479" s="86" t="n"/>
      <c r="E479" s="103">
        <f>IF(OR($B479="",$D479=""),"",IF(COUNTIF(THAM_SO_CC!$F$10:$F$40,$D479)&gt;0,"Lễ",IF(IF(THAM_SO_CC!$B$12="T7+CN",WEEKDAY($D479,2)&gt;=6,WEEKDAY($D479,2)=7),"Nghỉ tuần","Ngày thường")))</f>
        <v/>
      </c>
      <c r="F479" s="107" t="n"/>
      <c r="G479" s="107" t="n"/>
      <c r="H479" s="107" t="n"/>
      <c r="I479" s="81" t="n"/>
      <c r="J479" s="108">
        <f>IF($B479="","",IF($E479="Ngày thường",N($G479),0))</f>
        <v/>
      </c>
      <c r="K479" s="108">
        <f>IF($B479="","",IF($E479="Nghỉ tuần",N($G479),0))</f>
        <v/>
      </c>
      <c r="L479" s="108">
        <f>IF($B479="","",IF($E479="Lễ",N($G479),0))</f>
        <v/>
      </c>
      <c r="M479" s="108">
        <f>IF($B479="","",IF($E479="Ngày thường",N($H479),0))</f>
        <v/>
      </c>
      <c r="N479" s="108">
        <f>IF($B479="","",IF($E479="Nghỉ tuần",N($H479),0))</f>
        <v/>
      </c>
      <c r="O479" s="108">
        <f>IF($B479="","",IF($E479="Lễ",N($H479),0))</f>
        <v/>
      </c>
    </row>
    <row r="480" ht="15" customHeight="1" s="63">
      <c r="A480" s="85">
        <f>IF($B480="","",ROW()-5)</f>
        <v/>
      </c>
      <c r="B480" s="97" t="n"/>
      <c r="C480" s="96">
        <f>IF($B480="","",IFERROR(INDEX(DM_NHAN_SU!$C$6:$C$155,MATCH($B480,DM_NHAN_SU!$B$6:$B$155,0)),"SAI MÃ NV"))</f>
        <v/>
      </c>
      <c r="D480" s="86" t="n"/>
      <c r="E480" s="103">
        <f>IF(OR($B480="",$D480=""),"",IF(COUNTIF(THAM_SO_CC!$F$10:$F$40,$D480)&gt;0,"Lễ",IF(IF(THAM_SO_CC!$B$12="T7+CN",WEEKDAY($D480,2)&gt;=6,WEEKDAY($D480,2)=7),"Nghỉ tuần","Ngày thường")))</f>
        <v/>
      </c>
      <c r="F480" s="107" t="n"/>
      <c r="G480" s="107" t="n"/>
      <c r="H480" s="107" t="n"/>
      <c r="I480" s="81" t="n"/>
      <c r="J480" s="108">
        <f>IF($B480="","",IF($E480="Ngày thường",N($G480),0))</f>
        <v/>
      </c>
      <c r="K480" s="108">
        <f>IF($B480="","",IF($E480="Nghỉ tuần",N($G480),0))</f>
        <v/>
      </c>
      <c r="L480" s="108">
        <f>IF($B480="","",IF($E480="Lễ",N($G480),0))</f>
        <v/>
      </c>
      <c r="M480" s="108">
        <f>IF($B480="","",IF($E480="Ngày thường",N($H480),0))</f>
        <v/>
      </c>
      <c r="N480" s="108">
        <f>IF($B480="","",IF($E480="Nghỉ tuần",N($H480),0))</f>
        <v/>
      </c>
      <c r="O480" s="108">
        <f>IF($B480="","",IF($E480="Lễ",N($H480),0))</f>
        <v/>
      </c>
    </row>
    <row r="481" ht="15" customHeight="1" s="63">
      <c r="A481" s="85">
        <f>IF($B481="","",ROW()-5)</f>
        <v/>
      </c>
      <c r="B481" s="97" t="n"/>
      <c r="C481" s="96">
        <f>IF($B481="","",IFERROR(INDEX(DM_NHAN_SU!$C$6:$C$155,MATCH($B481,DM_NHAN_SU!$B$6:$B$155,0)),"SAI MÃ NV"))</f>
        <v/>
      </c>
      <c r="D481" s="86" t="n"/>
      <c r="E481" s="103">
        <f>IF(OR($B481="",$D481=""),"",IF(COUNTIF(THAM_SO_CC!$F$10:$F$40,$D481)&gt;0,"Lễ",IF(IF(THAM_SO_CC!$B$12="T7+CN",WEEKDAY($D481,2)&gt;=6,WEEKDAY($D481,2)=7),"Nghỉ tuần","Ngày thường")))</f>
        <v/>
      </c>
      <c r="F481" s="107" t="n"/>
      <c r="G481" s="107" t="n"/>
      <c r="H481" s="107" t="n"/>
      <c r="I481" s="81" t="n"/>
      <c r="J481" s="108">
        <f>IF($B481="","",IF($E481="Ngày thường",N($G481),0))</f>
        <v/>
      </c>
      <c r="K481" s="108">
        <f>IF($B481="","",IF($E481="Nghỉ tuần",N($G481),0))</f>
        <v/>
      </c>
      <c r="L481" s="108">
        <f>IF($B481="","",IF($E481="Lễ",N($G481),0))</f>
        <v/>
      </c>
      <c r="M481" s="108">
        <f>IF($B481="","",IF($E481="Ngày thường",N($H481),0))</f>
        <v/>
      </c>
      <c r="N481" s="108">
        <f>IF($B481="","",IF($E481="Nghỉ tuần",N($H481),0))</f>
        <v/>
      </c>
      <c r="O481" s="108">
        <f>IF($B481="","",IF($E481="Lễ",N($H481),0))</f>
        <v/>
      </c>
    </row>
    <row r="482" ht="15" customHeight="1" s="63">
      <c r="A482" s="85">
        <f>IF($B482="","",ROW()-5)</f>
        <v/>
      </c>
      <c r="B482" s="97" t="n"/>
      <c r="C482" s="96">
        <f>IF($B482="","",IFERROR(INDEX(DM_NHAN_SU!$C$6:$C$155,MATCH($B482,DM_NHAN_SU!$B$6:$B$155,0)),"SAI MÃ NV"))</f>
        <v/>
      </c>
      <c r="D482" s="86" t="n"/>
      <c r="E482" s="103">
        <f>IF(OR($B482="",$D482=""),"",IF(COUNTIF(THAM_SO_CC!$F$10:$F$40,$D482)&gt;0,"Lễ",IF(IF(THAM_SO_CC!$B$12="T7+CN",WEEKDAY($D482,2)&gt;=6,WEEKDAY($D482,2)=7),"Nghỉ tuần","Ngày thường")))</f>
        <v/>
      </c>
      <c r="F482" s="107" t="n"/>
      <c r="G482" s="107" t="n"/>
      <c r="H482" s="107" t="n"/>
      <c r="I482" s="81" t="n"/>
      <c r="J482" s="108">
        <f>IF($B482="","",IF($E482="Ngày thường",N($G482),0))</f>
        <v/>
      </c>
      <c r="K482" s="108">
        <f>IF($B482="","",IF($E482="Nghỉ tuần",N($G482),0))</f>
        <v/>
      </c>
      <c r="L482" s="108">
        <f>IF($B482="","",IF($E482="Lễ",N($G482),0))</f>
        <v/>
      </c>
      <c r="M482" s="108">
        <f>IF($B482="","",IF($E482="Ngày thường",N($H482),0))</f>
        <v/>
      </c>
      <c r="N482" s="108">
        <f>IF($B482="","",IF($E482="Nghỉ tuần",N($H482),0))</f>
        <v/>
      </c>
      <c r="O482" s="108">
        <f>IF($B482="","",IF($E482="Lễ",N($H482),0))</f>
        <v/>
      </c>
    </row>
    <row r="483" ht="15" customHeight="1" s="63">
      <c r="A483" s="85">
        <f>IF($B483="","",ROW()-5)</f>
        <v/>
      </c>
      <c r="B483" s="97" t="n"/>
      <c r="C483" s="96">
        <f>IF($B483="","",IFERROR(INDEX(DM_NHAN_SU!$C$6:$C$155,MATCH($B483,DM_NHAN_SU!$B$6:$B$155,0)),"SAI MÃ NV"))</f>
        <v/>
      </c>
      <c r="D483" s="86" t="n"/>
      <c r="E483" s="103">
        <f>IF(OR($B483="",$D483=""),"",IF(COUNTIF(THAM_SO_CC!$F$10:$F$40,$D483)&gt;0,"Lễ",IF(IF(THAM_SO_CC!$B$12="T7+CN",WEEKDAY($D483,2)&gt;=6,WEEKDAY($D483,2)=7),"Nghỉ tuần","Ngày thường")))</f>
        <v/>
      </c>
      <c r="F483" s="107" t="n"/>
      <c r="G483" s="107" t="n"/>
      <c r="H483" s="107" t="n"/>
      <c r="I483" s="81" t="n"/>
      <c r="J483" s="108">
        <f>IF($B483="","",IF($E483="Ngày thường",N($G483),0))</f>
        <v/>
      </c>
      <c r="K483" s="108">
        <f>IF($B483="","",IF($E483="Nghỉ tuần",N($G483),0))</f>
        <v/>
      </c>
      <c r="L483" s="108">
        <f>IF($B483="","",IF($E483="Lễ",N($G483),0))</f>
        <v/>
      </c>
      <c r="M483" s="108">
        <f>IF($B483="","",IF($E483="Ngày thường",N($H483),0))</f>
        <v/>
      </c>
      <c r="N483" s="108">
        <f>IF($B483="","",IF($E483="Nghỉ tuần",N($H483),0))</f>
        <v/>
      </c>
      <c r="O483" s="108">
        <f>IF($B483="","",IF($E483="Lễ",N($H483),0))</f>
        <v/>
      </c>
    </row>
    <row r="484" ht="15" customHeight="1" s="63">
      <c r="A484" s="85">
        <f>IF($B484="","",ROW()-5)</f>
        <v/>
      </c>
      <c r="B484" s="97" t="n"/>
      <c r="C484" s="96">
        <f>IF($B484="","",IFERROR(INDEX(DM_NHAN_SU!$C$6:$C$155,MATCH($B484,DM_NHAN_SU!$B$6:$B$155,0)),"SAI MÃ NV"))</f>
        <v/>
      </c>
      <c r="D484" s="86" t="n"/>
      <c r="E484" s="103">
        <f>IF(OR($B484="",$D484=""),"",IF(COUNTIF(THAM_SO_CC!$F$10:$F$40,$D484)&gt;0,"Lễ",IF(IF(THAM_SO_CC!$B$12="T7+CN",WEEKDAY($D484,2)&gt;=6,WEEKDAY($D484,2)=7),"Nghỉ tuần","Ngày thường")))</f>
        <v/>
      </c>
      <c r="F484" s="107" t="n"/>
      <c r="G484" s="107" t="n"/>
      <c r="H484" s="107" t="n"/>
      <c r="I484" s="81" t="n"/>
      <c r="J484" s="108">
        <f>IF($B484="","",IF($E484="Ngày thường",N($G484),0))</f>
        <v/>
      </c>
      <c r="K484" s="108">
        <f>IF($B484="","",IF($E484="Nghỉ tuần",N($G484),0))</f>
        <v/>
      </c>
      <c r="L484" s="108">
        <f>IF($B484="","",IF($E484="Lễ",N($G484),0))</f>
        <v/>
      </c>
      <c r="M484" s="108">
        <f>IF($B484="","",IF($E484="Ngày thường",N($H484),0))</f>
        <v/>
      </c>
      <c r="N484" s="108">
        <f>IF($B484="","",IF($E484="Nghỉ tuần",N($H484),0))</f>
        <v/>
      </c>
      <c r="O484" s="108">
        <f>IF($B484="","",IF($E484="Lễ",N($H484),0))</f>
        <v/>
      </c>
    </row>
    <row r="485" ht="15" customHeight="1" s="63">
      <c r="A485" s="85">
        <f>IF($B485="","",ROW()-5)</f>
        <v/>
      </c>
      <c r="B485" s="97" t="n"/>
      <c r="C485" s="96">
        <f>IF($B485="","",IFERROR(INDEX(DM_NHAN_SU!$C$6:$C$155,MATCH($B485,DM_NHAN_SU!$B$6:$B$155,0)),"SAI MÃ NV"))</f>
        <v/>
      </c>
      <c r="D485" s="86" t="n"/>
      <c r="E485" s="103">
        <f>IF(OR($B485="",$D485=""),"",IF(COUNTIF(THAM_SO_CC!$F$10:$F$40,$D485)&gt;0,"Lễ",IF(IF(THAM_SO_CC!$B$12="T7+CN",WEEKDAY($D485,2)&gt;=6,WEEKDAY($D485,2)=7),"Nghỉ tuần","Ngày thường")))</f>
        <v/>
      </c>
      <c r="F485" s="107" t="n"/>
      <c r="G485" s="107" t="n"/>
      <c r="H485" s="107" t="n"/>
      <c r="I485" s="81" t="n"/>
      <c r="J485" s="108">
        <f>IF($B485="","",IF($E485="Ngày thường",N($G485),0))</f>
        <v/>
      </c>
      <c r="K485" s="108">
        <f>IF($B485="","",IF($E485="Nghỉ tuần",N($G485),0))</f>
        <v/>
      </c>
      <c r="L485" s="108">
        <f>IF($B485="","",IF($E485="Lễ",N($G485),0))</f>
        <v/>
      </c>
      <c r="M485" s="108">
        <f>IF($B485="","",IF($E485="Ngày thường",N($H485),0))</f>
        <v/>
      </c>
      <c r="N485" s="108">
        <f>IF($B485="","",IF($E485="Nghỉ tuần",N($H485),0))</f>
        <v/>
      </c>
      <c r="O485" s="108">
        <f>IF($B485="","",IF($E485="Lễ",N($H485),0))</f>
        <v/>
      </c>
    </row>
    <row r="486" ht="15" customHeight="1" s="63">
      <c r="A486" s="85">
        <f>IF($B486="","",ROW()-5)</f>
        <v/>
      </c>
      <c r="B486" s="97" t="n"/>
      <c r="C486" s="96">
        <f>IF($B486="","",IFERROR(INDEX(DM_NHAN_SU!$C$6:$C$155,MATCH($B486,DM_NHAN_SU!$B$6:$B$155,0)),"SAI MÃ NV"))</f>
        <v/>
      </c>
      <c r="D486" s="86" t="n"/>
      <c r="E486" s="103">
        <f>IF(OR($B486="",$D486=""),"",IF(COUNTIF(THAM_SO_CC!$F$10:$F$40,$D486)&gt;0,"Lễ",IF(IF(THAM_SO_CC!$B$12="T7+CN",WEEKDAY($D486,2)&gt;=6,WEEKDAY($D486,2)=7),"Nghỉ tuần","Ngày thường")))</f>
        <v/>
      </c>
      <c r="F486" s="107" t="n"/>
      <c r="G486" s="107" t="n"/>
      <c r="H486" s="107" t="n"/>
      <c r="I486" s="81" t="n"/>
      <c r="J486" s="108">
        <f>IF($B486="","",IF($E486="Ngày thường",N($G486),0))</f>
        <v/>
      </c>
      <c r="K486" s="108">
        <f>IF($B486="","",IF($E486="Nghỉ tuần",N($G486),0))</f>
        <v/>
      </c>
      <c r="L486" s="108">
        <f>IF($B486="","",IF($E486="Lễ",N($G486),0))</f>
        <v/>
      </c>
      <c r="M486" s="108">
        <f>IF($B486="","",IF($E486="Ngày thường",N($H486),0))</f>
        <v/>
      </c>
      <c r="N486" s="108">
        <f>IF($B486="","",IF($E486="Nghỉ tuần",N($H486),0))</f>
        <v/>
      </c>
      <c r="O486" s="108">
        <f>IF($B486="","",IF($E486="Lễ",N($H486),0))</f>
        <v/>
      </c>
    </row>
    <row r="487" ht="15" customHeight="1" s="63">
      <c r="A487" s="85">
        <f>IF($B487="","",ROW()-5)</f>
        <v/>
      </c>
      <c r="B487" s="97" t="n"/>
      <c r="C487" s="96">
        <f>IF($B487="","",IFERROR(INDEX(DM_NHAN_SU!$C$6:$C$155,MATCH($B487,DM_NHAN_SU!$B$6:$B$155,0)),"SAI MÃ NV"))</f>
        <v/>
      </c>
      <c r="D487" s="86" t="n"/>
      <c r="E487" s="103">
        <f>IF(OR($B487="",$D487=""),"",IF(COUNTIF(THAM_SO_CC!$F$10:$F$40,$D487)&gt;0,"Lễ",IF(IF(THAM_SO_CC!$B$12="T7+CN",WEEKDAY($D487,2)&gt;=6,WEEKDAY($D487,2)=7),"Nghỉ tuần","Ngày thường")))</f>
        <v/>
      </c>
      <c r="F487" s="107" t="n"/>
      <c r="G487" s="107" t="n"/>
      <c r="H487" s="107" t="n"/>
      <c r="I487" s="81" t="n"/>
      <c r="J487" s="108">
        <f>IF($B487="","",IF($E487="Ngày thường",N($G487),0))</f>
        <v/>
      </c>
      <c r="K487" s="108">
        <f>IF($B487="","",IF($E487="Nghỉ tuần",N($G487),0))</f>
        <v/>
      </c>
      <c r="L487" s="108">
        <f>IF($B487="","",IF($E487="Lễ",N($G487),0))</f>
        <v/>
      </c>
      <c r="M487" s="108">
        <f>IF($B487="","",IF($E487="Ngày thường",N($H487),0))</f>
        <v/>
      </c>
      <c r="N487" s="108">
        <f>IF($B487="","",IF($E487="Nghỉ tuần",N($H487),0))</f>
        <v/>
      </c>
      <c r="O487" s="108">
        <f>IF($B487="","",IF($E487="Lễ",N($H487),0))</f>
        <v/>
      </c>
    </row>
    <row r="488" ht="15" customHeight="1" s="63">
      <c r="A488" s="85">
        <f>IF($B488="","",ROW()-5)</f>
        <v/>
      </c>
      <c r="B488" s="97" t="n"/>
      <c r="C488" s="96">
        <f>IF($B488="","",IFERROR(INDEX(DM_NHAN_SU!$C$6:$C$155,MATCH($B488,DM_NHAN_SU!$B$6:$B$155,0)),"SAI MÃ NV"))</f>
        <v/>
      </c>
      <c r="D488" s="86" t="n"/>
      <c r="E488" s="103">
        <f>IF(OR($B488="",$D488=""),"",IF(COUNTIF(THAM_SO_CC!$F$10:$F$40,$D488)&gt;0,"Lễ",IF(IF(THAM_SO_CC!$B$12="T7+CN",WEEKDAY($D488,2)&gt;=6,WEEKDAY($D488,2)=7),"Nghỉ tuần","Ngày thường")))</f>
        <v/>
      </c>
      <c r="F488" s="107" t="n"/>
      <c r="G488" s="107" t="n"/>
      <c r="H488" s="107" t="n"/>
      <c r="I488" s="81" t="n"/>
      <c r="J488" s="108">
        <f>IF($B488="","",IF($E488="Ngày thường",N($G488),0))</f>
        <v/>
      </c>
      <c r="K488" s="108">
        <f>IF($B488="","",IF($E488="Nghỉ tuần",N($G488),0))</f>
        <v/>
      </c>
      <c r="L488" s="108">
        <f>IF($B488="","",IF($E488="Lễ",N($G488),0))</f>
        <v/>
      </c>
      <c r="M488" s="108">
        <f>IF($B488="","",IF($E488="Ngày thường",N($H488),0))</f>
        <v/>
      </c>
      <c r="N488" s="108">
        <f>IF($B488="","",IF($E488="Nghỉ tuần",N($H488),0))</f>
        <v/>
      </c>
      <c r="O488" s="108">
        <f>IF($B488="","",IF($E488="Lễ",N($H488),0))</f>
        <v/>
      </c>
    </row>
    <row r="489" ht="15" customHeight="1" s="63">
      <c r="A489" s="85">
        <f>IF($B489="","",ROW()-5)</f>
        <v/>
      </c>
      <c r="B489" s="97" t="n"/>
      <c r="C489" s="96">
        <f>IF($B489="","",IFERROR(INDEX(DM_NHAN_SU!$C$6:$C$155,MATCH($B489,DM_NHAN_SU!$B$6:$B$155,0)),"SAI MÃ NV"))</f>
        <v/>
      </c>
      <c r="D489" s="86" t="n"/>
      <c r="E489" s="103">
        <f>IF(OR($B489="",$D489=""),"",IF(COUNTIF(THAM_SO_CC!$F$10:$F$40,$D489)&gt;0,"Lễ",IF(IF(THAM_SO_CC!$B$12="T7+CN",WEEKDAY($D489,2)&gt;=6,WEEKDAY($D489,2)=7),"Nghỉ tuần","Ngày thường")))</f>
        <v/>
      </c>
      <c r="F489" s="107" t="n"/>
      <c r="G489" s="107" t="n"/>
      <c r="H489" s="107" t="n"/>
      <c r="I489" s="81" t="n"/>
      <c r="J489" s="108">
        <f>IF($B489="","",IF($E489="Ngày thường",N($G489),0))</f>
        <v/>
      </c>
      <c r="K489" s="108">
        <f>IF($B489="","",IF($E489="Nghỉ tuần",N($G489),0))</f>
        <v/>
      </c>
      <c r="L489" s="108">
        <f>IF($B489="","",IF($E489="Lễ",N($G489),0))</f>
        <v/>
      </c>
      <c r="M489" s="108">
        <f>IF($B489="","",IF($E489="Ngày thường",N($H489),0))</f>
        <v/>
      </c>
      <c r="N489" s="108">
        <f>IF($B489="","",IF($E489="Nghỉ tuần",N($H489),0))</f>
        <v/>
      </c>
      <c r="O489" s="108">
        <f>IF($B489="","",IF($E489="Lễ",N($H489),0))</f>
        <v/>
      </c>
    </row>
    <row r="490" ht="15" customHeight="1" s="63">
      <c r="A490" s="85">
        <f>IF($B490="","",ROW()-5)</f>
        <v/>
      </c>
      <c r="B490" s="97" t="n"/>
      <c r="C490" s="96">
        <f>IF($B490="","",IFERROR(INDEX(DM_NHAN_SU!$C$6:$C$155,MATCH($B490,DM_NHAN_SU!$B$6:$B$155,0)),"SAI MÃ NV"))</f>
        <v/>
      </c>
      <c r="D490" s="86" t="n"/>
      <c r="E490" s="103">
        <f>IF(OR($B490="",$D490=""),"",IF(COUNTIF(THAM_SO_CC!$F$10:$F$40,$D490)&gt;0,"Lễ",IF(IF(THAM_SO_CC!$B$12="T7+CN",WEEKDAY($D490,2)&gt;=6,WEEKDAY($D490,2)=7),"Nghỉ tuần","Ngày thường")))</f>
        <v/>
      </c>
      <c r="F490" s="107" t="n"/>
      <c r="G490" s="107" t="n"/>
      <c r="H490" s="107" t="n"/>
      <c r="I490" s="81" t="n"/>
      <c r="J490" s="108">
        <f>IF($B490="","",IF($E490="Ngày thường",N($G490),0))</f>
        <v/>
      </c>
      <c r="K490" s="108">
        <f>IF($B490="","",IF($E490="Nghỉ tuần",N($G490),0))</f>
        <v/>
      </c>
      <c r="L490" s="108">
        <f>IF($B490="","",IF($E490="Lễ",N($G490),0))</f>
        <v/>
      </c>
      <c r="M490" s="108">
        <f>IF($B490="","",IF($E490="Ngày thường",N($H490),0))</f>
        <v/>
      </c>
      <c r="N490" s="108">
        <f>IF($B490="","",IF($E490="Nghỉ tuần",N($H490),0))</f>
        <v/>
      </c>
      <c r="O490" s="108">
        <f>IF($B490="","",IF($E490="Lễ",N($H490),0))</f>
        <v/>
      </c>
    </row>
    <row r="491" ht="15" customHeight="1" s="63">
      <c r="A491" s="85">
        <f>IF($B491="","",ROW()-5)</f>
        <v/>
      </c>
      <c r="B491" s="97" t="n"/>
      <c r="C491" s="96">
        <f>IF($B491="","",IFERROR(INDEX(DM_NHAN_SU!$C$6:$C$155,MATCH($B491,DM_NHAN_SU!$B$6:$B$155,0)),"SAI MÃ NV"))</f>
        <v/>
      </c>
      <c r="D491" s="86" t="n"/>
      <c r="E491" s="103">
        <f>IF(OR($B491="",$D491=""),"",IF(COUNTIF(THAM_SO_CC!$F$10:$F$40,$D491)&gt;0,"Lễ",IF(IF(THAM_SO_CC!$B$12="T7+CN",WEEKDAY($D491,2)&gt;=6,WEEKDAY($D491,2)=7),"Nghỉ tuần","Ngày thường")))</f>
        <v/>
      </c>
      <c r="F491" s="107" t="n"/>
      <c r="G491" s="107" t="n"/>
      <c r="H491" s="107" t="n"/>
      <c r="I491" s="81" t="n"/>
      <c r="J491" s="108">
        <f>IF($B491="","",IF($E491="Ngày thường",N($G491),0))</f>
        <v/>
      </c>
      <c r="K491" s="108">
        <f>IF($B491="","",IF($E491="Nghỉ tuần",N($G491),0))</f>
        <v/>
      </c>
      <c r="L491" s="108">
        <f>IF($B491="","",IF($E491="Lễ",N($G491),0))</f>
        <v/>
      </c>
      <c r="M491" s="108">
        <f>IF($B491="","",IF($E491="Ngày thường",N($H491),0))</f>
        <v/>
      </c>
      <c r="N491" s="108">
        <f>IF($B491="","",IF($E491="Nghỉ tuần",N($H491),0))</f>
        <v/>
      </c>
      <c r="O491" s="108">
        <f>IF($B491="","",IF($E491="Lễ",N($H491),0))</f>
        <v/>
      </c>
    </row>
    <row r="492" ht="15" customHeight="1" s="63">
      <c r="A492" s="85">
        <f>IF($B492="","",ROW()-5)</f>
        <v/>
      </c>
      <c r="B492" s="97" t="n"/>
      <c r="C492" s="96">
        <f>IF($B492="","",IFERROR(INDEX(DM_NHAN_SU!$C$6:$C$155,MATCH($B492,DM_NHAN_SU!$B$6:$B$155,0)),"SAI MÃ NV"))</f>
        <v/>
      </c>
      <c r="D492" s="86" t="n"/>
      <c r="E492" s="103">
        <f>IF(OR($B492="",$D492=""),"",IF(COUNTIF(THAM_SO_CC!$F$10:$F$40,$D492)&gt;0,"Lễ",IF(IF(THAM_SO_CC!$B$12="T7+CN",WEEKDAY($D492,2)&gt;=6,WEEKDAY($D492,2)=7),"Nghỉ tuần","Ngày thường")))</f>
        <v/>
      </c>
      <c r="F492" s="107" t="n"/>
      <c r="G492" s="107" t="n"/>
      <c r="H492" s="107" t="n"/>
      <c r="I492" s="81" t="n"/>
      <c r="J492" s="108">
        <f>IF($B492="","",IF($E492="Ngày thường",N($G492),0))</f>
        <v/>
      </c>
      <c r="K492" s="108">
        <f>IF($B492="","",IF($E492="Nghỉ tuần",N($G492),0))</f>
        <v/>
      </c>
      <c r="L492" s="108">
        <f>IF($B492="","",IF($E492="Lễ",N($G492),0))</f>
        <v/>
      </c>
      <c r="M492" s="108">
        <f>IF($B492="","",IF($E492="Ngày thường",N($H492),0))</f>
        <v/>
      </c>
      <c r="N492" s="108">
        <f>IF($B492="","",IF($E492="Nghỉ tuần",N($H492),0))</f>
        <v/>
      </c>
      <c r="O492" s="108">
        <f>IF($B492="","",IF($E492="Lễ",N($H492),0))</f>
        <v/>
      </c>
    </row>
    <row r="493" ht="15" customHeight="1" s="63">
      <c r="A493" s="85">
        <f>IF($B493="","",ROW()-5)</f>
        <v/>
      </c>
      <c r="B493" s="97" t="n"/>
      <c r="C493" s="96">
        <f>IF($B493="","",IFERROR(INDEX(DM_NHAN_SU!$C$6:$C$155,MATCH($B493,DM_NHAN_SU!$B$6:$B$155,0)),"SAI MÃ NV"))</f>
        <v/>
      </c>
      <c r="D493" s="86" t="n"/>
      <c r="E493" s="103">
        <f>IF(OR($B493="",$D493=""),"",IF(COUNTIF(THAM_SO_CC!$F$10:$F$40,$D493)&gt;0,"Lễ",IF(IF(THAM_SO_CC!$B$12="T7+CN",WEEKDAY($D493,2)&gt;=6,WEEKDAY($D493,2)=7),"Nghỉ tuần","Ngày thường")))</f>
        <v/>
      </c>
      <c r="F493" s="107" t="n"/>
      <c r="G493" s="107" t="n"/>
      <c r="H493" s="107" t="n"/>
      <c r="I493" s="81" t="n"/>
      <c r="J493" s="108">
        <f>IF($B493="","",IF($E493="Ngày thường",N($G493),0))</f>
        <v/>
      </c>
      <c r="K493" s="108">
        <f>IF($B493="","",IF($E493="Nghỉ tuần",N($G493),0))</f>
        <v/>
      </c>
      <c r="L493" s="108">
        <f>IF($B493="","",IF($E493="Lễ",N($G493),0))</f>
        <v/>
      </c>
      <c r="M493" s="108">
        <f>IF($B493="","",IF($E493="Ngày thường",N($H493),0))</f>
        <v/>
      </c>
      <c r="N493" s="108">
        <f>IF($B493="","",IF($E493="Nghỉ tuần",N($H493),0))</f>
        <v/>
      </c>
      <c r="O493" s="108">
        <f>IF($B493="","",IF($E493="Lễ",N($H493),0))</f>
        <v/>
      </c>
    </row>
    <row r="494" ht="15" customHeight="1" s="63">
      <c r="A494" s="85">
        <f>IF($B494="","",ROW()-5)</f>
        <v/>
      </c>
      <c r="B494" s="97" t="n"/>
      <c r="C494" s="96">
        <f>IF($B494="","",IFERROR(INDEX(DM_NHAN_SU!$C$6:$C$155,MATCH($B494,DM_NHAN_SU!$B$6:$B$155,0)),"SAI MÃ NV"))</f>
        <v/>
      </c>
      <c r="D494" s="86" t="n"/>
      <c r="E494" s="103">
        <f>IF(OR($B494="",$D494=""),"",IF(COUNTIF(THAM_SO_CC!$F$10:$F$40,$D494)&gt;0,"Lễ",IF(IF(THAM_SO_CC!$B$12="T7+CN",WEEKDAY($D494,2)&gt;=6,WEEKDAY($D494,2)=7),"Nghỉ tuần","Ngày thường")))</f>
        <v/>
      </c>
      <c r="F494" s="107" t="n"/>
      <c r="G494" s="107" t="n"/>
      <c r="H494" s="107" t="n"/>
      <c r="I494" s="81" t="n"/>
      <c r="J494" s="108">
        <f>IF($B494="","",IF($E494="Ngày thường",N($G494),0))</f>
        <v/>
      </c>
      <c r="K494" s="108">
        <f>IF($B494="","",IF($E494="Nghỉ tuần",N($G494),0))</f>
        <v/>
      </c>
      <c r="L494" s="108">
        <f>IF($B494="","",IF($E494="Lễ",N($G494),0))</f>
        <v/>
      </c>
      <c r="M494" s="108">
        <f>IF($B494="","",IF($E494="Ngày thường",N($H494),0))</f>
        <v/>
      </c>
      <c r="N494" s="108">
        <f>IF($B494="","",IF($E494="Nghỉ tuần",N($H494),0))</f>
        <v/>
      </c>
      <c r="O494" s="108">
        <f>IF($B494="","",IF($E494="Lễ",N($H494),0))</f>
        <v/>
      </c>
    </row>
    <row r="495" ht="15" customHeight="1" s="63">
      <c r="A495" s="85">
        <f>IF($B495="","",ROW()-5)</f>
        <v/>
      </c>
      <c r="B495" s="97" t="n"/>
      <c r="C495" s="96">
        <f>IF($B495="","",IFERROR(INDEX(DM_NHAN_SU!$C$6:$C$155,MATCH($B495,DM_NHAN_SU!$B$6:$B$155,0)),"SAI MÃ NV"))</f>
        <v/>
      </c>
      <c r="D495" s="86" t="n"/>
      <c r="E495" s="103">
        <f>IF(OR($B495="",$D495=""),"",IF(COUNTIF(THAM_SO_CC!$F$10:$F$40,$D495)&gt;0,"Lễ",IF(IF(THAM_SO_CC!$B$12="T7+CN",WEEKDAY($D495,2)&gt;=6,WEEKDAY($D495,2)=7),"Nghỉ tuần","Ngày thường")))</f>
        <v/>
      </c>
      <c r="F495" s="107" t="n"/>
      <c r="G495" s="107" t="n"/>
      <c r="H495" s="107" t="n"/>
      <c r="I495" s="81" t="n"/>
      <c r="J495" s="108">
        <f>IF($B495="","",IF($E495="Ngày thường",N($G495),0))</f>
        <v/>
      </c>
      <c r="K495" s="108">
        <f>IF($B495="","",IF($E495="Nghỉ tuần",N($G495),0))</f>
        <v/>
      </c>
      <c r="L495" s="108">
        <f>IF($B495="","",IF($E495="Lễ",N($G495),0))</f>
        <v/>
      </c>
      <c r="M495" s="108">
        <f>IF($B495="","",IF($E495="Ngày thường",N($H495),0))</f>
        <v/>
      </c>
      <c r="N495" s="108">
        <f>IF($B495="","",IF($E495="Nghỉ tuần",N($H495),0))</f>
        <v/>
      </c>
      <c r="O495" s="108">
        <f>IF($B495="","",IF($E495="Lễ",N($H495),0))</f>
        <v/>
      </c>
    </row>
    <row r="496" ht="15" customHeight="1" s="63">
      <c r="A496" s="85">
        <f>IF($B496="","",ROW()-5)</f>
        <v/>
      </c>
      <c r="B496" s="97" t="n"/>
      <c r="C496" s="96">
        <f>IF($B496="","",IFERROR(INDEX(DM_NHAN_SU!$C$6:$C$155,MATCH($B496,DM_NHAN_SU!$B$6:$B$155,0)),"SAI MÃ NV"))</f>
        <v/>
      </c>
      <c r="D496" s="86" t="n"/>
      <c r="E496" s="103">
        <f>IF(OR($B496="",$D496=""),"",IF(COUNTIF(THAM_SO_CC!$F$10:$F$40,$D496)&gt;0,"Lễ",IF(IF(THAM_SO_CC!$B$12="T7+CN",WEEKDAY($D496,2)&gt;=6,WEEKDAY($D496,2)=7),"Nghỉ tuần","Ngày thường")))</f>
        <v/>
      </c>
      <c r="F496" s="107" t="n"/>
      <c r="G496" s="107" t="n"/>
      <c r="H496" s="107" t="n"/>
      <c r="I496" s="81" t="n"/>
      <c r="J496" s="108">
        <f>IF($B496="","",IF($E496="Ngày thường",N($G496),0))</f>
        <v/>
      </c>
      <c r="K496" s="108">
        <f>IF($B496="","",IF($E496="Nghỉ tuần",N($G496),0))</f>
        <v/>
      </c>
      <c r="L496" s="108">
        <f>IF($B496="","",IF($E496="Lễ",N($G496),0))</f>
        <v/>
      </c>
      <c r="M496" s="108">
        <f>IF($B496="","",IF($E496="Ngày thường",N($H496),0))</f>
        <v/>
      </c>
      <c r="N496" s="108">
        <f>IF($B496="","",IF($E496="Nghỉ tuần",N($H496),0))</f>
        <v/>
      </c>
      <c r="O496" s="108">
        <f>IF($B496="","",IF($E496="Lễ",N($H496),0))</f>
        <v/>
      </c>
    </row>
    <row r="497" ht="15" customHeight="1" s="63">
      <c r="A497" s="85">
        <f>IF($B497="","",ROW()-5)</f>
        <v/>
      </c>
      <c r="B497" s="97" t="n"/>
      <c r="C497" s="96">
        <f>IF($B497="","",IFERROR(INDEX(DM_NHAN_SU!$C$6:$C$155,MATCH($B497,DM_NHAN_SU!$B$6:$B$155,0)),"SAI MÃ NV"))</f>
        <v/>
      </c>
      <c r="D497" s="86" t="n"/>
      <c r="E497" s="103">
        <f>IF(OR($B497="",$D497=""),"",IF(COUNTIF(THAM_SO_CC!$F$10:$F$40,$D497)&gt;0,"Lễ",IF(IF(THAM_SO_CC!$B$12="T7+CN",WEEKDAY($D497,2)&gt;=6,WEEKDAY($D497,2)=7),"Nghỉ tuần","Ngày thường")))</f>
        <v/>
      </c>
      <c r="F497" s="107" t="n"/>
      <c r="G497" s="107" t="n"/>
      <c r="H497" s="107" t="n"/>
      <c r="I497" s="81" t="n"/>
      <c r="J497" s="108">
        <f>IF($B497="","",IF($E497="Ngày thường",N($G497),0))</f>
        <v/>
      </c>
      <c r="K497" s="108">
        <f>IF($B497="","",IF($E497="Nghỉ tuần",N($G497),0))</f>
        <v/>
      </c>
      <c r="L497" s="108">
        <f>IF($B497="","",IF($E497="Lễ",N($G497),0))</f>
        <v/>
      </c>
      <c r="M497" s="108">
        <f>IF($B497="","",IF($E497="Ngày thường",N($H497),0))</f>
        <v/>
      </c>
      <c r="N497" s="108">
        <f>IF($B497="","",IF($E497="Nghỉ tuần",N($H497),0))</f>
        <v/>
      </c>
      <c r="O497" s="108">
        <f>IF($B497="","",IF($E497="Lễ",N($H497),0))</f>
        <v/>
      </c>
    </row>
    <row r="498" ht="15" customHeight="1" s="63">
      <c r="A498" s="85">
        <f>IF($B498="","",ROW()-5)</f>
        <v/>
      </c>
      <c r="B498" s="97" t="n"/>
      <c r="C498" s="96">
        <f>IF($B498="","",IFERROR(INDEX(DM_NHAN_SU!$C$6:$C$155,MATCH($B498,DM_NHAN_SU!$B$6:$B$155,0)),"SAI MÃ NV"))</f>
        <v/>
      </c>
      <c r="D498" s="86" t="n"/>
      <c r="E498" s="103">
        <f>IF(OR($B498="",$D498=""),"",IF(COUNTIF(THAM_SO_CC!$F$10:$F$40,$D498)&gt;0,"Lễ",IF(IF(THAM_SO_CC!$B$12="T7+CN",WEEKDAY($D498,2)&gt;=6,WEEKDAY($D498,2)=7),"Nghỉ tuần","Ngày thường")))</f>
        <v/>
      </c>
      <c r="F498" s="107" t="n"/>
      <c r="G498" s="107" t="n"/>
      <c r="H498" s="107" t="n"/>
      <c r="I498" s="81" t="n"/>
      <c r="J498" s="108">
        <f>IF($B498="","",IF($E498="Ngày thường",N($G498),0))</f>
        <v/>
      </c>
      <c r="K498" s="108">
        <f>IF($B498="","",IF($E498="Nghỉ tuần",N($G498),0))</f>
        <v/>
      </c>
      <c r="L498" s="108">
        <f>IF($B498="","",IF($E498="Lễ",N($G498),0))</f>
        <v/>
      </c>
      <c r="M498" s="108">
        <f>IF($B498="","",IF($E498="Ngày thường",N($H498),0))</f>
        <v/>
      </c>
      <c r="N498" s="108">
        <f>IF($B498="","",IF($E498="Nghỉ tuần",N($H498),0))</f>
        <v/>
      </c>
      <c r="O498" s="108">
        <f>IF($B498="","",IF($E498="Lễ",N($H498),0))</f>
        <v/>
      </c>
    </row>
    <row r="499" ht="15" customHeight="1" s="63">
      <c r="A499" s="85">
        <f>IF($B499="","",ROW()-5)</f>
        <v/>
      </c>
      <c r="B499" s="97" t="n"/>
      <c r="C499" s="96">
        <f>IF($B499="","",IFERROR(INDEX(DM_NHAN_SU!$C$6:$C$155,MATCH($B499,DM_NHAN_SU!$B$6:$B$155,0)),"SAI MÃ NV"))</f>
        <v/>
      </c>
      <c r="D499" s="86" t="n"/>
      <c r="E499" s="103">
        <f>IF(OR($B499="",$D499=""),"",IF(COUNTIF(THAM_SO_CC!$F$10:$F$40,$D499)&gt;0,"Lễ",IF(IF(THAM_SO_CC!$B$12="T7+CN",WEEKDAY($D499,2)&gt;=6,WEEKDAY($D499,2)=7),"Nghỉ tuần","Ngày thường")))</f>
        <v/>
      </c>
      <c r="F499" s="107" t="n"/>
      <c r="G499" s="107" t="n"/>
      <c r="H499" s="107" t="n"/>
      <c r="I499" s="81" t="n"/>
      <c r="J499" s="108">
        <f>IF($B499="","",IF($E499="Ngày thường",N($G499),0))</f>
        <v/>
      </c>
      <c r="K499" s="108">
        <f>IF($B499="","",IF($E499="Nghỉ tuần",N($G499),0))</f>
        <v/>
      </c>
      <c r="L499" s="108">
        <f>IF($B499="","",IF($E499="Lễ",N($G499),0))</f>
        <v/>
      </c>
      <c r="M499" s="108">
        <f>IF($B499="","",IF($E499="Ngày thường",N($H499),0))</f>
        <v/>
      </c>
      <c r="N499" s="108">
        <f>IF($B499="","",IF($E499="Nghỉ tuần",N($H499),0))</f>
        <v/>
      </c>
      <c r="O499" s="108">
        <f>IF($B499="","",IF($E499="Lễ",N($H499),0))</f>
        <v/>
      </c>
    </row>
    <row r="500" ht="15" customHeight="1" s="63">
      <c r="A500" s="85">
        <f>IF($B500="","",ROW()-5)</f>
        <v/>
      </c>
      <c r="B500" s="97" t="n"/>
      <c r="C500" s="96">
        <f>IF($B500="","",IFERROR(INDEX(DM_NHAN_SU!$C$6:$C$155,MATCH($B500,DM_NHAN_SU!$B$6:$B$155,0)),"SAI MÃ NV"))</f>
        <v/>
      </c>
      <c r="D500" s="86" t="n"/>
      <c r="E500" s="103">
        <f>IF(OR($B500="",$D500=""),"",IF(COUNTIF(THAM_SO_CC!$F$10:$F$40,$D500)&gt;0,"Lễ",IF(IF(THAM_SO_CC!$B$12="T7+CN",WEEKDAY($D500,2)&gt;=6,WEEKDAY($D500,2)=7),"Nghỉ tuần","Ngày thường")))</f>
        <v/>
      </c>
      <c r="F500" s="107" t="n"/>
      <c r="G500" s="107" t="n"/>
      <c r="H500" s="107" t="n"/>
      <c r="I500" s="81" t="n"/>
      <c r="J500" s="108">
        <f>IF($B500="","",IF($E500="Ngày thường",N($G500),0))</f>
        <v/>
      </c>
      <c r="K500" s="108">
        <f>IF($B500="","",IF($E500="Nghỉ tuần",N($G500),0))</f>
        <v/>
      </c>
      <c r="L500" s="108">
        <f>IF($B500="","",IF($E500="Lễ",N($G500),0))</f>
        <v/>
      </c>
      <c r="M500" s="108">
        <f>IF($B500="","",IF($E500="Ngày thường",N($H500),0))</f>
        <v/>
      </c>
      <c r="N500" s="108">
        <f>IF($B500="","",IF($E500="Nghỉ tuần",N($H500),0))</f>
        <v/>
      </c>
      <c r="O500" s="108">
        <f>IF($B500="","",IF($E500="Lễ",N($H500),0))</f>
        <v/>
      </c>
    </row>
    <row r="501" ht="15" customHeight="1" s="63">
      <c r="A501" s="85">
        <f>IF($B501="","",ROW()-5)</f>
        <v/>
      </c>
      <c r="B501" s="97" t="n"/>
      <c r="C501" s="96">
        <f>IF($B501="","",IFERROR(INDEX(DM_NHAN_SU!$C$6:$C$155,MATCH($B501,DM_NHAN_SU!$B$6:$B$155,0)),"SAI MÃ NV"))</f>
        <v/>
      </c>
      <c r="D501" s="86" t="n"/>
      <c r="E501" s="103">
        <f>IF(OR($B501="",$D501=""),"",IF(COUNTIF(THAM_SO_CC!$F$10:$F$40,$D501)&gt;0,"Lễ",IF(IF(THAM_SO_CC!$B$12="T7+CN",WEEKDAY($D501,2)&gt;=6,WEEKDAY($D501,2)=7),"Nghỉ tuần","Ngày thường")))</f>
        <v/>
      </c>
      <c r="F501" s="107" t="n"/>
      <c r="G501" s="107" t="n"/>
      <c r="H501" s="107" t="n"/>
      <c r="I501" s="81" t="n"/>
      <c r="J501" s="108">
        <f>IF($B501="","",IF($E501="Ngày thường",N($G501),0))</f>
        <v/>
      </c>
      <c r="K501" s="108">
        <f>IF($B501="","",IF($E501="Nghỉ tuần",N($G501),0))</f>
        <v/>
      </c>
      <c r="L501" s="108">
        <f>IF($B501="","",IF($E501="Lễ",N($G501),0))</f>
        <v/>
      </c>
      <c r="M501" s="108">
        <f>IF($B501="","",IF($E501="Ngày thường",N($H501),0))</f>
        <v/>
      </c>
      <c r="N501" s="108">
        <f>IF($B501="","",IF($E501="Nghỉ tuần",N($H501),0))</f>
        <v/>
      </c>
      <c r="O501" s="108">
        <f>IF($B501="","",IF($E501="Lễ",N($H501),0))</f>
        <v/>
      </c>
    </row>
    <row r="502" ht="15" customHeight="1" s="63">
      <c r="A502" s="85">
        <f>IF($B502="","",ROW()-5)</f>
        <v/>
      </c>
      <c r="B502" s="97" t="n"/>
      <c r="C502" s="96">
        <f>IF($B502="","",IFERROR(INDEX(DM_NHAN_SU!$C$6:$C$155,MATCH($B502,DM_NHAN_SU!$B$6:$B$155,0)),"SAI MÃ NV"))</f>
        <v/>
      </c>
      <c r="D502" s="86" t="n"/>
      <c r="E502" s="103">
        <f>IF(OR($B502="",$D502=""),"",IF(COUNTIF(THAM_SO_CC!$F$10:$F$40,$D502)&gt;0,"Lễ",IF(IF(THAM_SO_CC!$B$12="T7+CN",WEEKDAY($D502,2)&gt;=6,WEEKDAY($D502,2)=7),"Nghỉ tuần","Ngày thường")))</f>
        <v/>
      </c>
      <c r="F502" s="107" t="n"/>
      <c r="G502" s="107" t="n"/>
      <c r="H502" s="107" t="n"/>
      <c r="I502" s="81" t="n"/>
      <c r="J502" s="108">
        <f>IF($B502="","",IF($E502="Ngày thường",N($G502),0))</f>
        <v/>
      </c>
      <c r="K502" s="108">
        <f>IF($B502="","",IF($E502="Nghỉ tuần",N($G502),0))</f>
        <v/>
      </c>
      <c r="L502" s="108">
        <f>IF($B502="","",IF($E502="Lễ",N($G502),0))</f>
        <v/>
      </c>
      <c r="M502" s="108">
        <f>IF($B502="","",IF($E502="Ngày thường",N($H502),0))</f>
        <v/>
      </c>
      <c r="N502" s="108">
        <f>IF($B502="","",IF($E502="Nghỉ tuần",N($H502),0))</f>
        <v/>
      </c>
      <c r="O502" s="108">
        <f>IF($B502="","",IF($E502="Lễ",N($H502),0))</f>
        <v/>
      </c>
    </row>
    <row r="503" ht="15" customHeight="1" s="63">
      <c r="A503" s="85">
        <f>IF($B503="","",ROW()-5)</f>
        <v/>
      </c>
      <c r="B503" s="97" t="n"/>
      <c r="C503" s="96">
        <f>IF($B503="","",IFERROR(INDEX(DM_NHAN_SU!$C$6:$C$155,MATCH($B503,DM_NHAN_SU!$B$6:$B$155,0)),"SAI MÃ NV"))</f>
        <v/>
      </c>
      <c r="D503" s="86" t="n"/>
      <c r="E503" s="103">
        <f>IF(OR($B503="",$D503=""),"",IF(COUNTIF(THAM_SO_CC!$F$10:$F$40,$D503)&gt;0,"Lễ",IF(IF(THAM_SO_CC!$B$12="T7+CN",WEEKDAY($D503,2)&gt;=6,WEEKDAY($D503,2)=7),"Nghỉ tuần","Ngày thường")))</f>
        <v/>
      </c>
      <c r="F503" s="107" t="n"/>
      <c r="G503" s="107" t="n"/>
      <c r="H503" s="107" t="n"/>
      <c r="I503" s="81" t="n"/>
      <c r="J503" s="108">
        <f>IF($B503="","",IF($E503="Ngày thường",N($G503),0))</f>
        <v/>
      </c>
      <c r="K503" s="108">
        <f>IF($B503="","",IF($E503="Nghỉ tuần",N($G503),0))</f>
        <v/>
      </c>
      <c r="L503" s="108">
        <f>IF($B503="","",IF($E503="Lễ",N($G503),0))</f>
        <v/>
      </c>
      <c r="M503" s="108">
        <f>IF($B503="","",IF($E503="Ngày thường",N($H503),0))</f>
        <v/>
      </c>
      <c r="N503" s="108">
        <f>IF($B503="","",IF($E503="Nghỉ tuần",N($H503),0))</f>
        <v/>
      </c>
      <c r="O503" s="108">
        <f>IF($B503="","",IF($E503="Lễ",N($H503),0))</f>
        <v/>
      </c>
    </row>
    <row r="504" ht="15" customHeight="1" s="63">
      <c r="A504" s="85">
        <f>IF($B504="","",ROW()-5)</f>
        <v/>
      </c>
      <c r="B504" s="97" t="n"/>
      <c r="C504" s="96">
        <f>IF($B504="","",IFERROR(INDEX(DM_NHAN_SU!$C$6:$C$155,MATCH($B504,DM_NHAN_SU!$B$6:$B$155,0)),"SAI MÃ NV"))</f>
        <v/>
      </c>
      <c r="D504" s="86" t="n"/>
      <c r="E504" s="103">
        <f>IF(OR($B504="",$D504=""),"",IF(COUNTIF(THAM_SO_CC!$F$10:$F$40,$D504)&gt;0,"Lễ",IF(IF(THAM_SO_CC!$B$12="T7+CN",WEEKDAY($D504,2)&gt;=6,WEEKDAY($D504,2)=7),"Nghỉ tuần","Ngày thường")))</f>
        <v/>
      </c>
      <c r="F504" s="107" t="n"/>
      <c r="G504" s="107" t="n"/>
      <c r="H504" s="107" t="n"/>
      <c r="I504" s="81" t="n"/>
      <c r="J504" s="108">
        <f>IF($B504="","",IF($E504="Ngày thường",N($G504),0))</f>
        <v/>
      </c>
      <c r="K504" s="108">
        <f>IF($B504="","",IF($E504="Nghỉ tuần",N($G504),0))</f>
        <v/>
      </c>
      <c r="L504" s="108">
        <f>IF($B504="","",IF($E504="Lễ",N($G504),0))</f>
        <v/>
      </c>
      <c r="M504" s="108">
        <f>IF($B504="","",IF($E504="Ngày thường",N($H504),0))</f>
        <v/>
      </c>
      <c r="N504" s="108">
        <f>IF($B504="","",IF($E504="Nghỉ tuần",N($H504),0))</f>
        <v/>
      </c>
      <c r="O504" s="108">
        <f>IF($B504="","",IF($E504="Lễ",N($H504),0))</f>
        <v/>
      </c>
    </row>
    <row r="505" ht="15" customHeight="1" s="63">
      <c r="A505" s="85">
        <f>IF($B505="","",ROW()-5)</f>
        <v/>
      </c>
      <c r="B505" s="97" t="n"/>
      <c r="C505" s="96">
        <f>IF($B505="","",IFERROR(INDEX(DM_NHAN_SU!$C$6:$C$155,MATCH($B505,DM_NHAN_SU!$B$6:$B$155,0)),"SAI MÃ NV"))</f>
        <v/>
      </c>
      <c r="D505" s="86" t="n"/>
      <c r="E505" s="103">
        <f>IF(OR($B505="",$D505=""),"",IF(COUNTIF(THAM_SO_CC!$F$10:$F$40,$D505)&gt;0,"Lễ",IF(IF(THAM_SO_CC!$B$12="T7+CN",WEEKDAY($D505,2)&gt;=6,WEEKDAY($D505,2)=7),"Nghỉ tuần","Ngày thường")))</f>
        <v/>
      </c>
      <c r="F505" s="107" t="n"/>
      <c r="G505" s="107" t="n"/>
      <c r="H505" s="107" t="n"/>
      <c r="I505" s="81" t="n"/>
      <c r="J505" s="108">
        <f>IF($B505="","",IF($E505="Ngày thường",N($G505),0))</f>
        <v/>
      </c>
      <c r="K505" s="108">
        <f>IF($B505="","",IF($E505="Nghỉ tuần",N($G505),0))</f>
        <v/>
      </c>
      <c r="L505" s="108">
        <f>IF($B505="","",IF($E505="Lễ",N($G505),0))</f>
        <v/>
      </c>
      <c r="M505" s="108">
        <f>IF($B505="","",IF($E505="Ngày thường",N($H505),0))</f>
        <v/>
      </c>
      <c r="N505" s="108">
        <f>IF($B505="","",IF($E505="Nghỉ tuần",N($H505),0))</f>
        <v/>
      </c>
      <c r="O505" s="108">
        <f>IF($B505="","",IF($E505="Lễ",N($H505),0))</f>
        <v/>
      </c>
    </row>
    <row r="506" ht="15" customHeight="1" s="63">
      <c r="A506" s="85">
        <f>IF($B506="","",ROW()-5)</f>
        <v/>
      </c>
      <c r="B506" s="97" t="n"/>
      <c r="C506" s="96">
        <f>IF($B506="","",IFERROR(INDEX(DM_NHAN_SU!$C$6:$C$155,MATCH($B506,DM_NHAN_SU!$B$6:$B$155,0)),"SAI MÃ NV"))</f>
        <v/>
      </c>
      <c r="D506" s="86" t="n"/>
      <c r="E506" s="103">
        <f>IF(OR($B506="",$D506=""),"",IF(COUNTIF(THAM_SO_CC!$F$10:$F$40,$D506)&gt;0,"Lễ",IF(IF(THAM_SO_CC!$B$12="T7+CN",WEEKDAY($D506,2)&gt;=6,WEEKDAY($D506,2)=7),"Nghỉ tuần","Ngày thường")))</f>
        <v/>
      </c>
      <c r="F506" s="107" t="n"/>
      <c r="G506" s="107" t="n"/>
      <c r="H506" s="107" t="n"/>
      <c r="I506" s="81" t="n"/>
      <c r="J506" s="108">
        <f>IF($B506="","",IF($E506="Ngày thường",N($G506),0))</f>
        <v/>
      </c>
      <c r="K506" s="108">
        <f>IF($B506="","",IF($E506="Nghỉ tuần",N($G506),0))</f>
        <v/>
      </c>
      <c r="L506" s="108">
        <f>IF($B506="","",IF($E506="Lễ",N($G506),0))</f>
        <v/>
      </c>
      <c r="M506" s="108">
        <f>IF($B506="","",IF($E506="Ngày thường",N($H506),0))</f>
        <v/>
      </c>
      <c r="N506" s="108">
        <f>IF($B506="","",IF($E506="Nghỉ tuần",N($H506),0))</f>
        <v/>
      </c>
      <c r="O506" s="108">
        <f>IF($B506="","",IF($E506="Lễ",N($H506),0))</f>
        <v/>
      </c>
    </row>
    <row r="507" ht="15" customHeight="1" s="63">
      <c r="A507" s="85">
        <f>IF($B507="","",ROW()-5)</f>
        <v/>
      </c>
      <c r="B507" s="97" t="n"/>
      <c r="C507" s="96">
        <f>IF($B507="","",IFERROR(INDEX(DM_NHAN_SU!$C$6:$C$155,MATCH($B507,DM_NHAN_SU!$B$6:$B$155,0)),"SAI MÃ NV"))</f>
        <v/>
      </c>
      <c r="D507" s="86" t="n"/>
      <c r="E507" s="103">
        <f>IF(OR($B507="",$D507=""),"",IF(COUNTIF(THAM_SO_CC!$F$10:$F$40,$D507)&gt;0,"Lễ",IF(IF(THAM_SO_CC!$B$12="T7+CN",WEEKDAY($D507,2)&gt;=6,WEEKDAY($D507,2)=7),"Nghỉ tuần","Ngày thường")))</f>
        <v/>
      </c>
      <c r="F507" s="107" t="n"/>
      <c r="G507" s="107" t="n"/>
      <c r="H507" s="107" t="n"/>
      <c r="I507" s="81" t="n"/>
      <c r="J507" s="108">
        <f>IF($B507="","",IF($E507="Ngày thường",N($G507),0))</f>
        <v/>
      </c>
      <c r="K507" s="108">
        <f>IF($B507="","",IF($E507="Nghỉ tuần",N($G507),0))</f>
        <v/>
      </c>
      <c r="L507" s="108">
        <f>IF($B507="","",IF($E507="Lễ",N($G507),0))</f>
        <v/>
      </c>
      <c r="M507" s="108">
        <f>IF($B507="","",IF($E507="Ngày thường",N($H507),0))</f>
        <v/>
      </c>
      <c r="N507" s="108">
        <f>IF($B507="","",IF($E507="Nghỉ tuần",N($H507),0))</f>
        <v/>
      </c>
      <c r="O507" s="108">
        <f>IF($B507="","",IF($E507="Lễ",N($H507),0))</f>
        <v/>
      </c>
    </row>
    <row r="508" ht="15" customHeight="1" s="63">
      <c r="A508" s="85">
        <f>IF($B508="","",ROW()-5)</f>
        <v/>
      </c>
      <c r="B508" s="97" t="n"/>
      <c r="C508" s="96">
        <f>IF($B508="","",IFERROR(INDEX(DM_NHAN_SU!$C$6:$C$155,MATCH($B508,DM_NHAN_SU!$B$6:$B$155,0)),"SAI MÃ NV"))</f>
        <v/>
      </c>
      <c r="D508" s="86" t="n"/>
      <c r="E508" s="103">
        <f>IF(OR($B508="",$D508=""),"",IF(COUNTIF(THAM_SO_CC!$F$10:$F$40,$D508)&gt;0,"Lễ",IF(IF(THAM_SO_CC!$B$12="T7+CN",WEEKDAY($D508,2)&gt;=6,WEEKDAY($D508,2)=7),"Nghỉ tuần","Ngày thường")))</f>
        <v/>
      </c>
      <c r="F508" s="107" t="n"/>
      <c r="G508" s="107" t="n"/>
      <c r="H508" s="107" t="n"/>
      <c r="I508" s="81" t="n"/>
      <c r="J508" s="108">
        <f>IF($B508="","",IF($E508="Ngày thường",N($G508),0))</f>
        <v/>
      </c>
      <c r="K508" s="108">
        <f>IF($B508="","",IF($E508="Nghỉ tuần",N($G508),0))</f>
        <v/>
      </c>
      <c r="L508" s="108">
        <f>IF($B508="","",IF($E508="Lễ",N($G508),0))</f>
        <v/>
      </c>
      <c r="M508" s="108">
        <f>IF($B508="","",IF($E508="Ngày thường",N($H508),0))</f>
        <v/>
      </c>
      <c r="N508" s="108">
        <f>IF($B508="","",IF($E508="Nghỉ tuần",N($H508),0))</f>
        <v/>
      </c>
      <c r="O508" s="108">
        <f>IF($B508="","",IF($E508="Lễ",N($H508),0))</f>
        <v/>
      </c>
    </row>
    <row r="509" ht="15" customHeight="1" s="63">
      <c r="A509" s="85">
        <f>IF($B509="","",ROW()-5)</f>
        <v/>
      </c>
      <c r="B509" s="97" t="n"/>
      <c r="C509" s="96">
        <f>IF($B509="","",IFERROR(INDEX(DM_NHAN_SU!$C$6:$C$155,MATCH($B509,DM_NHAN_SU!$B$6:$B$155,0)),"SAI MÃ NV"))</f>
        <v/>
      </c>
      <c r="D509" s="86" t="n"/>
      <c r="E509" s="103">
        <f>IF(OR($B509="",$D509=""),"",IF(COUNTIF(THAM_SO_CC!$F$10:$F$40,$D509)&gt;0,"Lễ",IF(IF(THAM_SO_CC!$B$12="T7+CN",WEEKDAY($D509,2)&gt;=6,WEEKDAY($D509,2)=7),"Nghỉ tuần","Ngày thường")))</f>
        <v/>
      </c>
      <c r="F509" s="107" t="n"/>
      <c r="G509" s="107" t="n"/>
      <c r="H509" s="107" t="n"/>
      <c r="I509" s="81" t="n"/>
      <c r="J509" s="108">
        <f>IF($B509="","",IF($E509="Ngày thường",N($G509),0))</f>
        <v/>
      </c>
      <c r="K509" s="108">
        <f>IF($B509="","",IF($E509="Nghỉ tuần",N($G509),0))</f>
        <v/>
      </c>
      <c r="L509" s="108">
        <f>IF($B509="","",IF($E509="Lễ",N($G509),0))</f>
        <v/>
      </c>
      <c r="M509" s="108">
        <f>IF($B509="","",IF($E509="Ngày thường",N($H509),0))</f>
        <v/>
      </c>
      <c r="N509" s="108">
        <f>IF($B509="","",IF($E509="Nghỉ tuần",N($H509),0))</f>
        <v/>
      </c>
      <c r="O509" s="108">
        <f>IF($B509="","",IF($E509="Lễ",N($H509),0))</f>
        <v/>
      </c>
    </row>
    <row r="510" ht="15" customHeight="1" s="63">
      <c r="A510" s="85">
        <f>IF($B510="","",ROW()-5)</f>
        <v/>
      </c>
      <c r="B510" s="97" t="n"/>
      <c r="C510" s="96">
        <f>IF($B510="","",IFERROR(INDEX(DM_NHAN_SU!$C$6:$C$155,MATCH($B510,DM_NHAN_SU!$B$6:$B$155,0)),"SAI MÃ NV"))</f>
        <v/>
      </c>
      <c r="D510" s="86" t="n"/>
      <c r="E510" s="103">
        <f>IF(OR($B510="",$D510=""),"",IF(COUNTIF(THAM_SO_CC!$F$10:$F$40,$D510)&gt;0,"Lễ",IF(IF(THAM_SO_CC!$B$12="T7+CN",WEEKDAY($D510,2)&gt;=6,WEEKDAY($D510,2)=7),"Nghỉ tuần","Ngày thường")))</f>
        <v/>
      </c>
      <c r="F510" s="107" t="n"/>
      <c r="G510" s="107" t="n"/>
      <c r="H510" s="107" t="n"/>
      <c r="I510" s="81" t="n"/>
      <c r="J510" s="108">
        <f>IF($B510="","",IF($E510="Ngày thường",N($G510),0))</f>
        <v/>
      </c>
      <c r="K510" s="108">
        <f>IF($B510="","",IF($E510="Nghỉ tuần",N($G510),0))</f>
        <v/>
      </c>
      <c r="L510" s="108">
        <f>IF($B510="","",IF($E510="Lễ",N($G510),0))</f>
        <v/>
      </c>
      <c r="M510" s="108">
        <f>IF($B510="","",IF($E510="Ngày thường",N($H510),0))</f>
        <v/>
      </c>
      <c r="N510" s="108">
        <f>IF($B510="","",IF($E510="Nghỉ tuần",N($H510),0))</f>
        <v/>
      </c>
      <c r="O510" s="108">
        <f>IF($B510="","",IF($E510="Lễ",N($H510),0))</f>
        <v/>
      </c>
    </row>
    <row r="511" ht="15" customHeight="1" s="63">
      <c r="A511" s="85">
        <f>IF($B511="","",ROW()-5)</f>
        <v/>
      </c>
      <c r="B511" s="97" t="n"/>
      <c r="C511" s="96">
        <f>IF($B511="","",IFERROR(INDEX(DM_NHAN_SU!$C$6:$C$155,MATCH($B511,DM_NHAN_SU!$B$6:$B$155,0)),"SAI MÃ NV"))</f>
        <v/>
      </c>
      <c r="D511" s="86" t="n"/>
      <c r="E511" s="103">
        <f>IF(OR($B511="",$D511=""),"",IF(COUNTIF(THAM_SO_CC!$F$10:$F$40,$D511)&gt;0,"Lễ",IF(IF(THAM_SO_CC!$B$12="T7+CN",WEEKDAY($D511,2)&gt;=6,WEEKDAY($D511,2)=7),"Nghỉ tuần","Ngày thường")))</f>
        <v/>
      </c>
      <c r="F511" s="107" t="n"/>
      <c r="G511" s="107" t="n"/>
      <c r="H511" s="107" t="n"/>
      <c r="I511" s="81" t="n"/>
      <c r="J511" s="108">
        <f>IF($B511="","",IF($E511="Ngày thường",N($G511),0))</f>
        <v/>
      </c>
      <c r="K511" s="108">
        <f>IF($B511="","",IF($E511="Nghỉ tuần",N($G511),0))</f>
        <v/>
      </c>
      <c r="L511" s="108">
        <f>IF($B511="","",IF($E511="Lễ",N($G511),0))</f>
        <v/>
      </c>
      <c r="M511" s="108">
        <f>IF($B511="","",IF($E511="Ngày thường",N($H511),0))</f>
        <v/>
      </c>
      <c r="N511" s="108">
        <f>IF($B511="","",IF($E511="Nghỉ tuần",N($H511),0))</f>
        <v/>
      </c>
      <c r="O511" s="108">
        <f>IF($B511="","",IF($E511="Lễ",N($H511),0))</f>
        <v/>
      </c>
    </row>
    <row r="512" ht="15" customHeight="1" s="63">
      <c r="A512" s="85">
        <f>IF($B512="","",ROW()-5)</f>
        <v/>
      </c>
      <c r="B512" s="97" t="n"/>
      <c r="C512" s="96">
        <f>IF($B512="","",IFERROR(INDEX(DM_NHAN_SU!$C$6:$C$155,MATCH($B512,DM_NHAN_SU!$B$6:$B$155,0)),"SAI MÃ NV"))</f>
        <v/>
      </c>
      <c r="D512" s="86" t="n"/>
      <c r="E512" s="103">
        <f>IF(OR($B512="",$D512=""),"",IF(COUNTIF(THAM_SO_CC!$F$10:$F$40,$D512)&gt;0,"Lễ",IF(IF(THAM_SO_CC!$B$12="T7+CN",WEEKDAY($D512,2)&gt;=6,WEEKDAY($D512,2)=7),"Nghỉ tuần","Ngày thường")))</f>
        <v/>
      </c>
      <c r="F512" s="107" t="n"/>
      <c r="G512" s="107" t="n"/>
      <c r="H512" s="107" t="n"/>
      <c r="I512" s="81" t="n"/>
      <c r="J512" s="108">
        <f>IF($B512="","",IF($E512="Ngày thường",N($G512),0))</f>
        <v/>
      </c>
      <c r="K512" s="108">
        <f>IF($B512="","",IF($E512="Nghỉ tuần",N($G512),0))</f>
        <v/>
      </c>
      <c r="L512" s="108">
        <f>IF($B512="","",IF($E512="Lễ",N($G512),0))</f>
        <v/>
      </c>
      <c r="M512" s="108">
        <f>IF($B512="","",IF($E512="Ngày thường",N($H512),0))</f>
        <v/>
      </c>
      <c r="N512" s="108">
        <f>IF($B512="","",IF($E512="Nghỉ tuần",N($H512),0))</f>
        <v/>
      </c>
      <c r="O512" s="108">
        <f>IF($B512="","",IF($E512="Lễ",N($H512),0))</f>
        <v/>
      </c>
    </row>
    <row r="513" ht="15" customHeight="1" s="63">
      <c r="A513" s="85">
        <f>IF($B513="","",ROW()-5)</f>
        <v/>
      </c>
      <c r="B513" s="97" t="n"/>
      <c r="C513" s="96">
        <f>IF($B513="","",IFERROR(INDEX(DM_NHAN_SU!$C$6:$C$155,MATCH($B513,DM_NHAN_SU!$B$6:$B$155,0)),"SAI MÃ NV"))</f>
        <v/>
      </c>
      <c r="D513" s="86" t="n"/>
      <c r="E513" s="103">
        <f>IF(OR($B513="",$D513=""),"",IF(COUNTIF(THAM_SO_CC!$F$10:$F$40,$D513)&gt;0,"Lễ",IF(IF(THAM_SO_CC!$B$12="T7+CN",WEEKDAY($D513,2)&gt;=6,WEEKDAY($D513,2)=7),"Nghỉ tuần","Ngày thường")))</f>
        <v/>
      </c>
      <c r="F513" s="107" t="n"/>
      <c r="G513" s="107" t="n"/>
      <c r="H513" s="107" t="n"/>
      <c r="I513" s="81" t="n"/>
      <c r="J513" s="108">
        <f>IF($B513="","",IF($E513="Ngày thường",N($G513),0))</f>
        <v/>
      </c>
      <c r="K513" s="108">
        <f>IF($B513="","",IF($E513="Nghỉ tuần",N($G513),0))</f>
        <v/>
      </c>
      <c r="L513" s="108">
        <f>IF($B513="","",IF($E513="Lễ",N($G513),0))</f>
        <v/>
      </c>
      <c r="M513" s="108">
        <f>IF($B513="","",IF($E513="Ngày thường",N($H513),0))</f>
        <v/>
      </c>
      <c r="N513" s="108">
        <f>IF($B513="","",IF($E513="Nghỉ tuần",N($H513),0))</f>
        <v/>
      </c>
      <c r="O513" s="108">
        <f>IF($B513="","",IF($E513="Lễ",N($H513),0))</f>
        <v/>
      </c>
    </row>
    <row r="514" ht="15" customHeight="1" s="63">
      <c r="A514" s="85">
        <f>IF($B514="","",ROW()-5)</f>
        <v/>
      </c>
      <c r="B514" s="97" t="n"/>
      <c r="C514" s="96">
        <f>IF($B514="","",IFERROR(INDEX(DM_NHAN_SU!$C$6:$C$155,MATCH($B514,DM_NHAN_SU!$B$6:$B$155,0)),"SAI MÃ NV"))</f>
        <v/>
      </c>
      <c r="D514" s="86" t="n"/>
      <c r="E514" s="103">
        <f>IF(OR($B514="",$D514=""),"",IF(COUNTIF(THAM_SO_CC!$F$10:$F$40,$D514)&gt;0,"Lễ",IF(IF(THAM_SO_CC!$B$12="T7+CN",WEEKDAY($D514,2)&gt;=6,WEEKDAY($D514,2)=7),"Nghỉ tuần","Ngày thường")))</f>
        <v/>
      </c>
      <c r="F514" s="107" t="n"/>
      <c r="G514" s="107" t="n"/>
      <c r="H514" s="107" t="n"/>
      <c r="I514" s="81" t="n"/>
      <c r="J514" s="108">
        <f>IF($B514="","",IF($E514="Ngày thường",N($G514),0))</f>
        <v/>
      </c>
      <c r="K514" s="108">
        <f>IF($B514="","",IF($E514="Nghỉ tuần",N($G514),0))</f>
        <v/>
      </c>
      <c r="L514" s="108">
        <f>IF($B514="","",IF($E514="Lễ",N($G514),0))</f>
        <v/>
      </c>
      <c r="M514" s="108">
        <f>IF($B514="","",IF($E514="Ngày thường",N($H514),0))</f>
        <v/>
      </c>
      <c r="N514" s="108">
        <f>IF($B514="","",IF($E514="Nghỉ tuần",N($H514),0))</f>
        <v/>
      </c>
      <c r="O514" s="108">
        <f>IF($B514="","",IF($E514="Lễ",N($H514),0))</f>
        <v/>
      </c>
    </row>
    <row r="515" ht="15" customHeight="1" s="63">
      <c r="A515" s="85">
        <f>IF($B515="","",ROW()-5)</f>
        <v/>
      </c>
      <c r="B515" s="97" t="n"/>
      <c r="C515" s="96">
        <f>IF($B515="","",IFERROR(INDEX(DM_NHAN_SU!$C$6:$C$155,MATCH($B515,DM_NHAN_SU!$B$6:$B$155,0)),"SAI MÃ NV"))</f>
        <v/>
      </c>
      <c r="D515" s="86" t="n"/>
      <c r="E515" s="103">
        <f>IF(OR($B515="",$D515=""),"",IF(COUNTIF(THAM_SO_CC!$F$10:$F$40,$D515)&gt;0,"Lễ",IF(IF(THAM_SO_CC!$B$12="T7+CN",WEEKDAY($D515,2)&gt;=6,WEEKDAY($D515,2)=7),"Nghỉ tuần","Ngày thường")))</f>
        <v/>
      </c>
      <c r="F515" s="107" t="n"/>
      <c r="G515" s="107" t="n"/>
      <c r="H515" s="107" t="n"/>
      <c r="I515" s="81" t="n"/>
      <c r="J515" s="108">
        <f>IF($B515="","",IF($E515="Ngày thường",N($G515),0))</f>
        <v/>
      </c>
      <c r="K515" s="108">
        <f>IF($B515="","",IF($E515="Nghỉ tuần",N($G515),0))</f>
        <v/>
      </c>
      <c r="L515" s="108">
        <f>IF($B515="","",IF($E515="Lễ",N($G515),0))</f>
        <v/>
      </c>
      <c r="M515" s="108">
        <f>IF($B515="","",IF($E515="Ngày thường",N($H515),0))</f>
        <v/>
      </c>
      <c r="N515" s="108">
        <f>IF($B515="","",IF($E515="Nghỉ tuần",N($H515),0))</f>
        <v/>
      </c>
      <c r="O515" s="108">
        <f>IF($B515="","",IF($E515="Lễ",N($H515),0))</f>
        <v/>
      </c>
    </row>
    <row r="516" ht="15" customHeight="1" s="63">
      <c r="A516" s="85">
        <f>IF($B516="","",ROW()-5)</f>
        <v/>
      </c>
      <c r="B516" s="97" t="n"/>
      <c r="C516" s="96">
        <f>IF($B516="","",IFERROR(INDEX(DM_NHAN_SU!$C$6:$C$155,MATCH($B516,DM_NHAN_SU!$B$6:$B$155,0)),"SAI MÃ NV"))</f>
        <v/>
      </c>
      <c r="D516" s="86" t="n"/>
      <c r="E516" s="103">
        <f>IF(OR($B516="",$D516=""),"",IF(COUNTIF(THAM_SO_CC!$F$10:$F$40,$D516)&gt;0,"Lễ",IF(IF(THAM_SO_CC!$B$12="T7+CN",WEEKDAY($D516,2)&gt;=6,WEEKDAY($D516,2)=7),"Nghỉ tuần","Ngày thường")))</f>
        <v/>
      </c>
      <c r="F516" s="107" t="n"/>
      <c r="G516" s="107" t="n"/>
      <c r="H516" s="107" t="n"/>
      <c r="I516" s="81" t="n"/>
      <c r="J516" s="108">
        <f>IF($B516="","",IF($E516="Ngày thường",N($G516),0))</f>
        <v/>
      </c>
      <c r="K516" s="108">
        <f>IF($B516="","",IF($E516="Nghỉ tuần",N($G516),0))</f>
        <v/>
      </c>
      <c r="L516" s="108">
        <f>IF($B516="","",IF($E516="Lễ",N($G516),0))</f>
        <v/>
      </c>
      <c r="M516" s="108">
        <f>IF($B516="","",IF($E516="Ngày thường",N($H516),0))</f>
        <v/>
      </c>
      <c r="N516" s="108">
        <f>IF($B516="","",IF($E516="Nghỉ tuần",N($H516),0))</f>
        <v/>
      </c>
      <c r="O516" s="108">
        <f>IF($B516="","",IF($E516="Lễ",N($H516),0))</f>
        <v/>
      </c>
    </row>
    <row r="517" ht="15" customHeight="1" s="63">
      <c r="A517" s="85">
        <f>IF($B517="","",ROW()-5)</f>
        <v/>
      </c>
      <c r="B517" s="97" t="n"/>
      <c r="C517" s="96">
        <f>IF($B517="","",IFERROR(INDEX(DM_NHAN_SU!$C$6:$C$155,MATCH($B517,DM_NHAN_SU!$B$6:$B$155,0)),"SAI MÃ NV"))</f>
        <v/>
      </c>
      <c r="D517" s="86" t="n"/>
      <c r="E517" s="103">
        <f>IF(OR($B517="",$D517=""),"",IF(COUNTIF(THAM_SO_CC!$F$10:$F$40,$D517)&gt;0,"Lễ",IF(IF(THAM_SO_CC!$B$12="T7+CN",WEEKDAY($D517,2)&gt;=6,WEEKDAY($D517,2)=7),"Nghỉ tuần","Ngày thường")))</f>
        <v/>
      </c>
      <c r="F517" s="107" t="n"/>
      <c r="G517" s="107" t="n"/>
      <c r="H517" s="107" t="n"/>
      <c r="I517" s="81" t="n"/>
      <c r="J517" s="108">
        <f>IF($B517="","",IF($E517="Ngày thường",N($G517),0))</f>
        <v/>
      </c>
      <c r="K517" s="108">
        <f>IF($B517="","",IF($E517="Nghỉ tuần",N($G517),0))</f>
        <v/>
      </c>
      <c r="L517" s="108">
        <f>IF($B517="","",IF($E517="Lễ",N($G517),0))</f>
        <v/>
      </c>
      <c r="M517" s="108">
        <f>IF($B517="","",IF($E517="Ngày thường",N($H517),0))</f>
        <v/>
      </c>
      <c r="N517" s="108">
        <f>IF($B517="","",IF($E517="Nghỉ tuần",N($H517),0))</f>
        <v/>
      </c>
      <c r="O517" s="108">
        <f>IF($B517="","",IF($E517="Lễ",N($H517),0))</f>
        <v/>
      </c>
    </row>
    <row r="518" ht="15" customHeight="1" s="63">
      <c r="A518" s="85">
        <f>IF($B518="","",ROW()-5)</f>
        <v/>
      </c>
      <c r="B518" s="97" t="n"/>
      <c r="C518" s="96">
        <f>IF($B518="","",IFERROR(INDEX(DM_NHAN_SU!$C$6:$C$155,MATCH($B518,DM_NHAN_SU!$B$6:$B$155,0)),"SAI MÃ NV"))</f>
        <v/>
      </c>
      <c r="D518" s="86" t="n"/>
      <c r="E518" s="103">
        <f>IF(OR($B518="",$D518=""),"",IF(COUNTIF(THAM_SO_CC!$F$10:$F$40,$D518)&gt;0,"Lễ",IF(IF(THAM_SO_CC!$B$12="T7+CN",WEEKDAY($D518,2)&gt;=6,WEEKDAY($D518,2)=7),"Nghỉ tuần","Ngày thường")))</f>
        <v/>
      </c>
      <c r="F518" s="107" t="n"/>
      <c r="G518" s="107" t="n"/>
      <c r="H518" s="107" t="n"/>
      <c r="I518" s="81" t="n"/>
      <c r="J518" s="108">
        <f>IF($B518="","",IF($E518="Ngày thường",N($G518),0))</f>
        <v/>
      </c>
      <c r="K518" s="108">
        <f>IF($B518="","",IF($E518="Nghỉ tuần",N($G518),0))</f>
        <v/>
      </c>
      <c r="L518" s="108">
        <f>IF($B518="","",IF($E518="Lễ",N($G518),0))</f>
        <v/>
      </c>
      <c r="M518" s="108">
        <f>IF($B518="","",IF($E518="Ngày thường",N($H518),0))</f>
        <v/>
      </c>
      <c r="N518" s="108">
        <f>IF($B518="","",IF($E518="Nghỉ tuần",N($H518),0))</f>
        <v/>
      </c>
      <c r="O518" s="108">
        <f>IF($B518="","",IF($E518="Lễ",N($H518),0))</f>
        <v/>
      </c>
    </row>
    <row r="519" ht="15" customHeight="1" s="63">
      <c r="A519" s="85">
        <f>IF($B519="","",ROW()-5)</f>
        <v/>
      </c>
      <c r="B519" s="97" t="n"/>
      <c r="C519" s="96">
        <f>IF($B519="","",IFERROR(INDEX(DM_NHAN_SU!$C$6:$C$155,MATCH($B519,DM_NHAN_SU!$B$6:$B$155,0)),"SAI MÃ NV"))</f>
        <v/>
      </c>
      <c r="D519" s="86" t="n"/>
      <c r="E519" s="103">
        <f>IF(OR($B519="",$D519=""),"",IF(COUNTIF(THAM_SO_CC!$F$10:$F$40,$D519)&gt;0,"Lễ",IF(IF(THAM_SO_CC!$B$12="T7+CN",WEEKDAY($D519,2)&gt;=6,WEEKDAY($D519,2)=7),"Nghỉ tuần","Ngày thường")))</f>
        <v/>
      </c>
      <c r="F519" s="107" t="n"/>
      <c r="G519" s="107" t="n"/>
      <c r="H519" s="107" t="n"/>
      <c r="I519" s="81" t="n"/>
      <c r="J519" s="108">
        <f>IF($B519="","",IF($E519="Ngày thường",N($G519),0))</f>
        <v/>
      </c>
      <c r="K519" s="108">
        <f>IF($B519="","",IF($E519="Nghỉ tuần",N($G519),0))</f>
        <v/>
      </c>
      <c r="L519" s="108">
        <f>IF($B519="","",IF($E519="Lễ",N($G519),0))</f>
        <v/>
      </c>
      <c r="M519" s="108">
        <f>IF($B519="","",IF($E519="Ngày thường",N($H519),0))</f>
        <v/>
      </c>
      <c r="N519" s="108">
        <f>IF($B519="","",IF($E519="Nghỉ tuần",N($H519),0))</f>
        <v/>
      </c>
      <c r="O519" s="108">
        <f>IF($B519="","",IF($E519="Lễ",N($H519),0))</f>
        <v/>
      </c>
    </row>
    <row r="520" ht="15" customHeight="1" s="63">
      <c r="A520" s="85">
        <f>IF($B520="","",ROW()-5)</f>
        <v/>
      </c>
      <c r="B520" s="97" t="n"/>
      <c r="C520" s="96">
        <f>IF($B520="","",IFERROR(INDEX(DM_NHAN_SU!$C$6:$C$155,MATCH($B520,DM_NHAN_SU!$B$6:$B$155,0)),"SAI MÃ NV"))</f>
        <v/>
      </c>
      <c r="D520" s="86" t="n"/>
      <c r="E520" s="103">
        <f>IF(OR($B520="",$D520=""),"",IF(COUNTIF(THAM_SO_CC!$F$10:$F$40,$D520)&gt;0,"Lễ",IF(IF(THAM_SO_CC!$B$12="T7+CN",WEEKDAY($D520,2)&gt;=6,WEEKDAY($D520,2)=7),"Nghỉ tuần","Ngày thường")))</f>
        <v/>
      </c>
      <c r="F520" s="107" t="n"/>
      <c r="G520" s="107" t="n"/>
      <c r="H520" s="107" t="n"/>
      <c r="I520" s="81" t="n"/>
      <c r="J520" s="108">
        <f>IF($B520="","",IF($E520="Ngày thường",N($G520),0))</f>
        <v/>
      </c>
      <c r="K520" s="108">
        <f>IF($B520="","",IF($E520="Nghỉ tuần",N($G520),0))</f>
        <v/>
      </c>
      <c r="L520" s="108">
        <f>IF($B520="","",IF($E520="Lễ",N($G520),0))</f>
        <v/>
      </c>
      <c r="M520" s="108">
        <f>IF($B520="","",IF($E520="Ngày thường",N($H520),0))</f>
        <v/>
      </c>
      <c r="N520" s="108">
        <f>IF($B520="","",IF($E520="Nghỉ tuần",N($H520),0))</f>
        <v/>
      </c>
      <c r="O520" s="108">
        <f>IF($B520="","",IF($E520="Lễ",N($H520),0))</f>
        <v/>
      </c>
    </row>
    <row r="521" ht="15" customHeight="1" s="63">
      <c r="A521" s="85">
        <f>IF($B521="","",ROW()-5)</f>
        <v/>
      </c>
      <c r="B521" s="97" t="n"/>
      <c r="C521" s="96">
        <f>IF($B521="","",IFERROR(INDEX(DM_NHAN_SU!$C$6:$C$155,MATCH($B521,DM_NHAN_SU!$B$6:$B$155,0)),"SAI MÃ NV"))</f>
        <v/>
      </c>
      <c r="D521" s="86" t="n"/>
      <c r="E521" s="103">
        <f>IF(OR($B521="",$D521=""),"",IF(COUNTIF(THAM_SO_CC!$F$10:$F$40,$D521)&gt;0,"Lễ",IF(IF(THAM_SO_CC!$B$12="T7+CN",WEEKDAY($D521,2)&gt;=6,WEEKDAY($D521,2)=7),"Nghỉ tuần","Ngày thường")))</f>
        <v/>
      </c>
      <c r="F521" s="107" t="n"/>
      <c r="G521" s="107" t="n"/>
      <c r="H521" s="107" t="n"/>
      <c r="I521" s="81" t="n"/>
      <c r="J521" s="108">
        <f>IF($B521="","",IF($E521="Ngày thường",N($G521),0))</f>
        <v/>
      </c>
      <c r="K521" s="108">
        <f>IF($B521="","",IF($E521="Nghỉ tuần",N($G521),0))</f>
        <v/>
      </c>
      <c r="L521" s="108">
        <f>IF($B521="","",IF($E521="Lễ",N($G521),0))</f>
        <v/>
      </c>
      <c r="M521" s="108">
        <f>IF($B521="","",IF($E521="Ngày thường",N($H521),0))</f>
        <v/>
      </c>
      <c r="N521" s="108">
        <f>IF($B521="","",IF($E521="Nghỉ tuần",N($H521),0))</f>
        <v/>
      </c>
      <c r="O521" s="108">
        <f>IF($B521="","",IF($E521="Lễ",N($H521),0))</f>
        <v/>
      </c>
    </row>
    <row r="522" ht="15" customHeight="1" s="63">
      <c r="A522" s="85">
        <f>IF($B522="","",ROW()-5)</f>
        <v/>
      </c>
      <c r="B522" s="97" t="n"/>
      <c r="C522" s="96">
        <f>IF($B522="","",IFERROR(INDEX(DM_NHAN_SU!$C$6:$C$155,MATCH($B522,DM_NHAN_SU!$B$6:$B$155,0)),"SAI MÃ NV"))</f>
        <v/>
      </c>
      <c r="D522" s="86" t="n"/>
      <c r="E522" s="103">
        <f>IF(OR($B522="",$D522=""),"",IF(COUNTIF(THAM_SO_CC!$F$10:$F$40,$D522)&gt;0,"Lễ",IF(IF(THAM_SO_CC!$B$12="T7+CN",WEEKDAY($D522,2)&gt;=6,WEEKDAY($D522,2)=7),"Nghỉ tuần","Ngày thường")))</f>
        <v/>
      </c>
      <c r="F522" s="107" t="n"/>
      <c r="G522" s="107" t="n"/>
      <c r="H522" s="107" t="n"/>
      <c r="I522" s="81" t="n"/>
      <c r="J522" s="108">
        <f>IF($B522="","",IF($E522="Ngày thường",N($G522),0))</f>
        <v/>
      </c>
      <c r="K522" s="108">
        <f>IF($B522="","",IF($E522="Nghỉ tuần",N($G522),0))</f>
        <v/>
      </c>
      <c r="L522" s="108">
        <f>IF($B522="","",IF($E522="Lễ",N($G522),0))</f>
        <v/>
      </c>
      <c r="M522" s="108">
        <f>IF($B522="","",IF($E522="Ngày thường",N($H522),0))</f>
        <v/>
      </c>
      <c r="N522" s="108">
        <f>IF($B522="","",IF($E522="Nghỉ tuần",N($H522),0))</f>
        <v/>
      </c>
      <c r="O522" s="108">
        <f>IF($B522="","",IF($E522="Lễ",N($H522),0))</f>
        <v/>
      </c>
    </row>
    <row r="523" ht="15" customHeight="1" s="63">
      <c r="A523" s="85">
        <f>IF($B523="","",ROW()-5)</f>
        <v/>
      </c>
      <c r="B523" s="97" t="n"/>
      <c r="C523" s="96">
        <f>IF($B523="","",IFERROR(INDEX(DM_NHAN_SU!$C$6:$C$155,MATCH($B523,DM_NHAN_SU!$B$6:$B$155,0)),"SAI MÃ NV"))</f>
        <v/>
      </c>
      <c r="D523" s="86" t="n"/>
      <c r="E523" s="103">
        <f>IF(OR($B523="",$D523=""),"",IF(COUNTIF(THAM_SO_CC!$F$10:$F$40,$D523)&gt;0,"Lễ",IF(IF(THAM_SO_CC!$B$12="T7+CN",WEEKDAY($D523,2)&gt;=6,WEEKDAY($D523,2)=7),"Nghỉ tuần","Ngày thường")))</f>
        <v/>
      </c>
      <c r="F523" s="107" t="n"/>
      <c r="G523" s="107" t="n"/>
      <c r="H523" s="107" t="n"/>
      <c r="I523" s="81" t="n"/>
      <c r="J523" s="108">
        <f>IF($B523="","",IF($E523="Ngày thường",N($G523),0))</f>
        <v/>
      </c>
      <c r="K523" s="108">
        <f>IF($B523="","",IF($E523="Nghỉ tuần",N($G523),0))</f>
        <v/>
      </c>
      <c r="L523" s="108">
        <f>IF($B523="","",IF($E523="Lễ",N($G523),0))</f>
        <v/>
      </c>
      <c r="M523" s="108">
        <f>IF($B523="","",IF($E523="Ngày thường",N($H523),0))</f>
        <v/>
      </c>
      <c r="N523" s="108">
        <f>IF($B523="","",IF($E523="Nghỉ tuần",N($H523),0))</f>
        <v/>
      </c>
      <c r="O523" s="108">
        <f>IF($B523="","",IF($E523="Lễ",N($H523),0))</f>
        <v/>
      </c>
    </row>
    <row r="524" ht="15" customHeight="1" s="63">
      <c r="A524" s="85">
        <f>IF($B524="","",ROW()-5)</f>
        <v/>
      </c>
      <c r="B524" s="97" t="n"/>
      <c r="C524" s="96">
        <f>IF($B524="","",IFERROR(INDEX(DM_NHAN_SU!$C$6:$C$155,MATCH($B524,DM_NHAN_SU!$B$6:$B$155,0)),"SAI MÃ NV"))</f>
        <v/>
      </c>
      <c r="D524" s="86" t="n"/>
      <c r="E524" s="103">
        <f>IF(OR($B524="",$D524=""),"",IF(COUNTIF(THAM_SO_CC!$F$10:$F$40,$D524)&gt;0,"Lễ",IF(IF(THAM_SO_CC!$B$12="T7+CN",WEEKDAY($D524,2)&gt;=6,WEEKDAY($D524,2)=7),"Nghỉ tuần","Ngày thường")))</f>
        <v/>
      </c>
      <c r="F524" s="107" t="n"/>
      <c r="G524" s="107" t="n"/>
      <c r="H524" s="107" t="n"/>
      <c r="I524" s="81" t="n"/>
      <c r="J524" s="108">
        <f>IF($B524="","",IF($E524="Ngày thường",N($G524),0))</f>
        <v/>
      </c>
      <c r="K524" s="108">
        <f>IF($B524="","",IF($E524="Nghỉ tuần",N($G524),0))</f>
        <v/>
      </c>
      <c r="L524" s="108">
        <f>IF($B524="","",IF($E524="Lễ",N($G524),0))</f>
        <v/>
      </c>
      <c r="M524" s="108">
        <f>IF($B524="","",IF($E524="Ngày thường",N($H524),0))</f>
        <v/>
      </c>
      <c r="N524" s="108">
        <f>IF($B524="","",IF($E524="Nghỉ tuần",N($H524),0))</f>
        <v/>
      </c>
      <c r="O524" s="108">
        <f>IF($B524="","",IF($E524="Lễ",N($H524),0))</f>
        <v/>
      </c>
    </row>
    <row r="525" ht="15" customHeight="1" s="63">
      <c r="A525" s="85">
        <f>IF($B525="","",ROW()-5)</f>
        <v/>
      </c>
      <c r="B525" s="97" t="n"/>
      <c r="C525" s="96">
        <f>IF($B525="","",IFERROR(INDEX(DM_NHAN_SU!$C$6:$C$155,MATCH($B525,DM_NHAN_SU!$B$6:$B$155,0)),"SAI MÃ NV"))</f>
        <v/>
      </c>
      <c r="D525" s="86" t="n"/>
      <c r="E525" s="103">
        <f>IF(OR($B525="",$D525=""),"",IF(COUNTIF(THAM_SO_CC!$F$10:$F$40,$D525)&gt;0,"Lễ",IF(IF(THAM_SO_CC!$B$12="T7+CN",WEEKDAY($D525,2)&gt;=6,WEEKDAY($D525,2)=7),"Nghỉ tuần","Ngày thường")))</f>
        <v/>
      </c>
      <c r="F525" s="107" t="n"/>
      <c r="G525" s="107" t="n"/>
      <c r="H525" s="107" t="n"/>
      <c r="I525" s="81" t="n"/>
      <c r="J525" s="108">
        <f>IF($B525="","",IF($E525="Ngày thường",N($G525),0))</f>
        <v/>
      </c>
      <c r="K525" s="108">
        <f>IF($B525="","",IF($E525="Nghỉ tuần",N($G525),0))</f>
        <v/>
      </c>
      <c r="L525" s="108">
        <f>IF($B525="","",IF($E525="Lễ",N($G525),0))</f>
        <v/>
      </c>
      <c r="M525" s="108">
        <f>IF($B525="","",IF($E525="Ngày thường",N($H525),0))</f>
        <v/>
      </c>
      <c r="N525" s="108">
        <f>IF($B525="","",IF($E525="Nghỉ tuần",N($H525),0))</f>
        <v/>
      </c>
      <c r="O525" s="108">
        <f>IF($B525="","",IF($E525="Lễ",N($H525),0))</f>
        <v/>
      </c>
    </row>
    <row r="526" ht="15" customHeight="1" s="63">
      <c r="A526" s="85">
        <f>IF($B526="","",ROW()-5)</f>
        <v/>
      </c>
      <c r="B526" s="97" t="n"/>
      <c r="C526" s="96">
        <f>IF($B526="","",IFERROR(INDEX(DM_NHAN_SU!$C$6:$C$155,MATCH($B526,DM_NHAN_SU!$B$6:$B$155,0)),"SAI MÃ NV"))</f>
        <v/>
      </c>
      <c r="D526" s="86" t="n"/>
      <c r="E526" s="103">
        <f>IF(OR($B526="",$D526=""),"",IF(COUNTIF(THAM_SO_CC!$F$10:$F$40,$D526)&gt;0,"Lễ",IF(IF(THAM_SO_CC!$B$12="T7+CN",WEEKDAY($D526,2)&gt;=6,WEEKDAY($D526,2)=7),"Nghỉ tuần","Ngày thường")))</f>
        <v/>
      </c>
      <c r="F526" s="107" t="n"/>
      <c r="G526" s="107" t="n"/>
      <c r="H526" s="107" t="n"/>
      <c r="I526" s="81" t="n"/>
      <c r="J526" s="108">
        <f>IF($B526="","",IF($E526="Ngày thường",N($G526),0))</f>
        <v/>
      </c>
      <c r="K526" s="108">
        <f>IF($B526="","",IF($E526="Nghỉ tuần",N($G526),0))</f>
        <v/>
      </c>
      <c r="L526" s="108">
        <f>IF($B526="","",IF($E526="Lễ",N($G526),0))</f>
        <v/>
      </c>
      <c r="M526" s="108">
        <f>IF($B526="","",IF($E526="Ngày thường",N($H526),0))</f>
        <v/>
      </c>
      <c r="N526" s="108">
        <f>IF($B526="","",IF($E526="Nghỉ tuần",N($H526),0))</f>
        <v/>
      </c>
      <c r="O526" s="108">
        <f>IF($B526="","",IF($E526="Lễ",N($H526),0))</f>
        <v/>
      </c>
    </row>
    <row r="527" ht="15" customHeight="1" s="63">
      <c r="A527" s="85">
        <f>IF($B527="","",ROW()-5)</f>
        <v/>
      </c>
      <c r="B527" s="97" t="n"/>
      <c r="C527" s="96">
        <f>IF($B527="","",IFERROR(INDEX(DM_NHAN_SU!$C$6:$C$155,MATCH($B527,DM_NHAN_SU!$B$6:$B$155,0)),"SAI MÃ NV"))</f>
        <v/>
      </c>
      <c r="D527" s="86" t="n"/>
      <c r="E527" s="103">
        <f>IF(OR($B527="",$D527=""),"",IF(COUNTIF(THAM_SO_CC!$F$10:$F$40,$D527)&gt;0,"Lễ",IF(IF(THAM_SO_CC!$B$12="T7+CN",WEEKDAY($D527,2)&gt;=6,WEEKDAY($D527,2)=7),"Nghỉ tuần","Ngày thường")))</f>
        <v/>
      </c>
      <c r="F527" s="107" t="n"/>
      <c r="G527" s="107" t="n"/>
      <c r="H527" s="107" t="n"/>
      <c r="I527" s="81" t="n"/>
      <c r="J527" s="108">
        <f>IF($B527="","",IF($E527="Ngày thường",N($G527),0))</f>
        <v/>
      </c>
      <c r="K527" s="108">
        <f>IF($B527="","",IF($E527="Nghỉ tuần",N($G527),0))</f>
        <v/>
      </c>
      <c r="L527" s="108">
        <f>IF($B527="","",IF($E527="Lễ",N($G527),0))</f>
        <v/>
      </c>
      <c r="M527" s="108">
        <f>IF($B527="","",IF($E527="Ngày thường",N($H527),0))</f>
        <v/>
      </c>
      <c r="N527" s="108">
        <f>IF($B527="","",IF($E527="Nghỉ tuần",N($H527),0))</f>
        <v/>
      </c>
      <c r="O527" s="108">
        <f>IF($B527="","",IF($E527="Lễ",N($H527),0))</f>
        <v/>
      </c>
    </row>
    <row r="528" ht="15" customHeight="1" s="63">
      <c r="A528" s="85">
        <f>IF($B528="","",ROW()-5)</f>
        <v/>
      </c>
      <c r="B528" s="97" t="n"/>
      <c r="C528" s="96">
        <f>IF($B528="","",IFERROR(INDEX(DM_NHAN_SU!$C$6:$C$155,MATCH($B528,DM_NHAN_SU!$B$6:$B$155,0)),"SAI MÃ NV"))</f>
        <v/>
      </c>
      <c r="D528" s="86" t="n"/>
      <c r="E528" s="103">
        <f>IF(OR($B528="",$D528=""),"",IF(COUNTIF(THAM_SO_CC!$F$10:$F$40,$D528)&gt;0,"Lễ",IF(IF(THAM_SO_CC!$B$12="T7+CN",WEEKDAY($D528,2)&gt;=6,WEEKDAY($D528,2)=7),"Nghỉ tuần","Ngày thường")))</f>
        <v/>
      </c>
      <c r="F528" s="107" t="n"/>
      <c r="G528" s="107" t="n"/>
      <c r="H528" s="107" t="n"/>
      <c r="I528" s="81" t="n"/>
      <c r="J528" s="108">
        <f>IF($B528="","",IF($E528="Ngày thường",N($G528),0))</f>
        <v/>
      </c>
      <c r="K528" s="108">
        <f>IF($B528="","",IF($E528="Nghỉ tuần",N($G528),0))</f>
        <v/>
      </c>
      <c r="L528" s="108">
        <f>IF($B528="","",IF($E528="Lễ",N($G528),0))</f>
        <v/>
      </c>
      <c r="M528" s="108">
        <f>IF($B528="","",IF($E528="Ngày thường",N($H528),0))</f>
        <v/>
      </c>
      <c r="N528" s="108">
        <f>IF($B528="","",IF($E528="Nghỉ tuần",N($H528),0))</f>
        <v/>
      </c>
      <c r="O528" s="108">
        <f>IF($B528="","",IF($E528="Lễ",N($H528),0))</f>
        <v/>
      </c>
    </row>
    <row r="529" ht="15" customHeight="1" s="63">
      <c r="A529" s="85">
        <f>IF($B529="","",ROW()-5)</f>
        <v/>
      </c>
      <c r="B529" s="97" t="n"/>
      <c r="C529" s="96">
        <f>IF($B529="","",IFERROR(INDEX(DM_NHAN_SU!$C$6:$C$155,MATCH($B529,DM_NHAN_SU!$B$6:$B$155,0)),"SAI MÃ NV"))</f>
        <v/>
      </c>
      <c r="D529" s="86" t="n"/>
      <c r="E529" s="103">
        <f>IF(OR($B529="",$D529=""),"",IF(COUNTIF(THAM_SO_CC!$F$10:$F$40,$D529)&gt;0,"Lễ",IF(IF(THAM_SO_CC!$B$12="T7+CN",WEEKDAY($D529,2)&gt;=6,WEEKDAY($D529,2)=7),"Nghỉ tuần","Ngày thường")))</f>
        <v/>
      </c>
      <c r="F529" s="107" t="n"/>
      <c r="G529" s="107" t="n"/>
      <c r="H529" s="107" t="n"/>
      <c r="I529" s="81" t="n"/>
      <c r="J529" s="108">
        <f>IF($B529="","",IF($E529="Ngày thường",N($G529),0))</f>
        <v/>
      </c>
      <c r="K529" s="108">
        <f>IF($B529="","",IF($E529="Nghỉ tuần",N($G529),0))</f>
        <v/>
      </c>
      <c r="L529" s="108">
        <f>IF($B529="","",IF($E529="Lễ",N($G529),0))</f>
        <v/>
      </c>
      <c r="M529" s="108">
        <f>IF($B529="","",IF($E529="Ngày thường",N($H529),0))</f>
        <v/>
      </c>
      <c r="N529" s="108">
        <f>IF($B529="","",IF($E529="Nghỉ tuần",N($H529),0))</f>
        <v/>
      </c>
      <c r="O529" s="108">
        <f>IF($B529="","",IF($E529="Lễ",N($H529),0))</f>
        <v/>
      </c>
    </row>
    <row r="530" ht="15" customHeight="1" s="63">
      <c r="A530" s="85">
        <f>IF($B530="","",ROW()-5)</f>
        <v/>
      </c>
      <c r="B530" s="97" t="n"/>
      <c r="C530" s="96">
        <f>IF($B530="","",IFERROR(INDEX(DM_NHAN_SU!$C$6:$C$155,MATCH($B530,DM_NHAN_SU!$B$6:$B$155,0)),"SAI MÃ NV"))</f>
        <v/>
      </c>
      <c r="D530" s="86" t="n"/>
      <c r="E530" s="103">
        <f>IF(OR($B530="",$D530=""),"",IF(COUNTIF(THAM_SO_CC!$F$10:$F$40,$D530)&gt;0,"Lễ",IF(IF(THAM_SO_CC!$B$12="T7+CN",WEEKDAY($D530,2)&gt;=6,WEEKDAY($D530,2)=7),"Nghỉ tuần","Ngày thường")))</f>
        <v/>
      </c>
      <c r="F530" s="107" t="n"/>
      <c r="G530" s="107" t="n"/>
      <c r="H530" s="107" t="n"/>
      <c r="I530" s="81" t="n"/>
      <c r="J530" s="108">
        <f>IF($B530="","",IF($E530="Ngày thường",N($G530),0))</f>
        <v/>
      </c>
      <c r="K530" s="108">
        <f>IF($B530="","",IF($E530="Nghỉ tuần",N($G530),0))</f>
        <v/>
      </c>
      <c r="L530" s="108">
        <f>IF($B530="","",IF($E530="Lễ",N($G530),0))</f>
        <v/>
      </c>
      <c r="M530" s="108">
        <f>IF($B530="","",IF($E530="Ngày thường",N($H530),0))</f>
        <v/>
      </c>
      <c r="N530" s="108">
        <f>IF($B530="","",IF($E530="Nghỉ tuần",N($H530),0))</f>
        <v/>
      </c>
      <c r="O530" s="108">
        <f>IF($B530="","",IF($E530="Lễ",N($H530),0))</f>
        <v/>
      </c>
    </row>
    <row r="531" ht="15" customHeight="1" s="63">
      <c r="A531" s="85">
        <f>IF($B531="","",ROW()-5)</f>
        <v/>
      </c>
      <c r="B531" s="97" t="n"/>
      <c r="C531" s="96">
        <f>IF($B531="","",IFERROR(INDEX(DM_NHAN_SU!$C$6:$C$155,MATCH($B531,DM_NHAN_SU!$B$6:$B$155,0)),"SAI MÃ NV"))</f>
        <v/>
      </c>
      <c r="D531" s="86" t="n"/>
      <c r="E531" s="103">
        <f>IF(OR($B531="",$D531=""),"",IF(COUNTIF(THAM_SO_CC!$F$10:$F$40,$D531)&gt;0,"Lễ",IF(IF(THAM_SO_CC!$B$12="T7+CN",WEEKDAY($D531,2)&gt;=6,WEEKDAY($D531,2)=7),"Nghỉ tuần","Ngày thường")))</f>
        <v/>
      </c>
      <c r="F531" s="107" t="n"/>
      <c r="G531" s="107" t="n"/>
      <c r="H531" s="107" t="n"/>
      <c r="I531" s="81" t="n"/>
      <c r="J531" s="108">
        <f>IF($B531="","",IF($E531="Ngày thường",N($G531),0))</f>
        <v/>
      </c>
      <c r="K531" s="108">
        <f>IF($B531="","",IF($E531="Nghỉ tuần",N($G531),0))</f>
        <v/>
      </c>
      <c r="L531" s="108">
        <f>IF($B531="","",IF($E531="Lễ",N($G531),0))</f>
        <v/>
      </c>
      <c r="M531" s="108">
        <f>IF($B531="","",IF($E531="Ngày thường",N($H531),0))</f>
        <v/>
      </c>
      <c r="N531" s="108">
        <f>IF($B531="","",IF($E531="Nghỉ tuần",N($H531),0))</f>
        <v/>
      </c>
      <c r="O531" s="108">
        <f>IF($B531="","",IF($E531="Lễ",N($H531),0))</f>
        <v/>
      </c>
    </row>
    <row r="532" ht="15" customHeight="1" s="63">
      <c r="A532" s="85">
        <f>IF($B532="","",ROW()-5)</f>
        <v/>
      </c>
      <c r="B532" s="97" t="n"/>
      <c r="C532" s="96">
        <f>IF($B532="","",IFERROR(INDEX(DM_NHAN_SU!$C$6:$C$155,MATCH($B532,DM_NHAN_SU!$B$6:$B$155,0)),"SAI MÃ NV"))</f>
        <v/>
      </c>
      <c r="D532" s="86" t="n"/>
      <c r="E532" s="103">
        <f>IF(OR($B532="",$D532=""),"",IF(COUNTIF(THAM_SO_CC!$F$10:$F$40,$D532)&gt;0,"Lễ",IF(IF(THAM_SO_CC!$B$12="T7+CN",WEEKDAY($D532,2)&gt;=6,WEEKDAY($D532,2)=7),"Nghỉ tuần","Ngày thường")))</f>
        <v/>
      </c>
      <c r="F532" s="107" t="n"/>
      <c r="G532" s="107" t="n"/>
      <c r="H532" s="107" t="n"/>
      <c r="I532" s="81" t="n"/>
      <c r="J532" s="108">
        <f>IF($B532="","",IF($E532="Ngày thường",N($G532),0))</f>
        <v/>
      </c>
      <c r="K532" s="108">
        <f>IF($B532="","",IF($E532="Nghỉ tuần",N($G532),0))</f>
        <v/>
      </c>
      <c r="L532" s="108">
        <f>IF($B532="","",IF($E532="Lễ",N($G532),0))</f>
        <v/>
      </c>
      <c r="M532" s="108">
        <f>IF($B532="","",IF($E532="Ngày thường",N($H532),0))</f>
        <v/>
      </c>
      <c r="N532" s="108">
        <f>IF($B532="","",IF($E532="Nghỉ tuần",N($H532),0))</f>
        <v/>
      </c>
      <c r="O532" s="108">
        <f>IF($B532="","",IF($E532="Lễ",N($H532),0))</f>
        <v/>
      </c>
    </row>
    <row r="533" ht="15" customHeight="1" s="63">
      <c r="A533" s="85">
        <f>IF($B533="","",ROW()-5)</f>
        <v/>
      </c>
      <c r="B533" s="97" t="n"/>
      <c r="C533" s="96">
        <f>IF($B533="","",IFERROR(INDEX(DM_NHAN_SU!$C$6:$C$155,MATCH($B533,DM_NHAN_SU!$B$6:$B$155,0)),"SAI MÃ NV"))</f>
        <v/>
      </c>
      <c r="D533" s="86" t="n"/>
      <c r="E533" s="103">
        <f>IF(OR($B533="",$D533=""),"",IF(COUNTIF(THAM_SO_CC!$F$10:$F$40,$D533)&gt;0,"Lễ",IF(IF(THAM_SO_CC!$B$12="T7+CN",WEEKDAY($D533,2)&gt;=6,WEEKDAY($D533,2)=7),"Nghỉ tuần","Ngày thường")))</f>
        <v/>
      </c>
      <c r="F533" s="107" t="n"/>
      <c r="G533" s="107" t="n"/>
      <c r="H533" s="107" t="n"/>
      <c r="I533" s="81" t="n"/>
      <c r="J533" s="108">
        <f>IF($B533="","",IF($E533="Ngày thường",N($G533),0))</f>
        <v/>
      </c>
      <c r="K533" s="108">
        <f>IF($B533="","",IF($E533="Nghỉ tuần",N($G533),0))</f>
        <v/>
      </c>
      <c r="L533" s="108">
        <f>IF($B533="","",IF($E533="Lễ",N($G533),0))</f>
        <v/>
      </c>
      <c r="M533" s="108">
        <f>IF($B533="","",IF($E533="Ngày thường",N($H533),0))</f>
        <v/>
      </c>
      <c r="N533" s="108">
        <f>IF($B533="","",IF($E533="Nghỉ tuần",N($H533),0))</f>
        <v/>
      </c>
      <c r="O533" s="108">
        <f>IF($B533="","",IF($E533="Lễ",N($H533),0))</f>
        <v/>
      </c>
    </row>
    <row r="534" ht="15" customHeight="1" s="63">
      <c r="A534" s="85">
        <f>IF($B534="","",ROW()-5)</f>
        <v/>
      </c>
      <c r="B534" s="97" t="n"/>
      <c r="C534" s="96">
        <f>IF($B534="","",IFERROR(INDEX(DM_NHAN_SU!$C$6:$C$155,MATCH($B534,DM_NHAN_SU!$B$6:$B$155,0)),"SAI MÃ NV"))</f>
        <v/>
      </c>
      <c r="D534" s="86" t="n"/>
      <c r="E534" s="103">
        <f>IF(OR($B534="",$D534=""),"",IF(COUNTIF(THAM_SO_CC!$F$10:$F$40,$D534)&gt;0,"Lễ",IF(IF(THAM_SO_CC!$B$12="T7+CN",WEEKDAY($D534,2)&gt;=6,WEEKDAY($D534,2)=7),"Nghỉ tuần","Ngày thường")))</f>
        <v/>
      </c>
      <c r="F534" s="107" t="n"/>
      <c r="G534" s="107" t="n"/>
      <c r="H534" s="107" t="n"/>
      <c r="I534" s="81" t="n"/>
      <c r="J534" s="108">
        <f>IF($B534="","",IF($E534="Ngày thường",N($G534),0))</f>
        <v/>
      </c>
      <c r="K534" s="108">
        <f>IF($B534="","",IF($E534="Nghỉ tuần",N($G534),0))</f>
        <v/>
      </c>
      <c r="L534" s="108">
        <f>IF($B534="","",IF($E534="Lễ",N($G534),0))</f>
        <v/>
      </c>
      <c r="M534" s="108">
        <f>IF($B534="","",IF($E534="Ngày thường",N($H534),0))</f>
        <v/>
      </c>
      <c r="N534" s="108">
        <f>IF($B534="","",IF($E534="Nghỉ tuần",N($H534),0))</f>
        <v/>
      </c>
      <c r="O534" s="108">
        <f>IF($B534="","",IF($E534="Lễ",N($H534),0))</f>
        <v/>
      </c>
    </row>
    <row r="535" ht="15" customHeight="1" s="63">
      <c r="A535" s="85">
        <f>IF($B535="","",ROW()-5)</f>
        <v/>
      </c>
      <c r="B535" s="97" t="n"/>
      <c r="C535" s="96">
        <f>IF($B535="","",IFERROR(INDEX(DM_NHAN_SU!$C$6:$C$155,MATCH($B535,DM_NHAN_SU!$B$6:$B$155,0)),"SAI MÃ NV"))</f>
        <v/>
      </c>
      <c r="D535" s="86" t="n"/>
      <c r="E535" s="103">
        <f>IF(OR($B535="",$D535=""),"",IF(COUNTIF(THAM_SO_CC!$F$10:$F$40,$D535)&gt;0,"Lễ",IF(IF(THAM_SO_CC!$B$12="T7+CN",WEEKDAY($D535,2)&gt;=6,WEEKDAY($D535,2)=7),"Nghỉ tuần","Ngày thường")))</f>
        <v/>
      </c>
      <c r="F535" s="107" t="n"/>
      <c r="G535" s="107" t="n"/>
      <c r="H535" s="107" t="n"/>
      <c r="I535" s="81" t="n"/>
      <c r="J535" s="108">
        <f>IF($B535="","",IF($E535="Ngày thường",N($G535),0))</f>
        <v/>
      </c>
      <c r="K535" s="108">
        <f>IF($B535="","",IF($E535="Nghỉ tuần",N($G535),0))</f>
        <v/>
      </c>
      <c r="L535" s="108">
        <f>IF($B535="","",IF($E535="Lễ",N($G535),0))</f>
        <v/>
      </c>
      <c r="M535" s="108">
        <f>IF($B535="","",IF($E535="Ngày thường",N($H535),0))</f>
        <v/>
      </c>
      <c r="N535" s="108">
        <f>IF($B535="","",IF($E535="Nghỉ tuần",N($H535),0))</f>
        <v/>
      </c>
      <c r="O535" s="108">
        <f>IF($B535="","",IF($E535="Lễ",N($H535),0))</f>
        <v/>
      </c>
    </row>
    <row r="536" ht="15" customHeight="1" s="63">
      <c r="A536" s="85">
        <f>IF($B536="","",ROW()-5)</f>
        <v/>
      </c>
      <c r="B536" s="97" t="n"/>
      <c r="C536" s="96">
        <f>IF($B536="","",IFERROR(INDEX(DM_NHAN_SU!$C$6:$C$155,MATCH($B536,DM_NHAN_SU!$B$6:$B$155,0)),"SAI MÃ NV"))</f>
        <v/>
      </c>
      <c r="D536" s="86" t="n"/>
      <c r="E536" s="103">
        <f>IF(OR($B536="",$D536=""),"",IF(COUNTIF(THAM_SO_CC!$F$10:$F$40,$D536)&gt;0,"Lễ",IF(IF(THAM_SO_CC!$B$12="T7+CN",WEEKDAY($D536,2)&gt;=6,WEEKDAY($D536,2)=7),"Nghỉ tuần","Ngày thường")))</f>
        <v/>
      </c>
      <c r="F536" s="107" t="n"/>
      <c r="G536" s="107" t="n"/>
      <c r="H536" s="107" t="n"/>
      <c r="I536" s="81" t="n"/>
      <c r="J536" s="108">
        <f>IF($B536="","",IF($E536="Ngày thường",N($G536),0))</f>
        <v/>
      </c>
      <c r="K536" s="108">
        <f>IF($B536="","",IF($E536="Nghỉ tuần",N($G536),0))</f>
        <v/>
      </c>
      <c r="L536" s="108">
        <f>IF($B536="","",IF($E536="Lễ",N($G536),0))</f>
        <v/>
      </c>
      <c r="M536" s="108">
        <f>IF($B536="","",IF($E536="Ngày thường",N($H536),0))</f>
        <v/>
      </c>
      <c r="N536" s="108">
        <f>IF($B536="","",IF($E536="Nghỉ tuần",N($H536),0))</f>
        <v/>
      </c>
      <c r="O536" s="108">
        <f>IF($B536="","",IF($E536="Lễ",N($H536),0))</f>
        <v/>
      </c>
    </row>
    <row r="537" ht="15" customHeight="1" s="63">
      <c r="A537" s="85">
        <f>IF($B537="","",ROW()-5)</f>
        <v/>
      </c>
      <c r="B537" s="97" t="n"/>
      <c r="C537" s="96">
        <f>IF($B537="","",IFERROR(INDEX(DM_NHAN_SU!$C$6:$C$155,MATCH($B537,DM_NHAN_SU!$B$6:$B$155,0)),"SAI MÃ NV"))</f>
        <v/>
      </c>
      <c r="D537" s="86" t="n"/>
      <c r="E537" s="103">
        <f>IF(OR($B537="",$D537=""),"",IF(COUNTIF(THAM_SO_CC!$F$10:$F$40,$D537)&gt;0,"Lễ",IF(IF(THAM_SO_CC!$B$12="T7+CN",WEEKDAY($D537,2)&gt;=6,WEEKDAY($D537,2)=7),"Nghỉ tuần","Ngày thường")))</f>
        <v/>
      </c>
      <c r="F537" s="107" t="n"/>
      <c r="G537" s="107" t="n"/>
      <c r="H537" s="107" t="n"/>
      <c r="I537" s="81" t="n"/>
      <c r="J537" s="108">
        <f>IF($B537="","",IF($E537="Ngày thường",N($G537),0))</f>
        <v/>
      </c>
      <c r="K537" s="108">
        <f>IF($B537="","",IF($E537="Nghỉ tuần",N($G537),0))</f>
        <v/>
      </c>
      <c r="L537" s="108">
        <f>IF($B537="","",IF($E537="Lễ",N($G537),0))</f>
        <v/>
      </c>
      <c r="M537" s="108">
        <f>IF($B537="","",IF($E537="Ngày thường",N($H537),0))</f>
        <v/>
      </c>
      <c r="N537" s="108">
        <f>IF($B537="","",IF($E537="Nghỉ tuần",N($H537),0))</f>
        <v/>
      </c>
      <c r="O537" s="108">
        <f>IF($B537="","",IF($E537="Lễ",N($H537),0))</f>
        <v/>
      </c>
    </row>
    <row r="538" ht="15" customHeight="1" s="63">
      <c r="A538" s="85">
        <f>IF($B538="","",ROW()-5)</f>
        <v/>
      </c>
      <c r="B538" s="97" t="n"/>
      <c r="C538" s="96">
        <f>IF($B538="","",IFERROR(INDEX(DM_NHAN_SU!$C$6:$C$155,MATCH($B538,DM_NHAN_SU!$B$6:$B$155,0)),"SAI MÃ NV"))</f>
        <v/>
      </c>
      <c r="D538" s="86" t="n"/>
      <c r="E538" s="103">
        <f>IF(OR($B538="",$D538=""),"",IF(COUNTIF(THAM_SO_CC!$F$10:$F$40,$D538)&gt;0,"Lễ",IF(IF(THAM_SO_CC!$B$12="T7+CN",WEEKDAY($D538,2)&gt;=6,WEEKDAY($D538,2)=7),"Nghỉ tuần","Ngày thường")))</f>
        <v/>
      </c>
      <c r="F538" s="107" t="n"/>
      <c r="G538" s="107" t="n"/>
      <c r="H538" s="107" t="n"/>
      <c r="I538" s="81" t="n"/>
      <c r="J538" s="108">
        <f>IF($B538="","",IF($E538="Ngày thường",N($G538),0))</f>
        <v/>
      </c>
      <c r="K538" s="108">
        <f>IF($B538="","",IF($E538="Nghỉ tuần",N($G538),0))</f>
        <v/>
      </c>
      <c r="L538" s="108">
        <f>IF($B538="","",IF($E538="Lễ",N($G538),0))</f>
        <v/>
      </c>
      <c r="M538" s="108">
        <f>IF($B538="","",IF($E538="Ngày thường",N($H538),0))</f>
        <v/>
      </c>
      <c r="N538" s="108">
        <f>IF($B538="","",IF($E538="Nghỉ tuần",N($H538),0))</f>
        <v/>
      </c>
      <c r="O538" s="108">
        <f>IF($B538="","",IF($E538="Lễ",N($H538),0))</f>
        <v/>
      </c>
    </row>
    <row r="539" ht="15" customHeight="1" s="63">
      <c r="A539" s="85">
        <f>IF($B539="","",ROW()-5)</f>
        <v/>
      </c>
      <c r="B539" s="97" t="n"/>
      <c r="C539" s="96">
        <f>IF($B539="","",IFERROR(INDEX(DM_NHAN_SU!$C$6:$C$155,MATCH($B539,DM_NHAN_SU!$B$6:$B$155,0)),"SAI MÃ NV"))</f>
        <v/>
      </c>
      <c r="D539" s="86" t="n"/>
      <c r="E539" s="103">
        <f>IF(OR($B539="",$D539=""),"",IF(COUNTIF(THAM_SO_CC!$F$10:$F$40,$D539)&gt;0,"Lễ",IF(IF(THAM_SO_CC!$B$12="T7+CN",WEEKDAY($D539,2)&gt;=6,WEEKDAY($D539,2)=7),"Nghỉ tuần","Ngày thường")))</f>
        <v/>
      </c>
      <c r="F539" s="107" t="n"/>
      <c r="G539" s="107" t="n"/>
      <c r="H539" s="107" t="n"/>
      <c r="I539" s="81" t="n"/>
      <c r="J539" s="108">
        <f>IF($B539="","",IF($E539="Ngày thường",N($G539),0))</f>
        <v/>
      </c>
      <c r="K539" s="108">
        <f>IF($B539="","",IF($E539="Nghỉ tuần",N($G539),0))</f>
        <v/>
      </c>
      <c r="L539" s="108">
        <f>IF($B539="","",IF($E539="Lễ",N($G539),0))</f>
        <v/>
      </c>
      <c r="M539" s="108">
        <f>IF($B539="","",IF($E539="Ngày thường",N($H539),0))</f>
        <v/>
      </c>
      <c r="N539" s="108">
        <f>IF($B539="","",IF($E539="Nghỉ tuần",N($H539),0))</f>
        <v/>
      </c>
      <c r="O539" s="108">
        <f>IF($B539="","",IF($E539="Lễ",N($H539),0))</f>
        <v/>
      </c>
    </row>
    <row r="540" ht="15" customHeight="1" s="63">
      <c r="A540" s="85">
        <f>IF($B540="","",ROW()-5)</f>
        <v/>
      </c>
      <c r="B540" s="97" t="n"/>
      <c r="C540" s="96">
        <f>IF($B540="","",IFERROR(INDEX(DM_NHAN_SU!$C$6:$C$155,MATCH($B540,DM_NHAN_SU!$B$6:$B$155,0)),"SAI MÃ NV"))</f>
        <v/>
      </c>
      <c r="D540" s="86" t="n"/>
      <c r="E540" s="103">
        <f>IF(OR($B540="",$D540=""),"",IF(COUNTIF(THAM_SO_CC!$F$10:$F$40,$D540)&gt;0,"Lễ",IF(IF(THAM_SO_CC!$B$12="T7+CN",WEEKDAY($D540,2)&gt;=6,WEEKDAY($D540,2)=7),"Nghỉ tuần","Ngày thường")))</f>
        <v/>
      </c>
      <c r="F540" s="107" t="n"/>
      <c r="G540" s="107" t="n"/>
      <c r="H540" s="107" t="n"/>
      <c r="I540" s="81" t="n"/>
      <c r="J540" s="108">
        <f>IF($B540="","",IF($E540="Ngày thường",N($G540),0))</f>
        <v/>
      </c>
      <c r="K540" s="108">
        <f>IF($B540="","",IF($E540="Nghỉ tuần",N($G540),0))</f>
        <v/>
      </c>
      <c r="L540" s="108">
        <f>IF($B540="","",IF($E540="Lễ",N($G540),0))</f>
        <v/>
      </c>
      <c r="M540" s="108">
        <f>IF($B540="","",IF($E540="Ngày thường",N($H540),0))</f>
        <v/>
      </c>
      <c r="N540" s="108">
        <f>IF($B540="","",IF($E540="Nghỉ tuần",N($H540),0))</f>
        <v/>
      </c>
      <c r="O540" s="108">
        <f>IF($B540="","",IF($E540="Lễ",N($H540),0))</f>
        <v/>
      </c>
    </row>
    <row r="541" ht="15" customHeight="1" s="63">
      <c r="A541" s="85">
        <f>IF($B541="","",ROW()-5)</f>
        <v/>
      </c>
      <c r="B541" s="97" t="n"/>
      <c r="C541" s="96">
        <f>IF($B541="","",IFERROR(INDEX(DM_NHAN_SU!$C$6:$C$155,MATCH($B541,DM_NHAN_SU!$B$6:$B$155,0)),"SAI MÃ NV"))</f>
        <v/>
      </c>
      <c r="D541" s="86" t="n"/>
      <c r="E541" s="103">
        <f>IF(OR($B541="",$D541=""),"",IF(COUNTIF(THAM_SO_CC!$F$10:$F$40,$D541)&gt;0,"Lễ",IF(IF(THAM_SO_CC!$B$12="T7+CN",WEEKDAY($D541,2)&gt;=6,WEEKDAY($D541,2)=7),"Nghỉ tuần","Ngày thường")))</f>
        <v/>
      </c>
      <c r="F541" s="107" t="n"/>
      <c r="G541" s="107" t="n"/>
      <c r="H541" s="107" t="n"/>
      <c r="I541" s="81" t="n"/>
      <c r="J541" s="108">
        <f>IF($B541="","",IF($E541="Ngày thường",N($G541),0))</f>
        <v/>
      </c>
      <c r="K541" s="108">
        <f>IF($B541="","",IF($E541="Nghỉ tuần",N($G541),0))</f>
        <v/>
      </c>
      <c r="L541" s="108">
        <f>IF($B541="","",IF($E541="Lễ",N($G541),0))</f>
        <v/>
      </c>
      <c r="M541" s="108">
        <f>IF($B541="","",IF($E541="Ngày thường",N($H541),0))</f>
        <v/>
      </c>
      <c r="N541" s="108">
        <f>IF($B541="","",IF($E541="Nghỉ tuần",N($H541),0))</f>
        <v/>
      </c>
      <c r="O541" s="108">
        <f>IF($B541="","",IF($E541="Lễ",N($H541),0))</f>
        <v/>
      </c>
    </row>
    <row r="542" ht="15" customHeight="1" s="63">
      <c r="A542" s="85">
        <f>IF($B542="","",ROW()-5)</f>
        <v/>
      </c>
      <c r="B542" s="97" t="n"/>
      <c r="C542" s="96">
        <f>IF($B542="","",IFERROR(INDEX(DM_NHAN_SU!$C$6:$C$155,MATCH($B542,DM_NHAN_SU!$B$6:$B$155,0)),"SAI MÃ NV"))</f>
        <v/>
      </c>
      <c r="D542" s="86" t="n"/>
      <c r="E542" s="103">
        <f>IF(OR($B542="",$D542=""),"",IF(COUNTIF(THAM_SO_CC!$F$10:$F$40,$D542)&gt;0,"Lễ",IF(IF(THAM_SO_CC!$B$12="T7+CN",WEEKDAY($D542,2)&gt;=6,WEEKDAY($D542,2)=7),"Nghỉ tuần","Ngày thường")))</f>
        <v/>
      </c>
      <c r="F542" s="107" t="n"/>
      <c r="G542" s="107" t="n"/>
      <c r="H542" s="107" t="n"/>
      <c r="I542" s="81" t="n"/>
      <c r="J542" s="108">
        <f>IF($B542="","",IF($E542="Ngày thường",N($G542),0))</f>
        <v/>
      </c>
      <c r="K542" s="108">
        <f>IF($B542="","",IF($E542="Nghỉ tuần",N($G542),0))</f>
        <v/>
      </c>
      <c r="L542" s="108">
        <f>IF($B542="","",IF($E542="Lễ",N($G542),0))</f>
        <v/>
      </c>
      <c r="M542" s="108">
        <f>IF($B542="","",IF($E542="Ngày thường",N($H542),0))</f>
        <v/>
      </c>
      <c r="N542" s="108">
        <f>IF($B542="","",IF($E542="Nghỉ tuần",N($H542),0))</f>
        <v/>
      </c>
      <c r="O542" s="108">
        <f>IF($B542="","",IF($E542="Lễ",N($H542),0))</f>
        <v/>
      </c>
    </row>
    <row r="543" ht="15" customHeight="1" s="63">
      <c r="A543" s="85">
        <f>IF($B543="","",ROW()-5)</f>
        <v/>
      </c>
      <c r="B543" s="97" t="n"/>
      <c r="C543" s="96">
        <f>IF($B543="","",IFERROR(INDEX(DM_NHAN_SU!$C$6:$C$155,MATCH($B543,DM_NHAN_SU!$B$6:$B$155,0)),"SAI MÃ NV"))</f>
        <v/>
      </c>
      <c r="D543" s="86" t="n"/>
      <c r="E543" s="103">
        <f>IF(OR($B543="",$D543=""),"",IF(COUNTIF(THAM_SO_CC!$F$10:$F$40,$D543)&gt;0,"Lễ",IF(IF(THAM_SO_CC!$B$12="T7+CN",WEEKDAY($D543,2)&gt;=6,WEEKDAY($D543,2)=7),"Nghỉ tuần","Ngày thường")))</f>
        <v/>
      </c>
      <c r="F543" s="107" t="n"/>
      <c r="G543" s="107" t="n"/>
      <c r="H543" s="107" t="n"/>
      <c r="I543" s="81" t="n"/>
      <c r="J543" s="108">
        <f>IF($B543="","",IF($E543="Ngày thường",N($G543),0))</f>
        <v/>
      </c>
      <c r="K543" s="108">
        <f>IF($B543="","",IF($E543="Nghỉ tuần",N($G543),0))</f>
        <v/>
      </c>
      <c r="L543" s="108">
        <f>IF($B543="","",IF($E543="Lễ",N($G543),0))</f>
        <v/>
      </c>
      <c r="M543" s="108">
        <f>IF($B543="","",IF($E543="Ngày thường",N($H543),0))</f>
        <v/>
      </c>
      <c r="N543" s="108">
        <f>IF($B543="","",IF($E543="Nghỉ tuần",N($H543),0))</f>
        <v/>
      </c>
      <c r="O543" s="108">
        <f>IF($B543="","",IF($E543="Lễ",N($H543),0))</f>
        <v/>
      </c>
    </row>
    <row r="544" ht="15" customHeight="1" s="63">
      <c r="A544" s="85">
        <f>IF($B544="","",ROW()-5)</f>
        <v/>
      </c>
      <c r="B544" s="97" t="n"/>
      <c r="C544" s="96">
        <f>IF($B544="","",IFERROR(INDEX(DM_NHAN_SU!$C$6:$C$155,MATCH($B544,DM_NHAN_SU!$B$6:$B$155,0)),"SAI MÃ NV"))</f>
        <v/>
      </c>
      <c r="D544" s="86" t="n"/>
      <c r="E544" s="103">
        <f>IF(OR($B544="",$D544=""),"",IF(COUNTIF(THAM_SO_CC!$F$10:$F$40,$D544)&gt;0,"Lễ",IF(IF(THAM_SO_CC!$B$12="T7+CN",WEEKDAY($D544,2)&gt;=6,WEEKDAY($D544,2)=7),"Nghỉ tuần","Ngày thường")))</f>
        <v/>
      </c>
      <c r="F544" s="107" t="n"/>
      <c r="G544" s="107" t="n"/>
      <c r="H544" s="107" t="n"/>
      <c r="I544" s="81" t="n"/>
      <c r="J544" s="108">
        <f>IF($B544="","",IF($E544="Ngày thường",N($G544),0))</f>
        <v/>
      </c>
      <c r="K544" s="108">
        <f>IF($B544="","",IF($E544="Nghỉ tuần",N($G544),0))</f>
        <v/>
      </c>
      <c r="L544" s="108">
        <f>IF($B544="","",IF($E544="Lễ",N($G544),0))</f>
        <v/>
      </c>
      <c r="M544" s="108">
        <f>IF($B544="","",IF($E544="Ngày thường",N($H544),0))</f>
        <v/>
      </c>
      <c r="N544" s="108">
        <f>IF($B544="","",IF($E544="Nghỉ tuần",N($H544),0))</f>
        <v/>
      </c>
      <c r="O544" s="108">
        <f>IF($B544="","",IF($E544="Lễ",N($H544),0))</f>
        <v/>
      </c>
    </row>
    <row r="545" ht="15" customHeight="1" s="63">
      <c r="A545" s="85">
        <f>IF($B545="","",ROW()-5)</f>
        <v/>
      </c>
      <c r="B545" s="97" t="n"/>
      <c r="C545" s="96">
        <f>IF($B545="","",IFERROR(INDEX(DM_NHAN_SU!$C$6:$C$155,MATCH($B545,DM_NHAN_SU!$B$6:$B$155,0)),"SAI MÃ NV"))</f>
        <v/>
      </c>
      <c r="D545" s="86" t="n"/>
      <c r="E545" s="103">
        <f>IF(OR($B545="",$D545=""),"",IF(COUNTIF(THAM_SO_CC!$F$10:$F$40,$D545)&gt;0,"Lễ",IF(IF(THAM_SO_CC!$B$12="T7+CN",WEEKDAY($D545,2)&gt;=6,WEEKDAY($D545,2)=7),"Nghỉ tuần","Ngày thường")))</f>
        <v/>
      </c>
      <c r="F545" s="107" t="n"/>
      <c r="G545" s="107" t="n"/>
      <c r="H545" s="107" t="n"/>
      <c r="I545" s="81" t="n"/>
      <c r="J545" s="108">
        <f>IF($B545="","",IF($E545="Ngày thường",N($G545),0))</f>
        <v/>
      </c>
      <c r="K545" s="108">
        <f>IF($B545="","",IF($E545="Nghỉ tuần",N($G545),0))</f>
        <v/>
      </c>
      <c r="L545" s="108">
        <f>IF($B545="","",IF($E545="Lễ",N($G545),0))</f>
        <v/>
      </c>
      <c r="M545" s="108">
        <f>IF($B545="","",IF($E545="Ngày thường",N($H545),0))</f>
        <v/>
      </c>
      <c r="N545" s="108">
        <f>IF($B545="","",IF($E545="Nghỉ tuần",N($H545),0))</f>
        <v/>
      </c>
      <c r="O545" s="108">
        <f>IF($B545="","",IF($E545="Lễ",N($H545),0))</f>
        <v/>
      </c>
    </row>
    <row r="546" ht="15" customHeight="1" s="63">
      <c r="A546" s="85">
        <f>IF($B546="","",ROW()-5)</f>
        <v/>
      </c>
      <c r="B546" s="97" t="n"/>
      <c r="C546" s="96">
        <f>IF($B546="","",IFERROR(INDEX(DM_NHAN_SU!$C$6:$C$155,MATCH($B546,DM_NHAN_SU!$B$6:$B$155,0)),"SAI MÃ NV"))</f>
        <v/>
      </c>
      <c r="D546" s="86" t="n"/>
      <c r="E546" s="103">
        <f>IF(OR($B546="",$D546=""),"",IF(COUNTIF(THAM_SO_CC!$F$10:$F$40,$D546)&gt;0,"Lễ",IF(IF(THAM_SO_CC!$B$12="T7+CN",WEEKDAY($D546,2)&gt;=6,WEEKDAY($D546,2)=7),"Nghỉ tuần","Ngày thường")))</f>
        <v/>
      </c>
      <c r="F546" s="107" t="n"/>
      <c r="G546" s="107" t="n"/>
      <c r="H546" s="107" t="n"/>
      <c r="I546" s="81" t="n"/>
      <c r="J546" s="108">
        <f>IF($B546="","",IF($E546="Ngày thường",N($G546),0))</f>
        <v/>
      </c>
      <c r="K546" s="108">
        <f>IF($B546="","",IF($E546="Nghỉ tuần",N($G546),0))</f>
        <v/>
      </c>
      <c r="L546" s="108">
        <f>IF($B546="","",IF($E546="Lễ",N($G546),0))</f>
        <v/>
      </c>
      <c r="M546" s="108">
        <f>IF($B546="","",IF($E546="Ngày thường",N($H546),0))</f>
        <v/>
      </c>
      <c r="N546" s="108">
        <f>IF($B546="","",IF($E546="Nghỉ tuần",N($H546),0))</f>
        <v/>
      </c>
      <c r="O546" s="108">
        <f>IF($B546="","",IF($E546="Lễ",N($H546),0))</f>
        <v/>
      </c>
    </row>
    <row r="547" ht="15" customHeight="1" s="63">
      <c r="A547" s="85">
        <f>IF($B547="","",ROW()-5)</f>
        <v/>
      </c>
      <c r="B547" s="97" t="n"/>
      <c r="C547" s="96">
        <f>IF($B547="","",IFERROR(INDEX(DM_NHAN_SU!$C$6:$C$155,MATCH($B547,DM_NHAN_SU!$B$6:$B$155,0)),"SAI MÃ NV"))</f>
        <v/>
      </c>
      <c r="D547" s="86" t="n"/>
      <c r="E547" s="103">
        <f>IF(OR($B547="",$D547=""),"",IF(COUNTIF(THAM_SO_CC!$F$10:$F$40,$D547)&gt;0,"Lễ",IF(IF(THAM_SO_CC!$B$12="T7+CN",WEEKDAY($D547,2)&gt;=6,WEEKDAY($D547,2)=7),"Nghỉ tuần","Ngày thường")))</f>
        <v/>
      </c>
      <c r="F547" s="107" t="n"/>
      <c r="G547" s="107" t="n"/>
      <c r="H547" s="107" t="n"/>
      <c r="I547" s="81" t="n"/>
      <c r="J547" s="108">
        <f>IF($B547="","",IF($E547="Ngày thường",N($G547),0))</f>
        <v/>
      </c>
      <c r="K547" s="108">
        <f>IF($B547="","",IF($E547="Nghỉ tuần",N($G547),0))</f>
        <v/>
      </c>
      <c r="L547" s="108">
        <f>IF($B547="","",IF($E547="Lễ",N($G547),0))</f>
        <v/>
      </c>
      <c r="M547" s="108">
        <f>IF($B547="","",IF($E547="Ngày thường",N($H547),0))</f>
        <v/>
      </c>
      <c r="N547" s="108">
        <f>IF($B547="","",IF($E547="Nghỉ tuần",N($H547),0))</f>
        <v/>
      </c>
      <c r="O547" s="108">
        <f>IF($B547="","",IF($E547="Lễ",N($H547),0))</f>
        <v/>
      </c>
    </row>
    <row r="548" ht="15" customHeight="1" s="63">
      <c r="A548" s="85">
        <f>IF($B548="","",ROW()-5)</f>
        <v/>
      </c>
      <c r="B548" s="97" t="n"/>
      <c r="C548" s="96">
        <f>IF($B548="","",IFERROR(INDEX(DM_NHAN_SU!$C$6:$C$155,MATCH($B548,DM_NHAN_SU!$B$6:$B$155,0)),"SAI MÃ NV"))</f>
        <v/>
      </c>
      <c r="D548" s="86" t="n"/>
      <c r="E548" s="103">
        <f>IF(OR($B548="",$D548=""),"",IF(COUNTIF(THAM_SO_CC!$F$10:$F$40,$D548)&gt;0,"Lễ",IF(IF(THAM_SO_CC!$B$12="T7+CN",WEEKDAY($D548,2)&gt;=6,WEEKDAY($D548,2)=7),"Nghỉ tuần","Ngày thường")))</f>
        <v/>
      </c>
      <c r="F548" s="107" t="n"/>
      <c r="G548" s="107" t="n"/>
      <c r="H548" s="107" t="n"/>
      <c r="I548" s="81" t="n"/>
      <c r="J548" s="108">
        <f>IF($B548="","",IF($E548="Ngày thường",N($G548),0))</f>
        <v/>
      </c>
      <c r="K548" s="108">
        <f>IF($B548="","",IF($E548="Nghỉ tuần",N($G548),0))</f>
        <v/>
      </c>
      <c r="L548" s="108">
        <f>IF($B548="","",IF($E548="Lễ",N($G548),0))</f>
        <v/>
      </c>
      <c r="M548" s="108">
        <f>IF($B548="","",IF($E548="Ngày thường",N($H548),0))</f>
        <v/>
      </c>
      <c r="N548" s="108">
        <f>IF($B548="","",IF($E548="Nghỉ tuần",N($H548),0))</f>
        <v/>
      </c>
      <c r="O548" s="108">
        <f>IF($B548="","",IF($E548="Lễ",N($H548),0))</f>
        <v/>
      </c>
    </row>
    <row r="549" ht="15" customHeight="1" s="63">
      <c r="A549" s="85">
        <f>IF($B549="","",ROW()-5)</f>
        <v/>
      </c>
      <c r="B549" s="97" t="n"/>
      <c r="C549" s="96">
        <f>IF($B549="","",IFERROR(INDEX(DM_NHAN_SU!$C$6:$C$155,MATCH($B549,DM_NHAN_SU!$B$6:$B$155,0)),"SAI MÃ NV"))</f>
        <v/>
      </c>
      <c r="D549" s="86" t="n"/>
      <c r="E549" s="103">
        <f>IF(OR($B549="",$D549=""),"",IF(COUNTIF(THAM_SO_CC!$F$10:$F$40,$D549)&gt;0,"Lễ",IF(IF(THAM_SO_CC!$B$12="T7+CN",WEEKDAY($D549,2)&gt;=6,WEEKDAY($D549,2)=7),"Nghỉ tuần","Ngày thường")))</f>
        <v/>
      </c>
      <c r="F549" s="107" t="n"/>
      <c r="G549" s="107" t="n"/>
      <c r="H549" s="107" t="n"/>
      <c r="I549" s="81" t="n"/>
      <c r="J549" s="108">
        <f>IF($B549="","",IF($E549="Ngày thường",N($G549),0))</f>
        <v/>
      </c>
      <c r="K549" s="108">
        <f>IF($B549="","",IF($E549="Nghỉ tuần",N($G549),0))</f>
        <v/>
      </c>
      <c r="L549" s="108">
        <f>IF($B549="","",IF($E549="Lễ",N($G549),0))</f>
        <v/>
      </c>
      <c r="M549" s="108">
        <f>IF($B549="","",IF($E549="Ngày thường",N($H549),0))</f>
        <v/>
      </c>
      <c r="N549" s="108">
        <f>IF($B549="","",IF($E549="Nghỉ tuần",N($H549),0))</f>
        <v/>
      </c>
      <c r="O549" s="108">
        <f>IF($B549="","",IF($E549="Lễ",N($H549),0))</f>
        <v/>
      </c>
    </row>
    <row r="550" ht="15" customHeight="1" s="63">
      <c r="A550" s="85">
        <f>IF($B550="","",ROW()-5)</f>
        <v/>
      </c>
      <c r="B550" s="97" t="n"/>
      <c r="C550" s="96">
        <f>IF($B550="","",IFERROR(INDEX(DM_NHAN_SU!$C$6:$C$155,MATCH($B550,DM_NHAN_SU!$B$6:$B$155,0)),"SAI MÃ NV"))</f>
        <v/>
      </c>
      <c r="D550" s="86" t="n"/>
      <c r="E550" s="103">
        <f>IF(OR($B550="",$D550=""),"",IF(COUNTIF(THAM_SO_CC!$F$10:$F$40,$D550)&gt;0,"Lễ",IF(IF(THAM_SO_CC!$B$12="T7+CN",WEEKDAY($D550,2)&gt;=6,WEEKDAY($D550,2)=7),"Nghỉ tuần","Ngày thường")))</f>
        <v/>
      </c>
      <c r="F550" s="107" t="n"/>
      <c r="G550" s="107" t="n"/>
      <c r="H550" s="107" t="n"/>
      <c r="I550" s="81" t="n"/>
      <c r="J550" s="108">
        <f>IF($B550="","",IF($E550="Ngày thường",N($G550),0))</f>
        <v/>
      </c>
      <c r="K550" s="108">
        <f>IF($B550="","",IF($E550="Nghỉ tuần",N($G550),0))</f>
        <v/>
      </c>
      <c r="L550" s="108">
        <f>IF($B550="","",IF($E550="Lễ",N($G550),0))</f>
        <v/>
      </c>
      <c r="M550" s="108">
        <f>IF($B550="","",IF($E550="Ngày thường",N($H550),0))</f>
        <v/>
      </c>
      <c r="N550" s="108">
        <f>IF($B550="","",IF($E550="Nghỉ tuần",N($H550),0))</f>
        <v/>
      </c>
      <c r="O550" s="108">
        <f>IF($B550="","",IF($E550="Lễ",N($H550),0))</f>
        <v/>
      </c>
    </row>
    <row r="551" ht="15" customHeight="1" s="63">
      <c r="A551" s="85">
        <f>IF($B551="","",ROW()-5)</f>
        <v/>
      </c>
      <c r="B551" s="97" t="n"/>
      <c r="C551" s="96">
        <f>IF($B551="","",IFERROR(INDEX(DM_NHAN_SU!$C$6:$C$155,MATCH($B551,DM_NHAN_SU!$B$6:$B$155,0)),"SAI MÃ NV"))</f>
        <v/>
      </c>
      <c r="D551" s="86" t="n"/>
      <c r="E551" s="103">
        <f>IF(OR($B551="",$D551=""),"",IF(COUNTIF(THAM_SO_CC!$F$10:$F$40,$D551)&gt;0,"Lễ",IF(IF(THAM_SO_CC!$B$12="T7+CN",WEEKDAY($D551,2)&gt;=6,WEEKDAY($D551,2)=7),"Nghỉ tuần","Ngày thường")))</f>
        <v/>
      </c>
      <c r="F551" s="107" t="n"/>
      <c r="G551" s="107" t="n"/>
      <c r="H551" s="107" t="n"/>
      <c r="I551" s="81" t="n"/>
      <c r="J551" s="108">
        <f>IF($B551="","",IF($E551="Ngày thường",N($G551),0))</f>
        <v/>
      </c>
      <c r="K551" s="108">
        <f>IF($B551="","",IF($E551="Nghỉ tuần",N($G551),0))</f>
        <v/>
      </c>
      <c r="L551" s="108">
        <f>IF($B551="","",IF($E551="Lễ",N($G551),0))</f>
        <v/>
      </c>
      <c r="M551" s="108">
        <f>IF($B551="","",IF($E551="Ngày thường",N($H551),0))</f>
        <v/>
      </c>
      <c r="N551" s="108">
        <f>IF($B551="","",IF($E551="Nghỉ tuần",N($H551),0))</f>
        <v/>
      </c>
      <c r="O551" s="108">
        <f>IF($B551="","",IF($E551="Lễ",N($H551),0))</f>
        <v/>
      </c>
    </row>
    <row r="552" ht="15" customHeight="1" s="63">
      <c r="A552" s="85">
        <f>IF($B552="","",ROW()-5)</f>
        <v/>
      </c>
      <c r="B552" s="97" t="n"/>
      <c r="C552" s="96">
        <f>IF($B552="","",IFERROR(INDEX(DM_NHAN_SU!$C$6:$C$155,MATCH($B552,DM_NHAN_SU!$B$6:$B$155,0)),"SAI MÃ NV"))</f>
        <v/>
      </c>
      <c r="D552" s="86" t="n"/>
      <c r="E552" s="103">
        <f>IF(OR($B552="",$D552=""),"",IF(COUNTIF(THAM_SO_CC!$F$10:$F$40,$D552)&gt;0,"Lễ",IF(IF(THAM_SO_CC!$B$12="T7+CN",WEEKDAY($D552,2)&gt;=6,WEEKDAY($D552,2)=7),"Nghỉ tuần","Ngày thường")))</f>
        <v/>
      </c>
      <c r="F552" s="107" t="n"/>
      <c r="G552" s="107" t="n"/>
      <c r="H552" s="107" t="n"/>
      <c r="I552" s="81" t="n"/>
      <c r="J552" s="108">
        <f>IF($B552="","",IF($E552="Ngày thường",N($G552),0))</f>
        <v/>
      </c>
      <c r="K552" s="108">
        <f>IF($B552="","",IF($E552="Nghỉ tuần",N($G552),0))</f>
        <v/>
      </c>
      <c r="L552" s="108">
        <f>IF($B552="","",IF($E552="Lễ",N($G552),0))</f>
        <v/>
      </c>
      <c r="M552" s="108">
        <f>IF($B552="","",IF($E552="Ngày thường",N($H552),0))</f>
        <v/>
      </c>
      <c r="N552" s="108">
        <f>IF($B552="","",IF($E552="Nghỉ tuần",N($H552),0))</f>
        <v/>
      </c>
      <c r="O552" s="108">
        <f>IF($B552="","",IF($E552="Lễ",N($H552),0))</f>
        <v/>
      </c>
    </row>
    <row r="553" ht="15" customHeight="1" s="63">
      <c r="A553" s="85">
        <f>IF($B553="","",ROW()-5)</f>
        <v/>
      </c>
      <c r="B553" s="97" t="n"/>
      <c r="C553" s="96">
        <f>IF($B553="","",IFERROR(INDEX(DM_NHAN_SU!$C$6:$C$155,MATCH($B553,DM_NHAN_SU!$B$6:$B$155,0)),"SAI MÃ NV"))</f>
        <v/>
      </c>
      <c r="D553" s="86" t="n"/>
      <c r="E553" s="103">
        <f>IF(OR($B553="",$D553=""),"",IF(COUNTIF(THAM_SO_CC!$F$10:$F$40,$D553)&gt;0,"Lễ",IF(IF(THAM_SO_CC!$B$12="T7+CN",WEEKDAY($D553,2)&gt;=6,WEEKDAY($D553,2)=7),"Nghỉ tuần","Ngày thường")))</f>
        <v/>
      </c>
      <c r="F553" s="107" t="n"/>
      <c r="G553" s="107" t="n"/>
      <c r="H553" s="107" t="n"/>
      <c r="I553" s="81" t="n"/>
      <c r="J553" s="108">
        <f>IF($B553="","",IF($E553="Ngày thường",N($G553),0))</f>
        <v/>
      </c>
      <c r="K553" s="108">
        <f>IF($B553="","",IF($E553="Nghỉ tuần",N($G553),0))</f>
        <v/>
      </c>
      <c r="L553" s="108">
        <f>IF($B553="","",IF($E553="Lễ",N($G553),0))</f>
        <v/>
      </c>
      <c r="M553" s="108">
        <f>IF($B553="","",IF($E553="Ngày thường",N($H553),0))</f>
        <v/>
      </c>
      <c r="N553" s="108">
        <f>IF($B553="","",IF($E553="Nghỉ tuần",N($H553),0))</f>
        <v/>
      </c>
      <c r="O553" s="108">
        <f>IF($B553="","",IF($E553="Lễ",N($H553),0))</f>
        <v/>
      </c>
    </row>
    <row r="554" ht="15" customHeight="1" s="63">
      <c r="A554" s="85">
        <f>IF($B554="","",ROW()-5)</f>
        <v/>
      </c>
      <c r="B554" s="97" t="n"/>
      <c r="C554" s="96">
        <f>IF($B554="","",IFERROR(INDEX(DM_NHAN_SU!$C$6:$C$155,MATCH($B554,DM_NHAN_SU!$B$6:$B$155,0)),"SAI MÃ NV"))</f>
        <v/>
      </c>
      <c r="D554" s="86" t="n"/>
      <c r="E554" s="103">
        <f>IF(OR($B554="",$D554=""),"",IF(COUNTIF(THAM_SO_CC!$F$10:$F$40,$D554)&gt;0,"Lễ",IF(IF(THAM_SO_CC!$B$12="T7+CN",WEEKDAY($D554,2)&gt;=6,WEEKDAY($D554,2)=7),"Nghỉ tuần","Ngày thường")))</f>
        <v/>
      </c>
      <c r="F554" s="107" t="n"/>
      <c r="G554" s="107" t="n"/>
      <c r="H554" s="107" t="n"/>
      <c r="I554" s="81" t="n"/>
      <c r="J554" s="108">
        <f>IF($B554="","",IF($E554="Ngày thường",N($G554),0))</f>
        <v/>
      </c>
      <c r="K554" s="108">
        <f>IF($B554="","",IF($E554="Nghỉ tuần",N($G554),0))</f>
        <v/>
      </c>
      <c r="L554" s="108">
        <f>IF($B554="","",IF($E554="Lễ",N($G554),0))</f>
        <v/>
      </c>
      <c r="M554" s="108">
        <f>IF($B554="","",IF($E554="Ngày thường",N($H554),0))</f>
        <v/>
      </c>
      <c r="N554" s="108">
        <f>IF($B554="","",IF($E554="Nghỉ tuần",N($H554),0))</f>
        <v/>
      </c>
      <c r="O554" s="108">
        <f>IF($B554="","",IF($E554="Lễ",N($H554),0))</f>
        <v/>
      </c>
    </row>
    <row r="555" ht="15" customHeight="1" s="63">
      <c r="A555" s="85">
        <f>IF($B555="","",ROW()-5)</f>
        <v/>
      </c>
      <c r="B555" s="97" t="n"/>
      <c r="C555" s="96">
        <f>IF($B555="","",IFERROR(INDEX(DM_NHAN_SU!$C$6:$C$155,MATCH($B555,DM_NHAN_SU!$B$6:$B$155,0)),"SAI MÃ NV"))</f>
        <v/>
      </c>
      <c r="D555" s="86" t="n"/>
      <c r="E555" s="103">
        <f>IF(OR($B555="",$D555=""),"",IF(COUNTIF(THAM_SO_CC!$F$10:$F$40,$D555)&gt;0,"Lễ",IF(IF(THAM_SO_CC!$B$12="T7+CN",WEEKDAY($D555,2)&gt;=6,WEEKDAY($D555,2)=7),"Nghỉ tuần","Ngày thường")))</f>
        <v/>
      </c>
      <c r="F555" s="107" t="n"/>
      <c r="G555" s="107" t="n"/>
      <c r="H555" s="107" t="n"/>
      <c r="I555" s="81" t="n"/>
      <c r="J555" s="108">
        <f>IF($B555="","",IF($E555="Ngày thường",N($G555),0))</f>
        <v/>
      </c>
      <c r="K555" s="108">
        <f>IF($B555="","",IF($E555="Nghỉ tuần",N($G555),0))</f>
        <v/>
      </c>
      <c r="L555" s="108">
        <f>IF($B555="","",IF($E555="Lễ",N($G555),0))</f>
        <v/>
      </c>
      <c r="M555" s="108">
        <f>IF($B555="","",IF($E555="Ngày thường",N($H555),0))</f>
        <v/>
      </c>
      <c r="N555" s="108">
        <f>IF($B555="","",IF($E555="Nghỉ tuần",N($H555),0))</f>
        <v/>
      </c>
      <c r="O555" s="108">
        <f>IF($B555="","",IF($E555="Lễ",N($H555),0))</f>
        <v/>
      </c>
    </row>
    <row r="556" ht="15" customHeight="1" s="63">
      <c r="A556" s="85">
        <f>IF($B556="","",ROW()-5)</f>
        <v/>
      </c>
      <c r="B556" s="97" t="n"/>
      <c r="C556" s="96">
        <f>IF($B556="","",IFERROR(INDEX(DM_NHAN_SU!$C$6:$C$155,MATCH($B556,DM_NHAN_SU!$B$6:$B$155,0)),"SAI MÃ NV"))</f>
        <v/>
      </c>
      <c r="D556" s="86" t="n"/>
      <c r="E556" s="103">
        <f>IF(OR($B556="",$D556=""),"",IF(COUNTIF(THAM_SO_CC!$F$10:$F$40,$D556)&gt;0,"Lễ",IF(IF(THAM_SO_CC!$B$12="T7+CN",WEEKDAY($D556,2)&gt;=6,WEEKDAY($D556,2)=7),"Nghỉ tuần","Ngày thường")))</f>
        <v/>
      </c>
      <c r="F556" s="107" t="n"/>
      <c r="G556" s="107" t="n"/>
      <c r="H556" s="107" t="n"/>
      <c r="I556" s="81" t="n"/>
      <c r="J556" s="108">
        <f>IF($B556="","",IF($E556="Ngày thường",N($G556),0))</f>
        <v/>
      </c>
      <c r="K556" s="108">
        <f>IF($B556="","",IF($E556="Nghỉ tuần",N($G556),0))</f>
        <v/>
      </c>
      <c r="L556" s="108">
        <f>IF($B556="","",IF($E556="Lễ",N($G556),0))</f>
        <v/>
      </c>
      <c r="M556" s="108">
        <f>IF($B556="","",IF($E556="Ngày thường",N($H556),0))</f>
        <v/>
      </c>
      <c r="N556" s="108">
        <f>IF($B556="","",IF($E556="Nghỉ tuần",N($H556),0))</f>
        <v/>
      </c>
      <c r="O556" s="108">
        <f>IF($B556="","",IF($E556="Lễ",N($H556),0))</f>
        <v/>
      </c>
    </row>
    <row r="557" ht="15" customHeight="1" s="63">
      <c r="A557" s="85">
        <f>IF($B557="","",ROW()-5)</f>
        <v/>
      </c>
      <c r="B557" s="97" t="n"/>
      <c r="C557" s="96">
        <f>IF($B557="","",IFERROR(INDEX(DM_NHAN_SU!$C$6:$C$155,MATCH($B557,DM_NHAN_SU!$B$6:$B$155,0)),"SAI MÃ NV"))</f>
        <v/>
      </c>
      <c r="D557" s="86" t="n"/>
      <c r="E557" s="103">
        <f>IF(OR($B557="",$D557=""),"",IF(COUNTIF(THAM_SO_CC!$F$10:$F$40,$D557)&gt;0,"Lễ",IF(IF(THAM_SO_CC!$B$12="T7+CN",WEEKDAY($D557,2)&gt;=6,WEEKDAY($D557,2)=7),"Nghỉ tuần","Ngày thường")))</f>
        <v/>
      </c>
      <c r="F557" s="107" t="n"/>
      <c r="G557" s="107" t="n"/>
      <c r="H557" s="107" t="n"/>
      <c r="I557" s="81" t="n"/>
      <c r="J557" s="108">
        <f>IF($B557="","",IF($E557="Ngày thường",N($G557),0))</f>
        <v/>
      </c>
      <c r="K557" s="108">
        <f>IF($B557="","",IF($E557="Nghỉ tuần",N($G557),0))</f>
        <v/>
      </c>
      <c r="L557" s="108">
        <f>IF($B557="","",IF($E557="Lễ",N($G557),0))</f>
        <v/>
      </c>
      <c r="M557" s="108">
        <f>IF($B557="","",IF($E557="Ngày thường",N($H557),0))</f>
        <v/>
      </c>
      <c r="N557" s="108">
        <f>IF($B557="","",IF($E557="Nghỉ tuần",N($H557),0))</f>
        <v/>
      </c>
      <c r="O557" s="108">
        <f>IF($B557="","",IF($E557="Lễ",N($H557),0))</f>
        <v/>
      </c>
    </row>
    <row r="558" ht="15" customHeight="1" s="63">
      <c r="A558" s="85">
        <f>IF($B558="","",ROW()-5)</f>
        <v/>
      </c>
      <c r="B558" s="97" t="n"/>
      <c r="C558" s="96">
        <f>IF($B558="","",IFERROR(INDEX(DM_NHAN_SU!$C$6:$C$155,MATCH($B558,DM_NHAN_SU!$B$6:$B$155,0)),"SAI MÃ NV"))</f>
        <v/>
      </c>
      <c r="D558" s="86" t="n"/>
      <c r="E558" s="103">
        <f>IF(OR($B558="",$D558=""),"",IF(COUNTIF(THAM_SO_CC!$F$10:$F$40,$D558)&gt;0,"Lễ",IF(IF(THAM_SO_CC!$B$12="T7+CN",WEEKDAY($D558,2)&gt;=6,WEEKDAY($D558,2)=7),"Nghỉ tuần","Ngày thường")))</f>
        <v/>
      </c>
      <c r="F558" s="107" t="n"/>
      <c r="G558" s="107" t="n"/>
      <c r="H558" s="107" t="n"/>
      <c r="I558" s="81" t="n"/>
      <c r="J558" s="108">
        <f>IF($B558="","",IF($E558="Ngày thường",N($G558),0))</f>
        <v/>
      </c>
      <c r="K558" s="108">
        <f>IF($B558="","",IF($E558="Nghỉ tuần",N($G558),0))</f>
        <v/>
      </c>
      <c r="L558" s="108">
        <f>IF($B558="","",IF($E558="Lễ",N($G558),0))</f>
        <v/>
      </c>
      <c r="M558" s="108">
        <f>IF($B558="","",IF($E558="Ngày thường",N($H558),0))</f>
        <v/>
      </c>
      <c r="N558" s="108">
        <f>IF($B558="","",IF($E558="Nghỉ tuần",N($H558),0))</f>
        <v/>
      </c>
      <c r="O558" s="108">
        <f>IF($B558="","",IF($E558="Lễ",N($H558),0))</f>
        <v/>
      </c>
    </row>
    <row r="559" ht="15" customHeight="1" s="63">
      <c r="A559" s="85">
        <f>IF($B559="","",ROW()-5)</f>
        <v/>
      </c>
      <c r="B559" s="97" t="n"/>
      <c r="C559" s="96">
        <f>IF($B559="","",IFERROR(INDEX(DM_NHAN_SU!$C$6:$C$155,MATCH($B559,DM_NHAN_SU!$B$6:$B$155,0)),"SAI MÃ NV"))</f>
        <v/>
      </c>
      <c r="D559" s="86" t="n"/>
      <c r="E559" s="103">
        <f>IF(OR($B559="",$D559=""),"",IF(COUNTIF(THAM_SO_CC!$F$10:$F$40,$D559)&gt;0,"Lễ",IF(IF(THAM_SO_CC!$B$12="T7+CN",WEEKDAY($D559,2)&gt;=6,WEEKDAY($D559,2)=7),"Nghỉ tuần","Ngày thường")))</f>
        <v/>
      </c>
      <c r="F559" s="107" t="n"/>
      <c r="G559" s="107" t="n"/>
      <c r="H559" s="107" t="n"/>
      <c r="I559" s="81" t="n"/>
      <c r="J559" s="108">
        <f>IF($B559="","",IF($E559="Ngày thường",N($G559),0))</f>
        <v/>
      </c>
      <c r="K559" s="108">
        <f>IF($B559="","",IF($E559="Nghỉ tuần",N($G559),0))</f>
        <v/>
      </c>
      <c r="L559" s="108">
        <f>IF($B559="","",IF($E559="Lễ",N($G559),0))</f>
        <v/>
      </c>
      <c r="M559" s="108">
        <f>IF($B559="","",IF($E559="Ngày thường",N($H559),0))</f>
        <v/>
      </c>
      <c r="N559" s="108">
        <f>IF($B559="","",IF($E559="Nghỉ tuần",N($H559),0))</f>
        <v/>
      </c>
      <c r="O559" s="108">
        <f>IF($B559="","",IF($E559="Lễ",N($H559),0))</f>
        <v/>
      </c>
    </row>
    <row r="560" ht="15" customHeight="1" s="63">
      <c r="A560" s="85">
        <f>IF($B560="","",ROW()-5)</f>
        <v/>
      </c>
      <c r="B560" s="97" t="n"/>
      <c r="C560" s="96">
        <f>IF($B560="","",IFERROR(INDEX(DM_NHAN_SU!$C$6:$C$155,MATCH($B560,DM_NHAN_SU!$B$6:$B$155,0)),"SAI MÃ NV"))</f>
        <v/>
      </c>
      <c r="D560" s="86" t="n"/>
      <c r="E560" s="103">
        <f>IF(OR($B560="",$D560=""),"",IF(COUNTIF(THAM_SO_CC!$F$10:$F$40,$D560)&gt;0,"Lễ",IF(IF(THAM_SO_CC!$B$12="T7+CN",WEEKDAY($D560,2)&gt;=6,WEEKDAY($D560,2)=7),"Nghỉ tuần","Ngày thường")))</f>
        <v/>
      </c>
      <c r="F560" s="107" t="n"/>
      <c r="G560" s="107" t="n"/>
      <c r="H560" s="107" t="n"/>
      <c r="I560" s="81" t="n"/>
      <c r="J560" s="108">
        <f>IF($B560="","",IF($E560="Ngày thường",N($G560),0))</f>
        <v/>
      </c>
      <c r="K560" s="108">
        <f>IF($B560="","",IF($E560="Nghỉ tuần",N($G560),0))</f>
        <v/>
      </c>
      <c r="L560" s="108">
        <f>IF($B560="","",IF($E560="Lễ",N($G560),0))</f>
        <v/>
      </c>
      <c r="M560" s="108">
        <f>IF($B560="","",IF($E560="Ngày thường",N($H560),0))</f>
        <v/>
      </c>
      <c r="N560" s="108">
        <f>IF($B560="","",IF($E560="Nghỉ tuần",N($H560),0))</f>
        <v/>
      </c>
      <c r="O560" s="108">
        <f>IF($B560="","",IF($E560="Lễ",N($H560),0))</f>
        <v/>
      </c>
    </row>
    <row r="561" ht="15" customHeight="1" s="63">
      <c r="A561" s="85">
        <f>IF($B561="","",ROW()-5)</f>
        <v/>
      </c>
      <c r="B561" s="97" t="n"/>
      <c r="C561" s="96">
        <f>IF($B561="","",IFERROR(INDEX(DM_NHAN_SU!$C$6:$C$155,MATCH($B561,DM_NHAN_SU!$B$6:$B$155,0)),"SAI MÃ NV"))</f>
        <v/>
      </c>
      <c r="D561" s="86" t="n"/>
      <c r="E561" s="103">
        <f>IF(OR($B561="",$D561=""),"",IF(COUNTIF(THAM_SO_CC!$F$10:$F$40,$D561)&gt;0,"Lễ",IF(IF(THAM_SO_CC!$B$12="T7+CN",WEEKDAY($D561,2)&gt;=6,WEEKDAY($D561,2)=7),"Nghỉ tuần","Ngày thường")))</f>
        <v/>
      </c>
      <c r="F561" s="107" t="n"/>
      <c r="G561" s="107" t="n"/>
      <c r="H561" s="107" t="n"/>
      <c r="I561" s="81" t="n"/>
      <c r="J561" s="108">
        <f>IF($B561="","",IF($E561="Ngày thường",N($G561),0))</f>
        <v/>
      </c>
      <c r="K561" s="108">
        <f>IF($B561="","",IF($E561="Nghỉ tuần",N($G561),0))</f>
        <v/>
      </c>
      <c r="L561" s="108">
        <f>IF($B561="","",IF($E561="Lễ",N($G561),0))</f>
        <v/>
      </c>
      <c r="M561" s="108">
        <f>IF($B561="","",IF($E561="Ngày thường",N($H561),0))</f>
        <v/>
      </c>
      <c r="N561" s="108">
        <f>IF($B561="","",IF($E561="Nghỉ tuần",N($H561),0))</f>
        <v/>
      </c>
      <c r="O561" s="108">
        <f>IF($B561="","",IF($E561="Lễ",N($H561),0))</f>
        <v/>
      </c>
    </row>
    <row r="562" ht="15" customHeight="1" s="63">
      <c r="A562" s="85">
        <f>IF($B562="","",ROW()-5)</f>
        <v/>
      </c>
      <c r="B562" s="97" t="n"/>
      <c r="C562" s="96">
        <f>IF($B562="","",IFERROR(INDEX(DM_NHAN_SU!$C$6:$C$155,MATCH($B562,DM_NHAN_SU!$B$6:$B$155,0)),"SAI MÃ NV"))</f>
        <v/>
      </c>
      <c r="D562" s="86" t="n"/>
      <c r="E562" s="103">
        <f>IF(OR($B562="",$D562=""),"",IF(COUNTIF(THAM_SO_CC!$F$10:$F$40,$D562)&gt;0,"Lễ",IF(IF(THAM_SO_CC!$B$12="T7+CN",WEEKDAY($D562,2)&gt;=6,WEEKDAY($D562,2)=7),"Nghỉ tuần","Ngày thường")))</f>
        <v/>
      </c>
      <c r="F562" s="107" t="n"/>
      <c r="G562" s="107" t="n"/>
      <c r="H562" s="107" t="n"/>
      <c r="I562" s="81" t="n"/>
      <c r="J562" s="108">
        <f>IF($B562="","",IF($E562="Ngày thường",N($G562),0))</f>
        <v/>
      </c>
      <c r="K562" s="108">
        <f>IF($B562="","",IF($E562="Nghỉ tuần",N($G562),0))</f>
        <v/>
      </c>
      <c r="L562" s="108">
        <f>IF($B562="","",IF($E562="Lễ",N($G562),0))</f>
        <v/>
      </c>
      <c r="M562" s="108">
        <f>IF($B562="","",IF($E562="Ngày thường",N($H562),0))</f>
        <v/>
      </c>
      <c r="N562" s="108">
        <f>IF($B562="","",IF($E562="Nghỉ tuần",N($H562),0))</f>
        <v/>
      </c>
      <c r="O562" s="108">
        <f>IF($B562="","",IF($E562="Lễ",N($H562),0))</f>
        <v/>
      </c>
    </row>
    <row r="563" ht="15" customHeight="1" s="63">
      <c r="A563" s="85">
        <f>IF($B563="","",ROW()-5)</f>
        <v/>
      </c>
      <c r="B563" s="97" t="n"/>
      <c r="C563" s="96">
        <f>IF($B563="","",IFERROR(INDEX(DM_NHAN_SU!$C$6:$C$155,MATCH($B563,DM_NHAN_SU!$B$6:$B$155,0)),"SAI MÃ NV"))</f>
        <v/>
      </c>
      <c r="D563" s="86" t="n"/>
      <c r="E563" s="103">
        <f>IF(OR($B563="",$D563=""),"",IF(COUNTIF(THAM_SO_CC!$F$10:$F$40,$D563)&gt;0,"Lễ",IF(IF(THAM_SO_CC!$B$12="T7+CN",WEEKDAY($D563,2)&gt;=6,WEEKDAY($D563,2)=7),"Nghỉ tuần","Ngày thường")))</f>
        <v/>
      </c>
      <c r="F563" s="107" t="n"/>
      <c r="G563" s="107" t="n"/>
      <c r="H563" s="107" t="n"/>
      <c r="I563" s="81" t="n"/>
      <c r="J563" s="108">
        <f>IF($B563="","",IF($E563="Ngày thường",N($G563),0))</f>
        <v/>
      </c>
      <c r="K563" s="108">
        <f>IF($B563="","",IF($E563="Nghỉ tuần",N($G563),0))</f>
        <v/>
      </c>
      <c r="L563" s="108">
        <f>IF($B563="","",IF($E563="Lễ",N($G563),0))</f>
        <v/>
      </c>
      <c r="M563" s="108">
        <f>IF($B563="","",IF($E563="Ngày thường",N($H563),0))</f>
        <v/>
      </c>
      <c r="N563" s="108">
        <f>IF($B563="","",IF($E563="Nghỉ tuần",N($H563),0))</f>
        <v/>
      </c>
      <c r="O563" s="108">
        <f>IF($B563="","",IF($E563="Lễ",N($H563),0))</f>
        <v/>
      </c>
    </row>
    <row r="564" ht="15" customHeight="1" s="63">
      <c r="A564" s="85">
        <f>IF($B564="","",ROW()-5)</f>
        <v/>
      </c>
      <c r="B564" s="97" t="n"/>
      <c r="C564" s="96">
        <f>IF($B564="","",IFERROR(INDEX(DM_NHAN_SU!$C$6:$C$155,MATCH($B564,DM_NHAN_SU!$B$6:$B$155,0)),"SAI MÃ NV"))</f>
        <v/>
      </c>
      <c r="D564" s="86" t="n"/>
      <c r="E564" s="103">
        <f>IF(OR($B564="",$D564=""),"",IF(COUNTIF(THAM_SO_CC!$F$10:$F$40,$D564)&gt;0,"Lễ",IF(IF(THAM_SO_CC!$B$12="T7+CN",WEEKDAY($D564,2)&gt;=6,WEEKDAY($D564,2)=7),"Nghỉ tuần","Ngày thường")))</f>
        <v/>
      </c>
      <c r="F564" s="107" t="n"/>
      <c r="G564" s="107" t="n"/>
      <c r="H564" s="107" t="n"/>
      <c r="I564" s="81" t="n"/>
      <c r="J564" s="108">
        <f>IF($B564="","",IF($E564="Ngày thường",N($G564),0))</f>
        <v/>
      </c>
      <c r="K564" s="108">
        <f>IF($B564="","",IF($E564="Nghỉ tuần",N($G564),0))</f>
        <v/>
      </c>
      <c r="L564" s="108">
        <f>IF($B564="","",IF($E564="Lễ",N($G564),0))</f>
        <v/>
      </c>
      <c r="M564" s="108">
        <f>IF($B564="","",IF($E564="Ngày thường",N($H564),0))</f>
        <v/>
      </c>
      <c r="N564" s="108">
        <f>IF($B564="","",IF($E564="Nghỉ tuần",N($H564),0))</f>
        <v/>
      </c>
      <c r="O564" s="108">
        <f>IF($B564="","",IF($E564="Lễ",N($H564),0))</f>
        <v/>
      </c>
    </row>
    <row r="565" ht="15" customHeight="1" s="63">
      <c r="A565" s="85">
        <f>IF($B565="","",ROW()-5)</f>
        <v/>
      </c>
      <c r="B565" s="97" t="n"/>
      <c r="C565" s="96">
        <f>IF($B565="","",IFERROR(INDEX(DM_NHAN_SU!$C$6:$C$155,MATCH($B565,DM_NHAN_SU!$B$6:$B$155,0)),"SAI MÃ NV"))</f>
        <v/>
      </c>
      <c r="D565" s="86" t="n"/>
      <c r="E565" s="103">
        <f>IF(OR($B565="",$D565=""),"",IF(COUNTIF(THAM_SO_CC!$F$10:$F$40,$D565)&gt;0,"Lễ",IF(IF(THAM_SO_CC!$B$12="T7+CN",WEEKDAY($D565,2)&gt;=6,WEEKDAY($D565,2)=7),"Nghỉ tuần","Ngày thường")))</f>
        <v/>
      </c>
      <c r="F565" s="107" t="n"/>
      <c r="G565" s="107" t="n"/>
      <c r="H565" s="107" t="n"/>
      <c r="I565" s="81" t="n"/>
      <c r="J565" s="108">
        <f>IF($B565="","",IF($E565="Ngày thường",N($G565),0))</f>
        <v/>
      </c>
      <c r="K565" s="108">
        <f>IF($B565="","",IF($E565="Nghỉ tuần",N($G565),0))</f>
        <v/>
      </c>
      <c r="L565" s="108">
        <f>IF($B565="","",IF($E565="Lễ",N($G565),0))</f>
        <v/>
      </c>
      <c r="M565" s="108">
        <f>IF($B565="","",IF($E565="Ngày thường",N($H565),0))</f>
        <v/>
      </c>
      <c r="N565" s="108">
        <f>IF($B565="","",IF($E565="Nghỉ tuần",N($H565),0))</f>
        <v/>
      </c>
      <c r="O565" s="108">
        <f>IF($B565="","",IF($E565="Lễ",N($H565),0))</f>
        <v/>
      </c>
    </row>
    <row r="566" ht="15" customHeight="1" s="63">
      <c r="A566" s="85">
        <f>IF($B566="","",ROW()-5)</f>
        <v/>
      </c>
      <c r="B566" s="97" t="n"/>
      <c r="C566" s="96">
        <f>IF($B566="","",IFERROR(INDEX(DM_NHAN_SU!$C$6:$C$155,MATCH($B566,DM_NHAN_SU!$B$6:$B$155,0)),"SAI MÃ NV"))</f>
        <v/>
      </c>
      <c r="D566" s="86" t="n"/>
      <c r="E566" s="103">
        <f>IF(OR($B566="",$D566=""),"",IF(COUNTIF(THAM_SO_CC!$F$10:$F$40,$D566)&gt;0,"Lễ",IF(IF(THAM_SO_CC!$B$12="T7+CN",WEEKDAY($D566,2)&gt;=6,WEEKDAY($D566,2)=7),"Nghỉ tuần","Ngày thường")))</f>
        <v/>
      </c>
      <c r="F566" s="107" t="n"/>
      <c r="G566" s="107" t="n"/>
      <c r="H566" s="107" t="n"/>
      <c r="I566" s="81" t="n"/>
      <c r="J566" s="108">
        <f>IF($B566="","",IF($E566="Ngày thường",N($G566),0))</f>
        <v/>
      </c>
      <c r="K566" s="108">
        <f>IF($B566="","",IF($E566="Nghỉ tuần",N($G566),0))</f>
        <v/>
      </c>
      <c r="L566" s="108">
        <f>IF($B566="","",IF($E566="Lễ",N($G566),0))</f>
        <v/>
      </c>
      <c r="M566" s="108">
        <f>IF($B566="","",IF($E566="Ngày thường",N($H566),0))</f>
        <v/>
      </c>
      <c r="N566" s="108">
        <f>IF($B566="","",IF($E566="Nghỉ tuần",N($H566),0))</f>
        <v/>
      </c>
      <c r="O566" s="108">
        <f>IF($B566="","",IF($E566="Lễ",N($H566),0))</f>
        <v/>
      </c>
    </row>
    <row r="567" ht="15" customHeight="1" s="63">
      <c r="A567" s="85">
        <f>IF($B567="","",ROW()-5)</f>
        <v/>
      </c>
      <c r="B567" s="97" t="n"/>
      <c r="C567" s="96">
        <f>IF($B567="","",IFERROR(INDEX(DM_NHAN_SU!$C$6:$C$155,MATCH($B567,DM_NHAN_SU!$B$6:$B$155,0)),"SAI MÃ NV"))</f>
        <v/>
      </c>
      <c r="D567" s="86" t="n"/>
      <c r="E567" s="103">
        <f>IF(OR($B567="",$D567=""),"",IF(COUNTIF(THAM_SO_CC!$F$10:$F$40,$D567)&gt;0,"Lễ",IF(IF(THAM_SO_CC!$B$12="T7+CN",WEEKDAY($D567,2)&gt;=6,WEEKDAY($D567,2)=7),"Nghỉ tuần","Ngày thường")))</f>
        <v/>
      </c>
      <c r="F567" s="107" t="n"/>
      <c r="G567" s="107" t="n"/>
      <c r="H567" s="107" t="n"/>
      <c r="I567" s="81" t="n"/>
      <c r="J567" s="108">
        <f>IF($B567="","",IF($E567="Ngày thường",N($G567),0))</f>
        <v/>
      </c>
      <c r="K567" s="108">
        <f>IF($B567="","",IF($E567="Nghỉ tuần",N($G567),0))</f>
        <v/>
      </c>
      <c r="L567" s="108">
        <f>IF($B567="","",IF($E567="Lễ",N($G567),0))</f>
        <v/>
      </c>
      <c r="M567" s="108">
        <f>IF($B567="","",IF($E567="Ngày thường",N($H567),0))</f>
        <v/>
      </c>
      <c r="N567" s="108">
        <f>IF($B567="","",IF($E567="Nghỉ tuần",N($H567),0))</f>
        <v/>
      </c>
      <c r="O567" s="108">
        <f>IF($B567="","",IF($E567="Lễ",N($H567),0))</f>
        <v/>
      </c>
    </row>
    <row r="568" ht="15" customHeight="1" s="63">
      <c r="A568" s="85">
        <f>IF($B568="","",ROW()-5)</f>
        <v/>
      </c>
      <c r="B568" s="97" t="n"/>
      <c r="C568" s="96">
        <f>IF($B568="","",IFERROR(INDEX(DM_NHAN_SU!$C$6:$C$155,MATCH($B568,DM_NHAN_SU!$B$6:$B$155,0)),"SAI MÃ NV"))</f>
        <v/>
      </c>
      <c r="D568" s="86" t="n"/>
      <c r="E568" s="103">
        <f>IF(OR($B568="",$D568=""),"",IF(COUNTIF(THAM_SO_CC!$F$10:$F$40,$D568)&gt;0,"Lễ",IF(IF(THAM_SO_CC!$B$12="T7+CN",WEEKDAY($D568,2)&gt;=6,WEEKDAY($D568,2)=7),"Nghỉ tuần","Ngày thường")))</f>
        <v/>
      </c>
      <c r="F568" s="107" t="n"/>
      <c r="G568" s="107" t="n"/>
      <c r="H568" s="107" t="n"/>
      <c r="I568" s="81" t="n"/>
      <c r="J568" s="108">
        <f>IF($B568="","",IF($E568="Ngày thường",N($G568),0))</f>
        <v/>
      </c>
      <c r="K568" s="108">
        <f>IF($B568="","",IF($E568="Nghỉ tuần",N($G568),0))</f>
        <v/>
      </c>
      <c r="L568" s="108">
        <f>IF($B568="","",IF($E568="Lễ",N($G568),0))</f>
        <v/>
      </c>
      <c r="M568" s="108">
        <f>IF($B568="","",IF($E568="Ngày thường",N($H568),0))</f>
        <v/>
      </c>
      <c r="N568" s="108">
        <f>IF($B568="","",IF($E568="Nghỉ tuần",N($H568),0))</f>
        <v/>
      </c>
      <c r="O568" s="108">
        <f>IF($B568="","",IF($E568="Lễ",N($H568),0))</f>
        <v/>
      </c>
    </row>
    <row r="569" ht="15" customHeight="1" s="63">
      <c r="A569" s="85">
        <f>IF($B569="","",ROW()-5)</f>
        <v/>
      </c>
      <c r="B569" s="97" t="n"/>
      <c r="C569" s="96">
        <f>IF($B569="","",IFERROR(INDEX(DM_NHAN_SU!$C$6:$C$155,MATCH($B569,DM_NHAN_SU!$B$6:$B$155,0)),"SAI MÃ NV"))</f>
        <v/>
      </c>
      <c r="D569" s="86" t="n"/>
      <c r="E569" s="103">
        <f>IF(OR($B569="",$D569=""),"",IF(COUNTIF(THAM_SO_CC!$F$10:$F$40,$D569)&gt;0,"Lễ",IF(IF(THAM_SO_CC!$B$12="T7+CN",WEEKDAY($D569,2)&gt;=6,WEEKDAY($D569,2)=7),"Nghỉ tuần","Ngày thường")))</f>
        <v/>
      </c>
      <c r="F569" s="107" t="n"/>
      <c r="G569" s="107" t="n"/>
      <c r="H569" s="107" t="n"/>
      <c r="I569" s="81" t="n"/>
      <c r="J569" s="108">
        <f>IF($B569="","",IF($E569="Ngày thường",N($G569),0))</f>
        <v/>
      </c>
      <c r="K569" s="108">
        <f>IF($B569="","",IF($E569="Nghỉ tuần",N($G569),0))</f>
        <v/>
      </c>
      <c r="L569" s="108">
        <f>IF($B569="","",IF($E569="Lễ",N($G569),0))</f>
        <v/>
      </c>
      <c r="M569" s="108">
        <f>IF($B569="","",IF($E569="Ngày thường",N($H569),0))</f>
        <v/>
      </c>
      <c r="N569" s="108">
        <f>IF($B569="","",IF($E569="Nghỉ tuần",N($H569),0))</f>
        <v/>
      </c>
      <c r="O569" s="108">
        <f>IF($B569="","",IF($E569="Lễ",N($H569),0))</f>
        <v/>
      </c>
    </row>
    <row r="570" ht="15" customHeight="1" s="63">
      <c r="A570" s="85">
        <f>IF($B570="","",ROW()-5)</f>
        <v/>
      </c>
      <c r="B570" s="97" t="n"/>
      <c r="C570" s="96">
        <f>IF($B570="","",IFERROR(INDEX(DM_NHAN_SU!$C$6:$C$155,MATCH($B570,DM_NHAN_SU!$B$6:$B$155,0)),"SAI MÃ NV"))</f>
        <v/>
      </c>
      <c r="D570" s="86" t="n"/>
      <c r="E570" s="103">
        <f>IF(OR($B570="",$D570=""),"",IF(COUNTIF(THAM_SO_CC!$F$10:$F$40,$D570)&gt;0,"Lễ",IF(IF(THAM_SO_CC!$B$12="T7+CN",WEEKDAY($D570,2)&gt;=6,WEEKDAY($D570,2)=7),"Nghỉ tuần","Ngày thường")))</f>
        <v/>
      </c>
      <c r="F570" s="107" t="n"/>
      <c r="G570" s="107" t="n"/>
      <c r="H570" s="107" t="n"/>
      <c r="I570" s="81" t="n"/>
      <c r="J570" s="108">
        <f>IF($B570="","",IF($E570="Ngày thường",N($G570),0))</f>
        <v/>
      </c>
      <c r="K570" s="108">
        <f>IF($B570="","",IF($E570="Nghỉ tuần",N($G570),0))</f>
        <v/>
      </c>
      <c r="L570" s="108">
        <f>IF($B570="","",IF($E570="Lễ",N($G570),0))</f>
        <v/>
      </c>
      <c r="M570" s="108">
        <f>IF($B570="","",IF($E570="Ngày thường",N($H570),0))</f>
        <v/>
      </c>
      <c r="N570" s="108">
        <f>IF($B570="","",IF($E570="Nghỉ tuần",N($H570),0))</f>
        <v/>
      </c>
      <c r="O570" s="108">
        <f>IF($B570="","",IF($E570="Lễ",N($H570),0))</f>
        <v/>
      </c>
    </row>
    <row r="571" ht="15" customHeight="1" s="63">
      <c r="A571" s="85">
        <f>IF($B571="","",ROW()-5)</f>
        <v/>
      </c>
      <c r="B571" s="97" t="n"/>
      <c r="C571" s="96">
        <f>IF($B571="","",IFERROR(INDEX(DM_NHAN_SU!$C$6:$C$155,MATCH($B571,DM_NHAN_SU!$B$6:$B$155,0)),"SAI MÃ NV"))</f>
        <v/>
      </c>
      <c r="D571" s="86" t="n"/>
      <c r="E571" s="103">
        <f>IF(OR($B571="",$D571=""),"",IF(COUNTIF(THAM_SO_CC!$F$10:$F$40,$D571)&gt;0,"Lễ",IF(IF(THAM_SO_CC!$B$12="T7+CN",WEEKDAY($D571,2)&gt;=6,WEEKDAY($D571,2)=7),"Nghỉ tuần","Ngày thường")))</f>
        <v/>
      </c>
      <c r="F571" s="107" t="n"/>
      <c r="G571" s="107" t="n"/>
      <c r="H571" s="107" t="n"/>
      <c r="I571" s="81" t="n"/>
      <c r="J571" s="108">
        <f>IF($B571="","",IF($E571="Ngày thường",N($G571),0))</f>
        <v/>
      </c>
      <c r="K571" s="108">
        <f>IF($B571="","",IF($E571="Nghỉ tuần",N($G571),0))</f>
        <v/>
      </c>
      <c r="L571" s="108">
        <f>IF($B571="","",IF($E571="Lễ",N($G571),0))</f>
        <v/>
      </c>
      <c r="M571" s="108">
        <f>IF($B571="","",IF($E571="Ngày thường",N($H571),0))</f>
        <v/>
      </c>
      <c r="N571" s="108">
        <f>IF($B571="","",IF($E571="Nghỉ tuần",N($H571),0))</f>
        <v/>
      </c>
      <c r="O571" s="108">
        <f>IF($B571="","",IF($E571="Lễ",N($H571),0))</f>
        <v/>
      </c>
    </row>
    <row r="572" ht="15" customHeight="1" s="63">
      <c r="A572" s="85">
        <f>IF($B572="","",ROW()-5)</f>
        <v/>
      </c>
      <c r="B572" s="97" t="n"/>
      <c r="C572" s="96">
        <f>IF($B572="","",IFERROR(INDEX(DM_NHAN_SU!$C$6:$C$155,MATCH($B572,DM_NHAN_SU!$B$6:$B$155,0)),"SAI MÃ NV"))</f>
        <v/>
      </c>
      <c r="D572" s="86" t="n"/>
      <c r="E572" s="103">
        <f>IF(OR($B572="",$D572=""),"",IF(COUNTIF(THAM_SO_CC!$F$10:$F$40,$D572)&gt;0,"Lễ",IF(IF(THAM_SO_CC!$B$12="T7+CN",WEEKDAY($D572,2)&gt;=6,WEEKDAY($D572,2)=7),"Nghỉ tuần","Ngày thường")))</f>
        <v/>
      </c>
      <c r="F572" s="107" t="n"/>
      <c r="G572" s="107" t="n"/>
      <c r="H572" s="107" t="n"/>
      <c r="I572" s="81" t="n"/>
      <c r="J572" s="108">
        <f>IF($B572="","",IF($E572="Ngày thường",N($G572),0))</f>
        <v/>
      </c>
      <c r="K572" s="108">
        <f>IF($B572="","",IF($E572="Nghỉ tuần",N($G572),0))</f>
        <v/>
      </c>
      <c r="L572" s="108">
        <f>IF($B572="","",IF($E572="Lễ",N($G572),0))</f>
        <v/>
      </c>
      <c r="M572" s="108">
        <f>IF($B572="","",IF($E572="Ngày thường",N($H572),0))</f>
        <v/>
      </c>
      <c r="N572" s="108">
        <f>IF($B572="","",IF($E572="Nghỉ tuần",N($H572),0))</f>
        <v/>
      </c>
      <c r="O572" s="108">
        <f>IF($B572="","",IF($E572="Lễ",N($H572),0))</f>
        <v/>
      </c>
    </row>
    <row r="573" ht="15" customHeight="1" s="63">
      <c r="A573" s="85">
        <f>IF($B573="","",ROW()-5)</f>
        <v/>
      </c>
      <c r="B573" s="97" t="n"/>
      <c r="C573" s="96">
        <f>IF($B573="","",IFERROR(INDEX(DM_NHAN_SU!$C$6:$C$155,MATCH($B573,DM_NHAN_SU!$B$6:$B$155,0)),"SAI MÃ NV"))</f>
        <v/>
      </c>
      <c r="D573" s="86" t="n"/>
      <c r="E573" s="103">
        <f>IF(OR($B573="",$D573=""),"",IF(COUNTIF(THAM_SO_CC!$F$10:$F$40,$D573)&gt;0,"Lễ",IF(IF(THAM_SO_CC!$B$12="T7+CN",WEEKDAY($D573,2)&gt;=6,WEEKDAY($D573,2)=7),"Nghỉ tuần","Ngày thường")))</f>
        <v/>
      </c>
      <c r="F573" s="107" t="n"/>
      <c r="G573" s="107" t="n"/>
      <c r="H573" s="107" t="n"/>
      <c r="I573" s="81" t="n"/>
      <c r="J573" s="108">
        <f>IF($B573="","",IF($E573="Ngày thường",N($G573),0))</f>
        <v/>
      </c>
      <c r="K573" s="108">
        <f>IF($B573="","",IF($E573="Nghỉ tuần",N($G573),0))</f>
        <v/>
      </c>
      <c r="L573" s="108">
        <f>IF($B573="","",IF($E573="Lễ",N($G573),0))</f>
        <v/>
      </c>
      <c r="M573" s="108">
        <f>IF($B573="","",IF($E573="Ngày thường",N($H573),0))</f>
        <v/>
      </c>
      <c r="N573" s="108">
        <f>IF($B573="","",IF($E573="Nghỉ tuần",N($H573),0))</f>
        <v/>
      </c>
      <c r="O573" s="108">
        <f>IF($B573="","",IF($E573="Lễ",N($H573),0))</f>
        <v/>
      </c>
    </row>
    <row r="574" ht="15" customHeight="1" s="63">
      <c r="A574" s="85">
        <f>IF($B574="","",ROW()-5)</f>
        <v/>
      </c>
      <c r="B574" s="97" t="n"/>
      <c r="C574" s="96">
        <f>IF($B574="","",IFERROR(INDEX(DM_NHAN_SU!$C$6:$C$155,MATCH($B574,DM_NHAN_SU!$B$6:$B$155,0)),"SAI MÃ NV"))</f>
        <v/>
      </c>
      <c r="D574" s="86" t="n"/>
      <c r="E574" s="103">
        <f>IF(OR($B574="",$D574=""),"",IF(COUNTIF(THAM_SO_CC!$F$10:$F$40,$D574)&gt;0,"Lễ",IF(IF(THAM_SO_CC!$B$12="T7+CN",WEEKDAY($D574,2)&gt;=6,WEEKDAY($D574,2)=7),"Nghỉ tuần","Ngày thường")))</f>
        <v/>
      </c>
      <c r="F574" s="107" t="n"/>
      <c r="G574" s="107" t="n"/>
      <c r="H574" s="107" t="n"/>
      <c r="I574" s="81" t="n"/>
      <c r="J574" s="108">
        <f>IF($B574="","",IF($E574="Ngày thường",N($G574),0))</f>
        <v/>
      </c>
      <c r="K574" s="108">
        <f>IF($B574="","",IF($E574="Nghỉ tuần",N($G574),0))</f>
        <v/>
      </c>
      <c r="L574" s="108">
        <f>IF($B574="","",IF($E574="Lễ",N($G574),0))</f>
        <v/>
      </c>
      <c r="M574" s="108">
        <f>IF($B574="","",IF($E574="Ngày thường",N($H574),0))</f>
        <v/>
      </c>
      <c r="N574" s="108">
        <f>IF($B574="","",IF($E574="Nghỉ tuần",N($H574),0))</f>
        <v/>
      </c>
      <c r="O574" s="108">
        <f>IF($B574="","",IF($E574="Lễ",N($H574),0))</f>
        <v/>
      </c>
    </row>
    <row r="575" ht="15" customHeight="1" s="63">
      <c r="A575" s="85">
        <f>IF($B575="","",ROW()-5)</f>
        <v/>
      </c>
      <c r="B575" s="97" t="n"/>
      <c r="C575" s="96">
        <f>IF($B575="","",IFERROR(INDEX(DM_NHAN_SU!$C$6:$C$155,MATCH($B575,DM_NHAN_SU!$B$6:$B$155,0)),"SAI MÃ NV"))</f>
        <v/>
      </c>
      <c r="D575" s="86" t="n"/>
      <c r="E575" s="103">
        <f>IF(OR($B575="",$D575=""),"",IF(COUNTIF(THAM_SO_CC!$F$10:$F$40,$D575)&gt;0,"Lễ",IF(IF(THAM_SO_CC!$B$12="T7+CN",WEEKDAY($D575,2)&gt;=6,WEEKDAY($D575,2)=7),"Nghỉ tuần","Ngày thường")))</f>
        <v/>
      </c>
      <c r="F575" s="107" t="n"/>
      <c r="G575" s="107" t="n"/>
      <c r="H575" s="107" t="n"/>
      <c r="I575" s="81" t="n"/>
      <c r="J575" s="108">
        <f>IF($B575="","",IF($E575="Ngày thường",N($G575),0))</f>
        <v/>
      </c>
      <c r="K575" s="108">
        <f>IF($B575="","",IF($E575="Nghỉ tuần",N($G575),0))</f>
        <v/>
      </c>
      <c r="L575" s="108">
        <f>IF($B575="","",IF($E575="Lễ",N($G575),0))</f>
        <v/>
      </c>
      <c r="M575" s="108">
        <f>IF($B575="","",IF($E575="Ngày thường",N($H575),0))</f>
        <v/>
      </c>
      <c r="N575" s="108">
        <f>IF($B575="","",IF($E575="Nghỉ tuần",N($H575),0))</f>
        <v/>
      </c>
      <c r="O575" s="108">
        <f>IF($B575="","",IF($E575="Lễ",N($H575),0))</f>
        <v/>
      </c>
    </row>
    <row r="576" ht="15" customHeight="1" s="63">
      <c r="A576" s="85">
        <f>IF($B576="","",ROW()-5)</f>
        <v/>
      </c>
      <c r="B576" s="97" t="n"/>
      <c r="C576" s="96">
        <f>IF($B576="","",IFERROR(INDEX(DM_NHAN_SU!$C$6:$C$155,MATCH($B576,DM_NHAN_SU!$B$6:$B$155,0)),"SAI MÃ NV"))</f>
        <v/>
      </c>
      <c r="D576" s="86" t="n"/>
      <c r="E576" s="103">
        <f>IF(OR($B576="",$D576=""),"",IF(COUNTIF(THAM_SO_CC!$F$10:$F$40,$D576)&gt;0,"Lễ",IF(IF(THAM_SO_CC!$B$12="T7+CN",WEEKDAY($D576,2)&gt;=6,WEEKDAY($D576,2)=7),"Nghỉ tuần","Ngày thường")))</f>
        <v/>
      </c>
      <c r="F576" s="107" t="n"/>
      <c r="G576" s="107" t="n"/>
      <c r="H576" s="107" t="n"/>
      <c r="I576" s="81" t="n"/>
      <c r="J576" s="108">
        <f>IF($B576="","",IF($E576="Ngày thường",N($G576),0))</f>
        <v/>
      </c>
      <c r="K576" s="108">
        <f>IF($B576="","",IF($E576="Nghỉ tuần",N($G576),0))</f>
        <v/>
      </c>
      <c r="L576" s="108">
        <f>IF($B576="","",IF($E576="Lễ",N($G576),0))</f>
        <v/>
      </c>
      <c r="M576" s="108">
        <f>IF($B576="","",IF($E576="Ngày thường",N($H576),0))</f>
        <v/>
      </c>
      <c r="N576" s="108">
        <f>IF($B576="","",IF($E576="Nghỉ tuần",N($H576),0))</f>
        <v/>
      </c>
      <c r="O576" s="108">
        <f>IF($B576="","",IF($E576="Lễ",N($H576),0))</f>
        <v/>
      </c>
    </row>
    <row r="577" ht="15" customHeight="1" s="63">
      <c r="A577" s="85">
        <f>IF($B577="","",ROW()-5)</f>
        <v/>
      </c>
      <c r="B577" s="97" t="n"/>
      <c r="C577" s="96">
        <f>IF($B577="","",IFERROR(INDEX(DM_NHAN_SU!$C$6:$C$155,MATCH($B577,DM_NHAN_SU!$B$6:$B$155,0)),"SAI MÃ NV"))</f>
        <v/>
      </c>
      <c r="D577" s="86" t="n"/>
      <c r="E577" s="103">
        <f>IF(OR($B577="",$D577=""),"",IF(COUNTIF(THAM_SO_CC!$F$10:$F$40,$D577)&gt;0,"Lễ",IF(IF(THAM_SO_CC!$B$12="T7+CN",WEEKDAY($D577,2)&gt;=6,WEEKDAY($D577,2)=7),"Nghỉ tuần","Ngày thường")))</f>
        <v/>
      </c>
      <c r="F577" s="107" t="n"/>
      <c r="G577" s="107" t="n"/>
      <c r="H577" s="107" t="n"/>
      <c r="I577" s="81" t="n"/>
      <c r="J577" s="108">
        <f>IF($B577="","",IF($E577="Ngày thường",N($G577),0))</f>
        <v/>
      </c>
      <c r="K577" s="108">
        <f>IF($B577="","",IF($E577="Nghỉ tuần",N($G577),0))</f>
        <v/>
      </c>
      <c r="L577" s="108">
        <f>IF($B577="","",IF($E577="Lễ",N($G577),0))</f>
        <v/>
      </c>
      <c r="M577" s="108">
        <f>IF($B577="","",IF($E577="Ngày thường",N($H577),0))</f>
        <v/>
      </c>
      <c r="N577" s="108">
        <f>IF($B577="","",IF($E577="Nghỉ tuần",N($H577),0))</f>
        <v/>
      </c>
      <c r="O577" s="108">
        <f>IF($B577="","",IF($E577="Lễ",N($H577),0))</f>
        <v/>
      </c>
    </row>
    <row r="578" ht="15" customHeight="1" s="63">
      <c r="A578" s="85">
        <f>IF($B578="","",ROW()-5)</f>
        <v/>
      </c>
      <c r="B578" s="97" t="n"/>
      <c r="C578" s="96">
        <f>IF($B578="","",IFERROR(INDEX(DM_NHAN_SU!$C$6:$C$155,MATCH($B578,DM_NHAN_SU!$B$6:$B$155,0)),"SAI MÃ NV"))</f>
        <v/>
      </c>
      <c r="D578" s="86" t="n"/>
      <c r="E578" s="103">
        <f>IF(OR($B578="",$D578=""),"",IF(COUNTIF(THAM_SO_CC!$F$10:$F$40,$D578)&gt;0,"Lễ",IF(IF(THAM_SO_CC!$B$12="T7+CN",WEEKDAY($D578,2)&gt;=6,WEEKDAY($D578,2)=7),"Nghỉ tuần","Ngày thường")))</f>
        <v/>
      </c>
      <c r="F578" s="107" t="n"/>
      <c r="G578" s="107" t="n"/>
      <c r="H578" s="107" t="n"/>
      <c r="I578" s="81" t="n"/>
      <c r="J578" s="108">
        <f>IF($B578="","",IF($E578="Ngày thường",N($G578),0))</f>
        <v/>
      </c>
      <c r="K578" s="108">
        <f>IF($B578="","",IF($E578="Nghỉ tuần",N($G578),0))</f>
        <v/>
      </c>
      <c r="L578" s="108">
        <f>IF($B578="","",IF($E578="Lễ",N($G578),0))</f>
        <v/>
      </c>
      <c r="M578" s="108">
        <f>IF($B578="","",IF($E578="Ngày thường",N($H578),0))</f>
        <v/>
      </c>
      <c r="N578" s="108">
        <f>IF($B578="","",IF($E578="Nghỉ tuần",N($H578),0))</f>
        <v/>
      </c>
      <c r="O578" s="108">
        <f>IF($B578="","",IF($E578="Lễ",N($H578),0))</f>
        <v/>
      </c>
    </row>
    <row r="579" ht="15" customHeight="1" s="63">
      <c r="A579" s="85">
        <f>IF($B579="","",ROW()-5)</f>
        <v/>
      </c>
      <c r="B579" s="97" t="n"/>
      <c r="C579" s="96">
        <f>IF($B579="","",IFERROR(INDEX(DM_NHAN_SU!$C$6:$C$155,MATCH($B579,DM_NHAN_SU!$B$6:$B$155,0)),"SAI MÃ NV"))</f>
        <v/>
      </c>
      <c r="D579" s="86" t="n"/>
      <c r="E579" s="103">
        <f>IF(OR($B579="",$D579=""),"",IF(COUNTIF(THAM_SO_CC!$F$10:$F$40,$D579)&gt;0,"Lễ",IF(IF(THAM_SO_CC!$B$12="T7+CN",WEEKDAY($D579,2)&gt;=6,WEEKDAY($D579,2)=7),"Nghỉ tuần","Ngày thường")))</f>
        <v/>
      </c>
      <c r="F579" s="107" t="n"/>
      <c r="G579" s="107" t="n"/>
      <c r="H579" s="107" t="n"/>
      <c r="I579" s="81" t="n"/>
      <c r="J579" s="108">
        <f>IF($B579="","",IF($E579="Ngày thường",N($G579),0))</f>
        <v/>
      </c>
      <c r="K579" s="108">
        <f>IF($B579="","",IF($E579="Nghỉ tuần",N($G579),0))</f>
        <v/>
      </c>
      <c r="L579" s="108">
        <f>IF($B579="","",IF($E579="Lễ",N($G579),0))</f>
        <v/>
      </c>
      <c r="M579" s="108">
        <f>IF($B579="","",IF($E579="Ngày thường",N($H579),0))</f>
        <v/>
      </c>
      <c r="N579" s="108">
        <f>IF($B579="","",IF($E579="Nghỉ tuần",N($H579),0))</f>
        <v/>
      </c>
      <c r="O579" s="108">
        <f>IF($B579="","",IF($E579="Lễ",N($H579),0))</f>
        <v/>
      </c>
    </row>
    <row r="580" ht="15" customHeight="1" s="63">
      <c r="A580" s="85">
        <f>IF($B580="","",ROW()-5)</f>
        <v/>
      </c>
      <c r="B580" s="97" t="n"/>
      <c r="C580" s="96">
        <f>IF($B580="","",IFERROR(INDEX(DM_NHAN_SU!$C$6:$C$155,MATCH($B580,DM_NHAN_SU!$B$6:$B$155,0)),"SAI MÃ NV"))</f>
        <v/>
      </c>
      <c r="D580" s="86" t="n"/>
      <c r="E580" s="103">
        <f>IF(OR($B580="",$D580=""),"",IF(COUNTIF(THAM_SO_CC!$F$10:$F$40,$D580)&gt;0,"Lễ",IF(IF(THAM_SO_CC!$B$12="T7+CN",WEEKDAY($D580,2)&gt;=6,WEEKDAY($D580,2)=7),"Nghỉ tuần","Ngày thường")))</f>
        <v/>
      </c>
      <c r="F580" s="107" t="n"/>
      <c r="G580" s="107" t="n"/>
      <c r="H580" s="107" t="n"/>
      <c r="I580" s="81" t="n"/>
      <c r="J580" s="108">
        <f>IF($B580="","",IF($E580="Ngày thường",N($G580),0))</f>
        <v/>
      </c>
      <c r="K580" s="108">
        <f>IF($B580="","",IF($E580="Nghỉ tuần",N($G580),0))</f>
        <v/>
      </c>
      <c r="L580" s="108">
        <f>IF($B580="","",IF($E580="Lễ",N($G580),0))</f>
        <v/>
      </c>
      <c r="M580" s="108">
        <f>IF($B580="","",IF($E580="Ngày thường",N($H580),0))</f>
        <v/>
      </c>
      <c r="N580" s="108">
        <f>IF($B580="","",IF($E580="Nghỉ tuần",N($H580),0))</f>
        <v/>
      </c>
      <c r="O580" s="108">
        <f>IF($B580="","",IF($E580="Lễ",N($H580),0))</f>
        <v/>
      </c>
    </row>
    <row r="581" ht="15" customHeight="1" s="63">
      <c r="A581" s="85">
        <f>IF($B581="","",ROW()-5)</f>
        <v/>
      </c>
      <c r="B581" s="97" t="n"/>
      <c r="C581" s="96">
        <f>IF($B581="","",IFERROR(INDEX(DM_NHAN_SU!$C$6:$C$155,MATCH($B581,DM_NHAN_SU!$B$6:$B$155,0)),"SAI MÃ NV"))</f>
        <v/>
      </c>
      <c r="D581" s="86" t="n"/>
      <c r="E581" s="103">
        <f>IF(OR($B581="",$D581=""),"",IF(COUNTIF(THAM_SO_CC!$F$10:$F$40,$D581)&gt;0,"Lễ",IF(IF(THAM_SO_CC!$B$12="T7+CN",WEEKDAY($D581,2)&gt;=6,WEEKDAY($D581,2)=7),"Nghỉ tuần","Ngày thường")))</f>
        <v/>
      </c>
      <c r="F581" s="107" t="n"/>
      <c r="G581" s="107" t="n"/>
      <c r="H581" s="107" t="n"/>
      <c r="I581" s="81" t="n"/>
      <c r="J581" s="108">
        <f>IF($B581="","",IF($E581="Ngày thường",N($G581),0))</f>
        <v/>
      </c>
      <c r="K581" s="108">
        <f>IF($B581="","",IF($E581="Nghỉ tuần",N($G581),0))</f>
        <v/>
      </c>
      <c r="L581" s="108">
        <f>IF($B581="","",IF($E581="Lễ",N($G581),0))</f>
        <v/>
      </c>
      <c r="M581" s="108">
        <f>IF($B581="","",IF($E581="Ngày thường",N($H581),0))</f>
        <v/>
      </c>
      <c r="N581" s="108">
        <f>IF($B581="","",IF($E581="Nghỉ tuần",N($H581),0))</f>
        <v/>
      </c>
      <c r="O581" s="108">
        <f>IF($B581="","",IF($E581="Lễ",N($H581),0))</f>
        <v/>
      </c>
    </row>
    <row r="582" ht="15" customHeight="1" s="63">
      <c r="A582" s="85">
        <f>IF($B582="","",ROW()-5)</f>
        <v/>
      </c>
      <c r="B582" s="97" t="n"/>
      <c r="C582" s="96">
        <f>IF($B582="","",IFERROR(INDEX(DM_NHAN_SU!$C$6:$C$155,MATCH($B582,DM_NHAN_SU!$B$6:$B$155,0)),"SAI MÃ NV"))</f>
        <v/>
      </c>
      <c r="D582" s="86" t="n"/>
      <c r="E582" s="103">
        <f>IF(OR($B582="",$D582=""),"",IF(COUNTIF(THAM_SO_CC!$F$10:$F$40,$D582)&gt;0,"Lễ",IF(IF(THAM_SO_CC!$B$12="T7+CN",WEEKDAY($D582,2)&gt;=6,WEEKDAY($D582,2)=7),"Nghỉ tuần","Ngày thường")))</f>
        <v/>
      </c>
      <c r="F582" s="107" t="n"/>
      <c r="G582" s="107" t="n"/>
      <c r="H582" s="107" t="n"/>
      <c r="I582" s="81" t="n"/>
      <c r="J582" s="108">
        <f>IF($B582="","",IF($E582="Ngày thường",N($G582),0))</f>
        <v/>
      </c>
      <c r="K582" s="108">
        <f>IF($B582="","",IF($E582="Nghỉ tuần",N($G582),0))</f>
        <v/>
      </c>
      <c r="L582" s="108">
        <f>IF($B582="","",IF($E582="Lễ",N($G582),0))</f>
        <v/>
      </c>
      <c r="M582" s="108">
        <f>IF($B582="","",IF($E582="Ngày thường",N($H582),0))</f>
        <v/>
      </c>
      <c r="N582" s="108">
        <f>IF($B582="","",IF($E582="Nghỉ tuần",N($H582),0))</f>
        <v/>
      </c>
      <c r="O582" s="108">
        <f>IF($B582="","",IF($E582="Lễ",N($H582),0))</f>
        <v/>
      </c>
    </row>
    <row r="583" ht="15" customHeight="1" s="63">
      <c r="A583" s="85">
        <f>IF($B583="","",ROW()-5)</f>
        <v/>
      </c>
      <c r="B583" s="97" t="n"/>
      <c r="C583" s="96">
        <f>IF($B583="","",IFERROR(INDEX(DM_NHAN_SU!$C$6:$C$155,MATCH($B583,DM_NHAN_SU!$B$6:$B$155,0)),"SAI MÃ NV"))</f>
        <v/>
      </c>
      <c r="D583" s="86" t="n"/>
      <c r="E583" s="103">
        <f>IF(OR($B583="",$D583=""),"",IF(COUNTIF(THAM_SO_CC!$F$10:$F$40,$D583)&gt;0,"Lễ",IF(IF(THAM_SO_CC!$B$12="T7+CN",WEEKDAY($D583,2)&gt;=6,WEEKDAY($D583,2)=7),"Nghỉ tuần","Ngày thường")))</f>
        <v/>
      </c>
      <c r="F583" s="107" t="n"/>
      <c r="G583" s="107" t="n"/>
      <c r="H583" s="107" t="n"/>
      <c r="I583" s="81" t="n"/>
      <c r="J583" s="108">
        <f>IF($B583="","",IF($E583="Ngày thường",N($G583),0))</f>
        <v/>
      </c>
      <c r="K583" s="108">
        <f>IF($B583="","",IF($E583="Nghỉ tuần",N($G583),0))</f>
        <v/>
      </c>
      <c r="L583" s="108">
        <f>IF($B583="","",IF($E583="Lễ",N($G583),0))</f>
        <v/>
      </c>
      <c r="M583" s="108">
        <f>IF($B583="","",IF($E583="Ngày thường",N($H583),0))</f>
        <v/>
      </c>
      <c r="N583" s="108">
        <f>IF($B583="","",IF($E583="Nghỉ tuần",N($H583),0))</f>
        <v/>
      </c>
      <c r="O583" s="108">
        <f>IF($B583="","",IF($E583="Lễ",N($H583),0))</f>
        <v/>
      </c>
    </row>
    <row r="584" ht="15" customHeight="1" s="63">
      <c r="A584" s="85">
        <f>IF($B584="","",ROW()-5)</f>
        <v/>
      </c>
      <c r="B584" s="97" t="n"/>
      <c r="C584" s="96">
        <f>IF($B584="","",IFERROR(INDEX(DM_NHAN_SU!$C$6:$C$155,MATCH($B584,DM_NHAN_SU!$B$6:$B$155,0)),"SAI MÃ NV"))</f>
        <v/>
      </c>
      <c r="D584" s="86" t="n"/>
      <c r="E584" s="103">
        <f>IF(OR($B584="",$D584=""),"",IF(COUNTIF(THAM_SO_CC!$F$10:$F$40,$D584)&gt;0,"Lễ",IF(IF(THAM_SO_CC!$B$12="T7+CN",WEEKDAY($D584,2)&gt;=6,WEEKDAY($D584,2)=7),"Nghỉ tuần","Ngày thường")))</f>
        <v/>
      </c>
      <c r="F584" s="107" t="n"/>
      <c r="G584" s="107" t="n"/>
      <c r="H584" s="107" t="n"/>
      <c r="I584" s="81" t="n"/>
      <c r="J584" s="108">
        <f>IF($B584="","",IF($E584="Ngày thường",N($G584),0))</f>
        <v/>
      </c>
      <c r="K584" s="108">
        <f>IF($B584="","",IF($E584="Nghỉ tuần",N($G584),0))</f>
        <v/>
      </c>
      <c r="L584" s="108">
        <f>IF($B584="","",IF($E584="Lễ",N($G584),0))</f>
        <v/>
      </c>
      <c r="M584" s="108">
        <f>IF($B584="","",IF($E584="Ngày thường",N($H584),0))</f>
        <v/>
      </c>
      <c r="N584" s="108">
        <f>IF($B584="","",IF($E584="Nghỉ tuần",N($H584),0))</f>
        <v/>
      </c>
      <c r="O584" s="108">
        <f>IF($B584="","",IF($E584="Lễ",N($H584),0))</f>
        <v/>
      </c>
    </row>
    <row r="585" ht="15" customHeight="1" s="63">
      <c r="A585" s="85">
        <f>IF($B585="","",ROW()-5)</f>
        <v/>
      </c>
      <c r="B585" s="97" t="n"/>
      <c r="C585" s="96">
        <f>IF($B585="","",IFERROR(INDEX(DM_NHAN_SU!$C$6:$C$155,MATCH($B585,DM_NHAN_SU!$B$6:$B$155,0)),"SAI MÃ NV"))</f>
        <v/>
      </c>
      <c r="D585" s="86" t="n"/>
      <c r="E585" s="103">
        <f>IF(OR($B585="",$D585=""),"",IF(COUNTIF(THAM_SO_CC!$F$10:$F$40,$D585)&gt;0,"Lễ",IF(IF(THAM_SO_CC!$B$12="T7+CN",WEEKDAY($D585,2)&gt;=6,WEEKDAY($D585,2)=7),"Nghỉ tuần","Ngày thường")))</f>
        <v/>
      </c>
      <c r="F585" s="107" t="n"/>
      <c r="G585" s="107" t="n"/>
      <c r="H585" s="107" t="n"/>
      <c r="I585" s="81" t="n"/>
      <c r="J585" s="108">
        <f>IF($B585="","",IF($E585="Ngày thường",N($G585),0))</f>
        <v/>
      </c>
      <c r="K585" s="108">
        <f>IF($B585="","",IF($E585="Nghỉ tuần",N($G585),0))</f>
        <v/>
      </c>
      <c r="L585" s="108">
        <f>IF($B585="","",IF($E585="Lễ",N($G585),0))</f>
        <v/>
      </c>
      <c r="M585" s="108">
        <f>IF($B585="","",IF($E585="Ngày thường",N($H585),0))</f>
        <v/>
      </c>
      <c r="N585" s="108">
        <f>IF($B585="","",IF($E585="Nghỉ tuần",N($H585),0))</f>
        <v/>
      </c>
      <c r="O585" s="108">
        <f>IF($B585="","",IF($E585="Lễ",N($H585),0))</f>
        <v/>
      </c>
    </row>
    <row r="586" ht="15" customHeight="1" s="63">
      <c r="A586" s="85">
        <f>IF($B586="","",ROW()-5)</f>
        <v/>
      </c>
      <c r="B586" s="97" t="n"/>
      <c r="C586" s="96">
        <f>IF($B586="","",IFERROR(INDEX(DM_NHAN_SU!$C$6:$C$155,MATCH($B586,DM_NHAN_SU!$B$6:$B$155,0)),"SAI MÃ NV"))</f>
        <v/>
      </c>
      <c r="D586" s="86" t="n"/>
      <c r="E586" s="103">
        <f>IF(OR($B586="",$D586=""),"",IF(COUNTIF(THAM_SO_CC!$F$10:$F$40,$D586)&gt;0,"Lễ",IF(IF(THAM_SO_CC!$B$12="T7+CN",WEEKDAY($D586,2)&gt;=6,WEEKDAY($D586,2)=7),"Nghỉ tuần","Ngày thường")))</f>
        <v/>
      </c>
      <c r="F586" s="107" t="n"/>
      <c r="G586" s="107" t="n"/>
      <c r="H586" s="107" t="n"/>
      <c r="I586" s="81" t="n"/>
      <c r="J586" s="108">
        <f>IF($B586="","",IF($E586="Ngày thường",N($G586),0))</f>
        <v/>
      </c>
      <c r="K586" s="108">
        <f>IF($B586="","",IF($E586="Nghỉ tuần",N($G586),0))</f>
        <v/>
      </c>
      <c r="L586" s="108">
        <f>IF($B586="","",IF($E586="Lễ",N($G586),0))</f>
        <v/>
      </c>
      <c r="M586" s="108">
        <f>IF($B586="","",IF($E586="Ngày thường",N($H586),0))</f>
        <v/>
      </c>
      <c r="N586" s="108">
        <f>IF($B586="","",IF($E586="Nghỉ tuần",N($H586),0))</f>
        <v/>
      </c>
      <c r="O586" s="108">
        <f>IF($B586="","",IF($E586="Lễ",N($H586),0))</f>
        <v/>
      </c>
    </row>
    <row r="587" ht="15" customHeight="1" s="63">
      <c r="A587" s="85">
        <f>IF($B587="","",ROW()-5)</f>
        <v/>
      </c>
      <c r="B587" s="97" t="n"/>
      <c r="C587" s="96">
        <f>IF($B587="","",IFERROR(INDEX(DM_NHAN_SU!$C$6:$C$155,MATCH($B587,DM_NHAN_SU!$B$6:$B$155,0)),"SAI MÃ NV"))</f>
        <v/>
      </c>
      <c r="D587" s="86" t="n"/>
      <c r="E587" s="103">
        <f>IF(OR($B587="",$D587=""),"",IF(COUNTIF(THAM_SO_CC!$F$10:$F$40,$D587)&gt;0,"Lễ",IF(IF(THAM_SO_CC!$B$12="T7+CN",WEEKDAY($D587,2)&gt;=6,WEEKDAY($D587,2)=7),"Nghỉ tuần","Ngày thường")))</f>
        <v/>
      </c>
      <c r="F587" s="107" t="n"/>
      <c r="G587" s="107" t="n"/>
      <c r="H587" s="107" t="n"/>
      <c r="I587" s="81" t="n"/>
      <c r="J587" s="108">
        <f>IF($B587="","",IF($E587="Ngày thường",N($G587),0))</f>
        <v/>
      </c>
      <c r="K587" s="108">
        <f>IF($B587="","",IF($E587="Nghỉ tuần",N($G587),0))</f>
        <v/>
      </c>
      <c r="L587" s="108">
        <f>IF($B587="","",IF($E587="Lễ",N($G587),0))</f>
        <v/>
      </c>
      <c r="M587" s="108">
        <f>IF($B587="","",IF($E587="Ngày thường",N($H587),0))</f>
        <v/>
      </c>
      <c r="N587" s="108">
        <f>IF($B587="","",IF($E587="Nghỉ tuần",N($H587),0))</f>
        <v/>
      </c>
      <c r="O587" s="108">
        <f>IF($B587="","",IF($E587="Lễ",N($H587),0))</f>
        <v/>
      </c>
    </row>
    <row r="588" ht="15" customHeight="1" s="63">
      <c r="A588" s="85">
        <f>IF($B588="","",ROW()-5)</f>
        <v/>
      </c>
      <c r="B588" s="97" t="n"/>
      <c r="C588" s="96">
        <f>IF($B588="","",IFERROR(INDEX(DM_NHAN_SU!$C$6:$C$155,MATCH($B588,DM_NHAN_SU!$B$6:$B$155,0)),"SAI MÃ NV"))</f>
        <v/>
      </c>
      <c r="D588" s="86" t="n"/>
      <c r="E588" s="103">
        <f>IF(OR($B588="",$D588=""),"",IF(COUNTIF(THAM_SO_CC!$F$10:$F$40,$D588)&gt;0,"Lễ",IF(IF(THAM_SO_CC!$B$12="T7+CN",WEEKDAY($D588,2)&gt;=6,WEEKDAY($D588,2)=7),"Nghỉ tuần","Ngày thường")))</f>
        <v/>
      </c>
      <c r="F588" s="107" t="n"/>
      <c r="G588" s="107" t="n"/>
      <c r="H588" s="107" t="n"/>
      <c r="I588" s="81" t="n"/>
      <c r="J588" s="108">
        <f>IF($B588="","",IF($E588="Ngày thường",N($G588),0))</f>
        <v/>
      </c>
      <c r="K588" s="108">
        <f>IF($B588="","",IF($E588="Nghỉ tuần",N($G588),0))</f>
        <v/>
      </c>
      <c r="L588" s="108">
        <f>IF($B588="","",IF($E588="Lễ",N($G588),0))</f>
        <v/>
      </c>
      <c r="M588" s="108">
        <f>IF($B588="","",IF($E588="Ngày thường",N($H588),0))</f>
        <v/>
      </c>
      <c r="N588" s="108">
        <f>IF($B588="","",IF($E588="Nghỉ tuần",N($H588),0))</f>
        <v/>
      </c>
      <c r="O588" s="108">
        <f>IF($B588="","",IF($E588="Lễ",N($H588),0))</f>
        <v/>
      </c>
    </row>
    <row r="589" ht="15" customHeight="1" s="63">
      <c r="A589" s="85">
        <f>IF($B589="","",ROW()-5)</f>
        <v/>
      </c>
      <c r="B589" s="97" t="n"/>
      <c r="C589" s="96">
        <f>IF($B589="","",IFERROR(INDEX(DM_NHAN_SU!$C$6:$C$155,MATCH($B589,DM_NHAN_SU!$B$6:$B$155,0)),"SAI MÃ NV"))</f>
        <v/>
      </c>
      <c r="D589" s="86" t="n"/>
      <c r="E589" s="103">
        <f>IF(OR($B589="",$D589=""),"",IF(COUNTIF(THAM_SO_CC!$F$10:$F$40,$D589)&gt;0,"Lễ",IF(IF(THAM_SO_CC!$B$12="T7+CN",WEEKDAY($D589,2)&gt;=6,WEEKDAY($D589,2)=7),"Nghỉ tuần","Ngày thường")))</f>
        <v/>
      </c>
      <c r="F589" s="107" t="n"/>
      <c r="G589" s="107" t="n"/>
      <c r="H589" s="107" t="n"/>
      <c r="I589" s="81" t="n"/>
      <c r="J589" s="108">
        <f>IF($B589="","",IF($E589="Ngày thường",N($G589),0))</f>
        <v/>
      </c>
      <c r="K589" s="108">
        <f>IF($B589="","",IF($E589="Nghỉ tuần",N($G589),0))</f>
        <v/>
      </c>
      <c r="L589" s="108">
        <f>IF($B589="","",IF($E589="Lễ",N($G589),0))</f>
        <v/>
      </c>
      <c r="M589" s="108">
        <f>IF($B589="","",IF($E589="Ngày thường",N($H589),0))</f>
        <v/>
      </c>
      <c r="N589" s="108">
        <f>IF($B589="","",IF($E589="Nghỉ tuần",N($H589),0))</f>
        <v/>
      </c>
      <c r="O589" s="108">
        <f>IF($B589="","",IF($E589="Lễ",N($H589),0))</f>
        <v/>
      </c>
    </row>
    <row r="590" ht="15" customHeight="1" s="63">
      <c r="A590" s="85">
        <f>IF($B590="","",ROW()-5)</f>
        <v/>
      </c>
      <c r="B590" s="97" t="n"/>
      <c r="C590" s="96">
        <f>IF($B590="","",IFERROR(INDEX(DM_NHAN_SU!$C$6:$C$155,MATCH($B590,DM_NHAN_SU!$B$6:$B$155,0)),"SAI MÃ NV"))</f>
        <v/>
      </c>
      <c r="D590" s="86" t="n"/>
      <c r="E590" s="103">
        <f>IF(OR($B590="",$D590=""),"",IF(COUNTIF(THAM_SO_CC!$F$10:$F$40,$D590)&gt;0,"Lễ",IF(IF(THAM_SO_CC!$B$12="T7+CN",WEEKDAY($D590,2)&gt;=6,WEEKDAY($D590,2)=7),"Nghỉ tuần","Ngày thường")))</f>
        <v/>
      </c>
      <c r="F590" s="107" t="n"/>
      <c r="G590" s="107" t="n"/>
      <c r="H590" s="107" t="n"/>
      <c r="I590" s="81" t="n"/>
      <c r="J590" s="108">
        <f>IF($B590="","",IF($E590="Ngày thường",N($G590),0))</f>
        <v/>
      </c>
      <c r="K590" s="108">
        <f>IF($B590="","",IF($E590="Nghỉ tuần",N($G590),0))</f>
        <v/>
      </c>
      <c r="L590" s="108">
        <f>IF($B590="","",IF($E590="Lễ",N($G590),0))</f>
        <v/>
      </c>
      <c r="M590" s="108">
        <f>IF($B590="","",IF($E590="Ngày thường",N($H590),0))</f>
        <v/>
      </c>
      <c r="N590" s="108">
        <f>IF($B590="","",IF($E590="Nghỉ tuần",N($H590),0))</f>
        <v/>
      </c>
      <c r="O590" s="108">
        <f>IF($B590="","",IF($E590="Lễ",N($H590),0))</f>
        <v/>
      </c>
    </row>
    <row r="591" ht="15" customHeight="1" s="63">
      <c r="A591" s="85">
        <f>IF($B591="","",ROW()-5)</f>
        <v/>
      </c>
      <c r="B591" s="97" t="n"/>
      <c r="C591" s="96">
        <f>IF($B591="","",IFERROR(INDEX(DM_NHAN_SU!$C$6:$C$155,MATCH($B591,DM_NHAN_SU!$B$6:$B$155,0)),"SAI MÃ NV"))</f>
        <v/>
      </c>
      <c r="D591" s="86" t="n"/>
      <c r="E591" s="103">
        <f>IF(OR($B591="",$D591=""),"",IF(COUNTIF(THAM_SO_CC!$F$10:$F$40,$D591)&gt;0,"Lễ",IF(IF(THAM_SO_CC!$B$12="T7+CN",WEEKDAY($D591,2)&gt;=6,WEEKDAY($D591,2)=7),"Nghỉ tuần","Ngày thường")))</f>
        <v/>
      </c>
      <c r="F591" s="107" t="n"/>
      <c r="G591" s="107" t="n"/>
      <c r="H591" s="107" t="n"/>
      <c r="I591" s="81" t="n"/>
      <c r="J591" s="108">
        <f>IF($B591="","",IF($E591="Ngày thường",N($G591),0))</f>
        <v/>
      </c>
      <c r="K591" s="108">
        <f>IF($B591="","",IF($E591="Nghỉ tuần",N($G591),0))</f>
        <v/>
      </c>
      <c r="L591" s="108">
        <f>IF($B591="","",IF($E591="Lễ",N($G591),0))</f>
        <v/>
      </c>
      <c r="M591" s="108">
        <f>IF($B591="","",IF($E591="Ngày thường",N($H591),0))</f>
        <v/>
      </c>
      <c r="N591" s="108">
        <f>IF($B591="","",IF($E591="Nghỉ tuần",N($H591),0))</f>
        <v/>
      </c>
      <c r="O591" s="108">
        <f>IF($B591="","",IF($E591="Lễ",N($H591),0))</f>
        <v/>
      </c>
    </row>
    <row r="592" ht="15" customHeight="1" s="63">
      <c r="A592" s="85">
        <f>IF($B592="","",ROW()-5)</f>
        <v/>
      </c>
      <c r="B592" s="97" t="n"/>
      <c r="C592" s="96">
        <f>IF($B592="","",IFERROR(INDEX(DM_NHAN_SU!$C$6:$C$155,MATCH($B592,DM_NHAN_SU!$B$6:$B$155,0)),"SAI MÃ NV"))</f>
        <v/>
      </c>
      <c r="D592" s="86" t="n"/>
      <c r="E592" s="103">
        <f>IF(OR($B592="",$D592=""),"",IF(COUNTIF(THAM_SO_CC!$F$10:$F$40,$D592)&gt;0,"Lễ",IF(IF(THAM_SO_CC!$B$12="T7+CN",WEEKDAY($D592,2)&gt;=6,WEEKDAY($D592,2)=7),"Nghỉ tuần","Ngày thường")))</f>
        <v/>
      </c>
      <c r="F592" s="107" t="n"/>
      <c r="G592" s="107" t="n"/>
      <c r="H592" s="107" t="n"/>
      <c r="I592" s="81" t="n"/>
      <c r="J592" s="108">
        <f>IF($B592="","",IF($E592="Ngày thường",N($G592),0))</f>
        <v/>
      </c>
      <c r="K592" s="108">
        <f>IF($B592="","",IF($E592="Nghỉ tuần",N($G592),0))</f>
        <v/>
      </c>
      <c r="L592" s="108">
        <f>IF($B592="","",IF($E592="Lễ",N($G592),0))</f>
        <v/>
      </c>
      <c r="M592" s="108">
        <f>IF($B592="","",IF($E592="Ngày thường",N($H592),0))</f>
        <v/>
      </c>
      <c r="N592" s="108">
        <f>IF($B592="","",IF($E592="Nghỉ tuần",N($H592),0))</f>
        <v/>
      </c>
      <c r="O592" s="108">
        <f>IF($B592="","",IF($E592="Lễ",N($H592),0))</f>
        <v/>
      </c>
    </row>
    <row r="593" ht="15" customHeight="1" s="63">
      <c r="A593" s="85">
        <f>IF($B593="","",ROW()-5)</f>
        <v/>
      </c>
      <c r="B593" s="97" t="n"/>
      <c r="C593" s="96">
        <f>IF($B593="","",IFERROR(INDEX(DM_NHAN_SU!$C$6:$C$155,MATCH($B593,DM_NHAN_SU!$B$6:$B$155,0)),"SAI MÃ NV"))</f>
        <v/>
      </c>
      <c r="D593" s="86" t="n"/>
      <c r="E593" s="103">
        <f>IF(OR($B593="",$D593=""),"",IF(COUNTIF(THAM_SO_CC!$F$10:$F$40,$D593)&gt;0,"Lễ",IF(IF(THAM_SO_CC!$B$12="T7+CN",WEEKDAY($D593,2)&gt;=6,WEEKDAY($D593,2)=7),"Nghỉ tuần","Ngày thường")))</f>
        <v/>
      </c>
      <c r="F593" s="107" t="n"/>
      <c r="G593" s="107" t="n"/>
      <c r="H593" s="107" t="n"/>
      <c r="I593" s="81" t="n"/>
      <c r="J593" s="108">
        <f>IF($B593="","",IF($E593="Ngày thường",N($G593),0))</f>
        <v/>
      </c>
      <c r="K593" s="108">
        <f>IF($B593="","",IF($E593="Nghỉ tuần",N($G593),0))</f>
        <v/>
      </c>
      <c r="L593" s="108">
        <f>IF($B593="","",IF($E593="Lễ",N($G593),0))</f>
        <v/>
      </c>
      <c r="M593" s="108">
        <f>IF($B593="","",IF($E593="Ngày thường",N($H593),0))</f>
        <v/>
      </c>
      <c r="N593" s="108">
        <f>IF($B593="","",IF($E593="Nghỉ tuần",N($H593),0))</f>
        <v/>
      </c>
      <c r="O593" s="108">
        <f>IF($B593="","",IF($E593="Lễ",N($H593),0))</f>
        <v/>
      </c>
    </row>
    <row r="594" ht="15" customHeight="1" s="63">
      <c r="A594" s="85">
        <f>IF($B594="","",ROW()-5)</f>
        <v/>
      </c>
      <c r="B594" s="97" t="n"/>
      <c r="C594" s="96">
        <f>IF($B594="","",IFERROR(INDEX(DM_NHAN_SU!$C$6:$C$155,MATCH($B594,DM_NHAN_SU!$B$6:$B$155,0)),"SAI MÃ NV"))</f>
        <v/>
      </c>
      <c r="D594" s="86" t="n"/>
      <c r="E594" s="103">
        <f>IF(OR($B594="",$D594=""),"",IF(COUNTIF(THAM_SO_CC!$F$10:$F$40,$D594)&gt;0,"Lễ",IF(IF(THAM_SO_CC!$B$12="T7+CN",WEEKDAY($D594,2)&gt;=6,WEEKDAY($D594,2)=7),"Nghỉ tuần","Ngày thường")))</f>
        <v/>
      </c>
      <c r="F594" s="107" t="n"/>
      <c r="G594" s="107" t="n"/>
      <c r="H594" s="107" t="n"/>
      <c r="I594" s="81" t="n"/>
      <c r="J594" s="108">
        <f>IF($B594="","",IF($E594="Ngày thường",N($G594),0))</f>
        <v/>
      </c>
      <c r="K594" s="108">
        <f>IF($B594="","",IF($E594="Nghỉ tuần",N($G594),0))</f>
        <v/>
      </c>
      <c r="L594" s="108">
        <f>IF($B594="","",IF($E594="Lễ",N($G594),0))</f>
        <v/>
      </c>
      <c r="M594" s="108">
        <f>IF($B594="","",IF($E594="Ngày thường",N($H594),0))</f>
        <v/>
      </c>
      <c r="N594" s="108">
        <f>IF($B594="","",IF($E594="Nghỉ tuần",N($H594),0))</f>
        <v/>
      </c>
      <c r="O594" s="108">
        <f>IF($B594="","",IF($E594="Lễ",N($H594),0))</f>
        <v/>
      </c>
    </row>
    <row r="595" ht="15" customHeight="1" s="63">
      <c r="A595" s="85">
        <f>IF($B595="","",ROW()-5)</f>
        <v/>
      </c>
      <c r="B595" s="97" t="n"/>
      <c r="C595" s="96">
        <f>IF($B595="","",IFERROR(INDEX(DM_NHAN_SU!$C$6:$C$155,MATCH($B595,DM_NHAN_SU!$B$6:$B$155,0)),"SAI MÃ NV"))</f>
        <v/>
      </c>
      <c r="D595" s="86" t="n"/>
      <c r="E595" s="103">
        <f>IF(OR($B595="",$D595=""),"",IF(COUNTIF(THAM_SO_CC!$F$10:$F$40,$D595)&gt;0,"Lễ",IF(IF(THAM_SO_CC!$B$12="T7+CN",WEEKDAY($D595,2)&gt;=6,WEEKDAY($D595,2)=7),"Nghỉ tuần","Ngày thường")))</f>
        <v/>
      </c>
      <c r="F595" s="107" t="n"/>
      <c r="G595" s="107" t="n"/>
      <c r="H595" s="107" t="n"/>
      <c r="I595" s="81" t="n"/>
      <c r="J595" s="108">
        <f>IF($B595="","",IF($E595="Ngày thường",N($G595),0))</f>
        <v/>
      </c>
      <c r="K595" s="108">
        <f>IF($B595="","",IF($E595="Nghỉ tuần",N($G595),0))</f>
        <v/>
      </c>
      <c r="L595" s="108">
        <f>IF($B595="","",IF($E595="Lễ",N($G595),0))</f>
        <v/>
      </c>
      <c r="M595" s="108">
        <f>IF($B595="","",IF($E595="Ngày thường",N($H595),0))</f>
        <v/>
      </c>
      <c r="N595" s="108">
        <f>IF($B595="","",IF($E595="Nghỉ tuần",N($H595),0))</f>
        <v/>
      </c>
      <c r="O595" s="108">
        <f>IF($B595="","",IF($E595="Lễ",N($H595),0))</f>
        <v/>
      </c>
    </row>
    <row r="596" ht="15" customHeight="1" s="63">
      <c r="A596" s="85">
        <f>IF($B596="","",ROW()-5)</f>
        <v/>
      </c>
      <c r="B596" s="97" t="n"/>
      <c r="C596" s="96">
        <f>IF($B596="","",IFERROR(INDEX(DM_NHAN_SU!$C$6:$C$155,MATCH($B596,DM_NHAN_SU!$B$6:$B$155,0)),"SAI MÃ NV"))</f>
        <v/>
      </c>
      <c r="D596" s="86" t="n"/>
      <c r="E596" s="103">
        <f>IF(OR($B596="",$D596=""),"",IF(COUNTIF(THAM_SO_CC!$F$10:$F$40,$D596)&gt;0,"Lễ",IF(IF(THAM_SO_CC!$B$12="T7+CN",WEEKDAY($D596,2)&gt;=6,WEEKDAY($D596,2)=7),"Nghỉ tuần","Ngày thường")))</f>
        <v/>
      </c>
      <c r="F596" s="107" t="n"/>
      <c r="G596" s="107" t="n"/>
      <c r="H596" s="107" t="n"/>
      <c r="I596" s="81" t="n"/>
      <c r="J596" s="108">
        <f>IF($B596="","",IF($E596="Ngày thường",N($G596),0))</f>
        <v/>
      </c>
      <c r="K596" s="108">
        <f>IF($B596="","",IF($E596="Nghỉ tuần",N($G596),0))</f>
        <v/>
      </c>
      <c r="L596" s="108">
        <f>IF($B596="","",IF($E596="Lễ",N($G596),0))</f>
        <v/>
      </c>
      <c r="M596" s="108">
        <f>IF($B596="","",IF($E596="Ngày thường",N($H596),0))</f>
        <v/>
      </c>
      <c r="N596" s="108">
        <f>IF($B596="","",IF($E596="Nghỉ tuần",N($H596),0))</f>
        <v/>
      </c>
      <c r="O596" s="108">
        <f>IF($B596="","",IF($E596="Lễ",N($H596),0))</f>
        <v/>
      </c>
    </row>
    <row r="597" ht="15" customHeight="1" s="63">
      <c r="A597" s="85">
        <f>IF($B597="","",ROW()-5)</f>
        <v/>
      </c>
      <c r="B597" s="97" t="n"/>
      <c r="C597" s="96">
        <f>IF($B597="","",IFERROR(INDEX(DM_NHAN_SU!$C$6:$C$155,MATCH($B597,DM_NHAN_SU!$B$6:$B$155,0)),"SAI MÃ NV"))</f>
        <v/>
      </c>
      <c r="D597" s="86" t="n"/>
      <c r="E597" s="103">
        <f>IF(OR($B597="",$D597=""),"",IF(COUNTIF(THAM_SO_CC!$F$10:$F$40,$D597)&gt;0,"Lễ",IF(IF(THAM_SO_CC!$B$12="T7+CN",WEEKDAY($D597,2)&gt;=6,WEEKDAY($D597,2)=7),"Nghỉ tuần","Ngày thường")))</f>
        <v/>
      </c>
      <c r="F597" s="107" t="n"/>
      <c r="G597" s="107" t="n"/>
      <c r="H597" s="107" t="n"/>
      <c r="I597" s="81" t="n"/>
      <c r="J597" s="108">
        <f>IF($B597="","",IF($E597="Ngày thường",N($G597),0))</f>
        <v/>
      </c>
      <c r="K597" s="108">
        <f>IF($B597="","",IF($E597="Nghỉ tuần",N($G597),0))</f>
        <v/>
      </c>
      <c r="L597" s="108">
        <f>IF($B597="","",IF($E597="Lễ",N($G597),0))</f>
        <v/>
      </c>
      <c r="M597" s="108">
        <f>IF($B597="","",IF($E597="Ngày thường",N($H597),0))</f>
        <v/>
      </c>
      <c r="N597" s="108">
        <f>IF($B597="","",IF($E597="Nghỉ tuần",N($H597),0))</f>
        <v/>
      </c>
      <c r="O597" s="108">
        <f>IF($B597="","",IF($E597="Lễ",N($H597),0))</f>
        <v/>
      </c>
    </row>
    <row r="598" ht="15" customHeight="1" s="63">
      <c r="A598" s="85">
        <f>IF($B598="","",ROW()-5)</f>
        <v/>
      </c>
      <c r="B598" s="97" t="n"/>
      <c r="C598" s="96">
        <f>IF($B598="","",IFERROR(INDEX(DM_NHAN_SU!$C$6:$C$155,MATCH($B598,DM_NHAN_SU!$B$6:$B$155,0)),"SAI MÃ NV"))</f>
        <v/>
      </c>
      <c r="D598" s="86" t="n"/>
      <c r="E598" s="103">
        <f>IF(OR($B598="",$D598=""),"",IF(COUNTIF(THAM_SO_CC!$F$10:$F$40,$D598)&gt;0,"Lễ",IF(IF(THAM_SO_CC!$B$12="T7+CN",WEEKDAY($D598,2)&gt;=6,WEEKDAY($D598,2)=7),"Nghỉ tuần","Ngày thường")))</f>
        <v/>
      </c>
      <c r="F598" s="107" t="n"/>
      <c r="G598" s="107" t="n"/>
      <c r="H598" s="107" t="n"/>
      <c r="I598" s="81" t="n"/>
      <c r="J598" s="108">
        <f>IF($B598="","",IF($E598="Ngày thường",N($G598),0))</f>
        <v/>
      </c>
      <c r="K598" s="108">
        <f>IF($B598="","",IF($E598="Nghỉ tuần",N($G598),0))</f>
        <v/>
      </c>
      <c r="L598" s="108">
        <f>IF($B598="","",IF($E598="Lễ",N($G598),0))</f>
        <v/>
      </c>
      <c r="M598" s="108">
        <f>IF($B598="","",IF($E598="Ngày thường",N($H598),0))</f>
        <v/>
      </c>
      <c r="N598" s="108">
        <f>IF($B598="","",IF($E598="Nghỉ tuần",N($H598),0))</f>
        <v/>
      </c>
      <c r="O598" s="108">
        <f>IF($B598="","",IF($E598="Lễ",N($H598),0))</f>
        <v/>
      </c>
    </row>
    <row r="599" ht="15" customHeight="1" s="63">
      <c r="A599" s="85">
        <f>IF($B599="","",ROW()-5)</f>
        <v/>
      </c>
      <c r="B599" s="97" t="n"/>
      <c r="C599" s="96">
        <f>IF($B599="","",IFERROR(INDEX(DM_NHAN_SU!$C$6:$C$155,MATCH($B599,DM_NHAN_SU!$B$6:$B$155,0)),"SAI MÃ NV"))</f>
        <v/>
      </c>
      <c r="D599" s="86" t="n"/>
      <c r="E599" s="103">
        <f>IF(OR($B599="",$D599=""),"",IF(COUNTIF(THAM_SO_CC!$F$10:$F$40,$D599)&gt;0,"Lễ",IF(IF(THAM_SO_CC!$B$12="T7+CN",WEEKDAY($D599,2)&gt;=6,WEEKDAY($D599,2)=7),"Nghỉ tuần","Ngày thường")))</f>
        <v/>
      </c>
      <c r="F599" s="107" t="n"/>
      <c r="G599" s="107" t="n"/>
      <c r="H599" s="107" t="n"/>
      <c r="I599" s="81" t="n"/>
      <c r="J599" s="108">
        <f>IF($B599="","",IF($E599="Ngày thường",N($G599),0))</f>
        <v/>
      </c>
      <c r="K599" s="108">
        <f>IF($B599="","",IF($E599="Nghỉ tuần",N($G599),0))</f>
        <v/>
      </c>
      <c r="L599" s="108">
        <f>IF($B599="","",IF($E599="Lễ",N($G599),0))</f>
        <v/>
      </c>
      <c r="M599" s="108">
        <f>IF($B599="","",IF($E599="Ngày thường",N($H599),0))</f>
        <v/>
      </c>
      <c r="N599" s="108">
        <f>IF($B599="","",IF($E599="Nghỉ tuần",N($H599),0))</f>
        <v/>
      </c>
      <c r="O599" s="108">
        <f>IF($B599="","",IF($E599="Lễ",N($H599),0))</f>
        <v/>
      </c>
    </row>
    <row r="600" ht="15" customHeight="1" s="63">
      <c r="A600" s="85">
        <f>IF($B600="","",ROW()-5)</f>
        <v/>
      </c>
      <c r="B600" s="97" t="n"/>
      <c r="C600" s="96">
        <f>IF($B600="","",IFERROR(INDEX(DM_NHAN_SU!$C$6:$C$155,MATCH($B600,DM_NHAN_SU!$B$6:$B$155,0)),"SAI MÃ NV"))</f>
        <v/>
      </c>
      <c r="D600" s="86" t="n"/>
      <c r="E600" s="103">
        <f>IF(OR($B600="",$D600=""),"",IF(COUNTIF(THAM_SO_CC!$F$10:$F$40,$D600)&gt;0,"Lễ",IF(IF(THAM_SO_CC!$B$12="T7+CN",WEEKDAY($D600,2)&gt;=6,WEEKDAY($D600,2)=7),"Nghỉ tuần","Ngày thường")))</f>
        <v/>
      </c>
      <c r="F600" s="107" t="n"/>
      <c r="G600" s="107" t="n"/>
      <c r="H600" s="107" t="n"/>
      <c r="I600" s="81" t="n"/>
      <c r="J600" s="108">
        <f>IF($B600="","",IF($E600="Ngày thường",N($G600),0))</f>
        <v/>
      </c>
      <c r="K600" s="108">
        <f>IF($B600="","",IF($E600="Nghỉ tuần",N($G600),0))</f>
        <v/>
      </c>
      <c r="L600" s="108">
        <f>IF($B600="","",IF($E600="Lễ",N($G600),0))</f>
        <v/>
      </c>
      <c r="M600" s="108">
        <f>IF($B600="","",IF($E600="Ngày thường",N($H600),0))</f>
        <v/>
      </c>
      <c r="N600" s="108">
        <f>IF($B600="","",IF($E600="Nghỉ tuần",N($H600),0))</f>
        <v/>
      </c>
      <c r="O600" s="108">
        <f>IF($B600="","",IF($E600="Lễ",N($H600),0))</f>
        <v/>
      </c>
    </row>
    <row r="601" ht="15" customHeight="1" s="63">
      <c r="A601" s="85">
        <f>IF($B601="","",ROW()-5)</f>
        <v/>
      </c>
      <c r="B601" s="97" t="n"/>
      <c r="C601" s="96">
        <f>IF($B601="","",IFERROR(INDEX(DM_NHAN_SU!$C$6:$C$155,MATCH($B601,DM_NHAN_SU!$B$6:$B$155,0)),"SAI MÃ NV"))</f>
        <v/>
      </c>
      <c r="D601" s="86" t="n"/>
      <c r="E601" s="103">
        <f>IF(OR($B601="",$D601=""),"",IF(COUNTIF(THAM_SO_CC!$F$10:$F$40,$D601)&gt;0,"Lễ",IF(IF(THAM_SO_CC!$B$12="T7+CN",WEEKDAY($D601,2)&gt;=6,WEEKDAY($D601,2)=7),"Nghỉ tuần","Ngày thường")))</f>
        <v/>
      </c>
      <c r="F601" s="107" t="n"/>
      <c r="G601" s="107" t="n"/>
      <c r="H601" s="107" t="n"/>
      <c r="I601" s="81" t="n"/>
      <c r="J601" s="108">
        <f>IF($B601="","",IF($E601="Ngày thường",N($G601),0))</f>
        <v/>
      </c>
      <c r="K601" s="108">
        <f>IF($B601="","",IF($E601="Nghỉ tuần",N($G601),0))</f>
        <v/>
      </c>
      <c r="L601" s="108">
        <f>IF($B601="","",IF($E601="Lễ",N($G601),0))</f>
        <v/>
      </c>
      <c r="M601" s="108">
        <f>IF($B601="","",IF($E601="Ngày thường",N($H601),0))</f>
        <v/>
      </c>
      <c r="N601" s="108">
        <f>IF($B601="","",IF($E601="Nghỉ tuần",N($H601),0))</f>
        <v/>
      </c>
      <c r="O601" s="108">
        <f>IF($B601="","",IF($E601="Lễ",N($H601),0))</f>
        <v/>
      </c>
    </row>
    <row r="602" ht="15" customHeight="1" s="63">
      <c r="A602" s="85">
        <f>IF($B602="","",ROW()-5)</f>
        <v/>
      </c>
      <c r="B602" s="97" t="n"/>
      <c r="C602" s="96">
        <f>IF($B602="","",IFERROR(INDEX(DM_NHAN_SU!$C$6:$C$155,MATCH($B602,DM_NHAN_SU!$B$6:$B$155,0)),"SAI MÃ NV"))</f>
        <v/>
      </c>
      <c r="D602" s="86" t="n"/>
      <c r="E602" s="103">
        <f>IF(OR($B602="",$D602=""),"",IF(COUNTIF(THAM_SO_CC!$F$10:$F$40,$D602)&gt;0,"Lễ",IF(IF(THAM_SO_CC!$B$12="T7+CN",WEEKDAY($D602,2)&gt;=6,WEEKDAY($D602,2)=7),"Nghỉ tuần","Ngày thường")))</f>
        <v/>
      </c>
      <c r="F602" s="107" t="n"/>
      <c r="G602" s="107" t="n"/>
      <c r="H602" s="107" t="n"/>
      <c r="I602" s="81" t="n"/>
      <c r="J602" s="108">
        <f>IF($B602="","",IF($E602="Ngày thường",N($G602),0))</f>
        <v/>
      </c>
      <c r="K602" s="108">
        <f>IF($B602="","",IF($E602="Nghỉ tuần",N($G602),0))</f>
        <v/>
      </c>
      <c r="L602" s="108">
        <f>IF($B602="","",IF($E602="Lễ",N($G602),0))</f>
        <v/>
      </c>
      <c r="M602" s="108">
        <f>IF($B602="","",IF($E602="Ngày thường",N($H602),0))</f>
        <v/>
      </c>
      <c r="N602" s="108">
        <f>IF($B602="","",IF($E602="Nghỉ tuần",N($H602),0))</f>
        <v/>
      </c>
      <c r="O602" s="108">
        <f>IF($B602="","",IF($E602="Lễ",N($H602),0))</f>
        <v/>
      </c>
    </row>
    <row r="603" ht="15" customHeight="1" s="63">
      <c r="A603" s="85">
        <f>IF($B603="","",ROW()-5)</f>
        <v/>
      </c>
      <c r="B603" s="97" t="n"/>
      <c r="C603" s="96">
        <f>IF($B603="","",IFERROR(INDEX(DM_NHAN_SU!$C$6:$C$155,MATCH($B603,DM_NHAN_SU!$B$6:$B$155,0)),"SAI MÃ NV"))</f>
        <v/>
      </c>
      <c r="D603" s="86" t="n"/>
      <c r="E603" s="103">
        <f>IF(OR($B603="",$D603=""),"",IF(COUNTIF(THAM_SO_CC!$F$10:$F$40,$D603)&gt;0,"Lễ",IF(IF(THAM_SO_CC!$B$12="T7+CN",WEEKDAY($D603,2)&gt;=6,WEEKDAY($D603,2)=7),"Nghỉ tuần","Ngày thường")))</f>
        <v/>
      </c>
      <c r="F603" s="107" t="n"/>
      <c r="G603" s="107" t="n"/>
      <c r="H603" s="107" t="n"/>
      <c r="I603" s="81" t="n"/>
      <c r="J603" s="108">
        <f>IF($B603="","",IF($E603="Ngày thường",N($G603),0))</f>
        <v/>
      </c>
      <c r="K603" s="108">
        <f>IF($B603="","",IF($E603="Nghỉ tuần",N($G603),0))</f>
        <v/>
      </c>
      <c r="L603" s="108">
        <f>IF($B603="","",IF($E603="Lễ",N($G603),0))</f>
        <v/>
      </c>
      <c r="M603" s="108">
        <f>IF($B603="","",IF($E603="Ngày thường",N($H603),0))</f>
        <v/>
      </c>
      <c r="N603" s="108">
        <f>IF($B603="","",IF($E603="Nghỉ tuần",N($H603),0))</f>
        <v/>
      </c>
      <c r="O603" s="108">
        <f>IF($B603="","",IF($E603="Lễ",N($H603),0))</f>
        <v/>
      </c>
    </row>
    <row r="604" ht="15" customHeight="1" s="63">
      <c r="A604" s="85">
        <f>IF($B604="","",ROW()-5)</f>
        <v/>
      </c>
      <c r="B604" s="97" t="n"/>
      <c r="C604" s="96">
        <f>IF($B604="","",IFERROR(INDEX(DM_NHAN_SU!$C$6:$C$155,MATCH($B604,DM_NHAN_SU!$B$6:$B$155,0)),"SAI MÃ NV"))</f>
        <v/>
      </c>
      <c r="D604" s="86" t="n"/>
      <c r="E604" s="103">
        <f>IF(OR($B604="",$D604=""),"",IF(COUNTIF(THAM_SO_CC!$F$10:$F$40,$D604)&gt;0,"Lễ",IF(IF(THAM_SO_CC!$B$12="T7+CN",WEEKDAY($D604,2)&gt;=6,WEEKDAY($D604,2)=7),"Nghỉ tuần","Ngày thường")))</f>
        <v/>
      </c>
      <c r="F604" s="107" t="n"/>
      <c r="G604" s="107" t="n"/>
      <c r="H604" s="107" t="n"/>
      <c r="I604" s="81" t="n"/>
      <c r="J604" s="108">
        <f>IF($B604="","",IF($E604="Ngày thường",N($G604),0))</f>
        <v/>
      </c>
      <c r="K604" s="108">
        <f>IF($B604="","",IF($E604="Nghỉ tuần",N($G604),0))</f>
        <v/>
      </c>
      <c r="L604" s="108">
        <f>IF($B604="","",IF($E604="Lễ",N($G604),0))</f>
        <v/>
      </c>
      <c r="M604" s="108">
        <f>IF($B604="","",IF($E604="Ngày thường",N($H604),0))</f>
        <v/>
      </c>
      <c r="N604" s="108">
        <f>IF($B604="","",IF($E604="Nghỉ tuần",N($H604),0))</f>
        <v/>
      </c>
      <c r="O604" s="108">
        <f>IF($B604="","",IF($E604="Lễ",N($H604),0))</f>
        <v/>
      </c>
    </row>
    <row r="605" ht="15" customHeight="1" s="63">
      <c r="A605" s="85">
        <f>IF($B605="","",ROW()-5)</f>
        <v/>
      </c>
      <c r="B605" s="97" t="n"/>
      <c r="C605" s="96">
        <f>IF($B605="","",IFERROR(INDEX(DM_NHAN_SU!$C$6:$C$155,MATCH($B605,DM_NHAN_SU!$B$6:$B$155,0)),"SAI MÃ NV"))</f>
        <v/>
      </c>
      <c r="D605" s="86" t="n"/>
      <c r="E605" s="103">
        <f>IF(OR($B605="",$D605=""),"",IF(COUNTIF(THAM_SO_CC!$F$10:$F$40,$D605)&gt;0,"Lễ",IF(IF(THAM_SO_CC!$B$12="T7+CN",WEEKDAY($D605,2)&gt;=6,WEEKDAY($D605,2)=7),"Nghỉ tuần","Ngày thường")))</f>
        <v/>
      </c>
      <c r="F605" s="107" t="n"/>
      <c r="G605" s="107" t="n"/>
      <c r="H605" s="107" t="n"/>
      <c r="I605" s="81" t="n"/>
      <c r="J605" s="108">
        <f>IF($B605="","",IF($E605="Ngày thường",N($G605),0))</f>
        <v/>
      </c>
      <c r="K605" s="108">
        <f>IF($B605="","",IF($E605="Nghỉ tuần",N($G605),0))</f>
        <v/>
      </c>
      <c r="L605" s="108">
        <f>IF($B605="","",IF($E605="Lễ",N($G605),0))</f>
        <v/>
      </c>
      <c r="M605" s="108">
        <f>IF($B605="","",IF($E605="Ngày thường",N($H605),0))</f>
        <v/>
      </c>
      <c r="N605" s="108">
        <f>IF($B605="","",IF($E605="Nghỉ tuần",N($H605),0))</f>
        <v/>
      </c>
      <c r="O605" s="108">
        <f>IF($B605="","",IF($E605="Lễ",N($H605),0))</f>
        <v/>
      </c>
    </row>
    <row r="606" ht="15" customHeight="1" s="63">
      <c r="A606" s="85">
        <f>IF($B606="","",ROW()-5)</f>
        <v/>
      </c>
      <c r="B606" s="97" t="n"/>
      <c r="C606" s="96">
        <f>IF($B606="","",IFERROR(INDEX(DM_NHAN_SU!$C$6:$C$155,MATCH($B606,DM_NHAN_SU!$B$6:$B$155,0)),"SAI MÃ NV"))</f>
        <v/>
      </c>
      <c r="D606" s="86" t="n"/>
      <c r="E606" s="103">
        <f>IF(OR($B606="",$D606=""),"",IF(COUNTIF(THAM_SO_CC!$F$10:$F$40,$D606)&gt;0,"Lễ",IF(IF(THAM_SO_CC!$B$12="T7+CN",WEEKDAY($D606,2)&gt;=6,WEEKDAY($D606,2)=7),"Nghỉ tuần","Ngày thường")))</f>
        <v/>
      </c>
      <c r="F606" s="107" t="n"/>
      <c r="G606" s="107" t="n"/>
      <c r="H606" s="107" t="n"/>
      <c r="I606" s="81" t="n"/>
      <c r="J606" s="108">
        <f>IF($B606="","",IF($E606="Ngày thường",N($G606),0))</f>
        <v/>
      </c>
      <c r="K606" s="108">
        <f>IF($B606="","",IF($E606="Nghỉ tuần",N($G606),0))</f>
        <v/>
      </c>
      <c r="L606" s="108">
        <f>IF($B606="","",IF($E606="Lễ",N($G606),0))</f>
        <v/>
      </c>
      <c r="M606" s="108">
        <f>IF($B606="","",IF($E606="Ngày thường",N($H606),0))</f>
        <v/>
      </c>
      <c r="N606" s="108">
        <f>IF($B606="","",IF($E606="Nghỉ tuần",N($H606),0))</f>
        <v/>
      </c>
      <c r="O606" s="108">
        <f>IF($B606="","",IF($E606="Lễ",N($H606),0))</f>
        <v/>
      </c>
    </row>
    <row r="607" ht="15" customHeight="1" s="63">
      <c r="A607" s="85">
        <f>IF($B607="","",ROW()-5)</f>
        <v/>
      </c>
      <c r="B607" s="97" t="n"/>
      <c r="C607" s="96">
        <f>IF($B607="","",IFERROR(INDEX(DM_NHAN_SU!$C$6:$C$155,MATCH($B607,DM_NHAN_SU!$B$6:$B$155,0)),"SAI MÃ NV"))</f>
        <v/>
      </c>
      <c r="D607" s="86" t="n"/>
      <c r="E607" s="103">
        <f>IF(OR($B607="",$D607=""),"",IF(COUNTIF(THAM_SO_CC!$F$10:$F$40,$D607)&gt;0,"Lễ",IF(IF(THAM_SO_CC!$B$12="T7+CN",WEEKDAY($D607,2)&gt;=6,WEEKDAY($D607,2)=7),"Nghỉ tuần","Ngày thường")))</f>
        <v/>
      </c>
      <c r="F607" s="107" t="n"/>
      <c r="G607" s="107" t="n"/>
      <c r="H607" s="107" t="n"/>
      <c r="I607" s="81" t="n"/>
      <c r="J607" s="108">
        <f>IF($B607="","",IF($E607="Ngày thường",N($G607),0))</f>
        <v/>
      </c>
      <c r="K607" s="108">
        <f>IF($B607="","",IF($E607="Nghỉ tuần",N($G607),0))</f>
        <v/>
      </c>
      <c r="L607" s="108">
        <f>IF($B607="","",IF($E607="Lễ",N($G607),0))</f>
        <v/>
      </c>
      <c r="M607" s="108">
        <f>IF($B607="","",IF($E607="Ngày thường",N($H607),0))</f>
        <v/>
      </c>
      <c r="N607" s="108">
        <f>IF($B607="","",IF($E607="Nghỉ tuần",N($H607),0))</f>
        <v/>
      </c>
      <c r="O607" s="108">
        <f>IF($B607="","",IF($E607="Lễ",N($H607),0))</f>
        <v/>
      </c>
    </row>
    <row r="608" ht="15" customHeight="1" s="63">
      <c r="A608" s="85">
        <f>IF($B608="","",ROW()-5)</f>
        <v/>
      </c>
      <c r="B608" s="97" t="n"/>
      <c r="C608" s="96">
        <f>IF($B608="","",IFERROR(INDEX(DM_NHAN_SU!$C$6:$C$155,MATCH($B608,DM_NHAN_SU!$B$6:$B$155,0)),"SAI MÃ NV"))</f>
        <v/>
      </c>
      <c r="D608" s="86" t="n"/>
      <c r="E608" s="103">
        <f>IF(OR($B608="",$D608=""),"",IF(COUNTIF(THAM_SO_CC!$F$10:$F$40,$D608)&gt;0,"Lễ",IF(IF(THAM_SO_CC!$B$12="T7+CN",WEEKDAY($D608,2)&gt;=6,WEEKDAY($D608,2)=7),"Nghỉ tuần","Ngày thường")))</f>
        <v/>
      </c>
      <c r="F608" s="107" t="n"/>
      <c r="G608" s="107" t="n"/>
      <c r="H608" s="107" t="n"/>
      <c r="I608" s="81" t="n"/>
      <c r="J608" s="108">
        <f>IF($B608="","",IF($E608="Ngày thường",N($G608),0))</f>
        <v/>
      </c>
      <c r="K608" s="108">
        <f>IF($B608="","",IF($E608="Nghỉ tuần",N($G608),0))</f>
        <v/>
      </c>
      <c r="L608" s="108">
        <f>IF($B608="","",IF($E608="Lễ",N($G608),0))</f>
        <v/>
      </c>
      <c r="M608" s="108">
        <f>IF($B608="","",IF($E608="Ngày thường",N($H608),0))</f>
        <v/>
      </c>
      <c r="N608" s="108">
        <f>IF($B608="","",IF($E608="Nghỉ tuần",N($H608),0))</f>
        <v/>
      </c>
      <c r="O608" s="108">
        <f>IF($B608="","",IF($E608="Lễ",N($H608),0))</f>
        <v/>
      </c>
    </row>
    <row r="609" ht="15" customHeight="1" s="63">
      <c r="A609" s="85">
        <f>IF($B609="","",ROW()-5)</f>
        <v/>
      </c>
      <c r="B609" s="97" t="n"/>
      <c r="C609" s="96">
        <f>IF($B609="","",IFERROR(INDEX(DM_NHAN_SU!$C$6:$C$155,MATCH($B609,DM_NHAN_SU!$B$6:$B$155,0)),"SAI MÃ NV"))</f>
        <v/>
      </c>
      <c r="D609" s="86" t="n"/>
      <c r="E609" s="103">
        <f>IF(OR($B609="",$D609=""),"",IF(COUNTIF(THAM_SO_CC!$F$10:$F$40,$D609)&gt;0,"Lễ",IF(IF(THAM_SO_CC!$B$12="T7+CN",WEEKDAY($D609,2)&gt;=6,WEEKDAY($D609,2)=7),"Nghỉ tuần","Ngày thường")))</f>
        <v/>
      </c>
      <c r="F609" s="107" t="n"/>
      <c r="G609" s="107" t="n"/>
      <c r="H609" s="107" t="n"/>
      <c r="I609" s="81" t="n"/>
      <c r="J609" s="108">
        <f>IF($B609="","",IF($E609="Ngày thường",N($G609),0))</f>
        <v/>
      </c>
      <c r="K609" s="108">
        <f>IF($B609="","",IF($E609="Nghỉ tuần",N($G609),0))</f>
        <v/>
      </c>
      <c r="L609" s="108">
        <f>IF($B609="","",IF($E609="Lễ",N($G609),0))</f>
        <v/>
      </c>
      <c r="M609" s="108">
        <f>IF($B609="","",IF($E609="Ngày thường",N($H609),0))</f>
        <v/>
      </c>
      <c r="N609" s="108">
        <f>IF($B609="","",IF($E609="Nghỉ tuần",N($H609),0))</f>
        <v/>
      </c>
      <c r="O609" s="108">
        <f>IF($B609="","",IF($E609="Lễ",N($H609),0))</f>
        <v/>
      </c>
    </row>
    <row r="610" ht="15" customHeight="1" s="63">
      <c r="A610" s="85">
        <f>IF($B610="","",ROW()-5)</f>
        <v/>
      </c>
      <c r="B610" s="97" t="n"/>
      <c r="C610" s="96">
        <f>IF($B610="","",IFERROR(INDEX(DM_NHAN_SU!$C$6:$C$155,MATCH($B610,DM_NHAN_SU!$B$6:$B$155,0)),"SAI MÃ NV"))</f>
        <v/>
      </c>
      <c r="D610" s="86" t="n"/>
      <c r="E610" s="103">
        <f>IF(OR($B610="",$D610=""),"",IF(COUNTIF(THAM_SO_CC!$F$10:$F$40,$D610)&gt;0,"Lễ",IF(IF(THAM_SO_CC!$B$12="T7+CN",WEEKDAY($D610,2)&gt;=6,WEEKDAY($D610,2)=7),"Nghỉ tuần","Ngày thường")))</f>
        <v/>
      </c>
      <c r="F610" s="107" t="n"/>
      <c r="G610" s="107" t="n"/>
      <c r="H610" s="107" t="n"/>
      <c r="I610" s="81" t="n"/>
      <c r="J610" s="108">
        <f>IF($B610="","",IF($E610="Ngày thường",N($G610),0))</f>
        <v/>
      </c>
      <c r="K610" s="108">
        <f>IF($B610="","",IF($E610="Nghỉ tuần",N($G610),0))</f>
        <v/>
      </c>
      <c r="L610" s="108">
        <f>IF($B610="","",IF($E610="Lễ",N($G610),0))</f>
        <v/>
      </c>
      <c r="M610" s="108">
        <f>IF($B610="","",IF($E610="Ngày thường",N($H610),0))</f>
        <v/>
      </c>
      <c r="N610" s="108">
        <f>IF($B610="","",IF($E610="Nghỉ tuần",N($H610),0))</f>
        <v/>
      </c>
      <c r="O610" s="108">
        <f>IF($B610="","",IF($E610="Lễ",N($H610),0))</f>
        <v/>
      </c>
    </row>
    <row r="611" ht="15" customHeight="1" s="63">
      <c r="A611" s="85">
        <f>IF($B611="","",ROW()-5)</f>
        <v/>
      </c>
      <c r="B611" s="97" t="n"/>
      <c r="C611" s="96">
        <f>IF($B611="","",IFERROR(INDEX(DM_NHAN_SU!$C$6:$C$155,MATCH($B611,DM_NHAN_SU!$B$6:$B$155,0)),"SAI MÃ NV"))</f>
        <v/>
      </c>
      <c r="D611" s="86" t="n"/>
      <c r="E611" s="103">
        <f>IF(OR($B611="",$D611=""),"",IF(COUNTIF(THAM_SO_CC!$F$10:$F$40,$D611)&gt;0,"Lễ",IF(IF(THAM_SO_CC!$B$12="T7+CN",WEEKDAY($D611,2)&gt;=6,WEEKDAY($D611,2)=7),"Nghỉ tuần","Ngày thường")))</f>
        <v/>
      </c>
      <c r="F611" s="107" t="n"/>
      <c r="G611" s="107" t="n"/>
      <c r="H611" s="107" t="n"/>
      <c r="I611" s="81" t="n"/>
      <c r="J611" s="108">
        <f>IF($B611="","",IF($E611="Ngày thường",N($G611),0))</f>
        <v/>
      </c>
      <c r="K611" s="108">
        <f>IF($B611="","",IF($E611="Nghỉ tuần",N($G611),0))</f>
        <v/>
      </c>
      <c r="L611" s="108">
        <f>IF($B611="","",IF($E611="Lễ",N($G611),0))</f>
        <v/>
      </c>
      <c r="M611" s="108">
        <f>IF($B611="","",IF($E611="Ngày thường",N($H611),0))</f>
        <v/>
      </c>
      <c r="N611" s="108">
        <f>IF($B611="","",IF($E611="Nghỉ tuần",N($H611),0))</f>
        <v/>
      </c>
      <c r="O611" s="108">
        <f>IF($B611="","",IF($E611="Lễ",N($H611),0))</f>
        <v/>
      </c>
    </row>
    <row r="612" ht="15" customHeight="1" s="63">
      <c r="A612" s="85">
        <f>IF($B612="","",ROW()-5)</f>
        <v/>
      </c>
      <c r="B612" s="97" t="n"/>
      <c r="C612" s="96">
        <f>IF($B612="","",IFERROR(INDEX(DM_NHAN_SU!$C$6:$C$155,MATCH($B612,DM_NHAN_SU!$B$6:$B$155,0)),"SAI MÃ NV"))</f>
        <v/>
      </c>
      <c r="D612" s="86" t="n"/>
      <c r="E612" s="103">
        <f>IF(OR($B612="",$D612=""),"",IF(COUNTIF(THAM_SO_CC!$F$10:$F$40,$D612)&gt;0,"Lễ",IF(IF(THAM_SO_CC!$B$12="T7+CN",WEEKDAY($D612,2)&gt;=6,WEEKDAY($D612,2)=7),"Nghỉ tuần","Ngày thường")))</f>
        <v/>
      </c>
      <c r="F612" s="107" t="n"/>
      <c r="G612" s="107" t="n"/>
      <c r="H612" s="107" t="n"/>
      <c r="I612" s="81" t="n"/>
      <c r="J612" s="108">
        <f>IF($B612="","",IF($E612="Ngày thường",N($G612),0))</f>
        <v/>
      </c>
      <c r="K612" s="108">
        <f>IF($B612="","",IF($E612="Nghỉ tuần",N($G612),0))</f>
        <v/>
      </c>
      <c r="L612" s="108">
        <f>IF($B612="","",IF($E612="Lễ",N($G612),0))</f>
        <v/>
      </c>
      <c r="M612" s="108">
        <f>IF($B612="","",IF($E612="Ngày thường",N($H612),0))</f>
        <v/>
      </c>
      <c r="N612" s="108">
        <f>IF($B612="","",IF($E612="Nghỉ tuần",N($H612),0))</f>
        <v/>
      </c>
      <c r="O612" s="108">
        <f>IF($B612="","",IF($E612="Lễ",N($H612),0))</f>
        <v/>
      </c>
    </row>
    <row r="613" ht="15" customHeight="1" s="63">
      <c r="A613" s="85">
        <f>IF($B613="","",ROW()-5)</f>
        <v/>
      </c>
      <c r="B613" s="97" t="n"/>
      <c r="C613" s="96">
        <f>IF($B613="","",IFERROR(INDEX(DM_NHAN_SU!$C$6:$C$155,MATCH($B613,DM_NHAN_SU!$B$6:$B$155,0)),"SAI MÃ NV"))</f>
        <v/>
      </c>
      <c r="D613" s="86" t="n"/>
      <c r="E613" s="103">
        <f>IF(OR($B613="",$D613=""),"",IF(COUNTIF(THAM_SO_CC!$F$10:$F$40,$D613)&gt;0,"Lễ",IF(IF(THAM_SO_CC!$B$12="T7+CN",WEEKDAY($D613,2)&gt;=6,WEEKDAY($D613,2)=7),"Nghỉ tuần","Ngày thường")))</f>
        <v/>
      </c>
      <c r="F613" s="107" t="n"/>
      <c r="G613" s="107" t="n"/>
      <c r="H613" s="107" t="n"/>
      <c r="I613" s="81" t="n"/>
      <c r="J613" s="108">
        <f>IF($B613="","",IF($E613="Ngày thường",N($G613),0))</f>
        <v/>
      </c>
      <c r="K613" s="108">
        <f>IF($B613="","",IF($E613="Nghỉ tuần",N($G613),0))</f>
        <v/>
      </c>
      <c r="L613" s="108">
        <f>IF($B613="","",IF($E613="Lễ",N($G613),0))</f>
        <v/>
      </c>
      <c r="M613" s="108">
        <f>IF($B613="","",IF($E613="Ngày thường",N($H613),0))</f>
        <v/>
      </c>
      <c r="N613" s="108">
        <f>IF($B613="","",IF($E613="Nghỉ tuần",N($H613),0))</f>
        <v/>
      </c>
      <c r="O613" s="108">
        <f>IF($B613="","",IF($E613="Lễ",N($H613),0))</f>
        <v/>
      </c>
    </row>
    <row r="614" ht="15" customHeight="1" s="63">
      <c r="A614" s="85">
        <f>IF($B614="","",ROW()-5)</f>
        <v/>
      </c>
      <c r="B614" s="97" t="n"/>
      <c r="C614" s="96">
        <f>IF($B614="","",IFERROR(INDEX(DM_NHAN_SU!$C$6:$C$155,MATCH($B614,DM_NHAN_SU!$B$6:$B$155,0)),"SAI MÃ NV"))</f>
        <v/>
      </c>
      <c r="D614" s="86" t="n"/>
      <c r="E614" s="103">
        <f>IF(OR($B614="",$D614=""),"",IF(COUNTIF(THAM_SO_CC!$F$10:$F$40,$D614)&gt;0,"Lễ",IF(IF(THAM_SO_CC!$B$12="T7+CN",WEEKDAY($D614,2)&gt;=6,WEEKDAY($D614,2)=7),"Nghỉ tuần","Ngày thường")))</f>
        <v/>
      </c>
      <c r="F614" s="107" t="n"/>
      <c r="G614" s="107" t="n"/>
      <c r="H614" s="107" t="n"/>
      <c r="I614" s="81" t="n"/>
      <c r="J614" s="108">
        <f>IF($B614="","",IF($E614="Ngày thường",N($G614),0))</f>
        <v/>
      </c>
      <c r="K614" s="108">
        <f>IF($B614="","",IF($E614="Nghỉ tuần",N($G614),0))</f>
        <v/>
      </c>
      <c r="L614" s="108">
        <f>IF($B614="","",IF($E614="Lễ",N($G614),0))</f>
        <v/>
      </c>
      <c r="M614" s="108">
        <f>IF($B614="","",IF($E614="Ngày thường",N($H614),0))</f>
        <v/>
      </c>
      <c r="N614" s="108">
        <f>IF($B614="","",IF($E614="Nghỉ tuần",N($H614),0))</f>
        <v/>
      </c>
      <c r="O614" s="108">
        <f>IF($B614="","",IF($E614="Lễ",N($H614),0))</f>
        <v/>
      </c>
    </row>
    <row r="615" ht="15" customHeight="1" s="63">
      <c r="A615" s="85">
        <f>IF($B615="","",ROW()-5)</f>
        <v/>
      </c>
      <c r="B615" s="97" t="n"/>
      <c r="C615" s="96">
        <f>IF($B615="","",IFERROR(INDEX(DM_NHAN_SU!$C$6:$C$155,MATCH($B615,DM_NHAN_SU!$B$6:$B$155,0)),"SAI MÃ NV"))</f>
        <v/>
      </c>
      <c r="D615" s="86" t="n"/>
      <c r="E615" s="103">
        <f>IF(OR($B615="",$D615=""),"",IF(COUNTIF(THAM_SO_CC!$F$10:$F$40,$D615)&gt;0,"Lễ",IF(IF(THAM_SO_CC!$B$12="T7+CN",WEEKDAY($D615,2)&gt;=6,WEEKDAY($D615,2)=7),"Nghỉ tuần","Ngày thường")))</f>
        <v/>
      </c>
      <c r="F615" s="107" t="n"/>
      <c r="G615" s="107" t="n"/>
      <c r="H615" s="107" t="n"/>
      <c r="I615" s="81" t="n"/>
      <c r="J615" s="108">
        <f>IF($B615="","",IF($E615="Ngày thường",N($G615),0))</f>
        <v/>
      </c>
      <c r="K615" s="108">
        <f>IF($B615="","",IF($E615="Nghỉ tuần",N($G615),0))</f>
        <v/>
      </c>
      <c r="L615" s="108">
        <f>IF($B615="","",IF($E615="Lễ",N($G615),0))</f>
        <v/>
      </c>
      <c r="M615" s="108">
        <f>IF($B615="","",IF($E615="Ngày thường",N($H615),0))</f>
        <v/>
      </c>
      <c r="N615" s="108">
        <f>IF($B615="","",IF($E615="Nghỉ tuần",N($H615),0))</f>
        <v/>
      </c>
      <c r="O615" s="108">
        <f>IF($B615="","",IF($E615="Lễ",N($H615),0))</f>
        <v/>
      </c>
    </row>
    <row r="616" ht="15" customHeight="1" s="63">
      <c r="A616" s="85">
        <f>IF($B616="","",ROW()-5)</f>
        <v/>
      </c>
      <c r="B616" s="97" t="n"/>
      <c r="C616" s="96">
        <f>IF($B616="","",IFERROR(INDEX(DM_NHAN_SU!$C$6:$C$155,MATCH($B616,DM_NHAN_SU!$B$6:$B$155,0)),"SAI MÃ NV"))</f>
        <v/>
      </c>
      <c r="D616" s="86" t="n"/>
      <c r="E616" s="103">
        <f>IF(OR($B616="",$D616=""),"",IF(COUNTIF(THAM_SO_CC!$F$10:$F$40,$D616)&gt;0,"Lễ",IF(IF(THAM_SO_CC!$B$12="T7+CN",WEEKDAY($D616,2)&gt;=6,WEEKDAY($D616,2)=7),"Nghỉ tuần","Ngày thường")))</f>
        <v/>
      </c>
      <c r="F616" s="107" t="n"/>
      <c r="G616" s="107" t="n"/>
      <c r="H616" s="107" t="n"/>
      <c r="I616" s="81" t="n"/>
      <c r="J616" s="108">
        <f>IF($B616="","",IF($E616="Ngày thường",N($G616),0))</f>
        <v/>
      </c>
      <c r="K616" s="108">
        <f>IF($B616="","",IF($E616="Nghỉ tuần",N($G616),0))</f>
        <v/>
      </c>
      <c r="L616" s="108">
        <f>IF($B616="","",IF($E616="Lễ",N($G616),0))</f>
        <v/>
      </c>
      <c r="M616" s="108">
        <f>IF($B616="","",IF($E616="Ngày thường",N($H616),0))</f>
        <v/>
      </c>
      <c r="N616" s="108">
        <f>IF($B616="","",IF($E616="Nghỉ tuần",N($H616),0))</f>
        <v/>
      </c>
      <c r="O616" s="108">
        <f>IF($B616="","",IF($E616="Lễ",N($H616),0))</f>
        <v/>
      </c>
    </row>
    <row r="617" ht="15" customHeight="1" s="63">
      <c r="A617" s="85">
        <f>IF($B617="","",ROW()-5)</f>
        <v/>
      </c>
      <c r="B617" s="97" t="n"/>
      <c r="C617" s="96">
        <f>IF($B617="","",IFERROR(INDEX(DM_NHAN_SU!$C$6:$C$155,MATCH($B617,DM_NHAN_SU!$B$6:$B$155,0)),"SAI MÃ NV"))</f>
        <v/>
      </c>
      <c r="D617" s="86" t="n"/>
      <c r="E617" s="103">
        <f>IF(OR($B617="",$D617=""),"",IF(COUNTIF(THAM_SO_CC!$F$10:$F$40,$D617)&gt;0,"Lễ",IF(IF(THAM_SO_CC!$B$12="T7+CN",WEEKDAY($D617,2)&gt;=6,WEEKDAY($D617,2)=7),"Nghỉ tuần","Ngày thường")))</f>
        <v/>
      </c>
      <c r="F617" s="107" t="n"/>
      <c r="G617" s="107" t="n"/>
      <c r="H617" s="107" t="n"/>
      <c r="I617" s="81" t="n"/>
      <c r="J617" s="108">
        <f>IF($B617="","",IF($E617="Ngày thường",N($G617),0))</f>
        <v/>
      </c>
      <c r="K617" s="108">
        <f>IF($B617="","",IF($E617="Nghỉ tuần",N($G617),0))</f>
        <v/>
      </c>
      <c r="L617" s="108">
        <f>IF($B617="","",IF($E617="Lễ",N($G617),0))</f>
        <v/>
      </c>
      <c r="M617" s="108">
        <f>IF($B617="","",IF($E617="Ngày thường",N($H617),0))</f>
        <v/>
      </c>
      <c r="N617" s="108">
        <f>IF($B617="","",IF($E617="Nghỉ tuần",N($H617),0))</f>
        <v/>
      </c>
      <c r="O617" s="108">
        <f>IF($B617="","",IF($E617="Lễ",N($H617),0))</f>
        <v/>
      </c>
    </row>
    <row r="618" ht="15" customHeight="1" s="63">
      <c r="A618" s="85">
        <f>IF($B618="","",ROW()-5)</f>
        <v/>
      </c>
      <c r="B618" s="97" t="n"/>
      <c r="C618" s="96">
        <f>IF($B618="","",IFERROR(INDEX(DM_NHAN_SU!$C$6:$C$155,MATCH($B618,DM_NHAN_SU!$B$6:$B$155,0)),"SAI MÃ NV"))</f>
        <v/>
      </c>
      <c r="D618" s="86" t="n"/>
      <c r="E618" s="103">
        <f>IF(OR($B618="",$D618=""),"",IF(COUNTIF(THAM_SO_CC!$F$10:$F$40,$D618)&gt;0,"Lễ",IF(IF(THAM_SO_CC!$B$12="T7+CN",WEEKDAY($D618,2)&gt;=6,WEEKDAY($D618,2)=7),"Nghỉ tuần","Ngày thường")))</f>
        <v/>
      </c>
      <c r="F618" s="107" t="n"/>
      <c r="G618" s="107" t="n"/>
      <c r="H618" s="107" t="n"/>
      <c r="I618" s="81" t="n"/>
      <c r="J618" s="108">
        <f>IF($B618="","",IF($E618="Ngày thường",N($G618),0))</f>
        <v/>
      </c>
      <c r="K618" s="108">
        <f>IF($B618="","",IF($E618="Nghỉ tuần",N($G618),0))</f>
        <v/>
      </c>
      <c r="L618" s="108">
        <f>IF($B618="","",IF($E618="Lễ",N($G618),0))</f>
        <v/>
      </c>
      <c r="M618" s="108">
        <f>IF($B618="","",IF($E618="Ngày thường",N($H618),0))</f>
        <v/>
      </c>
      <c r="N618" s="108">
        <f>IF($B618="","",IF($E618="Nghỉ tuần",N($H618),0))</f>
        <v/>
      </c>
      <c r="O618" s="108">
        <f>IF($B618="","",IF($E618="Lễ",N($H618),0))</f>
        <v/>
      </c>
    </row>
    <row r="619" ht="15" customHeight="1" s="63">
      <c r="A619" s="85">
        <f>IF($B619="","",ROW()-5)</f>
        <v/>
      </c>
      <c r="B619" s="97" t="n"/>
      <c r="C619" s="96">
        <f>IF($B619="","",IFERROR(INDEX(DM_NHAN_SU!$C$6:$C$155,MATCH($B619,DM_NHAN_SU!$B$6:$B$155,0)),"SAI MÃ NV"))</f>
        <v/>
      </c>
      <c r="D619" s="86" t="n"/>
      <c r="E619" s="103">
        <f>IF(OR($B619="",$D619=""),"",IF(COUNTIF(THAM_SO_CC!$F$10:$F$40,$D619)&gt;0,"Lễ",IF(IF(THAM_SO_CC!$B$12="T7+CN",WEEKDAY($D619,2)&gt;=6,WEEKDAY($D619,2)=7),"Nghỉ tuần","Ngày thường")))</f>
        <v/>
      </c>
      <c r="F619" s="107" t="n"/>
      <c r="G619" s="107" t="n"/>
      <c r="H619" s="107" t="n"/>
      <c r="I619" s="81" t="n"/>
      <c r="J619" s="108">
        <f>IF($B619="","",IF($E619="Ngày thường",N($G619),0))</f>
        <v/>
      </c>
      <c r="K619" s="108">
        <f>IF($B619="","",IF($E619="Nghỉ tuần",N($G619),0))</f>
        <v/>
      </c>
      <c r="L619" s="108">
        <f>IF($B619="","",IF($E619="Lễ",N($G619),0))</f>
        <v/>
      </c>
      <c r="M619" s="108">
        <f>IF($B619="","",IF($E619="Ngày thường",N($H619),0))</f>
        <v/>
      </c>
      <c r="N619" s="108">
        <f>IF($B619="","",IF($E619="Nghỉ tuần",N($H619),0))</f>
        <v/>
      </c>
      <c r="O619" s="108">
        <f>IF($B619="","",IF($E619="Lễ",N($H619),0))</f>
        <v/>
      </c>
    </row>
    <row r="620" ht="15" customHeight="1" s="63">
      <c r="A620" s="85">
        <f>IF($B620="","",ROW()-5)</f>
        <v/>
      </c>
      <c r="B620" s="97" t="n"/>
      <c r="C620" s="96">
        <f>IF($B620="","",IFERROR(INDEX(DM_NHAN_SU!$C$6:$C$155,MATCH($B620,DM_NHAN_SU!$B$6:$B$155,0)),"SAI MÃ NV"))</f>
        <v/>
      </c>
      <c r="D620" s="86" t="n"/>
      <c r="E620" s="103">
        <f>IF(OR($B620="",$D620=""),"",IF(COUNTIF(THAM_SO_CC!$F$10:$F$40,$D620)&gt;0,"Lễ",IF(IF(THAM_SO_CC!$B$12="T7+CN",WEEKDAY($D620,2)&gt;=6,WEEKDAY($D620,2)=7),"Nghỉ tuần","Ngày thường")))</f>
        <v/>
      </c>
      <c r="F620" s="107" t="n"/>
      <c r="G620" s="107" t="n"/>
      <c r="H620" s="107" t="n"/>
      <c r="I620" s="81" t="n"/>
      <c r="J620" s="108">
        <f>IF($B620="","",IF($E620="Ngày thường",N($G620),0))</f>
        <v/>
      </c>
      <c r="K620" s="108">
        <f>IF($B620="","",IF($E620="Nghỉ tuần",N($G620),0))</f>
        <v/>
      </c>
      <c r="L620" s="108">
        <f>IF($B620="","",IF($E620="Lễ",N($G620),0))</f>
        <v/>
      </c>
      <c r="M620" s="108">
        <f>IF($B620="","",IF($E620="Ngày thường",N($H620),0))</f>
        <v/>
      </c>
      <c r="N620" s="108">
        <f>IF($B620="","",IF($E620="Nghỉ tuần",N($H620),0))</f>
        <v/>
      </c>
      <c r="O620" s="108">
        <f>IF($B620="","",IF($E620="Lễ",N($H620),0))</f>
        <v/>
      </c>
    </row>
    <row r="621" ht="15" customHeight="1" s="63">
      <c r="A621" s="85">
        <f>IF($B621="","",ROW()-5)</f>
        <v/>
      </c>
      <c r="B621" s="97" t="n"/>
      <c r="C621" s="96">
        <f>IF($B621="","",IFERROR(INDEX(DM_NHAN_SU!$C$6:$C$155,MATCH($B621,DM_NHAN_SU!$B$6:$B$155,0)),"SAI MÃ NV"))</f>
        <v/>
      </c>
      <c r="D621" s="86" t="n"/>
      <c r="E621" s="103">
        <f>IF(OR($B621="",$D621=""),"",IF(COUNTIF(THAM_SO_CC!$F$10:$F$40,$D621)&gt;0,"Lễ",IF(IF(THAM_SO_CC!$B$12="T7+CN",WEEKDAY($D621,2)&gt;=6,WEEKDAY($D621,2)=7),"Nghỉ tuần","Ngày thường")))</f>
        <v/>
      </c>
      <c r="F621" s="107" t="n"/>
      <c r="G621" s="107" t="n"/>
      <c r="H621" s="107" t="n"/>
      <c r="I621" s="81" t="n"/>
      <c r="J621" s="108">
        <f>IF($B621="","",IF($E621="Ngày thường",N($G621),0))</f>
        <v/>
      </c>
      <c r="K621" s="108">
        <f>IF($B621="","",IF($E621="Nghỉ tuần",N($G621),0))</f>
        <v/>
      </c>
      <c r="L621" s="108">
        <f>IF($B621="","",IF($E621="Lễ",N($G621),0))</f>
        <v/>
      </c>
      <c r="M621" s="108">
        <f>IF($B621="","",IF($E621="Ngày thường",N($H621),0))</f>
        <v/>
      </c>
      <c r="N621" s="108">
        <f>IF($B621="","",IF($E621="Nghỉ tuần",N($H621),0))</f>
        <v/>
      </c>
      <c r="O621" s="108">
        <f>IF($B621="","",IF($E621="Lễ",N($H621),0))</f>
        <v/>
      </c>
    </row>
    <row r="622" ht="15" customHeight="1" s="63">
      <c r="A622" s="85">
        <f>IF($B622="","",ROW()-5)</f>
        <v/>
      </c>
      <c r="B622" s="97" t="n"/>
      <c r="C622" s="96">
        <f>IF($B622="","",IFERROR(INDEX(DM_NHAN_SU!$C$6:$C$155,MATCH($B622,DM_NHAN_SU!$B$6:$B$155,0)),"SAI MÃ NV"))</f>
        <v/>
      </c>
      <c r="D622" s="86" t="n"/>
      <c r="E622" s="103">
        <f>IF(OR($B622="",$D622=""),"",IF(COUNTIF(THAM_SO_CC!$F$10:$F$40,$D622)&gt;0,"Lễ",IF(IF(THAM_SO_CC!$B$12="T7+CN",WEEKDAY($D622,2)&gt;=6,WEEKDAY($D622,2)=7),"Nghỉ tuần","Ngày thường")))</f>
        <v/>
      </c>
      <c r="F622" s="107" t="n"/>
      <c r="G622" s="107" t="n"/>
      <c r="H622" s="107" t="n"/>
      <c r="I622" s="81" t="n"/>
      <c r="J622" s="108">
        <f>IF($B622="","",IF($E622="Ngày thường",N($G622),0))</f>
        <v/>
      </c>
      <c r="K622" s="108">
        <f>IF($B622="","",IF($E622="Nghỉ tuần",N($G622),0))</f>
        <v/>
      </c>
      <c r="L622" s="108">
        <f>IF($B622="","",IF($E622="Lễ",N($G622),0))</f>
        <v/>
      </c>
      <c r="M622" s="108">
        <f>IF($B622="","",IF($E622="Ngày thường",N($H622),0))</f>
        <v/>
      </c>
      <c r="N622" s="108">
        <f>IF($B622="","",IF($E622="Nghỉ tuần",N($H622),0))</f>
        <v/>
      </c>
      <c r="O622" s="108">
        <f>IF($B622="","",IF($E622="Lễ",N($H622),0))</f>
        <v/>
      </c>
    </row>
    <row r="623" ht="15" customHeight="1" s="63">
      <c r="A623" s="85">
        <f>IF($B623="","",ROW()-5)</f>
        <v/>
      </c>
      <c r="B623" s="97" t="n"/>
      <c r="C623" s="96">
        <f>IF($B623="","",IFERROR(INDEX(DM_NHAN_SU!$C$6:$C$155,MATCH($B623,DM_NHAN_SU!$B$6:$B$155,0)),"SAI MÃ NV"))</f>
        <v/>
      </c>
      <c r="D623" s="86" t="n"/>
      <c r="E623" s="103">
        <f>IF(OR($B623="",$D623=""),"",IF(COUNTIF(THAM_SO_CC!$F$10:$F$40,$D623)&gt;0,"Lễ",IF(IF(THAM_SO_CC!$B$12="T7+CN",WEEKDAY($D623,2)&gt;=6,WEEKDAY($D623,2)=7),"Nghỉ tuần","Ngày thường")))</f>
        <v/>
      </c>
      <c r="F623" s="107" t="n"/>
      <c r="G623" s="107" t="n"/>
      <c r="H623" s="107" t="n"/>
      <c r="I623" s="81" t="n"/>
      <c r="J623" s="108">
        <f>IF($B623="","",IF($E623="Ngày thường",N($G623),0))</f>
        <v/>
      </c>
      <c r="K623" s="108">
        <f>IF($B623="","",IF($E623="Nghỉ tuần",N($G623),0))</f>
        <v/>
      </c>
      <c r="L623" s="108">
        <f>IF($B623="","",IF($E623="Lễ",N($G623),0))</f>
        <v/>
      </c>
      <c r="M623" s="108">
        <f>IF($B623="","",IF($E623="Ngày thường",N($H623),0))</f>
        <v/>
      </c>
      <c r="N623" s="108">
        <f>IF($B623="","",IF($E623="Nghỉ tuần",N($H623),0))</f>
        <v/>
      </c>
      <c r="O623" s="108">
        <f>IF($B623="","",IF($E623="Lễ",N($H623),0))</f>
        <v/>
      </c>
    </row>
    <row r="624" ht="15" customHeight="1" s="63">
      <c r="A624" s="85">
        <f>IF($B624="","",ROW()-5)</f>
        <v/>
      </c>
      <c r="B624" s="97" t="n"/>
      <c r="C624" s="96">
        <f>IF($B624="","",IFERROR(INDEX(DM_NHAN_SU!$C$6:$C$155,MATCH($B624,DM_NHAN_SU!$B$6:$B$155,0)),"SAI MÃ NV"))</f>
        <v/>
      </c>
      <c r="D624" s="86" t="n"/>
      <c r="E624" s="103">
        <f>IF(OR($B624="",$D624=""),"",IF(COUNTIF(THAM_SO_CC!$F$10:$F$40,$D624)&gt;0,"Lễ",IF(IF(THAM_SO_CC!$B$12="T7+CN",WEEKDAY($D624,2)&gt;=6,WEEKDAY($D624,2)=7),"Nghỉ tuần","Ngày thường")))</f>
        <v/>
      </c>
      <c r="F624" s="107" t="n"/>
      <c r="G624" s="107" t="n"/>
      <c r="H624" s="107" t="n"/>
      <c r="I624" s="81" t="n"/>
      <c r="J624" s="108">
        <f>IF($B624="","",IF($E624="Ngày thường",N($G624),0))</f>
        <v/>
      </c>
      <c r="K624" s="108">
        <f>IF($B624="","",IF($E624="Nghỉ tuần",N($G624),0))</f>
        <v/>
      </c>
      <c r="L624" s="108">
        <f>IF($B624="","",IF($E624="Lễ",N($G624),0))</f>
        <v/>
      </c>
      <c r="M624" s="108">
        <f>IF($B624="","",IF($E624="Ngày thường",N($H624),0))</f>
        <v/>
      </c>
      <c r="N624" s="108">
        <f>IF($B624="","",IF($E624="Nghỉ tuần",N($H624),0))</f>
        <v/>
      </c>
      <c r="O624" s="108">
        <f>IF($B624="","",IF($E624="Lễ",N($H624),0))</f>
        <v/>
      </c>
    </row>
    <row r="625" ht="15" customHeight="1" s="63">
      <c r="A625" s="85">
        <f>IF($B625="","",ROW()-5)</f>
        <v/>
      </c>
      <c r="B625" s="97" t="n"/>
      <c r="C625" s="96">
        <f>IF($B625="","",IFERROR(INDEX(DM_NHAN_SU!$C$6:$C$155,MATCH($B625,DM_NHAN_SU!$B$6:$B$155,0)),"SAI MÃ NV"))</f>
        <v/>
      </c>
      <c r="D625" s="86" t="n"/>
      <c r="E625" s="103">
        <f>IF(OR($B625="",$D625=""),"",IF(COUNTIF(THAM_SO_CC!$F$10:$F$40,$D625)&gt;0,"Lễ",IF(IF(THAM_SO_CC!$B$12="T7+CN",WEEKDAY($D625,2)&gt;=6,WEEKDAY($D625,2)=7),"Nghỉ tuần","Ngày thường")))</f>
        <v/>
      </c>
      <c r="F625" s="107" t="n"/>
      <c r="G625" s="107" t="n"/>
      <c r="H625" s="107" t="n"/>
      <c r="I625" s="81" t="n"/>
      <c r="J625" s="108">
        <f>IF($B625="","",IF($E625="Ngày thường",N($G625),0))</f>
        <v/>
      </c>
      <c r="K625" s="108">
        <f>IF($B625="","",IF($E625="Nghỉ tuần",N($G625),0))</f>
        <v/>
      </c>
      <c r="L625" s="108">
        <f>IF($B625="","",IF($E625="Lễ",N($G625),0))</f>
        <v/>
      </c>
      <c r="M625" s="108">
        <f>IF($B625="","",IF($E625="Ngày thường",N($H625),0))</f>
        <v/>
      </c>
      <c r="N625" s="108">
        <f>IF($B625="","",IF($E625="Nghỉ tuần",N($H625),0))</f>
        <v/>
      </c>
      <c r="O625" s="108">
        <f>IF($B625="","",IF($E625="Lễ",N($H625),0))</f>
        <v/>
      </c>
    </row>
    <row r="626" ht="15" customHeight="1" s="63">
      <c r="A626" s="85">
        <f>IF($B626="","",ROW()-5)</f>
        <v/>
      </c>
      <c r="B626" s="97" t="n"/>
      <c r="C626" s="96">
        <f>IF($B626="","",IFERROR(INDEX(DM_NHAN_SU!$C$6:$C$155,MATCH($B626,DM_NHAN_SU!$B$6:$B$155,0)),"SAI MÃ NV"))</f>
        <v/>
      </c>
      <c r="D626" s="86" t="n"/>
      <c r="E626" s="103">
        <f>IF(OR($B626="",$D626=""),"",IF(COUNTIF(THAM_SO_CC!$F$10:$F$40,$D626)&gt;0,"Lễ",IF(IF(THAM_SO_CC!$B$12="T7+CN",WEEKDAY($D626,2)&gt;=6,WEEKDAY($D626,2)=7),"Nghỉ tuần","Ngày thường")))</f>
        <v/>
      </c>
      <c r="F626" s="107" t="n"/>
      <c r="G626" s="107" t="n"/>
      <c r="H626" s="107" t="n"/>
      <c r="I626" s="81" t="n"/>
      <c r="J626" s="108">
        <f>IF($B626="","",IF($E626="Ngày thường",N($G626),0))</f>
        <v/>
      </c>
      <c r="K626" s="108">
        <f>IF($B626="","",IF($E626="Nghỉ tuần",N($G626),0))</f>
        <v/>
      </c>
      <c r="L626" s="108">
        <f>IF($B626="","",IF($E626="Lễ",N($G626),0))</f>
        <v/>
      </c>
      <c r="M626" s="108">
        <f>IF($B626="","",IF($E626="Ngày thường",N($H626),0))</f>
        <v/>
      </c>
      <c r="N626" s="108">
        <f>IF($B626="","",IF($E626="Nghỉ tuần",N($H626),0))</f>
        <v/>
      </c>
      <c r="O626" s="108">
        <f>IF($B626="","",IF($E626="Lễ",N($H626),0))</f>
        <v/>
      </c>
    </row>
    <row r="627" ht="15" customHeight="1" s="63">
      <c r="A627" s="85">
        <f>IF($B627="","",ROW()-5)</f>
        <v/>
      </c>
      <c r="B627" s="97" t="n"/>
      <c r="C627" s="96">
        <f>IF($B627="","",IFERROR(INDEX(DM_NHAN_SU!$C$6:$C$155,MATCH($B627,DM_NHAN_SU!$B$6:$B$155,0)),"SAI MÃ NV"))</f>
        <v/>
      </c>
      <c r="D627" s="86" t="n"/>
      <c r="E627" s="103">
        <f>IF(OR($B627="",$D627=""),"",IF(COUNTIF(THAM_SO_CC!$F$10:$F$40,$D627)&gt;0,"Lễ",IF(IF(THAM_SO_CC!$B$12="T7+CN",WEEKDAY($D627,2)&gt;=6,WEEKDAY($D627,2)=7),"Nghỉ tuần","Ngày thường")))</f>
        <v/>
      </c>
      <c r="F627" s="107" t="n"/>
      <c r="G627" s="107" t="n"/>
      <c r="H627" s="107" t="n"/>
      <c r="I627" s="81" t="n"/>
      <c r="J627" s="108">
        <f>IF($B627="","",IF($E627="Ngày thường",N($G627),0))</f>
        <v/>
      </c>
      <c r="K627" s="108">
        <f>IF($B627="","",IF($E627="Nghỉ tuần",N($G627),0))</f>
        <v/>
      </c>
      <c r="L627" s="108">
        <f>IF($B627="","",IF($E627="Lễ",N($G627),0))</f>
        <v/>
      </c>
      <c r="M627" s="108">
        <f>IF($B627="","",IF($E627="Ngày thường",N($H627),0))</f>
        <v/>
      </c>
      <c r="N627" s="108">
        <f>IF($B627="","",IF($E627="Nghỉ tuần",N($H627),0))</f>
        <v/>
      </c>
      <c r="O627" s="108">
        <f>IF($B627="","",IF($E627="Lễ",N($H627),0))</f>
        <v/>
      </c>
    </row>
    <row r="628" ht="15" customHeight="1" s="63">
      <c r="A628" s="85">
        <f>IF($B628="","",ROW()-5)</f>
        <v/>
      </c>
      <c r="B628" s="97" t="n"/>
      <c r="C628" s="96">
        <f>IF($B628="","",IFERROR(INDEX(DM_NHAN_SU!$C$6:$C$155,MATCH($B628,DM_NHAN_SU!$B$6:$B$155,0)),"SAI MÃ NV"))</f>
        <v/>
      </c>
      <c r="D628" s="86" t="n"/>
      <c r="E628" s="103">
        <f>IF(OR($B628="",$D628=""),"",IF(COUNTIF(THAM_SO_CC!$F$10:$F$40,$D628)&gt;0,"Lễ",IF(IF(THAM_SO_CC!$B$12="T7+CN",WEEKDAY($D628,2)&gt;=6,WEEKDAY($D628,2)=7),"Nghỉ tuần","Ngày thường")))</f>
        <v/>
      </c>
      <c r="F628" s="107" t="n"/>
      <c r="G628" s="107" t="n"/>
      <c r="H628" s="107" t="n"/>
      <c r="I628" s="81" t="n"/>
      <c r="J628" s="108">
        <f>IF($B628="","",IF($E628="Ngày thường",N($G628),0))</f>
        <v/>
      </c>
      <c r="K628" s="108">
        <f>IF($B628="","",IF($E628="Nghỉ tuần",N($G628),0))</f>
        <v/>
      </c>
      <c r="L628" s="108">
        <f>IF($B628="","",IF($E628="Lễ",N($G628),0))</f>
        <v/>
      </c>
      <c r="M628" s="108">
        <f>IF($B628="","",IF($E628="Ngày thường",N($H628),0))</f>
        <v/>
      </c>
      <c r="N628" s="108">
        <f>IF($B628="","",IF($E628="Nghỉ tuần",N($H628),0))</f>
        <v/>
      </c>
      <c r="O628" s="108">
        <f>IF($B628="","",IF($E628="Lễ",N($H628),0))</f>
        <v/>
      </c>
    </row>
    <row r="629" ht="15" customHeight="1" s="63">
      <c r="A629" s="85">
        <f>IF($B629="","",ROW()-5)</f>
        <v/>
      </c>
      <c r="B629" s="97" t="n"/>
      <c r="C629" s="96">
        <f>IF($B629="","",IFERROR(INDEX(DM_NHAN_SU!$C$6:$C$155,MATCH($B629,DM_NHAN_SU!$B$6:$B$155,0)),"SAI MÃ NV"))</f>
        <v/>
      </c>
      <c r="D629" s="86" t="n"/>
      <c r="E629" s="103">
        <f>IF(OR($B629="",$D629=""),"",IF(COUNTIF(THAM_SO_CC!$F$10:$F$40,$D629)&gt;0,"Lễ",IF(IF(THAM_SO_CC!$B$12="T7+CN",WEEKDAY($D629,2)&gt;=6,WEEKDAY($D629,2)=7),"Nghỉ tuần","Ngày thường")))</f>
        <v/>
      </c>
      <c r="F629" s="107" t="n"/>
      <c r="G629" s="107" t="n"/>
      <c r="H629" s="107" t="n"/>
      <c r="I629" s="81" t="n"/>
      <c r="J629" s="108">
        <f>IF($B629="","",IF($E629="Ngày thường",N($G629),0))</f>
        <v/>
      </c>
      <c r="K629" s="108">
        <f>IF($B629="","",IF($E629="Nghỉ tuần",N($G629),0))</f>
        <v/>
      </c>
      <c r="L629" s="108">
        <f>IF($B629="","",IF($E629="Lễ",N($G629),0))</f>
        <v/>
      </c>
      <c r="M629" s="108">
        <f>IF($B629="","",IF($E629="Ngày thường",N($H629),0))</f>
        <v/>
      </c>
      <c r="N629" s="108">
        <f>IF($B629="","",IF($E629="Nghỉ tuần",N($H629),0))</f>
        <v/>
      </c>
      <c r="O629" s="108">
        <f>IF($B629="","",IF($E629="Lễ",N($H629),0))</f>
        <v/>
      </c>
    </row>
    <row r="630" ht="15" customHeight="1" s="63">
      <c r="A630" s="85">
        <f>IF($B630="","",ROW()-5)</f>
        <v/>
      </c>
      <c r="B630" s="97" t="n"/>
      <c r="C630" s="96">
        <f>IF($B630="","",IFERROR(INDEX(DM_NHAN_SU!$C$6:$C$155,MATCH($B630,DM_NHAN_SU!$B$6:$B$155,0)),"SAI MÃ NV"))</f>
        <v/>
      </c>
      <c r="D630" s="86" t="n"/>
      <c r="E630" s="103">
        <f>IF(OR($B630="",$D630=""),"",IF(COUNTIF(THAM_SO_CC!$F$10:$F$40,$D630)&gt;0,"Lễ",IF(IF(THAM_SO_CC!$B$12="T7+CN",WEEKDAY($D630,2)&gt;=6,WEEKDAY($D630,2)=7),"Nghỉ tuần","Ngày thường")))</f>
        <v/>
      </c>
      <c r="F630" s="107" t="n"/>
      <c r="G630" s="107" t="n"/>
      <c r="H630" s="107" t="n"/>
      <c r="I630" s="81" t="n"/>
      <c r="J630" s="108">
        <f>IF($B630="","",IF($E630="Ngày thường",N($G630),0))</f>
        <v/>
      </c>
      <c r="K630" s="108">
        <f>IF($B630="","",IF($E630="Nghỉ tuần",N($G630),0))</f>
        <v/>
      </c>
      <c r="L630" s="108">
        <f>IF($B630="","",IF($E630="Lễ",N($G630),0))</f>
        <v/>
      </c>
      <c r="M630" s="108">
        <f>IF($B630="","",IF($E630="Ngày thường",N($H630),0))</f>
        <v/>
      </c>
      <c r="N630" s="108">
        <f>IF($B630="","",IF($E630="Nghỉ tuần",N($H630),0))</f>
        <v/>
      </c>
      <c r="O630" s="108">
        <f>IF($B630="","",IF($E630="Lễ",N($H630),0))</f>
        <v/>
      </c>
    </row>
    <row r="631" ht="15" customHeight="1" s="63">
      <c r="A631" s="85">
        <f>IF($B631="","",ROW()-5)</f>
        <v/>
      </c>
      <c r="B631" s="97" t="n"/>
      <c r="C631" s="96">
        <f>IF($B631="","",IFERROR(INDEX(DM_NHAN_SU!$C$6:$C$155,MATCH($B631,DM_NHAN_SU!$B$6:$B$155,0)),"SAI MÃ NV"))</f>
        <v/>
      </c>
      <c r="D631" s="86" t="n"/>
      <c r="E631" s="103">
        <f>IF(OR($B631="",$D631=""),"",IF(COUNTIF(THAM_SO_CC!$F$10:$F$40,$D631)&gt;0,"Lễ",IF(IF(THAM_SO_CC!$B$12="T7+CN",WEEKDAY($D631,2)&gt;=6,WEEKDAY($D631,2)=7),"Nghỉ tuần","Ngày thường")))</f>
        <v/>
      </c>
      <c r="F631" s="107" t="n"/>
      <c r="G631" s="107" t="n"/>
      <c r="H631" s="107" t="n"/>
      <c r="I631" s="81" t="n"/>
      <c r="J631" s="108">
        <f>IF($B631="","",IF($E631="Ngày thường",N($G631),0))</f>
        <v/>
      </c>
      <c r="K631" s="108">
        <f>IF($B631="","",IF($E631="Nghỉ tuần",N($G631),0))</f>
        <v/>
      </c>
      <c r="L631" s="108">
        <f>IF($B631="","",IF($E631="Lễ",N($G631),0))</f>
        <v/>
      </c>
      <c r="M631" s="108">
        <f>IF($B631="","",IF($E631="Ngày thường",N($H631),0))</f>
        <v/>
      </c>
      <c r="N631" s="108">
        <f>IF($B631="","",IF($E631="Nghỉ tuần",N($H631),0))</f>
        <v/>
      </c>
      <c r="O631" s="108">
        <f>IF($B631="","",IF($E631="Lễ",N($H631),0))</f>
        <v/>
      </c>
    </row>
    <row r="632" ht="15" customHeight="1" s="63">
      <c r="A632" s="85">
        <f>IF($B632="","",ROW()-5)</f>
        <v/>
      </c>
      <c r="B632" s="97" t="n"/>
      <c r="C632" s="96">
        <f>IF($B632="","",IFERROR(INDEX(DM_NHAN_SU!$C$6:$C$155,MATCH($B632,DM_NHAN_SU!$B$6:$B$155,0)),"SAI MÃ NV"))</f>
        <v/>
      </c>
      <c r="D632" s="86" t="n"/>
      <c r="E632" s="103">
        <f>IF(OR($B632="",$D632=""),"",IF(COUNTIF(THAM_SO_CC!$F$10:$F$40,$D632)&gt;0,"Lễ",IF(IF(THAM_SO_CC!$B$12="T7+CN",WEEKDAY($D632,2)&gt;=6,WEEKDAY($D632,2)=7),"Nghỉ tuần","Ngày thường")))</f>
        <v/>
      </c>
      <c r="F632" s="107" t="n"/>
      <c r="G632" s="107" t="n"/>
      <c r="H632" s="107" t="n"/>
      <c r="I632" s="81" t="n"/>
      <c r="J632" s="108">
        <f>IF($B632="","",IF($E632="Ngày thường",N($G632),0))</f>
        <v/>
      </c>
      <c r="K632" s="108">
        <f>IF($B632="","",IF($E632="Nghỉ tuần",N($G632),0))</f>
        <v/>
      </c>
      <c r="L632" s="108">
        <f>IF($B632="","",IF($E632="Lễ",N($G632),0))</f>
        <v/>
      </c>
      <c r="M632" s="108">
        <f>IF($B632="","",IF($E632="Ngày thường",N($H632),0))</f>
        <v/>
      </c>
      <c r="N632" s="108">
        <f>IF($B632="","",IF($E632="Nghỉ tuần",N($H632),0))</f>
        <v/>
      </c>
      <c r="O632" s="108">
        <f>IF($B632="","",IF($E632="Lễ",N($H632),0))</f>
        <v/>
      </c>
    </row>
    <row r="633" ht="15" customHeight="1" s="63">
      <c r="A633" s="85">
        <f>IF($B633="","",ROW()-5)</f>
        <v/>
      </c>
      <c r="B633" s="97" t="n"/>
      <c r="C633" s="96">
        <f>IF($B633="","",IFERROR(INDEX(DM_NHAN_SU!$C$6:$C$155,MATCH($B633,DM_NHAN_SU!$B$6:$B$155,0)),"SAI MÃ NV"))</f>
        <v/>
      </c>
      <c r="D633" s="86" t="n"/>
      <c r="E633" s="103">
        <f>IF(OR($B633="",$D633=""),"",IF(COUNTIF(THAM_SO_CC!$F$10:$F$40,$D633)&gt;0,"Lễ",IF(IF(THAM_SO_CC!$B$12="T7+CN",WEEKDAY($D633,2)&gt;=6,WEEKDAY($D633,2)=7),"Nghỉ tuần","Ngày thường")))</f>
        <v/>
      </c>
      <c r="F633" s="107" t="n"/>
      <c r="G633" s="107" t="n"/>
      <c r="H633" s="107" t="n"/>
      <c r="I633" s="81" t="n"/>
      <c r="J633" s="108">
        <f>IF($B633="","",IF($E633="Ngày thường",N($G633),0))</f>
        <v/>
      </c>
      <c r="K633" s="108">
        <f>IF($B633="","",IF($E633="Nghỉ tuần",N($G633),0))</f>
        <v/>
      </c>
      <c r="L633" s="108">
        <f>IF($B633="","",IF($E633="Lễ",N($G633),0))</f>
        <v/>
      </c>
      <c r="M633" s="108">
        <f>IF($B633="","",IF($E633="Ngày thường",N($H633),0))</f>
        <v/>
      </c>
      <c r="N633" s="108">
        <f>IF($B633="","",IF($E633="Nghỉ tuần",N($H633),0))</f>
        <v/>
      </c>
      <c r="O633" s="108">
        <f>IF($B633="","",IF($E633="Lễ",N($H633),0))</f>
        <v/>
      </c>
    </row>
    <row r="634" ht="15" customHeight="1" s="63">
      <c r="A634" s="85">
        <f>IF($B634="","",ROW()-5)</f>
        <v/>
      </c>
      <c r="B634" s="97" t="n"/>
      <c r="C634" s="96">
        <f>IF($B634="","",IFERROR(INDEX(DM_NHAN_SU!$C$6:$C$155,MATCH($B634,DM_NHAN_SU!$B$6:$B$155,0)),"SAI MÃ NV"))</f>
        <v/>
      </c>
      <c r="D634" s="86" t="n"/>
      <c r="E634" s="103">
        <f>IF(OR($B634="",$D634=""),"",IF(COUNTIF(THAM_SO_CC!$F$10:$F$40,$D634)&gt;0,"Lễ",IF(IF(THAM_SO_CC!$B$12="T7+CN",WEEKDAY($D634,2)&gt;=6,WEEKDAY($D634,2)=7),"Nghỉ tuần","Ngày thường")))</f>
        <v/>
      </c>
      <c r="F634" s="107" t="n"/>
      <c r="G634" s="107" t="n"/>
      <c r="H634" s="107" t="n"/>
      <c r="I634" s="81" t="n"/>
      <c r="J634" s="108">
        <f>IF($B634="","",IF($E634="Ngày thường",N($G634),0))</f>
        <v/>
      </c>
      <c r="K634" s="108">
        <f>IF($B634="","",IF($E634="Nghỉ tuần",N($G634),0))</f>
        <v/>
      </c>
      <c r="L634" s="108">
        <f>IF($B634="","",IF($E634="Lễ",N($G634),0))</f>
        <v/>
      </c>
      <c r="M634" s="108">
        <f>IF($B634="","",IF($E634="Ngày thường",N($H634),0))</f>
        <v/>
      </c>
      <c r="N634" s="108">
        <f>IF($B634="","",IF($E634="Nghỉ tuần",N($H634),0))</f>
        <v/>
      </c>
      <c r="O634" s="108">
        <f>IF($B634="","",IF($E634="Lễ",N($H634),0))</f>
        <v/>
      </c>
    </row>
    <row r="635" ht="15" customHeight="1" s="63">
      <c r="A635" s="85">
        <f>IF($B635="","",ROW()-5)</f>
        <v/>
      </c>
      <c r="B635" s="97" t="n"/>
      <c r="C635" s="96">
        <f>IF($B635="","",IFERROR(INDEX(DM_NHAN_SU!$C$6:$C$155,MATCH($B635,DM_NHAN_SU!$B$6:$B$155,0)),"SAI MÃ NV"))</f>
        <v/>
      </c>
      <c r="D635" s="86" t="n"/>
      <c r="E635" s="103">
        <f>IF(OR($B635="",$D635=""),"",IF(COUNTIF(THAM_SO_CC!$F$10:$F$40,$D635)&gt;0,"Lễ",IF(IF(THAM_SO_CC!$B$12="T7+CN",WEEKDAY($D635,2)&gt;=6,WEEKDAY($D635,2)=7),"Nghỉ tuần","Ngày thường")))</f>
        <v/>
      </c>
      <c r="F635" s="107" t="n"/>
      <c r="G635" s="107" t="n"/>
      <c r="H635" s="107" t="n"/>
      <c r="I635" s="81" t="n"/>
      <c r="J635" s="108">
        <f>IF($B635="","",IF($E635="Ngày thường",N($G635),0))</f>
        <v/>
      </c>
      <c r="K635" s="108">
        <f>IF($B635="","",IF($E635="Nghỉ tuần",N($G635),0))</f>
        <v/>
      </c>
      <c r="L635" s="108">
        <f>IF($B635="","",IF($E635="Lễ",N($G635),0))</f>
        <v/>
      </c>
      <c r="M635" s="108">
        <f>IF($B635="","",IF($E635="Ngày thường",N($H635),0))</f>
        <v/>
      </c>
      <c r="N635" s="108">
        <f>IF($B635="","",IF($E635="Nghỉ tuần",N($H635),0))</f>
        <v/>
      </c>
      <c r="O635" s="108">
        <f>IF($B635="","",IF($E635="Lễ",N($H635),0))</f>
        <v/>
      </c>
    </row>
    <row r="636" ht="15" customHeight="1" s="63">
      <c r="A636" s="85">
        <f>IF($B636="","",ROW()-5)</f>
        <v/>
      </c>
      <c r="B636" s="97" t="n"/>
      <c r="C636" s="96">
        <f>IF($B636="","",IFERROR(INDEX(DM_NHAN_SU!$C$6:$C$155,MATCH($B636,DM_NHAN_SU!$B$6:$B$155,0)),"SAI MÃ NV"))</f>
        <v/>
      </c>
      <c r="D636" s="86" t="n"/>
      <c r="E636" s="103">
        <f>IF(OR($B636="",$D636=""),"",IF(COUNTIF(THAM_SO_CC!$F$10:$F$40,$D636)&gt;0,"Lễ",IF(IF(THAM_SO_CC!$B$12="T7+CN",WEEKDAY($D636,2)&gt;=6,WEEKDAY($D636,2)=7),"Nghỉ tuần","Ngày thường")))</f>
        <v/>
      </c>
      <c r="F636" s="107" t="n"/>
      <c r="G636" s="107" t="n"/>
      <c r="H636" s="107" t="n"/>
      <c r="I636" s="81" t="n"/>
      <c r="J636" s="108">
        <f>IF($B636="","",IF($E636="Ngày thường",N($G636),0))</f>
        <v/>
      </c>
      <c r="K636" s="108">
        <f>IF($B636="","",IF($E636="Nghỉ tuần",N($G636),0))</f>
        <v/>
      </c>
      <c r="L636" s="108">
        <f>IF($B636="","",IF($E636="Lễ",N($G636),0))</f>
        <v/>
      </c>
      <c r="M636" s="108">
        <f>IF($B636="","",IF($E636="Ngày thường",N($H636),0))</f>
        <v/>
      </c>
      <c r="N636" s="108">
        <f>IF($B636="","",IF($E636="Nghỉ tuần",N($H636),0))</f>
        <v/>
      </c>
      <c r="O636" s="108">
        <f>IF($B636="","",IF($E636="Lễ",N($H636),0))</f>
        <v/>
      </c>
    </row>
    <row r="637" ht="15" customHeight="1" s="63">
      <c r="A637" s="85">
        <f>IF($B637="","",ROW()-5)</f>
        <v/>
      </c>
      <c r="B637" s="97" t="n"/>
      <c r="C637" s="96">
        <f>IF($B637="","",IFERROR(INDEX(DM_NHAN_SU!$C$6:$C$155,MATCH($B637,DM_NHAN_SU!$B$6:$B$155,0)),"SAI MÃ NV"))</f>
        <v/>
      </c>
      <c r="D637" s="86" t="n"/>
      <c r="E637" s="103">
        <f>IF(OR($B637="",$D637=""),"",IF(COUNTIF(THAM_SO_CC!$F$10:$F$40,$D637)&gt;0,"Lễ",IF(IF(THAM_SO_CC!$B$12="T7+CN",WEEKDAY($D637,2)&gt;=6,WEEKDAY($D637,2)=7),"Nghỉ tuần","Ngày thường")))</f>
        <v/>
      </c>
      <c r="F637" s="107" t="n"/>
      <c r="G637" s="107" t="n"/>
      <c r="H637" s="107" t="n"/>
      <c r="I637" s="81" t="n"/>
      <c r="J637" s="108">
        <f>IF($B637="","",IF($E637="Ngày thường",N($G637),0))</f>
        <v/>
      </c>
      <c r="K637" s="108">
        <f>IF($B637="","",IF($E637="Nghỉ tuần",N($G637),0))</f>
        <v/>
      </c>
      <c r="L637" s="108">
        <f>IF($B637="","",IF($E637="Lễ",N($G637),0))</f>
        <v/>
      </c>
      <c r="M637" s="108">
        <f>IF($B637="","",IF($E637="Ngày thường",N($H637),0))</f>
        <v/>
      </c>
      <c r="N637" s="108">
        <f>IF($B637="","",IF($E637="Nghỉ tuần",N($H637),0))</f>
        <v/>
      </c>
      <c r="O637" s="108">
        <f>IF($B637="","",IF($E637="Lễ",N($H637),0))</f>
        <v/>
      </c>
    </row>
    <row r="638" ht="15" customHeight="1" s="63">
      <c r="A638" s="85">
        <f>IF($B638="","",ROW()-5)</f>
        <v/>
      </c>
      <c r="B638" s="97" t="n"/>
      <c r="C638" s="96">
        <f>IF($B638="","",IFERROR(INDEX(DM_NHAN_SU!$C$6:$C$155,MATCH($B638,DM_NHAN_SU!$B$6:$B$155,0)),"SAI MÃ NV"))</f>
        <v/>
      </c>
      <c r="D638" s="86" t="n"/>
      <c r="E638" s="103">
        <f>IF(OR($B638="",$D638=""),"",IF(COUNTIF(THAM_SO_CC!$F$10:$F$40,$D638)&gt;0,"Lễ",IF(IF(THAM_SO_CC!$B$12="T7+CN",WEEKDAY($D638,2)&gt;=6,WEEKDAY($D638,2)=7),"Nghỉ tuần","Ngày thường")))</f>
        <v/>
      </c>
      <c r="F638" s="107" t="n"/>
      <c r="G638" s="107" t="n"/>
      <c r="H638" s="107" t="n"/>
      <c r="I638" s="81" t="n"/>
      <c r="J638" s="108">
        <f>IF($B638="","",IF($E638="Ngày thường",N($G638),0))</f>
        <v/>
      </c>
      <c r="K638" s="108">
        <f>IF($B638="","",IF($E638="Nghỉ tuần",N($G638),0))</f>
        <v/>
      </c>
      <c r="L638" s="108">
        <f>IF($B638="","",IF($E638="Lễ",N($G638),0))</f>
        <v/>
      </c>
      <c r="M638" s="108">
        <f>IF($B638="","",IF($E638="Ngày thường",N($H638),0))</f>
        <v/>
      </c>
      <c r="N638" s="108">
        <f>IF($B638="","",IF($E638="Nghỉ tuần",N($H638),0))</f>
        <v/>
      </c>
      <c r="O638" s="108">
        <f>IF($B638="","",IF($E638="Lễ",N($H638),0))</f>
        <v/>
      </c>
    </row>
    <row r="639" ht="15" customHeight="1" s="63">
      <c r="A639" s="85">
        <f>IF($B639="","",ROW()-5)</f>
        <v/>
      </c>
      <c r="B639" s="97" t="n"/>
      <c r="C639" s="96">
        <f>IF($B639="","",IFERROR(INDEX(DM_NHAN_SU!$C$6:$C$155,MATCH($B639,DM_NHAN_SU!$B$6:$B$155,0)),"SAI MÃ NV"))</f>
        <v/>
      </c>
      <c r="D639" s="86" t="n"/>
      <c r="E639" s="103">
        <f>IF(OR($B639="",$D639=""),"",IF(COUNTIF(THAM_SO_CC!$F$10:$F$40,$D639)&gt;0,"Lễ",IF(IF(THAM_SO_CC!$B$12="T7+CN",WEEKDAY($D639,2)&gt;=6,WEEKDAY($D639,2)=7),"Nghỉ tuần","Ngày thường")))</f>
        <v/>
      </c>
      <c r="F639" s="107" t="n"/>
      <c r="G639" s="107" t="n"/>
      <c r="H639" s="107" t="n"/>
      <c r="I639" s="81" t="n"/>
      <c r="J639" s="108">
        <f>IF($B639="","",IF($E639="Ngày thường",N($G639),0))</f>
        <v/>
      </c>
      <c r="K639" s="108">
        <f>IF($B639="","",IF($E639="Nghỉ tuần",N($G639),0))</f>
        <v/>
      </c>
      <c r="L639" s="108">
        <f>IF($B639="","",IF($E639="Lễ",N($G639),0))</f>
        <v/>
      </c>
      <c r="M639" s="108">
        <f>IF($B639="","",IF($E639="Ngày thường",N($H639),0))</f>
        <v/>
      </c>
      <c r="N639" s="108">
        <f>IF($B639="","",IF($E639="Nghỉ tuần",N($H639),0))</f>
        <v/>
      </c>
      <c r="O639" s="108">
        <f>IF($B639="","",IF($E639="Lễ",N($H639),0))</f>
        <v/>
      </c>
    </row>
    <row r="640" ht="15" customHeight="1" s="63">
      <c r="A640" s="85">
        <f>IF($B640="","",ROW()-5)</f>
        <v/>
      </c>
      <c r="B640" s="97" t="n"/>
      <c r="C640" s="96">
        <f>IF($B640="","",IFERROR(INDEX(DM_NHAN_SU!$C$6:$C$155,MATCH($B640,DM_NHAN_SU!$B$6:$B$155,0)),"SAI MÃ NV"))</f>
        <v/>
      </c>
      <c r="D640" s="86" t="n"/>
      <c r="E640" s="103">
        <f>IF(OR($B640="",$D640=""),"",IF(COUNTIF(THAM_SO_CC!$F$10:$F$40,$D640)&gt;0,"Lễ",IF(IF(THAM_SO_CC!$B$12="T7+CN",WEEKDAY($D640,2)&gt;=6,WEEKDAY($D640,2)=7),"Nghỉ tuần","Ngày thường")))</f>
        <v/>
      </c>
      <c r="F640" s="107" t="n"/>
      <c r="G640" s="107" t="n"/>
      <c r="H640" s="107" t="n"/>
      <c r="I640" s="81" t="n"/>
      <c r="J640" s="108">
        <f>IF($B640="","",IF($E640="Ngày thường",N($G640),0))</f>
        <v/>
      </c>
      <c r="K640" s="108">
        <f>IF($B640="","",IF($E640="Nghỉ tuần",N($G640),0))</f>
        <v/>
      </c>
      <c r="L640" s="108">
        <f>IF($B640="","",IF($E640="Lễ",N($G640),0))</f>
        <v/>
      </c>
      <c r="M640" s="108">
        <f>IF($B640="","",IF($E640="Ngày thường",N($H640),0))</f>
        <v/>
      </c>
      <c r="N640" s="108">
        <f>IF($B640="","",IF($E640="Nghỉ tuần",N($H640),0))</f>
        <v/>
      </c>
      <c r="O640" s="108">
        <f>IF($B640="","",IF($E640="Lễ",N($H640),0))</f>
        <v/>
      </c>
    </row>
    <row r="641" ht="15" customHeight="1" s="63">
      <c r="A641" s="85">
        <f>IF($B641="","",ROW()-5)</f>
        <v/>
      </c>
      <c r="B641" s="97" t="n"/>
      <c r="C641" s="96">
        <f>IF($B641="","",IFERROR(INDEX(DM_NHAN_SU!$C$6:$C$155,MATCH($B641,DM_NHAN_SU!$B$6:$B$155,0)),"SAI MÃ NV"))</f>
        <v/>
      </c>
      <c r="D641" s="86" t="n"/>
      <c r="E641" s="103">
        <f>IF(OR($B641="",$D641=""),"",IF(COUNTIF(THAM_SO_CC!$F$10:$F$40,$D641)&gt;0,"Lễ",IF(IF(THAM_SO_CC!$B$12="T7+CN",WEEKDAY($D641,2)&gt;=6,WEEKDAY($D641,2)=7),"Nghỉ tuần","Ngày thường")))</f>
        <v/>
      </c>
      <c r="F641" s="107" t="n"/>
      <c r="G641" s="107" t="n"/>
      <c r="H641" s="107" t="n"/>
      <c r="I641" s="81" t="n"/>
      <c r="J641" s="108">
        <f>IF($B641="","",IF($E641="Ngày thường",N($G641),0))</f>
        <v/>
      </c>
      <c r="K641" s="108">
        <f>IF($B641="","",IF($E641="Nghỉ tuần",N($G641),0))</f>
        <v/>
      </c>
      <c r="L641" s="108">
        <f>IF($B641="","",IF($E641="Lễ",N($G641),0))</f>
        <v/>
      </c>
      <c r="M641" s="108">
        <f>IF($B641="","",IF($E641="Ngày thường",N($H641),0))</f>
        <v/>
      </c>
      <c r="N641" s="108">
        <f>IF($B641="","",IF($E641="Nghỉ tuần",N($H641),0))</f>
        <v/>
      </c>
      <c r="O641" s="108">
        <f>IF($B641="","",IF($E641="Lễ",N($H641),0))</f>
        <v/>
      </c>
    </row>
    <row r="642" ht="15" customHeight="1" s="63">
      <c r="A642" s="85">
        <f>IF($B642="","",ROW()-5)</f>
        <v/>
      </c>
      <c r="B642" s="97" t="n"/>
      <c r="C642" s="96">
        <f>IF($B642="","",IFERROR(INDEX(DM_NHAN_SU!$C$6:$C$155,MATCH($B642,DM_NHAN_SU!$B$6:$B$155,0)),"SAI MÃ NV"))</f>
        <v/>
      </c>
      <c r="D642" s="86" t="n"/>
      <c r="E642" s="103">
        <f>IF(OR($B642="",$D642=""),"",IF(COUNTIF(THAM_SO_CC!$F$10:$F$40,$D642)&gt;0,"Lễ",IF(IF(THAM_SO_CC!$B$12="T7+CN",WEEKDAY($D642,2)&gt;=6,WEEKDAY($D642,2)=7),"Nghỉ tuần","Ngày thường")))</f>
        <v/>
      </c>
      <c r="F642" s="107" t="n"/>
      <c r="G642" s="107" t="n"/>
      <c r="H642" s="107" t="n"/>
      <c r="I642" s="81" t="n"/>
      <c r="J642" s="108">
        <f>IF($B642="","",IF($E642="Ngày thường",N($G642),0))</f>
        <v/>
      </c>
      <c r="K642" s="108">
        <f>IF($B642="","",IF($E642="Nghỉ tuần",N($G642),0))</f>
        <v/>
      </c>
      <c r="L642" s="108">
        <f>IF($B642="","",IF($E642="Lễ",N($G642),0))</f>
        <v/>
      </c>
      <c r="M642" s="108">
        <f>IF($B642="","",IF($E642="Ngày thường",N($H642),0))</f>
        <v/>
      </c>
      <c r="N642" s="108">
        <f>IF($B642="","",IF($E642="Nghỉ tuần",N($H642),0))</f>
        <v/>
      </c>
      <c r="O642" s="108">
        <f>IF($B642="","",IF($E642="Lễ",N($H642),0))</f>
        <v/>
      </c>
    </row>
    <row r="643" ht="15" customHeight="1" s="63">
      <c r="A643" s="85">
        <f>IF($B643="","",ROW()-5)</f>
        <v/>
      </c>
      <c r="B643" s="97" t="n"/>
      <c r="C643" s="96">
        <f>IF($B643="","",IFERROR(INDEX(DM_NHAN_SU!$C$6:$C$155,MATCH($B643,DM_NHAN_SU!$B$6:$B$155,0)),"SAI MÃ NV"))</f>
        <v/>
      </c>
      <c r="D643" s="86" t="n"/>
      <c r="E643" s="103">
        <f>IF(OR($B643="",$D643=""),"",IF(COUNTIF(THAM_SO_CC!$F$10:$F$40,$D643)&gt;0,"Lễ",IF(IF(THAM_SO_CC!$B$12="T7+CN",WEEKDAY($D643,2)&gt;=6,WEEKDAY($D643,2)=7),"Nghỉ tuần","Ngày thường")))</f>
        <v/>
      </c>
      <c r="F643" s="107" t="n"/>
      <c r="G643" s="107" t="n"/>
      <c r="H643" s="107" t="n"/>
      <c r="I643" s="81" t="n"/>
      <c r="J643" s="108">
        <f>IF($B643="","",IF($E643="Ngày thường",N($G643),0))</f>
        <v/>
      </c>
      <c r="K643" s="108">
        <f>IF($B643="","",IF($E643="Nghỉ tuần",N($G643),0))</f>
        <v/>
      </c>
      <c r="L643" s="108">
        <f>IF($B643="","",IF($E643="Lễ",N($G643),0))</f>
        <v/>
      </c>
      <c r="M643" s="108">
        <f>IF($B643="","",IF($E643="Ngày thường",N($H643),0))</f>
        <v/>
      </c>
      <c r="N643" s="108">
        <f>IF($B643="","",IF($E643="Nghỉ tuần",N($H643),0))</f>
        <v/>
      </c>
      <c r="O643" s="108">
        <f>IF($B643="","",IF($E643="Lễ",N($H643),0))</f>
        <v/>
      </c>
    </row>
    <row r="644" ht="15" customHeight="1" s="63">
      <c r="A644" s="85">
        <f>IF($B644="","",ROW()-5)</f>
        <v/>
      </c>
      <c r="B644" s="97" t="n"/>
      <c r="C644" s="96">
        <f>IF($B644="","",IFERROR(INDEX(DM_NHAN_SU!$C$6:$C$155,MATCH($B644,DM_NHAN_SU!$B$6:$B$155,0)),"SAI MÃ NV"))</f>
        <v/>
      </c>
      <c r="D644" s="86" t="n"/>
      <c r="E644" s="103">
        <f>IF(OR($B644="",$D644=""),"",IF(COUNTIF(THAM_SO_CC!$F$10:$F$40,$D644)&gt;0,"Lễ",IF(IF(THAM_SO_CC!$B$12="T7+CN",WEEKDAY($D644,2)&gt;=6,WEEKDAY($D644,2)=7),"Nghỉ tuần","Ngày thường")))</f>
        <v/>
      </c>
      <c r="F644" s="107" t="n"/>
      <c r="G644" s="107" t="n"/>
      <c r="H644" s="107" t="n"/>
      <c r="I644" s="81" t="n"/>
      <c r="J644" s="108">
        <f>IF($B644="","",IF($E644="Ngày thường",N($G644),0))</f>
        <v/>
      </c>
      <c r="K644" s="108">
        <f>IF($B644="","",IF($E644="Nghỉ tuần",N($G644),0))</f>
        <v/>
      </c>
      <c r="L644" s="108">
        <f>IF($B644="","",IF($E644="Lễ",N($G644),0))</f>
        <v/>
      </c>
      <c r="M644" s="108">
        <f>IF($B644="","",IF($E644="Ngày thường",N($H644),0))</f>
        <v/>
      </c>
      <c r="N644" s="108">
        <f>IF($B644="","",IF($E644="Nghỉ tuần",N($H644),0))</f>
        <v/>
      </c>
      <c r="O644" s="108">
        <f>IF($B644="","",IF($E644="Lễ",N($H644),0))</f>
        <v/>
      </c>
    </row>
    <row r="645" ht="15" customHeight="1" s="63">
      <c r="A645" s="85">
        <f>IF($B645="","",ROW()-5)</f>
        <v/>
      </c>
      <c r="B645" s="97" t="n"/>
      <c r="C645" s="96">
        <f>IF($B645="","",IFERROR(INDEX(DM_NHAN_SU!$C$6:$C$155,MATCH($B645,DM_NHAN_SU!$B$6:$B$155,0)),"SAI MÃ NV"))</f>
        <v/>
      </c>
      <c r="D645" s="86" t="n"/>
      <c r="E645" s="103">
        <f>IF(OR($B645="",$D645=""),"",IF(COUNTIF(THAM_SO_CC!$F$10:$F$40,$D645)&gt;0,"Lễ",IF(IF(THAM_SO_CC!$B$12="T7+CN",WEEKDAY($D645,2)&gt;=6,WEEKDAY($D645,2)=7),"Nghỉ tuần","Ngày thường")))</f>
        <v/>
      </c>
      <c r="F645" s="107" t="n"/>
      <c r="G645" s="107" t="n"/>
      <c r="H645" s="107" t="n"/>
      <c r="I645" s="81" t="n"/>
      <c r="J645" s="108">
        <f>IF($B645="","",IF($E645="Ngày thường",N($G645),0))</f>
        <v/>
      </c>
      <c r="K645" s="108">
        <f>IF($B645="","",IF($E645="Nghỉ tuần",N($G645),0))</f>
        <v/>
      </c>
      <c r="L645" s="108">
        <f>IF($B645="","",IF($E645="Lễ",N($G645),0))</f>
        <v/>
      </c>
      <c r="M645" s="108">
        <f>IF($B645="","",IF($E645="Ngày thường",N($H645),0))</f>
        <v/>
      </c>
      <c r="N645" s="108">
        <f>IF($B645="","",IF($E645="Nghỉ tuần",N($H645),0))</f>
        <v/>
      </c>
      <c r="O645" s="108">
        <f>IF($B645="","",IF($E645="Lễ",N($H645),0))</f>
        <v/>
      </c>
    </row>
    <row r="646" ht="15" customHeight="1" s="63">
      <c r="A646" s="85">
        <f>IF($B646="","",ROW()-5)</f>
        <v/>
      </c>
      <c r="B646" s="97" t="n"/>
      <c r="C646" s="96">
        <f>IF($B646="","",IFERROR(INDEX(DM_NHAN_SU!$C$6:$C$155,MATCH($B646,DM_NHAN_SU!$B$6:$B$155,0)),"SAI MÃ NV"))</f>
        <v/>
      </c>
      <c r="D646" s="86" t="n"/>
      <c r="E646" s="103">
        <f>IF(OR($B646="",$D646=""),"",IF(COUNTIF(THAM_SO_CC!$F$10:$F$40,$D646)&gt;0,"Lễ",IF(IF(THAM_SO_CC!$B$12="T7+CN",WEEKDAY($D646,2)&gt;=6,WEEKDAY($D646,2)=7),"Nghỉ tuần","Ngày thường")))</f>
        <v/>
      </c>
      <c r="F646" s="107" t="n"/>
      <c r="G646" s="107" t="n"/>
      <c r="H646" s="107" t="n"/>
      <c r="I646" s="81" t="n"/>
      <c r="J646" s="108">
        <f>IF($B646="","",IF($E646="Ngày thường",N($G646),0))</f>
        <v/>
      </c>
      <c r="K646" s="108">
        <f>IF($B646="","",IF($E646="Nghỉ tuần",N($G646),0))</f>
        <v/>
      </c>
      <c r="L646" s="108">
        <f>IF($B646="","",IF($E646="Lễ",N($G646),0))</f>
        <v/>
      </c>
      <c r="M646" s="108">
        <f>IF($B646="","",IF($E646="Ngày thường",N($H646),0))</f>
        <v/>
      </c>
      <c r="N646" s="108">
        <f>IF($B646="","",IF($E646="Nghỉ tuần",N($H646),0))</f>
        <v/>
      </c>
      <c r="O646" s="108">
        <f>IF($B646="","",IF($E646="Lễ",N($H646),0))</f>
        <v/>
      </c>
    </row>
    <row r="647" ht="15" customHeight="1" s="63">
      <c r="A647" s="85">
        <f>IF($B647="","",ROW()-5)</f>
        <v/>
      </c>
      <c r="B647" s="97" t="n"/>
      <c r="C647" s="96">
        <f>IF($B647="","",IFERROR(INDEX(DM_NHAN_SU!$C$6:$C$155,MATCH($B647,DM_NHAN_SU!$B$6:$B$155,0)),"SAI MÃ NV"))</f>
        <v/>
      </c>
      <c r="D647" s="86" t="n"/>
      <c r="E647" s="103">
        <f>IF(OR($B647="",$D647=""),"",IF(COUNTIF(THAM_SO_CC!$F$10:$F$40,$D647)&gt;0,"Lễ",IF(IF(THAM_SO_CC!$B$12="T7+CN",WEEKDAY($D647,2)&gt;=6,WEEKDAY($D647,2)=7),"Nghỉ tuần","Ngày thường")))</f>
        <v/>
      </c>
      <c r="F647" s="107" t="n"/>
      <c r="G647" s="107" t="n"/>
      <c r="H647" s="107" t="n"/>
      <c r="I647" s="81" t="n"/>
      <c r="J647" s="108">
        <f>IF($B647="","",IF($E647="Ngày thường",N($G647),0))</f>
        <v/>
      </c>
      <c r="K647" s="108">
        <f>IF($B647="","",IF($E647="Nghỉ tuần",N($G647),0))</f>
        <v/>
      </c>
      <c r="L647" s="108">
        <f>IF($B647="","",IF($E647="Lễ",N($G647),0))</f>
        <v/>
      </c>
      <c r="M647" s="108">
        <f>IF($B647="","",IF($E647="Ngày thường",N($H647),0))</f>
        <v/>
      </c>
      <c r="N647" s="108">
        <f>IF($B647="","",IF($E647="Nghỉ tuần",N($H647),0))</f>
        <v/>
      </c>
      <c r="O647" s="108">
        <f>IF($B647="","",IF($E647="Lễ",N($H647),0))</f>
        <v/>
      </c>
    </row>
    <row r="648" ht="15" customHeight="1" s="63">
      <c r="A648" s="85">
        <f>IF($B648="","",ROW()-5)</f>
        <v/>
      </c>
      <c r="B648" s="97" t="n"/>
      <c r="C648" s="96">
        <f>IF($B648="","",IFERROR(INDEX(DM_NHAN_SU!$C$6:$C$155,MATCH($B648,DM_NHAN_SU!$B$6:$B$155,0)),"SAI MÃ NV"))</f>
        <v/>
      </c>
      <c r="D648" s="86" t="n"/>
      <c r="E648" s="103">
        <f>IF(OR($B648="",$D648=""),"",IF(COUNTIF(THAM_SO_CC!$F$10:$F$40,$D648)&gt;0,"Lễ",IF(IF(THAM_SO_CC!$B$12="T7+CN",WEEKDAY($D648,2)&gt;=6,WEEKDAY($D648,2)=7),"Nghỉ tuần","Ngày thường")))</f>
        <v/>
      </c>
      <c r="F648" s="107" t="n"/>
      <c r="G648" s="107" t="n"/>
      <c r="H648" s="107" t="n"/>
      <c r="I648" s="81" t="n"/>
      <c r="J648" s="108">
        <f>IF($B648="","",IF($E648="Ngày thường",N($G648),0))</f>
        <v/>
      </c>
      <c r="K648" s="108">
        <f>IF($B648="","",IF($E648="Nghỉ tuần",N($G648),0))</f>
        <v/>
      </c>
      <c r="L648" s="108">
        <f>IF($B648="","",IF($E648="Lễ",N($G648),0))</f>
        <v/>
      </c>
      <c r="M648" s="108">
        <f>IF($B648="","",IF($E648="Ngày thường",N($H648),0))</f>
        <v/>
      </c>
      <c r="N648" s="108">
        <f>IF($B648="","",IF($E648="Nghỉ tuần",N($H648),0))</f>
        <v/>
      </c>
      <c r="O648" s="108">
        <f>IF($B648="","",IF($E648="Lễ",N($H648),0))</f>
        <v/>
      </c>
    </row>
    <row r="649" ht="15" customHeight="1" s="63">
      <c r="A649" s="85">
        <f>IF($B649="","",ROW()-5)</f>
        <v/>
      </c>
      <c r="B649" s="97" t="n"/>
      <c r="C649" s="96">
        <f>IF($B649="","",IFERROR(INDEX(DM_NHAN_SU!$C$6:$C$155,MATCH($B649,DM_NHAN_SU!$B$6:$B$155,0)),"SAI MÃ NV"))</f>
        <v/>
      </c>
      <c r="D649" s="86" t="n"/>
      <c r="E649" s="103">
        <f>IF(OR($B649="",$D649=""),"",IF(COUNTIF(THAM_SO_CC!$F$10:$F$40,$D649)&gt;0,"Lễ",IF(IF(THAM_SO_CC!$B$12="T7+CN",WEEKDAY($D649,2)&gt;=6,WEEKDAY($D649,2)=7),"Nghỉ tuần","Ngày thường")))</f>
        <v/>
      </c>
      <c r="F649" s="107" t="n"/>
      <c r="G649" s="107" t="n"/>
      <c r="H649" s="107" t="n"/>
      <c r="I649" s="81" t="n"/>
      <c r="J649" s="108">
        <f>IF($B649="","",IF($E649="Ngày thường",N($G649),0))</f>
        <v/>
      </c>
      <c r="K649" s="108">
        <f>IF($B649="","",IF($E649="Nghỉ tuần",N($G649),0))</f>
        <v/>
      </c>
      <c r="L649" s="108">
        <f>IF($B649="","",IF($E649="Lễ",N($G649),0))</f>
        <v/>
      </c>
      <c r="M649" s="108">
        <f>IF($B649="","",IF($E649="Ngày thường",N($H649),0))</f>
        <v/>
      </c>
      <c r="N649" s="108">
        <f>IF($B649="","",IF($E649="Nghỉ tuần",N($H649),0))</f>
        <v/>
      </c>
      <c r="O649" s="108">
        <f>IF($B649="","",IF($E649="Lễ",N($H649),0))</f>
        <v/>
      </c>
    </row>
    <row r="650" ht="15" customHeight="1" s="63">
      <c r="A650" s="85">
        <f>IF($B650="","",ROW()-5)</f>
        <v/>
      </c>
      <c r="B650" s="97" t="n"/>
      <c r="C650" s="96">
        <f>IF($B650="","",IFERROR(INDEX(DM_NHAN_SU!$C$6:$C$155,MATCH($B650,DM_NHAN_SU!$B$6:$B$155,0)),"SAI MÃ NV"))</f>
        <v/>
      </c>
      <c r="D650" s="86" t="n"/>
      <c r="E650" s="103">
        <f>IF(OR($B650="",$D650=""),"",IF(COUNTIF(THAM_SO_CC!$F$10:$F$40,$D650)&gt;0,"Lễ",IF(IF(THAM_SO_CC!$B$12="T7+CN",WEEKDAY($D650,2)&gt;=6,WEEKDAY($D650,2)=7),"Nghỉ tuần","Ngày thường")))</f>
        <v/>
      </c>
      <c r="F650" s="107" t="n"/>
      <c r="G650" s="107" t="n"/>
      <c r="H650" s="107" t="n"/>
      <c r="I650" s="81" t="n"/>
      <c r="J650" s="108">
        <f>IF($B650="","",IF($E650="Ngày thường",N($G650),0))</f>
        <v/>
      </c>
      <c r="K650" s="108">
        <f>IF($B650="","",IF($E650="Nghỉ tuần",N($G650),0))</f>
        <v/>
      </c>
      <c r="L650" s="108">
        <f>IF($B650="","",IF($E650="Lễ",N($G650),0))</f>
        <v/>
      </c>
      <c r="M650" s="108">
        <f>IF($B650="","",IF($E650="Ngày thường",N($H650),0))</f>
        <v/>
      </c>
      <c r="N650" s="108">
        <f>IF($B650="","",IF($E650="Nghỉ tuần",N($H650),0))</f>
        <v/>
      </c>
      <c r="O650" s="108">
        <f>IF($B650="","",IF($E650="Lễ",N($H650),0))</f>
        <v/>
      </c>
    </row>
    <row r="651" ht="15" customHeight="1" s="63">
      <c r="A651" s="85">
        <f>IF($B651="","",ROW()-5)</f>
        <v/>
      </c>
      <c r="B651" s="97" t="n"/>
      <c r="C651" s="96">
        <f>IF($B651="","",IFERROR(INDEX(DM_NHAN_SU!$C$6:$C$155,MATCH($B651,DM_NHAN_SU!$B$6:$B$155,0)),"SAI MÃ NV"))</f>
        <v/>
      </c>
      <c r="D651" s="86" t="n"/>
      <c r="E651" s="103">
        <f>IF(OR($B651="",$D651=""),"",IF(COUNTIF(THAM_SO_CC!$F$10:$F$40,$D651)&gt;0,"Lễ",IF(IF(THAM_SO_CC!$B$12="T7+CN",WEEKDAY($D651,2)&gt;=6,WEEKDAY($D651,2)=7),"Nghỉ tuần","Ngày thường")))</f>
        <v/>
      </c>
      <c r="F651" s="107" t="n"/>
      <c r="G651" s="107" t="n"/>
      <c r="H651" s="107" t="n"/>
      <c r="I651" s="81" t="n"/>
      <c r="J651" s="108">
        <f>IF($B651="","",IF($E651="Ngày thường",N($G651),0))</f>
        <v/>
      </c>
      <c r="K651" s="108">
        <f>IF($B651="","",IF($E651="Nghỉ tuần",N($G651),0))</f>
        <v/>
      </c>
      <c r="L651" s="108">
        <f>IF($B651="","",IF($E651="Lễ",N($G651),0))</f>
        <v/>
      </c>
      <c r="M651" s="108">
        <f>IF($B651="","",IF($E651="Ngày thường",N($H651),0))</f>
        <v/>
      </c>
      <c r="N651" s="108">
        <f>IF($B651="","",IF($E651="Nghỉ tuần",N($H651),0))</f>
        <v/>
      </c>
      <c r="O651" s="108">
        <f>IF($B651="","",IF($E651="Lễ",N($H651),0))</f>
        <v/>
      </c>
    </row>
    <row r="652" ht="15" customHeight="1" s="63">
      <c r="A652" s="85">
        <f>IF($B652="","",ROW()-5)</f>
        <v/>
      </c>
      <c r="B652" s="97" t="n"/>
      <c r="C652" s="96">
        <f>IF($B652="","",IFERROR(INDEX(DM_NHAN_SU!$C$6:$C$155,MATCH($B652,DM_NHAN_SU!$B$6:$B$155,0)),"SAI MÃ NV"))</f>
        <v/>
      </c>
      <c r="D652" s="86" t="n"/>
      <c r="E652" s="103">
        <f>IF(OR($B652="",$D652=""),"",IF(COUNTIF(THAM_SO_CC!$F$10:$F$40,$D652)&gt;0,"Lễ",IF(IF(THAM_SO_CC!$B$12="T7+CN",WEEKDAY($D652,2)&gt;=6,WEEKDAY($D652,2)=7),"Nghỉ tuần","Ngày thường")))</f>
        <v/>
      </c>
      <c r="F652" s="107" t="n"/>
      <c r="G652" s="107" t="n"/>
      <c r="H652" s="107" t="n"/>
      <c r="I652" s="81" t="n"/>
      <c r="J652" s="108">
        <f>IF($B652="","",IF($E652="Ngày thường",N($G652),0))</f>
        <v/>
      </c>
      <c r="K652" s="108">
        <f>IF($B652="","",IF($E652="Nghỉ tuần",N($G652),0))</f>
        <v/>
      </c>
      <c r="L652" s="108">
        <f>IF($B652="","",IF($E652="Lễ",N($G652),0))</f>
        <v/>
      </c>
      <c r="M652" s="108">
        <f>IF($B652="","",IF($E652="Ngày thường",N($H652),0))</f>
        <v/>
      </c>
      <c r="N652" s="108">
        <f>IF($B652="","",IF($E652="Nghỉ tuần",N($H652),0))</f>
        <v/>
      </c>
      <c r="O652" s="108">
        <f>IF($B652="","",IF($E652="Lễ",N($H652),0))</f>
        <v/>
      </c>
    </row>
    <row r="653" ht="15" customHeight="1" s="63">
      <c r="A653" s="85">
        <f>IF($B653="","",ROW()-5)</f>
        <v/>
      </c>
      <c r="B653" s="97" t="n"/>
      <c r="C653" s="96">
        <f>IF($B653="","",IFERROR(INDEX(DM_NHAN_SU!$C$6:$C$155,MATCH($B653,DM_NHAN_SU!$B$6:$B$155,0)),"SAI MÃ NV"))</f>
        <v/>
      </c>
      <c r="D653" s="86" t="n"/>
      <c r="E653" s="103">
        <f>IF(OR($B653="",$D653=""),"",IF(COUNTIF(THAM_SO_CC!$F$10:$F$40,$D653)&gt;0,"Lễ",IF(IF(THAM_SO_CC!$B$12="T7+CN",WEEKDAY($D653,2)&gt;=6,WEEKDAY($D653,2)=7),"Nghỉ tuần","Ngày thường")))</f>
        <v/>
      </c>
      <c r="F653" s="107" t="n"/>
      <c r="G653" s="107" t="n"/>
      <c r="H653" s="107" t="n"/>
      <c r="I653" s="81" t="n"/>
      <c r="J653" s="108">
        <f>IF($B653="","",IF($E653="Ngày thường",N($G653),0))</f>
        <v/>
      </c>
      <c r="K653" s="108">
        <f>IF($B653="","",IF($E653="Nghỉ tuần",N($G653),0))</f>
        <v/>
      </c>
      <c r="L653" s="108">
        <f>IF($B653="","",IF($E653="Lễ",N($G653),0))</f>
        <v/>
      </c>
      <c r="M653" s="108">
        <f>IF($B653="","",IF($E653="Ngày thường",N($H653),0))</f>
        <v/>
      </c>
      <c r="N653" s="108">
        <f>IF($B653="","",IF($E653="Nghỉ tuần",N($H653),0))</f>
        <v/>
      </c>
      <c r="O653" s="108">
        <f>IF($B653="","",IF($E653="Lễ",N($H653),0))</f>
        <v/>
      </c>
    </row>
    <row r="654" ht="15" customHeight="1" s="63">
      <c r="A654" s="85">
        <f>IF($B654="","",ROW()-5)</f>
        <v/>
      </c>
      <c r="B654" s="97" t="n"/>
      <c r="C654" s="96">
        <f>IF($B654="","",IFERROR(INDEX(DM_NHAN_SU!$C$6:$C$155,MATCH($B654,DM_NHAN_SU!$B$6:$B$155,0)),"SAI MÃ NV"))</f>
        <v/>
      </c>
      <c r="D654" s="86" t="n"/>
      <c r="E654" s="103">
        <f>IF(OR($B654="",$D654=""),"",IF(COUNTIF(THAM_SO_CC!$F$10:$F$40,$D654)&gt;0,"Lễ",IF(IF(THAM_SO_CC!$B$12="T7+CN",WEEKDAY($D654,2)&gt;=6,WEEKDAY($D654,2)=7),"Nghỉ tuần","Ngày thường")))</f>
        <v/>
      </c>
      <c r="F654" s="107" t="n"/>
      <c r="G654" s="107" t="n"/>
      <c r="H654" s="107" t="n"/>
      <c r="I654" s="81" t="n"/>
      <c r="J654" s="108">
        <f>IF($B654="","",IF($E654="Ngày thường",N($G654),0))</f>
        <v/>
      </c>
      <c r="K654" s="108">
        <f>IF($B654="","",IF($E654="Nghỉ tuần",N($G654),0))</f>
        <v/>
      </c>
      <c r="L654" s="108">
        <f>IF($B654="","",IF($E654="Lễ",N($G654),0))</f>
        <v/>
      </c>
      <c r="M654" s="108">
        <f>IF($B654="","",IF($E654="Ngày thường",N($H654),0))</f>
        <v/>
      </c>
      <c r="N654" s="108">
        <f>IF($B654="","",IF($E654="Nghỉ tuần",N($H654),0))</f>
        <v/>
      </c>
      <c r="O654" s="108">
        <f>IF($B654="","",IF($E654="Lễ",N($H654),0))</f>
        <v/>
      </c>
    </row>
    <row r="655" ht="15" customHeight="1" s="63">
      <c r="A655" s="85">
        <f>IF($B655="","",ROW()-5)</f>
        <v/>
      </c>
      <c r="B655" s="97" t="n"/>
      <c r="C655" s="96">
        <f>IF($B655="","",IFERROR(INDEX(DM_NHAN_SU!$C$6:$C$155,MATCH($B655,DM_NHAN_SU!$B$6:$B$155,0)),"SAI MÃ NV"))</f>
        <v/>
      </c>
      <c r="D655" s="86" t="n"/>
      <c r="E655" s="103">
        <f>IF(OR($B655="",$D655=""),"",IF(COUNTIF(THAM_SO_CC!$F$10:$F$40,$D655)&gt;0,"Lễ",IF(IF(THAM_SO_CC!$B$12="T7+CN",WEEKDAY($D655,2)&gt;=6,WEEKDAY($D655,2)=7),"Nghỉ tuần","Ngày thường")))</f>
        <v/>
      </c>
      <c r="F655" s="107" t="n"/>
      <c r="G655" s="107" t="n"/>
      <c r="H655" s="107" t="n"/>
      <c r="I655" s="81" t="n"/>
      <c r="J655" s="108">
        <f>IF($B655="","",IF($E655="Ngày thường",N($G655),0))</f>
        <v/>
      </c>
      <c r="K655" s="108">
        <f>IF($B655="","",IF($E655="Nghỉ tuần",N($G655),0))</f>
        <v/>
      </c>
      <c r="L655" s="108">
        <f>IF($B655="","",IF($E655="Lễ",N($G655),0))</f>
        <v/>
      </c>
      <c r="M655" s="108">
        <f>IF($B655="","",IF($E655="Ngày thường",N($H655),0))</f>
        <v/>
      </c>
      <c r="N655" s="108">
        <f>IF($B655="","",IF($E655="Nghỉ tuần",N($H655),0))</f>
        <v/>
      </c>
      <c r="O655" s="108">
        <f>IF($B655="","",IF($E655="Lễ",N($H655),0))</f>
        <v/>
      </c>
    </row>
    <row r="656" ht="15" customHeight="1" s="63">
      <c r="A656" s="85">
        <f>IF($B656="","",ROW()-5)</f>
        <v/>
      </c>
      <c r="B656" s="97" t="n"/>
      <c r="C656" s="96">
        <f>IF($B656="","",IFERROR(INDEX(DM_NHAN_SU!$C$6:$C$155,MATCH($B656,DM_NHAN_SU!$B$6:$B$155,0)),"SAI MÃ NV"))</f>
        <v/>
      </c>
      <c r="D656" s="86" t="n"/>
      <c r="E656" s="103">
        <f>IF(OR($B656="",$D656=""),"",IF(COUNTIF(THAM_SO_CC!$F$10:$F$40,$D656)&gt;0,"Lễ",IF(IF(THAM_SO_CC!$B$12="T7+CN",WEEKDAY($D656,2)&gt;=6,WEEKDAY($D656,2)=7),"Nghỉ tuần","Ngày thường")))</f>
        <v/>
      </c>
      <c r="F656" s="107" t="n"/>
      <c r="G656" s="107" t="n"/>
      <c r="H656" s="107" t="n"/>
      <c r="I656" s="81" t="n"/>
      <c r="J656" s="108">
        <f>IF($B656="","",IF($E656="Ngày thường",N($G656),0))</f>
        <v/>
      </c>
      <c r="K656" s="108">
        <f>IF($B656="","",IF($E656="Nghỉ tuần",N($G656),0))</f>
        <v/>
      </c>
      <c r="L656" s="108">
        <f>IF($B656="","",IF($E656="Lễ",N($G656),0))</f>
        <v/>
      </c>
      <c r="M656" s="108">
        <f>IF($B656="","",IF($E656="Ngày thường",N($H656),0))</f>
        <v/>
      </c>
      <c r="N656" s="108">
        <f>IF($B656="","",IF($E656="Nghỉ tuần",N($H656),0))</f>
        <v/>
      </c>
      <c r="O656" s="108">
        <f>IF($B656="","",IF($E656="Lễ",N($H656),0))</f>
        <v/>
      </c>
    </row>
    <row r="657" ht="15" customHeight="1" s="63">
      <c r="A657" s="85">
        <f>IF($B657="","",ROW()-5)</f>
        <v/>
      </c>
      <c r="B657" s="97" t="n"/>
      <c r="C657" s="96">
        <f>IF($B657="","",IFERROR(INDEX(DM_NHAN_SU!$C$6:$C$155,MATCH($B657,DM_NHAN_SU!$B$6:$B$155,0)),"SAI MÃ NV"))</f>
        <v/>
      </c>
      <c r="D657" s="86" t="n"/>
      <c r="E657" s="103">
        <f>IF(OR($B657="",$D657=""),"",IF(COUNTIF(THAM_SO_CC!$F$10:$F$40,$D657)&gt;0,"Lễ",IF(IF(THAM_SO_CC!$B$12="T7+CN",WEEKDAY($D657,2)&gt;=6,WEEKDAY($D657,2)=7),"Nghỉ tuần","Ngày thường")))</f>
        <v/>
      </c>
      <c r="F657" s="107" t="n"/>
      <c r="G657" s="107" t="n"/>
      <c r="H657" s="107" t="n"/>
      <c r="I657" s="81" t="n"/>
      <c r="J657" s="108">
        <f>IF($B657="","",IF($E657="Ngày thường",N($G657),0))</f>
        <v/>
      </c>
      <c r="K657" s="108">
        <f>IF($B657="","",IF($E657="Nghỉ tuần",N($G657),0))</f>
        <v/>
      </c>
      <c r="L657" s="108">
        <f>IF($B657="","",IF($E657="Lễ",N($G657),0))</f>
        <v/>
      </c>
      <c r="M657" s="108">
        <f>IF($B657="","",IF($E657="Ngày thường",N($H657),0))</f>
        <v/>
      </c>
      <c r="N657" s="108">
        <f>IF($B657="","",IF($E657="Nghỉ tuần",N($H657),0))</f>
        <v/>
      </c>
      <c r="O657" s="108">
        <f>IF($B657="","",IF($E657="Lễ",N($H657),0))</f>
        <v/>
      </c>
    </row>
    <row r="658" ht="15" customHeight="1" s="63">
      <c r="A658" s="85">
        <f>IF($B658="","",ROW()-5)</f>
        <v/>
      </c>
      <c r="B658" s="97" t="n"/>
      <c r="C658" s="96">
        <f>IF($B658="","",IFERROR(INDEX(DM_NHAN_SU!$C$6:$C$155,MATCH($B658,DM_NHAN_SU!$B$6:$B$155,0)),"SAI MÃ NV"))</f>
        <v/>
      </c>
      <c r="D658" s="86" t="n"/>
      <c r="E658" s="103">
        <f>IF(OR($B658="",$D658=""),"",IF(COUNTIF(THAM_SO_CC!$F$10:$F$40,$D658)&gt;0,"Lễ",IF(IF(THAM_SO_CC!$B$12="T7+CN",WEEKDAY($D658,2)&gt;=6,WEEKDAY($D658,2)=7),"Nghỉ tuần","Ngày thường")))</f>
        <v/>
      </c>
      <c r="F658" s="107" t="n"/>
      <c r="G658" s="107" t="n"/>
      <c r="H658" s="107" t="n"/>
      <c r="I658" s="81" t="n"/>
      <c r="J658" s="108">
        <f>IF($B658="","",IF($E658="Ngày thường",N($G658),0))</f>
        <v/>
      </c>
      <c r="K658" s="108">
        <f>IF($B658="","",IF($E658="Nghỉ tuần",N($G658),0))</f>
        <v/>
      </c>
      <c r="L658" s="108">
        <f>IF($B658="","",IF($E658="Lễ",N($G658),0))</f>
        <v/>
      </c>
      <c r="M658" s="108">
        <f>IF($B658="","",IF($E658="Ngày thường",N($H658),0))</f>
        <v/>
      </c>
      <c r="N658" s="108">
        <f>IF($B658="","",IF($E658="Nghỉ tuần",N($H658),0))</f>
        <v/>
      </c>
      <c r="O658" s="108">
        <f>IF($B658="","",IF($E658="Lễ",N($H658),0))</f>
        <v/>
      </c>
    </row>
    <row r="659" ht="15" customHeight="1" s="63">
      <c r="A659" s="85">
        <f>IF($B659="","",ROW()-5)</f>
        <v/>
      </c>
      <c r="B659" s="97" t="n"/>
      <c r="C659" s="96">
        <f>IF($B659="","",IFERROR(INDEX(DM_NHAN_SU!$C$6:$C$155,MATCH($B659,DM_NHAN_SU!$B$6:$B$155,0)),"SAI MÃ NV"))</f>
        <v/>
      </c>
      <c r="D659" s="86" t="n"/>
      <c r="E659" s="103">
        <f>IF(OR($B659="",$D659=""),"",IF(COUNTIF(THAM_SO_CC!$F$10:$F$40,$D659)&gt;0,"Lễ",IF(IF(THAM_SO_CC!$B$12="T7+CN",WEEKDAY($D659,2)&gt;=6,WEEKDAY($D659,2)=7),"Nghỉ tuần","Ngày thường")))</f>
        <v/>
      </c>
      <c r="F659" s="107" t="n"/>
      <c r="G659" s="107" t="n"/>
      <c r="H659" s="107" t="n"/>
      <c r="I659" s="81" t="n"/>
      <c r="J659" s="108">
        <f>IF($B659="","",IF($E659="Ngày thường",N($G659),0))</f>
        <v/>
      </c>
      <c r="K659" s="108">
        <f>IF($B659="","",IF($E659="Nghỉ tuần",N($G659),0))</f>
        <v/>
      </c>
      <c r="L659" s="108">
        <f>IF($B659="","",IF($E659="Lễ",N($G659),0))</f>
        <v/>
      </c>
      <c r="M659" s="108">
        <f>IF($B659="","",IF($E659="Ngày thường",N($H659),0))</f>
        <v/>
      </c>
      <c r="N659" s="108">
        <f>IF($B659="","",IF($E659="Nghỉ tuần",N($H659),0))</f>
        <v/>
      </c>
      <c r="O659" s="108">
        <f>IF($B659="","",IF($E659="Lễ",N($H659),0))</f>
        <v/>
      </c>
    </row>
    <row r="660" ht="15" customHeight="1" s="63">
      <c r="A660" s="85">
        <f>IF($B660="","",ROW()-5)</f>
        <v/>
      </c>
      <c r="B660" s="97" t="n"/>
      <c r="C660" s="96">
        <f>IF($B660="","",IFERROR(INDEX(DM_NHAN_SU!$C$6:$C$155,MATCH($B660,DM_NHAN_SU!$B$6:$B$155,0)),"SAI MÃ NV"))</f>
        <v/>
      </c>
      <c r="D660" s="86" t="n"/>
      <c r="E660" s="103">
        <f>IF(OR($B660="",$D660=""),"",IF(COUNTIF(THAM_SO_CC!$F$10:$F$40,$D660)&gt;0,"Lễ",IF(IF(THAM_SO_CC!$B$12="T7+CN",WEEKDAY($D660,2)&gt;=6,WEEKDAY($D660,2)=7),"Nghỉ tuần","Ngày thường")))</f>
        <v/>
      </c>
      <c r="F660" s="107" t="n"/>
      <c r="G660" s="107" t="n"/>
      <c r="H660" s="107" t="n"/>
      <c r="I660" s="81" t="n"/>
      <c r="J660" s="108">
        <f>IF($B660="","",IF($E660="Ngày thường",N($G660),0))</f>
        <v/>
      </c>
      <c r="K660" s="108">
        <f>IF($B660="","",IF($E660="Nghỉ tuần",N($G660),0))</f>
        <v/>
      </c>
      <c r="L660" s="108">
        <f>IF($B660="","",IF($E660="Lễ",N($G660),0))</f>
        <v/>
      </c>
      <c r="M660" s="108">
        <f>IF($B660="","",IF($E660="Ngày thường",N($H660),0))</f>
        <v/>
      </c>
      <c r="N660" s="108">
        <f>IF($B660="","",IF($E660="Nghỉ tuần",N($H660),0))</f>
        <v/>
      </c>
      <c r="O660" s="108">
        <f>IF($B660="","",IF($E660="Lễ",N($H660),0))</f>
        <v/>
      </c>
    </row>
    <row r="661" ht="15" customHeight="1" s="63">
      <c r="A661" s="85">
        <f>IF($B661="","",ROW()-5)</f>
        <v/>
      </c>
      <c r="B661" s="97" t="n"/>
      <c r="C661" s="96">
        <f>IF($B661="","",IFERROR(INDEX(DM_NHAN_SU!$C$6:$C$155,MATCH($B661,DM_NHAN_SU!$B$6:$B$155,0)),"SAI MÃ NV"))</f>
        <v/>
      </c>
      <c r="D661" s="86" t="n"/>
      <c r="E661" s="103">
        <f>IF(OR($B661="",$D661=""),"",IF(COUNTIF(THAM_SO_CC!$F$10:$F$40,$D661)&gt;0,"Lễ",IF(IF(THAM_SO_CC!$B$12="T7+CN",WEEKDAY($D661,2)&gt;=6,WEEKDAY($D661,2)=7),"Nghỉ tuần","Ngày thường")))</f>
        <v/>
      </c>
      <c r="F661" s="107" t="n"/>
      <c r="G661" s="107" t="n"/>
      <c r="H661" s="107" t="n"/>
      <c r="I661" s="81" t="n"/>
      <c r="J661" s="108">
        <f>IF($B661="","",IF($E661="Ngày thường",N($G661),0))</f>
        <v/>
      </c>
      <c r="K661" s="108">
        <f>IF($B661="","",IF($E661="Nghỉ tuần",N($G661),0))</f>
        <v/>
      </c>
      <c r="L661" s="108">
        <f>IF($B661="","",IF($E661="Lễ",N($G661),0))</f>
        <v/>
      </c>
      <c r="M661" s="108">
        <f>IF($B661="","",IF($E661="Ngày thường",N($H661),0))</f>
        <v/>
      </c>
      <c r="N661" s="108">
        <f>IF($B661="","",IF($E661="Nghỉ tuần",N($H661),0))</f>
        <v/>
      </c>
      <c r="O661" s="108">
        <f>IF($B661="","",IF($E661="Lễ",N($H661),0))</f>
        <v/>
      </c>
    </row>
    <row r="662" ht="15" customHeight="1" s="63">
      <c r="A662" s="85">
        <f>IF($B662="","",ROW()-5)</f>
        <v/>
      </c>
      <c r="B662" s="97" t="n"/>
      <c r="C662" s="96">
        <f>IF($B662="","",IFERROR(INDEX(DM_NHAN_SU!$C$6:$C$155,MATCH($B662,DM_NHAN_SU!$B$6:$B$155,0)),"SAI MÃ NV"))</f>
        <v/>
      </c>
      <c r="D662" s="86" t="n"/>
      <c r="E662" s="103">
        <f>IF(OR($B662="",$D662=""),"",IF(COUNTIF(THAM_SO_CC!$F$10:$F$40,$D662)&gt;0,"Lễ",IF(IF(THAM_SO_CC!$B$12="T7+CN",WEEKDAY($D662,2)&gt;=6,WEEKDAY($D662,2)=7),"Nghỉ tuần","Ngày thường")))</f>
        <v/>
      </c>
      <c r="F662" s="107" t="n"/>
      <c r="G662" s="107" t="n"/>
      <c r="H662" s="107" t="n"/>
      <c r="I662" s="81" t="n"/>
      <c r="J662" s="108">
        <f>IF($B662="","",IF($E662="Ngày thường",N($G662),0))</f>
        <v/>
      </c>
      <c r="K662" s="108">
        <f>IF($B662="","",IF($E662="Nghỉ tuần",N($G662),0))</f>
        <v/>
      </c>
      <c r="L662" s="108">
        <f>IF($B662="","",IF($E662="Lễ",N($G662),0))</f>
        <v/>
      </c>
      <c r="M662" s="108">
        <f>IF($B662="","",IF($E662="Ngày thường",N($H662),0))</f>
        <v/>
      </c>
      <c r="N662" s="108">
        <f>IF($B662="","",IF($E662="Nghỉ tuần",N($H662),0))</f>
        <v/>
      </c>
      <c r="O662" s="108">
        <f>IF($B662="","",IF($E662="Lễ",N($H662),0))</f>
        <v/>
      </c>
    </row>
    <row r="663" ht="15" customHeight="1" s="63">
      <c r="A663" s="85">
        <f>IF($B663="","",ROW()-5)</f>
        <v/>
      </c>
      <c r="B663" s="97" t="n"/>
      <c r="C663" s="96">
        <f>IF($B663="","",IFERROR(INDEX(DM_NHAN_SU!$C$6:$C$155,MATCH($B663,DM_NHAN_SU!$B$6:$B$155,0)),"SAI MÃ NV"))</f>
        <v/>
      </c>
      <c r="D663" s="86" t="n"/>
      <c r="E663" s="103">
        <f>IF(OR($B663="",$D663=""),"",IF(COUNTIF(THAM_SO_CC!$F$10:$F$40,$D663)&gt;0,"Lễ",IF(IF(THAM_SO_CC!$B$12="T7+CN",WEEKDAY($D663,2)&gt;=6,WEEKDAY($D663,2)=7),"Nghỉ tuần","Ngày thường")))</f>
        <v/>
      </c>
      <c r="F663" s="107" t="n"/>
      <c r="G663" s="107" t="n"/>
      <c r="H663" s="107" t="n"/>
      <c r="I663" s="81" t="n"/>
      <c r="J663" s="108">
        <f>IF($B663="","",IF($E663="Ngày thường",N($G663),0))</f>
        <v/>
      </c>
      <c r="K663" s="108">
        <f>IF($B663="","",IF($E663="Nghỉ tuần",N($G663),0))</f>
        <v/>
      </c>
      <c r="L663" s="108">
        <f>IF($B663="","",IF($E663="Lễ",N($G663),0))</f>
        <v/>
      </c>
      <c r="M663" s="108">
        <f>IF($B663="","",IF($E663="Ngày thường",N($H663),0))</f>
        <v/>
      </c>
      <c r="N663" s="108">
        <f>IF($B663="","",IF($E663="Nghỉ tuần",N($H663),0))</f>
        <v/>
      </c>
      <c r="O663" s="108">
        <f>IF($B663="","",IF($E663="Lễ",N($H663),0))</f>
        <v/>
      </c>
    </row>
    <row r="664" ht="15" customHeight="1" s="63">
      <c r="A664" s="85">
        <f>IF($B664="","",ROW()-5)</f>
        <v/>
      </c>
      <c r="B664" s="97" t="n"/>
      <c r="C664" s="96">
        <f>IF($B664="","",IFERROR(INDEX(DM_NHAN_SU!$C$6:$C$155,MATCH($B664,DM_NHAN_SU!$B$6:$B$155,0)),"SAI MÃ NV"))</f>
        <v/>
      </c>
      <c r="D664" s="86" t="n"/>
      <c r="E664" s="103">
        <f>IF(OR($B664="",$D664=""),"",IF(COUNTIF(THAM_SO_CC!$F$10:$F$40,$D664)&gt;0,"Lễ",IF(IF(THAM_SO_CC!$B$12="T7+CN",WEEKDAY($D664,2)&gt;=6,WEEKDAY($D664,2)=7),"Nghỉ tuần","Ngày thường")))</f>
        <v/>
      </c>
      <c r="F664" s="107" t="n"/>
      <c r="G664" s="107" t="n"/>
      <c r="H664" s="107" t="n"/>
      <c r="I664" s="81" t="n"/>
      <c r="J664" s="108">
        <f>IF($B664="","",IF($E664="Ngày thường",N($G664),0))</f>
        <v/>
      </c>
      <c r="K664" s="108">
        <f>IF($B664="","",IF($E664="Nghỉ tuần",N($G664),0))</f>
        <v/>
      </c>
      <c r="L664" s="108">
        <f>IF($B664="","",IF($E664="Lễ",N($G664),0))</f>
        <v/>
      </c>
      <c r="M664" s="108">
        <f>IF($B664="","",IF($E664="Ngày thường",N($H664),0))</f>
        <v/>
      </c>
      <c r="N664" s="108">
        <f>IF($B664="","",IF($E664="Nghỉ tuần",N($H664),0))</f>
        <v/>
      </c>
      <c r="O664" s="108">
        <f>IF($B664="","",IF($E664="Lễ",N($H664),0))</f>
        <v/>
      </c>
    </row>
    <row r="665" ht="15" customHeight="1" s="63">
      <c r="A665" s="85">
        <f>IF($B665="","",ROW()-5)</f>
        <v/>
      </c>
      <c r="B665" s="97" t="n"/>
      <c r="C665" s="96">
        <f>IF($B665="","",IFERROR(INDEX(DM_NHAN_SU!$C$6:$C$155,MATCH($B665,DM_NHAN_SU!$B$6:$B$155,0)),"SAI MÃ NV"))</f>
        <v/>
      </c>
      <c r="D665" s="86" t="n"/>
      <c r="E665" s="103">
        <f>IF(OR($B665="",$D665=""),"",IF(COUNTIF(THAM_SO_CC!$F$10:$F$40,$D665)&gt;0,"Lễ",IF(IF(THAM_SO_CC!$B$12="T7+CN",WEEKDAY($D665,2)&gt;=6,WEEKDAY($D665,2)=7),"Nghỉ tuần","Ngày thường")))</f>
        <v/>
      </c>
      <c r="F665" s="107" t="n"/>
      <c r="G665" s="107" t="n"/>
      <c r="H665" s="107" t="n"/>
      <c r="I665" s="81" t="n"/>
      <c r="J665" s="108">
        <f>IF($B665="","",IF($E665="Ngày thường",N($G665),0))</f>
        <v/>
      </c>
      <c r="K665" s="108">
        <f>IF($B665="","",IF($E665="Nghỉ tuần",N($G665),0))</f>
        <v/>
      </c>
      <c r="L665" s="108">
        <f>IF($B665="","",IF($E665="Lễ",N($G665),0))</f>
        <v/>
      </c>
      <c r="M665" s="108">
        <f>IF($B665="","",IF($E665="Ngày thường",N($H665),0))</f>
        <v/>
      </c>
      <c r="N665" s="108">
        <f>IF($B665="","",IF($E665="Nghỉ tuần",N($H665),0))</f>
        <v/>
      </c>
      <c r="O665" s="108">
        <f>IF($B665="","",IF($E665="Lễ",N($H665),0))</f>
        <v/>
      </c>
    </row>
    <row r="666" ht="15" customHeight="1" s="63">
      <c r="A666" s="85">
        <f>IF($B666="","",ROW()-5)</f>
        <v/>
      </c>
      <c r="B666" s="97" t="n"/>
      <c r="C666" s="96">
        <f>IF($B666="","",IFERROR(INDEX(DM_NHAN_SU!$C$6:$C$155,MATCH($B666,DM_NHAN_SU!$B$6:$B$155,0)),"SAI MÃ NV"))</f>
        <v/>
      </c>
      <c r="D666" s="86" t="n"/>
      <c r="E666" s="103">
        <f>IF(OR($B666="",$D666=""),"",IF(COUNTIF(THAM_SO_CC!$F$10:$F$40,$D666)&gt;0,"Lễ",IF(IF(THAM_SO_CC!$B$12="T7+CN",WEEKDAY($D666,2)&gt;=6,WEEKDAY($D666,2)=7),"Nghỉ tuần","Ngày thường")))</f>
        <v/>
      </c>
      <c r="F666" s="107" t="n"/>
      <c r="G666" s="107" t="n"/>
      <c r="H666" s="107" t="n"/>
      <c r="I666" s="81" t="n"/>
      <c r="J666" s="108">
        <f>IF($B666="","",IF($E666="Ngày thường",N($G666),0))</f>
        <v/>
      </c>
      <c r="K666" s="108">
        <f>IF($B666="","",IF($E666="Nghỉ tuần",N($G666),0))</f>
        <v/>
      </c>
      <c r="L666" s="108">
        <f>IF($B666="","",IF($E666="Lễ",N($G666),0))</f>
        <v/>
      </c>
      <c r="M666" s="108">
        <f>IF($B666="","",IF($E666="Ngày thường",N($H666),0))</f>
        <v/>
      </c>
      <c r="N666" s="108">
        <f>IF($B666="","",IF($E666="Nghỉ tuần",N($H666),0))</f>
        <v/>
      </c>
      <c r="O666" s="108">
        <f>IF($B666="","",IF($E666="Lễ",N($H666),0))</f>
        <v/>
      </c>
    </row>
    <row r="667" ht="15" customHeight="1" s="63">
      <c r="A667" s="85">
        <f>IF($B667="","",ROW()-5)</f>
        <v/>
      </c>
      <c r="B667" s="97" t="n"/>
      <c r="C667" s="96">
        <f>IF($B667="","",IFERROR(INDEX(DM_NHAN_SU!$C$6:$C$155,MATCH($B667,DM_NHAN_SU!$B$6:$B$155,0)),"SAI MÃ NV"))</f>
        <v/>
      </c>
      <c r="D667" s="86" t="n"/>
      <c r="E667" s="103">
        <f>IF(OR($B667="",$D667=""),"",IF(COUNTIF(THAM_SO_CC!$F$10:$F$40,$D667)&gt;0,"Lễ",IF(IF(THAM_SO_CC!$B$12="T7+CN",WEEKDAY($D667,2)&gt;=6,WEEKDAY($D667,2)=7),"Nghỉ tuần","Ngày thường")))</f>
        <v/>
      </c>
      <c r="F667" s="107" t="n"/>
      <c r="G667" s="107" t="n"/>
      <c r="H667" s="107" t="n"/>
      <c r="I667" s="81" t="n"/>
      <c r="J667" s="108">
        <f>IF($B667="","",IF($E667="Ngày thường",N($G667),0))</f>
        <v/>
      </c>
      <c r="K667" s="108">
        <f>IF($B667="","",IF($E667="Nghỉ tuần",N($G667),0))</f>
        <v/>
      </c>
      <c r="L667" s="108">
        <f>IF($B667="","",IF($E667="Lễ",N($G667),0))</f>
        <v/>
      </c>
      <c r="M667" s="108">
        <f>IF($B667="","",IF($E667="Ngày thường",N($H667),0))</f>
        <v/>
      </c>
      <c r="N667" s="108">
        <f>IF($B667="","",IF($E667="Nghỉ tuần",N($H667),0))</f>
        <v/>
      </c>
      <c r="O667" s="108">
        <f>IF($B667="","",IF($E667="Lễ",N($H667),0))</f>
        <v/>
      </c>
    </row>
    <row r="668" ht="15" customHeight="1" s="63">
      <c r="A668" s="85">
        <f>IF($B668="","",ROW()-5)</f>
        <v/>
      </c>
      <c r="B668" s="97" t="n"/>
      <c r="C668" s="96">
        <f>IF($B668="","",IFERROR(INDEX(DM_NHAN_SU!$C$6:$C$155,MATCH($B668,DM_NHAN_SU!$B$6:$B$155,0)),"SAI MÃ NV"))</f>
        <v/>
      </c>
      <c r="D668" s="86" t="n"/>
      <c r="E668" s="103">
        <f>IF(OR($B668="",$D668=""),"",IF(COUNTIF(THAM_SO_CC!$F$10:$F$40,$D668)&gt;0,"Lễ",IF(IF(THAM_SO_CC!$B$12="T7+CN",WEEKDAY($D668,2)&gt;=6,WEEKDAY($D668,2)=7),"Nghỉ tuần","Ngày thường")))</f>
        <v/>
      </c>
      <c r="F668" s="107" t="n"/>
      <c r="G668" s="107" t="n"/>
      <c r="H668" s="107" t="n"/>
      <c r="I668" s="81" t="n"/>
      <c r="J668" s="108">
        <f>IF($B668="","",IF($E668="Ngày thường",N($G668),0))</f>
        <v/>
      </c>
      <c r="K668" s="108">
        <f>IF($B668="","",IF($E668="Nghỉ tuần",N($G668),0))</f>
        <v/>
      </c>
      <c r="L668" s="108">
        <f>IF($B668="","",IF($E668="Lễ",N($G668),0))</f>
        <v/>
      </c>
      <c r="M668" s="108">
        <f>IF($B668="","",IF($E668="Ngày thường",N($H668),0))</f>
        <v/>
      </c>
      <c r="N668" s="108">
        <f>IF($B668="","",IF($E668="Nghỉ tuần",N($H668),0))</f>
        <v/>
      </c>
      <c r="O668" s="108">
        <f>IF($B668="","",IF($E668="Lễ",N($H668),0))</f>
        <v/>
      </c>
    </row>
    <row r="669" ht="15" customHeight="1" s="63">
      <c r="A669" s="85">
        <f>IF($B669="","",ROW()-5)</f>
        <v/>
      </c>
      <c r="B669" s="97" t="n"/>
      <c r="C669" s="96">
        <f>IF($B669="","",IFERROR(INDEX(DM_NHAN_SU!$C$6:$C$155,MATCH($B669,DM_NHAN_SU!$B$6:$B$155,0)),"SAI MÃ NV"))</f>
        <v/>
      </c>
      <c r="D669" s="86" t="n"/>
      <c r="E669" s="103">
        <f>IF(OR($B669="",$D669=""),"",IF(COUNTIF(THAM_SO_CC!$F$10:$F$40,$D669)&gt;0,"Lễ",IF(IF(THAM_SO_CC!$B$12="T7+CN",WEEKDAY($D669,2)&gt;=6,WEEKDAY($D669,2)=7),"Nghỉ tuần","Ngày thường")))</f>
        <v/>
      </c>
      <c r="F669" s="107" t="n"/>
      <c r="G669" s="107" t="n"/>
      <c r="H669" s="107" t="n"/>
      <c r="I669" s="81" t="n"/>
      <c r="J669" s="108">
        <f>IF($B669="","",IF($E669="Ngày thường",N($G669),0))</f>
        <v/>
      </c>
      <c r="K669" s="108">
        <f>IF($B669="","",IF($E669="Nghỉ tuần",N($G669),0))</f>
        <v/>
      </c>
      <c r="L669" s="108">
        <f>IF($B669="","",IF($E669="Lễ",N($G669),0))</f>
        <v/>
      </c>
      <c r="M669" s="108">
        <f>IF($B669="","",IF($E669="Ngày thường",N($H669),0))</f>
        <v/>
      </c>
      <c r="N669" s="108">
        <f>IF($B669="","",IF($E669="Nghỉ tuần",N($H669),0))</f>
        <v/>
      </c>
      <c r="O669" s="108">
        <f>IF($B669="","",IF($E669="Lễ",N($H669),0))</f>
        <v/>
      </c>
    </row>
    <row r="670" ht="15" customHeight="1" s="63">
      <c r="A670" s="85">
        <f>IF($B670="","",ROW()-5)</f>
        <v/>
      </c>
      <c r="B670" s="97" t="n"/>
      <c r="C670" s="96">
        <f>IF($B670="","",IFERROR(INDEX(DM_NHAN_SU!$C$6:$C$155,MATCH($B670,DM_NHAN_SU!$B$6:$B$155,0)),"SAI MÃ NV"))</f>
        <v/>
      </c>
      <c r="D670" s="86" t="n"/>
      <c r="E670" s="103">
        <f>IF(OR($B670="",$D670=""),"",IF(COUNTIF(THAM_SO_CC!$F$10:$F$40,$D670)&gt;0,"Lễ",IF(IF(THAM_SO_CC!$B$12="T7+CN",WEEKDAY($D670,2)&gt;=6,WEEKDAY($D670,2)=7),"Nghỉ tuần","Ngày thường")))</f>
        <v/>
      </c>
      <c r="F670" s="107" t="n"/>
      <c r="G670" s="107" t="n"/>
      <c r="H670" s="107" t="n"/>
      <c r="I670" s="81" t="n"/>
      <c r="J670" s="108">
        <f>IF($B670="","",IF($E670="Ngày thường",N($G670),0))</f>
        <v/>
      </c>
      <c r="K670" s="108">
        <f>IF($B670="","",IF($E670="Nghỉ tuần",N($G670),0))</f>
        <v/>
      </c>
      <c r="L670" s="108">
        <f>IF($B670="","",IF($E670="Lễ",N($G670),0))</f>
        <v/>
      </c>
      <c r="M670" s="108">
        <f>IF($B670="","",IF($E670="Ngày thường",N($H670),0))</f>
        <v/>
      </c>
      <c r="N670" s="108">
        <f>IF($B670="","",IF($E670="Nghỉ tuần",N($H670),0))</f>
        <v/>
      </c>
      <c r="O670" s="108">
        <f>IF($B670="","",IF($E670="Lễ",N($H670),0))</f>
        <v/>
      </c>
    </row>
    <row r="671" ht="15" customHeight="1" s="63">
      <c r="A671" s="85">
        <f>IF($B671="","",ROW()-5)</f>
        <v/>
      </c>
      <c r="B671" s="97" t="n"/>
      <c r="C671" s="96">
        <f>IF($B671="","",IFERROR(INDEX(DM_NHAN_SU!$C$6:$C$155,MATCH($B671,DM_NHAN_SU!$B$6:$B$155,0)),"SAI MÃ NV"))</f>
        <v/>
      </c>
      <c r="D671" s="86" t="n"/>
      <c r="E671" s="103">
        <f>IF(OR($B671="",$D671=""),"",IF(COUNTIF(THAM_SO_CC!$F$10:$F$40,$D671)&gt;0,"Lễ",IF(IF(THAM_SO_CC!$B$12="T7+CN",WEEKDAY($D671,2)&gt;=6,WEEKDAY($D671,2)=7),"Nghỉ tuần","Ngày thường")))</f>
        <v/>
      </c>
      <c r="F671" s="107" t="n"/>
      <c r="G671" s="107" t="n"/>
      <c r="H671" s="107" t="n"/>
      <c r="I671" s="81" t="n"/>
      <c r="J671" s="108">
        <f>IF($B671="","",IF($E671="Ngày thường",N($G671),0))</f>
        <v/>
      </c>
      <c r="K671" s="108">
        <f>IF($B671="","",IF($E671="Nghỉ tuần",N($G671),0))</f>
        <v/>
      </c>
      <c r="L671" s="108">
        <f>IF($B671="","",IF($E671="Lễ",N($G671),0))</f>
        <v/>
      </c>
      <c r="M671" s="108">
        <f>IF($B671="","",IF($E671="Ngày thường",N($H671),0))</f>
        <v/>
      </c>
      <c r="N671" s="108">
        <f>IF($B671="","",IF($E671="Nghỉ tuần",N($H671),0))</f>
        <v/>
      </c>
      <c r="O671" s="108">
        <f>IF($B671="","",IF($E671="Lễ",N($H671),0))</f>
        <v/>
      </c>
    </row>
    <row r="672" ht="15" customHeight="1" s="63">
      <c r="A672" s="85">
        <f>IF($B672="","",ROW()-5)</f>
        <v/>
      </c>
      <c r="B672" s="97" t="n"/>
      <c r="C672" s="96">
        <f>IF($B672="","",IFERROR(INDEX(DM_NHAN_SU!$C$6:$C$155,MATCH($B672,DM_NHAN_SU!$B$6:$B$155,0)),"SAI MÃ NV"))</f>
        <v/>
      </c>
      <c r="D672" s="86" t="n"/>
      <c r="E672" s="103">
        <f>IF(OR($B672="",$D672=""),"",IF(COUNTIF(THAM_SO_CC!$F$10:$F$40,$D672)&gt;0,"Lễ",IF(IF(THAM_SO_CC!$B$12="T7+CN",WEEKDAY($D672,2)&gt;=6,WEEKDAY($D672,2)=7),"Nghỉ tuần","Ngày thường")))</f>
        <v/>
      </c>
      <c r="F672" s="107" t="n"/>
      <c r="G672" s="107" t="n"/>
      <c r="H672" s="107" t="n"/>
      <c r="I672" s="81" t="n"/>
      <c r="J672" s="108">
        <f>IF($B672="","",IF($E672="Ngày thường",N($G672),0))</f>
        <v/>
      </c>
      <c r="K672" s="108">
        <f>IF($B672="","",IF($E672="Nghỉ tuần",N($G672),0))</f>
        <v/>
      </c>
      <c r="L672" s="108">
        <f>IF($B672="","",IF($E672="Lễ",N($G672),0))</f>
        <v/>
      </c>
      <c r="M672" s="108">
        <f>IF($B672="","",IF($E672="Ngày thường",N($H672),0))</f>
        <v/>
      </c>
      <c r="N672" s="108">
        <f>IF($B672="","",IF($E672="Nghỉ tuần",N($H672),0))</f>
        <v/>
      </c>
      <c r="O672" s="108">
        <f>IF($B672="","",IF($E672="Lễ",N($H672),0))</f>
        <v/>
      </c>
    </row>
    <row r="673" ht="15" customHeight="1" s="63">
      <c r="A673" s="85">
        <f>IF($B673="","",ROW()-5)</f>
        <v/>
      </c>
      <c r="B673" s="97" t="n"/>
      <c r="C673" s="96">
        <f>IF($B673="","",IFERROR(INDEX(DM_NHAN_SU!$C$6:$C$155,MATCH($B673,DM_NHAN_SU!$B$6:$B$155,0)),"SAI MÃ NV"))</f>
        <v/>
      </c>
      <c r="D673" s="86" t="n"/>
      <c r="E673" s="103">
        <f>IF(OR($B673="",$D673=""),"",IF(COUNTIF(THAM_SO_CC!$F$10:$F$40,$D673)&gt;0,"Lễ",IF(IF(THAM_SO_CC!$B$12="T7+CN",WEEKDAY($D673,2)&gt;=6,WEEKDAY($D673,2)=7),"Nghỉ tuần","Ngày thường")))</f>
        <v/>
      </c>
      <c r="F673" s="107" t="n"/>
      <c r="G673" s="107" t="n"/>
      <c r="H673" s="107" t="n"/>
      <c r="I673" s="81" t="n"/>
      <c r="J673" s="108">
        <f>IF($B673="","",IF($E673="Ngày thường",N($G673),0))</f>
        <v/>
      </c>
      <c r="K673" s="108">
        <f>IF($B673="","",IF($E673="Nghỉ tuần",N($G673),0))</f>
        <v/>
      </c>
      <c r="L673" s="108">
        <f>IF($B673="","",IF($E673="Lễ",N($G673),0))</f>
        <v/>
      </c>
      <c r="M673" s="108">
        <f>IF($B673="","",IF($E673="Ngày thường",N($H673),0))</f>
        <v/>
      </c>
      <c r="N673" s="108">
        <f>IF($B673="","",IF($E673="Nghỉ tuần",N($H673),0))</f>
        <v/>
      </c>
      <c r="O673" s="108">
        <f>IF($B673="","",IF($E673="Lễ",N($H673),0))</f>
        <v/>
      </c>
    </row>
    <row r="674" ht="15" customHeight="1" s="63">
      <c r="A674" s="85">
        <f>IF($B674="","",ROW()-5)</f>
        <v/>
      </c>
      <c r="B674" s="97" t="n"/>
      <c r="C674" s="96">
        <f>IF($B674="","",IFERROR(INDEX(DM_NHAN_SU!$C$6:$C$155,MATCH($B674,DM_NHAN_SU!$B$6:$B$155,0)),"SAI MÃ NV"))</f>
        <v/>
      </c>
      <c r="D674" s="86" t="n"/>
      <c r="E674" s="103">
        <f>IF(OR($B674="",$D674=""),"",IF(COUNTIF(THAM_SO_CC!$F$10:$F$40,$D674)&gt;0,"Lễ",IF(IF(THAM_SO_CC!$B$12="T7+CN",WEEKDAY($D674,2)&gt;=6,WEEKDAY($D674,2)=7),"Nghỉ tuần","Ngày thường")))</f>
        <v/>
      </c>
      <c r="F674" s="107" t="n"/>
      <c r="G674" s="107" t="n"/>
      <c r="H674" s="107" t="n"/>
      <c r="I674" s="81" t="n"/>
      <c r="J674" s="108">
        <f>IF($B674="","",IF($E674="Ngày thường",N($G674),0))</f>
        <v/>
      </c>
      <c r="K674" s="108">
        <f>IF($B674="","",IF($E674="Nghỉ tuần",N($G674),0))</f>
        <v/>
      </c>
      <c r="L674" s="108">
        <f>IF($B674="","",IF($E674="Lễ",N($G674),0))</f>
        <v/>
      </c>
      <c r="M674" s="108">
        <f>IF($B674="","",IF($E674="Ngày thường",N($H674),0))</f>
        <v/>
      </c>
      <c r="N674" s="108">
        <f>IF($B674="","",IF($E674="Nghỉ tuần",N($H674),0))</f>
        <v/>
      </c>
      <c r="O674" s="108">
        <f>IF($B674="","",IF($E674="Lễ",N($H674),0))</f>
        <v/>
      </c>
    </row>
    <row r="675" ht="15" customHeight="1" s="63">
      <c r="A675" s="85">
        <f>IF($B675="","",ROW()-5)</f>
        <v/>
      </c>
      <c r="B675" s="97" t="n"/>
      <c r="C675" s="96">
        <f>IF($B675="","",IFERROR(INDEX(DM_NHAN_SU!$C$6:$C$155,MATCH($B675,DM_NHAN_SU!$B$6:$B$155,0)),"SAI MÃ NV"))</f>
        <v/>
      </c>
      <c r="D675" s="86" t="n"/>
      <c r="E675" s="103">
        <f>IF(OR($B675="",$D675=""),"",IF(COUNTIF(THAM_SO_CC!$F$10:$F$40,$D675)&gt;0,"Lễ",IF(IF(THAM_SO_CC!$B$12="T7+CN",WEEKDAY($D675,2)&gt;=6,WEEKDAY($D675,2)=7),"Nghỉ tuần","Ngày thường")))</f>
        <v/>
      </c>
      <c r="F675" s="107" t="n"/>
      <c r="G675" s="107" t="n"/>
      <c r="H675" s="107" t="n"/>
      <c r="I675" s="81" t="n"/>
      <c r="J675" s="108">
        <f>IF($B675="","",IF($E675="Ngày thường",N($G675),0))</f>
        <v/>
      </c>
      <c r="K675" s="108">
        <f>IF($B675="","",IF($E675="Nghỉ tuần",N($G675),0))</f>
        <v/>
      </c>
      <c r="L675" s="108">
        <f>IF($B675="","",IF($E675="Lễ",N($G675),0))</f>
        <v/>
      </c>
      <c r="M675" s="108">
        <f>IF($B675="","",IF($E675="Ngày thường",N($H675),0))</f>
        <v/>
      </c>
      <c r="N675" s="108">
        <f>IF($B675="","",IF($E675="Nghỉ tuần",N($H675),0))</f>
        <v/>
      </c>
      <c r="O675" s="108">
        <f>IF($B675="","",IF($E675="Lễ",N($H675),0))</f>
        <v/>
      </c>
    </row>
    <row r="676" ht="15" customHeight="1" s="63">
      <c r="A676" s="85">
        <f>IF($B676="","",ROW()-5)</f>
        <v/>
      </c>
      <c r="B676" s="97" t="n"/>
      <c r="C676" s="96">
        <f>IF($B676="","",IFERROR(INDEX(DM_NHAN_SU!$C$6:$C$155,MATCH($B676,DM_NHAN_SU!$B$6:$B$155,0)),"SAI MÃ NV"))</f>
        <v/>
      </c>
      <c r="D676" s="86" t="n"/>
      <c r="E676" s="103">
        <f>IF(OR($B676="",$D676=""),"",IF(COUNTIF(THAM_SO_CC!$F$10:$F$40,$D676)&gt;0,"Lễ",IF(IF(THAM_SO_CC!$B$12="T7+CN",WEEKDAY($D676,2)&gt;=6,WEEKDAY($D676,2)=7),"Nghỉ tuần","Ngày thường")))</f>
        <v/>
      </c>
      <c r="F676" s="107" t="n"/>
      <c r="G676" s="107" t="n"/>
      <c r="H676" s="107" t="n"/>
      <c r="I676" s="81" t="n"/>
      <c r="J676" s="108">
        <f>IF($B676="","",IF($E676="Ngày thường",N($G676),0))</f>
        <v/>
      </c>
      <c r="K676" s="108">
        <f>IF($B676="","",IF($E676="Nghỉ tuần",N($G676),0))</f>
        <v/>
      </c>
      <c r="L676" s="108">
        <f>IF($B676="","",IF($E676="Lễ",N($G676),0))</f>
        <v/>
      </c>
      <c r="M676" s="108">
        <f>IF($B676="","",IF($E676="Ngày thường",N($H676),0))</f>
        <v/>
      </c>
      <c r="N676" s="108">
        <f>IF($B676="","",IF($E676="Nghỉ tuần",N($H676),0))</f>
        <v/>
      </c>
      <c r="O676" s="108">
        <f>IF($B676="","",IF($E676="Lễ",N($H676),0))</f>
        <v/>
      </c>
    </row>
    <row r="677" ht="15" customHeight="1" s="63">
      <c r="A677" s="85">
        <f>IF($B677="","",ROW()-5)</f>
        <v/>
      </c>
      <c r="B677" s="97" t="n"/>
      <c r="C677" s="96">
        <f>IF($B677="","",IFERROR(INDEX(DM_NHAN_SU!$C$6:$C$155,MATCH($B677,DM_NHAN_SU!$B$6:$B$155,0)),"SAI MÃ NV"))</f>
        <v/>
      </c>
      <c r="D677" s="86" t="n"/>
      <c r="E677" s="103">
        <f>IF(OR($B677="",$D677=""),"",IF(COUNTIF(THAM_SO_CC!$F$10:$F$40,$D677)&gt;0,"Lễ",IF(IF(THAM_SO_CC!$B$12="T7+CN",WEEKDAY($D677,2)&gt;=6,WEEKDAY($D677,2)=7),"Nghỉ tuần","Ngày thường")))</f>
        <v/>
      </c>
      <c r="F677" s="107" t="n"/>
      <c r="G677" s="107" t="n"/>
      <c r="H677" s="107" t="n"/>
      <c r="I677" s="81" t="n"/>
      <c r="J677" s="108">
        <f>IF($B677="","",IF($E677="Ngày thường",N($G677),0))</f>
        <v/>
      </c>
      <c r="K677" s="108">
        <f>IF($B677="","",IF($E677="Nghỉ tuần",N($G677),0))</f>
        <v/>
      </c>
      <c r="L677" s="108">
        <f>IF($B677="","",IF($E677="Lễ",N($G677),0))</f>
        <v/>
      </c>
      <c r="M677" s="108">
        <f>IF($B677="","",IF($E677="Ngày thường",N($H677),0))</f>
        <v/>
      </c>
      <c r="N677" s="108">
        <f>IF($B677="","",IF($E677="Nghỉ tuần",N($H677),0))</f>
        <v/>
      </c>
      <c r="O677" s="108">
        <f>IF($B677="","",IF($E677="Lễ",N($H677),0))</f>
        <v/>
      </c>
    </row>
    <row r="678" ht="15" customHeight="1" s="63">
      <c r="A678" s="85">
        <f>IF($B678="","",ROW()-5)</f>
        <v/>
      </c>
      <c r="B678" s="97" t="n"/>
      <c r="C678" s="96">
        <f>IF($B678="","",IFERROR(INDEX(DM_NHAN_SU!$C$6:$C$155,MATCH($B678,DM_NHAN_SU!$B$6:$B$155,0)),"SAI MÃ NV"))</f>
        <v/>
      </c>
      <c r="D678" s="86" t="n"/>
      <c r="E678" s="103">
        <f>IF(OR($B678="",$D678=""),"",IF(COUNTIF(THAM_SO_CC!$F$10:$F$40,$D678)&gt;0,"Lễ",IF(IF(THAM_SO_CC!$B$12="T7+CN",WEEKDAY($D678,2)&gt;=6,WEEKDAY($D678,2)=7),"Nghỉ tuần","Ngày thường")))</f>
        <v/>
      </c>
      <c r="F678" s="107" t="n"/>
      <c r="G678" s="107" t="n"/>
      <c r="H678" s="107" t="n"/>
      <c r="I678" s="81" t="n"/>
      <c r="J678" s="108">
        <f>IF($B678="","",IF($E678="Ngày thường",N($G678),0))</f>
        <v/>
      </c>
      <c r="K678" s="108">
        <f>IF($B678="","",IF($E678="Nghỉ tuần",N($G678),0))</f>
        <v/>
      </c>
      <c r="L678" s="108">
        <f>IF($B678="","",IF($E678="Lễ",N($G678),0))</f>
        <v/>
      </c>
      <c r="M678" s="108">
        <f>IF($B678="","",IF($E678="Ngày thường",N($H678),0))</f>
        <v/>
      </c>
      <c r="N678" s="108">
        <f>IF($B678="","",IF($E678="Nghỉ tuần",N($H678),0))</f>
        <v/>
      </c>
      <c r="O678" s="108">
        <f>IF($B678="","",IF($E678="Lễ",N($H678),0))</f>
        <v/>
      </c>
    </row>
    <row r="679" ht="15" customHeight="1" s="63">
      <c r="A679" s="85">
        <f>IF($B679="","",ROW()-5)</f>
        <v/>
      </c>
      <c r="B679" s="97" t="n"/>
      <c r="C679" s="96">
        <f>IF($B679="","",IFERROR(INDEX(DM_NHAN_SU!$C$6:$C$155,MATCH($B679,DM_NHAN_SU!$B$6:$B$155,0)),"SAI MÃ NV"))</f>
        <v/>
      </c>
      <c r="D679" s="86" t="n"/>
      <c r="E679" s="103">
        <f>IF(OR($B679="",$D679=""),"",IF(COUNTIF(THAM_SO_CC!$F$10:$F$40,$D679)&gt;0,"Lễ",IF(IF(THAM_SO_CC!$B$12="T7+CN",WEEKDAY($D679,2)&gt;=6,WEEKDAY($D679,2)=7),"Nghỉ tuần","Ngày thường")))</f>
        <v/>
      </c>
      <c r="F679" s="107" t="n"/>
      <c r="G679" s="107" t="n"/>
      <c r="H679" s="107" t="n"/>
      <c r="I679" s="81" t="n"/>
      <c r="J679" s="108">
        <f>IF($B679="","",IF($E679="Ngày thường",N($G679),0))</f>
        <v/>
      </c>
      <c r="K679" s="108">
        <f>IF($B679="","",IF($E679="Nghỉ tuần",N($G679),0))</f>
        <v/>
      </c>
      <c r="L679" s="108">
        <f>IF($B679="","",IF($E679="Lễ",N($G679),0))</f>
        <v/>
      </c>
      <c r="M679" s="108">
        <f>IF($B679="","",IF($E679="Ngày thường",N($H679),0))</f>
        <v/>
      </c>
      <c r="N679" s="108">
        <f>IF($B679="","",IF($E679="Nghỉ tuần",N($H679),0))</f>
        <v/>
      </c>
      <c r="O679" s="108">
        <f>IF($B679="","",IF($E679="Lễ",N($H679),0))</f>
        <v/>
      </c>
    </row>
    <row r="680" ht="15" customHeight="1" s="63">
      <c r="A680" s="85">
        <f>IF($B680="","",ROW()-5)</f>
        <v/>
      </c>
      <c r="B680" s="97" t="n"/>
      <c r="C680" s="96">
        <f>IF($B680="","",IFERROR(INDEX(DM_NHAN_SU!$C$6:$C$155,MATCH($B680,DM_NHAN_SU!$B$6:$B$155,0)),"SAI MÃ NV"))</f>
        <v/>
      </c>
      <c r="D680" s="86" t="n"/>
      <c r="E680" s="103">
        <f>IF(OR($B680="",$D680=""),"",IF(COUNTIF(THAM_SO_CC!$F$10:$F$40,$D680)&gt;0,"Lễ",IF(IF(THAM_SO_CC!$B$12="T7+CN",WEEKDAY($D680,2)&gt;=6,WEEKDAY($D680,2)=7),"Nghỉ tuần","Ngày thường")))</f>
        <v/>
      </c>
      <c r="F680" s="107" t="n"/>
      <c r="G680" s="107" t="n"/>
      <c r="H680" s="107" t="n"/>
      <c r="I680" s="81" t="n"/>
      <c r="J680" s="108">
        <f>IF($B680="","",IF($E680="Ngày thường",N($G680),0))</f>
        <v/>
      </c>
      <c r="K680" s="108">
        <f>IF($B680="","",IF($E680="Nghỉ tuần",N($G680),0))</f>
        <v/>
      </c>
      <c r="L680" s="108">
        <f>IF($B680="","",IF($E680="Lễ",N($G680),0))</f>
        <v/>
      </c>
      <c r="M680" s="108">
        <f>IF($B680="","",IF($E680="Ngày thường",N($H680),0))</f>
        <v/>
      </c>
      <c r="N680" s="108">
        <f>IF($B680="","",IF($E680="Nghỉ tuần",N($H680),0))</f>
        <v/>
      </c>
      <c r="O680" s="108">
        <f>IF($B680="","",IF($E680="Lễ",N($H680),0))</f>
        <v/>
      </c>
    </row>
    <row r="681" ht="15" customHeight="1" s="63">
      <c r="A681" s="85">
        <f>IF($B681="","",ROW()-5)</f>
        <v/>
      </c>
      <c r="B681" s="97" t="n"/>
      <c r="C681" s="96">
        <f>IF($B681="","",IFERROR(INDEX(DM_NHAN_SU!$C$6:$C$155,MATCH($B681,DM_NHAN_SU!$B$6:$B$155,0)),"SAI MÃ NV"))</f>
        <v/>
      </c>
      <c r="D681" s="86" t="n"/>
      <c r="E681" s="103">
        <f>IF(OR($B681="",$D681=""),"",IF(COUNTIF(THAM_SO_CC!$F$10:$F$40,$D681)&gt;0,"Lễ",IF(IF(THAM_SO_CC!$B$12="T7+CN",WEEKDAY($D681,2)&gt;=6,WEEKDAY($D681,2)=7),"Nghỉ tuần","Ngày thường")))</f>
        <v/>
      </c>
      <c r="F681" s="107" t="n"/>
      <c r="G681" s="107" t="n"/>
      <c r="H681" s="107" t="n"/>
      <c r="I681" s="81" t="n"/>
      <c r="J681" s="108">
        <f>IF($B681="","",IF($E681="Ngày thường",N($G681),0))</f>
        <v/>
      </c>
      <c r="K681" s="108">
        <f>IF($B681="","",IF($E681="Nghỉ tuần",N($G681),0))</f>
        <v/>
      </c>
      <c r="L681" s="108">
        <f>IF($B681="","",IF($E681="Lễ",N($G681),0))</f>
        <v/>
      </c>
      <c r="M681" s="108">
        <f>IF($B681="","",IF($E681="Ngày thường",N($H681),0))</f>
        <v/>
      </c>
      <c r="N681" s="108">
        <f>IF($B681="","",IF($E681="Nghỉ tuần",N($H681),0))</f>
        <v/>
      </c>
      <c r="O681" s="108">
        <f>IF($B681="","",IF($E681="Lễ",N($H681),0))</f>
        <v/>
      </c>
    </row>
    <row r="682" ht="15" customHeight="1" s="63">
      <c r="A682" s="85">
        <f>IF($B682="","",ROW()-5)</f>
        <v/>
      </c>
      <c r="B682" s="97" t="n"/>
      <c r="C682" s="96">
        <f>IF($B682="","",IFERROR(INDEX(DM_NHAN_SU!$C$6:$C$155,MATCH($B682,DM_NHAN_SU!$B$6:$B$155,0)),"SAI MÃ NV"))</f>
        <v/>
      </c>
      <c r="D682" s="86" t="n"/>
      <c r="E682" s="103">
        <f>IF(OR($B682="",$D682=""),"",IF(COUNTIF(THAM_SO_CC!$F$10:$F$40,$D682)&gt;0,"Lễ",IF(IF(THAM_SO_CC!$B$12="T7+CN",WEEKDAY($D682,2)&gt;=6,WEEKDAY($D682,2)=7),"Nghỉ tuần","Ngày thường")))</f>
        <v/>
      </c>
      <c r="F682" s="107" t="n"/>
      <c r="G682" s="107" t="n"/>
      <c r="H682" s="107" t="n"/>
      <c r="I682" s="81" t="n"/>
      <c r="J682" s="108">
        <f>IF($B682="","",IF($E682="Ngày thường",N($G682),0))</f>
        <v/>
      </c>
      <c r="K682" s="108">
        <f>IF($B682="","",IF($E682="Nghỉ tuần",N($G682),0))</f>
        <v/>
      </c>
      <c r="L682" s="108">
        <f>IF($B682="","",IF($E682="Lễ",N($G682),0))</f>
        <v/>
      </c>
      <c r="M682" s="108">
        <f>IF($B682="","",IF($E682="Ngày thường",N($H682),0))</f>
        <v/>
      </c>
      <c r="N682" s="108">
        <f>IF($B682="","",IF($E682="Nghỉ tuần",N($H682),0))</f>
        <v/>
      </c>
      <c r="O682" s="108">
        <f>IF($B682="","",IF($E682="Lễ",N($H682),0))</f>
        <v/>
      </c>
    </row>
    <row r="683" ht="15" customHeight="1" s="63">
      <c r="A683" s="85">
        <f>IF($B683="","",ROW()-5)</f>
        <v/>
      </c>
      <c r="B683" s="97" t="n"/>
      <c r="C683" s="96">
        <f>IF($B683="","",IFERROR(INDEX(DM_NHAN_SU!$C$6:$C$155,MATCH($B683,DM_NHAN_SU!$B$6:$B$155,0)),"SAI MÃ NV"))</f>
        <v/>
      </c>
      <c r="D683" s="86" t="n"/>
      <c r="E683" s="103">
        <f>IF(OR($B683="",$D683=""),"",IF(COUNTIF(THAM_SO_CC!$F$10:$F$40,$D683)&gt;0,"Lễ",IF(IF(THAM_SO_CC!$B$12="T7+CN",WEEKDAY($D683,2)&gt;=6,WEEKDAY($D683,2)=7),"Nghỉ tuần","Ngày thường")))</f>
        <v/>
      </c>
      <c r="F683" s="107" t="n"/>
      <c r="G683" s="107" t="n"/>
      <c r="H683" s="107" t="n"/>
      <c r="I683" s="81" t="n"/>
      <c r="J683" s="108">
        <f>IF($B683="","",IF($E683="Ngày thường",N($G683),0))</f>
        <v/>
      </c>
      <c r="K683" s="108">
        <f>IF($B683="","",IF($E683="Nghỉ tuần",N($G683),0))</f>
        <v/>
      </c>
      <c r="L683" s="108">
        <f>IF($B683="","",IF($E683="Lễ",N($G683),0))</f>
        <v/>
      </c>
      <c r="M683" s="108">
        <f>IF($B683="","",IF($E683="Ngày thường",N($H683),0))</f>
        <v/>
      </c>
      <c r="N683" s="108">
        <f>IF($B683="","",IF($E683="Nghỉ tuần",N($H683),0))</f>
        <v/>
      </c>
      <c r="O683" s="108">
        <f>IF($B683="","",IF($E683="Lễ",N($H683),0))</f>
        <v/>
      </c>
    </row>
    <row r="684" ht="15" customHeight="1" s="63">
      <c r="A684" s="85">
        <f>IF($B684="","",ROW()-5)</f>
        <v/>
      </c>
      <c r="B684" s="97" t="n"/>
      <c r="C684" s="96">
        <f>IF($B684="","",IFERROR(INDEX(DM_NHAN_SU!$C$6:$C$155,MATCH($B684,DM_NHAN_SU!$B$6:$B$155,0)),"SAI MÃ NV"))</f>
        <v/>
      </c>
      <c r="D684" s="86" t="n"/>
      <c r="E684" s="103">
        <f>IF(OR($B684="",$D684=""),"",IF(COUNTIF(THAM_SO_CC!$F$10:$F$40,$D684)&gt;0,"Lễ",IF(IF(THAM_SO_CC!$B$12="T7+CN",WEEKDAY($D684,2)&gt;=6,WEEKDAY($D684,2)=7),"Nghỉ tuần","Ngày thường")))</f>
        <v/>
      </c>
      <c r="F684" s="107" t="n"/>
      <c r="G684" s="107" t="n"/>
      <c r="H684" s="107" t="n"/>
      <c r="I684" s="81" t="n"/>
      <c r="J684" s="108">
        <f>IF($B684="","",IF($E684="Ngày thường",N($G684),0))</f>
        <v/>
      </c>
      <c r="K684" s="108">
        <f>IF($B684="","",IF($E684="Nghỉ tuần",N($G684),0))</f>
        <v/>
      </c>
      <c r="L684" s="108">
        <f>IF($B684="","",IF($E684="Lễ",N($G684),0))</f>
        <v/>
      </c>
      <c r="M684" s="108">
        <f>IF($B684="","",IF($E684="Ngày thường",N($H684),0))</f>
        <v/>
      </c>
      <c r="N684" s="108">
        <f>IF($B684="","",IF($E684="Nghỉ tuần",N($H684),0))</f>
        <v/>
      </c>
      <c r="O684" s="108">
        <f>IF($B684="","",IF($E684="Lễ",N($H684),0))</f>
        <v/>
      </c>
    </row>
    <row r="685" ht="15" customHeight="1" s="63">
      <c r="A685" s="85">
        <f>IF($B685="","",ROW()-5)</f>
        <v/>
      </c>
      <c r="B685" s="97" t="n"/>
      <c r="C685" s="96">
        <f>IF($B685="","",IFERROR(INDEX(DM_NHAN_SU!$C$6:$C$155,MATCH($B685,DM_NHAN_SU!$B$6:$B$155,0)),"SAI MÃ NV"))</f>
        <v/>
      </c>
      <c r="D685" s="86" t="n"/>
      <c r="E685" s="103">
        <f>IF(OR($B685="",$D685=""),"",IF(COUNTIF(THAM_SO_CC!$F$10:$F$40,$D685)&gt;0,"Lễ",IF(IF(THAM_SO_CC!$B$12="T7+CN",WEEKDAY($D685,2)&gt;=6,WEEKDAY($D685,2)=7),"Nghỉ tuần","Ngày thường")))</f>
        <v/>
      </c>
      <c r="F685" s="107" t="n"/>
      <c r="G685" s="107" t="n"/>
      <c r="H685" s="107" t="n"/>
      <c r="I685" s="81" t="n"/>
      <c r="J685" s="108">
        <f>IF($B685="","",IF($E685="Ngày thường",N($G685),0))</f>
        <v/>
      </c>
      <c r="K685" s="108">
        <f>IF($B685="","",IF($E685="Nghỉ tuần",N($G685),0))</f>
        <v/>
      </c>
      <c r="L685" s="108">
        <f>IF($B685="","",IF($E685="Lễ",N($G685),0))</f>
        <v/>
      </c>
      <c r="M685" s="108">
        <f>IF($B685="","",IF($E685="Ngày thường",N($H685),0))</f>
        <v/>
      </c>
      <c r="N685" s="108">
        <f>IF($B685="","",IF($E685="Nghỉ tuần",N($H685),0))</f>
        <v/>
      </c>
      <c r="O685" s="108">
        <f>IF($B685="","",IF($E685="Lễ",N($H685),0))</f>
        <v/>
      </c>
    </row>
    <row r="686" ht="15" customHeight="1" s="63">
      <c r="A686" s="85">
        <f>IF($B686="","",ROW()-5)</f>
        <v/>
      </c>
      <c r="B686" s="97" t="n"/>
      <c r="C686" s="96">
        <f>IF($B686="","",IFERROR(INDEX(DM_NHAN_SU!$C$6:$C$155,MATCH($B686,DM_NHAN_SU!$B$6:$B$155,0)),"SAI MÃ NV"))</f>
        <v/>
      </c>
      <c r="D686" s="86" t="n"/>
      <c r="E686" s="103">
        <f>IF(OR($B686="",$D686=""),"",IF(COUNTIF(THAM_SO_CC!$F$10:$F$40,$D686)&gt;0,"Lễ",IF(IF(THAM_SO_CC!$B$12="T7+CN",WEEKDAY($D686,2)&gt;=6,WEEKDAY($D686,2)=7),"Nghỉ tuần","Ngày thường")))</f>
        <v/>
      </c>
      <c r="F686" s="107" t="n"/>
      <c r="G686" s="107" t="n"/>
      <c r="H686" s="107" t="n"/>
      <c r="I686" s="81" t="n"/>
      <c r="J686" s="108">
        <f>IF($B686="","",IF($E686="Ngày thường",N($G686),0))</f>
        <v/>
      </c>
      <c r="K686" s="108">
        <f>IF($B686="","",IF($E686="Nghỉ tuần",N($G686),0))</f>
        <v/>
      </c>
      <c r="L686" s="108">
        <f>IF($B686="","",IF($E686="Lễ",N($G686),0))</f>
        <v/>
      </c>
      <c r="M686" s="108">
        <f>IF($B686="","",IF($E686="Ngày thường",N($H686),0))</f>
        <v/>
      </c>
      <c r="N686" s="108">
        <f>IF($B686="","",IF($E686="Nghỉ tuần",N($H686),0))</f>
        <v/>
      </c>
      <c r="O686" s="108">
        <f>IF($B686="","",IF($E686="Lễ",N($H686),0))</f>
        <v/>
      </c>
    </row>
    <row r="687" ht="15" customHeight="1" s="63">
      <c r="A687" s="85">
        <f>IF($B687="","",ROW()-5)</f>
        <v/>
      </c>
      <c r="B687" s="97" t="n"/>
      <c r="C687" s="96">
        <f>IF($B687="","",IFERROR(INDEX(DM_NHAN_SU!$C$6:$C$155,MATCH($B687,DM_NHAN_SU!$B$6:$B$155,0)),"SAI MÃ NV"))</f>
        <v/>
      </c>
      <c r="D687" s="86" t="n"/>
      <c r="E687" s="103">
        <f>IF(OR($B687="",$D687=""),"",IF(COUNTIF(THAM_SO_CC!$F$10:$F$40,$D687)&gt;0,"Lễ",IF(IF(THAM_SO_CC!$B$12="T7+CN",WEEKDAY($D687,2)&gt;=6,WEEKDAY($D687,2)=7),"Nghỉ tuần","Ngày thường")))</f>
        <v/>
      </c>
      <c r="F687" s="107" t="n"/>
      <c r="G687" s="107" t="n"/>
      <c r="H687" s="107" t="n"/>
      <c r="I687" s="81" t="n"/>
      <c r="J687" s="108">
        <f>IF($B687="","",IF($E687="Ngày thường",N($G687),0))</f>
        <v/>
      </c>
      <c r="K687" s="108">
        <f>IF($B687="","",IF($E687="Nghỉ tuần",N($G687),0))</f>
        <v/>
      </c>
      <c r="L687" s="108">
        <f>IF($B687="","",IF($E687="Lễ",N($G687),0))</f>
        <v/>
      </c>
      <c r="M687" s="108">
        <f>IF($B687="","",IF($E687="Ngày thường",N($H687),0))</f>
        <v/>
      </c>
      <c r="N687" s="108">
        <f>IF($B687="","",IF($E687="Nghỉ tuần",N($H687),0))</f>
        <v/>
      </c>
      <c r="O687" s="108">
        <f>IF($B687="","",IF($E687="Lễ",N($H687),0))</f>
        <v/>
      </c>
    </row>
    <row r="688" ht="15" customHeight="1" s="63">
      <c r="A688" s="85">
        <f>IF($B688="","",ROW()-5)</f>
        <v/>
      </c>
      <c r="B688" s="97" t="n"/>
      <c r="C688" s="96">
        <f>IF($B688="","",IFERROR(INDEX(DM_NHAN_SU!$C$6:$C$155,MATCH($B688,DM_NHAN_SU!$B$6:$B$155,0)),"SAI MÃ NV"))</f>
        <v/>
      </c>
      <c r="D688" s="86" t="n"/>
      <c r="E688" s="103">
        <f>IF(OR($B688="",$D688=""),"",IF(COUNTIF(THAM_SO_CC!$F$10:$F$40,$D688)&gt;0,"Lễ",IF(IF(THAM_SO_CC!$B$12="T7+CN",WEEKDAY($D688,2)&gt;=6,WEEKDAY($D688,2)=7),"Nghỉ tuần","Ngày thường")))</f>
        <v/>
      </c>
      <c r="F688" s="107" t="n"/>
      <c r="G688" s="107" t="n"/>
      <c r="H688" s="107" t="n"/>
      <c r="I688" s="81" t="n"/>
      <c r="J688" s="108">
        <f>IF($B688="","",IF($E688="Ngày thường",N($G688),0))</f>
        <v/>
      </c>
      <c r="K688" s="108">
        <f>IF($B688="","",IF($E688="Nghỉ tuần",N($G688),0))</f>
        <v/>
      </c>
      <c r="L688" s="108">
        <f>IF($B688="","",IF($E688="Lễ",N($G688),0))</f>
        <v/>
      </c>
      <c r="M688" s="108">
        <f>IF($B688="","",IF($E688="Ngày thường",N($H688),0))</f>
        <v/>
      </c>
      <c r="N688" s="108">
        <f>IF($B688="","",IF($E688="Nghỉ tuần",N($H688),0))</f>
        <v/>
      </c>
      <c r="O688" s="108">
        <f>IF($B688="","",IF($E688="Lễ",N($H688),0))</f>
        <v/>
      </c>
    </row>
    <row r="689" ht="15" customHeight="1" s="63">
      <c r="A689" s="85">
        <f>IF($B689="","",ROW()-5)</f>
        <v/>
      </c>
      <c r="B689" s="97" t="n"/>
      <c r="C689" s="96">
        <f>IF($B689="","",IFERROR(INDEX(DM_NHAN_SU!$C$6:$C$155,MATCH($B689,DM_NHAN_SU!$B$6:$B$155,0)),"SAI MÃ NV"))</f>
        <v/>
      </c>
      <c r="D689" s="86" t="n"/>
      <c r="E689" s="103">
        <f>IF(OR($B689="",$D689=""),"",IF(COUNTIF(THAM_SO_CC!$F$10:$F$40,$D689)&gt;0,"Lễ",IF(IF(THAM_SO_CC!$B$12="T7+CN",WEEKDAY($D689,2)&gt;=6,WEEKDAY($D689,2)=7),"Nghỉ tuần","Ngày thường")))</f>
        <v/>
      </c>
      <c r="F689" s="107" t="n"/>
      <c r="G689" s="107" t="n"/>
      <c r="H689" s="107" t="n"/>
      <c r="I689" s="81" t="n"/>
      <c r="J689" s="108">
        <f>IF($B689="","",IF($E689="Ngày thường",N($G689),0))</f>
        <v/>
      </c>
      <c r="K689" s="108">
        <f>IF($B689="","",IF($E689="Nghỉ tuần",N($G689),0))</f>
        <v/>
      </c>
      <c r="L689" s="108">
        <f>IF($B689="","",IF($E689="Lễ",N($G689),0))</f>
        <v/>
      </c>
      <c r="M689" s="108">
        <f>IF($B689="","",IF($E689="Ngày thường",N($H689),0))</f>
        <v/>
      </c>
      <c r="N689" s="108">
        <f>IF($B689="","",IF($E689="Nghỉ tuần",N($H689),0))</f>
        <v/>
      </c>
      <c r="O689" s="108">
        <f>IF($B689="","",IF($E689="Lễ",N($H689),0))</f>
        <v/>
      </c>
    </row>
    <row r="690" ht="15" customHeight="1" s="63">
      <c r="A690" s="85">
        <f>IF($B690="","",ROW()-5)</f>
        <v/>
      </c>
      <c r="B690" s="97" t="n"/>
      <c r="C690" s="96">
        <f>IF($B690="","",IFERROR(INDEX(DM_NHAN_SU!$C$6:$C$155,MATCH($B690,DM_NHAN_SU!$B$6:$B$155,0)),"SAI MÃ NV"))</f>
        <v/>
      </c>
      <c r="D690" s="86" t="n"/>
      <c r="E690" s="103">
        <f>IF(OR($B690="",$D690=""),"",IF(COUNTIF(THAM_SO_CC!$F$10:$F$40,$D690)&gt;0,"Lễ",IF(IF(THAM_SO_CC!$B$12="T7+CN",WEEKDAY($D690,2)&gt;=6,WEEKDAY($D690,2)=7),"Nghỉ tuần","Ngày thường")))</f>
        <v/>
      </c>
      <c r="F690" s="107" t="n"/>
      <c r="G690" s="107" t="n"/>
      <c r="H690" s="107" t="n"/>
      <c r="I690" s="81" t="n"/>
      <c r="J690" s="108">
        <f>IF($B690="","",IF($E690="Ngày thường",N($G690),0))</f>
        <v/>
      </c>
      <c r="K690" s="108">
        <f>IF($B690="","",IF($E690="Nghỉ tuần",N($G690),0))</f>
        <v/>
      </c>
      <c r="L690" s="108">
        <f>IF($B690="","",IF($E690="Lễ",N($G690),0))</f>
        <v/>
      </c>
      <c r="M690" s="108">
        <f>IF($B690="","",IF($E690="Ngày thường",N($H690),0))</f>
        <v/>
      </c>
      <c r="N690" s="108">
        <f>IF($B690="","",IF($E690="Nghỉ tuần",N($H690),0))</f>
        <v/>
      </c>
      <c r="O690" s="108">
        <f>IF($B690="","",IF($E690="Lễ",N($H690),0))</f>
        <v/>
      </c>
    </row>
    <row r="691" ht="15" customHeight="1" s="63">
      <c r="A691" s="85">
        <f>IF($B691="","",ROW()-5)</f>
        <v/>
      </c>
      <c r="B691" s="97" t="n"/>
      <c r="C691" s="96">
        <f>IF($B691="","",IFERROR(INDEX(DM_NHAN_SU!$C$6:$C$155,MATCH($B691,DM_NHAN_SU!$B$6:$B$155,0)),"SAI MÃ NV"))</f>
        <v/>
      </c>
      <c r="D691" s="86" t="n"/>
      <c r="E691" s="103">
        <f>IF(OR($B691="",$D691=""),"",IF(COUNTIF(THAM_SO_CC!$F$10:$F$40,$D691)&gt;0,"Lễ",IF(IF(THAM_SO_CC!$B$12="T7+CN",WEEKDAY($D691,2)&gt;=6,WEEKDAY($D691,2)=7),"Nghỉ tuần","Ngày thường")))</f>
        <v/>
      </c>
      <c r="F691" s="107" t="n"/>
      <c r="G691" s="107" t="n"/>
      <c r="H691" s="107" t="n"/>
      <c r="I691" s="81" t="n"/>
      <c r="J691" s="108">
        <f>IF($B691="","",IF($E691="Ngày thường",N($G691),0))</f>
        <v/>
      </c>
      <c r="K691" s="108">
        <f>IF($B691="","",IF($E691="Nghỉ tuần",N($G691),0))</f>
        <v/>
      </c>
      <c r="L691" s="108">
        <f>IF($B691="","",IF($E691="Lễ",N($G691),0))</f>
        <v/>
      </c>
      <c r="M691" s="108">
        <f>IF($B691="","",IF($E691="Ngày thường",N($H691),0))</f>
        <v/>
      </c>
      <c r="N691" s="108">
        <f>IF($B691="","",IF($E691="Nghỉ tuần",N($H691),0))</f>
        <v/>
      </c>
      <c r="O691" s="108">
        <f>IF($B691="","",IF($E691="Lễ",N($H691),0))</f>
        <v/>
      </c>
    </row>
    <row r="692" ht="15" customHeight="1" s="63">
      <c r="A692" s="85">
        <f>IF($B692="","",ROW()-5)</f>
        <v/>
      </c>
      <c r="B692" s="97" t="n"/>
      <c r="C692" s="96">
        <f>IF($B692="","",IFERROR(INDEX(DM_NHAN_SU!$C$6:$C$155,MATCH($B692,DM_NHAN_SU!$B$6:$B$155,0)),"SAI MÃ NV"))</f>
        <v/>
      </c>
      <c r="D692" s="86" t="n"/>
      <c r="E692" s="103">
        <f>IF(OR($B692="",$D692=""),"",IF(COUNTIF(THAM_SO_CC!$F$10:$F$40,$D692)&gt;0,"Lễ",IF(IF(THAM_SO_CC!$B$12="T7+CN",WEEKDAY($D692,2)&gt;=6,WEEKDAY($D692,2)=7),"Nghỉ tuần","Ngày thường")))</f>
        <v/>
      </c>
      <c r="F692" s="107" t="n"/>
      <c r="G692" s="107" t="n"/>
      <c r="H692" s="107" t="n"/>
      <c r="I692" s="81" t="n"/>
      <c r="J692" s="108">
        <f>IF($B692="","",IF($E692="Ngày thường",N($G692),0))</f>
        <v/>
      </c>
      <c r="K692" s="108">
        <f>IF($B692="","",IF($E692="Nghỉ tuần",N($G692),0))</f>
        <v/>
      </c>
      <c r="L692" s="108">
        <f>IF($B692="","",IF($E692="Lễ",N($G692),0))</f>
        <v/>
      </c>
      <c r="M692" s="108">
        <f>IF($B692="","",IF($E692="Ngày thường",N($H692),0))</f>
        <v/>
      </c>
      <c r="N692" s="108">
        <f>IF($B692="","",IF($E692="Nghỉ tuần",N($H692),0))</f>
        <v/>
      </c>
      <c r="O692" s="108">
        <f>IF($B692="","",IF($E692="Lễ",N($H692),0))</f>
        <v/>
      </c>
    </row>
    <row r="693" ht="15" customHeight="1" s="63">
      <c r="A693" s="85">
        <f>IF($B693="","",ROW()-5)</f>
        <v/>
      </c>
      <c r="B693" s="97" t="n"/>
      <c r="C693" s="96">
        <f>IF($B693="","",IFERROR(INDEX(DM_NHAN_SU!$C$6:$C$155,MATCH($B693,DM_NHAN_SU!$B$6:$B$155,0)),"SAI MÃ NV"))</f>
        <v/>
      </c>
      <c r="D693" s="86" t="n"/>
      <c r="E693" s="103">
        <f>IF(OR($B693="",$D693=""),"",IF(COUNTIF(THAM_SO_CC!$F$10:$F$40,$D693)&gt;0,"Lễ",IF(IF(THAM_SO_CC!$B$12="T7+CN",WEEKDAY($D693,2)&gt;=6,WEEKDAY($D693,2)=7),"Nghỉ tuần","Ngày thường")))</f>
        <v/>
      </c>
      <c r="F693" s="107" t="n"/>
      <c r="G693" s="107" t="n"/>
      <c r="H693" s="107" t="n"/>
      <c r="I693" s="81" t="n"/>
      <c r="J693" s="108">
        <f>IF($B693="","",IF($E693="Ngày thường",N($G693),0))</f>
        <v/>
      </c>
      <c r="K693" s="108">
        <f>IF($B693="","",IF($E693="Nghỉ tuần",N($G693),0))</f>
        <v/>
      </c>
      <c r="L693" s="108">
        <f>IF($B693="","",IF($E693="Lễ",N($G693),0))</f>
        <v/>
      </c>
      <c r="M693" s="108">
        <f>IF($B693="","",IF($E693="Ngày thường",N($H693),0))</f>
        <v/>
      </c>
      <c r="N693" s="108">
        <f>IF($B693="","",IF($E693="Nghỉ tuần",N($H693),0))</f>
        <v/>
      </c>
      <c r="O693" s="108">
        <f>IF($B693="","",IF($E693="Lễ",N($H693),0))</f>
        <v/>
      </c>
    </row>
    <row r="694" ht="15" customHeight="1" s="63">
      <c r="A694" s="85">
        <f>IF($B694="","",ROW()-5)</f>
        <v/>
      </c>
      <c r="B694" s="97" t="n"/>
      <c r="C694" s="96">
        <f>IF($B694="","",IFERROR(INDEX(DM_NHAN_SU!$C$6:$C$155,MATCH($B694,DM_NHAN_SU!$B$6:$B$155,0)),"SAI MÃ NV"))</f>
        <v/>
      </c>
      <c r="D694" s="86" t="n"/>
      <c r="E694" s="103">
        <f>IF(OR($B694="",$D694=""),"",IF(COUNTIF(THAM_SO_CC!$F$10:$F$40,$D694)&gt;0,"Lễ",IF(IF(THAM_SO_CC!$B$12="T7+CN",WEEKDAY($D694,2)&gt;=6,WEEKDAY($D694,2)=7),"Nghỉ tuần","Ngày thường")))</f>
        <v/>
      </c>
      <c r="F694" s="107" t="n"/>
      <c r="G694" s="107" t="n"/>
      <c r="H694" s="107" t="n"/>
      <c r="I694" s="81" t="n"/>
      <c r="J694" s="108">
        <f>IF($B694="","",IF($E694="Ngày thường",N($G694),0))</f>
        <v/>
      </c>
      <c r="K694" s="108">
        <f>IF($B694="","",IF($E694="Nghỉ tuần",N($G694),0))</f>
        <v/>
      </c>
      <c r="L694" s="108">
        <f>IF($B694="","",IF($E694="Lễ",N($G694),0))</f>
        <v/>
      </c>
      <c r="M694" s="108">
        <f>IF($B694="","",IF($E694="Ngày thường",N($H694),0))</f>
        <v/>
      </c>
      <c r="N694" s="108">
        <f>IF($B694="","",IF($E694="Nghỉ tuần",N($H694),0))</f>
        <v/>
      </c>
      <c r="O694" s="108">
        <f>IF($B694="","",IF($E694="Lễ",N($H694),0))</f>
        <v/>
      </c>
    </row>
    <row r="695" ht="15" customHeight="1" s="63">
      <c r="A695" s="85">
        <f>IF($B695="","",ROW()-5)</f>
        <v/>
      </c>
      <c r="B695" s="97" t="n"/>
      <c r="C695" s="96">
        <f>IF($B695="","",IFERROR(INDEX(DM_NHAN_SU!$C$6:$C$155,MATCH($B695,DM_NHAN_SU!$B$6:$B$155,0)),"SAI MÃ NV"))</f>
        <v/>
      </c>
      <c r="D695" s="86" t="n"/>
      <c r="E695" s="103">
        <f>IF(OR($B695="",$D695=""),"",IF(COUNTIF(THAM_SO_CC!$F$10:$F$40,$D695)&gt;0,"Lễ",IF(IF(THAM_SO_CC!$B$12="T7+CN",WEEKDAY($D695,2)&gt;=6,WEEKDAY($D695,2)=7),"Nghỉ tuần","Ngày thường")))</f>
        <v/>
      </c>
      <c r="F695" s="107" t="n"/>
      <c r="G695" s="107" t="n"/>
      <c r="H695" s="107" t="n"/>
      <c r="I695" s="81" t="n"/>
      <c r="J695" s="108">
        <f>IF($B695="","",IF($E695="Ngày thường",N($G695),0))</f>
        <v/>
      </c>
      <c r="K695" s="108">
        <f>IF($B695="","",IF($E695="Nghỉ tuần",N($G695),0))</f>
        <v/>
      </c>
      <c r="L695" s="108">
        <f>IF($B695="","",IF($E695="Lễ",N($G695),0))</f>
        <v/>
      </c>
      <c r="M695" s="108">
        <f>IF($B695="","",IF($E695="Ngày thường",N($H695),0))</f>
        <v/>
      </c>
      <c r="N695" s="108">
        <f>IF($B695="","",IF($E695="Nghỉ tuần",N($H695),0))</f>
        <v/>
      </c>
      <c r="O695" s="108">
        <f>IF($B695="","",IF($E695="Lễ",N($H695),0))</f>
        <v/>
      </c>
    </row>
    <row r="696" ht="15" customHeight="1" s="63">
      <c r="A696" s="85">
        <f>IF($B696="","",ROW()-5)</f>
        <v/>
      </c>
      <c r="B696" s="97" t="n"/>
      <c r="C696" s="96">
        <f>IF($B696="","",IFERROR(INDEX(DM_NHAN_SU!$C$6:$C$155,MATCH($B696,DM_NHAN_SU!$B$6:$B$155,0)),"SAI MÃ NV"))</f>
        <v/>
      </c>
      <c r="D696" s="86" t="n"/>
      <c r="E696" s="103">
        <f>IF(OR($B696="",$D696=""),"",IF(COUNTIF(THAM_SO_CC!$F$10:$F$40,$D696)&gt;0,"Lễ",IF(IF(THAM_SO_CC!$B$12="T7+CN",WEEKDAY($D696,2)&gt;=6,WEEKDAY($D696,2)=7),"Nghỉ tuần","Ngày thường")))</f>
        <v/>
      </c>
      <c r="F696" s="107" t="n"/>
      <c r="G696" s="107" t="n"/>
      <c r="H696" s="107" t="n"/>
      <c r="I696" s="81" t="n"/>
      <c r="J696" s="108">
        <f>IF($B696="","",IF($E696="Ngày thường",N($G696),0))</f>
        <v/>
      </c>
      <c r="K696" s="108">
        <f>IF($B696="","",IF($E696="Nghỉ tuần",N($G696),0))</f>
        <v/>
      </c>
      <c r="L696" s="108">
        <f>IF($B696="","",IF($E696="Lễ",N($G696),0))</f>
        <v/>
      </c>
      <c r="M696" s="108">
        <f>IF($B696="","",IF($E696="Ngày thường",N($H696),0))</f>
        <v/>
      </c>
      <c r="N696" s="108">
        <f>IF($B696="","",IF($E696="Nghỉ tuần",N($H696),0))</f>
        <v/>
      </c>
      <c r="O696" s="108">
        <f>IF($B696="","",IF($E696="Lễ",N($H696),0))</f>
        <v/>
      </c>
    </row>
    <row r="697" ht="15" customHeight="1" s="63">
      <c r="A697" s="85">
        <f>IF($B697="","",ROW()-5)</f>
        <v/>
      </c>
      <c r="B697" s="97" t="n"/>
      <c r="C697" s="96">
        <f>IF($B697="","",IFERROR(INDEX(DM_NHAN_SU!$C$6:$C$155,MATCH($B697,DM_NHAN_SU!$B$6:$B$155,0)),"SAI MÃ NV"))</f>
        <v/>
      </c>
      <c r="D697" s="86" t="n"/>
      <c r="E697" s="103">
        <f>IF(OR($B697="",$D697=""),"",IF(COUNTIF(THAM_SO_CC!$F$10:$F$40,$D697)&gt;0,"Lễ",IF(IF(THAM_SO_CC!$B$12="T7+CN",WEEKDAY($D697,2)&gt;=6,WEEKDAY($D697,2)=7),"Nghỉ tuần","Ngày thường")))</f>
        <v/>
      </c>
      <c r="F697" s="107" t="n"/>
      <c r="G697" s="107" t="n"/>
      <c r="H697" s="107" t="n"/>
      <c r="I697" s="81" t="n"/>
      <c r="J697" s="108">
        <f>IF($B697="","",IF($E697="Ngày thường",N($G697),0))</f>
        <v/>
      </c>
      <c r="K697" s="108">
        <f>IF($B697="","",IF($E697="Nghỉ tuần",N($G697),0))</f>
        <v/>
      </c>
      <c r="L697" s="108">
        <f>IF($B697="","",IF($E697="Lễ",N($G697),0))</f>
        <v/>
      </c>
      <c r="M697" s="108">
        <f>IF($B697="","",IF($E697="Ngày thường",N($H697),0))</f>
        <v/>
      </c>
      <c r="N697" s="108">
        <f>IF($B697="","",IF($E697="Nghỉ tuần",N($H697),0))</f>
        <v/>
      </c>
      <c r="O697" s="108">
        <f>IF($B697="","",IF($E697="Lễ",N($H697),0))</f>
        <v/>
      </c>
    </row>
    <row r="698" ht="15" customHeight="1" s="63">
      <c r="A698" s="85">
        <f>IF($B698="","",ROW()-5)</f>
        <v/>
      </c>
      <c r="B698" s="97" t="n"/>
      <c r="C698" s="96">
        <f>IF($B698="","",IFERROR(INDEX(DM_NHAN_SU!$C$6:$C$155,MATCH($B698,DM_NHAN_SU!$B$6:$B$155,0)),"SAI MÃ NV"))</f>
        <v/>
      </c>
      <c r="D698" s="86" t="n"/>
      <c r="E698" s="103">
        <f>IF(OR($B698="",$D698=""),"",IF(COUNTIF(THAM_SO_CC!$F$10:$F$40,$D698)&gt;0,"Lễ",IF(IF(THAM_SO_CC!$B$12="T7+CN",WEEKDAY($D698,2)&gt;=6,WEEKDAY($D698,2)=7),"Nghỉ tuần","Ngày thường")))</f>
        <v/>
      </c>
      <c r="F698" s="107" t="n"/>
      <c r="G698" s="107" t="n"/>
      <c r="H698" s="107" t="n"/>
      <c r="I698" s="81" t="n"/>
      <c r="J698" s="108">
        <f>IF($B698="","",IF($E698="Ngày thường",N($G698),0))</f>
        <v/>
      </c>
      <c r="K698" s="108">
        <f>IF($B698="","",IF($E698="Nghỉ tuần",N($G698),0))</f>
        <v/>
      </c>
      <c r="L698" s="108">
        <f>IF($B698="","",IF($E698="Lễ",N($G698),0))</f>
        <v/>
      </c>
      <c r="M698" s="108">
        <f>IF($B698="","",IF($E698="Ngày thường",N($H698),0))</f>
        <v/>
      </c>
      <c r="N698" s="108">
        <f>IF($B698="","",IF($E698="Nghỉ tuần",N($H698),0))</f>
        <v/>
      </c>
      <c r="O698" s="108">
        <f>IF($B698="","",IF($E698="Lễ",N($H698),0))</f>
        <v/>
      </c>
    </row>
    <row r="699" ht="15" customHeight="1" s="63">
      <c r="A699" s="85">
        <f>IF($B699="","",ROW()-5)</f>
        <v/>
      </c>
      <c r="B699" s="97" t="n"/>
      <c r="C699" s="96">
        <f>IF($B699="","",IFERROR(INDEX(DM_NHAN_SU!$C$6:$C$155,MATCH($B699,DM_NHAN_SU!$B$6:$B$155,0)),"SAI MÃ NV"))</f>
        <v/>
      </c>
      <c r="D699" s="86" t="n"/>
      <c r="E699" s="103">
        <f>IF(OR($B699="",$D699=""),"",IF(COUNTIF(THAM_SO_CC!$F$10:$F$40,$D699)&gt;0,"Lễ",IF(IF(THAM_SO_CC!$B$12="T7+CN",WEEKDAY($D699,2)&gt;=6,WEEKDAY($D699,2)=7),"Nghỉ tuần","Ngày thường")))</f>
        <v/>
      </c>
      <c r="F699" s="107" t="n"/>
      <c r="G699" s="107" t="n"/>
      <c r="H699" s="107" t="n"/>
      <c r="I699" s="81" t="n"/>
      <c r="J699" s="108">
        <f>IF($B699="","",IF($E699="Ngày thường",N($G699),0))</f>
        <v/>
      </c>
      <c r="K699" s="108">
        <f>IF($B699="","",IF($E699="Nghỉ tuần",N($G699),0))</f>
        <v/>
      </c>
      <c r="L699" s="108">
        <f>IF($B699="","",IF($E699="Lễ",N($G699),0))</f>
        <v/>
      </c>
      <c r="M699" s="108">
        <f>IF($B699="","",IF($E699="Ngày thường",N($H699),0))</f>
        <v/>
      </c>
      <c r="N699" s="108">
        <f>IF($B699="","",IF($E699="Nghỉ tuần",N($H699),0))</f>
        <v/>
      </c>
      <c r="O699" s="108">
        <f>IF($B699="","",IF($E699="Lễ",N($H699),0))</f>
        <v/>
      </c>
    </row>
    <row r="700" ht="15" customHeight="1" s="63">
      <c r="A700" s="85">
        <f>IF($B700="","",ROW()-5)</f>
        <v/>
      </c>
      <c r="B700" s="97" t="n"/>
      <c r="C700" s="96">
        <f>IF($B700="","",IFERROR(INDEX(DM_NHAN_SU!$C$6:$C$155,MATCH($B700,DM_NHAN_SU!$B$6:$B$155,0)),"SAI MÃ NV"))</f>
        <v/>
      </c>
      <c r="D700" s="86" t="n"/>
      <c r="E700" s="103">
        <f>IF(OR($B700="",$D700=""),"",IF(COUNTIF(THAM_SO_CC!$F$10:$F$40,$D700)&gt;0,"Lễ",IF(IF(THAM_SO_CC!$B$12="T7+CN",WEEKDAY($D700,2)&gt;=6,WEEKDAY($D700,2)=7),"Nghỉ tuần","Ngày thường")))</f>
        <v/>
      </c>
      <c r="F700" s="107" t="n"/>
      <c r="G700" s="107" t="n"/>
      <c r="H700" s="107" t="n"/>
      <c r="I700" s="81" t="n"/>
      <c r="J700" s="108">
        <f>IF($B700="","",IF($E700="Ngày thường",N($G700),0))</f>
        <v/>
      </c>
      <c r="K700" s="108">
        <f>IF($B700="","",IF($E700="Nghỉ tuần",N($G700),0))</f>
        <v/>
      </c>
      <c r="L700" s="108">
        <f>IF($B700="","",IF($E700="Lễ",N($G700),0))</f>
        <v/>
      </c>
      <c r="M700" s="108">
        <f>IF($B700="","",IF($E700="Ngày thường",N($H700),0))</f>
        <v/>
      </c>
      <c r="N700" s="108">
        <f>IF($B700="","",IF($E700="Nghỉ tuần",N($H700),0))</f>
        <v/>
      </c>
      <c r="O700" s="108">
        <f>IF($B700="","",IF($E700="Lễ",N($H700),0))</f>
        <v/>
      </c>
    </row>
    <row r="701" ht="15" customHeight="1" s="63">
      <c r="A701" s="85">
        <f>IF($B701="","",ROW()-5)</f>
        <v/>
      </c>
      <c r="B701" s="97" t="n"/>
      <c r="C701" s="96">
        <f>IF($B701="","",IFERROR(INDEX(DM_NHAN_SU!$C$6:$C$155,MATCH($B701,DM_NHAN_SU!$B$6:$B$155,0)),"SAI MÃ NV"))</f>
        <v/>
      </c>
      <c r="D701" s="86" t="n"/>
      <c r="E701" s="103">
        <f>IF(OR($B701="",$D701=""),"",IF(COUNTIF(THAM_SO_CC!$F$10:$F$40,$D701)&gt;0,"Lễ",IF(IF(THAM_SO_CC!$B$12="T7+CN",WEEKDAY($D701,2)&gt;=6,WEEKDAY($D701,2)=7),"Nghỉ tuần","Ngày thường")))</f>
        <v/>
      </c>
      <c r="F701" s="107" t="n"/>
      <c r="G701" s="107" t="n"/>
      <c r="H701" s="107" t="n"/>
      <c r="I701" s="81" t="n"/>
      <c r="J701" s="108">
        <f>IF($B701="","",IF($E701="Ngày thường",N($G701),0))</f>
        <v/>
      </c>
      <c r="K701" s="108">
        <f>IF($B701="","",IF($E701="Nghỉ tuần",N($G701),0))</f>
        <v/>
      </c>
      <c r="L701" s="108">
        <f>IF($B701="","",IF($E701="Lễ",N($G701),0))</f>
        <v/>
      </c>
      <c r="M701" s="108">
        <f>IF($B701="","",IF($E701="Ngày thường",N($H701),0))</f>
        <v/>
      </c>
      <c r="N701" s="108">
        <f>IF($B701="","",IF($E701="Nghỉ tuần",N($H701),0))</f>
        <v/>
      </c>
      <c r="O701" s="108">
        <f>IF($B701="","",IF($E701="Lễ",N($H701),0))</f>
        <v/>
      </c>
    </row>
    <row r="702" ht="15" customHeight="1" s="63">
      <c r="A702" s="85">
        <f>IF($B702="","",ROW()-5)</f>
        <v/>
      </c>
      <c r="B702" s="97" t="n"/>
      <c r="C702" s="96">
        <f>IF($B702="","",IFERROR(INDEX(DM_NHAN_SU!$C$6:$C$155,MATCH($B702,DM_NHAN_SU!$B$6:$B$155,0)),"SAI MÃ NV"))</f>
        <v/>
      </c>
      <c r="D702" s="86" t="n"/>
      <c r="E702" s="103">
        <f>IF(OR($B702="",$D702=""),"",IF(COUNTIF(THAM_SO_CC!$F$10:$F$40,$D702)&gt;0,"Lễ",IF(IF(THAM_SO_CC!$B$12="T7+CN",WEEKDAY($D702,2)&gt;=6,WEEKDAY($D702,2)=7),"Nghỉ tuần","Ngày thường")))</f>
        <v/>
      </c>
      <c r="F702" s="107" t="n"/>
      <c r="G702" s="107" t="n"/>
      <c r="H702" s="107" t="n"/>
      <c r="I702" s="81" t="n"/>
      <c r="J702" s="108">
        <f>IF($B702="","",IF($E702="Ngày thường",N($G702),0))</f>
        <v/>
      </c>
      <c r="K702" s="108">
        <f>IF($B702="","",IF($E702="Nghỉ tuần",N($G702),0))</f>
        <v/>
      </c>
      <c r="L702" s="108">
        <f>IF($B702="","",IF($E702="Lễ",N($G702),0))</f>
        <v/>
      </c>
      <c r="M702" s="108">
        <f>IF($B702="","",IF($E702="Ngày thường",N($H702),0))</f>
        <v/>
      </c>
      <c r="N702" s="108">
        <f>IF($B702="","",IF($E702="Nghỉ tuần",N($H702),0))</f>
        <v/>
      </c>
      <c r="O702" s="108">
        <f>IF($B702="","",IF($E702="Lễ",N($H702),0))</f>
        <v/>
      </c>
    </row>
    <row r="703" ht="15" customHeight="1" s="63">
      <c r="A703" s="85">
        <f>IF($B703="","",ROW()-5)</f>
        <v/>
      </c>
      <c r="B703" s="97" t="n"/>
      <c r="C703" s="96">
        <f>IF($B703="","",IFERROR(INDEX(DM_NHAN_SU!$C$6:$C$155,MATCH($B703,DM_NHAN_SU!$B$6:$B$155,0)),"SAI MÃ NV"))</f>
        <v/>
      </c>
      <c r="D703" s="86" t="n"/>
      <c r="E703" s="103">
        <f>IF(OR($B703="",$D703=""),"",IF(COUNTIF(THAM_SO_CC!$F$10:$F$40,$D703)&gt;0,"Lễ",IF(IF(THAM_SO_CC!$B$12="T7+CN",WEEKDAY($D703,2)&gt;=6,WEEKDAY($D703,2)=7),"Nghỉ tuần","Ngày thường")))</f>
        <v/>
      </c>
      <c r="F703" s="107" t="n"/>
      <c r="G703" s="107" t="n"/>
      <c r="H703" s="107" t="n"/>
      <c r="I703" s="81" t="n"/>
      <c r="J703" s="108">
        <f>IF($B703="","",IF($E703="Ngày thường",N($G703),0))</f>
        <v/>
      </c>
      <c r="K703" s="108">
        <f>IF($B703="","",IF($E703="Nghỉ tuần",N($G703),0))</f>
        <v/>
      </c>
      <c r="L703" s="108">
        <f>IF($B703="","",IF($E703="Lễ",N($G703),0))</f>
        <v/>
      </c>
      <c r="M703" s="108">
        <f>IF($B703="","",IF($E703="Ngày thường",N($H703),0))</f>
        <v/>
      </c>
      <c r="N703" s="108">
        <f>IF($B703="","",IF($E703="Nghỉ tuần",N($H703),0))</f>
        <v/>
      </c>
      <c r="O703" s="108">
        <f>IF($B703="","",IF($E703="Lễ",N($H703),0))</f>
        <v/>
      </c>
    </row>
    <row r="704" ht="15" customHeight="1" s="63">
      <c r="A704" s="85">
        <f>IF($B704="","",ROW()-5)</f>
        <v/>
      </c>
      <c r="B704" s="97" t="n"/>
      <c r="C704" s="96">
        <f>IF($B704="","",IFERROR(INDEX(DM_NHAN_SU!$C$6:$C$155,MATCH($B704,DM_NHAN_SU!$B$6:$B$155,0)),"SAI MÃ NV"))</f>
        <v/>
      </c>
      <c r="D704" s="86" t="n"/>
      <c r="E704" s="103">
        <f>IF(OR($B704="",$D704=""),"",IF(COUNTIF(THAM_SO_CC!$F$10:$F$40,$D704)&gt;0,"Lễ",IF(IF(THAM_SO_CC!$B$12="T7+CN",WEEKDAY($D704,2)&gt;=6,WEEKDAY($D704,2)=7),"Nghỉ tuần","Ngày thường")))</f>
        <v/>
      </c>
      <c r="F704" s="107" t="n"/>
      <c r="G704" s="107" t="n"/>
      <c r="H704" s="107" t="n"/>
      <c r="I704" s="81" t="n"/>
      <c r="J704" s="108">
        <f>IF($B704="","",IF($E704="Ngày thường",N($G704),0))</f>
        <v/>
      </c>
      <c r="K704" s="108">
        <f>IF($B704="","",IF($E704="Nghỉ tuần",N($G704),0))</f>
        <v/>
      </c>
      <c r="L704" s="108">
        <f>IF($B704="","",IF($E704="Lễ",N($G704),0))</f>
        <v/>
      </c>
      <c r="M704" s="108">
        <f>IF($B704="","",IF($E704="Ngày thường",N($H704),0))</f>
        <v/>
      </c>
      <c r="N704" s="108">
        <f>IF($B704="","",IF($E704="Nghỉ tuần",N($H704),0))</f>
        <v/>
      </c>
      <c r="O704" s="108">
        <f>IF($B704="","",IF($E704="Lễ",N($H704),0))</f>
        <v/>
      </c>
    </row>
    <row r="705" ht="15" customHeight="1" s="63">
      <c r="A705" s="85">
        <f>IF($B705="","",ROW()-5)</f>
        <v/>
      </c>
      <c r="B705" s="97" t="n"/>
      <c r="C705" s="96">
        <f>IF($B705="","",IFERROR(INDEX(DM_NHAN_SU!$C$6:$C$155,MATCH($B705,DM_NHAN_SU!$B$6:$B$155,0)),"SAI MÃ NV"))</f>
        <v/>
      </c>
      <c r="D705" s="86" t="n"/>
      <c r="E705" s="103">
        <f>IF(OR($B705="",$D705=""),"",IF(COUNTIF(THAM_SO_CC!$F$10:$F$40,$D705)&gt;0,"Lễ",IF(IF(THAM_SO_CC!$B$12="T7+CN",WEEKDAY($D705,2)&gt;=6,WEEKDAY($D705,2)=7),"Nghỉ tuần","Ngày thường")))</f>
        <v/>
      </c>
      <c r="F705" s="107" t="n"/>
      <c r="G705" s="107" t="n"/>
      <c r="H705" s="107" t="n"/>
      <c r="I705" s="81" t="n"/>
      <c r="J705" s="108">
        <f>IF($B705="","",IF($E705="Ngày thường",N($G705),0))</f>
        <v/>
      </c>
      <c r="K705" s="108">
        <f>IF($B705="","",IF($E705="Nghỉ tuần",N($G705),0))</f>
        <v/>
      </c>
      <c r="L705" s="108">
        <f>IF($B705="","",IF($E705="Lễ",N($G705),0))</f>
        <v/>
      </c>
      <c r="M705" s="108">
        <f>IF($B705="","",IF($E705="Ngày thường",N($H705),0))</f>
        <v/>
      </c>
      <c r="N705" s="108">
        <f>IF($B705="","",IF($E705="Nghỉ tuần",N($H705),0))</f>
        <v/>
      </c>
      <c r="O705" s="108">
        <f>IF($B705="","",IF($E705="Lễ",N($H705),0))</f>
        <v/>
      </c>
    </row>
    <row r="706" ht="15" customHeight="1" s="63">
      <c r="A706" s="85">
        <f>IF($B706="","",ROW()-5)</f>
        <v/>
      </c>
      <c r="B706" s="97" t="n"/>
      <c r="C706" s="96">
        <f>IF($B706="","",IFERROR(INDEX(DM_NHAN_SU!$C$6:$C$155,MATCH($B706,DM_NHAN_SU!$B$6:$B$155,0)),"SAI MÃ NV"))</f>
        <v/>
      </c>
      <c r="D706" s="86" t="n"/>
      <c r="E706" s="103">
        <f>IF(OR($B706="",$D706=""),"",IF(COUNTIF(THAM_SO_CC!$F$10:$F$40,$D706)&gt;0,"Lễ",IF(IF(THAM_SO_CC!$B$12="T7+CN",WEEKDAY($D706,2)&gt;=6,WEEKDAY($D706,2)=7),"Nghỉ tuần","Ngày thường")))</f>
        <v/>
      </c>
      <c r="F706" s="107" t="n"/>
      <c r="G706" s="107" t="n"/>
      <c r="H706" s="107" t="n"/>
      <c r="I706" s="81" t="n"/>
      <c r="J706" s="108">
        <f>IF($B706="","",IF($E706="Ngày thường",N($G706),0))</f>
        <v/>
      </c>
      <c r="K706" s="108">
        <f>IF($B706="","",IF($E706="Nghỉ tuần",N($G706),0))</f>
        <v/>
      </c>
      <c r="L706" s="108">
        <f>IF($B706="","",IF($E706="Lễ",N($G706),0))</f>
        <v/>
      </c>
      <c r="M706" s="108">
        <f>IF($B706="","",IF($E706="Ngày thường",N($H706),0))</f>
        <v/>
      </c>
      <c r="N706" s="108">
        <f>IF($B706="","",IF($E706="Nghỉ tuần",N($H706),0))</f>
        <v/>
      </c>
      <c r="O706" s="108">
        <f>IF($B706="","",IF($E706="Lễ",N($H706),0))</f>
        <v/>
      </c>
    </row>
    <row r="707" ht="15" customHeight="1" s="63">
      <c r="A707" s="85">
        <f>IF($B707="","",ROW()-5)</f>
        <v/>
      </c>
      <c r="B707" s="97" t="n"/>
      <c r="C707" s="96">
        <f>IF($B707="","",IFERROR(INDEX(DM_NHAN_SU!$C$6:$C$155,MATCH($B707,DM_NHAN_SU!$B$6:$B$155,0)),"SAI MÃ NV"))</f>
        <v/>
      </c>
      <c r="D707" s="86" t="n"/>
      <c r="E707" s="103">
        <f>IF(OR($B707="",$D707=""),"",IF(COUNTIF(THAM_SO_CC!$F$10:$F$40,$D707)&gt;0,"Lễ",IF(IF(THAM_SO_CC!$B$12="T7+CN",WEEKDAY($D707,2)&gt;=6,WEEKDAY($D707,2)=7),"Nghỉ tuần","Ngày thường")))</f>
        <v/>
      </c>
      <c r="F707" s="107" t="n"/>
      <c r="G707" s="107" t="n"/>
      <c r="H707" s="107" t="n"/>
      <c r="I707" s="81" t="n"/>
      <c r="J707" s="108">
        <f>IF($B707="","",IF($E707="Ngày thường",N($G707),0))</f>
        <v/>
      </c>
      <c r="K707" s="108">
        <f>IF($B707="","",IF($E707="Nghỉ tuần",N($G707),0))</f>
        <v/>
      </c>
      <c r="L707" s="108">
        <f>IF($B707="","",IF($E707="Lễ",N($G707),0))</f>
        <v/>
      </c>
      <c r="M707" s="108">
        <f>IF($B707="","",IF($E707="Ngày thường",N($H707),0))</f>
        <v/>
      </c>
      <c r="N707" s="108">
        <f>IF($B707="","",IF($E707="Nghỉ tuần",N($H707),0))</f>
        <v/>
      </c>
      <c r="O707" s="108">
        <f>IF($B707="","",IF($E707="Lễ",N($H707),0))</f>
        <v/>
      </c>
    </row>
    <row r="708" ht="15" customHeight="1" s="63">
      <c r="A708" s="85">
        <f>IF($B708="","",ROW()-5)</f>
        <v/>
      </c>
      <c r="B708" s="97" t="n"/>
      <c r="C708" s="96">
        <f>IF($B708="","",IFERROR(INDEX(DM_NHAN_SU!$C$6:$C$155,MATCH($B708,DM_NHAN_SU!$B$6:$B$155,0)),"SAI MÃ NV"))</f>
        <v/>
      </c>
      <c r="D708" s="86" t="n"/>
      <c r="E708" s="103">
        <f>IF(OR($B708="",$D708=""),"",IF(COUNTIF(THAM_SO_CC!$F$10:$F$40,$D708)&gt;0,"Lễ",IF(IF(THAM_SO_CC!$B$12="T7+CN",WEEKDAY($D708,2)&gt;=6,WEEKDAY($D708,2)=7),"Nghỉ tuần","Ngày thường")))</f>
        <v/>
      </c>
      <c r="F708" s="107" t="n"/>
      <c r="G708" s="107" t="n"/>
      <c r="H708" s="107" t="n"/>
      <c r="I708" s="81" t="n"/>
      <c r="J708" s="108">
        <f>IF($B708="","",IF($E708="Ngày thường",N($G708),0))</f>
        <v/>
      </c>
      <c r="K708" s="108">
        <f>IF($B708="","",IF($E708="Nghỉ tuần",N($G708),0))</f>
        <v/>
      </c>
      <c r="L708" s="108">
        <f>IF($B708="","",IF($E708="Lễ",N($G708),0))</f>
        <v/>
      </c>
      <c r="M708" s="108">
        <f>IF($B708="","",IF($E708="Ngày thường",N($H708),0))</f>
        <v/>
      </c>
      <c r="N708" s="108">
        <f>IF($B708="","",IF($E708="Nghỉ tuần",N($H708),0))</f>
        <v/>
      </c>
      <c r="O708" s="108">
        <f>IF($B708="","",IF($E708="Lễ",N($H708),0))</f>
        <v/>
      </c>
    </row>
    <row r="709" ht="15" customHeight="1" s="63">
      <c r="A709" s="85">
        <f>IF($B709="","",ROW()-5)</f>
        <v/>
      </c>
      <c r="B709" s="97" t="n"/>
      <c r="C709" s="96">
        <f>IF($B709="","",IFERROR(INDEX(DM_NHAN_SU!$C$6:$C$155,MATCH($B709,DM_NHAN_SU!$B$6:$B$155,0)),"SAI MÃ NV"))</f>
        <v/>
      </c>
      <c r="D709" s="86" t="n"/>
      <c r="E709" s="103">
        <f>IF(OR($B709="",$D709=""),"",IF(COUNTIF(THAM_SO_CC!$F$10:$F$40,$D709)&gt;0,"Lễ",IF(IF(THAM_SO_CC!$B$12="T7+CN",WEEKDAY($D709,2)&gt;=6,WEEKDAY($D709,2)=7),"Nghỉ tuần","Ngày thường")))</f>
        <v/>
      </c>
      <c r="F709" s="107" t="n"/>
      <c r="G709" s="107" t="n"/>
      <c r="H709" s="107" t="n"/>
      <c r="I709" s="81" t="n"/>
      <c r="J709" s="108">
        <f>IF($B709="","",IF($E709="Ngày thường",N($G709),0))</f>
        <v/>
      </c>
      <c r="K709" s="108">
        <f>IF($B709="","",IF($E709="Nghỉ tuần",N($G709),0))</f>
        <v/>
      </c>
      <c r="L709" s="108">
        <f>IF($B709="","",IF($E709="Lễ",N($G709),0))</f>
        <v/>
      </c>
      <c r="M709" s="108">
        <f>IF($B709="","",IF($E709="Ngày thường",N($H709),0))</f>
        <v/>
      </c>
      <c r="N709" s="108">
        <f>IF($B709="","",IF($E709="Nghỉ tuần",N($H709),0))</f>
        <v/>
      </c>
      <c r="O709" s="108">
        <f>IF($B709="","",IF($E709="Lễ",N($H709),0))</f>
        <v/>
      </c>
    </row>
    <row r="710" ht="15" customHeight="1" s="63">
      <c r="A710" s="85">
        <f>IF($B710="","",ROW()-5)</f>
        <v/>
      </c>
      <c r="B710" s="97" t="n"/>
      <c r="C710" s="96">
        <f>IF($B710="","",IFERROR(INDEX(DM_NHAN_SU!$C$6:$C$155,MATCH($B710,DM_NHAN_SU!$B$6:$B$155,0)),"SAI MÃ NV"))</f>
        <v/>
      </c>
      <c r="D710" s="86" t="n"/>
      <c r="E710" s="103">
        <f>IF(OR($B710="",$D710=""),"",IF(COUNTIF(THAM_SO_CC!$F$10:$F$40,$D710)&gt;0,"Lễ",IF(IF(THAM_SO_CC!$B$12="T7+CN",WEEKDAY($D710,2)&gt;=6,WEEKDAY($D710,2)=7),"Nghỉ tuần","Ngày thường")))</f>
        <v/>
      </c>
      <c r="F710" s="107" t="n"/>
      <c r="G710" s="107" t="n"/>
      <c r="H710" s="107" t="n"/>
      <c r="I710" s="81" t="n"/>
      <c r="J710" s="108">
        <f>IF($B710="","",IF($E710="Ngày thường",N($G710),0))</f>
        <v/>
      </c>
      <c r="K710" s="108">
        <f>IF($B710="","",IF($E710="Nghỉ tuần",N($G710),0))</f>
        <v/>
      </c>
      <c r="L710" s="108">
        <f>IF($B710="","",IF($E710="Lễ",N($G710),0))</f>
        <v/>
      </c>
      <c r="M710" s="108">
        <f>IF($B710="","",IF($E710="Ngày thường",N($H710),0))</f>
        <v/>
      </c>
      <c r="N710" s="108">
        <f>IF($B710="","",IF($E710="Nghỉ tuần",N($H710),0))</f>
        <v/>
      </c>
      <c r="O710" s="108">
        <f>IF($B710="","",IF($E710="Lễ",N($H710),0))</f>
        <v/>
      </c>
    </row>
    <row r="711" ht="15" customHeight="1" s="63">
      <c r="A711" s="85">
        <f>IF($B711="","",ROW()-5)</f>
        <v/>
      </c>
      <c r="B711" s="97" t="n"/>
      <c r="C711" s="96">
        <f>IF($B711="","",IFERROR(INDEX(DM_NHAN_SU!$C$6:$C$155,MATCH($B711,DM_NHAN_SU!$B$6:$B$155,0)),"SAI MÃ NV"))</f>
        <v/>
      </c>
      <c r="D711" s="86" t="n"/>
      <c r="E711" s="103">
        <f>IF(OR($B711="",$D711=""),"",IF(COUNTIF(THAM_SO_CC!$F$10:$F$40,$D711)&gt;0,"Lễ",IF(IF(THAM_SO_CC!$B$12="T7+CN",WEEKDAY($D711,2)&gt;=6,WEEKDAY($D711,2)=7),"Nghỉ tuần","Ngày thường")))</f>
        <v/>
      </c>
      <c r="F711" s="107" t="n"/>
      <c r="G711" s="107" t="n"/>
      <c r="H711" s="107" t="n"/>
      <c r="I711" s="81" t="n"/>
      <c r="J711" s="108">
        <f>IF($B711="","",IF($E711="Ngày thường",N($G711),0))</f>
        <v/>
      </c>
      <c r="K711" s="108">
        <f>IF($B711="","",IF($E711="Nghỉ tuần",N($G711),0))</f>
        <v/>
      </c>
      <c r="L711" s="108">
        <f>IF($B711="","",IF($E711="Lễ",N($G711),0))</f>
        <v/>
      </c>
      <c r="M711" s="108">
        <f>IF($B711="","",IF($E711="Ngày thường",N($H711),0))</f>
        <v/>
      </c>
      <c r="N711" s="108">
        <f>IF($B711="","",IF($E711="Nghỉ tuần",N($H711),0))</f>
        <v/>
      </c>
      <c r="O711" s="108">
        <f>IF($B711="","",IF($E711="Lễ",N($H711),0))</f>
        <v/>
      </c>
    </row>
    <row r="712" ht="15" customHeight="1" s="63">
      <c r="A712" s="85">
        <f>IF($B712="","",ROW()-5)</f>
        <v/>
      </c>
      <c r="B712" s="97" t="n"/>
      <c r="C712" s="96">
        <f>IF($B712="","",IFERROR(INDEX(DM_NHAN_SU!$C$6:$C$155,MATCH($B712,DM_NHAN_SU!$B$6:$B$155,0)),"SAI MÃ NV"))</f>
        <v/>
      </c>
      <c r="D712" s="86" t="n"/>
      <c r="E712" s="103">
        <f>IF(OR($B712="",$D712=""),"",IF(COUNTIF(THAM_SO_CC!$F$10:$F$40,$D712)&gt;0,"Lễ",IF(IF(THAM_SO_CC!$B$12="T7+CN",WEEKDAY($D712,2)&gt;=6,WEEKDAY($D712,2)=7),"Nghỉ tuần","Ngày thường")))</f>
        <v/>
      </c>
      <c r="F712" s="107" t="n"/>
      <c r="G712" s="107" t="n"/>
      <c r="H712" s="107" t="n"/>
      <c r="I712" s="81" t="n"/>
      <c r="J712" s="108">
        <f>IF($B712="","",IF($E712="Ngày thường",N($G712),0))</f>
        <v/>
      </c>
      <c r="K712" s="108">
        <f>IF($B712="","",IF($E712="Nghỉ tuần",N($G712),0))</f>
        <v/>
      </c>
      <c r="L712" s="108">
        <f>IF($B712="","",IF($E712="Lễ",N($G712),0))</f>
        <v/>
      </c>
      <c r="M712" s="108">
        <f>IF($B712="","",IF($E712="Ngày thường",N($H712),0))</f>
        <v/>
      </c>
      <c r="N712" s="108">
        <f>IF($B712="","",IF($E712="Nghỉ tuần",N($H712),0))</f>
        <v/>
      </c>
      <c r="O712" s="108">
        <f>IF($B712="","",IF($E712="Lễ",N($H712),0))</f>
        <v/>
      </c>
    </row>
    <row r="713" ht="15" customHeight="1" s="63">
      <c r="A713" s="85">
        <f>IF($B713="","",ROW()-5)</f>
        <v/>
      </c>
      <c r="B713" s="97" t="n"/>
      <c r="C713" s="96">
        <f>IF($B713="","",IFERROR(INDEX(DM_NHAN_SU!$C$6:$C$155,MATCH($B713,DM_NHAN_SU!$B$6:$B$155,0)),"SAI MÃ NV"))</f>
        <v/>
      </c>
      <c r="D713" s="86" t="n"/>
      <c r="E713" s="103">
        <f>IF(OR($B713="",$D713=""),"",IF(COUNTIF(THAM_SO_CC!$F$10:$F$40,$D713)&gt;0,"Lễ",IF(IF(THAM_SO_CC!$B$12="T7+CN",WEEKDAY($D713,2)&gt;=6,WEEKDAY($D713,2)=7),"Nghỉ tuần","Ngày thường")))</f>
        <v/>
      </c>
      <c r="F713" s="107" t="n"/>
      <c r="G713" s="107" t="n"/>
      <c r="H713" s="107" t="n"/>
      <c r="I713" s="81" t="n"/>
      <c r="J713" s="108">
        <f>IF($B713="","",IF($E713="Ngày thường",N($G713),0))</f>
        <v/>
      </c>
      <c r="K713" s="108">
        <f>IF($B713="","",IF($E713="Nghỉ tuần",N($G713),0))</f>
        <v/>
      </c>
      <c r="L713" s="108">
        <f>IF($B713="","",IF($E713="Lễ",N($G713),0))</f>
        <v/>
      </c>
      <c r="M713" s="108">
        <f>IF($B713="","",IF($E713="Ngày thường",N($H713),0))</f>
        <v/>
      </c>
      <c r="N713" s="108">
        <f>IF($B713="","",IF($E713="Nghỉ tuần",N($H713),0))</f>
        <v/>
      </c>
      <c r="O713" s="108">
        <f>IF($B713="","",IF($E713="Lễ",N($H713),0))</f>
        <v/>
      </c>
    </row>
    <row r="714" ht="15" customHeight="1" s="63">
      <c r="A714" s="85">
        <f>IF($B714="","",ROW()-5)</f>
        <v/>
      </c>
      <c r="B714" s="97" t="n"/>
      <c r="C714" s="96">
        <f>IF($B714="","",IFERROR(INDEX(DM_NHAN_SU!$C$6:$C$155,MATCH($B714,DM_NHAN_SU!$B$6:$B$155,0)),"SAI MÃ NV"))</f>
        <v/>
      </c>
      <c r="D714" s="86" t="n"/>
      <c r="E714" s="103">
        <f>IF(OR($B714="",$D714=""),"",IF(COUNTIF(THAM_SO_CC!$F$10:$F$40,$D714)&gt;0,"Lễ",IF(IF(THAM_SO_CC!$B$12="T7+CN",WEEKDAY($D714,2)&gt;=6,WEEKDAY($D714,2)=7),"Nghỉ tuần","Ngày thường")))</f>
        <v/>
      </c>
      <c r="F714" s="107" t="n"/>
      <c r="G714" s="107" t="n"/>
      <c r="H714" s="107" t="n"/>
      <c r="I714" s="81" t="n"/>
      <c r="J714" s="108">
        <f>IF($B714="","",IF($E714="Ngày thường",N($G714),0))</f>
        <v/>
      </c>
      <c r="K714" s="108">
        <f>IF($B714="","",IF($E714="Nghỉ tuần",N($G714),0))</f>
        <v/>
      </c>
      <c r="L714" s="108">
        <f>IF($B714="","",IF($E714="Lễ",N($G714),0))</f>
        <v/>
      </c>
      <c r="M714" s="108">
        <f>IF($B714="","",IF($E714="Ngày thường",N($H714),0))</f>
        <v/>
      </c>
      <c r="N714" s="108">
        <f>IF($B714="","",IF($E714="Nghỉ tuần",N($H714),0))</f>
        <v/>
      </c>
      <c r="O714" s="108">
        <f>IF($B714="","",IF($E714="Lễ",N($H714),0))</f>
        <v/>
      </c>
    </row>
    <row r="715" ht="15" customHeight="1" s="63">
      <c r="A715" s="85">
        <f>IF($B715="","",ROW()-5)</f>
        <v/>
      </c>
      <c r="B715" s="97" t="n"/>
      <c r="C715" s="96">
        <f>IF($B715="","",IFERROR(INDEX(DM_NHAN_SU!$C$6:$C$155,MATCH($B715,DM_NHAN_SU!$B$6:$B$155,0)),"SAI MÃ NV"))</f>
        <v/>
      </c>
      <c r="D715" s="86" t="n"/>
      <c r="E715" s="103">
        <f>IF(OR($B715="",$D715=""),"",IF(COUNTIF(THAM_SO_CC!$F$10:$F$40,$D715)&gt;0,"Lễ",IF(IF(THAM_SO_CC!$B$12="T7+CN",WEEKDAY($D715,2)&gt;=6,WEEKDAY($D715,2)=7),"Nghỉ tuần","Ngày thường")))</f>
        <v/>
      </c>
      <c r="F715" s="107" t="n"/>
      <c r="G715" s="107" t="n"/>
      <c r="H715" s="107" t="n"/>
      <c r="I715" s="81" t="n"/>
      <c r="J715" s="108">
        <f>IF($B715="","",IF($E715="Ngày thường",N($G715),0))</f>
        <v/>
      </c>
      <c r="K715" s="108">
        <f>IF($B715="","",IF($E715="Nghỉ tuần",N($G715),0))</f>
        <v/>
      </c>
      <c r="L715" s="108">
        <f>IF($B715="","",IF($E715="Lễ",N($G715),0))</f>
        <v/>
      </c>
      <c r="M715" s="108">
        <f>IF($B715="","",IF($E715="Ngày thường",N($H715),0))</f>
        <v/>
      </c>
      <c r="N715" s="108">
        <f>IF($B715="","",IF($E715="Nghỉ tuần",N($H715),0))</f>
        <v/>
      </c>
      <c r="O715" s="108">
        <f>IF($B715="","",IF($E715="Lễ",N($H715),0))</f>
        <v/>
      </c>
    </row>
    <row r="716" ht="15" customHeight="1" s="63">
      <c r="A716" s="85">
        <f>IF($B716="","",ROW()-5)</f>
        <v/>
      </c>
      <c r="B716" s="97" t="n"/>
      <c r="C716" s="96">
        <f>IF($B716="","",IFERROR(INDEX(DM_NHAN_SU!$C$6:$C$155,MATCH($B716,DM_NHAN_SU!$B$6:$B$155,0)),"SAI MÃ NV"))</f>
        <v/>
      </c>
      <c r="D716" s="86" t="n"/>
      <c r="E716" s="103">
        <f>IF(OR($B716="",$D716=""),"",IF(COUNTIF(THAM_SO_CC!$F$10:$F$40,$D716)&gt;0,"Lễ",IF(IF(THAM_SO_CC!$B$12="T7+CN",WEEKDAY($D716,2)&gt;=6,WEEKDAY($D716,2)=7),"Nghỉ tuần","Ngày thường")))</f>
        <v/>
      </c>
      <c r="F716" s="107" t="n"/>
      <c r="G716" s="107" t="n"/>
      <c r="H716" s="107" t="n"/>
      <c r="I716" s="81" t="n"/>
      <c r="J716" s="108">
        <f>IF($B716="","",IF($E716="Ngày thường",N($G716),0))</f>
        <v/>
      </c>
      <c r="K716" s="108">
        <f>IF($B716="","",IF($E716="Nghỉ tuần",N($G716),0))</f>
        <v/>
      </c>
      <c r="L716" s="108">
        <f>IF($B716="","",IF($E716="Lễ",N($G716),0))</f>
        <v/>
      </c>
      <c r="M716" s="108">
        <f>IF($B716="","",IF($E716="Ngày thường",N($H716),0))</f>
        <v/>
      </c>
      <c r="N716" s="108">
        <f>IF($B716="","",IF($E716="Nghỉ tuần",N($H716),0))</f>
        <v/>
      </c>
      <c r="O716" s="108">
        <f>IF($B716="","",IF($E716="Lễ",N($H716),0))</f>
        <v/>
      </c>
    </row>
    <row r="717" ht="15" customHeight="1" s="63">
      <c r="A717" s="85">
        <f>IF($B717="","",ROW()-5)</f>
        <v/>
      </c>
      <c r="B717" s="97" t="n"/>
      <c r="C717" s="96">
        <f>IF($B717="","",IFERROR(INDEX(DM_NHAN_SU!$C$6:$C$155,MATCH($B717,DM_NHAN_SU!$B$6:$B$155,0)),"SAI MÃ NV"))</f>
        <v/>
      </c>
      <c r="D717" s="86" t="n"/>
      <c r="E717" s="103">
        <f>IF(OR($B717="",$D717=""),"",IF(COUNTIF(THAM_SO_CC!$F$10:$F$40,$D717)&gt;0,"Lễ",IF(IF(THAM_SO_CC!$B$12="T7+CN",WEEKDAY($D717,2)&gt;=6,WEEKDAY($D717,2)=7),"Nghỉ tuần","Ngày thường")))</f>
        <v/>
      </c>
      <c r="F717" s="107" t="n"/>
      <c r="G717" s="107" t="n"/>
      <c r="H717" s="107" t="n"/>
      <c r="I717" s="81" t="n"/>
      <c r="J717" s="108">
        <f>IF($B717="","",IF($E717="Ngày thường",N($G717),0))</f>
        <v/>
      </c>
      <c r="K717" s="108">
        <f>IF($B717="","",IF($E717="Nghỉ tuần",N($G717),0))</f>
        <v/>
      </c>
      <c r="L717" s="108">
        <f>IF($B717="","",IF($E717="Lễ",N($G717),0))</f>
        <v/>
      </c>
      <c r="M717" s="108">
        <f>IF($B717="","",IF($E717="Ngày thường",N($H717),0))</f>
        <v/>
      </c>
      <c r="N717" s="108">
        <f>IF($B717="","",IF($E717="Nghỉ tuần",N($H717),0))</f>
        <v/>
      </c>
      <c r="O717" s="108">
        <f>IF($B717="","",IF($E717="Lễ",N($H717),0))</f>
        <v/>
      </c>
    </row>
    <row r="718" ht="15" customHeight="1" s="63">
      <c r="A718" s="85">
        <f>IF($B718="","",ROW()-5)</f>
        <v/>
      </c>
      <c r="B718" s="97" t="n"/>
      <c r="C718" s="96">
        <f>IF($B718="","",IFERROR(INDEX(DM_NHAN_SU!$C$6:$C$155,MATCH($B718,DM_NHAN_SU!$B$6:$B$155,0)),"SAI MÃ NV"))</f>
        <v/>
      </c>
      <c r="D718" s="86" t="n"/>
      <c r="E718" s="103">
        <f>IF(OR($B718="",$D718=""),"",IF(COUNTIF(THAM_SO_CC!$F$10:$F$40,$D718)&gt;0,"Lễ",IF(IF(THAM_SO_CC!$B$12="T7+CN",WEEKDAY($D718,2)&gt;=6,WEEKDAY($D718,2)=7),"Nghỉ tuần","Ngày thường")))</f>
        <v/>
      </c>
      <c r="F718" s="107" t="n"/>
      <c r="G718" s="107" t="n"/>
      <c r="H718" s="107" t="n"/>
      <c r="I718" s="81" t="n"/>
      <c r="J718" s="108">
        <f>IF($B718="","",IF($E718="Ngày thường",N($G718),0))</f>
        <v/>
      </c>
      <c r="K718" s="108">
        <f>IF($B718="","",IF($E718="Nghỉ tuần",N($G718),0))</f>
        <v/>
      </c>
      <c r="L718" s="108">
        <f>IF($B718="","",IF($E718="Lễ",N($G718),0))</f>
        <v/>
      </c>
      <c r="M718" s="108">
        <f>IF($B718="","",IF($E718="Ngày thường",N($H718),0))</f>
        <v/>
      </c>
      <c r="N718" s="108">
        <f>IF($B718="","",IF($E718="Nghỉ tuần",N($H718),0))</f>
        <v/>
      </c>
      <c r="O718" s="108">
        <f>IF($B718="","",IF($E718="Lễ",N($H718),0))</f>
        <v/>
      </c>
    </row>
    <row r="719" ht="15" customHeight="1" s="63">
      <c r="A719" s="85">
        <f>IF($B719="","",ROW()-5)</f>
        <v/>
      </c>
      <c r="B719" s="97" t="n"/>
      <c r="C719" s="96">
        <f>IF($B719="","",IFERROR(INDEX(DM_NHAN_SU!$C$6:$C$155,MATCH($B719,DM_NHAN_SU!$B$6:$B$155,0)),"SAI MÃ NV"))</f>
        <v/>
      </c>
      <c r="D719" s="86" t="n"/>
      <c r="E719" s="103">
        <f>IF(OR($B719="",$D719=""),"",IF(COUNTIF(THAM_SO_CC!$F$10:$F$40,$D719)&gt;0,"Lễ",IF(IF(THAM_SO_CC!$B$12="T7+CN",WEEKDAY($D719,2)&gt;=6,WEEKDAY($D719,2)=7),"Nghỉ tuần","Ngày thường")))</f>
        <v/>
      </c>
      <c r="F719" s="107" t="n"/>
      <c r="G719" s="107" t="n"/>
      <c r="H719" s="107" t="n"/>
      <c r="I719" s="81" t="n"/>
      <c r="J719" s="108">
        <f>IF($B719="","",IF($E719="Ngày thường",N($G719),0))</f>
        <v/>
      </c>
      <c r="K719" s="108">
        <f>IF($B719="","",IF($E719="Nghỉ tuần",N($G719),0))</f>
        <v/>
      </c>
      <c r="L719" s="108">
        <f>IF($B719="","",IF($E719="Lễ",N($G719),0))</f>
        <v/>
      </c>
      <c r="M719" s="108">
        <f>IF($B719="","",IF($E719="Ngày thường",N($H719),0))</f>
        <v/>
      </c>
      <c r="N719" s="108">
        <f>IF($B719="","",IF($E719="Nghỉ tuần",N($H719),0))</f>
        <v/>
      </c>
      <c r="O719" s="108">
        <f>IF($B719="","",IF($E719="Lễ",N($H719),0))</f>
        <v/>
      </c>
    </row>
    <row r="720" ht="15" customHeight="1" s="63">
      <c r="A720" s="85">
        <f>IF($B720="","",ROW()-5)</f>
        <v/>
      </c>
      <c r="B720" s="97" t="n"/>
      <c r="C720" s="96">
        <f>IF($B720="","",IFERROR(INDEX(DM_NHAN_SU!$C$6:$C$155,MATCH($B720,DM_NHAN_SU!$B$6:$B$155,0)),"SAI MÃ NV"))</f>
        <v/>
      </c>
      <c r="D720" s="86" t="n"/>
      <c r="E720" s="103">
        <f>IF(OR($B720="",$D720=""),"",IF(COUNTIF(THAM_SO_CC!$F$10:$F$40,$D720)&gt;0,"Lễ",IF(IF(THAM_SO_CC!$B$12="T7+CN",WEEKDAY($D720,2)&gt;=6,WEEKDAY($D720,2)=7),"Nghỉ tuần","Ngày thường")))</f>
        <v/>
      </c>
      <c r="F720" s="107" t="n"/>
      <c r="G720" s="107" t="n"/>
      <c r="H720" s="107" t="n"/>
      <c r="I720" s="81" t="n"/>
      <c r="J720" s="108">
        <f>IF($B720="","",IF($E720="Ngày thường",N($G720),0))</f>
        <v/>
      </c>
      <c r="K720" s="108">
        <f>IF($B720="","",IF($E720="Nghỉ tuần",N($G720),0))</f>
        <v/>
      </c>
      <c r="L720" s="108">
        <f>IF($B720="","",IF($E720="Lễ",N($G720),0))</f>
        <v/>
      </c>
      <c r="M720" s="108">
        <f>IF($B720="","",IF($E720="Ngày thường",N($H720),0))</f>
        <v/>
      </c>
      <c r="N720" s="108">
        <f>IF($B720="","",IF($E720="Nghỉ tuần",N($H720),0))</f>
        <v/>
      </c>
      <c r="O720" s="108">
        <f>IF($B720="","",IF($E720="Lễ",N($H720),0))</f>
        <v/>
      </c>
    </row>
    <row r="721" ht="15" customHeight="1" s="63">
      <c r="A721" s="85">
        <f>IF($B721="","",ROW()-5)</f>
        <v/>
      </c>
      <c r="B721" s="97" t="n"/>
      <c r="C721" s="96">
        <f>IF($B721="","",IFERROR(INDEX(DM_NHAN_SU!$C$6:$C$155,MATCH($B721,DM_NHAN_SU!$B$6:$B$155,0)),"SAI MÃ NV"))</f>
        <v/>
      </c>
      <c r="D721" s="86" t="n"/>
      <c r="E721" s="103">
        <f>IF(OR($B721="",$D721=""),"",IF(COUNTIF(THAM_SO_CC!$F$10:$F$40,$D721)&gt;0,"Lễ",IF(IF(THAM_SO_CC!$B$12="T7+CN",WEEKDAY($D721,2)&gt;=6,WEEKDAY($D721,2)=7),"Nghỉ tuần","Ngày thường")))</f>
        <v/>
      </c>
      <c r="F721" s="107" t="n"/>
      <c r="G721" s="107" t="n"/>
      <c r="H721" s="107" t="n"/>
      <c r="I721" s="81" t="n"/>
      <c r="J721" s="108">
        <f>IF($B721="","",IF($E721="Ngày thường",N($G721),0))</f>
        <v/>
      </c>
      <c r="K721" s="108">
        <f>IF($B721="","",IF($E721="Nghỉ tuần",N($G721),0))</f>
        <v/>
      </c>
      <c r="L721" s="108">
        <f>IF($B721="","",IF($E721="Lễ",N($G721),0))</f>
        <v/>
      </c>
      <c r="M721" s="108">
        <f>IF($B721="","",IF($E721="Ngày thường",N($H721),0))</f>
        <v/>
      </c>
      <c r="N721" s="108">
        <f>IF($B721="","",IF($E721="Nghỉ tuần",N($H721),0))</f>
        <v/>
      </c>
      <c r="O721" s="108">
        <f>IF($B721="","",IF($E721="Lễ",N($H721),0))</f>
        <v/>
      </c>
    </row>
    <row r="722" ht="15" customHeight="1" s="63">
      <c r="A722" s="85">
        <f>IF($B722="","",ROW()-5)</f>
        <v/>
      </c>
      <c r="B722" s="97" t="n"/>
      <c r="C722" s="96">
        <f>IF($B722="","",IFERROR(INDEX(DM_NHAN_SU!$C$6:$C$155,MATCH($B722,DM_NHAN_SU!$B$6:$B$155,0)),"SAI MÃ NV"))</f>
        <v/>
      </c>
      <c r="D722" s="86" t="n"/>
      <c r="E722" s="103">
        <f>IF(OR($B722="",$D722=""),"",IF(COUNTIF(THAM_SO_CC!$F$10:$F$40,$D722)&gt;0,"Lễ",IF(IF(THAM_SO_CC!$B$12="T7+CN",WEEKDAY($D722,2)&gt;=6,WEEKDAY($D722,2)=7),"Nghỉ tuần","Ngày thường")))</f>
        <v/>
      </c>
      <c r="F722" s="107" t="n"/>
      <c r="G722" s="107" t="n"/>
      <c r="H722" s="107" t="n"/>
      <c r="I722" s="81" t="n"/>
      <c r="J722" s="108">
        <f>IF($B722="","",IF($E722="Ngày thường",N($G722),0))</f>
        <v/>
      </c>
      <c r="K722" s="108">
        <f>IF($B722="","",IF($E722="Nghỉ tuần",N($G722),0))</f>
        <v/>
      </c>
      <c r="L722" s="108">
        <f>IF($B722="","",IF($E722="Lễ",N($G722),0))</f>
        <v/>
      </c>
      <c r="M722" s="108">
        <f>IF($B722="","",IF($E722="Ngày thường",N($H722),0))</f>
        <v/>
      </c>
      <c r="N722" s="108">
        <f>IF($B722="","",IF($E722="Nghỉ tuần",N($H722),0))</f>
        <v/>
      </c>
      <c r="O722" s="108">
        <f>IF($B722="","",IF($E722="Lễ",N($H722),0))</f>
        <v/>
      </c>
    </row>
    <row r="723" ht="15" customHeight="1" s="63">
      <c r="A723" s="85">
        <f>IF($B723="","",ROW()-5)</f>
        <v/>
      </c>
      <c r="B723" s="97" t="n"/>
      <c r="C723" s="96">
        <f>IF($B723="","",IFERROR(INDEX(DM_NHAN_SU!$C$6:$C$155,MATCH($B723,DM_NHAN_SU!$B$6:$B$155,0)),"SAI MÃ NV"))</f>
        <v/>
      </c>
      <c r="D723" s="86" t="n"/>
      <c r="E723" s="103">
        <f>IF(OR($B723="",$D723=""),"",IF(COUNTIF(THAM_SO_CC!$F$10:$F$40,$D723)&gt;0,"Lễ",IF(IF(THAM_SO_CC!$B$12="T7+CN",WEEKDAY($D723,2)&gt;=6,WEEKDAY($D723,2)=7),"Nghỉ tuần","Ngày thường")))</f>
        <v/>
      </c>
      <c r="F723" s="107" t="n"/>
      <c r="G723" s="107" t="n"/>
      <c r="H723" s="107" t="n"/>
      <c r="I723" s="81" t="n"/>
      <c r="J723" s="108">
        <f>IF($B723="","",IF($E723="Ngày thường",N($G723),0))</f>
        <v/>
      </c>
      <c r="K723" s="108">
        <f>IF($B723="","",IF($E723="Nghỉ tuần",N($G723),0))</f>
        <v/>
      </c>
      <c r="L723" s="108">
        <f>IF($B723="","",IF($E723="Lễ",N($G723),0))</f>
        <v/>
      </c>
      <c r="M723" s="108">
        <f>IF($B723="","",IF($E723="Ngày thường",N($H723),0))</f>
        <v/>
      </c>
      <c r="N723" s="108">
        <f>IF($B723="","",IF($E723="Nghỉ tuần",N($H723),0))</f>
        <v/>
      </c>
      <c r="O723" s="108">
        <f>IF($B723="","",IF($E723="Lễ",N($H723),0))</f>
        <v/>
      </c>
    </row>
    <row r="724" ht="15" customHeight="1" s="63">
      <c r="A724" s="85">
        <f>IF($B724="","",ROW()-5)</f>
        <v/>
      </c>
      <c r="B724" s="97" t="n"/>
      <c r="C724" s="96">
        <f>IF($B724="","",IFERROR(INDEX(DM_NHAN_SU!$C$6:$C$155,MATCH($B724,DM_NHAN_SU!$B$6:$B$155,0)),"SAI MÃ NV"))</f>
        <v/>
      </c>
      <c r="D724" s="86" t="n"/>
      <c r="E724" s="103">
        <f>IF(OR($B724="",$D724=""),"",IF(COUNTIF(THAM_SO_CC!$F$10:$F$40,$D724)&gt;0,"Lễ",IF(IF(THAM_SO_CC!$B$12="T7+CN",WEEKDAY($D724,2)&gt;=6,WEEKDAY($D724,2)=7),"Nghỉ tuần","Ngày thường")))</f>
        <v/>
      </c>
      <c r="F724" s="107" t="n"/>
      <c r="G724" s="107" t="n"/>
      <c r="H724" s="107" t="n"/>
      <c r="I724" s="81" t="n"/>
      <c r="J724" s="108">
        <f>IF($B724="","",IF($E724="Ngày thường",N($G724),0))</f>
        <v/>
      </c>
      <c r="K724" s="108">
        <f>IF($B724="","",IF($E724="Nghỉ tuần",N($G724),0))</f>
        <v/>
      </c>
      <c r="L724" s="108">
        <f>IF($B724="","",IF($E724="Lễ",N($G724),0))</f>
        <v/>
      </c>
      <c r="M724" s="108">
        <f>IF($B724="","",IF($E724="Ngày thường",N($H724),0))</f>
        <v/>
      </c>
      <c r="N724" s="108">
        <f>IF($B724="","",IF($E724="Nghỉ tuần",N($H724),0))</f>
        <v/>
      </c>
      <c r="O724" s="108">
        <f>IF($B724="","",IF($E724="Lễ",N($H724),0))</f>
        <v/>
      </c>
    </row>
    <row r="725" ht="15" customHeight="1" s="63">
      <c r="A725" s="85">
        <f>IF($B725="","",ROW()-5)</f>
        <v/>
      </c>
      <c r="B725" s="97" t="n"/>
      <c r="C725" s="96">
        <f>IF($B725="","",IFERROR(INDEX(DM_NHAN_SU!$C$6:$C$155,MATCH($B725,DM_NHAN_SU!$B$6:$B$155,0)),"SAI MÃ NV"))</f>
        <v/>
      </c>
      <c r="D725" s="86" t="n"/>
      <c r="E725" s="103">
        <f>IF(OR($B725="",$D725=""),"",IF(COUNTIF(THAM_SO_CC!$F$10:$F$40,$D725)&gt;0,"Lễ",IF(IF(THAM_SO_CC!$B$12="T7+CN",WEEKDAY($D725,2)&gt;=6,WEEKDAY($D725,2)=7),"Nghỉ tuần","Ngày thường")))</f>
        <v/>
      </c>
      <c r="F725" s="107" t="n"/>
      <c r="G725" s="107" t="n"/>
      <c r="H725" s="107" t="n"/>
      <c r="I725" s="81" t="n"/>
      <c r="J725" s="108">
        <f>IF($B725="","",IF($E725="Ngày thường",N($G725),0))</f>
        <v/>
      </c>
      <c r="K725" s="108">
        <f>IF($B725="","",IF($E725="Nghỉ tuần",N($G725),0))</f>
        <v/>
      </c>
      <c r="L725" s="108">
        <f>IF($B725="","",IF($E725="Lễ",N($G725),0))</f>
        <v/>
      </c>
      <c r="M725" s="108">
        <f>IF($B725="","",IF($E725="Ngày thường",N($H725),0))</f>
        <v/>
      </c>
      <c r="N725" s="108">
        <f>IF($B725="","",IF($E725="Nghỉ tuần",N($H725),0))</f>
        <v/>
      </c>
      <c r="O725" s="108">
        <f>IF($B725="","",IF($E725="Lễ",N($H725),0))</f>
        <v/>
      </c>
    </row>
    <row r="726" ht="15" customHeight="1" s="63">
      <c r="A726" s="85">
        <f>IF($B726="","",ROW()-5)</f>
        <v/>
      </c>
      <c r="B726" s="97" t="n"/>
      <c r="C726" s="96">
        <f>IF($B726="","",IFERROR(INDEX(DM_NHAN_SU!$C$6:$C$155,MATCH($B726,DM_NHAN_SU!$B$6:$B$155,0)),"SAI MÃ NV"))</f>
        <v/>
      </c>
      <c r="D726" s="86" t="n"/>
      <c r="E726" s="103">
        <f>IF(OR($B726="",$D726=""),"",IF(COUNTIF(THAM_SO_CC!$F$10:$F$40,$D726)&gt;0,"Lễ",IF(IF(THAM_SO_CC!$B$12="T7+CN",WEEKDAY($D726,2)&gt;=6,WEEKDAY($D726,2)=7),"Nghỉ tuần","Ngày thường")))</f>
        <v/>
      </c>
      <c r="F726" s="107" t="n"/>
      <c r="G726" s="107" t="n"/>
      <c r="H726" s="107" t="n"/>
      <c r="I726" s="81" t="n"/>
      <c r="J726" s="108">
        <f>IF($B726="","",IF($E726="Ngày thường",N($G726),0))</f>
        <v/>
      </c>
      <c r="K726" s="108">
        <f>IF($B726="","",IF($E726="Nghỉ tuần",N($G726),0))</f>
        <v/>
      </c>
      <c r="L726" s="108">
        <f>IF($B726="","",IF($E726="Lễ",N($G726),0))</f>
        <v/>
      </c>
      <c r="M726" s="108">
        <f>IF($B726="","",IF($E726="Ngày thường",N($H726),0))</f>
        <v/>
      </c>
      <c r="N726" s="108">
        <f>IF($B726="","",IF($E726="Nghỉ tuần",N($H726),0))</f>
        <v/>
      </c>
      <c r="O726" s="108">
        <f>IF($B726="","",IF($E726="Lễ",N($H726),0))</f>
        <v/>
      </c>
    </row>
    <row r="727" ht="15" customHeight="1" s="63">
      <c r="A727" s="85">
        <f>IF($B727="","",ROW()-5)</f>
        <v/>
      </c>
      <c r="B727" s="97" t="n"/>
      <c r="C727" s="96">
        <f>IF($B727="","",IFERROR(INDEX(DM_NHAN_SU!$C$6:$C$155,MATCH($B727,DM_NHAN_SU!$B$6:$B$155,0)),"SAI MÃ NV"))</f>
        <v/>
      </c>
      <c r="D727" s="86" t="n"/>
      <c r="E727" s="103">
        <f>IF(OR($B727="",$D727=""),"",IF(COUNTIF(THAM_SO_CC!$F$10:$F$40,$D727)&gt;0,"Lễ",IF(IF(THAM_SO_CC!$B$12="T7+CN",WEEKDAY($D727,2)&gt;=6,WEEKDAY($D727,2)=7),"Nghỉ tuần","Ngày thường")))</f>
        <v/>
      </c>
      <c r="F727" s="107" t="n"/>
      <c r="G727" s="107" t="n"/>
      <c r="H727" s="107" t="n"/>
      <c r="I727" s="81" t="n"/>
      <c r="J727" s="108">
        <f>IF($B727="","",IF($E727="Ngày thường",N($G727),0))</f>
        <v/>
      </c>
      <c r="K727" s="108">
        <f>IF($B727="","",IF($E727="Nghỉ tuần",N($G727),0))</f>
        <v/>
      </c>
      <c r="L727" s="108">
        <f>IF($B727="","",IF($E727="Lễ",N($G727),0))</f>
        <v/>
      </c>
      <c r="M727" s="108">
        <f>IF($B727="","",IF($E727="Ngày thường",N($H727),0))</f>
        <v/>
      </c>
      <c r="N727" s="108">
        <f>IF($B727="","",IF($E727="Nghỉ tuần",N($H727),0))</f>
        <v/>
      </c>
      <c r="O727" s="108">
        <f>IF($B727="","",IF($E727="Lễ",N($H727),0))</f>
        <v/>
      </c>
    </row>
    <row r="728" ht="15" customHeight="1" s="63">
      <c r="A728" s="85">
        <f>IF($B728="","",ROW()-5)</f>
        <v/>
      </c>
      <c r="B728" s="97" t="n"/>
      <c r="C728" s="96">
        <f>IF($B728="","",IFERROR(INDEX(DM_NHAN_SU!$C$6:$C$155,MATCH($B728,DM_NHAN_SU!$B$6:$B$155,0)),"SAI MÃ NV"))</f>
        <v/>
      </c>
      <c r="D728" s="86" t="n"/>
      <c r="E728" s="103">
        <f>IF(OR($B728="",$D728=""),"",IF(COUNTIF(THAM_SO_CC!$F$10:$F$40,$D728)&gt;0,"Lễ",IF(IF(THAM_SO_CC!$B$12="T7+CN",WEEKDAY($D728,2)&gt;=6,WEEKDAY($D728,2)=7),"Nghỉ tuần","Ngày thường")))</f>
        <v/>
      </c>
      <c r="F728" s="107" t="n"/>
      <c r="G728" s="107" t="n"/>
      <c r="H728" s="107" t="n"/>
      <c r="I728" s="81" t="n"/>
      <c r="J728" s="108">
        <f>IF($B728="","",IF($E728="Ngày thường",N($G728),0))</f>
        <v/>
      </c>
      <c r="K728" s="108">
        <f>IF($B728="","",IF($E728="Nghỉ tuần",N($G728),0))</f>
        <v/>
      </c>
      <c r="L728" s="108">
        <f>IF($B728="","",IF($E728="Lễ",N($G728),0))</f>
        <v/>
      </c>
      <c r="M728" s="108">
        <f>IF($B728="","",IF($E728="Ngày thường",N($H728),0))</f>
        <v/>
      </c>
      <c r="N728" s="108">
        <f>IF($B728="","",IF($E728="Nghỉ tuần",N($H728),0))</f>
        <v/>
      </c>
      <c r="O728" s="108">
        <f>IF($B728="","",IF($E728="Lễ",N($H728),0))</f>
        <v/>
      </c>
    </row>
    <row r="729" ht="15" customHeight="1" s="63">
      <c r="A729" s="85">
        <f>IF($B729="","",ROW()-5)</f>
        <v/>
      </c>
      <c r="B729" s="97" t="n"/>
      <c r="C729" s="96">
        <f>IF($B729="","",IFERROR(INDEX(DM_NHAN_SU!$C$6:$C$155,MATCH($B729,DM_NHAN_SU!$B$6:$B$155,0)),"SAI MÃ NV"))</f>
        <v/>
      </c>
      <c r="D729" s="86" t="n"/>
      <c r="E729" s="103">
        <f>IF(OR($B729="",$D729=""),"",IF(COUNTIF(THAM_SO_CC!$F$10:$F$40,$D729)&gt;0,"Lễ",IF(IF(THAM_SO_CC!$B$12="T7+CN",WEEKDAY($D729,2)&gt;=6,WEEKDAY($D729,2)=7),"Nghỉ tuần","Ngày thường")))</f>
        <v/>
      </c>
      <c r="F729" s="107" t="n"/>
      <c r="G729" s="107" t="n"/>
      <c r="H729" s="107" t="n"/>
      <c r="I729" s="81" t="n"/>
      <c r="J729" s="108">
        <f>IF($B729="","",IF($E729="Ngày thường",N($G729),0))</f>
        <v/>
      </c>
      <c r="K729" s="108">
        <f>IF($B729="","",IF($E729="Nghỉ tuần",N($G729),0))</f>
        <v/>
      </c>
      <c r="L729" s="108">
        <f>IF($B729="","",IF($E729="Lễ",N($G729),0))</f>
        <v/>
      </c>
      <c r="M729" s="108">
        <f>IF($B729="","",IF($E729="Ngày thường",N($H729),0))</f>
        <v/>
      </c>
      <c r="N729" s="108">
        <f>IF($B729="","",IF($E729="Nghỉ tuần",N($H729),0))</f>
        <v/>
      </c>
      <c r="O729" s="108">
        <f>IF($B729="","",IF($E729="Lễ",N($H729),0))</f>
        <v/>
      </c>
    </row>
    <row r="730" ht="15" customHeight="1" s="63">
      <c r="A730" s="85">
        <f>IF($B730="","",ROW()-5)</f>
        <v/>
      </c>
      <c r="B730" s="97" t="n"/>
      <c r="C730" s="96">
        <f>IF($B730="","",IFERROR(INDEX(DM_NHAN_SU!$C$6:$C$155,MATCH($B730,DM_NHAN_SU!$B$6:$B$155,0)),"SAI MÃ NV"))</f>
        <v/>
      </c>
      <c r="D730" s="86" t="n"/>
      <c r="E730" s="103">
        <f>IF(OR($B730="",$D730=""),"",IF(COUNTIF(THAM_SO_CC!$F$10:$F$40,$D730)&gt;0,"Lễ",IF(IF(THAM_SO_CC!$B$12="T7+CN",WEEKDAY($D730,2)&gt;=6,WEEKDAY($D730,2)=7),"Nghỉ tuần","Ngày thường")))</f>
        <v/>
      </c>
      <c r="F730" s="107" t="n"/>
      <c r="G730" s="107" t="n"/>
      <c r="H730" s="107" t="n"/>
      <c r="I730" s="81" t="n"/>
      <c r="J730" s="108">
        <f>IF($B730="","",IF($E730="Ngày thường",N($G730),0))</f>
        <v/>
      </c>
      <c r="K730" s="108">
        <f>IF($B730="","",IF($E730="Nghỉ tuần",N($G730),0))</f>
        <v/>
      </c>
      <c r="L730" s="108">
        <f>IF($B730="","",IF($E730="Lễ",N($G730),0))</f>
        <v/>
      </c>
      <c r="M730" s="108">
        <f>IF($B730="","",IF($E730="Ngày thường",N($H730),0))</f>
        <v/>
      </c>
      <c r="N730" s="108">
        <f>IF($B730="","",IF($E730="Nghỉ tuần",N($H730),0))</f>
        <v/>
      </c>
      <c r="O730" s="108">
        <f>IF($B730="","",IF($E730="Lễ",N($H730),0))</f>
        <v/>
      </c>
    </row>
    <row r="731" ht="15" customHeight="1" s="63">
      <c r="A731" s="85">
        <f>IF($B731="","",ROW()-5)</f>
        <v/>
      </c>
      <c r="B731" s="97" t="n"/>
      <c r="C731" s="96">
        <f>IF($B731="","",IFERROR(INDEX(DM_NHAN_SU!$C$6:$C$155,MATCH($B731,DM_NHAN_SU!$B$6:$B$155,0)),"SAI MÃ NV"))</f>
        <v/>
      </c>
      <c r="D731" s="86" t="n"/>
      <c r="E731" s="103">
        <f>IF(OR($B731="",$D731=""),"",IF(COUNTIF(THAM_SO_CC!$F$10:$F$40,$D731)&gt;0,"Lễ",IF(IF(THAM_SO_CC!$B$12="T7+CN",WEEKDAY($D731,2)&gt;=6,WEEKDAY($D731,2)=7),"Nghỉ tuần","Ngày thường")))</f>
        <v/>
      </c>
      <c r="F731" s="107" t="n"/>
      <c r="G731" s="107" t="n"/>
      <c r="H731" s="107" t="n"/>
      <c r="I731" s="81" t="n"/>
      <c r="J731" s="108">
        <f>IF($B731="","",IF($E731="Ngày thường",N($G731),0))</f>
        <v/>
      </c>
      <c r="K731" s="108">
        <f>IF($B731="","",IF($E731="Nghỉ tuần",N($G731),0))</f>
        <v/>
      </c>
      <c r="L731" s="108">
        <f>IF($B731="","",IF($E731="Lễ",N($G731),0))</f>
        <v/>
      </c>
      <c r="M731" s="108">
        <f>IF($B731="","",IF($E731="Ngày thường",N($H731),0))</f>
        <v/>
      </c>
      <c r="N731" s="108">
        <f>IF($B731="","",IF($E731="Nghỉ tuần",N($H731),0))</f>
        <v/>
      </c>
      <c r="O731" s="108">
        <f>IF($B731="","",IF($E731="Lễ",N($H731),0))</f>
        <v/>
      </c>
    </row>
    <row r="732" ht="15" customHeight="1" s="63">
      <c r="A732" s="85">
        <f>IF($B732="","",ROW()-5)</f>
        <v/>
      </c>
      <c r="B732" s="97" t="n"/>
      <c r="C732" s="96">
        <f>IF($B732="","",IFERROR(INDEX(DM_NHAN_SU!$C$6:$C$155,MATCH($B732,DM_NHAN_SU!$B$6:$B$155,0)),"SAI MÃ NV"))</f>
        <v/>
      </c>
      <c r="D732" s="86" t="n"/>
      <c r="E732" s="103">
        <f>IF(OR($B732="",$D732=""),"",IF(COUNTIF(THAM_SO_CC!$F$10:$F$40,$D732)&gt;0,"Lễ",IF(IF(THAM_SO_CC!$B$12="T7+CN",WEEKDAY($D732,2)&gt;=6,WEEKDAY($D732,2)=7),"Nghỉ tuần","Ngày thường")))</f>
        <v/>
      </c>
      <c r="F732" s="107" t="n"/>
      <c r="G732" s="107" t="n"/>
      <c r="H732" s="107" t="n"/>
      <c r="I732" s="81" t="n"/>
      <c r="J732" s="108">
        <f>IF($B732="","",IF($E732="Ngày thường",N($G732),0))</f>
        <v/>
      </c>
      <c r="K732" s="108">
        <f>IF($B732="","",IF($E732="Nghỉ tuần",N($G732),0))</f>
        <v/>
      </c>
      <c r="L732" s="108">
        <f>IF($B732="","",IF($E732="Lễ",N($G732),0))</f>
        <v/>
      </c>
      <c r="M732" s="108">
        <f>IF($B732="","",IF($E732="Ngày thường",N($H732),0))</f>
        <v/>
      </c>
      <c r="N732" s="108">
        <f>IF($B732="","",IF($E732="Nghỉ tuần",N($H732),0))</f>
        <v/>
      </c>
      <c r="O732" s="108">
        <f>IF($B732="","",IF($E732="Lễ",N($H732),0))</f>
        <v/>
      </c>
    </row>
    <row r="733" ht="15" customHeight="1" s="63">
      <c r="A733" s="85">
        <f>IF($B733="","",ROW()-5)</f>
        <v/>
      </c>
      <c r="B733" s="97" t="n"/>
      <c r="C733" s="96">
        <f>IF($B733="","",IFERROR(INDEX(DM_NHAN_SU!$C$6:$C$155,MATCH($B733,DM_NHAN_SU!$B$6:$B$155,0)),"SAI MÃ NV"))</f>
        <v/>
      </c>
      <c r="D733" s="86" t="n"/>
      <c r="E733" s="103">
        <f>IF(OR($B733="",$D733=""),"",IF(COUNTIF(THAM_SO_CC!$F$10:$F$40,$D733)&gt;0,"Lễ",IF(IF(THAM_SO_CC!$B$12="T7+CN",WEEKDAY($D733,2)&gt;=6,WEEKDAY($D733,2)=7),"Nghỉ tuần","Ngày thường")))</f>
        <v/>
      </c>
      <c r="F733" s="107" t="n"/>
      <c r="G733" s="107" t="n"/>
      <c r="H733" s="107" t="n"/>
      <c r="I733" s="81" t="n"/>
      <c r="J733" s="108">
        <f>IF($B733="","",IF($E733="Ngày thường",N($G733),0))</f>
        <v/>
      </c>
      <c r="K733" s="108">
        <f>IF($B733="","",IF($E733="Nghỉ tuần",N($G733),0))</f>
        <v/>
      </c>
      <c r="L733" s="108">
        <f>IF($B733="","",IF($E733="Lễ",N($G733),0))</f>
        <v/>
      </c>
      <c r="M733" s="108">
        <f>IF($B733="","",IF($E733="Ngày thường",N($H733),0))</f>
        <v/>
      </c>
      <c r="N733" s="108">
        <f>IF($B733="","",IF($E733="Nghỉ tuần",N($H733),0))</f>
        <v/>
      </c>
      <c r="O733" s="108">
        <f>IF($B733="","",IF($E733="Lễ",N($H733),0))</f>
        <v/>
      </c>
    </row>
    <row r="734" ht="15" customHeight="1" s="63">
      <c r="A734" s="85">
        <f>IF($B734="","",ROW()-5)</f>
        <v/>
      </c>
      <c r="B734" s="97" t="n"/>
      <c r="C734" s="96">
        <f>IF($B734="","",IFERROR(INDEX(DM_NHAN_SU!$C$6:$C$155,MATCH($B734,DM_NHAN_SU!$B$6:$B$155,0)),"SAI MÃ NV"))</f>
        <v/>
      </c>
      <c r="D734" s="86" t="n"/>
      <c r="E734" s="103">
        <f>IF(OR($B734="",$D734=""),"",IF(COUNTIF(THAM_SO_CC!$F$10:$F$40,$D734)&gt;0,"Lễ",IF(IF(THAM_SO_CC!$B$12="T7+CN",WEEKDAY($D734,2)&gt;=6,WEEKDAY($D734,2)=7),"Nghỉ tuần","Ngày thường")))</f>
        <v/>
      </c>
      <c r="F734" s="107" t="n"/>
      <c r="G734" s="107" t="n"/>
      <c r="H734" s="107" t="n"/>
      <c r="I734" s="81" t="n"/>
      <c r="J734" s="108">
        <f>IF($B734="","",IF($E734="Ngày thường",N($G734),0))</f>
        <v/>
      </c>
      <c r="K734" s="108">
        <f>IF($B734="","",IF($E734="Nghỉ tuần",N($G734),0))</f>
        <v/>
      </c>
      <c r="L734" s="108">
        <f>IF($B734="","",IF($E734="Lễ",N($G734),0))</f>
        <v/>
      </c>
      <c r="M734" s="108">
        <f>IF($B734="","",IF($E734="Ngày thường",N($H734),0))</f>
        <v/>
      </c>
      <c r="N734" s="108">
        <f>IF($B734="","",IF($E734="Nghỉ tuần",N($H734),0))</f>
        <v/>
      </c>
      <c r="O734" s="108">
        <f>IF($B734="","",IF($E734="Lễ",N($H734),0))</f>
        <v/>
      </c>
    </row>
    <row r="735" ht="15" customHeight="1" s="63">
      <c r="A735" s="85">
        <f>IF($B735="","",ROW()-5)</f>
        <v/>
      </c>
      <c r="B735" s="97" t="n"/>
      <c r="C735" s="96">
        <f>IF($B735="","",IFERROR(INDEX(DM_NHAN_SU!$C$6:$C$155,MATCH($B735,DM_NHAN_SU!$B$6:$B$155,0)),"SAI MÃ NV"))</f>
        <v/>
      </c>
      <c r="D735" s="86" t="n"/>
      <c r="E735" s="103">
        <f>IF(OR($B735="",$D735=""),"",IF(COUNTIF(THAM_SO_CC!$F$10:$F$40,$D735)&gt;0,"Lễ",IF(IF(THAM_SO_CC!$B$12="T7+CN",WEEKDAY($D735,2)&gt;=6,WEEKDAY($D735,2)=7),"Nghỉ tuần","Ngày thường")))</f>
        <v/>
      </c>
      <c r="F735" s="107" t="n"/>
      <c r="G735" s="107" t="n"/>
      <c r="H735" s="107" t="n"/>
      <c r="I735" s="81" t="n"/>
      <c r="J735" s="108">
        <f>IF($B735="","",IF($E735="Ngày thường",N($G735),0))</f>
        <v/>
      </c>
      <c r="K735" s="108">
        <f>IF($B735="","",IF($E735="Nghỉ tuần",N($G735),0))</f>
        <v/>
      </c>
      <c r="L735" s="108">
        <f>IF($B735="","",IF($E735="Lễ",N($G735),0))</f>
        <v/>
      </c>
      <c r="M735" s="108">
        <f>IF($B735="","",IF($E735="Ngày thường",N($H735),0))</f>
        <v/>
      </c>
      <c r="N735" s="108">
        <f>IF($B735="","",IF($E735="Nghỉ tuần",N($H735),0))</f>
        <v/>
      </c>
      <c r="O735" s="108">
        <f>IF($B735="","",IF($E735="Lễ",N($H735),0))</f>
        <v/>
      </c>
    </row>
    <row r="736" ht="15" customHeight="1" s="63">
      <c r="A736" s="85">
        <f>IF($B736="","",ROW()-5)</f>
        <v/>
      </c>
      <c r="B736" s="97" t="n"/>
      <c r="C736" s="96">
        <f>IF($B736="","",IFERROR(INDEX(DM_NHAN_SU!$C$6:$C$155,MATCH($B736,DM_NHAN_SU!$B$6:$B$155,0)),"SAI MÃ NV"))</f>
        <v/>
      </c>
      <c r="D736" s="86" t="n"/>
      <c r="E736" s="103">
        <f>IF(OR($B736="",$D736=""),"",IF(COUNTIF(THAM_SO_CC!$F$10:$F$40,$D736)&gt;0,"Lễ",IF(IF(THAM_SO_CC!$B$12="T7+CN",WEEKDAY($D736,2)&gt;=6,WEEKDAY($D736,2)=7),"Nghỉ tuần","Ngày thường")))</f>
        <v/>
      </c>
      <c r="F736" s="107" t="n"/>
      <c r="G736" s="107" t="n"/>
      <c r="H736" s="107" t="n"/>
      <c r="I736" s="81" t="n"/>
      <c r="J736" s="108">
        <f>IF($B736="","",IF($E736="Ngày thường",N($G736),0))</f>
        <v/>
      </c>
      <c r="K736" s="108">
        <f>IF($B736="","",IF($E736="Nghỉ tuần",N($G736),0))</f>
        <v/>
      </c>
      <c r="L736" s="108">
        <f>IF($B736="","",IF($E736="Lễ",N($G736),0))</f>
        <v/>
      </c>
      <c r="M736" s="108">
        <f>IF($B736="","",IF($E736="Ngày thường",N($H736),0))</f>
        <v/>
      </c>
      <c r="N736" s="108">
        <f>IF($B736="","",IF($E736="Nghỉ tuần",N($H736),0))</f>
        <v/>
      </c>
      <c r="O736" s="108">
        <f>IF($B736="","",IF($E736="Lễ",N($H736),0))</f>
        <v/>
      </c>
    </row>
    <row r="737" ht="15" customHeight="1" s="63">
      <c r="A737" s="85">
        <f>IF($B737="","",ROW()-5)</f>
        <v/>
      </c>
      <c r="B737" s="97" t="n"/>
      <c r="C737" s="96">
        <f>IF($B737="","",IFERROR(INDEX(DM_NHAN_SU!$C$6:$C$155,MATCH($B737,DM_NHAN_SU!$B$6:$B$155,0)),"SAI MÃ NV"))</f>
        <v/>
      </c>
      <c r="D737" s="86" t="n"/>
      <c r="E737" s="103">
        <f>IF(OR($B737="",$D737=""),"",IF(COUNTIF(THAM_SO_CC!$F$10:$F$40,$D737)&gt;0,"Lễ",IF(IF(THAM_SO_CC!$B$12="T7+CN",WEEKDAY($D737,2)&gt;=6,WEEKDAY($D737,2)=7),"Nghỉ tuần","Ngày thường")))</f>
        <v/>
      </c>
      <c r="F737" s="107" t="n"/>
      <c r="G737" s="107" t="n"/>
      <c r="H737" s="107" t="n"/>
      <c r="I737" s="81" t="n"/>
      <c r="J737" s="108">
        <f>IF($B737="","",IF($E737="Ngày thường",N($G737),0))</f>
        <v/>
      </c>
      <c r="K737" s="108">
        <f>IF($B737="","",IF($E737="Nghỉ tuần",N($G737),0))</f>
        <v/>
      </c>
      <c r="L737" s="108">
        <f>IF($B737="","",IF($E737="Lễ",N($G737),0))</f>
        <v/>
      </c>
      <c r="M737" s="108">
        <f>IF($B737="","",IF($E737="Ngày thường",N($H737),0))</f>
        <v/>
      </c>
      <c r="N737" s="108">
        <f>IF($B737="","",IF($E737="Nghỉ tuần",N($H737),0))</f>
        <v/>
      </c>
      <c r="O737" s="108">
        <f>IF($B737="","",IF($E737="Lễ",N($H737),0))</f>
        <v/>
      </c>
    </row>
    <row r="738" ht="15" customHeight="1" s="63">
      <c r="A738" s="85">
        <f>IF($B738="","",ROW()-5)</f>
        <v/>
      </c>
      <c r="B738" s="97" t="n"/>
      <c r="C738" s="96">
        <f>IF($B738="","",IFERROR(INDEX(DM_NHAN_SU!$C$6:$C$155,MATCH($B738,DM_NHAN_SU!$B$6:$B$155,0)),"SAI MÃ NV"))</f>
        <v/>
      </c>
      <c r="D738" s="86" t="n"/>
      <c r="E738" s="103">
        <f>IF(OR($B738="",$D738=""),"",IF(COUNTIF(THAM_SO_CC!$F$10:$F$40,$D738)&gt;0,"Lễ",IF(IF(THAM_SO_CC!$B$12="T7+CN",WEEKDAY($D738,2)&gt;=6,WEEKDAY($D738,2)=7),"Nghỉ tuần","Ngày thường")))</f>
        <v/>
      </c>
      <c r="F738" s="107" t="n"/>
      <c r="G738" s="107" t="n"/>
      <c r="H738" s="107" t="n"/>
      <c r="I738" s="81" t="n"/>
      <c r="J738" s="108">
        <f>IF($B738="","",IF($E738="Ngày thường",N($G738),0))</f>
        <v/>
      </c>
      <c r="K738" s="108">
        <f>IF($B738="","",IF($E738="Nghỉ tuần",N($G738),0))</f>
        <v/>
      </c>
      <c r="L738" s="108">
        <f>IF($B738="","",IF($E738="Lễ",N($G738),0))</f>
        <v/>
      </c>
      <c r="M738" s="108">
        <f>IF($B738="","",IF($E738="Ngày thường",N($H738),0))</f>
        <v/>
      </c>
      <c r="N738" s="108">
        <f>IF($B738="","",IF($E738="Nghỉ tuần",N($H738),0))</f>
        <v/>
      </c>
      <c r="O738" s="108">
        <f>IF($B738="","",IF($E738="Lễ",N($H738),0))</f>
        <v/>
      </c>
    </row>
    <row r="739" ht="15" customHeight="1" s="63">
      <c r="A739" s="85">
        <f>IF($B739="","",ROW()-5)</f>
        <v/>
      </c>
      <c r="B739" s="97" t="n"/>
      <c r="C739" s="96">
        <f>IF($B739="","",IFERROR(INDEX(DM_NHAN_SU!$C$6:$C$155,MATCH($B739,DM_NHAN_SU!$B$6:$B$155,0)),"SAI MÃ NV"))</f>
        <v/>
      </c>
      <c r="D739" s="86" t="n"/>
      <c r="E739" s="103">
        <f>IF(OR($B739="",$D739=""),"",IF(COUNTIF(THAM_SO_CC!$F$10:$F$40,$D739)&gt;0,"Lễ",IF(IF(THAM_SO_CC!$B$12="T7+CN",WEEKDAY($D739,2)&gt;=6,WEEKDAY($D739,2)=7),"Nghỉ tuần","Ngày thường")))</f>
        <v/>
      </c>
      <c r="F739" s="107" t="n"/>
      <c r="G739" s="107" t="n"/>
      <c r="H739" s="107" t="n"/>
      <c r="I739" s="81" t="n"/>
      <c r="J739" s="108">
        <f>IF($B739="","",IF($E739="Ngày thường",N($G739),0))</f>
        <v/>
      </c>
      <c r="K739" s="108">
        <f>IF($B739="","",IF($E739="Nghỉ tuần",N($G739),0))</f>
        <v/>
      </c>
      <c r="L739" s="108">
        <f>IF($B739="","",IF($E739="Lễ",N($G739),0))</f>
        <v/>
      </c>
      <c r="M739" s="108">
        <f>IF($B739="","",IF($E739="Ngày thường",N($H739),0))</f>
        <v/>
      </c>
      <c r="N739" s="108">
        <f>IF($B739="","",IF($E739="Nghỉ tuần",N($H739),0))</f>
        <v/>
      </c>
      <c r="O739" s="108">
        <f>IF($B739="","",IF($E739="Lễ",N($H739),0))</f>
        <v/>
      </c>
    </row>
    <row r="740" ht="15" customHeight="1" s="63">
      <c r="A740" s="85">
        <f>IF($B740="","",ROW()-5)</f>
        <v/>
      </c>
      <c r="B740" s="97" t="n"/>
      <c r="C740" s="96">
        <f>IF($B740="","",IFERROR(INDEX(DM_NHAN_SU!$C$6:$C$155,MATCH($B740,DM_NHAN_SU!$B$6:$B$155,0)),"SAI MÃ NV"))</f>
        <v/>
      </c>
      <c r="D740" s="86" t="n"/>
      <c r="E740" s="103">
        <f>IF(OR($B740="",$D740=""),"",IF(COUNTIF(THAM_SO_CC!$F$10:$F$40,$D740)&gt;0,"Lễ",IF(IF(THAM_SO_CC!$B$12="T7+CN",WEEKDAY($D740,2)&gt;=6,WEEKDAY($D740,2)=7),"Nghỉ tuần","Ngày thường")))</f>
        <v/>
      </c>
      <c r="F740" s="107" t="n"/>
      <c r="G740" s="107" t="n"/>
      <c r="H740" s="107" t="n"/>
      <c r="I740" s="81" t="n"/>
      <c r="J740" s="108">
        <f>IF($B740="","",IF($E740="Ngày thường",N($G740),0))</f>
        <v/>
      </c>
      <c r="K740" s="108">
        <f>IF($B740="","",IF($E740="Nghỉ tuần",N($G740),0))</f>
        <v/>
      </c>
      <c r="L740" s="108">
        <f>IF($B740="","",IF($E740="Lễ",N($G740),0))</f>
        <v/>
      </c>
      <c r="M740" s="108">
        <f>IF($B740="","",IF($E740="Ngày thường",N($H740),0))</f>
        <v/>
      </c>
      <c r="N740" s="108">
        <f>IF($B740="","",IF($E740="Nghỉ tuần",N($H740),0))</f>
        <v/>
      </c>
      <c r="O740" s="108">
        <f>IF($B740="","",IF($E740="Lễ",N($H740),0))</f>
        <v/>
      </c>
    </row>
    <row r="741" ht="15" customHeight="1" s="63">
      <c r="A741" s="85">
        <f>IF($B741="","",ROW()-5)</f>
        <v/>
      </c>
      <c r="B741" s="97" t="n"/>
      <c r="C741" s="96">
        <f>IF($B741="","",IFERROR(INDEX(DM_NHAN_SU!$C$6:$C$155,MATCH($B741,DM_NHAN_SU!$B$6:$B$155,0)),"SAI MÃ NV"))</f>
        <v/>
      </c>
      <c r="D741" s="86" t="n"/>
      <c r="E741" s="103">
        <f>IF(OR($B741="",$D741=""),"",IF(COUNTIF(THAM_SO_CC!$F$10:$F$40,$D741)&gt;0,"Lễ",IF(IF(THAM_SO_CC!$B$12="T7+CN",WEEKDAY($D741,2)&gt;=6,WEEKDAY($D741,2)=7),"Nghỉ tuần","Ngày thường")))</f>
        <v/>
      </c>
      <c r="F741" s="107" t="n"/>
      <c r="G741" s="107" t="n"/>
      <c r="H741" s="107" t="n"/>
      <c r="I741" s="81" t="n"/>
      <c r="J741" s="108">
        <f>IF($B741="","",IF($E741="Ngày thường",N($G741),0))</f>
        <v/>
      </c>
      <c r="K741" s="108">
        <f>IF($B741="","",IF($E741="Nghỉ tuần",N($G741),0))</f>
        <v/>
      </c>
      <c r="L741" s="108">
        <f>IF($B741="","",IF($E741="Lễ",N($G741),0))</f>
        <v/>
      </c>
      <c r="M741" s="108">
        <f>IF($B741="","",IF($E741="Ngày thường",N($H741),0))</f>
        <v/>
      </c>
      <c r="N741" s="108">
        <f>IF($B741="","",IF($E741="Nghỉ tuần",N($H741),0))</f>
        <v/>
      </c>
      <c r="O741" s="108">
        <f>IF($B741="","",IF($E741="Lễ",N($H741),0))</f>
        <v/>
      </c>
    </row>
    <row r="742" ht="15" customHeight="1" s="63">
      <c r="A742" s="85">
        <f>IF($B742="","",ROW()-5)</f>
        <v/>
      </c>
      <c r="B742" s="97" t="n"/>
      <c r="C742" s="96">
        <f>IF($B742="","",IFERROR(INDEX(DM_NHAN_SU!$C$6:$C$155,MATCH($B742,DM_NHAN_SU!$B$6:$B$155,0)),"SAI MÃ NV"))</f>
        <v/>
      </c>
      <c r="D742" s="86" t="n"/>
      <c r="E742" s="103">
        <f>IF(OR($B742="",$D742=""),"",IF(COUNTIF(THAM_SO_CC!$F$10:$F$40,$D742)&gt;0,"Lễ",IF(IF(THAM_SO_CC!$B$12="T7+CN",WEEKDAY($D742,2)&gt;=6,WEEKDAY($D742,2)=7),"Nghỉ tuần","Ngày thường")))</f>
        <v/>
      </c>
      <c r="F742" s="107" t="n"/>
      <c r="G742" s="107" t="n"/>
      <c r="H742" s="107" t="n"/>
      <c r="I742" s="81" t="n"/>
      <c r="J742" s="108">
        <f>IF($B742="","",IF($E742="Ngày thường",N($G742),0))</f>
        <v/>
      </c>
      <c r="K742" s="108">
        <f>IF($B742="","",IF($E742="Nghỉ tuần",N($G742),0))</f>
        <v/>
      </c>
      <c r="L742" s="108">
        <f>IF($B742="","",IF($E742="Lễ",N($G742),0))</f>
        <v/>
      </c>
      <c r="M742" s="108">
        <f>IF($B742="","",IF($E742="Ngày thường",N($H742),0))</f>
        <v/>
      </c>
      <c r="N742" s="108">
        <f>IF($B742="","",IF($E742="Nghỉ tuần",N($H742),0))</f>
        <v/>
      </c>
      <c r="O742" s="108">
        <f>IF($B742="","",IF($E742="Lễ",N($H742),0))</f>
        <v/>
      </c>
    </row>
    <row r="743" ht="15" customHeight="1" s="63">
      <c r="A743" s="85">
        <f>IF($B743="","",ROW()-5)</f>
        <v/>
      </c>
      <c r="B743" s="97" t="n"/>
      <c r="C743" s="96">
        <f>IF($B743="","",IFERROR(INDEX(DM_NHAN_SU!$C$6:$C$155,MATCH($B743,DM_NHAN_SU!$B$6:$B$155,0)),"SAI MÃ NV"))</f>
        <v/>
      </c>
      <c r="D743" s="86" t="n"/>
      <c r="E743" s="103">
        <f>IF(OR($B743="",$D743=""),"",IF(COUNTIF(THAM_SO_CC!$F$10:$F$40,$D743)&gt;0,"Lễ",IF(IF(THAM_SO_CC!$B$12="T7+CN",WEEKDAY($D743,2)&gt;=6,WEEKDAY($D743,2)=7),"Nghỉ tuần","Ngày thường")))</f>
        <v/>
      </c>
      <c r="F743" s="107" t="n"/>
      <c r="G743" s="107" t="n"/>
      <c r="H743" s="107" t="n"/>
      <c r="I743" s="81" t="n"/>
      <c r="J743" s="108">
        <f>IF($B743="","",IF($E743="Ngày thường",N($G743),0))</f>
        <v/>
      </c>
      <c r="K743" s="108">
        <f>IF($B743="","",IF($E743="Nghỉ tuần",N($G743),0))</f>
        <v/>
      </c>
      <c r="L743" s="108">
        <f>IF($B743="","",IF($E743="Lễ",N($G743),0))</f>
        <v/>
      </c>
      <c r="M743" s="108">
        <f>IF($B743="","",IF($E743="Ngày thường",N($H743),0))</f>
        <v/>
      </c>
      <c r="N743" s="108">
        <f>IF($B743="","",IF($E743="Nghỉ tuần",N($H743),0))</f>
        <v/>
      </c>
      <c r="O743" s="108">
        <f>IF($B743="","",IF($E743="Lễ",N($H743),0))</f>
        <v/>
      </c>
    </row>
    <row r="744" ht="15" customHeight="1" s="63">
      <c r="A744" s="85">
        <f>IF($B744="","",ROW()-5)</f>
        <v/>
      </c>
      <c r="B744" s="97" t="n"/>
      <c r="C744" s="96">
        <f>IF($B744="","",IFERROR(INDEX(DM_NHAN_SU!$C$6:$C$155,MATCH($B744,DM_NHAN_SU!$B$6:$B$155,0)),"SAI MÃ NV"))</f>
        <v/>
      </c>
      <c r="D744" s="86" t="n"/>
      <c r="E744" s="103">
        <f>IF(OR($B744="",$D744=""),"",IF(COUNTIF(THAM_SO_CC!$F$10:$F$40,$D744)&gt;0,"Lễ",IF(IF(THAM_SO_CC!$B$12="T7+CN",WEEKDAY($D744,2)&gt;=6,WEEKDAY($D744,2)=7),"Nghỉ tuần","Ngày thường")))</f>
        <v/>
      </c>
      <c r="F744" s="107" t="n"/>
      <c r="G744" s="107" t="n"/>
      <c r="H744" s="107" t="n"/>
      <c r="I744" s="81" t="n"/>
      <c r="J744" s="108">
        <f>IF($B744="","",IF($E744="Ngày thường",N($G744),0))</f>
        <v/>
      </c>
      <c r="K744" s="108">
        <f>IF($B744="","",IF($E744="Nghỉ tuần",N($G744),0))</f>
        <v/>
      </c>
      <c r="L744" s="108">
        <f>IF($B744="","",IF($E744="Lễ",N($G744),0))</f>
        <v/>
      </c>
      <c r="M744" s="108">
        <f>IF($B744="","",IF($E744="Ngày thường",N($H744),0))</f>
        <v/>
      </c>
      <c r="N744" s="108">
        <f>IF($B744="","",IF($E744="Nghỉ tuần",N($H744),0))</f>
        <v/>
      </c>
      <c r="O744" s="108">
        <f>IF($B744="","",IF($E744="Lễ",N($H744),0))</f>
        <v/>
      </c>
    </row>
    <row r="745" ht="15" customHeight="1" s="63">
      <c r="A745" s="85">
        <f>IF($B745="","",ROW()-5)</f>
        <v/>
      </c>
      <c r="B745" s="97" t="n"/>
      <c r="C745" s="96">
        <f>IF($B745="","",IFERROR(INDEX(DM_NHAN_SU!$C$6:$C$155,MATCH($B745,DM_NHAN_SU!$B$6:$B$155,0)),"SAI MÃ NV"))</f>
        <v/>
      </c>
      <c r="D745" s="86" t="n"/>
      <c r="E745" s="103">
        <f>IF(OR($B745="",$D745=""),"",IF(COUNTIF(THAM_SO_CC!$F$10:$F$40,$D745)&gt;0,"Lễ",IF(IF(THAM_SO_CC!$B$12="T7+CN",WEEKDAY($D745,2)&gt;=6,WEEKDAY($D745,2)=7),"Nghỉ tuần","Ngày thường")))</f>
        <v/>
      </c>
      <c r="F745" s="107" t="n"/>
      <c r="G745" s="107" t="n"/>
      <c r="H745" s="107" t="n"/>
      <c r="I745" s="81" t="n"/>
      <c r="J745" s="108">
        <f>IF($B745="","",IF($E745="Ngày thường",N($G745),0))</f>
        <v/>
      </c>
      <c r="K745" s="108">
        <f>IF($B745="","",IF($E745="Nghỉ tuần",N($G745),0))</f>
        <v/>
      </c>
      <c r="L745" s="108">
        <f>IF($B745="","",IF($E745="Lễ",N($G745),0))</f>
        <v/>
      </c>
      <c r="M745" s="108">
        <f>IF($B745="","",IF($E745="Ngày thường",N($H745),0))</f>
        <v/>
      </c>
      <c r="N745" s="108">
        <f>IF($B745="","",IF($E745="Nghỉ tuần",N($H745),0))</f>
        <v/>
      </c>
      <c r="O745" s="108">
        <f>IF($B745="","",IF($E745="Lễ",N($H745),0))</f>
        <v/>
      </c>
    </row>
    <row r="746" ht="15" customHeight="1" s="63">
      <c r="A746" s="85">
        <f>IF($B746="","",ROW()-5)</f>
        <v/>
      </c>
      <c r="B746" s="97" t="n"/>
      <c r="C746" s="96">
        <f>IF($B746="","",IFERROR(INDEX(DM_NHAN_SU!$C$6:$C$155,MATCH($B746,DM_NHAN_SU!$B$6:$B$155,0)),"SAI MÃ NV"))</f>
        <v/>
      </c>
      <c r="D746" s="86" t="n"/>
      <c r="E746" s="103">
        <f>IF(OR($B746="",$D746=""),"",IF(COUNTIF(THAM_SO_CC!$F$10:$F$40,$D746)&gt;0,"Lễ",IF(IF(THAM_SO_CC!$B$12="T7+CN",WEEKDAY($D746,2)&gt;=6,WEEKDAY($D746,2)=7),"Nghỉ tuần","Ngày thường")))</f>
        <v/>
      </c>
      <c r="F746" s="107" t="n"/>
      <c r="G746" s="107" t="n"/>
      <c r="H746" s="107" t="n"/>
      <c r="I746" s="81" t="n"/>
      <c r="J746" s="108">
        <f>IF($B746="","",IF($E746="Ngày thường",N($G746),0))</f>
        <v/>
      </c>
      <c r="K746" s="108">
        <f>IF($B746="","",IF($E746="Nghỉ tuần",N($G746),0))</f>
        <v/>
      </c>
      <c r="L746" s="108">
        <f>IF($B746="","",IF($E746="Lễ",N($G746),0))</f>
        <v/>
      </c>
      <c r="M746" s="108">
        <f>IF($B746="","",IF($E746="Ngày thường",N($H746),0))</f>
        <v/>
      </c>
      <c r="N746" s="108">
        <f>IF($B746="","",IF($E746="Nghỉ tuần",N($H746),0))</f>
        <v/>
      </c>
      <c r="O746" s="108">
        <f>IF($B746="","",IF($E746="Lễ",N($H746),0))</f>
        <v/>
      </c>
    </row>
    <row r="747" ht="15" customHeight="1" s="63">
      <c r="A747" s="85">
        <f>IF($B747="","",ROW()-5)</f>
        <v/>
      </c>
      <c r="B747" s="97" t="n"/>
      <c r="C747" s="96">
        <f>IF($B747="","",IFERROR(INDEX(DM_NHAN_SU!$C$6:$C$155,MATCH($B747,DM_NHAN_SU!$B$6:$B$155,0)),"SAI MÃ NV"))</f>
        <v/>
      </c>
      <c r="D747" s="86" t="n"/>
      <c r="E747" s="103">
        <f>IF(OR($B747="",$D747=""),"",IF(COUNTIF(THAM_SO_CC!$F$10:$F$40,$D747)&gt;0,"Lễ",IF(IF(THAM_SO_CC!$B$12="T7+CN",WEEKDAY($D747,2)&gt;=6,WEEKDAY($D747,2)=7),"Nghỉ tuần","Ngày thường")))</f>
        <v/>
      </c>
      <c r="F747" s="107" t="n"/>
      <c r="G747" s="107" t="n"/>
      <c r="H747" s="107" t="n"/>
      <c r="I747" s="81" t="n"/>
      <c r="J747" s="108">
        <f>IF($B747="","",IF($E747="Ngày thường",N($G747),0))</f>
        <v/>
      </c>
      <c r="K747" s="108">
        <f>IF($B747="","",IF($E747="Nghỉ tuần",N($G747),0))</f>
        <v/>
      </c>
      <c r="L747" s="108">
        <f>IF($B747="","",IF($E747="Lễ",N($G747),0))</f>
        <v/>
      </c>
      <c r="M747" s="108">
        <f>IF($B747="","",IF($E747="Ngày thường",N($H747),0))</f>
        <v/>
      </c>
      <c r="N747" s="108">
        <f>IF($B747="","",IF($E747="Nghỉ tuần",N($H747),0))</f>
        <v/>
      </c>
      <c r="O747" s="108">
        <f>IF($B747="","",IF($E747="Lễ",N($H747),0))</f>
        <v/>
      </c>
    </row>
    <row r="748" ht="15" customHeight="1" s="63">
      <c r="A748" s="85">
        <f>IF($B748="","",ROW()-5)</f>
        <v/>
      </c>
      <c r="B748" s="97" t="n"/>
      <c r="C748" s="96">
        <f>IF($B748="","",IFERROR(INDEX(DM_NHAN_SU!$C$6:$C$155,MATCH($B748,DM_NHAN_SU!$B$6:$B$155,0)),"SAI MÃ NV"))</f>
        <v/>
      </c>
      <c r="D748" s="86" t="n"/>
      <c r="E748" s="103">
        <f>IF(OR($B748="",$D748=""),"",IF(COUNTIF(THAM_SO_CC!$F$10:$F$40,$D748)&gt;0,"Lễ",IF(IF(THAM_SO_CC!$B$12="T7+CN",WEEKDAY($D748,2)&gt;=6,WEEKDAY($D748,2)=7),"Nghỉ tuần","Ngày thường")))</f>
        <v/>
      </c>
      <c r="F748" s="107" t="n"/>
      <c r="G748" s="107" t="n"/>
      <c r="H748" s="107" t="n"/>
      <c r="I748" s="81" t="n"/>
      <c r="J748" s="108">
        <f>IF($B748="","",IF($E748="Ngày thường",N($G748),0))</f>
        <v/>
      </c>
      <c r="K748" s="108">
        <f>IF($B748="","",IF($E748="Nghỉ tuần",N($G748),0))</f>
        <v/>
      </c>
      <c r="L748" s="108">
        <f>IF($B748="","",IF($E748="Lễ",N($G748),0))</f>
        <v/>
      </c>
      <c r="M748" s="108">
        <f>IF($B748="","",IF($E748="Ngày thường",N($H748),0))</f>
        <v/>
      </c>
      <c r="N748" s="108">
        <f>IF($B748="","",IF($E748="Nghỉ tuần",N($H748),0))</f>
        <v/>
      </c>
      <c r="O748" s="108">
        <f>IF($B748="","",IF($E748="Lễ",N($H748),0))</f>
        <v/>
      </c>
    </row>
    <row r="749" ht="15" customHeight="1" s="63">
      <c r="A749" s="85">
        <f>IF($B749="","",ROW()-5)</f>
        <v/>
      </c>
      <c r="B749" s="97" t="n"/>
      <c r="C749" s="96">
        <f>IF($B749="","",IFERROR(INDEX(DM_NHAN_SU!$C$6:$C$155,MATCH($B749,DM_NHAN_SU!$B$6:$B$155,0)),"SAI MÃ NV"))</f>
        <v/>
      </c>
      <c r="D749" s="86" t="n"/>
      <c r="E749" s="103">
        <f>IF(OR($B749="",$D749=""),"",IF(COUNTIF(THAM_SO_CC!$F$10:$F$40,$D749)&gt;0,"Lễ",IF(IF(THAM_SO_CC!$B$12="T7+CN",WEEKDAY($D749,2)&gt;=6,WEEKDAY($D749,2)=7),"Nghỉ tuần","Ngày thường")))</f>
        <v/>
      </c>
      <c r="F749" s="107" t="n"/>
      <c r="G749" s="107" t="n"/>
      <c r="H749" s="107" t="n"/>
      <c r="I749" s="81" t="n"/>
      <c r="J749" s="108">
        <f>IF($B749="","",IF($E749="Ngày thường",N($G749),0))</f>
        <v/>
      </c>
      <c r="K749" s="108">
        <f>IF($B749="","",IF($E749="Nghỉ tuần",N($G749),0))</f>
        <v/>
      </c>
      <c r="L749" s="108">
        <f>IF($B749="","",IF($E749="Lễ",N($G749),0))</f>
        <v/>
      </c>
      <c r="M749" s="108">
        <f>IF($B749="","",IF($E749="Ngày thường",N($H749),0))</f>
        <v/>
      </c>
      <c r="N749" s="108">
        <f>IF($B749="","",IF($E749="Nghỉ tuần",N($H749),0))</f>
        <v/>
      </c>
      <c r="O749" s="108">
        <f>IF($B749="","",IF($E749="Lễ",N($H749),0))</f>
        <v/>
      </c>
    </row>
    <row r="750" ht="15" customHeight="1" s="63">
      <c r="A750" s="85">
        <f>IF($B750="","",ROW()-5)</f>
        <v/>
      </c>
      <c r="B750" s="97" t="n"/>
      <c r="C750" s="96">
        <f>IF($B750="","",IFERROR(INDEX(DM_NHAN_SU!$C$6:$C$155,MATCH($B750,DM_NHAN_SU!$B$6:$B$155,0)),"SAI MÃ NV"))</f>
        <v/>
      </c>
      <c r="D750" s="86" t="n"/>
      <c r="E750" s="103">
        <f>IF(OR($B750="",$D750=""),"",IF(COUNTIF(THAM_SO_CC!$F$10:$F$40,$D750)&gt;0,"Lễ",IF(IF(THAM_SO_CC!$B$12="T7+CN",WEEKDAY($D750,2)&gt;=6,WEEKDAY($D750,2)=7),"Nghỉ tuần","Ngày thường")))</f>
        <v/>
      </c>
      <c r="F750" s="107" t="n"/>
      <c r="G750" s="107" t="n"/>
      <c r="H750" s="107" t="n"/>
      <c r="I750" s="81" t="n"/>
      <c r="J750" s="108">
        <f>IF($B750="","",IF($E750="Ngày thường",N($G750),0))</f>
        <v/>
      </c>
      <c r="K750" s="108">
        <f>IF($B750="","",IF($E750="Nghỉ tuần",N($G750),0))</f>
        <v/>
      </c>
      <c r="L750" s="108">
        <f>IF($B750="","",IF($E750="Lễ",N($G750),0))</f>
        <v/>
      </c>
      <c r="M750" s="108">
        <f>IF($B750="","",IF($E750="Ngày thường",N($H750),0))</f>
        <v/>
      </c>
      <c r="N750" s="108">
        <f>IF($B750="","",IF($E750="Nghỉ tuần",N($H750),0))</f>
        <v/>
      </c>
      <c r="O750" s="108">
        <f>IF($B750="","",IF($E750="Lễ",N($H750),0))</f>
        <v/>
      </c>
    </row>
    <row r="751" ht="15" customHeight="1" s="63">
      <c r="A751" s="85">
        <f>IF($B751="","",ROW()-5)</f>
        <v/>
      </c>
      <c r="B751" s="97" t="n"/>
      <c r="C751" s="96">
        <f>IF($B751="","",IFERROR(INDEX(DM_NHAN_SU!$C$6:$C$155,MATCH($B751,DM_NHAN_SU!$B$6:$B$155,0)),"SAI MÃ NV"))</f>
        <v/>
      </c>
      <c r="D751" s="86" t="n"/>
      <c r="E751" s="103">
        <f>IF(OR($B751="",$D751=""),"",IF(COUNTIF(THAM_SO_CC!$F$10:$F$40,$D751)&gt;0,"Lễ",IF(IF(THAM_SO_CC!$B$12="T7+CN",WEEKDAY($D751,2)&gt;=6,WEEKDAY($D751,2)=7),"Nghỉ tuần","Ngày thường")))</f>
        <v/>
      </c>
      <c r="F751" s="107" t="n"/>
      <c r="G751" s="107" t="n"/>
      <c r="H751" s="107" t="n"/>
      <c r="I751" s="81" t="n"/>
      <c r="J751" s="108">
        <f>IF($B751="","",IF($E751="Ngày thường",N($G751),0))</f>
        <v/>
      </c>
      <c r="K751" s="108">
        <f>IF($B751="","",IF($E751="Nghỉ tuần",N($G751),0))</f>
        <v/>
      </c>
      <c r="L751" s="108">
        <f>IF($B751="","",IF($E751="Lễ",N($G751),0))</f>
        <v/>
      </c>
      <c r="M751" s="108">
        <f>IF($B751="","",IF($E751="Ngày thường",N($H751),0))</f>
        <v/>
      </c>
      <c r="N751" s="108">
        <f>IF($B751="","",IF($E751="Nghỉ tuần",N($H751),0))</f>
        <v/>
      </c>
      <c r="O751" s="108">
        <f>IF($B751="","",IF($E751="Lễ",N($H751),0))</f>
        <v/>
      </c>
    </row>
    <row r="752" ht="15" customHeight="1" s="63">
      <c r="A752" s="85">
        <f>IF($B752="","",ROW()-5)</f>
        <v/>
      </c>
      <c r="B752" s="97" t="n"/>
      <c r="C752" s="96">
        <f>IF($B752="","",IFERROR(INDEX(DM_NHAN_SU!$C$6:$C$155,MATCH($B752,DM_NHAN_SU!$B$6:$B$155,0)),"SAI MÃ NV"))</f>
        <v/>
      </c>
      <c r="D752" s="86" t="n"/>
      <c r="E752" s="103">
        <f>IF(OR($B752="",$D752=""),"",IF(COUNTIF(THAM_SO_CC!$F$10:$F$40,$D752)&gt;0,"Lễ",IF(IF(THAM_SO_CC!$B$12="T7+CN",WEEKDAY($D752,2)&gt;=6,WEEKDAY($D752,2)=7),"Nghỉ tuần","Ngày thường")))</f>
        <v/>
      </c>
      <c r="F752" s="107" t="n"/>
      <c r="G752" s="107" t="n"/>
      <c r="H752" s="107" t="n"/>
      <c r="I752" s="81" t="n"/>
      <c r="J752" s="108">
        <f>IF($B752="","",IF($E752="Ngày thường",N($G752),0))</f>
        <v/>
      </c>
      <c r="K752" s="108">
        <f>IF($B752="","",IF($E752="Nghỉ tuần",N($G752),0))</f>
        <v/>
      </c>
      <c r="L752" s="108">
        <f>IF($B752="","",IF($E752="Lễ",N($G752),0))</f>
        <v/>
      </c>
      <c r="M752" s="108">
        <f>IF($B752="","",IF($E752="Ngày thường",N($H752),0))</f>
        <v/>
      </c>
      <c r="N752" s="108">
        <f>IF($B752="","",IF($E752="Nghỉ tuần",N($H752),0))</f>
        <v/>
      </c>
      <c r="O752" s="108">
        <f>IF($B752="","",IF($E752="Lễ",N($H752),0))</f>
        <v/>
      </c>
    </row>
    <row r="753" ht="15" customHeight="1" s="63">
      <c r="A753" s="85">
        <f>IF($B753="","",ROW()-5)</f>
        <v/>
      </c>
      <c r="B753" s="97" t="n"/>
      <c r="C753" s="96">
        <f>IF($B753="","",IFERROR(INDEX(DM_NHAN_SU!$C$6:$C$155,MATCH($B753,DM_NHAN_SU!$B$6:$B$155,0)),"SAI MÃ NV"))</f>
        <v/>
      </c>
      <c r="D753" s="86" t="n"/>
      <c r="E753" s="103">
        <f>IF(OR($B753="",$D753=""),"",IF(COUNTIF(THAM_SO_CC!$F$10:$F$40,$D753)&gt;0,"Lễ",IF(IF(THAM_SO_CC!$B$12="T7+CN",WEEKDAY($D753,2)&gt;=6,WEEKDAY($D753,2)=7),"Nghỉ tuần","Ngày thường")))</f>
        <v/>
      </c>
      <c r="F753" s="107" t="n"/>
      <c r="G753" s="107" t="n"/>
      <c r="H753" s="107" t="n"/>
      <c r="I753" s="81" t="n"/>
      <c r="J753" s="108">
        <f>IF($B753="","",IF($E753="Ngày thường",N($G753),0))</f>
        <v/>
      </c>
      <c r="K753" s="108">
        <f>IF($B753="","",IF($E753="Nghỉ tuần",N($G753),0))</f>
        <v/>
      </c>
      <c r="L753" s="108">
        <f>IF($B753="","",IF($E753="Lễ",N($G753),0))</f>
        <v/>
      </c>
      <c r="M753" s="108">
        <f>IF($B753="","",IF($E753="Ngày thường",N($H753),0))</f>
        <v/>
      </c>
      <c r="N753" s="108">
        <f>IF($B753="","",IF($E753="Nghỉ tuần",N($H753),0))</f>
        <v/>
      </c>
      <c r="O753" s="108">
        <f>IF($B753="","",IF($E753="Lễ",N($H753),0))</f>
        <v/>
      </c>
    </row>
    <row r="754" ht="15" customHeight="1" s="63">
      <c r="A754" s="85">
        <f>IF($B754="","",ROW()-5)</f>
        <v/>
      </c>
      <c r="B754" s="97" t="n"/>
      <c r="C754" s="96">
        <f>IF($B754="","",IFERROR(INDEX(DM_NHAN_SU!$C$6:$C$155,MATCH($B754,DM_NHAN_SU!$B$6:$B$155,0)),"SAI MÃ NV"))</f>
        <v/>
      </c>
      <c r="D754" s="86" t="n"/>
      <c r="E754" s="103">
        <f>IF(OR($B754="",$D754=""),"",IF(COUNTIF(THAM_SO_CC!$F$10:$F$40,$D754)&gt;0,"Lễ",IF(IF(THAM_SO_CC!$B$12="T7+CN",WEEKDAY($D754,2)&gt;=6,WEEKDAY($D754,2)=7),"Nghỉ tuần","Ngày thường")))</f>
        <v/>
      </c>
      <c r="F754" s="107" t="n"/>
      <c r="G754" s="107" t="n"/>
      <c r="H754" s="107" t="n"/>
      <c r="I754" s="81" t="n"/>
      <c r="J754" s="108">
        <f>IF($B754="","",IF($E754="Ngày thường",N($G754),0))</f>
        <v/>
      </c>
      <c r="K754" s="108">
        <f>IF($B754="","",IF($E754="Nghỉ tuần",N($G754),0))</f>
        <v/>
      </c>
      <c r="L754" s="108">
        <f>IF($B754="","",IF($E754="Lễ",N($G754),0))</f>
        <v/>
      </c>
      <c r="M754" s="108">
        <f>IF($B754="","",IF($E754="Ngày thường",N($H754),0))</f>
        <v/>
      </c>
      <c r="N754" s="108">
        <f>IF($B754="","",IF($E754="Nghỉ tuần",N($H754),0))</f>
        <v/>
      </c>
      <c r="O754" s="108">
        <f>IF($B754="","",IF($E754="Lễ",N($H754),0))</f>
        <v/>
      </c>
    </row>
    <row r="755" ht="15" customHeight="1" s="63">
      <c r="A755" s="85">
        <f>IF($B755="","",ROW()-5)</f>
        <v/>
      </c>
      <c r="B755" s="97" t="n"/>
      <c r="C755" s="96">
        <f>IF($B755="","",IFERROR(INDEX(DM_NHAN_SU!$C$6:$C$155,MATCH($B755,DM_NHAN_SU!$B$6:$B$155,0)),"SAI MÃ NV"))</f>
        <v/>
      </c>
      <c r="D755" s="86" t="n"/>
      <c r="E755" s="103">
        <f>IF(OR($B755="",$D755=""),"",IF(COUNTIF(THAM_SO_CC!$F$10:$F$40,$D755)&gt;0,"Lễ",IF(IF(THAM_SO_CC!$B$12="T7+CN",WEEKDAY($D755,2)&gt;=6,WEEKDAY($D755,2)=7),"Nghỉ tuần","Ngày thường")))</f>
        <v/>
      </c>
      <c r="F755" s="107" t="n"/>
      <c r="G755" s="107" t="n"/>
      <c r="H755" s="107" t="n"/>
      <c r="I755" s="81" t="n"/>
      <c r="J755" s="108">
        <f>IF($B755="","",IF($E755="Ngày thường",N($G755),0))</f>
        <v/>
      </c>
      <c r="K755" s="108">
        <f>IF($B755="","",IF($E755="Nghỉ tuần",N($G755),0))</f>
        <v/>
      </c>
      <c r="L755" s="108">
        <f>IF($B755="","",IF($E755="Lễ",N($G755),0))</f>
        <v/>
      </c>
      <c r="M755" s="108">
        <f>IF($B755="","",IF($E755="Ngày thường",N($H755),0))</f>
        <v/>
      </c>
      <c r="N755" s="108">
        <f>IF($B755="","",IF($E755="Nghỉ tuần",N($H755),0))</f>
        <v/>
      </c>
      <c r="O755" s="108">
        <f>IF($B755="","",IF($E755="Lễ",N($H755),0))</f>
        <v/>
      </c>
    </row>
    <row r="756" ht="15" customHeight="1" s="63">
      <c r="A756" s="85">
        <f>IF($B756="","",ROW()-5)</f>
        <v/>
      </c>
      <c r="B756" s="97" t="n"/>
      <c r="C756" s="96">
        <f>IF($B756="","",IFERROR(INDEX(DM_NHAN_SU!$C$6:$C$155,MATCH($B756,DM_NHAN_SU!$B$6:$B$155,0)),"SAI MÃ NV"))</f>
        <v/>
      </c>
      <c r="D756" s="86" t="n"/>
      <c r="E756" s="103">
        <f>IF(OR($B756="",$D756=""),"",IF(COUNTIF(THAM_SO_CC!$F$10:$F$40,$D756)&gt;0,"Lễ",IF(IF(THAM_SO_CC!$B$12="T7+CN",WEEKDAY($D756,2)&gt;=6,WEEKDAY($D756,2)=7),"Nghỉ tuần","Ngày thường")))</f>
        <v/>
      </c>
      <c r="F756" s="107" t="n"/>
      <c r="G756" s="107" t="n"/>
      <c r="H756" s="107" t="n"/>
      <c r="I756" s="81" t="n"/>
      <c r="J756" s="108">
        <f>IF($B756="","",IF($E756="Ngày thường",N($G756),0))</f>
        <v/>
      </c>
      <c r="K756" s="108">
        <f>IF($B756="","",IF($E756="Nghỉ tuần",N($G756),0))</f>
        <v/>
      </c>
      <c r="L756" s="108">
        <f>IF($B756="","",IF($E756="Lễ",N($G756),0))</f>
        <v/>
      </c>
      <c r="M756" s="108">
        <f>IF($B756="","",IF($E756="Ngày thường",N($H756),0))</f>
        <v/>
      </c>
      <c r="N756" s="108">
        <f>IF($B756="","",IF($E756="Nghỉ tuần",N($H756),0))</f>
        <v/>
      </c>
      <c r="O756" s="108">
        <f>IF($B756="","",IF($E756="Lễ",N($H756),0))</f>
        <v/>
      </c>
    </row>
    <row r="757" ht="15" customHeight="1" s="63">
      <c r="A757" s="85">
        <f>IF($B757="","",ROW()-5)</f>
        <v/>
      </c>
      <c r="B757" s="97" t="n"/>
      <c r="C757" s="96">
        <f>IF($B757="","",IFERROR(INDEX(DM_NHAN_SU!$C$6:$C$155,MATCH($B757,DM_NHAN_SU!$B$6:$B$155,0)),"SAI MÃ NV"))</f>
        <v/>
      </c>
      <c r="D757" s="86" t="n"/>
      <c r="E757" s="103">
        <f>IF(OR($B757="",$D757=""),"",IF(COUNTIF(THAM_SO_CC!$F$10:$F$40,$D757)&gt;0,"Lễ",IF(IF(THAM_SO_CC!$B$12="T7+CN",WEEKDAY($D757,2)&gt;=6,WEEKDAY($D757,2)=7),"Nghỉ tuần","Ngày thường")))</f>
        <v/>
      </c>
      <c r="F757" s="107" t="n"/>
      <c r="G757" s="107" t="n"/>
      <c r="H757" s="107" t="n"/>
      <c r="I757" s="81" t="n"/>
      <c r="J757" s="108">
        <f>IF($B757="","",IF($E757="Ngày thường",N($G757),0))</f>
        <v/>
      </c>
      <c r="K757" s="108">
        <f>IF($B757="","",IF($E757="Nghỉ tuần",N($G757),0))</f>
        <v/>
      </c>
      <c r="L757" s="108">
        <f>IF($B757="","",IF($E757="Lễ",N($G757),0))</f>
        <v/>
      </c>
      <c r="M757" s="108">
        <f>IF($B757="","",IF($E757="Ngày thường",N($H757),0))</f>
        <v/>
      </c>
      <c r="N757" s="108">
        <f>IF($B757="","",IF($E757="Nghỉ tuần",N($H757),0))</f>
        <v/>
      </c>
      <c r="O757" s="108">
        <f>IF($B757="","",IF($E757="Lễ",N($H757),0))</f>
        <v/>
      </c>
    </row>
    <row r="758" ht="15" customHeight="1" s="63">
      <c r="A758" s="85">
        <f>IF($B758="","",ROW()-5)</f>
        <v/>
      </c>
      <c r="B758" s="97" t="n"/>
      <c r="C758" s="96">
        <f>IF($B758="","",IFERROR(INDEX(DM_NHAN_SU!$C$6:$C$155,MATCH($B758,DM_NHAN_SU!$B$6:$B$155,0)),"SAI MÃ NV"))</f>
        <v/>
      </c>
      <c r="D758" s="86" t="n"/>
      <c r="E758" s="103">
        <f>IF(OR($B758="",$D758=""),"",IF(COUNTIF(THAM_SO_CC!$F$10:$F$40,$D758)&gt;0,"Lễ",IF(IF(THAM_SO_CC!$B$12="T7+CN",WEEKDAY($D758,2)&gt;=6,WEEKDAY($D758,2)=7),"Nghỉ tuần","Ngày thường")))</f>
        <v/>
      </c>
      <c r="F758" s="107" t="n"/>
      <c r="G758" s="107" t="n"/>
      <c r="H758" s="107" t="n"/>
      <c r="I758" s="81" t="n"/>
      <c r="J758" s="108">
        <f>IF($B758="","",IF($E758="Ngày thường",N($G758),0))</f>
        <v/>
      </c>
      <c r="K758" s="108">
        <f>IF($B758="","",IF($E758="Nghỉ tuần",N($G758),0))</f>
        <v/>
      </c>
      <c r="L758" s="108">
        <f>IF($B758="","",IF($E758="Lễ",N($G758),0))</f>
        <v/>
      </c>
      <c r="M758" s="108">
        <f>IF($B758="","",IF($E758="Ngày thường",N($H758),0))</f>
        <v/>
      </c>
      <c r="N758" s="108">
        <f>IF($B758="","",IF($E758="Nghỉ tuần",N($H758),0))</f>
        <v/>
      </c>
      <c r="O758" s="108">
        <f>IF($B758="","",IF($E758="Lễ",N($H758),0))</f>
        <v/>
      </c>
    </row>
    <row r="759" ht="15" customHeight="1" s="63">
      <c r="A759" s="85">
        <f>IF($B759="","",ROW()-5)</f>
        <v/>
      </c>
      <c r="B759" s="97" t="n"/>
      <c r="C759" s="96">
        <f>IF($B759="","",IFERROR(INDEX(DM_NHAN_SU!$C$6:$C$155,MATCH($B759,DM_NHAN_SU!$B$6:$B$155,0)),"SAI MÃ NV"))</f>
        <v/>
      </c>
      <c r="D759" s="86" t="n"/>
      <c r="E759" s="103">
        <f>IF(OR($B759="",$D759=""),"",IF(COUNTIF(THAM_SO_CC!$F$10:$F$40,$D759)&gt;0,"Lễ",IF(IF(THAM_SO_CC!$B$12="T7+CN",WEEKDAY($D759,2)&gt;=6,WEEKDAY($D759,2)=7),"Nghỉ tuần","Ngày thường")))</f>
        <v/>
      </c>
      <c r="F759" s="107" t="n"/>
      <c r="G759" s="107" t="n"/>
      <c r="H759" s="107" t="n"/>
      <c r="I759" s="81" t="n"/>
      <c r="J759" s="108">
        <f>IF($B759="","",IF($E759="Ngày thường",N($G759),0))</f>
        <v/>
      </c>
      <c r="K759" s="108">
        <f>IF($B759="","",IF($E759="Nghỉ tuần",N($G759),0))</f>
        <v/>
      </c>
      <c r="L759" s="108">
        <f>IF($B759="","",IF($E759="Lễ",N($G759),0))</f>
        <v/>
      </c>
      <c r="M759" s="108">
        <f>IF($B759="","",IF($E759="Ngày thường",N($H759),0))</f>
        <v/>
      </c>
      <c r="N759" s="108">
        <f>IF($B759="","",IF($E759="Nghỉ tuần",N($H759),0))</f>
        <v/>
      </c>
      <c r="O759" s="108">
        <f>IF($B759="","",IF($E759="Lễ",N($H759),0))</f>
        <v/>
      </c>
    </row>
    <row r="760" ht="15" customHeight="1" s="63">
      <c r="A760" s="85">
        <f>IF($B760="","",ROW()-5)</f>
        <v/>
      </c>
      <c r="B760" s="97" t="n"/>
      <c r="C760" s="96">
        <f>IF($B760="","",IFERROR(INDEX(DM_NHAN_SU!$C$6:$C$155,MATCH($B760,DM_NHAN_SU!$B$6:$B$155,0)),"SAI MÃ NV"))</f>
        <v/>
      </c>
      <c r="D760" s="86" t="n"/>
      <c r="E760" s="103">
        <f>IF(OR($B760="",$D760=""),"",IF(COUNTIF(THAM_SO_CC!$F$10:$F$40,$D760)&gt;0,"Lễ",IF(IF(THAM_SO_CC!$B$12="T7+CN",WEEKDAY($D760,2)&gt;=6,WEEKDAY($D760,2)=7),"Nghỉ tuần","Ngày thường")))</f>
        <v/>
      </c>
      <c r="F760" s="107" t="n"/>
      <c r="G760" s="107" t="n"/>
      <c r="H760" s="107" t="n"/>
      <c r="I760" s="81" t="n"/>
      <c r="J760" s="108">
        <f>IF($B760="","",IF($E760="Ngày thường",N($G760),0))</f>
        <v/>
      </c>
      <c r="K760" s="108">
        <f>IF($B760="","",IF($E760="Nghỉ tuần",N($G760),0))</f>
        <v/>
      </c>
      <c r="L760" s="108">
        <f>IF($B760="","",IF($E760="Lễ",N($G760),0))</f>
        <v/>
      </c>
      <c r="M760" s="108">
        <f>IF($B760="","",IF($E760="Ngày thường",N($H760),0))</f>
        <v/>
      </c>
      <c r="N760" s="108">
        <f>IF($B760="","",IF($E760="Nghỉ tuần",N($H760),0))</f>
        <v/>
      </c>
      <c r="O760" s="108">
        <f>IF($B760="","",IF($E760="Lễ",N($H760),0))</f>
        <v/>
      </c>
    </row>
    <row r="761" ht="15" customHeight="1" s="63">
      <c r="A761" s="85">
        <f>IF($B761="","",ROW()-5)</f>
        <v/>
      </c>
      <c r="B761" s="97" t="n"/>
      <c r="C761" s="96">
        <f>IF($B761="","",IFERROR(INDEX(DM_NHAN_SU!$C$6:$C$155,MATCH($B761,DM_NHAN_SU!$B$6:$B$155,0)),"SAI MÃ NV"))</f>
        <v/>
      </c>
      <c r="D761" s="86" t="n"/>
      <c r="E761" s="103">
        <f>IF(OR($B761="",$D761=""),"",IF(COUNTIF(THAM_SO_CC!$F$10:$F$40,$D761)&gt;0,"Lễ",IF(IF(THAM_SO_CC!$B$12="T7+CN",WEEKDAY($D761,2)&gt;=6,WEEKDAY($D761,2)=7),"Nghỉ tuần","Ngày thường")))</f>
        <v/>
      </c>
      <c r="F761" s="107" t="n"/>
      <c r="G761" s="107" t="n"/>
      <c r="H761" s="107" t="n"/>
      <c r="I761" s="81" t="n"/>
      <c r="J761" s="108">
        <f>IF($B761="","",IF($E761="Ngày thường",N($G761),0))</f>
        <v/>
      </c>
      <c r="K761" s="108">
        <f>IF($B761="","",IF($E761="Nghỉ tuần",N($G761),0))</f>
        <v/>
      </c>
      <c r="L761" s="108">
        <f>IF($B761="","",IF($E761="Lễ",N($G761),0))</f>
        <v/>
      </c>
      <c r="M761" s="108">
        <f>IF($B761="","",IF($E761="Ngày thường",N($H761),0))</f>
        <v/>
      </c>
      <c r="N761" s="108">
        <f>IF($B761="","",IF($E761="Nghỉ tuần",N($H761),0))</f>
        <v/>
      </c>
      <c r="O761" s="108">
        <f>IF($B761="","",IF($E761="Lễ",N($H761),0))</f>
        <v/>
      </c>
    </row>
    <row r="762" ht="15" customHeight="1" s="63">
      <c r="A762" s="85">
        <f>IF($B762="","",ROW()-5)</f>
        <v/>
      </c>
      <c r="B762" s="97" t="n"/>
      <c r="C762" s="96">
        <f>IF($B762="","",IFERROR(INDEX(DM_NHAN_SU!$C$6:$C$155,MATCH($B762,DM_NHAN_SU!$B$6:$B$155,0)),"SAI MÃ NV"))</f>
        <v/>
      </c>
      <c r="D762" s="86" t="n"/>
      <c r="E762" s="103">
        <f>IF(OR($B762="",$D762=""),"",IF(COUNTIF(THAM_SO_CC!$F$10:$F$40,$D762)&gt;0,"Lễ",IF(IF(THAM_SO_CC!$B$12="T7+CN",WEEKDAY($D762,2)&gt;=6,WEEKDAY($D762,2)=7),"Nghỉ tuần","Ngày thường")))</f>
        <v/>
      </c>
      <c r="F762" s="107" t="n"/>
      <c r="G762" s="107" t="n"/>
      <c r="H762" s="107" t="n"/>
      <c r="I762" s="81" t="n"/>
      <c r="J762" s="108">
        <f>IF($B762="","",IF($E762="Ngày thường",N($G762),0))</f>
        <v/>
      </c>
      <c r="K762" s="108">
        <f>IF($B762="","",IF($E762="Nghỉ tuần",N($G762),0))</f>
        <v/>
      </c>
      <c r="L762" s="108">
        <f>IF($B762="","",IF($E762="Lễ",N($G762),0))</f>
        <v/>
      </c>
      <c r="M762" s="108">
        <f>IF($B762="","",IF($E762="Ngày thường",N($H762),0))</f>
        <v/>
      </c>
      <c r="N762" s="108">
        <f>IF($B762="","",IF($E762="Nghỉ tuần",N($H762),0))</f>
        <v/>
      </c>
      <c r="O762" s="108">
        <f>IF($B762="","",IF($E762="Lễ",N($H762),0))</f>
        <v/>
      </c>
    </row>
    <row r="763" ht="15" customHeight="1" s="63">
      <c r="A763" s="85">
        <f>IF($B763="","",ROW()-5)</f>
        <v/>
      </c>
      <c r="B763" s="97" t="n"/>
      <c r="C763" s="96">
        <f>IF($B763="","",IFERROR(INDEX(DM_NHAN_SU!$C$6:$C$155,MATCH($B763,DM_NHAN_SU!$B$6:$B$155,0)),"SAI MÃ NV"))</f>
        <v/>
      </c>
      <c r="D763" s="86" t="n"/>
      <c r="E763" s="103">
        <f>IF(OR($B763="",$D763=""),"",IF(COUNTIF(THAM_SO_CC!$F$10:$F$40,$D763)&gt;0,"Lễ",IF(IF(THAM_SO_CC!$B$12="T7+CN",WEEKDAY($D763,2)&gt;=6,WEEKDAY($D763,2)=7),"Nghỉ tuần","Ngày thường")))</f>
        <v/>
      </c>
      <c r="F763" s="107" t="n"/>
      <c r="G763" s="107" t="n"/>
      <c r="H763" s="107" t="n"/>
      <c r="I763" s="81" t="n"/>
      <c r="J763" s="108">
        <f>IF($B763="","",IF($E763="Ngày thường",N($G763),0))</f>
        <v/>
      </c>
      <c r="K763" s="108">
        <f>IF($B763="","",IF($E763="Nghỉ tuần",N($G763),0))</f>
        <v/>
      </c>
      <c r="L763" s="108">
        <f>IF($B763="","",IF($E763="Lễ",N($G763),0))</f>
        <v/>
      </c>
      <c r="M763" s="108">
        <f>IF($B763="","",IF($E763="Ngày thường",N($H763),0))</f>
        <v/>
      </c>
      <c r="N763" s="108">
        <f>IF($B763="","",IF($E763="Nghỉ tuần",N($H763),0))</f>
        <v/>
      </c>
      <c r="O763" s="108">
        <f>IF($B763="","",IF($E763="Lễ",N($H763),0))</f>
        <v/>
      </c>
    </row>
    <row r="764" ht="15" customHeight="1" s="63">
      <c r="A764" s="85">
        <f>IF($B764="","",ROW()-5)</f>
        <v/>
      </c>
      <c r="B764" s="97" t="n"/>
      <c r="C764" s="96">
        <f>IF($B764="","",IFERROR(INDEX(DM_NHAN_SU!$C$6:$C$155,MATCH($B764,DM_NHAN_SU!$B$6:$B$155,0)),"SAI MÃ NV"))</f>
        <v/>
      </c>
      <c r="D764" s="86" t="n"/>
      <c r="E764" s="103">
        <f>IF(OR($B764="",$D764=""),"",IF(COUNTIF(THAM_SO_CC!$F$10:$F$40,$D764)&gt;0,"Lễ",IF(IF(THAM_SO_CC!$B$12="T7+CN",WEEKDAY($D764,2)&gt;=6,WEEKDAY($D764,2)=7),"Nghỉ tuần","Ngày thường")))</f>
        <v/>
      </c>
      <c r="F764" s="107" t="n"/>
      <c r="G764" s="107" t="n"/>
      <c r="H764" s="107" t="n"/>
      <c r="I764" s="81" t="n"/>
      <c r="J764" s="108">
        <f>IF($B764="","",IF($E764="Ngày thường",N($G764),0))</f>
        <v/>
      </c>
      <c r="K764" s="108">
        <f>IF($B764="","",IF($E764="Nghỉ tuần",N($G764),0))</f>
        <v/>
      </c>
      <c r="L764" s="108">
        <f>IF($B764="","",IF($E764="Lễ",N($G764),0))</f>
        <v/>
      </c>
      <c r="M764" s="108">
        <f>IF($B764="","",IF($E764="Ngày thường",N($H764),0))</f>
        <v/>
      </c>
      <c r="N764" s="108">
        <f>IF($B764="","",IF($E764="Nghỉ tuần",N($H764),0))</f>
        <v/>
      </c>
      <c r="O764" s="108">
        <f>IF($B764="","",IF($E764="Lễ",N($H764),0))</f>
        <v/>
      </c>
    </row>
    <row r="765" ht="15" customHeight="1" s="63">
      <c r="A765" s="85">
        <f>IF($B765="","",ROW()-5)</f>
        <v/>
      </c>
      <c r="B765" s="97" t="n"/>
      <c r="C765" s="96">
        <f>IF($B765="","",IFERROR(INDEX(DM_NHAN_SU!$C$6:$C$155,MATCH($B765,DM_NHAN_SU!$B$6:$B$155,0)),"SAI MÃ NV"))</f>
        <v/>
      </c>
      <c r="D765" s="86" t="n"/>
      <c r="E765" s="103">
        <f>IF(OR($B765="",$D765=""),"",IF(COUNTIF(THAM_SO_CC!$F$10:$F$40,$D765)&gt;0,"Lễ",IF(IF(THAM_SO_CC!$B$12="T7+CN",WEEKDAY($D765,2)&gt;=6,WEEKDAY($D765,2)=7),"Nghỉ tuần","Ngày thường")))</f>
        <v/>
      </c>
      <c r="F765" s="107" t="n"/>
      <c r="G765" s="107" t="n"/>
      <c r="H765" s="107" t="n"/>
      <c r="I765" s="81" t="n"/>
      <c r="J765" s="108">
        <f>IF($B765="","",IF($E765="Ngày thường",N($G765),0))</f>
        <v/>
      </c>
      <c r="K765" s="108">
        <f>IF($B765="","",IF($E765="Nghỉ tuần",N($G765),0))</f>
        <v/>
      </c>
      <c r="L765" s="108">
        <f>IF($B765="","",IF($E765="Lễ",N($G765),0))</f>
        <v/>
      </c>
      <c r="M765" s="108">
        <f>IF($B765="","",IF($E765="Ngày thường",N($H765),0))</f>
        <v/>
      </c>
      <c r="N765" s="108">
        <f>IF($B765="","",IF($E765="Nghỉ tuần",N($H765),0))</f>
        <v/>
      </c>
      <c r="O765" s="108">
        <f>IF($B765="","",IF($E765="Lễ",N($H765),0))</f>
        <v/>
      </c>
    </row>
    <row r="766" ht="15" customHeight="1" s="63">
      <c r="A766" s="85">
        <f>IF($B766="","",ROW()-5)</f>
        <v/>
      </c>
      <c r="B766" s="97" t="n"/>
      <c r="C766" s="96">
        <f>IF($B766="","",IFERROR(INDEX(DM_NHAN_SU!$C$6:$C$155,MATCH($B766,DM_NHAN_SU!$B$6:$B$155,0)),"SAI MÃ NV"))</f>
        <v/>
      </c>
      <c r="D766" s="86" t="n"/>
      <c r="E766" s="103">
        <f>IF(OR($B766="",$D766=""),"",IF(COUNTIF(THAM_SO_CC!$F$10:$F$40,$D766)&gt;0,"Lễ",IF(IF(THAM_SO_CC!$B$12="T7+CN",WEEKDAY($D766,2)&gt;=6,WEEKDAY($D766,2)=7),"Nghỉ tuần","Ngày thường")))</f>
        <v/>
      </c>
      <c r="F766" s="107" t="n"/>
      <c r="G766" s="107" t="n"/>
      <c r="H766" s="107" t="n"/>
      <c r="I766" s="81" t="n"/>
      <c r="J766" s="108">
        <f>IF($B766="","",IF($E766="Ngày thường",N($G766),0))</f>
        <v/>
      </c>
      <c r="K766" s="108">
        <f>IF($B766="","",IF($E766="Nghỉ tuần",N($G766),0))</f>
        <v/>
      </c>
      <c r="L766" s="108">
        <f>IF($B766="","",IF($E766="Lễ",N($G766),0))</f>
        <v/>
      </c>
      <c r="M766" s="108">
        <f>IF($B766="","",IF($E766="Ngày thường",N($H766),0))</f>
        <v/>
      </c>
      <c r="N766" s="108">
        <f>IF($B766="","",IF($E766="Nghỉ tuần",N($H766),0))</f>
        <v/>
      </c>
      <c r="O766" s="108">
        <f>IF($B766="","",IF($E766="Lễ",N($H766),0))</f>
        <v/>
      </c>
    </row>
    <row r="767" ht="15" customHeight="1" s="63">
      <c r="A767" s="85">
        <f>IF($B767="","",ROW()-5)</f>
        <v/>
      </c>
      <c r="B767" s="97" t="n"/>
      <c r="C767" s="96">
        <f>IF($B767="","",IFERROR(INDEX(DM_NHAN_SU!$C$6:$C$155,MATCH($B767,DM_NHAN_SU!$B$6:$B$155,0)),"SAI MÃ NV"))</f>
        <v/>
      </c>
      <c r="D767" s="86" t="n"/>
      <c r="E767" s="103">
        <f>IF(OR($B767="",$D767=""),"",IF(COUNTIF(THAM_SO_CC!$F$10:$F$40,$D767)&gt;0,"Lễ",IF(IF(THAM_SO_CC!$B$12="T7+CN",WEEKDAY($D767,2)&gt;=6,WEEKDAY($D767,2)=7),"Nghỉ tuần","Ngày thường")))</f>
        <v/>
      </c>
      <c r="F767" s="107" t="n"/>
      <c r="G767" s="107" t="n"/>
      <c r="H767" s="107" t="n"/>
      <c r="I767" s="81" t="n"/>
      <c r="J767" s="108">
        <f>IF($B767="","",IF($E767="Ngày thường",N($G767),0))</f>
        <v/>
      </c>
      <c r="K767" s="108">
        <f>IF($B767="","",IF($E767="Nghỉ tuần",N($G767),0))</f>
        <v/>
      </c>
      <c r="L767" s="108">
        <f>IF($B767="","",IF($E767="Lễ",N($G767),0))</f>
        <v/>
      </c>
      <c r="M767" s="108">
        <f>IF($B767="","",IF($E767="Ngày thường",N($H767),0))</f>
        <v/>
      </c>
      <c r="N767" s="108">
        <f>IF($B767="","",IF($E767="Nghỉ tuần",N($H767),0))</f>
        <v/>
      </c>
      <c r="O767" s="108">
        <f>IF($B767="","",IF($E767="Lễ",N($H767),0))</f>
        <v/>
      </c>
    </row>
    <row r="768" ht="15" customHeight="1" s="63">
      <c r="A768" s="85">
        <f>IF($B768="","",ROW()-5)</f>
        <v/>
      </c>
      <c r="B768" s="97" t="n"/>
      <c r="C768" s="96">
        <f>IF($B768="","",IFERROR(INDEX(DM_NHAN_SU!$C$6:$C$155,MATCH($B768,DM_NHAN_SU!$B$6:$B$155,0)),"SAI MÃ NV"))</f>
        <v/>
      </c>
      <c r="D768" s="86" t="n"/>
      <c r="E768" s="103">
        <f>IF(OR($B768="",$D768=""),"",IF(COUNTIF(THAM_SO_CC!$F$10:$F$40,$D768)&gt;0,"Lễ",IF(IF(THAM_SO_CC!$B$12="T7+CN",WEEKDAY($D768,2)&gt;=6,WEEKDAY($D768,2)=7),"Nghỉ tuần","Ngày thường")))</f>
        <v/>
      </c>
      <c r="F768" s="107" t="n"/>
      <c r="G768" s="107" t="n"/>
      <c r="H768" s="107" t="n"/>
      <c r="I768" s="81" t="n"/>
      <c r="J768" s="108">
        <f>IF($B768="","",IF($E768="Ngày thường",N($G768),0))</f>
        <v/>
      </c>
      <c r="K768" s="108">
        <f>IF($B768="","",IF($E768="Nghỉ tuần",N($G768),0))</f>
        <v/>
      </c>
      <c r="L768" s="108">
        <f>IF($B768="","",IF($E768="Lễ",N($G768),0))</f>
        <v/>
      </c>
      <c r="M768" s="108">
        <f>IF($B768="","",IF($E768="Ngày thường",N($H768),0))</f>
        <v/>
      </c>
      <c r="N768" s="108">
        <f>IF($B768="","",IF($E768="Nghỉ tuần",N($H768),0))</f>
        <v/>
      </c>
      <c r="O768" s="108">
        <f>IF($B768="","",IF($E768="Lễ",N($H768),0))</f>
        <v/>
      </c>
    </row>
    <row r="769" ht="15" customHeight="1" s="63">
      <c r="A769" s="85">
        <f>IF($B769="","",ROW()-5)</f>
        <v/>
      </c>
      <c r="B769" s="97" t="n"/>
      <c r="C769" s="96">
        <f>IF($B769="","",IFERROR(INDEX(DM_NHAN_SU!$C$6:$C$155,MATCH($B769,DM_NHAN_SU!$B$6:$B$155,0)),"SAI MÃ NV"))</f>
        <v/>
      </c>
      <c r="D769" s="86" t="n"/>
      <c r="E769" s="103">
        <f>IF(OR($B769="",$D769=""),"",IF(COUNTIF(THAM_SO_CC!$F$10:$F$40,$D769)&gt;0,"Lễ",IF(IF(THAM_SO_CC!$B$12="T7+CN",WEEKDAY($D769,2)&gt;=6,WEEKDAY($D769,2)=7),"Nghỉ tuần","Ngày thường")))</f>
        <v/>
      </c>
      <c r="F769" s="107" t="n"/>
      <c r="G769" s="107" t="n"/>
      <c r="H769" s="107" t="n"/>
      <c r="I769" s="81" t="n"/>
      <c r="J769" s="108">
        <f>IF($B769="","",IF($E769="Ngày thường",N($G769),0))</f>
        <v/>
      </c>
      <c r="K769" s="108">
        <f>IF($B769="","",IF($E769="Nghỉ tuần",N($G769),0))</f>
        <v/>
      </c>
      <c r="L769" s="108">
        <f>IF($B769="","",IF($E769="Lễ",N($G769),0))</f>
        <v/>
      </c>
      <c r="M769" s="108">
        <f>IF($B769="","",IF($E769="Ngày thường",N($H769),0))</f>
        <v/>
      </c>
      <c r="N769" s="108">
        <f>IF($B769="","",IF($E769="Nghỉ tuần",N($H769),0))</f>
        <v/>
      </c>
      <c r="O769" s="108">
        <f>IF($B769="","",IF($E769="Lễ",N($H769),0))</f>
        <v/>
      </c>
    </row>
    <row r="770" ht="15" customHeight="1" s="63">
      <c r="A770" s="85">
        <f>IF($B770="","",ROW()-5)</f>
        <v/>
      </c>
      <c r="B770" s="97" t="n"/>
      <c r="C770" s="96">
        <f>IF($B770="","",IFERROR(INDEX(DM_NHAN_SU!$C$6:$C$155,MATCH($B770,DM_NHAN_SU!$B$6:$B$155,0)),"SAI MÃ NV"))</f>
        <v/>
      </c>
      <c r="D770" s="86" t="n"/>
      <c r="E770" s="103">
        <f>IF(OR($B770="",$D770=""),"",IF(COUNTIF(THAM_SO_CC!$F$10:$F$40,$D770)&gt;0,"Lễ",IF(IF(THAM_SO_CC!$B$12="T7+CN",WEEKDAY($D770,2)&gt;=6,WEEKDAY($D770,2)=7),"Nghỉ tuần","Ngày thường")))</f>
        <v/>
      </c>
      <c r="F770" s="107" t="n"/>
      <c r="G770" s="107" t="n"/>
      <c r="H770" s="107" t="n"/>
      <c r="I770" s="81" t="n"/>
      <c r="J770" s="108">
        <f>IF($B770="","",IF($E770="Ngày thường",N($G770),0))</f>
        <v/>
      </c>
      <c r="K770" s="108">
        <f>IF($B770="","",IF($E770="Nghỉ tuần",N($G770),0))</f>
        <v/>
      </c>
      <c r="L770" s="108">
        <f>IF($B770="","",IF($E770="Lễ",N($G770),0))</f>
        <v/>
      </c>
      <c r="M770" s="108">
        <f>IF($B770="","",IF($E770="Ngày thường",N($H770),0))</f>
        <v/>
      </c>
      <c r="N770" s="108">
        <f>IF($B770="","",IF($E770="Nghỉ tuần",N($H770),0))</f>
        <v/>
      </c>
      <c r="O770" s="108">
        <f>IF($B770="","",IF($E770="Lễ",N($H770),0))</f>
        <v/>
      </c>
    </row>
    <row r="771" ht="15" customHeight="1" s="63">
      <c r="A771" s="85">
        <f>IF($B771="","",ROW()-5)</f>
        <v/>
      </c>
      <c r="B771" s="97" t="n"/>
      <c r="C771" s="96">
        <f>IF($B771="","",IFERROR(INDEX(DM_NHAN_SU!$C$6:$C$155,MATCH($B771,DM_NHAN_SU!$B$6:$B$155,0)),"SAI MÃ NV"))</f>
        <v/>
      </c>
      <c r="D771" s="86" t="n"/>
      <c r="E771" s="103">
        <f>IF(OR($B771="",$D771=""),"",IF(COUNTIF(THAM_SO_CC!$F$10:$F$40,$D771)&gt;0,"Lễ",IF(IF(THAM_SO_CC!$B$12="T7+CN",WEEKDAY($D771,2)&gt;=6,WEEKDAY($D771,2)=7),"Nghỉ tuần","Ngày thường")))</f>
        <v/>
      </c>
      <c r="F771" s="107" t="n"/>
      <c r="G771" s="107" t="n"/>
      <c r="H771" s="107" t="n"/>
      <c r="I771" s="81" t="n"/>
      <c r="J771" s="108">
        <f>IF($B771="","",IF($E771="Ngày thường",N($G771),0))</f>
        <v/>
      </c>
      <c r="K771" s="108">
        <f>IF($B771="","",IF($E771="Nghỉ tuần",N($G771),0))</f>
        <v/>
      </c>
      <c r="L771" s="108">
        <f>IF($B771="","",IF($E771="Lễ",N($G771),0))</f>
        <v/>
      </c>
      <c r="M771" s="108">
        <f>IF($B771="","",IF($E771="Ngày thường",N($H771),0))</f>
        <v/>
      </c>
      <c r="N771" s="108">
        <f>IF($B771="","",IF($E771="Nghỉ tuần",N($H771),0))</f>
        <v/>
      </c>
      <c r="O771" s="108">
        <f>IF($B771="","",IF($E771="Lễ",N($H771),0))</f>
        <v/>
      </c>
    </row>
    <row r="772" ht="15" customHeight="1" s="63">
      <c r="A772" s="85">
        <f>IF($B772="","",ROW()-5)</f>
        <v/>
      </c>
      <c r="B772" s="97" t="n"/>
      <c r="C772" s="96">
        <f>IF($B772="","",IFERROR(INDEX(DM_NHAN_SU!$C$6:$C$155,MATCH($B772,DM_NHAN_SU!$B$6:$B$155,0)),"SAI MÃ NV"))</f>
        <v/>
      </c>
      <c r="D772" s="86" t="n"/>
      <c r="E772" s="103">
        <f>IF(OR($B772="",$D772=""),"",IF(COUNTIF(THAM_SO_CC!$F$10:$F$40,$D772)&gt;0,"Lễ",IF(IF(THAM_SO_CC!$B$12="T7+CN",WEEKDAY($D772,2)&gt;=6,WEEKDAY($D772,2)=7),"Nghỉ tuần","Ngày thường")))</f>
        <v/>
      </c>
      <c r="F772" s="107" t="n"/>
      <c r="G772" s="107" t="n"/>
      <c r="H772" s="107" t="n"/>
      <c r="I772" s="81" t="n"/>
      <c r="J772" s="108">
        <f>IF($B772="","",IF($E772="Ngày thường",N($G772),0))</f>
        <v/>
      </c>
      <c r="K772" s="108">
        <f>IF($B772="","",IF($E772="Nghỉ tuần",N($G772),0))</f>
        <v/>
      </c>
      <c r="L772" s="108">
        <f>IF($B772="","",IF($E772="Lễ",N($G772),0))</f>
        <v/>
      </c>
      <c r="M772" s="108">
        <f>IF($B772="","",IF($E772="Ngày thường",N($H772),0))</f>
        <v/>
      </c>
      <c r="N772" s="108">
        <f>IF($B772="","",IF($E772="Nghỉ tuần",N($H772),0))</f>
        <v/>
      </c>
      <c r="O772" s="108">
        <f>IF($B772="","",IF($E772="Lễ",N($H772),0))</f>
        <v/>
      </c>
    </row>
    <row r="773" ht="15" customHeight="1" s="63">
      <c r="A773" s="85">
        <f>IF($B773="","",ROW()-5)</f>
        <v/>
      </c>
      <c r="B773" s="97" t="n"/>
      <c r="C773" s="96">
        <f>IF($B773="","",IFERROR(INDEX(DM_NHAN_SU!$C$6:$C$155,MATCH($B773,DM_NHAN_SU!$B$6:$B$155,0)),"SAI MÃ NV"))</f>
        <v/>
      </c>
      <c r="D773" s="86" t="n"/>
      <c r="E773" s="103">
        <f>IF(OR($B773="",$D773=""),"",IF(COUNTIF(THAM_SO_CC!$F$10:$F$40,$D773)&gt;0,"Lễ",IF(IF(THAM_SO_CC!$B$12="T7+CN",WEEKDAY($D773,2)&gt;=6,WEEKDAY($D773,2)=7),"Nghỉ tuần","Ngày thường")))</f>
        <v/>
      </c>
      <c r="F773" s="107" t="n"/>
      <c r="G773" s="107" t="n"/>
      <c r="H773" s="107" t="n"/>
      <c r="I773" s="81" t="n"/>
      <c r="J773" s="108">
        <f>IF($B773="","",IF($E773="Ngày thường",N($G773),0))</f>
        <v/>
      </c>
      <c r="K773" s="108">
        <f>IF($B773="","",IF($E773="Nghỉ tuần",N($G773),0))</f>
        <v/>
      </c>
      <c r="L773" s="108">
        <f>IF($B773="","",IF($E773="Lễ",N($G773),0))</f>
        <v/>
      </c>
      <c r="M773" s="108">
        <f>IF($B773="","",IF($E773="Ngày thường",N($H773),0))</f>
        <v/>
      </c>
      <c r="N773" s="108">
        <f>IF($B773="","",IF($E773="Nghỉ tuần",N($H773),0))</f>
        <v/>
      </c>
      <c r="O773" s="108">
        <f>IF($B773="","",IF($E773="Lễ",N($H773),0))</f>
        <v/>
      </c>
    </row>
    <row r="774" ht="15" customHeight="1" s="63">
      <c r="A774" s="85">
        <f>IF($B774="","",ROW()-5)</f>
        <v/>
      </c>
      <c r="B774" s="97" t="n"/>
      <c r="C774" s="96">
        <f>IF($B774="","",IFERROR(INDEX(DM_NHAN_SU!$C$6:$C$155,MATCH($B774,DM_NHAN_SU!$B$6:$B$155,0)),"SAI MÃ NV"))</f>
        <v/>
      </c>
      <c r="D774" s="86" t="n"/>
      <c r="E774" s="103">
        <f>IF(OR($B774="",$D774=""),"",IF(COUNTIF(THAM_SO_CC!$F$10:$F$40,$D774)&gt;0,"Lễ",IF(IF(THAM_SO_CC!$B$12="T7+CN",WEEKDAY($D774,2)&gt;=6,WEEKDAY($D774,2)=7),"Nghỉ tuần","Ngày thường")))</f>
        <v/>
      </c>
      <c r="F774" s="107" t="n"/>
      <c r="G774" s="107" t="n"/>
      <c r="H774" s="107" t="n"/>
      <c r="I774" s="81" t="n"/>
      <c r="J774" s="108">
        <f>IF($B774="","",IF($E774="Ngày thường",N($G774),0))</f>
        <v/>
      </c>
      <c r="K774" s="108">
        <f>IF($B774="","",IF($E774="Nghỉ tuần",N($G774),0))</f>
        <v/>
      </c>
      <c r="L774" s="108">
        <f>IF($B774="","",IF($E774="Lễ",N($G774),0))</f>
        <v/>
      </c>
      <c r="M774" s="108">
        <f>IF($B774="","",IF($E774="Ngày thường",N($H774),0))</f>
        <v/>
      </c>
      <c r="N774" s="108">
        <f>IF($B774="","",IF($E774="Nghỉ tuần",N($H774),0))</f>
        <v/>
      </c>
      <c r="O774" s="108">
        <f>IF($B774="","",IF($E774="Lễ",N($H774),0))</f>
        <v/>
      </c>
    </row>
    <row r="775" ht="15" customHeight="1" s="63">
      <c r="A775" s="85">
        <f>IF($B775="","",ROW()-5)</f>
        <v/>
      </c>
      <c r="B775" s="97" t="n"/>
      <c r="C775" s="96">
        <f>IF($B775="","",IFERROR(INDEX(DM_NHAN_SU!$C$6:$C$155,MATCH($B775,DM_NHAN_SU!$B$6:$B$155,0)),"SAI MÃ NV"))</f>
        <v/>
      </c>
      <c r="D775" s="86" t="n"/>
      <c r="E775" s="103">
        <f>IF(OR($B775="",$D775=""),"",IF(COUNTIF(THAM_SO_CC!$F$10:$F$40,$D775)&gt;0,"Lễ",IF(IF(THAM_SO_CC!$B$12="T7+CN",WEEKDAY($D775,2)&gt;=6,WEEKDAY($D775,2)=7),"Nghỉ tuần","Ngày thường")))</f>
        <v/>
      </c>
      <c r="F775" s="107" t="n"/>
      <c r="G775" s="107" t="n"/>
      <c r="H775" s="107" t="n"/>
      <c r="I775" s="81" t="n"/>
      <c r="J775" s="108">
        <f>IF($B775="","",IF($E775="Ngày thường",N($G775),0))</f>
        <v/>
      </c>
      <c r="K775" s="108">
        <f>IF($B775="","",IF($E775="Nghỉ tuần",N($G775),0))</f>
        <v/>
      </c>
      <c r="L775" s="108">
        <f>IF($B775="","",IF($E775="Lễ",N($G775),0))</f>
        <v/>
      </c>
      <c r="M775" s="108">
        <f>IF($B775="","",IF($E775="Ngày thường",N($H775),0))</f>
        <v/>
      </c>
      <c r="N775" s="108">
        <f>IF($B775="","",IF($E775="Nghỉ tuần",N($H775),0))</f>
        <v/>
      </c>
      <c r="O775" s="108">
        <f>IF($B775="","",IF($E775="Lễ",N($H775),0))</f>
        <v/>
      </c>
    </row>
    <row r="776" ht="15" customHeight="1" s="63">
      <c r="A776" s="85">
        <f>IF($B776="","",ROW()-5)</f>
        <v/>
      </c>
      <c r="B776" s="97" t="n"/>
      <c r="C776" s="96">
        <f>IF($B776="","",IFERROR(INDEX(DM_NHAN_SU!$C$6:$C$155,MATCH($B776,DM_NHAN_SU!$B$6:$B$155,0)),"SAI MÃ NV"))</f>
        <v/>
      </c>
      <c r="D776" s="86" t="n"/>
      <c r="E776" s="103">
        <f>IF(OR($B776="",$D776=""),"",IF(COUNTIF(THAM_SO_CC!$F$10:$F$40,$D776)&gt;0,"Lễ",IF(IF(THAM_SO_CC!$B$12="T7+CN",WEEKDAY($D776,2)&gt;=6,WEEKDAY($D776,2)=7),"Nghỉ tuần","Ngày thường")))</f>
        <v/>
      </c>
      <c r="F776" s="107" t="n"/>
      <c r="G776" s="107" t="n"/>
      <c r="H776" s="107" t="n"/>
      <c r="I776" s="81" t="n"/>
      <c r="J776" s="108">
        <f>IF($B776="","",IF($E776="Ngày thường",N($G776),0))</f>
        <v/>
      </c>
      <c r="K776" s="108">
        <f>IF($B776="","",IF($E776="Nghỉ tuần",N($G776),0))</f>
        <v/>
      </c>
      <c r="L776" s="108">
        <f>IF($B776="","",IF($E776="Lễ",N($G776),0))</f>
        <v/>
      </c>
      <c r="M776" s="108">
        <f>IF($B776="","",IF($E776="Ngày thường",N($H776),0))</f>
        <v/>
      </c>
      <c r="N776" s="108">
        <f>IF($B776="","",IF($E776="Nghỉ tuần",N($H776),0))</f>
        <v/>
      </c>
      <c r="O776" s="108">
        <f>IF($B776="","",IF($E776="Lễ",N($H776),0))</f>
        <v/>
      </c>
    </row>
    <row r="777" ht="15" customHeight="1" s="63">
      <c r="A777" s="85">
        <f>IF($B777="","",ROW()-5)</f>
        <v/>
      </c>
      <c r="B777" s="97" t="n"/>
      <c r="C777" s="96">
        <f>IF($B777="","",IFERROR(INDEX(DM_NHAN_SU!$C$6:$C$155,MATCH($B777,DM_NHAN_SU!$B$6:$B$155,0)),"SAI MÃ NV"))</f>
        <v/>
      </c>
      <c r="D777" s="86" t="n"/>
      <c r="E777" s="103">
        <f>IF(OR($B777="",$D777=""),"",IF(COUNTIF(THAM_SO_CC!$F$10:$F$40,$D777)&gt;0,"Lễ",IF(IF(THAM_SO_CC!$B$12="T7+CN",WEEKDAY($D777,2)&gt;=6,WEEKDAY($D777,2)=7),"Nghỉ tuần","Ngày thường")))</f>
        <v/>
      </c>
      <c r="F777" s="107" t="n"/>
      <c r="G777" s="107" t="n"/>
      <c r="H777" s="107" t="n"/>
      <c r="I777" s="81" t="n"/>
      <c r="J777" s="108">
        <f>IF($B777="","",IF($E777="Ngày thường",N($G777),0))</f>
        <v/>
      </c>
      <c r="K777" s="108">
        <f>IF($B777="","",IF($E777="Nghỉ tuần",N($G777),0))</f>
        <v/>
      </c>
      <c r="L777" s="108">
        <f>IF($B777="","",IF($E777="Lễ",N($G777),0))</f>
        <v/>
      </c>
      <c r="M777" s="108">
        <f>IF($B777="","",IF($E777="Ngày thường",N($H777),0))</f>
        <v/>
      </c>
      <c r="N777" s="108">
        <f>IF($B777="","",IF($E777="Nghỉ tuần",N($H777),0))</f>
        <v/>
      </c>
      <c r="O777" s="108">
        <f>IF($B777="","",IF($E777="Lễ",N($H777),0))</f>
        <v/>
      </c>
    </row>
    <row r="778" ht="15" customHeight="1" s="63">
      <c r="A778" s="85">
        <f>IF($B778="","",ROW()-5)</f>
        <v/>
      </c>
      <c r="B778" s="97" t="n"/>
      <c r="C778" s="96">
        <f>IF($B778="","",IFERROR(INDEX(DM_NHAN_SU!$C$6:$C$155,MATCH($B778,DM_NHAN_SU!$B$6:$B$155,0)),"SAI MÃ NV"))</f>
        <v/>
      </c>
      <c r="D778" s="86" t="n"/>
      <c r="E778" s="103">
        <f>IF(OR($B778="",$D778=""),"",IF(COUNTIF(THAM_SO_CC!$F$10:$F$40,$D778)&gt;0,"Lễ",IF(IF(THAM_SO_CC!$B$12="T7+CN",WEEKDAY($D778,2)&gt;=6,WEEKDAY($D778,2)=7),"Nghỉ tuần","Ngày thường")))</f>
        <v/>
      </c>
      <c r="F778" s="107" t="n"/>
      <c r="G778" s="107" t="n"/>
      <c r="H778" s="107" t="n"/>
      <c r="I778" s="81" t="n"/>
      <c r="J778" s="108">
        <f>IF($B778="","",IF($E778="Ngày thường",N($G778),0))</f>
        <v/>
      </c>
      <c r="K778" s="108">
        <f>IF($B778="","",IF($E778="Nghỉ tuần",N($G778),0))</f>
        <v/>
      </c>
      <c r="L778" s="108">
        <f>IF($B778="","",IF($E778="Lễ",N($G778),0))</f>
        <v/>
      </c>
      <c r="M778" s="108">
        <f>IF($B778="","",IF($E778="Ngày thường",N($H778),0))</f>
        <v/>
      </c>
      <c r="N778" s="108">
        <f>IF($B778="","",IF($E778="Nghỉ tuần",N($H778),0))</f>
        <v/>
      </c>
      <c r="O778" s="108">
        <f>IF($B778="","",IF($E778="Lễ",N($H778),0))</f>
        <v/>
      </c>
    </row>
    <row r="779" ht="15" customHeight="1" s="63">
      <c r="A779" s="85">
        <f>IF($B779="","",ROW()-5)</f>
        <v/>
      </c>
      <c r="B779" s="97" t="n"/>
      <c r="C779" s="96">
        <f>IF($B779="","",IFERROR(INDEX(DM_NHAN_SU!$C$6:$C$155,MATCH($B779,DM_NHAN_SU!$B$6:$B$155,0)),"SAI MÃ NV"))</f>
        <v/>
      </c>
      <c r="D779" s="86" t="n"/>
      <c r="E779" s="103">
        <f>IF(OR($B779="",$D779=""),"",IF(COUNTIF(THAM_SO_CC!$F$10:$F$40,$D779)&gt;0,"Lễ",IF(IF(THAM_SO_CC!$B$12="T7+CN",WEEKDAY($D779,2)&gt;=6,WEEKDAY($D779,2)=7),"Nghỉ tuần","Ngày thường")))</f>
        <v/>
      </c>
      <c r="F779" s="107" t="n"/>
      <c r="G779" s="107" t="n"/>
      <c r="H779" s="107" t="n"/>
      <c r="I779" s="81" t="n"/>
      <c r="J779" s="108">
        <f>IF($B779="","",IF($E779="Ngày thường",N($G779),0))</f>
        <v/>
      </c>
      <c r="K779" s="108">
        <f>IF($B779="","",IF($E779="Nghỉ tuần",N($G779),0))</f>
        <v/>
      </c>
      <c r="L779" s="108">
        <f>IF($B779="","",IF($E779="Lễ",N($G779),0))</f>
        <v/>
      </c>
      <c r="M779" s="108">
        <f>IF($B779="","",IF($E779="Ngày thường",N($H779),0))</f>
        <v/>
      </c>
      <c r="N779" s="108">
        <f>IF($B779="","",IF($E779="Nghỉ tuần",N($H779),0))</f>
        <v/>
      </c>
      <c r="O779" s="108">
        <f>IF($B779="","",IF($E779="Lễ",N($H779),0))</f>
        <v/>
      </c>
    </row>
    <row r="780" ht="15" customHeight="1" s="63">
      <c r="A780" s="85">
        <f>IF($B780="","",ROW()-5)</f>
        <v/>
      </c>
      <c r="B780" s="97" t="n"/>
      <c r="C780" s="96">
        <f>IF($B780="","",IFERROR(INDEX(DM_NHAN_SU!$C$6:$C$155,MATCH($B780,DM_NHAN_SU!$B$6:$B$155,0)),"SAI MÃ NV"))</f>
        <v/>
      </c>
      <c r="D780" s="86" t="n"/>
      <c r="E780" s="103">
        <f>IF(OR($B780="",$D780=""),"",IF(COUNTIF(THAM_SO_CC!$F$10:$F$40,$D780)&gt;0,"Lễ",IF(IF(THAM_SO_CC!$B$12="T7+CN",WEEKDAY($D780,2)&gt;=6,WEEKDAY($D780,2)=7),"Nghỉ tuần","Ngày thường")))</f>
        <v/>
      </c>
      <c r="F780" s="107" t="n"/>
      <c r="G780" s="107" t="n"/>
      <c r="H780" s="107" t="n"/>
      <c r="I780" s="81" t="n"/>
      <c r="J780" s="108">
        <f>IF($B780="","",IF($E780="Ngày thường",N($G780),0))</f>
        <v/>
      </c>
      <c r="K780" s="108">
        <f>IF($B780="","",IF($E780="Nghỉ tuần",N($G780),0))</f>
        <v/>
      </c>
      <c r="L780" s="108">
        <f>IF($B780="","",IF($E780="Lễ",N($G780),0))</f>
        <v/>
      </c>
      <c r="M780" s="108">
        <f>IF($B780="","",IF($E780="Ngày thường",N($H780),0))</f>
        <v/>
      </c>
      <c r="N780" s="108">
        <f>IF($B780="","",IF($E780="Nghỉ tuần",N($H780),0))</f>
        <v/>
      </c>
      <c r="O780" s="108">
        <f>IF($B780="","",IF($E780="Lễ",N($H780),0))</f>
        <v/>
      </c>
    </row>
    <row r="781" ht="15" customHeight="1" s="63">
      <c r="A781" s="85">
        <f>IF($B781="","",ROW()-5)</f>
        <v/>
      </c>
      <c r="B781" s="97" t="n"/>
      <c r="C781" s="96">
        <f>IF($B781="","",IFERROR(INDEX(DM_NHAN_SU!$C$6:$C$155,MATCH($B781,DM_NHAN_SU!$B$6:$B$155,0)),"SAI MÃ NV"))</f>
        <v/>
      </c>
      <c r="D781" s="86" t="n"/>
      <c r="E781" s="103">
        <f>IF(OR($B781="",$D781=""),"",IF(COUNTIF(THAM_SO_CC!$F$10:$F$40,$D781)&gt;0,"Lễ",IF(IF(THAM_SO_CC!$B$12="T7+CN",WEEKDAY($D781,2)&gt;=6,WEEKDAY($D781,2)=7),"Nghỉ tuần","Ngày thường")))</f>
        <v/>
      </c>
      <c r="F781" s="107" t="n"/>
      <c r="G781" s="107" t="n"/>
      <c r="H781" s="107" t="n"/>
      <c r="I781" s="81" t="n"/>
      <c r="J781" s="108">
        <f>IF($B781="","",IF($E781="Ngày thường",N($G781),0))</f>
        <v/>
      </c>
      <c r="K781" s="108">
        <f>IF($B781="","",IF($E781="Nghỉ tuần",N($G781),0))</f>
        <v/>
      </c>
      <c r="L781" s="108">
        <f>IF($B781="","",IF($E781="Lễ",N($G781),0))</f>
        <v/>
      </c>
      <c r="M781" s="108">
        <f>IF($B781="","",IF($E781="Ngày thường",N($H781),0))</f>
        <v/>
      </c>
      <c r="N781" s="108">
        <f>IF($B781="","",IF($E781="Nghỉ tuần",N($H781),0))</f>
        <v/>
      </c>
      <c r="O781" s="108">
        <f>IF($B781="","",IF($E781="Lễ",N($H781),0))</f>
        <v/>
      </c>
    </row>
    <row r="782" ht="15" customHeight="1" s="63">
      <c r="A782" s="85">
        <f>IF($B782="","",ROW()-5)</f>
        <v/>
      </c>
      <c r="B782" s="97" t="n"/>
      <c r="C782" s="96">
        <f>IF($B782="","",IFERROR(INDEX(DM_NHAN_SU!$C$6:$C$155,MATCH($B782,DM_NHAN_SU!$B$6:$B$155,0)),"SAI MÃ NV"))</f>
        <v/>
      </c>
      <c r="D782" s="86" t="n"/>
      <c r="E782" s="103">
        <f>IF(OR($B782="",$D782=""),"",IF(COUNTIF(THAM_SO_CC!$F$10:$F$40,$D782)&gt;0,"Lễ",IF(IF(THAM_SO_CC!$B$12="T7+CN",WEEKDAY($D782,2)&gt;=6,WEEKDAY($D782,2)=7),"Nghỉ tuần","Ngày thường")))</f>
        <v/>
      </c>
      <c r="F782" s="107" t="n"/>
      <c r="G782" s="107" t="n"/>
      <c r="H782" s="107" t="n"/>
      <c r="I782" s="81" t="n"/>
      <c r="J782" s="108">
        <f>IF($B782="","",IF($E782="Ngày thường",N($G782),0))</f>
        <v/>
      </c>
      <c r="K782" s="108">
        <f>IF($B782="","",IF($E782="Nghỉ tuần",N($G782),0))</f>
        <v/>
      </c>
      <c r="L782" s="108">
        <f>IF($B782="","",IF($E782="Lễ",N($G782),0))</f>
        <v/>
      </c>
      <c r="M782" s="108">
        <f>IF($B782="","",IF($E782="Ngày thường",N($H782),0))</f>
        <v/>
      </c>
      <c r="N782" s="108">
        <f>IF($B782="","",IF($E782="Nghỉ tuần",N($H782),0))</f>
        <v/>
      </c>
      <c r="O782" s="108">
        <f>IF($B782="","",IF($E782="Lễ",N($H782),0))</f>
        <v/>
      </c>
    </row>
    <row r="783" ht="15" customHeight="1" s="63">
      <c r="A783" s="85">
        <f>IF($B783="","",ROW()-5)</f>
        <v/>
      </c>
      <c r="B783" s="97" t="n"/>
      <c r="C783" s="96">
        <f>IF($B783="","",IFERROR(INDEX(DM_NHAN_SU!$C$6:$C$155,MATCH($B783,DM_NHAN_SU!$B$6:$B$155,0)),"SAI MÃ NV"))</f>
        <v/>
      </c>
      <c r="D783" s="86" t="n"/>
      <c r="E783" s="103">
        <f>IF(OR($B783="",$D783=""),"",IF(COUNTIF(THAM_SO_CC!$F$10:$F$40,$D783)&gt;0,"Lễ",IF(IF(THAM_SO_CC!$B$12="T7+CN",WEEKDAY($D783,2)&gt;=6,WEEKDAY($D783,2)=7),"Nghỉ tuần","Ngày thường")))</f>
        <v/>
      </c>
      <c r="F783" s="107" t="n"/>
      <c r="G783" s="107" t="n"/>
      <c r="H783" s="107" t="n"/>
      <c r="I783" s="81" t="n"/>
      <c r="J783" s="108">
        <f>IF($B783="","",IF($E783="Ngày thường",N($G783),0))</f>
        <v/>
      </c>
      <c r="K783" s="108">
        <f>IF($B783="","",IF($E783="Nghỉ tuần",N($G783),0))</f>
        <v/>
      </c>
      <c r="L783" s="108">
        <f>IF($B783="","",IF($E783="Lễ",N($G783),0))</f>
        <v/>
      </c>
      <c r="M783" s="108">
        <f>IF($B783="","",IF($E783="Ngày thường",N($H783),0))</f>
        <v/>
      </c>
      <c r="N783" s="108">
        <f>IF($B783="","",IF($E783="Nghỉ tuần",N($H783),0))</f>
        <v/>
      </c>
      <c r="O783" s="108">
        <f>IF($B783="","",IF($E783="Lễ",N($H783),0))</f>
        <v/>
      </c>
    </row>
    <row r="784" ht="15" customHeight="1" s="63">
      <c r="A784" s="85">
        <f>IF($B784="","",ROW()-5)</f>
        <v/>
      </c>
      <c r="B784" s="97" t="n"/>
      <c r="C784" s="96">
        <f>IF($B784="","",IFERROR(INDEX(DM_NHAN_SU!$C$6:$C$155,MATCH($B784,DM_NHAN_SU!$B$6:$B$155,0)),"SAI MÃ NV"))</f>
        <v/>
      </c>
      <c r="D784" s="86" t="n"/>
      <c r="E784" s="103">
        <f>IF(OR($B784="",$D784=""),"",IF(COUNTIF(THAM_SO_CC!$F$10:$F$40,$D784)&gt;0,"Lễ",IF(IF(THAM_SO_CC!$B$12="T7+CN",WEEKDAY($D784,2)&gt;=6,WEEKDAY($D784,2)=7),"Nghỉ tuần","Ngày thường")))</f>
        <v/>
      </c>
      <c r="F784" s="107" t="n"/>
      <c r="G784" s="107" t="n"/>
      <c r="H784" s="107" t="n"/>
      <c r="I784" s="81" t="n"/>
      <c r="J784" s="108">
        <f>IF($B784="","",IF($E784="Ngày thường",N($G784),0))</f>
        <v/>
      </c>
      <c r="K784" s="108">
        <f>IF($B784="","",IF($E784="Nghỉ tuần",N($G784),0))</f>
        <v/>
      </c>
      <c r="L784" s="108">
        <f>IF($B784="","",IF($E784="Lễ",N($G784),0))</f>
        <v/>
      </c>
      <c r="M784" s="108">
        <f>IF($B784="","",IF($E784="Ngày thường",N($H784),0))</f>
        <v/>
      </c>
      <c r="N784" s="108">
        <f>IF($B784="","",IF($E784="Nghỉ tuần",N($H784),0))</f>
        <v/>
      </c>
      <c r="O784" s="108">
        <f>IF($B784="","",IF($E784="Lễ",N($H784),0))</f>
        <v/>
      </c>
    </row>
    <row r="785" ht="15" customHeight="1" s="63">
      <c r="A785" s="85">
        <f>IF($B785="","",ROW()-5)</f>
        <v/>
      </c>
      <c r="B785" s="97" t="n"/>
      <c r="C785" s="96">
        <f>IF($B785="","",IFERROR(INDEX(DM_NHAN_SU!$C$6:$C$155,MATCH($B785,DM_NHAN_SU!$B$6:$B$155,0)),"SAI MÃ NV"))</f>
        <v/>
      </c>
      <c r="D785" s="86" t="n"/>
      <c r="E785" s="103">
        <f>IF(OR($B785="",$D785=""),"",IF(COUNTIF(THAM_SO_CC!$F$10:$F$40,$D785)&gt;0,"Lễ",IF(IF(THAM_SO_CC!$B$12="T7+CN",WEEKDAY($D785,2)&gt;=6,WEEKDAY($D785,2)=7),"Nghỉ tuần","Ngày thường")))</f>
        <v/>
      </c>
      <c r="F785" s="107" t="n"/>
      <c r="G785" s="107" t="n"/>
      <c r="H785" s="107" t="n"/>
      <c r="I785" s="81" t="n"/>
      <c r="J785" s="108">
        <f>IF($B785="","",IF($E785="Ngày thường",N($G785),0))</f>
        <v/>
      </c>
      <c r="K785" s="108">
        <f>IF($B785="","",IF($E785="Nghỉ tuần",N($G785),0))</f>
        <v/>
      </c>
      <c r="L785" s="108">
        <f>IF($B785="","",IF($E785="Lễ",N($G785),0))</f>
        <v/>
      </c>
      <c r="M785" s="108">
        <f>IF($B785="","",IF($E785="Ngày thường",N($H785),0))</f>
        <v/>
      </c>
      <c r="N785" s="108">
        <f>IF($B785="","",IF($E785="Nghỉ tuần",N($H785),0))</f>
        <v/>
      </c>
      <c r="O785" s="108">
        <f>IF($B785="","",IF($E785="Lễ",N($H785),0))</f>
        <v/>
      </c>
    </row>
    <row r="786" ht="15" customHeight="1" s="63">
      <c r="A786" s="85">
        <f>IF($B786="","",ROW()-5)</f>
        <v/>
      </c>
      <c r="B786" s="97" t="n"/>
      <c r="C786" s="96">
        <f>IF($B786="","",IFERROR(INDEX(DM_NHAN_SU!$C$6:$C$155,MATCH($B786,DM_NHAN_SU!$B$6:$B$155,0)),"SAI MÃ NV"))</f>
        <v/>
      </c>
      <c r="D786" s="86" t="n"/>
      <c r="E786" s="103">
        <f>IF(OR($B786="",$D786=""),"",IF(COUNTIF(THAM_SO_CC!$F$10:$F$40,$D786)&gt;0,"Lễ",IF(IF(THAM_SO_CC!$B$12="T7+CN",WEEKDAY($D786,2)&gt;=6,WEEKDAY($D786,2)=7),"Nghỉ tuần","Ngày thường")))</f>
        <v/>
      </c>
      <c r="F786" s="107" t="n"/>
      <c r="G786" s="107" t="n"/>
      <c r="H786" s="107" t="n"/>
      <c r="I786" s="81" t="n"/>
      <c r="J786" s="108">
        <f>IF($B786="","",IF($E786="Ngày thường",N($G786),0))</f>
        <v/>
      </c>
      <c r="K786" s="108">
        <f>IF($B786="","",IF($E786="Nghỉ tuần",N($G786),0))</f>
        <v/>
      </c>
      <c r="L786" s="108">
        <f>IF($B786="","",IF($E786="Lễ",N($G786),0))</f>
        <v/>
      </c>
      <c r="M786" s="108">
        <f>IF($B786="","",IF($E786="Ngày thường",N($H786),0))</f>
        <v/>
      </c>
      <c r="N786" s="108">
        <f>IF($B786="","",IF($E786="Nghỉ tuần",N($H786),0))</f>
        <v/>
      </c>
      <c r="O786" s="108">
        <f>IF($B786="","",IF($E786="Lễ",N($H786),0))</f>
        <v/>
      </c>
    </row>
    <row r="787" ht="15" customHeight="1" s="63">
      <c r="A787" s="85">
        <f>IF($B787="","",ROW()-5)</f>
        <v/>
      </c>
      <c r="B787" s="97" t="n"/>
      <c r="C787" s="96">
        <f>IF($B787="","",IFERROR(INDEX(DM_NHAN_SU!$C$6:$C$155,MATCH($B787,DM_NHAN_SU!$B$6:$B$155,0)),"SAI MÃ NV"))</f>
        <v/>
      </c>
      <c r="D787" s="86" t="n"/>
      <c r="E787" s="103">
        <f>IF(OR($B787="",$D787=""),"",IF(COUNTIF(THAM_SO_CC!$F$10:$F$40,$D787)&gt;0,"Lễ",IF(IF(THAM_SO_CC!$B$12="T7+CN",WEEKDAY($D787,2)&gt;=6,WEEKDAY($D787,2)=7),"Nghỉ tuần","Ngày thường")))</f>
        <v/>
      </c>
      <c r="F787" s="107" t="n"/>
      <c r="G787" s="107" t="n"/>
      <c r="H787" s="107" t="n"/>
      <c r="I787" s="81" t="n"/>
      <c r="J787" s="108">
        <f>IF($B787="","",IF($E787="Ngày thường",N($G787),0))</f>
        <v/>
      </c>
      <c r="K787" s="108">
        <f>IF($B787="","",IF($E787="Nghỉ tuần",N($G787),0))</f>
        <v/>
      </c>
      <c r="L787" s="108">
        <f>IF($B787="","",IF($E787="Lễ",N($G787),0))</f>
        <v/>
      </c>
      <c r="M787" s="108">
        <f>IF($B787="","",IF($E787="Ngày thường",N($H787),0))</f>
        <v/>
      </c>
      <c r="N787" s="108">
        <f>IF($B787="","",IF($E787="Nghỉ tuần",N($H787),0))</f>
        <v/>
      </c>
      <c r="O787" s="108">
        <f>IF($B787="","",IF($E787="Lễ",N($H787),0))</f>
        <v/>
      </c>
    </row>
    <row r="788" ht="15" customHeight="1" s="63">
      <c r="A788" s="85">
        <f>IF($B788="","",ROW()-5)</f>
        <v/>
      </c>
      <c r="B788" s="97" t="n"/>
      <c r="C788" s="96">
        <f>IF($B788="","",IFERROR(INDEX(DM_NHAN_SU!$C$6:$C$155,MATCH($B788,DM_NHAN_SU!$B$6:$B$155,0)),"SAI MÃ NV"))</f>
        <v/>
      </c>
      <c r="D788" s="86" t="n"/>
      <c r="E788" s="103">
        <f>IF(OR($B788="",$D788=""),"",IF(COUNTIF(THAM_SO_CC!$F$10:$F$40,$D788)&gt;0,"Lễ",IF(IF(THAM_SO_CC!$B$12="T7+CN",WEEKDAY($D788,2)&gt;=6,WEEKDAY($D788,2)=7),"Nghỉ tuần","Ngày thường")))</f>
        <v/>
      </c>
      <c r="F788" s="107" t="n"/>
      <c r="G788" s="107" t="n"/>
      <c r="H788" s="107" t="n"/>
      <c r="I788" s="81" t="n"/>
      <c r="J788" s="108">
        <f>IF($B788="","",IF($E788="Ngày thường",N($G788),0))</f>
        <v/>
      </c>
      <c r="K788" s="108">
        <f>IF($B788="","",IF($E788="Nghỉ tuần",N($G788),0))</f>
        <v/>
      </c>
      <c r="L788" s="108">
        <f>IF($B788="","",IF($E788="Lễ",N($G788),0))</f>
        <v/>
      </c>
      <c r="M788" s="108">
        <f>IF($B788="","",IF($E788="Ngày thường",N($H788),0))</f>
        <v/>
      </c>
      <c r="N788" s="108">
        <f>IF($B788="","",IF($E788="Nghỉ tuần",N($H788),0))</f>
        <v/>
      </c>
      <c r="O788" s="108">
        <f>IF($B788="","",IF($E788="Lễ",N($H788),0))</f>
        <v/>
      </c>
    </row>
    <row r="789" ht="15" customHeight="1" s="63">
      <c r="A789" s="85">
        <f>IF($B789="","",ROW()-5)</f>
        <v/>
      </c>
      <c r="B789" s="97" t="n"/>
      <c r="C789" s="96">
        <f>IF($B789="","",IFERROR(INDEX(DM_NHAN_SU!$C$6:$C$155,MATCH($B789,DM_NHAN_SU!$B$6:$B$155,0)),"SAI MÃ NV"))</f>
        <v/>
      </c>
      <c r="D789" s="86" t="n"/>
      <c r="E789" s="103">
        <f>IF(OR($B789="",$D789=""),"",IF(COUNTIF(THAM_SO_CC!$F$10:$F$40,$D789)&gt;0,"Lễ",IF(IF(THAM_SO_CC!$B$12="T7+CN",WEEKDAY($D789,2)&gt;=6,WEEKDAY($D789,2)=7),"Nghỉ tuần","Ngày thường")))</f>
        <v/>
      </c>
      <c r="F789" s="107" t="n"/>
      <c r="G789" s="107" t="n"/>
      <c r="H789" s="107" t="n"/>
      <c r="I789" s="81" t="n"/>
      <c r="J789" s="108">
        <f>IF($B789="","",IF($E789="Ngày thường",N($G789),0))</f>
        <v/>
      </c>
      <c r="K789" s="108">
        <f>IF($B789="","",IF($E789="Nghỉ tuần",N($G789),0))</f>
        <v/>
      </c>
      <c r="L789" s="108">
        <f>IF($B789="","",IF($E789="Lễ",N($G789),0))</f>
        <v/>
      </c>
      <c r="M789" s="108">
        <f>IF($B789="","",IF($E789="Ngày thường",N($H789),0))</f>
        <v/>
      </c>
      <c r="N789" s="108">
        <f>IF($B789="","",IF($E789="Nghỉ tuần",N($H789),0))</f>
        <v/>
      </c>
      <c r="O789" s="108">
        <f>IF($B789="","",IF($E789="Lễ",N($H789),0))</f>
        <v/>
      </c>
    </row>
    <row r="790" ht="15" customHeight="1" s="63">
      <c r="A790" s="85">
        <f>IF($B790="","",ROW()-5)</f>
        <v/>
      </c>
      <c r="B790" s="97" t="n"/>
      <c r="C790" s="96">
        <f>IF($B790="","",IFERROR(INDEX(DM_NHAN_SU!$C$6:$C$155,MATCH($B790,DM_NHAN_SU!$B$6:$B$155,0)),"SAI MÃ NV"))</f>
        <v/>
      </c>
      <c r="D790" s="86" t="n"/>
      <c r="E790" s="103">
        <f>IF(OR($B790="",$D790=""),"",IF(COUNTIF(THAM_SO_CC!$F$10:$F$40,$D790)&gt;0,"Lễ",IF(IF(THAM_SO_CC!$B$12="T7+CN",WEEKDAY($D790,2)&gt;=6,WEEKDAY($D790,2)=7),"Nghỉ tuần","Ngày thường")))</f>
        <v/>
      </c>
      <c r="F790" s="107" t="n"/>
      <c r="G790" s="107" t="n"/>
      <c r="H790" s="107" t="n"/>
      <c r="I790" s="81" t="n"/>
      <c r="J790" s="108">
        <f>IF($B790="","",IF($E790="Ngày thường",N($G790),0))</f>
        <v/>
      </c>
      <c r="K790" s="108">
        <f>IF($B790="","",IF($E790="Nghỉ tuần",N($G790),0))</f>
        <v/>
      </c>
      <c r="L790" s="108">
        <f>IF($B790="","",IF($E790="Lễ",N($G790),0))</f>
        <v/>
      </c>
      <c r="M790" s="108">
        <f>IF($B790="","",IF($E790="Ngày thường",N($H790),0))</f>
        <v/>
      </c>
      <c r="N790" s="108">
        <f>IF($B790="","",IF($E790="Nghỉ tuần",N($H790),0))</f>
        <v/>
      </c>
      <c r="O790" s="108">
        <f>IF($B790="","",IF($E790="Lễ",N($H790),0))</f>
        <v/>
      </c>
    </row>
    <row r="791" ht="15" customHeight="1" s="63">
      <c r="A791" s="85">
        <f>IF($B791="","",ROW()-5)</f>
        <v/>
      </c>
      <c r="B791" s="97" t="n"/>
      <c r="C791" s="96">
        <f>IF($B791="","",IFERROR(INDEX(DM_NHAN_SU!$C$6:$C$155,MATCH($B791,DM_NHAN_SU!$B$6:$B$155,0)),"SAI MÃ NV"))</f>
        <v/>
      </c>
      <c r="D791" s="86" t="n"/>
      <c r="E791" s="103">
        <f>IF(OR($B791="",$D791=""),"",IF(COUNTIF(THAM_SO_CC!$F$10:$F$40,$D791)&gt;0,"Lễ",IF(IF(THAM_SO_CC!$B$12="T7+CN",WEEKDAY($D791,2)&gt;=6,WEEKDAY($D791,2)=7),"Nghỉ tuần","Ngày thường")))</f>
        <v/>
      </c>
      <c r="F791" s="107" t="n"/>
      <c r="G791" s="107" t="n"/>
      <c r="H791" s="107" t="n"/>
      <c r="I791" s="81" t="n"/>
      <c r="J791" s="108">
        <f>IF($B791="","",IF($E791="Ngày thường",N($G791),0))</f>
        <v/>
      </c>
      <c r="K791" s="108">
        <f>IF($B791="","",IF($E791="Nghỉ tuần",N($G791),0))</f>
        <v/>
      </c>
      <c r="L791" s="108">
        <f>IF($B791="","",IF($E791="Lễ",N($G791),0))</f>
        <v/>
      </c>
      <c r="M791" s="108">
        <f>IF($B791="","",IF($E791="Ngày thường",N($H791),0))</f>
        <v/>
      </c>
      <c r="N791" s="108">
        <f>IF($B791="","",IF($E791="Nghỉ tuần",N($H791),0))</f>
        <v/>
      </c>
      <c r="O791" s="108">
        <f>IF($B791="","",IF($E791="Lễ",N($H791),0))</f>
        <v/>
      </c>
    </row>
    <row r="792" ht="15" customHeight="1" s="63">
      <c r="A792" s="85">
        <f>IF($B792="","",ROW()-5)</f>
        <v/>
      </c>
      <c r="B792" s="97" t="n"/>
      <c r="C792" s="96">
        <f>IF($B792="","",IFERROR(INDEX(DM_NHAN_SU!$C$6:$C$155,MATCH($B792,DM_NHAN_SU!$B$6:$B$155,0)),"SAI MÃ NV"))</f>
        <v/>
      </c>
      <c r="D792" s="86" t="n"/>
      <c r="E792" s="103">
        <f>IF(OR($B792="",$D792=""),"",IF(COUNTIF(THAM_SO_CC!$F$10:$F$40,$D792)&gt;0,"Lễ",IF(IF(THAM_SO_CC!$B$12="T7+CN",WEEKDAY($D792,2)&gt;=6,WEEKDAY($D792,2)=7),"Nghỉ tuần","Ngày thường")))</f>
        <v/>
      </c>
      <c r="F792" s="107" t="n"/>
      <c r="G792" s="107" t="n"/>
      <c r="H792" s="107" t="n"/>
      <c r="I792" s="81" t="n"/>
      <c r="J792" s="108">
        <f>IF($B792="","",IF($E792="Ngày thường",N($G792),0))</f>
        <v/>
      </c>
      <c r="K792" s="108">
        <f>IF($B792="","",IF($E792="Nghỉ tuần",N($G792),0))</f>
        <v/>
      </c>
      <c r="L792" s="108">
        <f>IF($B792="","",IF($E792="Lễ",N($G792),0))</f>
        <v/>
      </c>
      <c r="M792" s="108">
        <f>IF($B792="","",IF($E792="Ngày thường",N($H792),0))</f>
        <v/>
      </c>
      <c r="N792" s="108">
        <f>IF($B792="","",IF($E792="Nghỉ tuần",N($H792),0))</f>
        <v/>
      </c>
      <c r="O792" s="108">
        <f>IF($B792="","",IF($E792="Lễ",N($H792),0))</f>
        <v/>
      </c>
    </row>
    <row r="793" ht="15" customHeight="1" s="63">
      <c r="A793" s="85">
        <f>IF($B793="","",ROW()-5)</f>
        <v/>
      </c>
      <c r="B793" s="97" t="n"/>
      <c r="C793" s="96">
        <f>IF($B793="","",IFERROR(INDEX(DM_NHAN_SU!$C$6:$C$155,MATCH($B793,DM_NHAN_SU!$B$6:$B$155,0)),"SAI MÃ NV"))</f>
        <v/>
      </c>
      <c r="D793" s="86" t="n"/>
      <c r="E793" s="103">
        <f>IF(OR($B793="",$D793=""),"",IF(COUNTIF(THAM_SO_CC!$F$10:$F$40,$D793)&gt;0,"Lễ",IF(IF(THAM_SO_CC!$B$12="T7+CN",WEEKDAY($D793,2)&gt;=6,WEEKDAY($D793,2)=7),"Nghỉ tuần","Ngày thường")))</f>
        <v/>
      </c>
      <c r="F793" s="107" t="n"/>
      <c r="G793" s="107" t="n"/>
      <c r="H793" s="107" t="n"/>
      <c r="I793" s="81" t="n"/>
      <c r="J793" s="108">
        <f>IF($B793="","",IF($E793="Ngày thường",N($G793),0))</f>
        <v/>
      </c>
      <c r="K793" s="108">
        <f>IF($B793="","",IF($E793="Nghỉ tuần",N($G793),0))</f>
        <v/>
      </c>
      <c r="L793" s="108">
        <f>IF($B793="","",IF($E793="Lễ",N($G793),0))</f>
        <v/>
      </c>
      <c r="M793" s="108">
        <f>IF($B793="","",IF($E793="Ngày thường",N($H793),0))</f>
        <v/>
      </c>
      <c r="N793" s="108">
        <f>IF($B793="","",IF($E793="Nghỉ tuần",N($H793),0))</f>
        <v/>
      </c>
      <c r="O793" s="108">
        <f>IF($B793="","",IF($E793="Lễ",N($H793),0))</f>
        <v/>
      </c>
    </row>
    <row r="794" ht="15" customHeight="1" s="63">
      <c r="A794" s="85">
        <f>IF($B794="","",ROW()-5)</f>
        <v/>
      </c>
      <c r="B794" s="97" t="n"/>
      <c r="C794" s="96">
        <f>IF($B794="","",IFERROR(INDEX(DM_NHAN_SU!$C$6:$C$155,MATCH($B794,DM_NHAN_SU!$B$6:$B$155,0)),"SAI MÃ NV"))</f>
        <v/>
      </c>
      <c r="D794" s="86" t="n"/>
      <c r="E794" s="103">
        <f>IF(OR($B794="",$D794=""),"",IF(COUNTIF(THAM_SO_CC!$F$10:$F$40,$D794)&gt;0,"Lễ",IF(IF(THAM_SO_CC!$B$12="T7+CN",WEEKDAY($D794,2)&gt;=6,WEEKDAY($D794,2)=7),"Nghỉ tuần","Ngày thường")))</f>
        <v/>
      </c>
      <c r="F794" s="107" t="n"/>
      <c r="G794" s="107" t="n"/>
      <c r="H794" s="107" t="n"/>
      <c r="I794" s="81" t="n"/>
      <c r="J794" s="108">
        <f>IF($B794="","",IF($E794="Ngày thường",N($G794),0))</f>
        <v/>
      </c>
      <c r="K794" s="108">
        <f>IF($B794="","",IF($E794="Nghỉ tuần",N($G794),0))</f>
        <v/>
      </c>
      <c r="L794" s="108">
        <f>IF($B794="","",IF($E794="Lễ",N($G794),0))</f>
        <v/>
      </c>
      <c r="M794" s="108">
        <f>IF($B794="","",IF($E794="Ngày thường",N($H794),0))</f>
        <v/>
      </c>
      <c r="N794" s="108">
        <f>IF($B794="","",IF($E794="Nghỉ tuần",N($H794),0))</f>
        <v/>
      </c>
      <c r="O794" s="108">
        <f>IF($B794="","",IF($E794="Lễ",N($H794),0))</f>
        <v/>
      </c>
    </row>
    <row r="795" ht="15" customHeight="1" s="63">
      <c r="A795" s="85">
        <f>IF($B795="","",ROW()-5)</f>
        <v/>
      </c>
      <c r="B795" s="97" t="n"/>
      <c r="C795" s="96">
        <f>IF($B795="","",IFERROR(INDEX(DM_NHAN_SU!$C$6:$C$155,MATCH($B795,DM_NHAN_SU!$B$6:$B$155,0)),"SAI MÃ NV"))</f>
        <v/>
      </c>
      <c r="D795" s="86" t="n"/>
      <c r="E795" s="103">
        <f>IF(OR($B795="",$D795=""),"",IF(COUNTIF(THAM_SO_CC!$F$10:$F$40,$D795)&gt;0,"Lễ",IF(IF(THAM_SO_CC!$B$12="T7+CN",WEEKDAY($D795,2)&gt;=6,WEEKDAY($D795,2)=7),"Nghỉ tuần","Ngày thường")))</f>
        <v/>
      </c>
      <c r="F795" s="107" t="n"/>
      <c r="G795" s="107" t="n"/>
      <c r="H795" s="107" t="n"/>
      <c r="I795" s="81" t="n"/>
      <c r="J795" s="108">
        <f>IF($B795="","",IF($E795="Ngày thường",N($G795),0))</f>
        <v/>
      </c>
      <c r="K795" s="108">
        <f>IF($B795="","",IF($E795="Nghỉ tuần",N($G795),0))</f>
        <v/>
      </c>
      <c r="L795" s="108">
        <f>IF($B795="","",IF($E795="Lễ",N($G795),0))</f>
        <v/>
      </c>
      <c r="M795" s="108">
        <f>IF($B795="","",IF($E795="Ngày thường",N($H795),0))</f>
        <v/>
      </c>
      <c r="N795" s="108">
        <f>IF($B795="","",IF($E795="Nghỉ tuần",N($H795),0))</f>
        <v/>
      </c>
      <c r="O795" s="108">
        <f>IF($B795="","",IF($E795="Lễ",N($H795),0))</f>
        <v/>
      </c>
    </row>
    <row r="796" ht="15" customHeight="1" s="63">
      <c r="A796" s="85">
        <f>IF($B796="","",ROW()-5)</f>
        <v/>
      </c>
      <c r="B796" s="97" t="n"/>
      <c r="C796" s="96">
        <f>IF($B796="","",IFERROR(INDEX(DM_NHAN_SU!$C$6:$C$155,MATCH($B796,DM_NHAN_SU!$B$6:$B$155,0)),"SAI MÃ NV"))</f>
        <v/>
      </c>
      <c r="D796" s="86" t="n"/>
      <c r="E796" s="103">
        <f>IF(OR($B796="",$D796=""),"",IF(COUNTIF(THAM_SO_CC!$F$10:$F$40,$D796)&gt;0,"Lễ",IF(IF(THAM_SO_CC!$B$12="T7+CN",WEEKDAY($D796,2)&gt;=6,WEEKDAY($D796,2)=7),"Nghỉ tuần","Ngày thường")))</f>
        <v/>
      </c>
      <c r="F796" s="107" t="n"/>
      <c r="G796" s="107" t="n"/>
      <c r="H796" s="107" t="n"/>
      <c r="I796" s="81" t="n"/>
      <c r="J796" s="108">
        <f>IF($B796="","",IF($E796="Ngày thường",N($G796),0))</f>
        <v/>
      </c>
      <c r="K796" s="108">
        <f>IF($B796="","",IF($E796="Nghỉ tuần",N($G796),0))</f>
        <v/>
      </c>
      <c r="L796" s="108">
        <f>IF($B796="","",IF($E796="Lễ",N($G796),0))</f>
        <v/>
      </c>
      <c r="M796" s="108">
        <f>IF($B796="","",IF($E796="Ngày thường",N($H796),0))</f>
        <v/>
      </c>
      <c r="N796" s="108">
        <f>IF($B796="","",IF($E796="Nghỉ tuần",N($H796),0))</f>
        <v/>
      </c>
      <c r="O796" s="108">
        <f>IF($B796="","",IF($E796="Lễ",N($H796),0))</f>
        <v/>
      </c>
    </row>
    <row r="797" ht="15" customHeight="1" s="63">
      <c r="A797" s="85">
        <f>IF($B797="","",ROW()-5)</f>
        <v/>
      </c>
      <c r="B797" s="97" t="n"/>
      <c r="C797" s="96">
        <f>IF($B797="","",IFERROR(INDEX(DM_NHAN_SU!$C$6:$C$155,MATCH($B797,DM_NHAN_SU!$B$6:$B$155,0)),"SAI MÃ NV"))</f>
        <v/>
      </c>
      <c r="D797" s="86" t="n"/>
      <c r="E797" s="103">
        <f>IF(OR($B797="",$D797=""),"",IF(COUNTIF(THAM_SO_CC!$F$10:$F$40,$D797)&gt;0,"Lễ",IF(IF(THAM_SO_CC!$B$12="T7+CN",WEEKDAY($D797,2)&gt;=6,WEEKDAY($D797,2)=7),"Nghỉ tuần","Ngày thường")))</f>
        <v/>
      </c>
      <c r="F797" s="107" t="n"/>
      <c r="G797" s="107" t="n"/>
      <c r="H797" s="107" t="n"/>
      <c r="I797" s="81" t="n"/>
      <c r="J797" s="108">
        <f>IF($B797="","",IF($E797="Ngày thường",N($G797),0))</f>
        <v/>
      </c>
      <c r="K797" s="108">
        <f>IF($B797="","",IF($E797="Nghỉ tuần",N($G797),0))</f>
        <v/>
      </c>
      <c r="L797" s="108">
        <f>IF($B797="","",IF($E797="Lễ",N($G797),0))</f>
        <v/>
      </c>
      <c r="M797" s="108">
        <f>IF($B797="","",IF($E797="Ngày thường",N($H797),0))</f>
        <v/>
      </c>
      <c r="N797" s="108">
        <f>IF($B797="","",IF($E797="Nghỉ tuần",N($H797),0))</f>
        <v/>
      </c>
      <c r="O797" s="108">
        <f>IF($B797="","",IF($E797="Lễ",N($H797),0))</f>
        <v/>
      </c>
    </row>
    <row r="798" ht="15" customHeight="1" s="63">
      <c r="A798" s="85">
        <f>IF($B798="","",ROW()-5)</f>
        <v/>
      </c>
      <c r="B798" s="97" t="n"/>
      <c r="C798" s="96">
        <f>IF($B798="","",IFERROR(INDEX(DM_NHAN_SU!$C$6:$C$155,MATCH($B798,DM_NHAN_SU!$B$6:$B$155,0)),"SAI MÃ NV"))</f>
        <v/>
      </c>
      <c r="D798" s="86" t="n"/>
      <c r="E798" s="103">
        <f>IF(OR($B798="",$D798=""),"",IF(COUNTIF(THAM_SO_CC!$F$10:$F$40,$D798)&gt;0,"Lễ",IF(IF(THAM_SO_CC!$B$12="T7+CN",WEEKDAY($D798,2)&gt;=6,WEEKDAY($D798,2)=7),"Nghỉ tuần","Ngày thường")))</f>
        <v/>
      </c>
      <c r="F798" s="107" t="n"/>
      <c r="G798" s="107" t="n"/>
      <c r="H798" s="107" t="n"/>
      <c r="I798" s="81" t="n"/>
      <c r="J798" s="108">
        <f>IF($B798="","",IF($E798="Ngày thường",N($G798),0))</f>
        <v/>
      </c>
      <c r="K798" s="108">
        <f>IF($B798="","",IF($E798="Nghỉ tuần",N($G798),0))</f>
        <v/>
      </c>
      <c r="L798" s="108">
        <f>IF($B798="","",IF($E798="Lễ",N($G798),0))</f>
        <v/>
      </c>
      <c r="M798" s="108">
        <f>IF($B798="","",IF($E798="Ngày thường",N($H798),0))</f>
        <v/>
      </c>
      <c r="N798" s="108">
        <f>IF($B798="","",IF($E798="Nghỉ tuần",N($H798),0))</f>
        <v/>
      </c>
      <c r="O798" s="108">
        <f>IF($B798="","",IF($E798="Lễ",N($H798),0))</f>
        <v/>
      </c>
    </row>
    <row r="799" ht="15" customHeight="1" s="63">
      <c r="A799" s="85">
        <f>IF($B799="","",ROW()-5)</f>
        <v/>
      </c>
      <c r="B799" s="97" t="n"/>
      <c r="C799" s="96">
        <f>IF($B799="","",IFERROR(INDEX(DM_NHAN_SU!$C$6:$C$155,MATCH($B799,DM_NHAN_SU!$B$6:$B$155,0)),"SAI MÃ NV"))</f>
        <v/>
      </c>
      <c r="D799" s="86" t="n"/>
      <c r="E799" s="103">
        <f>IF(OR($B799="",$D799=""),"",IF(COUNTIF(THAM_SO_CC!$F$10:$F$40,$D799)&gt;0,"Lễ",IF(IF(THAM_SO_CC!$B$12="T7+CN",WEEKDAY($D799,2)&gt;=6,WEEKDAY($D799,2)=7),"Nghỉ tuần","Ngày thường")))</f>
        <v/>
      </c>
      <c r="F799" s="107" t="n"/>
      <c r="G799" s="107" t="n"/>
      <c r="H799" s="107" t="n"/>
      <c r="I799" s="81" t="n"/>
      <c r="J799" s="108">
        <f>IF($B799="","",IF($E799="Ngày thường",N($G799),0))</f>
        <v/>
      </c>
      <c r="K799" s="108">
        <f>IF($B799="","",IF($E799="Nghỉ tuần",N($G799),0))</f>
        <v/>
      </c>
      <c r="L799" s="108">
        <f>IF($B799="","",IF($E799="Lễ",N($G799),0))</f>
        <v/>
      </c>
      <c r="M799" s="108">
        <f>IF($B799="","",IF($E799="Ngày thường",N($H799),0))</f>
        <v/>
      </c>
      <c r="N799" s="108">
        <f>IF($B799="","",IF($E799="Nghỉ tuần",N($H799),0))</f>
        <v/>
      </c>
      <c r="O799" s="108">
        <f>IF($B799="","",IF($E799="Lễ",N($H799),0))</f>
        <v/>
      </c>
    </row>
    <row r="800" ht="15" customHeight="1" s="63">
      <c r="A800" s="85">
        <f>IF($B800="","",ROW()-5)</f>
        <v/>
      </c>
      <c r="B800" s="97" t="n"/>
      <c r="C800" s="96">
        <f>IF($B800="","",IFERROR(INDEX(DM_NHAN_SU!$C$6:$C$155,MATCH($B800,DM_NHAN_SU!$B$6:$B$155,0)),"SAI MÃ NV"))</f>
        <v/>
      </c>
      <c r="D800" s="86" t="n"/>
      <c r="E800" s="103">
        <f>IF(OR($B800="",$D800=""),"",IF(COUNTIF(THAM_SO_CC!$F$10:$F$40,$D800)&gt;0,"Lễ",IF(IF(THAM_SO_CC!$B$12="T7+CN",WEEKDAY($D800,2)&gt;=6,WEEKDAY($D800,2)=7),"Nghỉ tuần","Ngày thường")))</f>
        <v/>
      </c>
      <c r="F800" s="107" t="n"/>
      <c r="G800" s="107" t="n"/>
      <c r="H800" s="107" t="n"/>
      <c r="I800" s="81" t="n"/>
      <c r="J800" s="108">
        <f>IF($B800="","",IF($E800="Ngày thường",N($G800),0))</f>
        <v/>
      </c>
      <c r="K800" s="108">
        <f>IF($B800="","",IF($E800="Nghỉ tuần",N($G800),0))</f>
        <v/>
      </c>
      <c r="L800" s="108">
        <f>IF($B800="","",IF($E800="Lễ",N($G800),0))</f>
        <v/>
      </c>
      <c r="M800" s="108">
        <f>IF($B800="","",IF($E800="Ngày thường",N($H800),0))</f>
        <v/>
      </c>
      <c r="N800" s="108">
        <f>IF($B800="","",IF($E800="Nghỉ tuần",N($H800),0))</f>
        <v/>
      </c>
      <c r="O800" s="108">
        <f>IF($B800="","",IF($E800="Lễ",N($H800),0))</f>
        <v/>
      </c>
    </row>
    <row r="801" ht="15" customHeight="1" s="63">
      <c r="A801" s="85">
        <f>IF($B801="","",ROW()-5)</f>
        <v/>
      </c>
      <c r="B801" s="97" t="n"/>
      <c r="C801" s="96">
        <f>IF($B801="","",IFERROR(INDEX(DM_NHAN_SU!$C$6:$C$155,MATCH($B801,DM_NHAN_SU!$B$6:$B$155,0)),"SAI MÃ NV"))</f>
        <v/>
      </c>
      <c r="D801" s="86" t="n"/>
      <c r="E801" s="103">
        <f>IF(OR($B801="",$D801=""),"",IF(COUNTIF(THAM_SO_CC!$F$10:$F$40,$D801)&gt;0,"Lễ",IF(IF(THAM_SO_CC!$B$12="T7+CN",WEEKDAY($D801,2)&gt;=6,WEEKDAY($D801,2)=7),"Nghỉ tuần","Ngày thường")))</f>
        <v/>
      </c>
      <c r="F801" s="107" t="n"/>
      <c r="G801" s="107" t="n"/>
      <c r="H801" s="107" t="n"/>
      <c r="I801" s="81" t="n"/>
      <c r="J801" s="108">
        <f>IF($B801="","",IF($E801="Ngày thường",N($G801),0))</f>
        <v/>
      </c>
      <c r="K801" s="108">
        <f>IF($B801="","",IF($E801="Nghỉ tuần",N($G801),0))</f>
        <v/>
      </c>
      <c r="L801" s="108">
        <f>IF($B801="","",IF($E801="Lễ",N($G801),0))</f>
        <v/>
      </c>
      <c r="M801" s="108">
        <f>IF($B801="","",IF($E801="Ngày thường",N($H801),0))</f>
        <v/>
      </c>
      <c r="N801" s="108">
        <f>IF($B801="","",IF($E801="Nghỉ tuần",N($H801),0))</f>
        <v/>
      </c>
      <c r="O801" s="108">
        <f>IF($B801="","",IF($E801="Lễ",N($H801),0))</f>
        <v/>
      </c>
    </row>
    <row r="802" ht="15" customHeight="1" s="63">
      <c r="A802" s="85">
        <f>IF($B802="","",ROW()-5)</f>
        <v/>
      </c>
      <c r="B802" s="97" t="n"/>
      <c r="C802" s="96">
        <f>IF($B802="","",IFERROR(INDEX(DM_NHAN_SU!$C$6:$C$155,MATCH($B802,DM_NHAN_SU!$B$6:$B$155,0)),"SAI MÃ NV"))</f>
        <v/>
      </c>
      <c r="D802" s="86" t="n"/>
      <c r="E802" s="103">
        <f>IF(OR($B802="",$D802=""),"",IF(COUNTIF(THAM_SO_CC!$F$10:$F$40,$D802)&gt;0,"Lễ",IF(IF(THAM_SO_CC!$B$12="T7+CN",WEEKDAY($D802,2)&gt;=6,WEEKDAY($D802,2)=7),"Nghỉ tuần","Ngày thường")))</f>
        <v/>
      </c>
      <c r="F802" s="107" t="n"/>
      <c r="G802" s="107" t="n"/>
      <c r="H802" s="107" t="n"/>
      <c r="I802" s="81" t="n"/>
      <c r="J802" s="108">
        <f>IF($B802="","",IF($E802="Ngày thường",N($G802),0))</f>
        <v/>
      </c>
      <c r="K802" s="108">
        <f>IF($B802="","",IF($E802="Nghỉ tuần",N($G802),0))</f>
        <v/>
      </c>
      <c r="L802" s="108">
        <f>IF($B802="","",IF($E802="Lễ",N($G802),0))</f>
        <v/>
      </c>
      <c r="M802" s="108">
        <f>IF($B802="","",IF($E802="Ngày thường",N($H802),0))</f>
        <v/>
      </c>
      <c r="N802" s="108">
        <f>IF($B802="","",IF($E802="Nghỉ tuần",N($H802),0))</f>
        <v/>
      </c>
      <c r="O802" s="108">
        <f>IF($B802="","",IF($E802="Lễ",N($H802),0))</f>
        <v/>
      </c>
    </row>
    <row r="803" ht="15" customHeight="1" s="63">
      <c r="A803" s="85">
        <f>IF($B803="","",ROW()-5)</f>
        <v/>
      </c>
      <c r="B803" s="97" t="n"/>
      <c r="C803" s="96">
        <f>IF($B803="","",IFERROR(INDEX(DM_NHAN_SU!$C$6:$C$155,MATCH($B803,DM_NHAN_SU!$B$6:$B$155,0)),"SAI MÃ NV"))</f>
        <v/>
      </c>
      <c r="D803" s="86" t="n"/>
      <c r="E803" s="103">
        <f>IF(OR($B803="",$D803=""),"",IF(COUNTIF(THAM_SO_CC!$F$10:$F$40,$D803)&gt;0,"Lễ",IF(IF(THAM_SO_CC!$B$12="T7+CN",WEEKDAY($D803,2)&gt;=6,WEEKDAY($D803,2)=7),"Nghỉ tuần","Ngày thường")))</f>
        <v/>
      </c>
      <c r="F803" s="107" t="n"/>
      <c r="G803" s="107" t="n"/>
      <c r="H803" s="107" t="n"/>
      <c r="I803" s="81" t="n"/>
      <c r="J803" s="108">
        <f>IF($B803="","",IF($E803="Ngày thường",N($G803),0))</f>
        <v/>
      </c>
      <c r="K803" s="108">
        <f>IF($B803="","",IF($E803="Nghỉ tuần",N($G803),0))</f>
        <v/>
      </c>
      <c r="L803" s="108">
        <f>IF($B803="","",IF($E803="Lễ",N($G803),0))</f>
        <v/>
      </c>
      <c r="M803" s="108">
        <f>IF($B803="","",IF($E803="Ngày thường",N($H803),0))</f>
        <v/>
      </c>
      <c r="N803" s="108">
        <f>IF($B803="","",IF($E803="Nghỉ tuần",N($H803),0))</f>
        <v/>
      </c>
      <c r="O803" s="108">
        <f>IF($B803="","",IF($E803="Lễ",N($H803),0))</f>
        <v/>
      </c>
    </row>
    <row r="804" ht="15" customHeight="1" s="63">
      <c r="A804" s="85">
        <f>IF($B804="","",ROW()-5)</f>
        <v/>
      </c>
      <c r="B804" s="97" t="n"/>
      <c r="C804" s="96">
        <f>IF($B804="","",IFERROR(INDEX(DM_NHAN_SU!$C$6:$C$155,MATCH($B804,DM_NHAN_SU!$B$6:$B$155,0)),"SAI MÃ NV"))</f>
        <v/>
      </c>
      <c r="D804" s="86" t="n"/>
      <c r="E804" s="103">
        <f>IF(OR($B804="",$D804=""),"",IF(COUNTIF(THAM_SO_CC!$F$10:$F$40,$D804)&gt;0,"Lễ",IF(IF(THAM_SO_CC!$B$12="T7+CN",WEEKDAY($D804,2)&gt;=6,WEEKDAY($D804,2)=7),"Nghỉ tuần","Ngày thường")))</f>
        <v/>
      </c>
      <c r="F804" s="107" t="n"/>
      <c r="G804" s="107" t="n"/>
      <c r="H804" s="107" t="n"/>
      <c r="I804" s="81" t="n"/>
      <c r="J804" s="108">
        <f>IF($B804="","",IF($E804="Ngày thường",N($G804),0))</f>
        <v/>
      </c>
      <c r="K804" s="108">
        <f>IF($B804="","",IF($E804="Nghỉ tuần",N($G804),0))</f>
        <v/>
      </c>
      <c r="L804" s="108">
        <f>IF($B804="","",IF($E804="Lễ",N($G804),0))</f>
        <v/>
      </c>
      <c r="M804" s="108">
        <f>IF($B804="","",IF($E804="Ngày thường",N($H804),0))</f>
        <v/>
      </c>
      <c r="N804" s="108">
        <f>IF($B804="","",IF($E804="Nghỉ tuần",N($H804),0))</f>
        <v/>
      </c>
      <c r="O804" s="108">
        <f>IF($B804="","",IF($E804="Lễ",N($H804),0))</f>
        <v/>
      </c>
    </row>
    <row r="805" ht="15" customHeight="1" s="63">
      <c r="A805" s="85">
        <f>IF($B805="","",ROW()-5)</f>
        <v/>
      </c>
      <c r="B805" s="97" t="n"/>
      <c r="C805" s="96">
        <f>IF($B805="","",IFERROR(INDEX(DM_NHAN_SU!$C$6:$C$155,MATCH($B805,DM_NHAN_SU!$B$6:$B$155,0)),"SAI MÃ NV"))</f>
        <v/>
      </c>
      <c r="D805" s="86" t="n"/>
      <c r="E805" s="103">
        <f>IF(OR($B805="",$D805=""),"",IF(COUNTIF(THAM_SO_CC!$F$10:$F$40,$D805)&gt;0,"Lễ",IF(IF(THAM_SO_CC!$B$12="T7+CN",WEEKDAY($D805,2)&gt;=6,WEEKDAY($D805,2)=7),"Nghỉ tuần","Ngày thường")))</f>
        <v/>
      </c>
      <c r="F805" s="107" t="n"/>
      <c r="G805" s="107" t="n"/>
      <c r="H805" s="107" t="n"/>
      <c r="I805" s="81" t="n"/>
      <c r="J805" s="108">
        <f>IF($B805="","",IF($E805="Ngày thường",N($G805),0))</f>
        <v/>
      </c>
      <c r="K805" s="108">
        <f>IF($B805="","",IF($E805="Nghỉ tuần",N($G805),0))</f>
        <v/>
      </c>
      <c r="L805" s="108">
        <f>IF($B805="","",IF($E805="Lễ",N($G805),0))</f>
        <v/>
      </c>
      <c r="M805" s="108">
        <f>IF($B805="","",IF($E805="Ngày thường",N($H805),0))</f>
        <v/>
      </c>
      <c r="N805" s="108">
        <f>IF($B805="","",IF($E805="Nghỉ tuần",N($H805),0))</f>
        <v/>
      </c>
      <c r="O805" s="108">
        <f>IF($B805="","",IF($E805="Lễ",N($H805),0))</f>
        <v/>
      </c>
    </row>
    <row r="806" ht="15" customHeight="1" s="63">
      <c r="A806" s="85">
        <f>IF($B806="","",ROW()-5)</f>
        <v/>
      </c>
      <c r="B806" s="97" t="n"/>
      <c r="C806" s="96">
        <f>IF($B806="","",IFERROR(INDEX(DM_NHAN_SU!$C$6:$C$155,MATCH($B806,DM_NHAN_SU!$B$6:$B$155,0)),"SAI MÃ NV"))</f>
        <v/>
      </c>
      <c r="D806" s="86" t="n"/>
      <c r="E806" s="103">
        <f>IF(OR($B806="",$D806=""),"",IF(COUNTIF(THAM_SO_CC!$F$10:$F$40,$D806)&gt;0,"Lễ",IF(IF(THAM_SO_CC!$B$12="T7+CN",WEEKDAY($D806,2)&gt;=6,WEEKDAY($D806,2)=7),"Nghỉ tuần","Ngày thường")))</f>
        <v/>
      </c>
      <c r="F806" s="107" t="n"/>
      <c r="G806" s="107" t="n"/>
      <c r="H806" s="107" t="n"/>
      <c r="I806" s="81" t="n"/>
      <c r="J806" s="108">
        <f>IF($B806="","",IF($E806="Ngày thường",N($G806),0))</f>
        <v/>
      </c>
      <c r="K806" s="108">
        <f>IF($B806="","",IF($E806="Nghỉ tuần",N($G806),0))</f>
        <v/>
      </c>
      <c r="L806" s="108">
        <f>IF($B806="","",IF($E806="Lễ",N($G806),0))</f>
        <v/>
      </c>
      <c r="M806" s="108">
        <f>IF($B806="","",IF($E806="Ngày thường",N($H806),0))</f>
        <v/>
      </c>
      <c r="N806" s="108">
        <f>IF($B806="","",IF($E806="Nghỉ tuần",N($H806),0))</f>
        <v/>
      </c>
      <c r="O806" s="108">
        <f>IF($B806="","",IF($E806="Lễ",N($H806),0))</f>
        <v/>
      </c>
    </row>
    <row r="807" ht="15" customHeight="1" s="63">
      <c r="A807" s="85">
        <f>IF($B807="","",ROW()-5)</f>
        <v/>
      </c>
      <c r="B807" s="97" t="n"/>
      <c r="C807" s="96">
        <f>IF($B807="","",IFERROR(INDEX(DM_NHAN_SU!$C$6:$C$155,MATCH($B807,DM_NHAN_SU!$B$6:$B$155,0)),"SAI MÃ NV"))</f>
        <v/>
      </c>
      <c r="D807" s="86" t="n"/>
      <c r="E807" s="103">
        <f>IF(OR($B807="",$D807=""),"",IF(COUNTIF(THAM_SO_CC!$F$10:$F$40,$D807)&gt;0,"Lễ",IF(IF(THAM_SO_CC!$B$12="T7+CN",WEEKDAY($D807,2)&gt;=6,WEEKDAY($D807,2)=7),"Nghỉ tuần","Ngày thường")))</f>
        <v/>
      </c>
      <c r="F807" s="107" t="n"/>
      <c r="G807" s="107" t="n"/>
      <c r="H807" s="107" t="n"/>
      <c r="I807" s="81" t="n"/>
      <c r="J807" s="108">
        <f>IF($B807="","",IF($E807="Ngày thường",N($G807),0))</f>
        <v/>
      </c>
      <c r="K807" s="108">
        <f>IF($B807="","",IF($E807="Nghỉ tuần",N($G807),0))</f>
        <v/>
      </c>
      <c r="L807" s="108">
        <f>IF($B807="","",IF($E807="Lễ",N($G807),0))</f>
        <v/>
      </c>
      <c r="M807" s="108">
        <f>IF($B807="","",IF($E807="Ngày thường",N($H807),0))</f>
        <v/>
      </c>
      <c r="N807" s="108">
        <f>IF($B807="","",IF($E807="Nghỉ tuần",N($H807),0))</f>
        <v/>
      </c>
      <c r="O807" s="108">
        <f>IF($B807="","",IF($E807="Lễ",N($H807),0))</f>
        <v/>
      </c>
    </row>
    <row r="808" ht="15" customHeight="1" s="63">
      <c r="A808" s="85">
        <f>IF($B808="","",ROW()-5)</f>
        <v/>
      </c>
      <c r="B808" s="97" t="n"/>
      <c r="C808" s="96">
        <f>IF($B808="","",IFERROR(INDEX(DM_NHAN_SU!$C$6:$C$155,MATCH($B808,DM_NHAN_SU!$B$6:$B$155,0)),"SAI MÃ NV"))</f>
        <v/>
      </c>
      <c r="D808" s="86" t="n"/>
      <c r="E808" s="103">
        <f>IF(OR($B808="",$D808=""),"",IF(COUNTIF(THAM_SO_CC!$F$10:$F$40,$D808)&gt;0,"Lễ",IF(IF(THAM_SO_CC!$B$12="T7+CN",WEEKDAY($D808,2)&gt;=6,WEEKDAY($D808,2)=7),"Nghỉ tuần","Ngày thường")))</f>
        <v/>
      </c>
      <c r="F808" s="107" t="n"/>
      <c r="G808" s="107" t="n"/>
      <c r="H808" s="107" t="n"/>
      <c r="I808" s="81" t="n"/>
      <c r="J808" s="108">
        <f>IF($B808="","",IF($E808="Ngày thường",N($G808),0))</f>
        <v/>
      </c>
      <c r="K808" s="108">
        <f>IF($B808="","",IF($E808="Nghỉ tuần",N($G808),0))</f>
        <v/>
      </c>
      <c r="L808" s="108">
        <f>IF($B808="","",IF($E808="Lễ",N($G808),0))</f>
        <v/>
      </c>
      <c r="M808" s="108">
        <f>IF($B808="","",IF($E808="Ngày thường",N($H808),0))</f>
        <v/>
      </c>
      <c r="N808" s="108">
        <f>IF($B808="","",IF($E808="Nghỉ tuần",N($H808),0))</f>
        <v/>
      </c>
      <c r="O808" s="108">
        <f>IF($B808="","",IF($E808="Lễ",N($H808),0))</f>
        <v/>
      </c>
    </row>
    <row r="809" ht="15" customHeight="1" s="63">
      <c r="A809" s="85">
        <f>IF($B809="","",ROW()-5)</f>
        <v/>
      </c>
      <c r="B809" s="97" t="n"/>
      <c r="C809" s="96">
        <f>IF($B809="","",IFERROR(INDEX(DM_NHAN_SU!$C$6:$C$155,MATCH($B809,DM_NHAN_SU!$B$6:$B$155,0)),"SAI MÃ NV"))</f>
        <v/>
      </c>
      <c r="D809" s="86" t="n"/>
      <c r="E809" s="103">
        <f>IF(OR($B809="",$D809=""),"",IF(COUNTIF(THAM_SO_CC!$F$10:$F$40,$D809)&gt;0,"Lễ",IF(IF(THAM_SO_CC!$B$12="T7+CN",WEEKDAY($D809,2)&gt;=6,WEEKDAY($D809,2)=7),"Nghỉ tuần","Ngày thường")))</f>
        <v/>
      </c>
      <c r="F809" s="107" t="n"/>
      <c r="G809" s="107" t="n"/>
      <c r="H809" s="107" t="n"/>
      <c r="I809" s="81" t="n"/>
      <c r="J809" s="108">
        <f>IF($B809="","",IF($E809="Ngày thường",N($G809),0))</f>
        <v/>
      </c>
      <c r="K809" s="108">
        <f>IF($B809="","",IF($E809="Nghỉ tuần",N($G809),0))</f>
        <v/>
      </c>
      <c r="L809" s="108">
        <f>IF($B809="","",IF($E809="Lễ",N($G809),0))</f>
        <v/>
      </c>
      <c r="M809" s="108">
        <f>IF($B809="","",IF($E809="Ngày thường",N($H809),0))</f>
        <v/>
      </c>
      <c r="N809" s="108">
        <f>IF($B809="","",IF($E809="Nghỉ tuần",N($H809),0))</f>
        <v/>
      </c>
      <c r="O809" s="108">
        <f>IF($B809="","",IF($E809="Lễ",N($H809),0))</f>
        <v/>
      </c>
    </row>
    <row r="810" ht="15" customHeight="1" s="63">
      <c r="A810" s="85">
        <f>IF($B810="","",ROW()-5)</f>
        <v/>
      </c>
      <c r="B810" s="97" t="n"/>
      <c r="C810" s="96">
        <f>IF($B810="","",IFERROR(INDEX(DM_NHAN_SU!$C$6:$C$155,MATCH($B810,DM_NHAN_SU!$B$6:$B$155,0)),"SAI MÃ NV"))</f>
        <v/>
      </c>
      <c r="D810" s="86" t="n"/>
      <c r="E810" s="103">
        <f>IF(OR($B810="",$D810=""),"",IF(COUNTIF(THAM_SO_CC!$F$10:$F$40,$D810)&gt;0,"Lễ",IF(IF(THAM_SO_CC!$B$12="T7+CN",WEEKDAY($D810,2)&gt;=6,WEEKDAY($D810,2)=7),"Nghỉ tuần","Ngày thường")))</f>
        <v/>
      </c>
      <c r="F810" s="107" t="n"/>
      <c r="G810" s="107" t="n"/>
      <c r="H810" s="107" t="n"/>
      <c r="I810" s="81" t="n"/>
      <c r="J810" s="108">
        <f>IF($B810="","",IF($E810="Ngày thường",N($G810),0))</f>
        <v/>
      </c>
      <c r="K810" s="108">
        <f>IF($B810="","",IF($E810="Nghỉ tuần",N($G810),0))</f>
        <v/>
      </c>
      <c r="L810" s="108">
        <f>IF($B810="","",IF($E810="Lễ",N($G810),0))</f>
        <v/>
      </c>
      <c r="M810" s="108">
        <f>IF($B810="","",IF($E810="Ngày thường",N($H810),0))</f>
        <v/>
      </c>
      <c r="N810" s="108">
        <f>IF($B810="","",IF($E810="Nghỉ tuần",N($H810),0))</f>
        <v/>
      </c>
      <c r="O810" s="108">
        <f>IF($B810="","",IF($E810="Lễ",N($H810),0))</f>
        <v/>
      </c>
    </row>
    <row r="811" ht="15" customHeight="1" s="63">
      <c r="A811" s="85">
        <f>IF($B811="","",ROW()-5)</f>
        <v/>
      </c>
      <c r="B811" s="97" t="n"/>
      <c r="C811" s="96">
        <f>IF($B811="","",IFERROR(INDEX(DM_NHAN_SU!$C$6:$C$155,MATCH($B811,DM_NHAN_SU!$B$6:$B$155,0)),"SAI MÃ NV"))</f>
        <v/>
      </c>
      <c r="D811" s="86" t="n"/>
      <c r="E811" s="103">
        <f>IF(OR($B811="",$D811=""),"",IF(COUNTIF(THAM_SO_CC!$F$10:$F$40,$D811)&gt;0,"Lễ",IF(IF(THAM_SO_CC!$B$12="T7+CN",WEEKDAY($D811,2)&gt;=6,WEEKDAY($D811,2)=7),"Nghỉ tuần","Ngày thường")))</f>
        <v/>
      </c>
      <c r="F811" s="107" t="n"/>
      <c r="G811" s="107" t="n"/>
      <c r="H811" s="107" t="n"/>
      <c r="I811" s="81" t="n"/>
      <c r="J811" s="108">
        <f>IF($B811="","",IF($E811="Ngày thường",N($G811),0))</f>
        <v/>
      </c>
      <c r="K811" s="108">
        <f>IF($B811="","",IF($E811="Nghỉ tuần",N($G811),0))</f>
        <v/>
      </c>
      <c r="L811" s="108">
        <f>IF($B811="","",IF($E811="Lễ",N($G811),0))</f>
        <v/>
      </c>
      <c r="M811" s="108">
        <f>IF($B811="","",IF($E811="Ngày thường",N($H811),0))</f>
        <v/>
      </c>
      <c r="N811" s="108">
        <f>IF($B811="","",IF($E811="Nghỉ tuần",N($H811),0))</f>
        <v/>
      </c>
      <c r="O811" s="108">
        <f>IF($B811="","",IF($E811="Lễ",N($H811),0))</f>
        <v/>
      </c>
    </row>
    <row r="812" ht="15" customHeight="1" s="63">
      <c r="A812" s="85">
        <f>IF($B812="","",ROW()-5)</f>
        <v/>
      </c>
      <c r="B812" s="97" t="n"/>
      <c r="C812" s="96">
        <f>IF($B812="","",IFERROR(INDEX(DM_NHAN_SU!$C$6:$C$155,MATCH($B812,DM_NHAN_SU!$B$6:$B$155,0)),"SAI MÃ NV"))</f>
        <v/>
      </c>
      <c r="D812" s="86" t="n"/>
      <c r="E812" s="103">
        <f>IF(OR($B812="",$D812=""),"",IF(COUNTIF(THAM_SO_CC!$F$10:$F$40,$D812)&gt;0,"Lễ",IF(IF(THAM_SO_CC!$B$12="T7+CN",WEEKDAY($D812,2)&gt;=6,WEEKDAY($D812,2)=7),"Nghỉ tuần","Ngày thường")))</f>
        <v/>
      </c>
      <c r="F812" s="107" t="n"/>
      <c r="G812" s="107" t="n"/>
      <c r="H812" s="107" t="n"/>
      <c r="I812" s="81" t="n"/>
      <c r="J812" s="108">
        <f>IF($B812="","",IF($E812="Ngày thường",N($G812),0))</f>
        <v/>
      </c>
      <c r="K812" s="108">
        <f>IF($B812="","",IF($E812="Nghỉ tuần",N($G812),0))</f>
        <v/>
      </c>
      <c r="L812" s="108">
        <f>IF($B812="","",IF($E812="Lễ",N($G812),0))</f>
        <v/>
      </c>
      <c r="M812" s="108">
        <f>IF($B812="","",IF($E812="Ngày thường",N($H812),0))</f>
        <v/>
      </c>
      <c r="N812" s="108">
        <f>IF($B812="","",IF($E812="Nghỉ tuần",N($H812),0))</f>
        <v/>
      </c>
      <c r="O812" s="108">
        <f>IF($B812="","",IF($E812="Lễ",N($H812),0))</f>
        <v/>
      </c>
    </row>
    <row r="813" ht="15" customHeight="1" s="63">
      <c r="A813" s="85">
        <f>IF($B813="","",ROW()-5)</f>
        <v/>
      </c>
      <c r="B813" s="97" t="n"/>
      <c r="C813" s="96">
        <f>IF($B813="","",IFERROR(INDEX(DM_NHAN_SU!$C$6:$C$155,MATCH($B813,DM_NHAN_SU!$B$6:$B$155,0)),"SAI MÃ NV"))</f>
        <v/>
      </c>
      <c r="D813" s="86" t="n"/>
      <c r="E813" s="103">
        <f>IF(OR($B813="",$D813=""),"",IF(COUNTIF(THAM_SO_CC!$F$10:$F$40,$D813)&gt;0,"Lễ",IF(IF(THAM_SO_CC!$B$12="T7+CN",WEEKDAY($D813,2)&gt;=6,WEEKDAY($D813,2)=7),"Nghỉ tuần","Ngày thường")))</f>
        <v/>
      </c>
      <c r="F813" s="107" t="n"/>
      <c r="G813" s="107" t="n"/>
      <c r="H813" s="107" t="n"/>
      <c r="I813" s="81" t="n"/>
      <c r="J813" s="108">
        <f>IF($B813="","",IF($E813="Ngày thường",N($G813),0))</f>
        <v/>
      </c>
      <c r="K813" s="108">
        <f>IF($B813="","",IF($E813="Nghỉ tuần",N($G813),0))</f>
        <v/>
      </c>
      <c r="L813" s="108">
        <f>IF($B813="","",IF($E813="Lễ",N($G813),0))</f>
        <v/>
      </c>
      <c r="M813" s="108">
        <f>IF($B813="","",IF($E813="Ngày thường",N($H813),0))</f>
        <v/>
      </c>
      <c r="N813" s="108">
        <f>IF($B813="","",IF($E813="Nghỉ tuần",N($H813),0))</f>
        <v/>
      </c>
      <c r="O813" s="108">
        <f>IF($B813="","",IF($E813="Lễ",N($H813),0))</f>
        <v/>
      </c>
    </row>
    <row r="814" ht="15" customHeight="1" s="63">
      <c r="A814" s="85">
        <f>IF($B814="","",ROW()-5)</f>
        <v/>
      </c>
      <c r="B814" s="97" t="n"/>
      <c r="C814" s="96">
        <f>IF($B814="","",IFERROR(INDEX(DM_NHAN_SU!$C$6:$C$155,MATCH($B814,DM_NHAN_SU!$B$6:$B$155,0)),"SAI MÃ NV"))</f>
        <v/>
      </c>
      <c r="D814" s="86" t="n"/>
      <c r="E814" s="103">
        <f>IF(OR($B814="",$D814=""),"",IF(COUNTIF(THAM_SO_CC!$F$10:$F$40,$D814)&gt;0,"Lễ",IF(IF(THAM_SO_CC!$B$12="T7+CN",WEEKDAY($D814,2)&gt;=6,WEEKDAY($D814,2)=7),"Nghỉ tuần","Ngày thường")))</f>
        <v/>
      </c>
      <c r="F814" s="107" t="n"/>
      <c r="G814" s="107" t="n"/>
      <c r="H814" s="107" t="n"/>
      <c r="I814" s="81" t="n"/>
      <c r="J814" s="108">
        <f>IF($B814="","",IF($E814="Ngày thường",N($G814),0))</f>
        <v/>
      </c>
      <c r="K814" s="108">
        <f>IF($B814="","",IF($E814="Nghỉ tuần",N($G814),0))</f>
        <v/>
      </c>
      <c r="L814" s="108">
        <f>IF($B814="","",IF($E814="Lễ",N($G814),0))</f>
        <v/>
      </c>
      <c r="M814" s="108">
        <f>IF($B814="","",IF($E814="Ngày thường",N($H814),0))</f>
        <v/>
      </c>
      <c r="N814" s="108">
        <f>IF($B814="","",IF($E814="Nghỉ tuần",N($H814),0))</f>
        <v/>
      </c>
      <c r="O814" s="108">
        <f>IF($B814="","",IF($E814="Lễ",N($H814),0))</f>
        <v/>
      </c>
    </row>
    <row r="815" ht="15" customHeight="1" s="63">
      <c r="A815" s="85">
        <f>IF($B815="","",ROW()-5)</f>
        <v/>
      </c>
      <c r="B815" s="97" t="n"/>
      <c r="C815" s="96">
        <f>IF($B815="","",IFERROR(INDEX(DM_NHAN_SU!$C$6:$C$155,MATCH($B815,DM_NHAN_SU!$B$6:$B$155,0)),"SAI MÃ NV"))</f>
        <v/>
      </c>
      <c r="D815" s="86" t="n"/>
      <c r="E815" s="103">
        <f>IF(OR($B815="",$D815=""),"",IF(COUNTIF(THAM_SO_CC!$F$10:$F$40,$D815)&gt;0,"Lễ",IF(IF(THAM_SO_CC!$B$12="T7+CN",WEEKDAY($D815,2)&gt;=6,WEEKDAY($D815,2)=7),"Nghỉ tuần","Ngày thường")))</f>
        <v/>
      </c>
      <c r="F815" s="107" t="n"/>
      <c r="G815" s="107" t="n"/>
      <c r="H815" s="107" t="n"/>
      <c r="I815" s="81" t="n"/>
      <c r="J815" s="108">
        <f>IF($B815="","",IF($E815="Ngày thường",N($G815),0))</f>
        <v/>
      </c>
      <c r="K815" s="108">
        <f>IF($B815="","",IF($E815="Nghỉ tuần",N($G815),0))</f>
        <v/>
      </c>
      <c r="L815" s="108">
        <f>IF($B815="","",IF($E815="Lễ",N($G815),0))</f>
        <v/>
      </c>
      <c r="M815" s="108">
        <f>IF($B815="","",IF($E815="Ngày thường",N($H815),0))</f>
        <v/>
      </c>
      <c r="N815" s="108">
        <f>IF($B815="","",IF($E815="Nghỉ tuần",N($H815),0))</f>
        <v/>
      </c>
      <c r="O815" s="108">
        <f>IF($B815="","",IF($E815="Lễ",N($H815),0))</f>
        <v/>
      </c>
    </row>
    <row r="816" ht="15" customHeight="1" s="63">
      <c r="A816" s="85">
        <f>IF($B816="","",ROW()-5)</f>
        <v/>
      </c>
      <c r="B816" s="97" t="n"/>
      <c r="C816" s="96">
        <f>IF($B816="","",IFERROR(INDEX(DM_NHAN_SU!$C$6:$C$155,MATCH($B816,DM_NHAN_SU!$B$6:$B$155,0)),"SAI MÃ NV"))</f>
        <v/>
      </c>
      <c r="D816" s="86" t="n"/>
      <c r="E816" s="103">
        <f>IF(OR($B816="",$D816=""),"",IF(COUNTIF(THAM_SO_CC!$F$10:$F$40,$D816)&gt;0,"Lễ",IF(IF(THAM_SO_CC!$B$12="T7+CN",WEEKDAY($D816,2)&gt;=6,WEEKDAY($D816,2)=7),"Nghỉ tuần","Ngày thường")))</f>
        <v/>
      </c>
      <c r="F816" s="107" t="n"/>
      <c r="G816" s="107" t="n"/>
      <c r="H816" s="107" t="n"/>
      <c r="I816" s="81" t="n"/>
      <c r="J816" s="108">
        <f>IF($B816="","",IF($E816="Ngày thường",N($G816),0))</f>
        <v/>
      </c>
      <c r="K816" s="108">
        <f>IF($B816="","",IF($E816="Nghỉ tuần",N($G816),0))</f>
        <v/>
      </c>
      <c r="L816" s="108">
        <f>IF($B816="","",IF($E816="Lễ",N($G816),0))</f>
        <v/>
      </c>
      <c r="M816" s="108">
        <f>IF($B816="","",IF($E816="Ngày thường",N($H816),0))</f>
        <v/>
      </c>
      <c r="N816" s="108">
        <f>IF($B816="","",IF($E816="Nghỉ tuần",N($H816),0))</f>
        <v/>
      </c>
      <c r="O816" s="108">
        <f>IF($B816="","",IF($E816="Lễ",N($H816),0))</f>
        <v/>
      </c>
    </row>
    <row r="817" ht="15" customHeight="1" s="63">
      <c r="A817" s="85">
        <f>IF($B817="","",ROW()-5)</f>
        <v/>
      </c>
      <c r="B817" s="97" t="n"/>
      <c r="C817" s="96">
        <f>IF($B817="","",IFERROR(INDEX(DM_NHAN_SU!$C$6:$C$155,MATCH($B817,DM_NHAN_SU!$B$6:$B$155,0)),"SAI MÃ NV"))</f>
        <v/>
      </c>
      <c r="D817" s="86" t="n"/>
      <c r="E817" s="103">
        <f>IF(OR($B817="",$D817=""),"",IF(COUNTIF(THAM_SO_CC!$F$10:$F$40,$D817)&gt;0,"Lễ",IF(IF(THAM_SO_CC!$B$12="T7+CN",WEEKDAY($D817,2)&gt;=6,WEEKDAY($D817,2)=7),"Nghỉ tuần","Ngày thường")))</f>
        <v/>
      </c>
      <c r="F817" s="107" t="n"/>
      <c r="G817" s="107" t="n"/>
      <c r="H817" s="107" t="n"/>
      <c r="I817" s="81" t="n"/>
      <c r="J817" s="108">
        <f>IF($B817="","",IF($E817="Ngày thường",N($G817),0))</f>
        <v/>
      </c>
      <c r="K817" s="108">
        <f>IF($B817="","",IF($E817="Nghỉ tuần",N($G817),0))</f>
        <v/>
      </c>
      <c r="L817" s="108">
        <f>IF($B817="","",IF($E817="Lễ",N($G817),0))</f>
        <v/>
      </c>
      <c r="M817" s="108">
        <f>IF($B817="","",IF($E817="Ngày thường",N($H817),0))</f>
        <v/>
      </c>
      <c r="N817" s="108">
        <f>IF($B817="","",IF($E817="Nghỉ tuần",N($H817),0))</f>
        <v/>
      </c>
      <c r="O817" s="108">
        <f>IF($B817="","",IF($E817="Lễ",N($H817),0))</f>
        <v/>
      </c>
    </row>
    <row r="818" ht="15" customHeight="1" s="63">
      <c r="A818" s="85">
        <f>IF($B818="","",ROW()-5)</f>
        <v/>
      </c>
      <c r="B818" s="97" t="n"/>
      <c r="C818" s="96">
        <f>IF($B818="","",IFERROR(INDEX(DM_NHAN_SU!$C$6:$C$155,MATCH($B818,DM_NHAN_SU!$B$6:$B$155,0)),"SAI MÃ NV"))</f>
        <v/>
      </c>
      <c r="D818" s="86" t="n"/>
      <c r="E818" s="103">
        <f>IF(OR($B818="",$D818=""),"",IF(COUNTIF(THAM_SO_CC!$F$10:$F$40,$D818)&gt;0,"Lễ",IF(IF(THAM_SO_CC!$B$12="T7+CN",WEEKDAY($D818,2)&gt;=6,WEEKDAY($D818,2)=7),"Nghỉ tuần","Ngày thường")))</f>
        <v/>
      </c>
      <c r="F818" s="107" t="n"/>
      <c r="G818" s="107" t="n"/>
      <c r="H818" s="107" t="n"/>
      <c r="I818" s="81" t="n"/>
      <c r="J818" s="108">
        <f>IF($B818="","",IF($E818="Ngày thường",N($G818),0))</f>
        <v/>
      </c>
      <c r="K818" s="108">
        <f>IF($B818="","",IF($E818="Nghỉ tuần",N($G818),0))</f>
        <v/>
      </c>
      <c r="L818" s="108">
        <f>IF($B818="","",IF($E818="Lễ",N($G818),0))</f>
        <v/>
      </c>
      <c r="M818" s="108">
        <f>IF($B818="","",IF($E818="Ngày thường",N($H818),0))</f>
        <v/>
      </c>
      <c r="N818" s="108">
        <f>IF($B818="","",IF($E818="Nghỉ tuần",N($H818),0))</f>
        <v/>
      </c>
      <c r="O818" s="108">
        <f>IF($B818="","",IF($E818="Lễ",N($H818),0))</f>
        <v/>
      </c>
    </row>
    <row r="819" ht="15" customHeight="1" s="63">
      <c r="A819" s="85">
        <f>IF($B819="","",ROW()-5)</f>
        <v/>
      </c>
      <c r="B819" s="97" t="n"/>
      <c r="C819" s="96">
        <f>IF($B819="","",IFERROR(INDEX(DM_NHAN_SU!$C$6:$C$155,MATCH($B819,DM_NHAN_SU!$B$6:$B$155,0)),"SAI MÃ NV"))</f>
        <v/>
      </c>
      <c r="D819" s="86" t="n"/>
      <c r="E819" s="103">
        <f>IF(OR($B819="",$D819=""),"",IF(COUNTIF(THAM_SO_CC!$F$10:$F$40,$D819)&gt;0,"Lễ",IF(IF(THAM_SO_CC!$B$12="T7+CN",WEEKDAY($D819,2)&gt;=6,WEEKDAY($D819,2)=7),"Nghỉ tuần","Ngày thường")))</f>
        <v/>
      </c>
      <c r="F819" s="107" t="n"/>
      <c r="G819" s="107" t="n"/>
      <c r="H819" s="107" t="n"/>
      <c r="I819" s="81" t="n"/>
      <c r="J819" s="108">
        <f>IF($B819="","",IF($E819="Ngày thường",N($G819),0))</f>
        <v/>
      </c>
      <c r="K819" s="108">
        <f>IF($B819="","",IF($E819="Nghỉ tuần",N($G819),0))</f>
        <v/>
      </c>
      <c r="L819" s="108">
        <f>IF($B819="","",IF($E819="Lễ",N($G819),0))</f>
        <v/>
      </c>
      <c r="M819" s="108">
        <f>IF($B819="","",IF($E819="Ngày thường",N($H819),0))</f>
        <v/>
      </c>
      <c r="N819" s="108">
        <f>IF($B819="","",IF($E819="Nghỉ tuần",N($H819),0))</f>
        <v/>
      </c>
      <c r="O819" s="108">
        <f>IF($B819="","",IF($E819="Lễ",N($H819),0))</f>
        <v/>
      </c>
    </row>
    <row r="820" ht="15" customHeight="1" s="63">
      <c r="A820" s="85">
        <f>IF($B820="","",ROW()-5)</f>
        <v/>
      </c>
      <c r="B820" s="97" t="n"/>
      <c r="C820" s="96">
        <f>IF($B820="","",IFERROR(INDEX(DM_NHAN_SU!$C$6:$C$155,MATCH($B820,DM_NHAN_SU!$B$6:$B$155,0)),"SAI MÃ NV"))</f>
        <v/>
      </c>
      <c r="D820" s="86" t="n"/>
      <c r="E820" s="103">
        <f>IF(OR($B820="",$D820=""),"",IF(COUNTIF(THAM_SO_CC!$F$10:$F$40,$D820)&gt;0,"Lễ",IF(IF(THAM_SO_CC!$B$12="T7+CN",WEEKDAY($D820,2)&gt;=6,WEEKDAY($D820,2)=7),"Nghỉ tuần","Ngày thường")))</f>
        <v/>
      </c>
      <c r="F820" s="107" t="n"/>
      <c r="G820" s="107" t="n"/>
      <c r="H820" s="107" t="n"/>
      <c r="I820" s="81" t="n"/>
      <c r="J820" s="108">
        <f>IF($B820="","",IF($E820="Ngày thường",N($G820),0))</f>
        <v/>
      </c>
      <c r="K820" s="108">
        <f>IF($B820="","",IF($E820="Nghỉ tuần",N($G820),0))</f>
        <v/>
      </c>
      <c r="L820" s="108">
        <f>IF($B820="","",IF($E820="Lễ",N($G820),0))</f>
        <v/>
      </c>
      <c r="M820" s="108">
        <f>IF($B820="","",IF($E820="Ngày thường",N($H820),0))</f>
        <v/>
      </c>
      <c r="N820" s="108">
        <f>IF($B820="","",IF($E820="Nghỉ tuần",N($H820),0))</f>
        <v/>
      </c>
      <c r="O820" s="108">
        <f>IF($B820="","",IF($E820="Lễ",N($H820),0))</f>
        <v/>
      </c>
    </row>
    <row r="821" ht="15" customHeight="1" s="63">
      <c r="A821" s="85">
        <f>IF($B821="","",ROW()-5)</f>
        <v/>
      </c>
      <c r="B821" s="97" t="n"/>
      <c r="C821" s="96">
        <f>IF($B821="","",IFERROR(INDEX(DM_NHAN_SU!$C$6:$C$155,MATCH($B821,DM_NHAN_SU!$B$6:$B$155,0)),"SAI MÃ NV"))</f>
        <v/>
      </c>
      <c r="D821" s="86" t="n"/>
      <c r="E821" s="103">
        <f>IF(OR($B821="",$D821=""),"",IF(COUNTIF(THAM_SO_CC!$F$10:$F$40,$D821)&gt;0,"Lễ",IF(IF(THAM_SO_CC!$B$12="T7+CN",WEEKDAY($D821,2)&gt;=6,WEEKDAY($D821,2)=7),"Nghỉ tuần","Ngày thường")))</f>
        <v/>
      </c>
      <c r="F821" s="107" t="n"/>
      <c r="G821" s="107" t="n"/>
      <c r="H821" s="107" t="n"/>
      <c r="I821" s="81" t="n"/>
      <c r="J821" s="108">
        <f>IF($B821="","",IF($E821="Ngày thường",N($G821),0))</f>
        <v/>
      </c>
      <c r="K821" s="108">
        <f>IF($B821="","",IF($E821="Nghỉ tuần",N($G821),0))</f>
        <v/>
      </c>
      <c r="L821" s="108">
        <f>IF($B821="","",IF($E821="Lễ",N($G821),0))</f>
        <v/>
      </c>
      <c r="M821" s="108">
        <f>IF($B821="","",IF($E821="Ngày thường",N($H821),0))</f>
        <v/>
      </c>
      <c r="N821" s="108">
        <f>IF($B821="","",IF($E821="Nghỉ tuần",N($H821),0))</f>
        <v/>
      </c>
      <c r="O821" s="108">
        <f>IF($B821="","",IF($E821="Lễ",N($H821),0))</f>
        <v/>
      </c>
    </row>
    <row r="822" ht="15" customHeight="1" s="63">
      <c r="A822" s="85">
        <f>IF($B822="","",ROW()-5)</f>
        <v/>
      </c>
      <c r="B822" s="97" t="n"/>
      <c r="C822" s="96">
        <f>IF($B822="","",IFERROR(INDEX(DM_NHAN_SU!$C$6:$C$155,MATCH($B822,DM_NHAN_SU!$B$6:$B$155,0)),"SAI MÃ NV"))</f>
        <v/>
      </c>
      <c r="D822" s="86" t="n"/>
      <c r="E822" s="103">
        <f>IF(OR($B822="",$D822=""),"",IF(COUNTIF(THAM_SO_CC!$F$10:$F$40,$D822)&gt;0,"Lễ",IF(IF(THAM_SO_CC!$B$12="T7+CN",WEEKDAY($D822,2)&gt;=6,WEEKDAY($D822,2)=7),"Nghỉ tuần","Ngày thường")))</f>
        <v/>
      </c>
      <c r="F822" s="107" t="n"/>
      <c r="G822" s="107" t="n"/>
      <c r="H822" s="107" t="n"/>
      <c r="I822" s="81" t="n"/>
      <c r="J822" s="108">
        <f>IF($B822="","",IF($E822="Ngày thường",N($G822),0))</f>
        <v/>
      </c>
      <c r="K822" s="108">
        <f>IF($B822="","",IF($E822="Nghỉ tuần",N($G822),0))</f>
        <v/>
      </c>
      <c r="L822" s="108">
        <f>IF($B822="","",IF($E822="Lễ",N($G822),0))</f>
        <v/>
      </c>
      <c r="M822" s="108">
        <f>IF($B822="","",IF($E822="Ngày thường",N($H822),0))</f>
        <v/>
      </c>
      <c r="N822" s="108">
        <f>IF($B822="","",IF($E822="Nghỉ tuần",N($H822),0))</f>
        <v/>
      </c>
      <c r="O822" s="108">
        <f>IF($B822="","",IF($E822="Lễ",N($H822),0))</f>
        <v/>
      </c>
    </row>
    <row r="823" ht="15" customHeight="1" s="63">
      <c r="A823" s="85">
        <f>IF($B823="","",ROW()-5)</f>
        <v/>
      </c>
      <c r="B823" s="97" t="n"/>
      <c r="C823" s="96">
        <f>IF($B823="","",IFERROR(INDEX(DM_NHAN_SU!$C$6:$C$155,MATCH($B823,DM_NHAN_SU!$B$6:$B$155,0)),"SAI MÃ NV"))</f>
        <v/>
      </c>
      <c r="D823" s="86" t="n"/>
      <c r="E823" s="103">
        <f>IF(OR($B823="",$D823=""),"",IF(COUNTIF(THAM_SO_CC!$F$10:$F$40,$D823)&gt;0,"Lễ",IF(IF(THAM_SO_CC!$B$12="T7+CN",WEEKDAY($D823,2)&gt;=6,WEEKDAY($D823,2)=7),"Nghỉ tuần","Ngày thường")))</f>
        <v/>
      </c>
      <c r="F823" s="107" t="n"/>
      <c r="G823" s="107" t="n"/>
      <c r="H823" s="107" t="n"/>
      <c r="I823" s="81" t="n"/>
      <c r="J823" s="108">
        <f>IF($B823="","",IF($E823="Ngày thường",N($G823),0))</f>
        <v/>
      </c>
      <c r="K823" s="108">
        <f>IF($B823="","",IF($E823="Nghỉ tuần",N($G823),0))</f>
        <v/>
      </c>
      <c r="L823" s="108">
        <f>IF($B823="","",IF($E823="Lễ",N($G823),0))</f>
        <v/>
      </c>
      <c r="M823" s="108">
        <f>IF($B823="","",IF($E823="Ngày thường",N($H823),0))</f>
        <v/>
      </c>
      <c r="N823" s="108">
        <f>IF($B823="","",IF($E823="Nghỉ tuần",N($H823),0))</f>
        <v/>
      </c>
      <c r="O823" s="108">
        <f>IF($B823="","",IF($E823="Lễ",N($H823),0))</f>
        <v/>
      </c>
    </row>
    <row r="824" ht="15" customHeight="1" s="63">
      <c r="A824" s="85">
        <f>IF($B824="","",ROW()-5)</f>
        <v/>
      </c>
      <c r="B824" s="97" t="n"/>
      <c r="C824" s="96">
        <f>IF($B824="","",IFERROR(INDEX(DM_NHAN_SU!$C$6:$C$155,MATCH($B824,DM_NHAN_SU!$B$6:$B$155,0)),"SAI MÃ NV"))</f>
        <v/>
      </c>
      <c r="D824" s="86" t="n"/>
      <c r="E824" s="103">
        <f>IF(OR($B824="",$D824=""),"",IF(COUNTIF(THAM_SO_CC!$F$10:$F$40,$D824)&gt;0,"Lễ",IF(IF(THAM_SO_CC!$B$12="T7+CN",WEEKDAY($D824,2)&gt;=6,WEEKDAY($D824,2)=7),"Nghỉ tuần","Ngày thường")))</f>
        <v/>
      </c>
      <c r="F824" s="107" t="n"/>
      <c r="G824" s="107" t="n"/>
      <c r="H824" s="107" t="n"/>
      <c r="I824" s="81" t="n"/>
      <c r="J824" s="108">
        <f>IF($B824="","",IF($E824="Ngày thường",N($G824),0))</f>
        <v/>
      </c>
      <c r="K824" s="108">
        <f>IF($B824="","",IF($E824="Nghỉ tuần",N($G824),0))</f>
        <v/>
      </c>
      <c r="L824" s="108">
        <f>IF($B824="","",IF($E824="Lễ",N($G824),0))</f>
        <v/>
      </c>
      <c r="M824" s="108">
        <f>IF($B824="","",IF($E824="Ngày thường",N($H824),0))</f>
        <v/>
      </c>
      <c r="N824" s="108">
        <f>IF($B824="","",IF($E824="Nghỉ tuần",N($H824),0))</f>
        <v/>
      </c>
      <c r="O824" s="108">
        <f>IF($B824="","",IF($E824="Lễ",N($H824),0))</f>
        <v/>
      </c>
    </row>
    <row r="825" ht="15" customHeight="1" s="63">
      <c r="A825" s="85">
        <f>IF($B825="","",ROW()-5)</f>
        <v/>
      </c>
      <c r="B825" s="97" t="n"/>
      <c r="C825" s="96">
        <f>IF($B825="","",IFERROR(INDEX(DM_NHAN_SU!$C$6:$C$155,MATCH($B825,DM_NHAN_SU!$B$6:$B$155,0)),"SAI MÃ NV"))</f>
        <v/>
      </c>
      <c r="D825" s="86" t="n"/>
      <c r="E825" s="103">
        <f>IF(OR($B825="",$D825=""),"",IF(COUNTIF(THAM_SO_CC!$F$10:$F$40,$D825)&gt;0,"Lễ",IF(IF(THAM_SO_CC!$B$12="T7+CN",WEEKDAY($D825,2)&gt;=6,WEEKDAY($D825,2)=7),"Nghỉ tuần","Ngày thường")))</f>
        <v/>
      </c>
      <c r="F825" s="107" t="n"/>
      <c r="G825" s="107" t="n"/>
      <c r="H825" s="107" t="n"/>
      <c r="I825" s="81" t="n"/>
      <c r="J825" s="108">
        <f>IF($B825="","",IF($E825="Ngày thường",N($G825),0))</f>
        <v/>
      </c>
      <c r="K825" s="108">
        <f>IF($B825="","",IF($E825="Nghỉ tuần",N($G825),0))</f>
        <v/>
      </c>
      <c r="L825" s="108">
        <f>IF($B825="","",IF($E825="Lễ",N($G825),0))</f>
        <v/>
      </c>
      <c r="M825" s="108">
        <f>IF($B825="","",IF($E825="Ngày thường",N($H825),0))</f>
        <v/>
      </c>
      <c r="N825" s="108">
        <f>IF($B825="","",IF($E825="Nghỉ tuần",N($H825),0))</f>
        <v/>
      </c>
      <c r="O825" s="108">
        <f>IF($B825="","",IF($E825="Lễ",N($H825),0))</f>
        <v/>
      </c>
    </row>
    <row r="826" ht="15" customHeight="1" s="63">
      <c r="A826" s="85">
        <f>IF($B826="","",ROW()-5)</f>
        <v/>
      </c>
      <c r="B826" s="97" t="n"/>
      <c r="C826" s="96">
        <f>IF($B826="","",IFERROR(INDEX(DM_NHAN_SU!$C$6:$C$155,MATCH($B826,DM_NHAN_SU!$B$6:$B$155,0)),"SAI MÃ NV"))</f>
        <v/>
      </c>
      <c r="D826" s="86" t="n"/>
      <c r="E826" s="103">
        <f>IF(OR($B826="",$D826=""),"",IF(COUNTIF(THAM_SO_CC!$F$10:$F$40,$D826)&gt;0,"Lễ",IF(IF(THAM_SO_CC!$B$12="T7+CN",WEEKDAY($D826,2)&gt;=6,WEEKDAY($D826,2)=7),"Nghỉ tuần","Ngày thường")))</f>
        <v/>
      </c>
      <c r="F826" s="107" t="n"/>
      <c r="G826" s="107" t="n"/>
      <c r="H826" s="107" t="n"/>
      <c r="I826" s="81" t="n"/>
      <c r="J826" s="108">
        <f>IF($B826="","",IF($E826="Ngày thường",N($G826),0))</f>
        <v/>
      </c>
      <c r="K826" s="108">
        <f>IF($B826="","",IF($E826="Nghỉ tuần",N($G826),0))</f>
        <v/>
      </c>
      <c r="L826" s="108">
        <f>IF($B826="","",IF($E826="Lễ",N($G826),0))</f>
        <v/>
      </c>
      <c r="M826" s="108">
        <f>IF($B826="","",IF($E826="Ngày thường",N($H826),0))</f>
        <v/>
      </c>
      <c r="N826" s="108">
        <f>IF($B826="","",IF($E826="Nghỉ tuần",N($H826),0))</f>
        <v/>
      </c>
      <c r="O826" s="108">
        <f>IF($B826="","",IF($E826="Lễ",N($H826),0))</f>
        <v/>
      </c>
    </row>
    <row r="827" ht="15" customHeight="1" s="63">
      <c r="A827" s="85">
        <f>IF($B827="","",ROW()-5)</f>
        <v/>
      </c>
      <c r="B827" s="97" t="n"/>
      <c r="C827" s="96">
        <f>IF($B827="","",IFERROR(INDEX(DM_NHAN_SU!$C$6:$C$155,MATCH($B827,DM_NHAN_SU!$B$6:$B$155,0)),"SAI MÃ NV"))</f>
        <v/>
      </c>
      <c r="D827" s="86" t="n"/>
      <c r="E827" s="103">
        <f>IF(OR($B827="",$D827=""),"",IF(COUNTIF(THAM_SO_CC!$F$10:$F$40,$D827)&gt;0,"Lễ",IF(IF(THAM_SO_CC!$B$12="T7+CN",WEEKDAY($D827,2)&gt;=6,WEEKDAY($D827,2)=7),"Nghỉ tuần","Ngày thường")))</f>
        <v/>
      </c>
      <c r="F827" s="107" t="n"/>
      <c r="G827" s="107" t="n"/>
      <c r="H827" s="107" t="n"/>
      <c r="I827" s="81" t="n"/>
      <c r="J827" s="108">
        <f>IF($B827="","",IF($E827="Ngày thường",N($G827),0))</f>
        <v/>
      </c>
      <c r="K827" s="108">
        <f>IF($B827="","",IF($E827="Nghỉ tuần",N($G827),0))</f>
        <v/>
      </c>
      <c r="L827" s="108">
        <f>IF($B827="","",IF($E827="Lễ",N($G827),0))</f>
        <v/>
      </c>
      <c r="M827" s="108">
        <f>IF($B827="","",IF($E827="Ngày thường",N($H827),0))</f>
        <v/>
      </c>
      <c r="N827" s="108">
        <f>IF($B827="","",IF($E827="Nghỉ tuần",N($H827),0))</f>
        <v/>
      </c>
      <c r="O827" s="108">
        <f>IF($B827="","",IF($E827="Lễ",N($H827),0))</f>
        <v/>
      </c>
    </row>
    <row r="828" ht="15" customHeight="1" s="63">
      <c r="A828" s="85">
        <f>IF($B828="","",ROW()-5)</f>
        <v/>
      </c>
      <c r="B828" s="97" t="n"/>
      <c r="C828" s="96">
        <f>IF($B828="","",IFERROR(INDEX(DM_NHAN_SU!$C$6:$C$155,MATCH($B828,DM_NHAN_SU!$B$6:$B$155,0)),"SAI MÃ NV"))</f>
        <v/>
      </c>
      <c r="D828" s="86" t="n"/>
      <c r="E828" s="103">
        <f>IF(OR($B828="",$D828=""),"",IF(COUNTIF(THAM_SO_CC!$F$10:$F$40,$D828)&gt;0,"Lễ",IF(IF(THAM_SO_CC!$B$12="T7+CN",WEEKDAY($D828,2)&gt;=6,WEEKDAY($D828,2)=7),"Nghỉ tuần","Ngày thường")))</f>
        <v/>
      </c>
      <c r="F828" s="107" t="n"/>
      <c r="G828" s="107" t="n"/>
      <c r="H828" s="107" t="n"/>
      <c r="I828" s="81" t="n"/>
      <c r="J828" s="108">
        <f>IF($B828="","",IF($E828="Ngày thường",N($G828),0))</f>
        <v/>
      </c>
      <c r="K828" s="108">
        <f>IF($B828="","",IF($E828="Nghỉ tuần",N($G828),0))</f>
        <v/>
      </c>
      <c r="L828" s="108">
        <f>IF($B828="","",IF($E828="Lễ",N($G828),0))</f>
        <v/>
      </c>
      <c r="M828" s="108">
        <f>IF($B828="","",IF($E828="Ngày thường",N($H828),0))</f>
        <v/>
      </c>
      <c r="N828" s="108">
        <f>IF($B828="","",IF($E828="Nghỉ tuần",N($H828),0))</f>
        <v/>
      </c>
      <c r="O828" s="108">
        <f>IF($B828="","",IF($E828="Lễ",N($H828),0))</f>
        <v/>
      </c>
    </row>
    <row r="829" ht="15" customHeight="1" s="63">
      <c r="A829" s="85">
        <f>IF($B829="","",ROW()-5)</f>
        <v/>
      </c>
      <c r="B829" s="97" t="n"/>
      <c r="C829" s="96">
        <f>IF($B829="","",IFERROR(INDEX(DM_NHAN_SU!$C$6:$C$155,MATCH($B829,DM_NHAN_SU!$B$6:$B$155,0)),"SAI MÃ NV"))</f>
        <v/>
      </c>
      <c r="D829" s="86" t="n"/>
      <c r="E829" s="103">
        <f>IF(OR($B829="",$D829=""),"",IF(COUNTIF(THAM_SO_CC!$F$10:$F$40,$D829)&gt;0,"Lễ",IF(IF(THAM_SO_CC!$B$12="T7+CN",WEEKDAY($D829,2)&gt;=6,WEEKDAY($D829,2)=7),"Nghỉ tuần","Ngày thường")))</f>
        <v/>
      </c>
      <c r="F829" s="107" t="n"/>
      <c r="G829" s="107" t="n"/>
      <c r="H829" s="107" t="n"/>
      <c r="I829" s="81" t="n"/>
      <c r="J829" s="108">
        <f>IF($B829="","",IF($E829="Ngày thường",N($G829),0))</f>
        <v/>
      </c>
      <c r="K829" s="108">
        <f>IF($B829="","",IF($E829="Nghỉ tuần",N($G829),0))</f>
        <v/>
      </c>
      <c r="L829" s="108">
        <f>IF($B829="","",IF($E829="Lễ",N($G829),0))</f>
        <v/>
      </c>
      <c r="M829" s="108">
        <f>IF($B829="","",IF($E829="Ngày thường",N($H829),0))</f>
        <v/>
      </c>
      <c r="N829" s="108">
        <f>IF($B829="","",IF($E829="Nghỉ tuần",N($H829),0))</f>
        <v/>
      </c>
      <c r="O829" s="108">
        <f>IF($B829="","",IF($E829="Lễ",N($H829),0))</f>
        <v/>
      </c>
    </row>
    <row r="830" ht="15" customHeight="1" s="63">
      <c r="A830" s="85">
        <f>IF($B830="","",ROW()-5)</f>
        <v/>
      </c>
      <c r="B830" s="97" t="n"/>
      <c r="C830" s="96">
        <f>IF($B830="","",IFERROR(INDEX(DM_NHAN_SU!$C$6:$C$155,MATCH($B830,DM_NHAN_SU!$B$6:$B$155,0)),"SAI MÃ NV"))</f>
        <v/>
      </c>
      <c r="D830" s="86" t="n"/>
      <c r="E830" s="103">
        <f>IF(OR($B830="",$D830=""),"",IF(COUNTIF(THAM_SO_CC!$F$10:$F$40,$D830)&gt;0,"Lễ",IF(IF(THAM_SO_CC!$B$12="T7+CN",WEEKDAY($D830,2)&gt;=6,WEEKDAY($D830,2)=7),"Nghỉ tuần","Ngày thường")))</f>
        <v/>
      </c>
      <c r="F830" s="107" t="n"/>
      <c r="G830" s="107" t="n"/>
      <c r="H830" s="107" t="n"/>
      <c r="I830" s="81" t="n"/>
      <c r="J830" s="108">
        <f>IF($B830="","",IF($E830="Ngày thường",N($G830),0))</f>
        <v/>
      </c>
      <c r="K830" s="108">
        <f>IF($B830="","",IF($E830="Nghỉ tuần",N($G830),0))</f>
        <v/>
      </c>
      <c r="L830" s="108">
        <f>IF($B830="","",IF($E830="Lễ",N($G830),0))</f>
        <v/>
      </c>
      <c r="M830" s="108">
        <f>IF($B830="","",IF($E830="Ngày thường",N($H830),0))</f>
        <v/>
      </c>
      <c r="N830" s="108">
        <f>IF($B830="","",IF($E830="Nghỉ tuần",N($H830),0))</f>
        <v/>
      </c>
      <c r="O830" s="108">
        <f>IF($B830="","",IF($E830="Lễ",N($H830),0))</f>
        <v/>
      </c>
    </row>
    <row r="831" ht="15" customHeight="1" s="63">
      <c r="A831" s="85">
        <f>IF($B831="","",ROW()-5)</f>
        <v/>
      </c>
      <c r="B831" s="97" t="n"/>
      <c r="C831" s="96">
        <f>IF($B831="","",IFERROR(INDEX(DM_NHAN_SU!$C$6:$C$155,MATCH($B831,DM_NHAN_SU!$B$6:$B$155,0)),"SAI MÃ NV"))</f>
        <v/>
      </c>
      <c r="D831" s="86" t="n"/>
      <c r="E831" s="103">
        <f>IF(OR($B831="",$D831=""),"",IF(COUNTIF(THAM_SO_CC!$F$10:$F$40,$D831)&gt;0,"Lễ",IF(IF(THAM_SO_CC!$B$12="T7+CN",WEEKDAY($D831,2)&gt;=6,WEEKDAY($D831,2)=7),"Nghỉ tuần","Ngày thường")))</f>
        <v/>
      </c>
      <c r="F831" s="107" t="n"/>
      <c r="G831" s="107" t="n"/>
      <c r="H831" s="107" t="n"/>
      <c r="I831" s="81" t="n"/>
      <c r="J831" s="108">
        <f>IF($B831="","",IF($E831="Ngày thường",N($G831),0))</f>
        <v/>
      </c>
      <c r="K831" s="108">
        <f>IF($B831="","",IF($E831="Nghỉ tuần",N($G831),0))</f>
        <v/>
      </c>
      <c r="L831" s="108">
        <f>IF($B831="","",IF($E831="Lễ",N($G831),0))</f>
        <v/>
      </c>
      <c r="M831" s="108">
        <f>IF($B831="","",IF($E831="Ngày thường",N($H831),0))</f>
        <v/>
      </c>
      <c r="N831" s="108">
        <f>IF($B831="","",IF($E831="Nghỉ tuần",N($H831),0))</f>
        <v/>
      </c>
      <c r="O831" s="108">
        <f>IF($B831="","",IF($E831="Lễ",N($H831),0))</f>
        <v/>
      </c>
    </row>
    <row r="832" ht="15" customHeight="1" s="63">
      <c r="A832" s="85">
        <f>IF($B832="","",ROW()-5)</f>
        <v/>
      </c>
      <c r="B832" s="97" t="n"/>
      <c r="C832" s="96">
        <f>IF($B832="","",IFERROR(INDEX(DM_NHAN_SU!$C$6:$C$155,MATCH($B832,DM_NHAN_SU!$B$6:$B$155,0)),"SAI MÃ NV"))</f>
        <v/>
      </c>
      <c r="D832" s="86" t="n"/>
      <c r="E832" s="103">
        <f>IF(OR($B832="",$D832=""),"",IF(COUNTIF(THAM_SO_CC!$F$10:$F$40,$D832)&gt;0,"Lễ",IF(IF(THAM_SO_CC!$B$12="T7+CN",WEEKDAY($D832,2)&gt;=6,WEEKDAY($D832,2)=7),"Nghỉ tuần","Ngày thường")))</f>
        <v/>
      </c>
      <c r="F832" s="107" t="n"/>
      <c r="G832" s="107" t="n"/>
      <c r="H832" s="107" t="n"/>
      <c r="I832" s="81" t="n"/>
      <c r="J832" s="108">
        <f>IF($B832="","",IF($E832="Ngày thường",N($G832),0))</f>
        <v/>
      </c>
      <c r="K832" s="108">
        <f>IF($B832="","",IF($E832="Nghỉ tuần",N($G832),0))</f>
        <v/>
      </c>
      <c r="L832" s="108">
        <f>IF($B832="","",IF($E832="Lễ",N($G832),0))</f>
        <v/>
      </c>
      <c r="M832" s="108">
        <f>IF($B832="","",IF($E832="Ngày thường",N($H832),0))</f>
        <v/>
      </c>
      <c r="N832" s="108">
        <f>IF($B832="","",IF($E832="Nghỉ tuần",N($H832),0))</f>
        <v/>
      </c>
      <c r="O832" s="108">
        <f>IF($B832="","",IF($E832="Lễ",N($H832),0))</f>
        <v/>
      </c>
    </row>
    <row r="833" ht="15" customHeight="1" s="63">
      <c r="A833" s="85">
        <f>IF($B833="","",ROW()-5)</f>
        <v/>
      </c>
      <c r="B833" s="97" t="n"/>
      <c r="C833" s="96">
        <f>IF($B833="","",IFERROR(INDEX(DM_NHAN_SU!$C$6:$C$155,MATCH($B833,DM_NHAN_SU!$B$6:$B$155,0)),"SAI MÃ NV"))</f>
        <v/>
      </c>
      <c r="D833" s="86" t="n"/>
      <c r="E833" s="103">
        <f>IF(OR($B833="",$D833=""),"",IF(COUNTIF(THAM_SO_CC!$F$10:$F$40,$D833)&gt;0,"Lễ",IF(IF(THAM_SO_CC!$B$12="T7+CN",WEEKDAY($D833,2)&gt;=6,WEEKDAY($D833,2)=7),"Nghỉ tuần","Ngày thường")))</f>
        <v/>
      </c>
      <c r="F833" s="107" t="n"/>
      <c r="G833" s="107" t="n"/>
      <c r="H833" s="107" t="n"/>
      <c r="I833" s="81" t="n"/>
      <c r="J833" s="108">
        <f>IF($B833="","",IF($E833="Ngày thường",N($G833),0))</f>
        <v/>
      </c>
      <c r="K833" s="108">
        <f>IF($B833="","",IF($E833="Nghỉ tuần",N($G833),0))</f>
        <v/>
      </c>
      <c r="L833" s="108">
        <f>IF($B833="","",IF($E833="Lễ",N($G833),0))</f>
        <v/>
      </c>
      <c r="M833" s="108">
        <f>IF($B833="","",IF($E833="Ngày thường",N($H833),0))</f>
        <v/>
      </c>
      <c r="N833" s="108">
        <f>IF($B833="","",IF($E833="Nghỉ tuần",N($H833),0))</f>
        <v/>
      </c>
      <c r="O833" s="108">
        <f>IF($B833="","",IF($E833="Lễ",N($H833),0))</f>
        <v/>
      </c>
    </row>
    <row r="834" ht="15" customHeight="1" s="63">
      <c r="A834" s="85">
        <f>IF($B834="","",ROW()-5)</f>
        <v/>
      </c>
      <c r="B834" s="97" t="n"/>
      <c r="C834" s="96">
        <f>IF($B834="","",IFERROR(INDEX(DM_NHAN_SU!$C$6:$C$155,MATCH($B834,DM_NHAN_SU!$B$6:$B$155,0)),"SAI MÃ NV"))</f>
        <v/>
      </c>
      <c r="D834" s="86" t="n"/>
      <c r="E834" s="103">
        <f>IF(OR($B834="",$D834=""),"",IF(COUNTIF(THAM_SO_CC!$F$10:$F$40,$D834)&gt;0,"Lễ",IF(IF(THAM_SO_CC!$B$12="T7+CN",WEEKDAY($D834,2)&gt;=6,WEEKDAY($D834,2)=7),"Nghỉ tuần","Ngày thường")))</f>
        <v/>
      </c>
      <c r="F834" s="107" t="n"/>
      <c r="G834" s="107" t="n"/>
      <c r="H834" s="107" t="n"/>
      <c r="I834" s="81" t="n"/>
      <c r="J834" s="108">
        <f>IF($B834="","",IF($E834="Ngày thường",N($G834),0))</f>
        <v/>
      </c>
      <c r="K834" s="108">
        <f>IF($B834="","",IF($E834="Nghỉ tuần",N($G834),0))</f>
        <v/>
      </c>
      <c r="L834" s="108">
        <f>IF($B834="","",IF($E834="Lễ",N($G834),0))</f>
        <v/>
      </c>
      <c r="M834" s="108">
        <f>IF($B834="","",IF($E834="Ngày thường",N($H834),0))</f>
        <v/>
      </c>
      <c r="N834" s="108">
        <f>IF($B834="","",IF($E834="Nghỉ tuần",N($H834),0))</f>
        <v/>
      </c>
      <c r="O834" s="108">
        <f>IF($B834="","",IF($E834="Lễ",N($H834),0))</f>
        <v/>
      </c>
    </row>
    <row r="835" ht="15" customHeight="1" s="63">
      <c r="A835" s="85">
        <f>IF($B835="","",ROW()-5)</f>
        <v/>
      </c>
      <c r="B835" s="97" t="n"/>
      <c r="C835" s="96">
        <f>IF($B835="","",IFERROR(INDEX(DM_NHAN_SU!$C$6:$C$155,MATCH($B835,DM_NHAN_SU!$B$6:$B$155,0)),"SAI MÃ NV"))</f>
        <v/>
      </c>
      <c r="D835" s="86" t="n"/>
      <c r="E835" s="103">
        <f>IF(OR($B835="",$D835=""),"",IF(COUNTIF(THAM_SO_CC!$F$10:$F$40,$D835)&gt;0,"Lễ",IF(IF(THAM_SO_CC!$B$12="T7+CN",WEEKDAY($D835,2)&gt;=6,WEEKDAY($D835,2)=7),"Nghỉ tuần","Ngày thường")))</f>
        <v/>
      </c>
      <c r="F835" s="107" t="n"/>
      <c r="G835" s="107" t="n"/>
      <c r="H835" s="107" t="n"/>
      <c r="I835" s="81" t="n"/>
      <c r="J835" s="108">
        <f>IF($B835="","",IF($E835="Ngày thường",N($G835),0))</f>
        <v/>
      </c>
      <c r="K835" s="108">
        <f>IF($B835="","",IF($E835="Nghỉ tuần",N($G835),0))</f>
        <v/>
      </c>
      <c r="L835" s="108">
        <f>IF($B835="","",IF($E835="Lễ",N($G835),0))</f>
        <v/>
      </c>
      <c r="M835" s="108">
        <f>IF($B835="","",IF($E835="Ngày thường",N($H835),0))</f>
        <v/>
      </c>
      <c r="N835" s="108">
        <f>IF($B835="","",IF($E835="Nghỉ tuần",N($H835),0))</f>
        <v/>
      </c>
      <c r="O835" s="108">
        <f>IF($B835="","",IF($E835="Lễ",N($H835),0))</f>
        <v/>
      </c>
    </row>
    <row r="836" ht="15" customHeight="1" s="63">
      <c r="A836" s="85">
        <f>IF($B836="","",ROW()-5)</f>
        <v/>
      </c>
      <c r="B836" s="97" t="n"/>
      <c r="C836" s="96">
        <f>IF($B836="","",IFERROR(INDEX(DM_NHAN_SU!$C$6:$C$155,MATCH($B836,DM_NHAN_SU!$B$6:$B$155,0)),"SAI MÃ NV"))</f>
        <v/>
      </c>
      <c r="D836" s="86" t="n"/>
      <c r="E836" s="103">
        <f>IF(OR($B836="",$D836=""),"",IF(COUNTIF(THAM_SO_CC!$F$10:$F$40,$D836)&gt;0,"Lễ",IF(IF(THAM_SO_CC!$B$12="T7+CN",WEEKDAY($D836,2)&gt;=6,WEEKDAY($D836,2)=7),"Nghỉ tuần","Ngày thường")))</f>
        <v/>
      </c>
      <c r="F836" s="107" t="n"/>
      <c r="G836" s="107" t="n"/>
      <c r="H836" s="107" t="n"/>
      <c r="I836" s="81" t="n"/>
      <c r="J836" s="108">
        <f>IF($B836="","",IF($E836="Ngày thường",N($G836),0))</f>
        <v/>
      </c>
      <c r="K836" s="108">
        <f>IF($B836="","",IF($E836="Nghỉ tuần",N($G836),0))</f>
        <v/>
      </c>
      <c r="L836" s="108">
        <f>IF($B836="","",IF($E836="Lễ",N($G836),0))</f>
        <v/>
      </c>
      <c r="M836" s="108">
        <f>IF($B836="","",IF($E836="Ngày thường",N($H836),0))</f>
        <v/>
      </c>
      <c r="N836" s="108">
        <f>IF($B836="","",IF($E836="Nghỉ tuần",N($H836),0))</f>
        <v/>
      </c>
      <c r="O836" s="108">
        <f>IF($B836="","",IF($E836="Lễ",N($H836),0))</f>
        <v/>
      </c>
    </row>
    <row r="837" ht="15" customHeight="1" s="63">
      <c r="A837" s="85">
        <f>IF($B837="","",ROW()-5)</f>
        <v/>
      </c>
      <c r="B837" s="97" t="n"/>
      <c r="C837" s="96">
        <f>IF($B837="","",IFERROR(INDEX(DM_NHAN_SU!$C$6:$C$155,MATCH($B837,DM_NHAN_SU!$B$6:$B$155,0)),"SAI MÃ NV"))</f>
        <v/>
      </c>
      <c r="D837" s="86" t="n"/>
      <c r="E837" s="103">
        <f>IF(OR($B837="",$D837=""),"",IF(COUNTIF(THAM_SO_CC!$F$10:$F$40,$D837)&gt;0,"Lễ",IF(IF(THAM_SO_CC!$B$12="T7+CN",WEEKDAY($D837,2)&gt;=6,WEEKDAY($D837,2)=7),"Nghỉ tuần","Ngày thường")))</f>
        <v/>
      </c>
      <c r="F837" s="107" t="n"/>
      <c r="G837" s="107" t="n"/>
      <c r="H837" s="107" t="n"/>
      <c r="I837" s="81" t="n"/>
      <c r="J837" s="108">
        <f>IF($B837="","",IF($E837="Ngày thường",N($G837),0))</f>
        <v/>
      </c>
      <c r="K837" s="108">
        <f>IF($B837="","",IF($E837="Nghỉ tuần",N($G837),0))</f>
        <v/>
      </c>
      <c r="L837" s="108">
        <f>IF($B837="","",IF($E837="Lễ",N($G837),0))</f>
        <v/>
      </c>
      <c r="M837" s="108">
        <f>IF($B837="","",IF($E837="Ngày thường",N($H837),0))</f>
        <v/>
      </c>
      <c r="N837" s="108">
        <f>IF($B837="","",IF($E837="Nghỉ tuần",N($H837),0))</f>
        <v/>
      </c>
      <c r="O837" s="108">
        <f>IF($B837="","",IF($E837="Lễ",N($H837),0))</f>
        <v/>
      </c>
    </row>
    <row r="838" ht="15" customHeight="1" s="63">
      <c r="A838" s="85">
        <f>IF($B838="","",ROW()-5)</f>
        <v/>
      </c>
      <c r="B838" s="97" t="n"/>
      <c r="C838" s="96">
        <f>IF($B838="","",IFERROR(INDEX(DM_NHAN_SU!$C$6:$C$155,MATCH($B838,DM_NHAN_SU!$B$6:$B$155,0)),"SAI MÃ NV"))</f>
        <v/>
      </c>
      <c r="D838" s="86" t="n"/>
      <c r="E838" s="103">
        <f>IF(OR($B838="",$D838=""),"",IF(COUNTIF(THAM_SO_CC!$F$10:$F$40,$D838)&gt;0,"Lễ",IF(IF(THAM_SO_CC!$B$12="T7+CN",WEEKDAY($D838,2)&gt;=6,WEEKDAY($D838,2)=7),"Nghỉ tuần","Ngày thường")))</f>
        <v/>
      </c>
      <c r="F838" s="107" t="n"/>
      <c r="G838" s="107" t="n"/>
      <c r="H838" s="107" t="n"/>
      <c r="I838" s="81" t="n"/>
      <c r="J838" s="108">
        <f>IF($B838="","",IF($E838="Ngày thường",N($G838),0))</f>
        <v/>
      </c>
      <c r="K838" s="108">
        <f>IF($B838="","",IF($E838="Nghỉ tuần",N($G838),0))</f>
        <v/>
      </c>
      <c r="L838" s="108">
        <f>IF($B838="","",IF($E838="Lễ",N($G838),0))</f>
        <v/>
      </c>
      <c r="M838" s="108">
        <f>IF($B838="","",IF($E838="Ngày thường",N($H838),0))</f>
        <v/>
      </c>
      <c r="N838" s="108">
        <f>IF($B838="","",IF($E838="Nghỉ tuần",N($H838),0))</f>
        <v/>
      </c>
      <c r="O838" s="108">
        <f>IF($B838="","",IF($E838="Lễ",N($H838),0))</f>
        <v/>
      </c>
    </row>
    <row r="839" ht="15" customHeight="1" s="63">
      <c r="A839" s="85">
        <f>IF($B839="","",ROW()-5)</f>
        <v/>
      </c>
      <c r="B839" s="97" t="n"/>
      <c r="C839" s="96">
        <f>IF($B839="","",IFERROR(INDEX(DM_NHAN_SU!$C$6:$C$155,MATCH($B839,DM_NHAN_SU!$B$6:$B$155,0)),"SAI MÃ NV"))</f>
        <v/>
      </c>
      <c r="D839" s="86" t="n"/>
      <c r="E839" s="103">
        <f>IF(OR($B839="",$D839=""),"",IF(COUNTIF(THAM_SO_CC!$F$10:$F$40,$D839)&gt;0,"Lễ",IF(IF(THAM_SO_CC!$B$12="T7+CN",WEEKDAY($D839,2)&gt;=6,WEEKDAY($D839,2)=7),"Nghỉ tuần","Ngày thường")))</f>
        <v/>
      </c>
      <c r="F839" s="107" t="n"/>
      <c r="G839" s="107" t="n"/>
      <c r="H839" s="107" t="n"/>
      <c r="I839" s="81" t="n"/>
      <c r="J839" s="108">
        <f>IF($B839="","",IF($E839="Ngày thường",N($G839),0))</f>
        <v/>
      </c>
      <c r="K839" s="108">
        <f>IF($B839="","",IF($E839="Nghỉ tuần",N($G839),0))</f>
        <v/>
      </c>
      <c r="L839" s="108">
        <f>IF($B839="","",IF($E839="Lễ",N($G839),0))</f>
        <v/>
      </c>
      <c r="M839" s="108">
        <f>IF($B839="","",IF($E839="Ngày thường",N($H839),0))</f>
        <v/>
      </c>
      <c r="N839" s="108">
        <f>IF($B839="","",IF($E839="Nghỉ tuần",N($H839),0))</f>
        <v/>
      </c>
      <c r="O839" s="108">
        <f>IF($B839="","",IF($E839="Lễ",N($H839),0))</f>
        <v/>
      </c>
    </row>
    <row r="840" ht="15" customHeight="1" s="63">
      <c r="A840" s="85">
        <f>IF($B840="","",ROW()-5)</f>
        <v/>
      </c>
      <c r="B840" s="97" t="n"/>
      <c r="C840" s="96">
        <f>IF($B840="","",IFERROR(INDEX(DM_NHAN_SU!$C$6:$C$155,MATCH($B840,DM_NHAN_SU!$B$6:$B$155,0)),"SAI MÃ NV"))</f>
        <v/>
      </c>
      <c r="D840" s="86" t="n"/>
      <c r="E840" s="103">
        <f>IF(OR($B840="",$D840=""),"",IF(COUNTIF(THAM_SO_CC!$F$10:$F$40,$D840)&gt;0,"Lễ",IF(IF(THAM_SO_CC!$B$12="T7+CN",WEEKDAY($D840,2)&gt;=6,WEEKDAY($D840,2)=7),"Nghỉ tuần","Ngày thường")))</f>
        <v/>
      </c>
      <c r="F840" s="107" t="n"/>
      <c r="G840" s="107" t="n"/>
      <c r="H840" s="107" t="n"/>
      <c r="I840" s="81" t="n"/>
      <c r="J840" s="108">
        <f>IF($B840="","",IF($E840="Ngày thường",N($G840),0))</f>
        <v/>
      </c>
      <c r="K840" s="108">
        <f>IF($B840="","",IF($E840="Nghỉ tuần",N($G840),0))</f>
        <v/>
      </c>
      <c r="L840" s="108">
        <f>IF($B840="","",IF($E840="Lễ",N($G840),0))</f>
        <v/>
      </c>
      <c r="M840" s="108">
        <f>IF($B840="","",IF($E840="Ngày thường",N($H840),0))</f>
        <v/>
      </c>
      <c r="N840" s="108">
        <f>IF($B840="","",IF($E840="Nghỉ tuần",N($H840),0))</f>
        <v/>
      </c>
      <c r="O840" s="108">
        <f>IF($B840="","",IF($E840="Lễ",N($H840),0))</f>
        <v/>
      </c>
    </row>
    <row r="841" ht="15" customHeight="1" s="63">
      <c r="A841" s="85">
        <f>IF($B841="","",ROW()-5)</f>
        <v/>
      </c>
      <c r="B841" s="97" t="n"/>
      <c r="C841" s="96">
        <f>IF($B841="","",IFERROR(INDEX(DM_NHAN_SU!$C$6:$C$155,MATCH($B841,DM_NHAN_SU!$B$6:$B$155,0)),"SAI MÃ NV"))</f>
        <v/>
      </c>
      <c r="D841" s="86" t="n"/>
      <c r="E841" s="103">
        <f>IF(OR($B841="",$D841=""),"",IF(COUNTIF(THAM_SO_CC!$F$10:$F$40,$D841)&gt;0,"Lễ",IF(IF(THAM_SO_CC!$B$12="T7+CN",WEEKDAY($D841,2)&gt;=6,WEEKDAY($D841,2)=7),"Nghỉ tuần","Ngày thường")))</f>
        <v/>
      </c>
      <c r="F841" s="107" t="n"/>
      <c r="G841" s="107" t="n"/>
      <c r="H841" s="107" t="n"/>
      <c r="I841" s="81" t="n"/>
      <c r="J841" s="108">
        <f>IF($B841="","",IF($E841="Ngày thường",N($G841),0))</f>
        <v/>
      </c>
      <c r="K841" s="108">
        <f>IF($B841="","",IF($E841="Nghỉ tuần",N($G841),0))</f>
        <v/>
      </c>
      <c r="L841" s="108">
        <f>IF($B841="","",IF($E841="Lễ",N($G841),0))</f>
        <v/>
      </c>
      <c r="M841" s="108">
        <f>IF($B841="","",IF($E841="Ngày thường",N($H841),0))</f>
        <v/>
      </c>
      <c r="N841" s="108">
        <f>IF($B841="","",IF($E841="Nghỉ tuần",N($H841),0))</f>
        <v/>
      </c>
      <c r="O841" s="108">
        <f>IF($B841="","",IF($E841="Lễ",N($H841),0))</f>
        <v/>
      </c>
    </row>
    <row r="842" ht="15" customHeight="1" s="63">
      <c r="A842" s="85">
        <f>IF($B842="","",ROW()-5)</f>
        <v/>
      </c>
      <c r="B842" s="97" t="n"/>
      <c r="C842" s="96">
        <f>IF($B842="","",IFERROR(INDEX(DM_NHAN_SU!$C$6:$C$155,MATCH($B842,DM_NHAN_SU!$B$6:$B$155,0)),"SAI MÃ NV"))</f>
        <v/>
      </c>
      <c r="D842" s="86" t="n"/>
      <c r="E842" s="103">
        <f>IF(OR($B842="",$D842=""),"",IF(COUNTIF(THAM_SO_CC!$F$10:$F$40,$D842)&gt;0,"Lễ",IF(IF(THAM_SO_CC!$B$12="T7+CN",WEEKDAY($D842,2)&gt;=6,WEEKDAY($D842,2)=7),"Nghỉ tuần","Ngày thường")))</f>
        <v/>
      </c>
      <c r="F842" s="107" t="n"/>
      <c r="G842" s="107" t="n"/>
      <c r="H842" s="107" t="n"/>
      <c r="I842" s="81" t="n"/>
      <c r="J842" s="108">
        <f>IF($B842="","",IF($E842="Ngày thường",N($G842),0))</f>
        <v/>
      </c>
      <c r="K842" s="108">
        <f>IF($B842="","",IF($E842="Nghỉ tuần",N($G842),0))</f>
        <v/>
      </c>
      <c r="L842" s="108">
        <f>IF($B842="","",IF($E842="Lễ",N($G842),0))</f>
        <v/>
      </c>
      <c r="M842" s="108">
        <f>IF($B842="","",IF($E842="Ngày thường",N($H842),0))</f>
        <v/>
      </c>
      <c r="N842" s="108">
        <f>IF($B842="","",IF($E842="Nghỉ tuần",N($H842),0))</f>
        <v/>
      </c>
      <c r="O842" s="108">
        <f>IF($B842="","",IF($E842="Lễ",N($H842),0))</f>
        <v/>
      </c>
    </row>
    <row r="843" ht="15" customHeight="1" s="63">
      <c r="A843" s="85">
        <f>IF($B843="","",ROW()-5)</f>
        <v/>
      </c>
      <c r="B843" s="97" t="n"/>
      <c r="C843" s="96">
        <f>IF($B843="","",IFERROR(INDEX(DM_NHAN_SU!$C$6:$C$155,MATCH($B843,DM_NHAN_SU!$B$6:$B$155,0)),"SAI MÃ NV"))</f>
        <v/>
      </c>
      <c r="D843" s="86" t="n"/>
      <c r="E843" s="103">
        <f>IF(OR($B843="",$D843=""),"",IF(COUNTIF(THAM_SO_CC!$F$10:$F$40,$D843)&gt;0,"Lễ",IF(IF(THAM_SO_CC!$B$12="T7+CN",WEEKDAY($D843,2)&gt;=6,WEEKDAY($D843,2)=7),"Nghỉ tuần","Ngày thường")))</f>
        <v/>
      </c>
      <c r="F843" s="107" t="n"/>
      <c r="G843" s="107" t="n"/>
      <c r="H843" s="107" t="n"/>
      <c r="I843" s="81" t="n"/>
      <c r="J843" s="108">
        <f>IF($B843="","",IF($E843="Ngày thường",N($G843),0))</f>
        <v/>
      </c>
      <c r="K843" s="108">
        <f>IF($B843="","",IF($E843="Nghỉ tuần",N($G843),0))</f>
        <v/>
      </c>
      <c r="L843" s="108">
        <f>IF($B843="","",IF($E843="Lễ",N($G843),0))</f>
        <v/>
      </c>
      <c r="M843" s="108">
        <f>IF($B843="","",IF($E843="Ngày thường",N($H843),0))</f>
        <v/>
      </c>
      <c r="N843" s="108">
        <f>IF($B843="","",IF($E843="Nghỉ tuần",N($H843),0))</f>
        <v/>
      </c>
      <c r="O843" s="108">
        <f>IF($B843="","",IF($E843="Lễ",N($H843),0))</f>
        <v/>
      </c>
    </row>
    <row r="844" ht="15" customHeight="1" s="63">
      <c r="A844" s="85">
        <f>IF($B844="","",ROW()-5)</f>
        <v/>
      </c>
      <c r="B844" s="97" t="n"/>
      <c r="C844" s="96">
        <f>IF($B844="","",IFERROR(INDEX(DM_NHAN_SU!$C$6:$C$155,MATCH($B844,DM_NHAN_SU!$B$6:$B$155,0)),"SAI MÃ NV"))</f>
        <v/>
      </c>
      <c r="D844" s="86" t="n"/>
      <c r="E844" s="103">
        <f>IF(OR($B844="",$D844=""),"",IF(COUNTIF(THAM_SO_CC!$F$10:$F$40,$D844)&gt;0,"Lễ",IF(IF(THAM_SO_CC!$B$12="T7+CN",WEEKDAY($D844,2)&gt;=6,WEEKDAY($D844,2)=7),"Nghỉ tuần","Ngày thường")))</f>
        <v/>
      </c>
      <c r="F844" s="107" t="n"/>
      <c r="G844" s="107" t="n"/>
      <c r="H844" s="107" t="n"/>
      <c r="I844" s="81" t="n"/>
      <c r="J844" s="108">
        <f>IF($B844="","",IF($E844="Ngày thường",N($G844),0))</f>
        <v/>
      </c>
      <c r="K844" s="108">
        <f>IF($B844="","",IF($E844="Nghỉ tuần",N($G844),0))</f>
        <v/>
      </c>
      <c r="L844" s="108">
        <f>IF($B844="","",IF($E844="Lễ",N($G844),0))</f>
        <v/>
      </c>
      <c r="M844" s="108">
        <f>IF($B844="","",IF($E844="Ngày thường",N($H844),0))</f>
        <v/>
      </c>
      <c r="N844" s="108">
        <f>IF($B844="","",IF($E844="Nghỉ tuần",N($H844),0))</f>
        <v/>
      </c>
      <c r="O844" s="108">
        <f>IF($B844="","",IF($E844="Lễ",N($H844),0))</f>
        <v/>
      </c>
    </row>
    <row r="845" ht="15" customHeight="1" s="63">
      <c r="A845" s="85">
        <f>IF($B845="","",ROW()-5)</f>
        <v/>
      </c>
      <c r="B845" s="97" t="n"/>
      <c r="C845" s="96">
        <f>IF($B845="","",IFERROR(INDEX(DM_NHAN_SU!$C$6:$C$155,MATCH($B845,DM_NHAN_SU!$B$6:$B$155,0)),"SAI MÃ NV"))</f>
        <v/>
      </c>
      <c r="D845" s="86" t="n"/>
      <c r="E845" s="103">
        <f>IF(OR($B845="",$D845=""),"",IF(COUNTIF(THAM_SO_CC!$F$10:$F$40,$D845)&gt;0,"Lễ",IF(IF(THAM_SO_CC!$B$12="T7+CN",WEEKDAY($D845,2)&gt;=6,WEEKDAY($D845,2)=7),"Nghỉ tuần","Ngày thường")))</f>
        <v/>
      </c>
      <c r="F845" s="107" t="n"/>
      <c r="G845" s="107" t="n"/>
      <c r="H845" s="107" t="n"/>
      <c r="I845" s="81" t="n"/>
      <c r="J845" s="108">
        <f>IF($B845="","",IF($E845="Ngày thường",N($G845),0))</f>
        <v/>
      </c>
      <c r="K845" s="108">
        <f>IF($B845="","",IF($E845="Nghỉ tuần",N($G845),0))</f>
        <v/>
      </c>
      <c r="L845" s="108">
        <f>IF($B845="","",IF($E845="Lễ",N($G845),0))</f>
        <v/>
      </c>
      <c r="M845" s="108">
        <f>IF($B845="","",IF($E845="Ngày thường",N($H845),0))</f>
        <v/>
      </c>
      <c r="N845" s="108">
        <f>IF($B845="","",IF($E845="Nghỉ tuần",N($H845),0))</f>
        <v/>
      </c>
      <c r="O845" s="108">
        <f>IF($B845="","",IF($E845="Lễ",N($H845),0))</f>
        <v/>
      </c>
    </row>
    <row r="846" ht="15" customHeight="1" s="63">
      <c r="A846" s="85">
        <f>IF($B846="","",ROW()-5)</f>
        <v/>
      </c>
      <c r="B846" s="97" t="n"/>
      <c r="C846" s="96">
        <f>IF($B846="","",IFERROR(INDEX(DM_NHAN_SU!$C$6:$C$155,MATCH($B846,DM_NHAN_SU!$B$6:$B$155,0)),"SAI MÃ NV"))</f>
        <v/>
      </c>
      <c r="D846" s="86" t="n"/>
      <c r="E846" s="103">
        <f>IF(OR($B846="",$D846=""),"",IF(COUNTIF(THAM_SO_CC!$F$10:$F$40,$D846)&gt;0,"Lễ",IF(IF(THAM_SO_CC!$B$12="T7+CN",WEEKDAY($D846,2)&gt;=6,WEEKDAY($D846,2)=7),"Nghỉ tuần","Ngày thường")))</f>
        <v/>
      </c>
      <c r="F846" s="107" t="n"/>
      <c r="G846" s="107" t="n"/>
      <c r="H846" s="107" t="n"/>
      <c r="I846" s="81" t="n"/>
      <c r="J846" s="108">
        <f>IF($B846="","",IF($E846="Ngày thường",N($G846),0))</f>
        <v/>
      </c>
      <c r="K846" s="108">
        <f>IF($B846="","",IF($E846="Nghỉ tuần",N($G846),0))</f>
        <v/>
      </c>
      <c r="L846" s="108">
        <f>IF($B846="","",IF($E846="Lễ",N($G846),0))</f>
        <v/>
      </c>
      <c r="M846" s="108">
        <f>IF($B846="","",IF($E846="Ngày thường",N($H846),0))</f>
        <v/>
      </c>
      <c r="N846" s="108">
        <f>IF($B846="","",IF($E846="Nghỉ tuần",N($H846),0))</f>
        <v/>
      </c>
      <c r="O846" s="108">
        <f>IF($B846="","",IF($E846="Lễ",N($H846),0))</f>
        <v/>
      </c>
    </row>
    <row r="847" ht="15" customHeight="1" s="63">
      <c r="A847" s="85">
        <f>IF($B847="","",ROW()-5)</f>
        <v/>
      </c>
      <c r="B847" s="97" t="n"/>
      <c r="C847" s="96">
        <f>IF($B847="","",IFERROR(INDEX(DM_NHAN_SU!$C$6:$C$155,MATCH($B847,DM_NHAN_SU!$B$6:$B$155,0)),"SAI MÃ NV"))</f>
        <v/>
      </c>
      <c r="D847" s="86" t="n"/>
      <c r="E847" s="103">
        <f>IF(OR($B847="",$D847=""),"",IF(COUNTIF(THAM_SO_CC!$F$10:$F$40,$D847)&gt;0,"Lễ",IF(IF(THAM_SO_CC!$B$12="T7+CN",WEEKDAY($D847,2)&gt;=6,WEEKDAY($D847,2)=7),"Nghỉ tuần","Ngày thường")))</f>
        <v/>
      </c>
      <c r="F847" s="107" t="n"/>
      <c r="G847" s="107" t="n"/>
      <c r="H847" s="107" t="n"/>
      <c r="I847" s="81" t="n"/>
      <c r="J847" s="108">
        <f>IF($B847="","",IF($E847="Ngày thường",N($G847),0))</f>
        <v/>
      </c>
      <c r="K847" s="108">
        <f>IF($B847="","",IF($E847="Nghỉ tuần",N($G847),0))</f>
        <v/>
      </c>
      <c r="L847" s="108">
        <f>IF($B847="","",IF($E847="Lễ",N($G847),0))</f>
        <v/>
      </c>
      <c r="M847" s="108">
        <f>IF($B847="","",IF($E847="Ngày thường",N($H847),0))</f>
        <v/>
      </c>
      <c r="N847" s="108">
        <f>IF($B847="","",IF($E847="Nghỉ tuần",N($H847),0))</f>
        <v/>
      </c>
      <c r="O847" s="108">
        <f>IF($B847="","",IF($E847="Lễ",N($H847),0))</f>
        <v/>
      </c>
    </row>
    <row r="848" ht="15" customHeight="1" s="63">
      <c r="A848" s="85">
        <f>IF($B848="","",ROW()-5)</f>
        <v/>
      </c>
      <c r="B848" s="97" t="n"/>
      <c r="C848" s="96">
        <f>IF($B848="","",IFERROR(INDEX(DM_NHAN_SU!$C$6:$C$155,MATCH($B848,DM_NHAN_SU!$B$6:$B$155,0)),"SAI MÃ NV"))</f>
        <v/>
      </c>
      <c r="D848" s="86" t="n"/>
      <c r="E848" s="103">
        <f>IF(OR($B848="",$D848=""),"",IF(COUNTIF(THAM_SO_CC!$F$10:$F$40,$D848)&gt;0,"Lễ",IF(IF(THAM_SO_CC!$B$12="T7+CN",WEEKDAY($D848,2)&gt;=6,WEEKDAY($D848,2)=7),"Nghỉ tuần","Ngày thường")))</f>
        <v/>
      </c>
      <c r="F848" s="107" t="n"/>
      <c r="G848" s="107" t="n"/>
      <c r="H848" s="107" t="n"/>
      <c r="I848" s="81" t="n"/>
      <c r="J848" s="108">
        <f>IF($B848="","",IF($E848="Ngày thường",N($G848),0))</f>
        <v/>
      </c>
      <c r="K848" s="108">
        <f>IF($B848="","",IF($E848="Nghỉ tuần",N($G848),0))</f>
        <v/>
      </c>
      <c r="L848" s="108">
        <f>IF($B848="","",IF($E848="Lễ",N($G848),0))</f>
        <v/>
      </c>
      <c r="M848" s="108">
        <f>IF($B848="","",IF($E848="Ngày thường",N($H848),0))</f>
        <v/>
      </c>
      <c r="N848" s="108">
        <f>IF($B848="","",IF($E848="Nghỉ tuần",N($H848),0))</f>
        <v/>
      </c>
      <c r="O848" s="108">
        <f>IF($B848="","",IF($E848="Lễ",N($H848),0))</f>
        <v/>
      </c>
    </row>
    <row r="849" ht="15" customHeight="1" s="63">
      <c r="A849" s="85">
        <f>IF($B849="","",ROW()-5)</f>
        <v/>
      </c>
      <c r="B849" s="97" t="n"/>
      <c r="C849" s="96">
        <f>IF($B849="","",IFERROR(INDEX(DM_NHAN_SU!$C$6:$C$155,MATCH($B849,DM_NHAN_SU!$B$6:$B$155,0)),"SAI MÃ NV"))</f>
        <v/>
      </c>
      <c r="D849" s="86" t="n"/>
      <c r="E849" s="103">
        <f>IF(OR($B849="",$D849=""),"",IF(COUNTIF(THAM_SO_CC!$F$10:$F$40,$D849)&gt;0,"Lễ",IF(IF(THAM_SO_CC!$B$12="T7+CN",WEEKDAY($D849,2)&gt;=6,WEEKDAY($D849,2)=7),"Nghỉ tuần","Ngày thường")))</f>
        <v/>
      </c>
      <c r="F849" s="107" t="n"/>
      <c r="G849" s="107" t="n"/>
      <c r="H849" s="107" t="n"/>
      <c r="I849" s="81" t="n"/>
      <c r="J849" s="108">
        <f>IF($B849="","",IF($E849="Ngày thường",N($G849),0))</f>
        <v/>
      </c>
      <c r="K849" s="108">
        <f>IF($B849="","",IF($E849="Nghỉ tuần",N($G849),0))</f>
        <v/>
      </c>
      <c r="L849" s="108">
        <f>IF($B849="","",IF($E849="Lễ",N($G849),0))</f>
        <v/>
      </c>
      <c r="M849" s="108">
        <f>IF($B849="","",IF($E849="Ngày thường",N($H849),0))</f>
        <v/>
      </c>
      <c r="N849" s="108">
        <f>IF($B849="","",IF($E849="Nghỉ tuần",N($H849),0))</f>
        <v/>
      </c>
      <c r="O849" s="108">
        <f>IF($B849="","",IF($E849="Lễ",N($H849),0))</f>
        <v/>
      </c>
    </row>
    <row r="850" ht="15" customHeight="1" s="63">
      <c r="A850" s="85">
        <f>IF($B850="","",ROW()-5)</f>
        <v/>
      </c>
      <c r="B850" s="97" t="n"/>
      <c r="C850" s="96">
        <f>IF($B850="","",IFERROR(INDEX(DM_NHAN_SU!$C$6:$C$155,MATCH($B850,DM_NHAN_SU!$B$6:$B$155,0)),"SAI MÃ NV"))</f>
        <v/>
      </c>
      <c r="D850" s="86" t="n"/>
      <c r="E850" s="103">
        <f>IF(OR($B850="",$D850=""),"",IF(COUNTIF(THAM_SO_CC!$F$10:$F$40,$D850)&gt;0,"Lễ",IF(IF(THAM_SO_CC!$B$12="T7+CN",WEEKDAY($D850,2)&gt;=6,WEEKDAY($D850,2)=7),"Nghỉ tuần","Ngày thường")))</f>
        <v/>
      </c>
      <c r="F850" s="107" t="n"/>
      <c r="G850" s="107" t="n"/>
      <c r="H850" s="107" t="n"/>
      <c r="I850" s="81" t="n"/>
      <c r="J850" s="108">
        <f>IF($B850="","",IF($E850="Ngày thường",N($G850),0))</f>
        <v/>
      </c>
      <c r="K850" s="108">
        <f>IF($B850="","",IF($E850="Nghỉ tuần",N($G850),0))</f>
        <v/>
      </c>
      <c r="L850" s="108">
        <f>IF($B850="","",IF($E850="Lễ",N($G850),0))</f>
        <v/>
      </c>
      <c r="M850" s="108">
        <f>IF($B850="","",IF($E850="Ngày thường",N($H850),0))</f>
        <v/>
      </c>
      <c r="N850" s="108">
        <f>IF($B850="","",IF($E850="Nghỉ tuần",N($H850),0))</f>
        <v/>
      </c>
      <c r="O850" s="108">
        <f>IF($B850="","",IF($E850="Lễ",N($H850),0))</f>
        <v/>
      </c>
    </row>
    <row r="851" ht="15" customHeight="1" s="63">
      <c r="A851" s="85">
        <f>IF($B851="","",ROW()-5)</f>
        <v/>
      </c>
      <c r="B851" s="97" t="n"/>
      <c r="C851" s="96">
        <f>IF($B851="","",IFERROR(INDEX(DM_NHAN_SU!$C$6:$C$155,MATCH($B851,DM_NHAN_SU!$B$6:$B$155,0)),"SAI MÃ NV"))</f>
        <v/>
      </c>
      <c r="D851" s="86" t="n"/>
      <c r="E851" s="103">
        <f>IF(OR($B851="",$D851=""),"",IF(COUNTIF(THAM_SO_CC!$F$10:$F$40,$D851)&gt;0,"Lễ",IF(IF(THAM_SO_CC!$B$12="T7+CN",WEEKDAY($D851,2)&gt;=6,WEEKDAY($D851,2)=7),"Nghỉ tuần","Ngày thường")))</f>
        <v/>
      </c>
      <c r="F851" s="107" t="n"/>
      <c r="G851" s="107" t="n"/>
      <c r="H851" s="107" t="n"/>
      <c r="I851" s="81" t="n"/>
      <c r="J851" s="108">
        <f>IF($B851="","",IF($E851="Ngày thường",N($G851),0))</f>
        <v/>
      </c>
      <c r="K851" s="108">
        <f>IF($B851="","",IF($E851="Nghỉ tuần",N($G851),0))</f>
        <v/>
      </c>
      <c r="L851" s="108">
        <f>IF($B851="","",IF($E851="Lễ",N($G851),0))</f>
        <v/>
      </c>
      <c r="M851" s="108">
        <f>IF($B851="","",IF($E851="Ngày thường",N($H851),0))</f>
        <v/>
      </c>
      <c r="N851" s="108">
        <f>IF($B851="","",IF($E851="Nghỉ tuần",N($H851),0))</f>
        <v/>
      </c>
      <c r="O851" s="108">
        <f>IF($B851="","",IF($E851="Lễ",N($H851),0))</f>
        <v/>
      </c>
    </row>
    <row r="852" ht="15" customHeight="1" s="63">
      <c r="A852" s="85">
        <f>IF($B852="","",ROW()-5)</f>
        <v/>
      </c>
      <c r="B852" s="97" t="n"/>
      <c r="C852" s="96">
        <f>IF($B852="","",IFERROR(INDEX(DM_NHAN_SU!$C$6:$C$155,MATCH($B852,DM_NHAN_SU!$B$6:$B$155,0)),"SAI MÃ NV"))</f>
        <v/>
      </c>
      <c r="D852" s="86" t="n"/>
      <c r="E852" s="103">
        <f>IF(OR($B852="",$D852=""),"",IF(COUNTIF(THAM_SO_CC!$F$10:$F$40,$D852)&gt;0,"Lễ",IF(IF(THAM_SO_CC!$B$12="T7+CN",WEEKDAY($D852,2)&gt;=6,WEEKDAY($D852,2)=7),"Nghỉ tuần","Ngày thường")))</f>
        <v/>
      </c>
      <c r="F852" s="107" t="n"/>
      <c r="G852" s="107" t="n"/>
      <c r="H852" s="107" t="n"/>
      <c r="I852" s="81" t="n"/>
      <c r="J852" s="108">
        <f>IF($B852="","",IF($E852="Ngày thường",N($G852),0))</f>
        <v/>
      </c>
      <c r="K852" s="108">
        <f>IF($B852="","",IF($E852="Nghỉ tuần",N($G852),0))</f>
        <v/>
      </c>
      <c r="L852" s="108">
        <f>IF($B852="","",IF($E852="Lễ",N($G852),0))</f>
        <v/>
      </c>
      <c r="M852" s="108">
        <f>IF($B852="","",IF($E852="Ngày thường",N($H852),0))</f>
        <v/>
      </c>
      <c r="N852" s="108">
        <f>IF($B852="","",IF($E852="Nghỉ tuần",N($H852),0))</f>
        <v/>
      </c>
      <c r="O852" s="108">
        <f>IF($B852="","",IF($E852="Lễ",N($H852),0))</f>
        <v/>
      </c>
    </row>
    <row r="853" ht="15" customHeight="1" s="63">
      <c r="A853" s="85">
        <f>IF($B853="","",ROW()-5)</f>
        <v/>
      </c>
      <c r="B853" s="97" t="n"/>
      <c r="C853" s="96">
        <f>IF($B853="","",IFERROR(INDEX(DM_NHAN_SU!$C$6:$C$155,MATCH($B853,DM_NHAN_SU!$B$6:$B$155,0)),"SAI MÃ NV"))</f>
        <v/>
      </c>
      <c r="D853" s="86" t="n"/>
      <c r="E853" s="103">
        <f>IF(OR($B853="",$D853=""),"",IF(COUNTIF(THAM_SO_CC!$F$10:$F$40,$D853)&gt;0,"Lễ",IF(IF(THAM_SO_CC!$B$12="T7+CN",WEEKDAY($D853,2)&gt;=6,WEEKDAY($D853,2)=7),"Nghỉ tuần","Ngày thường")))</f>
        <v/>
      </c>
      <c r="F853" s="107" t="n"/>
      <c r="G853" s="107" t="n"/>
      <c r="H853" s="107" t="n"/>
      <c r="I853" s="81" t="n"/>
      <c r="J853" s="108">
        <f>IF($B853="","",IF($E853="Ngày thường",N($G853),0))</f>
        <v/>
      </c>
      <c r="K853" s="108">
        <f>IF($B853="","",IF($E853="Nghỉ tuần",N($G853),0))</f>
        <v/>
      </c>
      <c r="L853" s="108">
        <f>IF($B853="","",IF($E853="Lễ",N($G853),0))</f>
        <v/>
      </c>
      <c r="M853" s="108">
        <f>IF($B853="","",IF($E853="Ngày thường",N($H853),0))</f>
        <v/>
      </c>
      <c r="N853" s="108">
        <f>IF($B853="","",IF($E853="Nghỉ tuần",N($H853),0))</f>
        <v/>
      </c>
      <c r="O853" s="108">
        <f>IF($B853="","",IF($E853="Lễ",N($H853),0))</f>
        <v/>
      </c>
    </row>
    <row r="854" ht="15" customHeight="1" s="63">
      <c r="A854" s="85">
        <f>IF($B854="","",ROW()-5)</f>
        <v/>
      </c>
      <c r="B854" s="97" t="n"/>
      <c r="C854" s="96">
        <f>IF($B854="","",IFERROR(INDEX(DM_NHAN_SU!$C$6:$C$155,MATCH($B854,DM_NHAN_SU!$B$6:$B$155,0)),"SAI MÃ NV"))</f>
        <v/>
      </c>
      <c r="D854" s="86" t="n"/>
      <c r="E854" s="103">
        <f>IF(OR($B854="",$D854=""),"",IF(COUNTIF(THAM_SO_CC!$F$10:$F$40,$D854)&gt;0,"Lễ",IF(IF(THAM_SO_CC!$B$12="T7+CN",WEEKDAY($D854,2)&gt;=6,WEEKDAY($D854,2)=7),"Nghỉ tuần","Ngày thường")))</f>
        <v/>
      </c>
      <c r="F854" s="107" t="n"/>
      <c r="G854" s="107" t="n"/>
      <c r="H854" s="107" t="n"/>
      <c r="I854" s="81" t="n"/>
      <c r="J854" s="108">
        <f>IF($B854="","",IF($E854="Ngày thường",N($G854),0))</f>
        <v/>
      </c>
      <c r="K854" s="108">
        <f>IF($B854="","",IF($E854="Nghỉ tuần",N($G854),0))</f>
        <v/>
      </c>
      <c r="L854" s="108">
        <f>IF($B854="","",IF($E854="Lễ",N($G854),0))</f>
        <v/>
      </c>
      <c r="M854" s="108">
        <f>IF($B854="","",IF($E854="Ngày thường",N($H854),0))</f>
        <v/>
      </c>
      <c r="N854" s="108">
        <f>IF($B854="","",IF($E854="Nghỉ tuần",N($H854),0))</f>
        <v/>
      </c>
      <c r="O854" s="108">
        <f>IF($B854="","",IF($E854="Lễ",N($H854),0))</f>
        <v/>
      </c>
    </row>
    <row r="855" ht="15" customHeight="1" s="63">
      <c r="A855" s="85">
        <f>IF($B855="","",ROW()-5)</f>
        <v/>
      </c>
      <c r="B855" s="97" t="n"/>
      <c r="C855" s="96">
        <f>IF($B855="","",IFERROR(INDEX(DM_NHAN_SU!$C$6:$C$155,MATCH($B855,DM_NHAN_SU!$B$6:$B$155,0)),"SAI MÃ NV"))</f>
        <v/>
      </c>
      <c r="D855" s="86" t="n"/>
      <c r="E855" s="103">
        <f>IF(OR($B855="",$D855=""),"",IF(COUNTIF(THAM_SO_CC!$F$10:$F$40,$D855)&gt;0,"Lễ",IF(IF(THAM_SO_CC!$B$12="T7+CN",WEEKDAY($D855,2)&gt;=6,WEEKDAY($D855,2)=7),"Nghỉ tuần","Ngày thường")))</f>
        <v/>
      </c>
      <c r="F855" s="107" t="n"/>
      <c r="G855" s="107" t="n"/>
      <c r="H855" s="107" t="n"/>
      <c r="I855" s="81" t="n"/>
      <c r="J855" s="108">
        <f>IF($B855="","",IF($E855="Ngày thường",N($G855),0))</f>
        <v/>
      </c>
      <c r="K855" s="108">
        <f>IF($B855="","",IF($E855="Nghỉ tuần",N($G855),0))</f>
        <v/>
      </c>
      <c r="L855" s="108">
        <f>IF($B855="","",IF($E855="Lễ",N($G855),0))</f>
        <v/>
      </c>
      <c r="M855" s="108">
        <f>IF($B855="","",IF($E855="Ngày thường",N($H855),0))</f>
        <v/>
      </c>
      <c r="N855" s="108">
        <f>IF($B855="","",IF($E855="Nghỉ tuần",N($H855),0))</f>
        <v/>
      </c>
      <c r="O855" s="108">
        <f>IF($B855="","",IF($E855="Lễ",N($H855),0))</f>
        <v/>
      </c>
    </row>
    <row r="856" ht="15" customHeight="1" s="63">
      <c r="A856" s="85">
        <f>IF($B856="","",ROW()-5)</f>
        <v/>
      </c>
      <c r="B856" s="97" t="n"/>
      <c r="C856" s="96">
        <f>IF($B856="","",IFERROR(INDEX(DM_NHAN_SU!$C$6:$C$155,MATCH($B856,DM_NHAN_SU!$B$6:$B$155,0)),"SAI MÃ NV"))</f>
        <v/>
      </c>
      <c r="D856" s="86" t="n"/>
      <c r="E856" s="103">
        <f>IF(OR($B856="",$D856=""),"",IF(COUNTIF(THAM_SO_CC!$F$10:$F$40,$D856)&gt;0,"Lễ",IF(IF(THAM_SO_CC!$B$12="T7+CN",WEEKDAY($D856,2)&gt;=6,WEEKDAY($D856,2)=7),"Nghỉ tuần","Ngày thường")))</f>
        <v/>
      </c>
      <c r="F856" s="107" t="n"/>
      <c r="G856" s="107" t="n"/>
      <c r="H856" s="107" t="n"/>
      <c r="I856" s="81" t="n"/>
      <c r="J856" s="108">
        <f>IF($B856="","",IF($E856="Ngày thường",N($G856),0))</f>
        <v/>
      </c>
      <c r="K856" s="108">
        <f>IF($B856="","",IF($E856="Nghỉ tuần",N($G856),0))</f>
        <v/>
      </c>
      <c r="L856" s="108">
        <f>IF($B856="","",IF($E856="Lễ",N($G856),0))</f>
        <v/>
      </c>
      <c r="M856" s="108">
        <f>IF($B856="","",IF($E856="Ngày thường",N($H856),0))</f>
        <v/>
      </c>
      <c r="N856" s="108">
        <f>IF($B856="","",IF($E856="Nghỉ tuần",N($H856),0))</f>
        <v/>
      </c>
      <c r="O856" s="108">
        <f>IF($B856="","",IF($E856="Lễ",N($H856),0))</f>
        <v/>
      </c>
    </row>
    <row r="857" ht="15" customHeight="1" s="63">
      <c r="A857" s="85">
        <f>IF($B857="","",ROW()-5)</f>
        <v/>
      </c>
      <c r="B857" s="97" t="n"/>
      <c r="C857" s="96">
        <f>IF($B857="","",IFERROR(INDEX(DM_NHAN_SU!$C$6:$C$155,MATCH($B857,DM_NHAN_SU!$B$6:$B$155,0)),"SAI MÃ NV"))</f>
        <v/>
      </c>
      <c r="D857" s="86" t="n"/>
      <c r="E857" s="103">
        <f>IF(OR($B857="",$D857=""),"",IF(COUNTIF(THAM_SO_CC!$F$10:$F$40,$D857)&gt;0,"Lễ",IF(IF(THAM_SO_CC!$B$12="T7+CN",WEEKDAY($D857,2)&gt;=6,WEEKDAY($D857,2)=7),"Nghỉ tuần","Ngày thường")))</f>
        <v/>
      </c>
      <c r="F857" s="107" t="n"/>
      <c r="G857" s="107" t="n"/>
      <c r="H857" s="107" t="n"/>
      <c r="I857" s="81" t="n"/>
      <c r="J857" s="108">
        <f>IF($B857="","",IF($E857="Ngày thường",N($G857),0))</f>
        <v/>
      </c>
      <c r="K857" s="108">
        <f>IF($B857="","",IF($E857="Nghỉ tuần",N($G857),0))</f>
        <v/>
      </c>
      <c r="L857" s="108">
        <f>IF($B857="","",IF($E857="Lễ",N($G857),0))</f>
        <v/>
      </c>
      <c r="M857" s="108">
        <f>IF($B857="","",IF($E857="Ngày thường",N($H857),0))</f>
        <v/>
      </c>
      <c r="N857" s="108">
        <f>IF($B857="","",IF($E857="Nghỉ tuần",N($H857),0))</f>
        <v/>
      </c>
      <c r="O857" s="108">
        <f>IF($B857="","",IF($E857="Lễ",N($H857),0))</f>
        <v/>
      </c>
    </row>
    <row r="858" ht="15" customHeight="1" s="63">
      <c r="A858" s="85">
        <f>IF($B858="","",ROW()-5)</f>
        <v/>
      </c>
      <c r="B858" s="97" t="n"/>
      <c r="C858" s="96">
        <f>IF($B858="","",IFERROR(INDEX(DM_NHAN_SU!$C$6:$C$155,MATCH($B858,DM_NHAN_SU!$B$6:$B$155,0)),"SAI MÃ NV"))</f>
        <v/>
      </c>
      <c r="D858" s="86" t="n"/>
      <c r="E858" s="103">
        <f>IF(OR($B858="",$D858=""),"",IF(COUNTIF(THAM_SO_CC!$F$10:$F$40,$D858)&gt;0,"Lễ",IF(IF(THAM_SO_CC!$B$12="T7+CN",WEEKDAY($D858,2)&gt;=6,WEEKDAY($D858,2)=7),"Nghỉ tuần","Ngày thường")))</f>
        <v/>
      </c>
      <c r="F858" s="107" t="n"/>
      <c r="G858" s="107" t="n"/>
      <c r="H858" s="107" t="n"/>
      <c r="I858" s="81" t="n"/>
      <c r="J858" s="108">
        <f>IF($B858="","",IF($E858="Ngày thường",N($G858),0))</f>
        <v/>
      </c>
      <c r="K858" s="108">
        <f>IF($B858="","",IF($E858="Nghỉ tuần",N($G858),0))</f>
        <v/>
      </c>
      <c r="L858" s="108">
        <f>IF($B858="","",IF($E858="Lễ",N($G858),0))</f>
        <v/>
      </c>
      <c r="M858" s="108">
        <f>IF($B858="","",IF($E858="Ngày thường",N($H858),0))</f>
        <v/>
      </c>
      <c r="N858" s="108">
        <f>IF($B858="","",IF($E858="Nghỉ tuần",N($H858),0))</f>
        <v/>
      </c>
      <c r="O858" s="108">
        <f>IF($B858="","",IF($E858="Lễ",N($H858),0))</f>
        <v/>
      </c>
    </row>
    <row r="859" ht="15" customHeight="1" s="63">
      <c r="A859" s="85">
        <f>IF($B859="","",ROW()-5)</f>
        <v/>
      </c>
      <c r="B859" s="97" t="n"/>
      <c r="C859" s="96">
        <f>IF($B859="","",IFERROR(INDEX(DM_NHAN_SU!$C$6:$C$155,MATCH($B859,DM_NHAN_SU!$B$6:$B$155,0)),"SAI MÃ NV"))</f>
        <v/>
      </c>
      <c r="D859" s="86" t="n"/>
      <c r="E859" s="103">
        <f>IF(OR($B859="",$D859=""),"",IF(COUNTIF(THAM_SO_CC!$F$10:$F$40,$D859)&gt;0,"Lễ",IF(IF(THAM_SO_CC!$B$12="T7+CN",WEEKDAY($D859,2)&gt;=6,WEEKDAY($D859,2)=7),"Nghỉ tuần","Ngày thường")))</f>
        <v/>
      </c>
      <c r="F859" s="107" t="n"/>
      <c r="G859" s="107" t="n"/>
      <c r="H859" s="107" t="n"/>
      <c r="I859" s="81" t="n"/>
      <c r="J859" s="108">
        <f>IF($B859="","",IF($E859="Ngày thường",N($G859),0))</f>
        <v/>
      </c>
      <c r="K859" s="108">
        <f>IF($B859="","",IF($E859="Nghỉ tuần",N($G859),0))</f>
        <v/>
      </c>
      <c r="L859" s="108">
        <f>IF($B859="","",IF($E859="Lễ",N($G859),0))</f>
        <v/>
      </c>
      <c r="M859" s="108">
        <f>IF($B859="","",IF($E859="Ngày thường",N($H859),0))</f>
        <v/>
      </c>
      <c r="N859" s="108">
        <f>IF($B859="","",IF($E859="Nghỉ tuần",N($H859),0))</f>
        <v/>
      </c>
      <c r="O859" s="108">
        <f>IF($B859="","",IF($E859="Lễ",N($H859),0))</f>
        <v/>
      </c>
    </row>
    <row r="860" ht="15" customHeight="1" s="63">
      <c r="A860" s="85">
        <f>IF($B860="","",ROW()-5)</f>
        <v/>
      </c>
      <c r="B860" s="97" t="n"/>
      <c r="C860" s="96">
        <f>IF($B860="","",IFERROR(INDEX(DM_NHAN_SU!$C$6:$C$155,MATCH($B860,DM_NHAN_SU!$B$6:$B$155,0)),"SAI MÃ NV"))</f>
        <v/>
      </c>
      <c r="D860" s="86" t="n"/>
      <c r="E860" s="103">
        <f>IF(OR($B860="",$D860=""),"",IF(COUNTIF(THAM_SO_CC!$F$10:$F$40,$D860)&gt;0,"Lễ",IF(IF(THAM_SO_CC!$B$12="T7+CN",WEEKDAY($D860,2)&gt;=6,WEEKDAY($D860,2)=7),"Nghỉ tuần","Ngày thường")))</f>
        <v/>
      </c>
      <c r="F860" s="107" t="n"/>
      <c r="G860" s="107" t="n"/>
      <c r="H860" s="107" t="n"/>
      <c r="I860" s="81" t="n"/>
      <c r="J860" s="108">
        <f>IF($B860="","",IF($E860="Ngày thường",N($G860),0))</f>
        <v/>
      </c>
      <c r="K860" s="108">
        <f>IF($B860="","",IF($E860="Nghỉ tuần",N($G860),0))</f>
        <v/>
      </c>
      <c r="L860" s="108">
        <f>IF($B860="","",IF($E860="Lễ",N($G860),0))</f>
        <v/>
      </c>
      <c r="M860" s="108">
        <f>IF($B860="","",IF($E860="Ngày thường",N($H860),0))</f>
        <v/>
      </c>
      <c r="N860" s="108">
        <f>IF($B860="","",IF($E860="Nghỉ tuần",N($H860),0))</f>
        <v/>
      </c>
      <c r="O860" s="108">
        <f>IF($B860="","",IF($E860="Lễ",N($H860),0))</f>
        <v/>
      </c>
    </row>
    <row r="861" ht="15" customHeight="1" s="63">
      <c r="A861" s="85">
        <f>IF($B861="","",ROW()-5)</f>
        <v/>
      </c>
      <c r="B861" s="97" t="n"/>
      <c r="C861" s="96">
        <f>IF($B861="","",IFERROR(INDEX(DM_NHAN_SU!$C$6:$C$155,MATCH($B861,DM_NHAN_SU!$B$6:$B$155,0)),"SAI MÃ NV"))</f>
        <v/>
      </c>
      <c r="D861" s="86" t="n"/>
      <c r="E861" s="103">
        <f>IF(OR($B861="",$D861=""),"",IF(COUNTIF(THAM_SO_CC!$F$10:$F$40,$D861)&gt;0,"Lễ",IF(IF(THAM_SO_CC!$B$12="T7+CN",WEEKDAY($D861,2)&gt;=6,WEEKDAY($D861,2)=7),"Nghỉ tuần","Ngày thường")))</f>
        <v/>
      </c>
      <c r="F861" s="107" t="n"/>
      <c r="G861" s="107" t="n"/>
      <c r="H861" s="107" t="n"/>
      <c r="I861" s="81" t="n"/>
      <c r="J861" s="108">
        <f>IF($B861="","",IF($E861="Ngày thường",N($G861),0))</f>
        <v/>
      </c>
      <c r="K861" s="108">
        <f>IF($B861="","",IF($E861="Nghỉ tuần",N($G861),0))</f>
        <v/>
      </c>
      <c r="L861" s="108">
        <f>IF($B861="","",IF($E861="Lễ",N($G861),0))</f>
        <v/>
      </c>
      <c r="M861" s="108">
        <f>IF($B861="","",IF($E861="Ngày thường",N($H861),0))</f>
        <v/>
      </c>
      <c r="N861" s="108">
        <f>IF($B861="","",IF($E861="Nghỉ tuần",N($H861),0))</f>
        <v/>
      </c>
      <c r="O861" s="108">
        <f>IF($B861="","",IF($E861="Lễ",N($H861),0))</f>
        <v/>
      </c>
    </row>
    <row r="862" ht="15" customHeight="1" s="63">
      <c r="A862" s="85">
        <f>IF($B862="","",ROW()-5)</f>
        <v/>
      </c>
      <c r="B862" s="97" t="n"/>
      <c r="C862" s="96">
        <f>IF($B862="","",IFERROR(INDEX(DM_NHAN_SU!$C$6:$C$155,MATCH($B862,DM_NHAN_SU!$B$6:$B$155,0)),"SAI MÃ NV"))</f>
        <v/>
      </c>
      <c r="D862" s="86" t="n"/>
      <c r="E862" s="103">
        <f>IF(OR($B862="",$D862=""),"",IF(COUNTIF(THAM_SO_CC!$F$10:$F$40,$D862)&gt;0,"Lễ",IF(IF(THAM_SO_CC!$B$12="T7+CN",WEEKDAY($D862,2)&gt;=6,WEEKDAY($D862,2)=7),"Nghỉ tuần","Ngày thường")))</f>
        <v/>
      </c>
      <c r="F862" s="107" t="n"/>
      <c r="G862" s="107" t="n"/>
      <c r="H862" s="107" t="n"/>
      <c r="I862" s="81" t="n"/>
      <c r="J862" s="108">
        <f>IF($B862="","",IF($E862="Ngày thường",N($G862),0))</f>
        <v/>
      </c>
      <c r="K862" s="108">
        <f>IF($B862="","",IF($E862="Nghỉ tuần",N($G862),0))</f>
        <v/>
      </c>
      <c r="L862" s="108">
        <f>IF($B862="","",IF($E862="Lễ",N($G862),0))</f>
        <v/>
      </c>
      <c r="M862" s="108">
        <f>IF($B862="","",IF($E862="Ngày thường",N($H862),0))</f>
        <v/>
      </c>
      <c r="N862" s="108">
        <f>IF($B862="","",IF($E862="Nghỉ tuần",N($H862),0))</f>
        <v/>
      </c>
      <c r="O862" s="108">
        <f>IF($B862="","",IF($E862="Lễ",N($H862),0))</f>
        <v/>
      </c>
    </row>
    <row r="863" ht="15" customHeight="1" s="63">
      <c r="A863" s="85">
        <f>IF($B863="","",ROW()-5)</f>
        <v/>
      </c>
      <c r="B863" s="97" t="n"/>
      <c r="C863" s="96">
        <f>IF($B863="","",IFERROR(INDEX(DM_NHAN_SU!$C$6:$C$155,MATCH($B863,DM_NHAN_SU!$B$6:$B$155,0)),"SAI MÃ NV"))</f>
        <v/>
      </c>
      <c r="D863" s="86" t="n"/>
      <c r="E863" s="103">
        <f>IF(OR($B863="",$D863=""),"",IF(COUNTIF(THAM_SO_CC!$F$10:$F$40,$D863)&gt;0,"Lễ",IF(IF(THAM_SO_CC!$B$12="T7+CN",WEEKDAY($D863,2)&gt;=6,WEEKDAY($D863,2)=7),"Nghỉ tuần","Ngày thường")))</f>
        <v/>
      </c>
      <c r="F863" s="107" t="n"/>
      <c r="G863" s="107" t="n"/>
      <c r="H863" s="107" t="n"/>
      <c r="I863" s="81" t="n"/>
      <c r="J863" s="108">
        <f>IF($B863="","",IF($E863="Ngày thường",N($G863),0))</f>
        <v/>
      </c>
      <c r="K863" s="108">
        <f>IF($B863="","",IF($E863="Nghỉ tuần",N($G863),0))</f>
        <v/>
      </c>
      <c r="L863" s="108">
        <f>IF($B863="","",IF($E863="Lễ",N($G863),0))</f>
        <v/>
      </c>
      <c r="M863" s="108">
        <f>IF($B863="","",IF($E863="Ngày thường",N($H863),0))</f>
        <v/>
      </c>
      <c r="N863" s="108">
        <f>IF($B863="","",IF($E863="Nghỉ tuần",N($H863),0))</f>
        <v/>
      </c>
      <c r="O863" s="108">
        <f>IF($B863="","",IF($E863="Lễ",N($H863),0))</f>
        <v/>
      </c>
    </row>
    <row r="864" ht="15" customHeight="1" s="63">
      <c r="A864" s="85">
        <f>IF($B864="","",ROW()-5)</f>
        <v/>
      </c>
      <c r="B864" s="97" t="n"/>
      <c r="C864" s="96">
        <f>IF($B864="","",IFERROR(INDEX(DM_NHAN_SU!$C$6:$C$155,MATCH($B864,DM_NHAN_SU!$B$6:$B$155,0)),"SAI MÃ NV"))</f>
        <v/>
      </c>
      <c r="D864" s="86" t="n"/>
      <c r="E864" s="103">
        <f>IF(OR($B864="",$D864=""),"",IF(COUNTIF(THAM_SO_CC!$F$10:$F$40,$D864)&gt;0,"Lễ",IF(IF(THAM_SO_CC!$B$12="T7+CN",WEEKDAY($D864,2)&gt;=6,WEEKDAY($D864,2)=7),"Nghỉ tuần","Ngày thường")))</f>
        <v/>
      </c>
      <c r="F864" s="107" t="n"/>
      <c r="G864" s="107" t="n"/>
      <c r="H864" s="107" t="n"/>
      <c r="I864" s="81" t="n"/>
      <c r="J864" s="108">
        <f>IF($B864="","",IF($E864="Ngày thường",N($G864),0))</f>
        <v/>
      </c>
      <c r="K864" s="108">
        <f>IF($B864="","",IF($E864="Nghỉ tuần",N($G864),0))</f>
        <v/>
      </c>
      <c r="L864" s="108">
        <f>IF($B864="","",IF($E864="Lễ",N($G864),0))</f>
        <v/>
      </c>
      <c r="M864" s="108">
        <f>IF($B864="","",IF($E864="Ngày thường",N($H864),0))</f>
        <v/>
      </c>
      <c r="N864" s="108">
        <f>IF($B864="","",IF($E864="Nghỉ tuần",N($H864),0))</f>
        <v/>
      </c>
      <c r="O864" s="108">
        <f>IF($B864="","",IF($E864="Lễ",N($H864),0))</f>
        <v/>
      </c>
    </row>
    <row r="865" ht="15" customHeight="1" s="63">
      <c r="A865" s="85">
        <f>IF($B865="","",ROW()-5)</f>
        <v/>
      </c>
      <c r="B865" s="97" t="n"/>
      <c r="C865" s="96">
        <f>IF($B865="","",IFERROR(INDEX(DM_NHAN_SU!$C$6:$C$155,MATCH($B865,DM_NHAN_SU!$B$6:$B$155,0)),"SAI MÃ NV"))</f>
        <v/>
      </c>
      <c r="D865" s="86" t="n"/>
      <c r="E865" s="103">
        <f>IF(OR($B865="",$D865=""),"",IF(COUNTIF(THAM_SO_CC!$F$10:$F$40,$D865)&gt;0,"Lễ",IF(IF(THAM_SO_CC!$B$12="T7+CN",WEEKDAY($D865,2)&gt;=6,WEEKDAY($D865,2)=7),"Nghỉ tuần","Ngày thường")))</f>
        <v/>
      </c>
      <c r="F865" s="107" t="n"/>
      <c r="G865" s="107" t="n"/>
      <c r="H865" s="107" t="n"/>
      <c r="I865" s="81" t="n"/>
      <c r="J865" s="108">
        <f>IF($B865="","",IF($E865="Ngày thường",N($G865),0))</f>
        <v/>
      </c>
      <c r="K865" s="108">
        <f>IF($B865="","",IF($E865="Nghỉ tuần",N($G865),0))</f>
        <v/>
      </c>
      <c r="L865" s="108">
        <f>IF($B865="","",IF($E865="Lễ",N($G865),0))</f>
        <v/>
      </c>
      <c r="M865" s="108">
        <f>IF($B865="","",IF($E865="Ngày thường",N($H865),0))</f>
        <v/>
      </c>
      <c r="N865" s="108">
        <f>IF($B865="","",IF($E865="Nghỉ tuần",N($H865),0))</f>
        <v/>
      </c>
      <c r="O865" s="108">
        <f>IF($B865="","",IF($E865="Lễ",N($H865),0))</f>
        <v/>
      </c>
    </row>
    <row r="866" ht="15" customHeight="1" s="63">
      <c r="A866" s="85">
        <f>IF($B866="","",ROW()-5)</f>
        <v/>
      </c>
      <c r="B866" s="97" t="n"/>
      <c r="C866" s="96">
        <f>IF($B866="","",IFERROR(INDEX(DM_NHAN_SU!$C$6:$C$155,MATCH($B866,DM_NHAN_SU!$B$6:$B$155,0)),"SAI MÃ NV"))</f>
        <v/>
      </c>
      <c r="D866" s="86" t="n"/>
      <c r="E866" s="103">
        <f>IF(OR($B866="",$D866=""),"",IF(COUNTIF(THAM_SO_CC!$F$10:$F$40,$D866)&gt;0,"Lễ",IF(IF(THAM_SO_CC!$B$12="T7+CN",WEEKDAY($D866,2)&gt;=6,WEEKDAY($D866,2)=7),"Nghỉ tuần","Ngày thường")))</f>
        <v/>
      </c>
      <c r="F866" s="107" t="n"/>
      <c r="G866" s="107" t="n"/>
      <c r="H866" s="107" t="n"/>
      <c r="I866" s="81" t="n"/>
      <c r="J866" s="108">
        <f>IF($B866="","",IF($E866="Ngày thường",N($G866),0))</f>
        <v/>
      </c>
      <c r="K866" s="108">
        <f>IF($B866="","",IF($E866="Nghỉ tuần",N($G866),0))</f>
        <v/>
      </c>
      <c r="L866" s="108">
        <f>IF($B866="","",IF($E866="Lễ",N($G866),0))</f>
        <v/>
      </c>
      <c r="M866" s="108">
        <f>IF($B866="","",IF($E866="Ngày thường",N($H866),0))</f>
        <v/>
      </c>
      <c r="N866" s="108">
        <f>IF($B866="","",IF($E866="Nghỉ tuần",N($H866),0))</f>
        <v/>
      </c>
      <c r="O866" s="108">
        <f>IF($B866="","",IF($E866="Lễ",N($H866),0))</f>
        <v/>
      </c>
    </row>
    <row r="867" ht="15" customHeight="1" s="63">
      <c r="A867" s="85">
        <f>IF($B867="","",ROW()-5)</f>
        <v/>
      </c>
      <c r="B867" s="97" t="n"/>
      <c r="C867" s="96">
        <f>IF($B867="","",IFERROR(INDEX(DM_NHAN_SU!$C$6:$C$155,MATCH($B867,DM_NHAN_SU!$B$6:$B$155,0)),"SAI MÃ NV"))</f>
        <v/>
      </c>
      <c r="D867" s="86" t="n"/>
      <c r="E867" s="103">
        <f>IF(OR($B867="",$D867=""),"",IF(COUNTIF(THAM_SO_CC!$F$10:$F$40,$D867)&gt;0,"Lễ",IF(IF(THAM_SO_CC!$B$12="T7+CN",WEEKDAY($D867,2)&gt;=6,WEEKDAY($D867,2)=7),"Nghỉ tuần","Ngày thường")))</f>
        <v/>
      </c>
      <c r="F867" s="107" t="n"/>
      <c r="G867" s="107" t="n"/>
      <c r="H867" s="107" t="n"/>
      <c r="I867" s="81" t="n"/>
      <c r="J867" s="108">
        <f>IF($B867="","",IF($E867="Ngày thường",N($G867),0))</f>
        <v/>
      </c>
      <c r="K867" s="108">
        <f>IF($B867="","",IF($E867="Nghỉ tuần",N($G867),0))</f>
        <v/>
      </c>
      <c r="L867" s="108">
        <f>IF($B867="","",IF($E867="Lễ",N($G867),0))</f>
        <v/>
      </c>
      <c r="M867" s="108">
        <f>IF($B867="","",IF($E867="Ngày thường",N($H867),0))</f>
        <v/>
      </c>
      <c r="N867" s="108">
        <f>IF($B867="","",IF($E867="Nghỉ tuần",N($H867),0))</f>
        <v/>
      </c>
      <c r="O867" s="108">
        <f>IF($B867="","",IF($E867="Lễ",N($H867),0))</f>
        <v/>
      </c>
    </row>
    <row r="868" ht="15" customHeight="1" s="63">
      <c r="A868" s="85">
        <f>IF($B868="","",ROW()-5)</f>
        <v/>
      </c>
      <c r="B868" s="97" t="n"/>
      <c r="C868" s="96">
        <f>IF($B868="","",IFERROR(INDEX(DM_NHAN_SU!$C$6:$C$155,MATCH($B868,DM_NHAN_SU!$B$6:$B$155,0)),"SAI MÃ NV"))</f>
        <v/>
      </c>
      <c r="D868" s="86" t="n"/>
      <c r="E868" s="103">
        <f>IF(OR($B868="",$D868=""),"",IF(COUNTIF(THAM_SO_CC!$F$10:$F$40,$D868)&gt;0,"Lễ",IF(IF(THAM_SO_CC!$B$12="T7+CN",WEEKDAY($D868,2)&gt;=6,WEEKDAY($D868,2)=7),"Nghỉ tuần","Ngày thường")))</f>
        <v/>
      </c>
      <c r="F868" s="107" t="n"/>
      <c r="G868" s="107" t="n"/>
      <c r="H868" s="107" t="n"/>
      <c r="I868" s="81" t="n"/>
      <c r="J868" s="108">
        <f>IF($B868="","",IF($E868="Ngày thường",N($G868),0))</f>
        <v/>
      </c>
      <c r="K868" s="108">
        <f>IF($B868="","",IF($E868="Nghỉ tuần",N($G868),0))</f>
        <v/>
      </c>
      <c r="L868" s="108">
        <f>IF($B868="","",IF($E868="Lễ",N($G868),0))</f>
        <v/>
      </c>
      <c r="M868" s="108">
        <f>IF($B868="","",IF($E868="Ngày thường",N($H868),0))</f>
        <v/>
      </c>
      <c r="N868" s="108">
        <f>IF($B868="","",IF($E868="Nghỉ tuần",N($H868),0))</f>
        <v/>
      </c>
      <c r="O868" s="108">
        <f>IF($B868="","",IF($E868="Lễ",N($H868),0))</f>
        <v/>
      </c>
    </row>
    <row r="869" ht="15" customHeight="1" s="63">
      <c r="A869" s="85">
        <f>IF($B869="","",ROW()-5)</f>
        <v/>
      </c>
      <c r="B869" s="97" t="n"/>
      <c r="C869" s="96">
        <f>IF($B869="","",IFERROR(INDEX(DM_NHAN_SU!$C$6:$C$155,MATCH($B869,DM_NHAN_SU!$B$6:$B$155,0)),"SAI MÃ NV"))</f>
        <v/>
      </c>
      <c r="D869" s="86" t="n"/>
      <c r="E869" s="103">
        <f>IF(OR($B869="",$D869=""),"",IF(COUNTIF(THAM_SO_CC!$F$10:$F$40,$D869)&gt;0,"Lễ",IF(IF(THAM_SO_CC!$B$12="T7+CN",WEEKDAY($D869,2)&gt;=6,WEEKDAY($D869,2)=7),"Nghỉ tuần","Ngày thường")))</f>
        <v/>
      </c>
      <c r="F869" s="107" t="n"/>
      <c r="G869" s="107" t="n"/>
      <c r="H869" s="107" t="n"/>
      <c r="I869" s="81" t="n"/>
      <c r="J869" s="108">
        <f>IF($B869="","",IF($E869="Ngày thường",N($G869),0))</f>
        <v/>
      </c>
      <c r="K869" s="108">
        <f>IF($B869="","",IF($E869="Nghỉ tuần",N($G869),0))</f>
        <v/>
      </c>
      <c r="L869" s="108">
        <f>IF($B869="","",IF($E869="Lễ",N($G869),0))</f>
        <v/>
      </c>
      <c r="M869" s="108">
        <f>IF($B869="","",IF($E869="Ngày thường",N($H869),0))</f>
        <v/>
      </c>
      <c r="N869" s="108">
        <f>IF($B869="","",IF($E869="Nghỉ tuần",N($H869),0))</f>
        <v/>
      </c>
      <c r="O869" s="108">
        <f>IF($B869="","",IF($E869="Lễ",N($H869),0))</f>
        <v/>
      </c>
    </row>
    <row r="870" ht="15" customHeight="1" s="63">
      <c r="A870" s="85">
        <f>IF($B870="","",ROW()-5)</f>
        <v/>
      </c>
      <c r="B870" s="97" t="n"/>
      <c r="C870" s="96">
        <f>IF($B870="","",IFERROR(INDEX(DM_NHAN_SU!$C$6:$C$155,MATCH($B870,DM_NHAN_SU!$B$6:$B$155,0)),"SAI MÃ NV"))</f>
        <v/>
      </c>
      <c r="D870" s="86" t="n"/>
      <c r="E870" s="103">
        <f>IF(OR($B870="",$D870=""),"",IF(COUNTIF(THAM_SO_CC!$F$10:$F$40,$D870)&gt;0,"Lễ",IF(IF(THAM_SO_CC!$B$12="T7+CN",WEEKDAY($D870,2)&gt;=6,WEEKDAY($D870,2)=7),"Nghỉ tuần","Ngày thường")))</f>
        <v/>
      </c>
      <c r="F870" s="107" t="n"/>
      <c r="G870" s="107" t="n"/>
      <c r="H870" s="107" t="n"/>
      <c r="I870" s="81" t="n"/>
      <c r="J870" s="108">
        <f>IF($B870="","",IF($E870="Ngày thường",N($G870),0))</f>
        <v/>
      </c>
      <c r="K870" s="108">
        <f>IF($B870="","",IF($E870="Nghỉ tuần",N($G870),0))</f>
        <v/>
      </c>
      <c r="L870" s="108">
        <f>IF($B870="","",IF($E870="Lễ",N($G870),0))</f>
        <v/>
      </c>
      <c r="M870" s="108">
        <f>IF($B870="","",IF($E870="Ngày thường",N($H870),0))</f>
        <v/>
      </c>
      <c r="N870" s="108">
        <f>IF($B870="","",IF($E870="Nghỉ tuần",N($H870),0))</f>
        <v/>
      </c>
      <c r="O870" s="108">
        <f>IF($B870="","",IF($E870="Lễ",N($H870),0))</f>
        <v/>
      </c>
    </row>
    <row r="871" ht="15" customHeight="1" s="63">
      <c r="A871" s="85">
        <f>IF($B871="","",ROW()-5)</f>
        <v/>
      </c>
      <c r="B871" s="97" t="n"/>
      <c r="C871" s="96">
        <f>IF($B871="","",IFERROR(INDEX(DM_NHAN_SU!$C$6:$C$155,MATCH($B871,DM_NHAN_SU!$B$6:$B$155,0)),"SAI MÃ NV"))</f>
        <v/>
      </c>
      <c r="D871" s="86" t="n"/>
      <c r="E871" s="103">
        <f>IF(OR($B871="",$D871=""),"",IF(COUNTIF(THAM_SO_CC!$F$10:$F$40,$D871)&gt;0,"Lễ",IF(IF(THAM_SO_CC!$B$12="T7+CN",WEEKDAY($D871,2)&gt;=6,WEEKDAY($D871,2)=7),"Nghỉ tuần","Ngày thường")))</f>
        <v/>
      </c>
      <c r="F871" s="107" t="n"/>
      <c r="G871" s="107" t="n"/>
      <c r="H871" s="107" t="n"/>
      <c r="I871" s="81" t="n"/>
      <c r="J871" s="108">
        <f>IF($B871="","",IF($E871="Ngày thường",N($G871),0))</f>
        <v/>
      </c>
      <c r="K871" s="108">
        <f>IF($B871="","",IF($E871="Nghỉ tuần",N($G871),0))</f>
        <v/>
      </c>
      <c r="L871" s="108">
        <f>IF($B871="","",IF($E871="Lễ",N($G871),0))</f>
        <v/>
      </c>
      <c r="M871" s="108">
        <f>IF($B871="","",IF($E871="Ngày thường",N($H871),0))</f>
        <v/>
      </c>
      <c r="N871" s="108">
        <f>IF($B871="","",IF($E871="Nghỉ tuần",N($H871),0))</f>
        <v/>
      </c>
      <c r="O871" s="108">
        <f>IF($B871="","",IF($E871="Lễ",N($H871),0))</f>
        <v/>
      </c>
    </row>
    <row r="872" ht="15" customHeight="1" s="63">
      <c r="A872" s="85">
        <f>IF($B872="","",ROW()-5)</f>
        <v/>
      </c>
      <c r="B872" s="97" t="n"/>
      <c r="C872" s="96">
        <f>IF($B872="","",IFERROR(INDEX(DM_NHAN_SU!$C$6:$C$155,MATCH($B872,DM_NHAN_SU!$B$6:$B$155,0)),"SAI MÃ NV"))</f>
        <v/>
      </c>
      <c r="D872" s="86" t="n"/>
      <c r="E872" s="103">
        <f>IF(OR($B872="",$D872=""),"",IF(COUNTIF(THAM_SO_CC!$F$10:$F$40,$D872)&gt;0,"Lễ",IF(IF(THAM_SO_CC!$B$12="T7+CN",WEEKDAY($D872,2)&gt;=6,WEEKDAY($D872,2)=7),"Nghỉ tuần","Ngày thường")))</f>
        <v/>
      </c>
      <c r="F872" s="107" t="n"/>
      <c r="G872" s="107" t="n"/>
      <c r="H872" s="107" t="n"/>
      <c r="I872" s="81" t="n"/>
      <c r="J872" s="108">
        <f>IF($B872="","",IF($E872="Ngày thường",N($G872),0))</f>
        <v/>
      </c>
      <c r="K872" s="108">
        <f>IF($B872="","",IF($E872="Nghỉ tuần",N($G872),0))</f>
        <v/>
      </c>
      <c r="L872" s="108">
        <f>IF($B872="","",IF($E872="Lễ",N($G872),0))</f>
        <v/>
      </c>
      <c r="M872" s="108">
        <f>IF($B872="","",IF($E872="Ngày thường",N($H872),0))</f>
        <v/>
      </c>
      <c r="N872" s="108">
        <f>IF($B872="","",IF($E872="Nghỉ tuần",N($H872),0))</f>
        <v/>
      </c>
      <c r="O872" s="108">
        <f>IF($B872="","",IF($E872="Lễ",N($H872),0))</f>
        <v/>
      </c>
    </row>
    <row r="873" ht="15" customHeight="1" s="63">
      <c r="A873" s="85">
        <f>IF($B873="","",ROW()-5)</f>
        <v/>
      </c>
      <c r="B873" s="97" t="n"/>
      <c r="C873" s="96">
        <f>IF($B873="","",IFERROR(INDEX(DM_NHAN_SU!$C$6:$C$155,MATCH($B873,DM_NHAN_SU!$B$6:$B$155,0)),"SAI MÃ NV"))</f>
        <v/>
      </c>
      <c r="D873" s="86" t="n"/>
      <c r="E873" s="103">
        <f>IF(OR($B873="",$D873=""),"",IF(COUNTIF(THAM_SO_CC!$F$10:$F$40,$D873)&gt;0,"Lễ",IF(IF(THAM_SO_CC!$B$12="T7+CN",WEEKDAY($D873,2)&gt;=6,WEEKDAY($D873,2)=7),"Nghỉ tuần","Ngày thường")))</f>
        <v/>
      </c>
      <c r="F873" s="107" t="n"/>
      <c r="G873" s="107" t="n"/>
      <c r="H873" s="107" t="n"/>
      <c r="I873" s="81" t="n"/>
      <c r="J873" s="108">
        <f>IF($B873="","",IF($E873="Ngày thường",N($G873),0))</f>
        <v/>
      </c>
      <c r="K873" s="108">
        <f>IF($B873="","",IF($E873="Nghỉ tuần",N($G873),0))</f>
        <v/>
      </c>
      <c r="L873" s="108">
        <f>IF($B873="","",IF($E873="Lễ",N($G873),0))</f>
        <v/>
      </c>
      <c r="M873" s="108">
        <f>IF($B873="","",IF($E873="Ngày thường",N($H873),0))</f>
        <v/>
      </c>
      <c r="N873" s="108">
        <f>IF($B873="","",IF($E873="Nghỉ tuần",N($H873),0))</f>
        <v/>
      </c>
      <c r="O873" s="108">
        <f>IF($B873="","",IF($E873="Lễ",N($H873),0))</f>
        <v/>
      </c>
    </row>
    <row r="874" ht="15" customHeight="1" s="63">
      <c r="A874" s="85">
        <f>IF($B874="","",ROW()-5)</f>
        <v/>
      </c>
      <c r="B874" s="97" t="n"/>
      <c r="C874" s="96">
        <f>IF($B874="","",IFERROR(INDEX(DM_NHAN_SU!$C$6:$C$155,MATCH($B874,DM_NHAN_SU!$B$6:$B$155,0)),"SAI MÃ NV"))</f>
        <v/>
      </c>
      <c r="D874" s="86" t="n"/>
      <c r="E874" s="103">
        <f>IF(OR($B874="",$D874=""),"",IF(COUNTIF(THAM_SO_CC!$F$10:$F$40,$D874)&gt;0,"Lễ",IF(IF(THAM_SO_CC!$B$12="T7+CN",WEEKDAY($D874,2)&gt;=6,WEEKDAY($D874,2)=7),"Nghỉ tuần","Ngày thường")))</f>
        <v/>
      </c>
      <c r="F874" s="107" t="n"/>
      <c r="G874" s="107" t="n"/>
      <c r="H874" s="107" t="n"/>
      <c r="I874" s="81" t="n"/>
      <c r="J874" s="108">
        <f>IF($B874="","",IF($E874="Ngày thường",N($G874),0))</f>
        <v/>
      </c>
      <c r="K874" s="108">
        <f>IF($B874="","",IF($E874="Nghỉ tuần",N($G874),0))</f>
        <v/>
      </c>
      <c r="L874" s="108">
        <f>IF($B874="","",IF($E874="Lễ",N($G874),0))</f>
        <v/>
      </c>
      <c r="M874" s="108">
        <f>IF($B874="","",IF($E874="Ngày thường",N($H874),0))</f>
        <v/>
      </c>
      <c r="N874" s="108">
        <f>IF($B874="","",IF($E874="Nghỉ tuần",N($H874),0))</f>
        <v/>
      </c>
      <c r="O874" s="108">
        <f>IF($B874="","",IF($E874="Lễ",N($H874),0))</f>
        <v/>
      </c>
    </row>
    <row r="875" ht="15" customHeight="1" s="63">
      <c r="A875" s="85">
        <f>IF($B875="","",ROW()-5)</f>
        <v/>
      </c>
      <c r="B875" s="97" t="n"/>
      <c r="C875" s="96">
        <f>IF($B875="","",IFERROR(INDEX(DM_NHAN_SU!$C$6:$C$155,MATCH($B875,DM_NHAN_SU!$B$6:$B$155,0)),"SAI MÃ NV"))</f>
        <v/>
      </c>
      <c r="D875" s="86" t="n"/>
      <c r="E875" s="103">
        <f>IF(OR($B875="",$D875=""),"",IF(COUNTIF(THAM_SO_CC!$F$10:$F$40,$D875)&gt;0,"Lễ",IF(IF(THAM_SO_CC!$B$12="T7+CN",WEEKDAY($D875,2)&gt;=6,WEEKDAY($D875,2)=7),"Nghỉ tuần","Ngày thường")))</f>
        <v/>
      </c>
      <c r="F875" s="107" t="n"/>
      <c r="G875" s="107" t="n"/>
      <c r="H875" s="107" t="n"/>
      <c r="I875" s="81" t="n"/>
      <c r="J875" s="108">
        <f>IF($B875="","",IF($E875="Ngày thường",N($G875),0))</f>
        <v/>
      </c>
      <c r="K875" s="108">
        <f>IF($B875="","",IF($E875="Nghỉ tuần",N($G875),0))</f>
        <v/>
      </c>
      <c r="L875" s="108">
        <f>IF($B875="","",IF($E875="Lễ",N($G875),0))</f>
        <v/>
      </c>
      <c r="M875" s="108">
        <f>IF($B875="","",IF($E875="Ngày thường",N($H875),0))</f>
        <v/>
      </c>
      <c r="N875" s="108">
        <f>IF($B875="","",IF($E875="Nghỉ tuần",N($H875),0))</f>
        <v/>
      </c>
      <c r="O875" s="108">
        <f>IF($B875="","",IF($E875="Lễ",N($H875),0))</f>
        <v/>
      </c>
    </row>
    <row r="876" ht="15" customHeight="1" s="63">
      <c r="A876" s="85">
        <f>IF($B876="","",ROW()-5)</f>
        <v/>
      </c>
      <c r="B876" s="97" t="n"/>
      <c r="C876" s="96">
        <f>IF($B876="","",IFERROR(INDEX(DM_NHAN_SU!$C$6:$C$155,MATCH($B876,DM_NHAN_SU!$B$6:$B$155,0)),"SAI MÃ NV"))</f>
        <v/>
      </c>
      <c r="D876" s="86" t="n"/>
      <c r="E876" s="103">
        <f>IF(OR($B876="",$D876=""),"",IF(COUNTIF(THAM_SO_CC!$F$10:$F$40,$D876)&gt;0,"Lễ",IF(IF(THAM_SO_CC!$B$12="T7+CN",WEEKDAY($D876,2)&gt;=6,WEEKDAY($D876,2)=7),"Nghỉ tuần","Ngày thường")))</f>
        <v/>
      </c>
      <c r="F876" s="107" t="n"/>
      <c r="G876" s="107" t="n"/>
      <c r="H876" s="107" t="n"/>
      <c r="I876" s="81" t="n"/>
      <c r="J876" s="108">
        <f>IF($B876="","",IF($E876="Ngày thường",N($G876),0))</f>
        <v/>
      </c>
      <c r="K876" s="108">
        <f>IF($B876="","",IF($E876="Nghỉ tuần",N($G876),0))</f>
        <v/>
      </c>
      <c r="L876" s="108">
        <f>IF($B876="","",IF($E876="Lễ",N($G876),0))</f>
        <v/>
      </c>
      <c r="M876" s="108">
        <f>IF($B876="","",IF($E876="Ngày thường",N($H876),0))</f>
        <v/>
      </c>
      <c r="N876" s="108">
        <f>IF($B876="","",IF($E876="Nghỉ tuần",N($H876),0))</f>
        <v/>
      </c>
      <c r="O876" s="108">
        <f>IF($B876="","",IF($E876="Lễ",N($H876),0))</f>
        <v/>
      </c>
    </row>
    <row r="877" ht="15" customHeight="1" s="63">
      <c r="A877" s="85">
        <f>IF($B877="","",ROW()-5)</f>
        <v/>
      </c>
      <c r="B877" s="97" t="n"/>
      <c r="C877" s="96">
        <f>IF($B877="","",IFERROR(INDEX(DM_NHAN_SU!$C$6:$C$155,MATCH($B877,DM_NHAN_SU!$B$6:$B$155,0)),"SAI MÃ NV"))</f>
        <v/>
      </c>
      <c r="D877" s="86" t="n"/>
      <c r="E877" s="103">
        <f>IF(OR($B877="",$D877=""),"",IF(COUNTIF(THAM_SO_CC!$F$10:$F$40,$D877)&gt;0,"Lễ",IF(IF(THAM_SO_CC!$B$12="T7+CN",WEEKDAY($D877,2)&gt;=6,WEEKDAY($D877,2)=7),"Nghỉ tuần","Ngày thường")))</f>
        <v/>
      </c>
      <c r="F877" s="107" t="n"/>
      <c r="G877" s="107" t="n"/>
      <c r="H877" s="107" t="n"/>
      <c r="I877" s="81" t="n"/>
      <c r="J877" s="108">
        <f>IF($B877="","",IF($E877="Ngày thường",N($G877),0))</f>
        <v/>
      </c>
      <c r="K877" s="108">
        <f>IF($B877="","",IF($E877="Nghỉ tuần",N($G877),0))</f>
        <v/>
      </c>
      <c r="L877" s="108">
        <f>IF($B877="","",IF($E877="Lễ",N($G877),0))</f>
        <v/>
      </c>
      <c r="M877" s="108">
        <f>IF($B877="","",IF($E877="Ngày thường",N($H877),0))</f>
        <v/>
      </c>
      <c r="N877" s="108">
        <f>IF($B877="","",IF($E877="Nghỉ tuần",N($H877),0))</f>
        <v/>
      </c>
      <c r="O877" s="108">
        <f>IF($B877="","",IF($E877="Lễ",N($H877),0))</f>
        <v/>
      </c>
    </row>
    <row r="878" ht="15" customHeight="1" s="63">
      <c r="A878" s="85">
        <f>IF($B878="","",ROW()-5)</f>
        <v/>
      </c>
      <c r="B878" s="97" t="n"/>
      <c r="C878" s="96">
        <f>IF($B878="","",IFERROR(INDEX(DM_NHAN_SU!$C$6:$C$155,MATCH($B878,DM_NHAN_SU!$B$6:$B$155,0)),"SAI MÃ NV"))</f>
        <v/>
      </c>
      <c r="D878" s="86" t="n"/>
      <c r="E878" s="103">
        <f>IF(OR($B878="",$D878=""),"",IF(COUNTIF(THAM_SO_CC!$F$10:$F$40,$D878)&gt;0,"Lễ",IF(IF(THAM_SO_CC!$B$12="T7+CN",WEEKDAY($D878,2)&gt;=6,WEEKDAY($D878,2)=7),"Nghỉ tuần","Ngày thường")))</f>
        <v/>
      </c>
      <c r="F878" s="107" t="n"/>
      <c r="G878" s="107" t="n"/>
      <c r="H878" s="107" t="n"/>
      <c r="I878" s="81" t="n"/>
      <c r="J878" s="108">
        <f>IF($B878="","",IF($E878="Ngày thường",N($G878),0))</f>
        <v/>
      </c>
      <c r="K878" s="108">
        <f>IF($B878="","",IF($E878="Nghỉ tuần",N($G878),0))</f>
        <v/>
      </c>
      <c r="L878" s="108">
        <f>IF($B878="","",IF($E878="Lễ",N($G878),0))</f>
        <v/>
      </c>
      <c r="M878" s="108">
        <f>IF($B878="","",IF($E878="Ngày thường",N($H878),0))</f>
        <v/>
      </c>
      <c r="N878" s="108">
        <f>IF($B878="","",IF($E878="Nghỉ tuần",N($H878),0))</f>
        <v/>
      </c>
      <c r="O878" s="108">
        <f>IF($B878="","",IF($E878="Lễ",N($H878),0))</f>
        <v/>
      </c>
    </row>
    <row r="879" ht="15" customHeight="1" s="63">
      <c r="A879" s="85">
        <f>IF($B879="","",ROW()-5)</f>
        <v/>
      </c>
      <c r="B879" s="97" t="n"/>
      <c r="C879" s="96">
        <f>IF($B879="","",IFERROR(INDEX(DM_NHAN_SU!$C$6:$C$155,MATCH($B879,DM_NHAN_SU!$B$6:$B$155,0)),"SAI MÃ NV"))</f>
        <v/>
      </c>
      <c r="D879" s="86" t="n"/>
      <c r="E879" s="103">
        <f>IF(OR($B879="",$D879=""),"",IF(COUNTIF(THAM_SO_CC!$F$10:$F$40,$D879)&gt;0,"Lễ",IF(IF(THAM_SO_CC!$B$12="T7+CN",WEEKDAY($D879,2)&gt;=6,WEEKDAY($D879,2)=7),"Nghỉ tuần","Ngày thường")))</f>
        <v/>
      </c>
      <c r="F879" s="107" t="n"/>
      <c r="G879" s="107" t="n"/>
      <c r="H879" s="107" t="n"/>
      <c r="I879" s="81" t="n"/>
      <c r="J879" s="108">
        <f>IF($B879="","",IF($E879="Ngày thường",N($G879),0))</f>
        <v/>
      </c>
      <c r="K879" s="108">
        <f>IF($B879="","",IF($E879="Nghỉ tuần",N($G879),0))</f>
        <v/>
      </c>
      <c r="L879" s="108">
        <f>IF($B879="","",IF($E879="Lễ",N($G879),0))</f>
        <v/>
      </c>
      <c r="M879" s="108">
        <f>IF($B879="","",IF($E879="Ngày thường",N($H879),0))</f>
        <v/>
      </c>
      <c r="N879" s="108">
        <f>IF($B879="","",IF($E879="Nghỉ tuần",N($H879),0))</f>
        <v/>
      </c>
      <c r="O879" s="108">
        <f>IF($B879="","",IF($E879="Lễ",N($H879),0))</f>
        <v/>
      </c>
    </row>
    <row r="880" ht="15" customHeight="1" s="63">
      <c r="A880" s="85">
        <f>IF($B880="","",ROW()-5)</f>
        <v/>
      </c>
      <c r="B880" s="97" t="n"/>
      <c r="C880" s="96">
        <f>IF($B880="","",IFERROR(INDEX(DM_NHAN_SU!$C$6:$C$155,MATCH($B880,DM_NHAN_SU!$B$6:$B$155,0)),"SAI MÃ NV"))</f>
        <v/>
      </c>
      <c r="D880" s="86" t="n"/>
      <c r="E880" s="103">
        <f>IF(OR($B880="",$D880=""),"",IF(COUNTIF(THAM_SO_CC!$F$10:$F$40,$D880)&gt;0,"Lễ",IF(IF(THAM_SO_CC!$B$12="T7+CN",WEEKDAY($D880,2)&gt;=6,WEEKDAY($D880,2)=7),"Nghỉ tuần","Ngày thường")))</f>
        <v/>
      </c>
      <c r="F880" s="107" t="n"/>
      <c r="G880" s="107" t="n"/>
      <c r="H880" s="107" t="n"/>
      <c r="I880" s="81" t="n"/>
      <c r="J880" s="108">
        <f>IF($B880="","",IF($E880="Ngày thường",N($G880),0))</f>
        <v/>
      </c>
      <c r="K880" s="108">
        <f>IF($B880="","",IF($E880="Nghỉ tuần",N($G880),0))</f>
        <v/>
      </c>
      <c r="L880" s="108">
        <f>IF($B880="","",IF($E880="Lễ",N($G880),0))</f>
        <v/>
      </c>
      <c r="M880" s="108">
        <f>IF($B880="","",IF($E880="Ngày thường",N($H880),0))</f>
        <v/>
      </c>
      <c r="N880" s="108">
        <f>IF($B880="","",IF($E880="Nghỉ tuần",N($H880),0))</f>
        <v/>
      </c>
      <c r="O880" s="108">
        <f>IF($B880="","",IF($E880="Lễ",N($H880),0))</f>
        <v/>
      </c>
    </row>
    <row r="881" ht="15" customHeight="1" s="63">
      <c r="A881" s="85">
        <f>IF($B881="","",ROW()-5)</f>
        <v/>
      </c>
      <c r="B881" s="97" t="n"/>
      <c r="C881" s="96">
        <f>IF($B881="","",IFERROR(INDEX(DM_NHAN_SU!$C$6:$C$155,MATCH($B881,DM_NHAN_SU!$B$6:$B$155,0)),"SAI MÃ NV"))</f>
        <v/>
      </c>
      <c r="D881" s="86" t="n"/>
      <c r="E881" s="103">
        <f>IF(OR($B881="",$D881=""),"",IF(COUNTIF(THAM_SO_CC!$F$10:$F$40,$D881)&gt;0,"Lễ",IF(IF(THAM_SO_CC!$B$12="T7+CN",WEEKDAY($D881,2)&gt;=6,WEEKDAY($D881,2)=7),"Nghỉ tuần","Ngày thường")))</f>
        <v/>
      </c>
      <c r="F881" s="107" t="n"/>
      <c r="G881" s="107" t="n"/>
      <c r="H881" s="107" t="n"/>
      <c r="I881" s="81" t="n"/>
      <c r="J881" s="108">
        <f>IF($B881="","",IF($E881="Ngày thường",N($G881),0))</f>
        <v/>
      </c>
      <c r="K881" s="108">
        <f>IF($B881="","",IF($E881="Nghỉ tuần",N($G881),0))</f>
        <v/>
      </c>
      <c r="L881" s="108">
        <f>IF($B881="","",IF($E881="Lễ",N($G881),0))</f>
        <v/>
      </c>
      <c r="M881" s="108">
        <f>IF($B881="","",IF($E881="Ngày thường",N($H881),0))</f>
        <v/>
      </c>
      <c r="N881" s="108">
        <f>IF($B881="","",IF($E881="Nghỉ tuần",N($H881),0))</f>
        <v/>
      </c>
      <c r="O881" s="108">
        <f>IF($B881="","",IF($E881="Lễ",N($H881),0))</f>
        <v/>
      </c>
    </row>
    <row r="882" ht="15" customHeight="1" s="63">
      <c r="A882" s="85">
        <f>IF($B882="","",ROW()-5)</f>
        <v/>
      </c>
      <c r="B882" s="97" t="n"/>
      <c r="C882" s="96">
        <f>IF($B882="","",IFERROR(INDEX(DM_NHAN_SU!$C$6:$C$155,MATCH($B882,DM_NHAN_SU!$B$6:$B$155,0)),"SAI MÃ NV"))</f>
        <v/>
      </c>
      <c r="D882" s="86" t="n"/>
      <c r="E882" s="103">
        <f>IF(OR($B882="",$D882=""),"",IF(COUNTIF(THAM_SO_CC!$F$10:$F$40,$D882)&gt;0,"Lễ",IF(IF(THAM_SO_CC!$B$12="T7+CN",WEEKDAY($D882,2)&gt;=6,WEEKDAY($D882,2)=7),"Nghỉ tuần","Ngày thường")))</f>
        <v/>
      </c>
      <c r="F882" s="107" t="n"/>
      <c r="G882" s="107" t="n"/>
      <c r="H882" s="107" t="n"/>
      <c r="I882" s="81" t="n"/>
      <c r="J882" s="108">
        <f>IF($B882="","",IF($E882="Ngày thường",N($G882),0))</f>
        <v/>
      </c>
      <c r="K882" s="108">
        <f>IF($B882="","",IF($E882="Nghỉ tuần",N($G882),0))</f>
        <v/>
      </c>
      <c r="L882" s="108">
        <f>IF($B882="","",IF($E882="Lễ",N($G882),0))</f>
        <v/>
      </c>
      <c r="M882" s="108">
        <f>IF($B882="","",IF($E882="Ngày thường",N($H882),0))</f>
        <v/>
      </c>
      <c r="N882" s="108">
        <f>IF($B882="","",IF($E882="Nghỉ tuần",N($H882),0))</f>
        <v/>
      </c>
      <c r="O882" s="108">
        <f>IF($B882="","",IF($E882="Lễ",N($H882),0))</f>
        <v/>
      </c>
    </row>
    <row r="883" ht="15" customHeight="1" s="63">
      <c r="A883" s="85">
        <f>IF($B883="","",ROW()-5)</f>
        <v/>
      </c>
      <c r="B883" s="97" t="n"/>
      <c r="C883" s="96">
        <f>IF($B883="","",IFERROR(INDEX(DM_NHAN_SU!$C$6:$C$155,MATCH($B883,DM_NHAN_SU!$B$6:$B$155,0)),"SAI MÃ NV"))</f>
        <v/>
      </c>
      <c r="D883" s="86" t="n"/>
      <c r="E883" s="103">
        <f>IF(OR($B883="",$D883=""),"",IF(COUNTIF(THAM_SO_CC!$F$10:$F$40,$D883)&gt;0,"Lễ",IF(IF(THAM_SO_CC!$B$12="T7+CN",WEEKDAY($D883,2)&gt;=6,WEEKDAY($D883,2)=7),"Nghỉ tuần","Ngày thường")))</f>
        <v/>
      </c>
      <c r="F883" s="107" t="n"/>
      <c r="G883" s="107" t="n"/>
      <c r="H883" s="107" t="n"/>
      <c r="I883" s="81" t="n"/>
      <c r="J883" s="108">
        <f>IF($B883="","",IF($E883="Ngày thường",N($G883),0))</f>
        <v/>
      </c>
      <c r="K883" s="108">
        <f>IF($B883="","",IF($E883="Nghỉ tuần",N($G883),0))</f>
        <v/>
      </c>
      <c r="L883" s="108">
        <f>IF($B883="","",IF($E883="Lễ",N($G883),0))</f>
        <v/>
      </c>
      <c r="M883" s="108">
        <f>IF($B883="","",IF($E883="Ngày thường",N($H883),0))</f>
        <v/>
      </c>
      <c r="N883" s="108">
        <f>IF($B883="","",IF($E883="Nghỉ tuần",N($H883),0))</f>
        <v/>
      </c>
      <c r="O883" s="108">
        <f>IF($B883="","",IF($E883="Lễ",N($H883),0))</f>
        <v/>
      </c>
    </row>
    <row r="884" ht="15" customHeight="1" s="63">
      <c r="A884" s="85">
        <f>IF($B884="","",ROW()-5)</f>
        <v/>
      </c>
      <c r="B884" s="97" t="n"/>
      <c r="C884" s="96">
        <f>IF($B884="","",IFERROR(INDEX(DM_NHAN_SU!$C$6:$C$155,MATCH($B884,DM_NHAN_SU!$B$6:$B$155,0)),"SAI MÃ NV"))</f>
        <v/>
      </c>
      <c r="D884" s="86" t="n"/>
      <c r="E884" s="103">
        <f>IF(OR($B884="",$D884=""),"",IF(COUNTIF(THAM_SO_CC!$F$10:$F$40,$D884)&gt;0,"Lễ",IF(IF(THAM_SO_CC!$B$12="T7+CN",WEEKDAY($D884,2)&gt;=6,WEEKDAY($D884,2)=7),"Nghỉ tuần","Ngày thường")))</f>
        <v/>
      </c>
      <c r="F884" s="107" t="n"/>
      <c r="G884" s="107" t="n"/>
      <c r="H884" s="107" t="n"/>
      <c r="I884" s="81" t="n"/>
      <c r="J884" s="108">
        <f>IF($B884="","",IF($E884="Ngày thường",N($G884),0))</f>
        <v/>
      </c>
      <c r="K884" s="108">
        <f>IF($B884="","",IF($E884="Nghỉ tuần",N($G884),0))</f>
        <v/>
      </c>
      <c r="L884" s="108">
        <f>IF($B884="","",IF($E884="Lễ",N($G884),0))</f>
        <v/>
      </c>
      <c r="M884" s="108">
        <f>IF($B884="","",IF($E884="Ngày thường",N($H884),0))</f>
        <v/>
      </c>
      <c r="N884" s="108">
        <f>IF($B884="","",IF($E884="Nghỉ tuần",N($H884),0))</f>
        <v/>
      </c>
      <c r="O884" s="108">
        <f>IF($B884="","",IF($E884="Lễ",N($H884),0))</f>
        <v/>
      </c>
    </row>
    <row r="885" ht="15" customHeight="1" s="63">
      <c r="A885" s="85">
        <f>IF($B885="","",ROW()-5)</f>
        <v/>
      </c>
      <c r="B885" s="97" t="n"/>
      <c r="C885" s="96">
        <f>IF($B885="","",IFERROR(INDEX(DM_NHAN_SU!$C$6:$C$155,MATCH($B885,DM_NHAN_SU!$B$6:$B$155,0)),"SAI MÃ NV"))</f>
        <v/>
      </c>
      <c r="D885" s="86" t="n"/>
      <c r="E885" s="103">
        <f>IF(OR($B885="",$D885=""),"",IF(COUNTIF(THAM_SO_CC!$F$10:$F$40,$D885)&gt;0,"Lễ",IF(IF(THAM_SO_CC!$B$12="T7+CN",WEEKDAY($D885,2)&gt;=6,WEEKDAY($D885,2)=7),"Nghỉ tuần","Ngày thường")))</f>
        <v/>
      </c>
      <c r="F885" s="107" t="n"/>
      <c r="G885" s="107" t="n"/>
      <c r="H885" s="107" t="n"/>
      <c r="I885" s="81" t="n"/>
      <c r="J885" s="108">
        <f>IF($B885="","",IF($E885="Ngày thường",N($G885),0))</f>
        <v/>
      </c>
      <c r="K885" s="108">
        <f>IF($B885="","",IF($E885="Nghỉ tuần",N($G885),0))</f>
        <v/>
      </c>
      <c r="L885" s="108">
        <f>IF($B885="","",IF($E885="Lễ",N($G885),0))</f>
        <v/>
      </c>
      <c r="M885" s="108">
        <f>IF($B885="","",IF($E885="Ngày thường",N($H885),0))</f>
        <v/>
      </c>
      <c r="N885" s="108">
        <f>IF($B885="","",IF($E885="Nghỉ tuần",N($H885),0))</f>
        <v/>
      </c>
      <c r="O885" s="108">
        <f>IF($B885="","",IF($E885="Lễ",N($H885),0))</f>
        <v/>
      </c>
    </row>
    <row r="886" ht="15" customHeight="1" s="63">
      <c r="A886" s="85">
        <f>IF($B886="","",ROW()-5)</f>
        <v/>
      </c>
      <c r="B886" s="97" t="n"/>
      <c r="C886" s="96">
        <f>IF($B886="","",IFERROR(INDEX(DM_NHAN_SU!$C$6:$C$155,MATCH($B886,DM_NHAN_SU!$B$6:$B$155,0)),"SAI MÃ NV"))</f>
        <v/>
      </c>
      <c r="D886" s="86" t="n"/>
      <c r="E886" s="103">
        <f>IF(OR($B886="",$D886=""),"",IF(COUNTIF(THAM_SO_CC!$F$10:$F$40,$D886)&gt;0,"Lễ",IF(IF(THAM_SO_CC!$B$12="T7+CN",WEEKDAY($D886,2)&gt;=6,WEEKDAY($D886,2)=7),"Nghỉ tuần","Ngày thường")))</f>
        <v/>
      </c>
      <c r="F886" s="107" t="n"/>
      <c r="G886" s="107" t="n"/>
      <c r="H886" s="107" t="n"/>
      <c r="I886" s="81" t="n"/>
      <c r="J886" s="108">
        <f>IF($B886="","",IF($E886="Ngày thường",N($G886),0))</f>
        <v/>
      </c>
      <c r="K886" s="108">
        <f>IF($B886="","",IF($E886="Nghỉ tuần",N($G886),0))</f>
        <v/>
      </c>
      <c r="L886" s="108">
        <f>IF($B886="","",IF($E886="Lễ",N($G886),0))</f>
        <v/>
      </c>
      <c r="M886" s="108">
        <f>IF($B886="","",IF($E886="Ngày thường",N($H886),0))</f>
        <v/>
      </c>
      <c r="N886" s="108">
        <f>IF($B886="","",IF($E886="Nghỉ tuần",N($H886),0))</f>
        <v/>
      </c>
      <c r="O886" s="108">
        <f>IF($B886="","",IF($E886="Lễ",N($H886),0))</f>
        <v/>
      </c>
    </row>
    <row r="887" ht="15" customHeight="1" s="63">
      <c r="A887" s="85">
        <f>IF($B887="","",ROW()-5)</f>
        <v/>
      </c>
      <c r="B887" s="97" t="n"/>
      <c r="C887" s="96">
        <f>IF($B887="","",IFERROR(INDEX(DM_NHAN_SU!$C$6:$C$155,MATCH($B887,DM_NHAN_SU!$B$6:$B$155,0)),"SAI MÃ NV"))</f>
        <v/>
      </c>
      <c r="D887" s="86" t="n"/>
      <c r="E887" s="103">
        <f>IF(OR($B887="",$D887=""),"",IF(COUNTIF(THAM_SO_CC!$F$10:$F$40,$D887)&gt;0,"Lễ",IF(IF(THAM_SO_CC!$B$12="T7+CN",WEEKDAY($D887,2)&gt;=6,WEEKDAY($D887,2)=7),"Nghỉ tuần","Ngày thường")))</f>
        <v/>
      </c>
      <c r="F887" s="107" t="n"/>
      <c r="G887" s="107" t="n"/>
      <c r="H887" s="107" t="n"/>
      <c r="I887" s="81" t="n"/>
      <c r="J887" s="108">
        <f>IF($B887="","",IF($E887="Ngày thường",N($G887),0))</f>
        <v/>
      </c>
      <c r="K887" s="108">
        <f>IF($B887="","",IF($E887="Nghỉ tuần",N($G887),0))</f>
        <v/>
      </c>
      <c r="L887" s="108">
        <f>IF($B887="","",IF($E887="Lễ",N($G887),0))</f>
        <v/>
      </c>
      <c r="M887" s="108">
        <f>IF($B887="","",IF($E887="Ngày thường",N($H887),0))</f>
        <v/>
      </c>
      <c r="N887" s="108">
        <f>IF($B887="","",IF($E887="Nghỉ tuần",N($H887),0))</f>
        <v/>
      </c>
      <c r="O887" s="108">
        <f>IF($B887="","",IF($E887="Lễ",N($H887),0))</f>
        <v/>
      </c>
    </row>
    <row r="888" ht="15" customHeight="1" s="63">
      <c r="A888" s="85">
        <f>IF($B888="","",ROW()-5)</f>
        <v/>
      </c>
      <c r="B888" s="97" t="n"/>
      <c r="C888" s="96">
        <f>IF($B888="","",IFERROR(INDEX(DM_NHAN_SU!$C$6:$C$155,MATCH($B888,DM_NHAN_SU!$B$6:$B$155,0)),"SAI MÃ NV"))</f>
        <v/>
      </c>
      <c r="D888" s="86" t="n"/>
      <c r="E888" s="103">
        <f>IF(OR($B888="",$D888=""),"",IF(COUNTIF(THAM_SO_CC!$F$10:$F$40,$D888)&gt;0,"Lễ",IF(IF(THAM_SO_CC!$B$12="T7+CN",WEEKDAY($D888,2)&gt;=6,WEEKDAY($D888,2)=7),"Nghỉ tuần","Ngày thường")))</f>
        <v/>
      </c>
      <c r="F888" s="107" t="n"/>
      <c r="G888" s="107" t="n"/>
      <c r="H888" s="107" t="n"/>
      <c r="I888" s="81" t="n"/>
      <c r="J888" s="108">
        <f>IF($B888="","",IF($E888="Ngày thường",N($G888),0))</f>
        <v/>
      </c>
      <c r="K888" s="108">
        <f>IF($B888="","",IF($E888="Nghỉ tuần",N($G888),0))</f>
        <v/>
      </c>
      <c r="L888" s="108">
        <f>IF($B888="","",IF($E888="Lễ",N($G888),0))</f>
        <v/>
      </c>
      <c r="M888" s="108">
        <f>IF($B888="","",IF($E888="Ngày thường",N($H888),0))</f>
        <v/>
      </c>
      <c r="N888" s="108">
        <f>IF($B888="","",IF($E888="Nghỉ tuần",N($H888),0))</f>
        <v/>
      </c>
      <c r="O888" s="108">
        <f>IF($B888="","",IF($E888="Lễ",N($H888),0))</f>
        <v/>
      </c>
    </row>
    <row r="889" ht="15" customHeight="1" s="63">
      <c r="A889" s="85">
        <f>IF($B889="","",ROW()-5)</f>
        <v/>
      </c>
      <c r="B889" s="97" t="n"/>
      <c r="C889" s="96">
        <f>IF($B889="","",IFERROR(INDEX(DM_NHAN_SU!$C$6:$C$155,MATCH($B889,DM_NHAN_SU!$B$6:$B$155,0)),"SAI MÃ NV"))</f>
        <v/>
      </c>
      <c r="D889" s="86" t="n"/>
      <c r="E889" s="103">
        <f>IF(OR($B889="",$D889=""),"",IF(COUNTIF(THAM_SO_CC!$F$10:$F$40,$D889)&gt;0,"Lễ",IF(IF(THAM_SO_CC!$B$12="T7+CN",WEEKDAY($D889,2)&gt;=6,WEEKDAY($D889,2)=7),"Nghỉ tuần","Ngày thường")))</f>
        <v/>
      </c>
      <c r="F889" s="107" t="n"/>
      <c r="G889" s="107" t="n"/>
      <c r="H889" s="107" t="n"/>
      <c r="I889" s="81" t="n"/>
      <c r="J889" s="108">
        <f>IF($B889="","",IF($E889="Ngày thường",N($G889),0))</f>
        <v/>
      </c>
      <c r="K889" s="108">
        <f>IF($B889="","",IF($E889="Nghỉ tuần",N($G889),0))</f>
        <v/>
      </c>
      <c r="L889" s="108">
        <f>IF($B889="","",IF($E889="Lễ",N($G889),0))</f>
        <v/>
      </c>
      <c r="M889" s="108">
        <f>IF($B889="","",IF($E889="Ngày thường",N($H889),0))</f>
        <v/>
      </c>
      <c r="N889" s="108">
        <f>IF($B889="","",IF($E889="Nghỉ tuần",N($H889),0))</f>
        <v/>
      </c>
      <c r="O889" s="108">
        <f>IF($B889="","",IF($E889="Lễ",N($H889),0))</f>
        <v/>
      </c>
    </row>
    <row r="890" ht="15" customHeight="1" s="63">
      <c r="A890" s="85">
        <f>IF($B890="","",ROW()-5)</f>
        <v/>
      </c>
      <c r="B890" s="97" t="n"/>
      <c r="C890" s="96">
        <f>IF($B890="","",IFERROR(INDEX(DM_NHAN_SU!$C$6:$C$155,MATCH($B890,DM_NHAN_SU!$B$6:$B$155,0)),"SAI MÃ NV"))</f>
        <v/>
      </c>
      <c r="D890" s="86" t="n"/>
      <c r="E890" s="103">
        <f>IF(OR($B890="",$D890=""),"",IF(COUNTIF(THAM_SO_CC!$F$10:$F$40,$D890)&gt;0,"Lễ",IF(IF(THAM_SO_CC!$B$12="T7+CN",WEEKDAY($D890,2)&gt;=6,WEEKDAY($D890,2)=7),"Nghỉ tuần","Ngày thường")))</f>
        <v/>
      </c>
      <c r="F890" s="107" t="n"/>
      <c r="G890" s="107" t="n"/>
      <c r="H890" s="107" t="n"/>
      <c r="I890" s="81" t="n"/>
      <c r="J890" s="108">
        <f>IF($B890="","",IF($E890="Ngày thường",N($G890),0))</f>
        <v/>
      </c>
      <c r="K890" s="108">
        <f>IF($B890="","",IF($E890="Nghỉ tuần",N($G890),0))</f>
        <v/>
      </c>
      <c r="L890" s="108">
        <f>IF($B890="","",IF($E890="Lễ",N($G890),0))</f>
        <v/>
      </c>
      <c r="M890" s="108">
        <f>IF($B890="","",IF($E890="Ngày thường",N($H890),0))</f>
        <v/>
      </c>
      <c r="N890" s="108">
        <f>IF($B890="","",IF($E890="Nghỉ tuần",N($H890),0))</f>
        <v/>
      </c>
      <c r="O890" s="108">
        <f>IF($B890="","",IF($E890="Lễ",N($H890),0))</f>
        <v/>
      </c>
    </row>
    <row r="891" ht="15" customHeight="1" s="63">
      <c r="A891" s="85">
        <f>IF($B891="","",ROW()-5)</f>
        <v/>
      </c>
      <c r="B891" s="97" t="n"/>
      <c r="C891" s="96">
        <f>IF($B891="","",IFERROR(INDEX(DM_NHAN_SU!$C$6:$C$155,MATCH($B891,DM_NHAN_SU!$B$6:$B$155,0)),"SAI MÃ NV"))</f>
        <v/>
      </c>
      <c r="D891" s="86" t="n"/>
      <c r="E891" s="103">
        <f>IF(OR($B891="",$D891=""),"",IF(COUNTIF(THAM_SO_CC!$F$10:$F$40,$D891)&gt;0,"Lễ",IF(IF(THAM_SO_CC!$B$12="T7+CN",WEEKDAY($D891,2)&gt;=6,WEEKDAY($D891,2)=7),"Nghỉ tuần","Ngày thường")))</f>
        <v/>
      </c>
      <c r="F891" s="107" t="n"/>
      <c r="G891" s="107" t="n"/>
      <c r="H891" s="107" t="n"/>
      <c r="I891" s="81" t="n"/>
      <c r="J891" s="108">
        <f>IF($B891="","",IF($E891="Ngày thường",N($G891),0))</f>
        <v/>
      </c>
      <c r="K891" s="108">
        <f>IF($B891="","",IF($E891="Nghỉ tuần",N($G891),0))</f>
        <v/>
      </c>
      <c r="L891" s="108">
        <f>IF($B891="","",IF($E891="Lễ",N($G891),0))</f>
        <v/>
      </c>
      <c r="M891" s="108">
        <f>IF($B891="","",IF($E891="Ngày thường",N($H891),0))</f>
        <v/>
      </c>
      <c r="N891" s="108">
        <f>IF($B891="","",IF($E891="Nghỉ tuần",N($H891),0))</f>
        <v/>
      </c>
      <c r="O891" s="108">
        <f>IF($B891="","",IF($E891="Lễ",N($H891),0))</f>
        <v/>
      </c>
    </row>
    <row r="892" ht="15" customHeight="1" s="63">
      <c r="A892" s="85">
        <f>IF($B892="","",ROW()-5)</f>
        <v/>
      </c>
      <c r="B892" s="97" t="n"/>
      <c r="C892" s="96">
        <f>IF($B892="","",IFERROR(INDEX(DM_NHAN_SU!$C$6:$C$155,MATCH($B892,DM_NHAN_SU!$B$6:$B$155,0)),"SAI MÃ NV"))</f>
        <v/>
      </c>
      <c r="D892" s="86" t="n"/>
      <c r="E892" s="103">
        <f>IF(OR($B892="",$D892=""),"",IF(COUNTIF(THAM_SO_CC!$F$10:$F$40,$D892)&gt;0,"Lễ",IF(IF(THAM_SO_CC!$B$12="T7+CN",WEEKDAY($D892,2)&gt;=6,WEEKDAY($D892,2)=7),"Nghỉ tuần","Ngày thường")))</f>
        <v/>
      </c>
      <c r="F892" s="107" t="n"/>
      <c r="G892" s="107" t="n"/>
      <c r="H892" s="107" t="n"/>
      <c r="I892" s="81" t="n"/>
      <c r="J892" s="108">
        <f>IF($B892="","",IF($E892="Ngày thường",N($G892),0))</f>
        <v/>
      </c>
      <c r="K892" s="108">
        <f>IF($B892="","",IF($E892="Nghỉ tuần",N($G892),0))</f>
        <v/>
      </c>
      <c r="L892" s="108">
        <f>IF($B892="","",IF($E892="Lễ",N($G892),0))</f>
        <v/>
      </c>
      <c r="M892" s="108">
        <f>IF($B892="","",IF($E892="Ngày thường",N($H892),0))</f>
        <v/>
      </c>
      <c r="N892" s="108">
        <f>IF($B892="","",IF($E892="Nghỉ tuần",N($H892),0))</f>
        <v/>
      </c>
      <c r="O892" s="108">
        <f>IF($B892="","",IF($E892="Lễ",N($H892),0))</f>
        <v/>
      </c>
    </row>
    <row r="893" ht="15" customHeight="1" s="63">
      <c r="A893" s="85">
        <f>IF($B893="","",ROW()-5)</f>
        <v/>
      </c>
      <c r="B893" s="97" t="n"/>
      <c r="C893" s="96">
        <f>IF($B893="","",IFERROR(INDEX(DM_NHAN_SU!$C$6:$C$155,MATCH($B893,DM_NHAN_SU!$B$6:$B$155,0)),"SAI MÃ NV"))</f>
        <v/>
      </c>
      <c r="D893" s="86" t="n"/>
      <c r="E893" s="103">
        <f>IF(OR($B893="",$D893=""),"",IF(COUNTIF(THAM_SO_CC!$F$10:$F$40,$D893)&gt;0,"Lễ",IF(IF(THAM_SO_CC!$B$12="T7+CN",WEEKDAY($D893,2)&gt;=6,WEEKDAY($D893,2)=7),"Nghỉ tuần","Ngày thường")))</f>
        <v/>
      </c>
      <c r="F893" s="107" t="n"/>
      <c r="G893" s="107" t="n"/>
      <c r="H893" s="107" t="n"/>
      <c r="I893" s="81" t="n"/>
      <c r="J893" s="108">
        <f>IF($B893="","",IF($E893="Ngày thường",N($G893),0))</f>
        <v/>
      </c>
      <c r="K893" s="108">
        <f>IF($B893="","",IF($E893="Nghỉ tuần",N($G893),0))</f>
        <v/>
      </c>
      <c r="L893" s="108">
        <f>IF($B893="","",IF($E893="Lễ",N($G893),0))</f>
        <v/>
      </c>
      <c r="M893" s="108">
        <f>IF($B893="","",IF($E893="Ngày thường",N($H893),0))</f>
        <v/>
      </c>
      <c r="N893" s="108">
        <f>IF($B893="","",IF($E893="Nghỉ tuần",N($H893),0))</f>
        <v/>
      </c>
      <c r="O893" s="108">
        <f>IF($B893="","",IF($E893="Lễ",N($H893),0))</f>
        <v/>
      </c>
    </row>
    <row r="894" ht="15" customHeight="1" s="63">
      <c r="A894" s="85">
        <f>IF($B894="","",ROW()-5)</f>
        <v/>
      </c>
      <c r="B894" s="97" t="n"/>
      <c r="C894" s="96">
        <f>IF($B894="","",IFERROR(INDEX(DM_NHAN_SU!$C$6:$C$155,MATCH($B894,DM_NHAN_SU!$B$6:$B$155,0)),"SAI MÃ NV"))</f>
        <v/>
      </c>
      <c r="D894" s="86" t="n"/>
      <c r="E894" s="103">
        <f>IF(OR($B894="",$D894=""),"",IF(COUNTIF(THAM_SO_CC!$F$10:$F$40,$D894)&gt;0,"Lễ",IF(IF(THAM_SO_CC!$B$12="T7+CN",WEEKDAY($D894,2)&gt;=6,WEEKDAY($D894,2)=7),"Nghỉ tuần","Ngày thường")))</f>
        <v/>
      </c>
      <c r="F894" s="107" t="n"/>
      <c r="G894" s="107" t="n"/>
      <c r="H894" s="107" t="n"/>
      <c r="I894" s="81" t="n"/>
      <c r="J894" s="108">
        <f>IF($B894="","",IF($E894="Ngày thường",N($G894),0))</f>
        <v/>
      </c>
      <c r="K894" s="108">
        <f>IF($B894="","",IF($E894="Nghỉ tuần",N($G894),0))</f>
        <v/>
      </c>
      <c r="L894" s="108">
        <f>IF($B894="","",IF($E894="Lễ",N($G894),0))</f>
        <v/>
      </c>
      <c r="M894" s="108">
        <f>IF($B894="","",IF($E894="Ngày thường",N($H894),0))</f>
        <v/>
      </c>
      <c r="N894" s="108">
        <f>IF($B894="","",IF($E894="Nghỉ tuần",N($H894),0))</f>
        <v/>
      </c>
      <c r="O894" s="108">
        <f>IF($B894="","",IF($E894="Lễ",N($H894),0))</f>
        <v/>
      </c>
    </row>
    <row r="895" ht="15" customHeight="1" s="63">
      <c r="A895" s="85">
        <f>IF($B895="","",ROW()-5)</f>
        <v/>
      </c>
      <c r="B895" s="97" t="n"/>
      <c r="C895" s="96">
        <f>IF($B895="","",IFERROR(INDEX(DM_NHAN_SU!$C$6:$C$155,MATCH($B895,DM_NHAN_SU!$B$6:$B$155,0)),"SAI MÃ NV"))</f>
        <v/>
      </c>
      <c r="D895" s="86" t="n"/>
      <c r="E895" s="103">
        <f>IF(OR($B895="",$D895=""),"",IF(COUNTIF(THAM_SO_CC!$F$10:$F$40,$D895)&gt;0,"Lễ",IF(IF(THAM_SO_CC!$B$12="T7+CN",WEEKDAY($D895,2)&gt;=6,WEEKDAY($D895,2)=7),"Nghỉ tuần","Ngày thường")))</f>
        <v/>
      </c>
      <c r="F895" s="107" t="n"/>
      <c r="G895" s="107" t="n"/>
      <c r="H895" s="107" t="n"/>
      <c r="I895" s="81" t="n"/>
      <c r="J895" s="108">
        <f>IF($B895="","",IF($E895="Ngày thường",N($G895),0))</f>
        <v/>
      </c>
      <c r="K895" s="108">
        <f>IF($B895="","",IF($E895="Nghỉ tuần",N($G895),0))</f>
        <v/>
      </c>
      <c r="L895" s="108">
        <f>IF($B895="","",IF($E895="Lễ",N($G895),0))</f>
        <v/>
      </c>
      <c r="M895" s="108">
        <f>IF($B895="","",IF($E895="Ngày thường",N($H895),0))</f>
        <v/>
      </c>
      <c r="N895" s="108">
        <f>IF($B895="","",IF($E895="Nghỉ tuần",N($H895),0))</f>
        <v/>
      </c>
      <c r="O895" s="108">
        <f>IF($B895="","",IF($E895="Lễ",N($H895),0))</f>
        <v/>
      </c>
    </row>
    <row r="896" ht="15" customHeight="1" s="63">
      <c r="A896" s="85">
        <f>IF($B896="","",ROW()-5)</f>
        <v/>
      </c>
      <c r="B896" s="97" t="n"/>
      <c r="C896" s="96">
        <f>IF($B896="","",IFERROR(INDEX(DM_NHAN_SU!$C$6:$C$155,MATCH($B896,DM_NHAN_SU!$B$6:$B$155,0)),"SAI MÃ NV"))</f>
        <v/>
      </c>
      <c r="D896" s="86" t="n"/>
      <c r="E896" s="103">
        <f>IF(OR($B896="",$D896=""),"",IF(COUNTIF(THAM_SO_CC!$F$10:$F$40,$D896)&gt;0,"Lễ",IF(IF(THAM_SO_CC!$B$12="T7+CN",WEEKDAY($D896,2)&gt;=6,WEEKDAY($D896,2)=7),"Nghỉ tuần","Ngày thường")))</f>
        <v/>
      </c>
      <c r="F896" s="107" t="n"/>
      <c r="G896" s="107" t="n"/>
      <c r="H896" s="107" t="n"/>
      <c r="I896" s="81" t="n"/>
      <c r="J896" s="108">
        <f>IF($B896="","",IF($E896="Ngày thường",N($G896),0))</f>
        <v/>
      </c>
      <c r="K896" s="108">
        <f>IF($B896="","",IF($E896="Nghỉ tuần",N($G896),0))</f>
        <v/>
      </c>
      <c r="L896" s="108">
        <f>IF($B896="","",IF($E896="Lễ",N($G896),0))</f>
        <v/>
      </c>
      <c r="M896" s="108">
        <f>IF($B896="","",IF($E896="Ngày thường",N($H896),0))</f>
        <v/>
      </c>
      <c r="N896" s="108">
        <f>IF($B896="","",IF($E896="Nghỉ tuần",N($H896),0))</f>
        <v/>
      </c>
      <c r="O896" s="108">
        <f>IF($B896="","",IF($E896="Lễ",N($H896),0))</f>
        <v/>
      </c>
    </row>
    <row r="897" ht="15" customHeight="1" s="63">
      <c r="A897" s="85">
        <f>IF($B897="","",ROW()-5)</f>
        <v/>
      </c>
      <c r="B897" s="97" t="n"/>
      <c r="C897" s="96">
        <f>IF($B897="","",IFERROR(INDEX(DM_NHAN_SU!$C$6:$C$155,MATCH($B897,DM_NHAN_SU!$B$6:$B$155,0)),"SAI MÃ NV"))</f>
        <v/>
      </c>
      <c r="D897" s="86" t="n"/>
      <c r="E897" s="103">
        <f>IF(OR($B897="",$D897=""),"",IF(COUNTIF(THAM_SO_CC!$F$10:$F$40,$D897)&gt;0,"Lễ",IF(IF(THAM_SO_CC!$B$12="T7+CN",WEEKDAY($D897,2)&gt;=6,WEEKDAY($D897,2)=7),"Nghỉ tuần","Ngày thường")))</f>
        <v/>
      </c>
      <c r="F897" s="107" t="n"/>
      <c r="G897" s="107" t="n"/>
      <c r="H897" s="107" t="n"/>
      <c r="I897" s="81" t="n"/>
      <c r="J897" s="108">
        <f>IF($B897="","",IF($E897="Ngày thường",N($G897),0))</f>
        <v/>
      </c>
      <c r="K897" s="108">
        <f>IF($B897="","",IF($E897="Nghỉ tuần",N($G897),0))</f>
        <v/>
      </c>
      <c r="L897" s="108">
        <f>IF($B897="","",IF($E897="Lễ",N($G897),0))</f>
        <v/>
      </c>
      <c r="M897" s="108">
        <f>IF($B897="","",IF($E897="Ngày thường",N($H897),0))</f>
        <v/>
      </c>
      <c r="N897" s="108">
        <f>IF($B897="","",IF($E897="Nghỉ tuần",N($H897),0))</f>
        <v/>
      </c>
      <c r="O897" s="108">
        <f>IF($B897="","",IF($E897="Lễ",N($H897),0))</f>
        <v/>
      </c>
    </row>
    <row r="898" ht="15" customHeight="1" s="63">
      <c r="A898" s="85">
        <f>IF($B898="","",ROW()-5)</f>
        <v/>
      </c>
      <c r="B898" s="97" t="n"/>
      <c r="C898" s="96">
        <f>IF($B898="","",IFERROR(INDEX(DM_NHAN_SU!$C$6:$C$155,MATCH($B898,DM_NHAN_SU!$B$6:$B$155,0)),"SAI MÃ NV"))</f>
        <v/>
      </c>
      <c r="D898" s="86" t="n"/>
      <c r="E898" s="103">
        <f>IF(OR($B898="",$D898=""),"",IF(COUNTIF(THAM_SO_CC!$F$10:$F$40,$D898)&gt;0,"Lễ",IF(IF(THAM_SO_CC!$B$12="T7+CN",WEEKDAY($D898,2)&gt;=6,WEEKDAY($D898,2)=7),"Nghỉ tuần","Ngày thường")))</f>
        <v/>
      </c>
      <c r="F898" s="107" t="n"/>
      <c r="G898" s="107" t="n"/>
      <c r="H898" s="107" t="n"/>
      <c r="I898" s="81" t="n"/>
      <c r="J898" s="108">
        <f>IF($B898="","",IF($E898="Ngày thường",N($G898),0))</f>
        <v/>
      </c>
      <c r="K898" s="108">
        <f>IF($B898="","",IF($E898="Nghỉ tuần",N($G898),0))</f>
        <v/>
      </c>
      <c r="L898" s="108">
        <f>IF($B898="","",IF($E898="Lễ",N($G898),0))</f>
        <v/>
      </c>
      <c r="M898" s="108">
        <f>IF($B898="","",IF($E898="Ngày thường",N($H898),0))</f>
        <v/>
      </c>
      <c r="N898" s="108">
        <f>IF($B898="","",IF($E898="Nghỉ tuần",N($H898),0))</f>
        <v/>
      </c>
      <c r="O898" s="108">
        <f>IF($B898="","",IF($E898="Lễ",N($H898),0))</f>
        <v/>
      </c>
    </row>
    <row r="899" ht="15" customHeight="1" s="63">
      <c r="A899" s="85">
        <f>IF($B899="","",ROW()-5)</f>
        <v/>
      </c>
      <c r="B899" s="97" t="n"/>
      <c r="C899" s="96">
        <f>IF($B899="","",IFERROR(INDEX(DM_NHAN_SU!$C$6:$C$155,MATCH($B899,DM_NHAN_SU!$B$6:$B$155,0)),"SAI MÃ NV"))</f>
        <v/>
      </c>
      <c r="D899" s="86" t="n"/>
      <c r="E899" s="103">
        <f>IF(OR($B899="",$D899=""),"",IF(COUNTIF(THAM_SO_CC!$F$10:$F$40,$D899)&gt;0,"Lễ",IF(IF(THAM_SO_CC!$B$12="T7+CN",WEEKDAY($D899,2)&gt;=6,WEEKDAY($D899,2)=7),"Nghỉ tuần","Ngày thường")))</f>
        <v/>
      </c>
      <c r="F899" s="107" t="n"/>
      <c r="G899" s="107" t="n"/>
      <c r="H899" s="107" t="n"/>
      <c r="I899" s="81" t="n"/>
      <c r="J899" s="108">
        <f>IF($B899="","",IF($E899="Ngày thường",N($G899),0))</f>
        <v/>
      </c>
      <c r="K899" s="108">
        <f>IF($B899="","",IF($E899="Nghỉ tuần",N($G899),0))</f>
        <v/>
      </c>
      <c r="L899" s="108">
        <f>IF($B899="","",IF($E899="Lễ",N($G899),0))</f>
        <v/>
      </c>
      <c r="M899" s="108">
        <f>IF($B899="","",IF($E899="Ngày thường",N($H899),0))</f>
        <v/>
      </c>
      <c r="N899" s="108">
        <f>IF($B899="","",IF($E899="Nghỉ tuần",N($H899),0))</f>
        <v/>
      </c>
      <c r="O899" s="108">
        <f>IF($B899="","",IF($E899="Lễ",N($H899),0))</f>
        <v/>
      </c>
    </row>
    <row r="900" ht="15" customHeight="1" s="63">
      <c r="A900" s="85">
        <f>IF($B900="","",ROW()-5)</f>
        <v/>
      </c>
      <c r="B900" s="97" t="n"/>
      <c r="C900" s="96">
        <f>IF($B900="","",IFERROR(INDEX(DM_NHAN_SU!$C$6:$C$155,MATCH($B900,DM_NHAN_SU!$B$6:$B$155,0)),"SAI MÃ NV"))</f>
        <v/>
      </c>
      <c r="D900" s="86" t="n"/>
      <c r="E900" s="103">
        <f>IF(OR($B900="",$D900=""),"",IF(COUNTIF(THAM_SO_CC!$F$10:$F$40,$D900)&gt;0,"Lễ",IF(IF(THAM_SO_CC!$B$12="T7+CN",WEEKDAY($D900,2)&gt;=6,WEEKDAY($D900,2)=7),"Nghỉ tuần","Ngày thường")))</f>
        <v/>
      </c>
      <c r="F900" s="107" t="n"/>
      <c r="G900" s="107" t="n"/>
      <c r="H900" s="107" t="n"/>
      <c r="I900" s="81" t="n"/>
      <c r="J900" s="108">
        <f>IF($B900="","",IF($E900="Ngày thường",N($G900),0))</f>
        <v/>
      </c>
      <c r="K900" s="108">
        <f>IF($B900="","",IF($E900="Nghỉ tuần",N($G900),0))</f>
        <v/>
      </c>
      <c r="L900" s="108">
        <f>IF($B900="","",IF($E900="Lễ",N($G900),0))</f>
        <v/>
      </c>
      <c r="M900" s="108">
        <f>IF($B900="","",IF($E900="Ngày thường",N($H900),0))</f>
        <v/>
      </c>
      <c r="N900" s="108">
        <f>IF($B900="","",IF($E900="Nghỉ tuần",N($H900),0))</f>
        <v/>
      </c>
      <c r="O900" s="108">
        <f>IF($B900="","",IF($E900="Lễ",N($H900),0))</f>
        <v/>
      </c>
    </row>
    <row r="901" ht="15" customHeight="1" s="63">
      <c r="A901" s="85">
        <f>IF($B901="","",ROW()-5)</f>
        <v/>
      </c>
      <c r="B901" s="97" t="n"/>
      <c r="C901" s="96">
        <f>IF($B901="","",IFERROR(INDEX(DM_NHAN_SU!$C$6:$C$155,MATCH($B901,DM_NHAN_SU!$B$6:$B$155,0)),"SAI MÃ NV"))</f>
        <v/>
      </c>
      <c r="D901" s="86" t="n"/>
      <c r="E901" s="103">
        <f>IF(OR($B901="",$D901=""),"",IF(COUNTIF(THAM_SO_CC!$F$10:$F$40,$D901)&gt;0,"Lễ",IF(IF(THAM_SO_CC!$B$12="T7+CN",WEEKDAY($D901,2)&gt;=6,WEEKDAY($D901,2)=7),"Nghỉ tuần","Ngày thường")))</f>
        <v/>
      </c>
      <c r="F901" s="107" t="n"/>
      <c r="G901" s="107" t="n"/>
      <c r="H901" s="107" t="n"/>
      <c r="I901" s="81" t="n"/>
      <c r="J901" s="108">
        <f>IF($B901="","",IF($E901="Ngày thường",N($G901),0))</f>
        <v/>
      </c>
      <c r="K901" s="108">
        <f>IF($B901="","",IF($E901="Nghỉ tuần",N($G901),0))</f>
        <v/>
      </c>
      <c r="L901" s="108">
        <f>IF($B901="","",IF($E901="Lễ",N($G901),0))</f>
        <v/>
      </c>
      <c r="M901" s="108">
        <f>IF($B901="","",IF($E901="Ngày thường",N($H901),0))</f>
        <v/>
      </c>
      <c r="N901" s="108">
        <f>IF($B901="","",IF($E901="Nghỉ tuần",N($H901),0))</f>
        <v/>
      </c>
      <c r="O901" s="108">
        <f>IF($B901="","",IF($E901="Lễ",N($H901),0))</f>
        <v/>
      </c>
    </row>
    <row r="902" ht="15" customHeight="1" s="63">
      <c r="A902" s="85">
        <f>IF($B902="","",ROW()-5)</f>
        <v/>
      </c>
      <c r="B902" s="97" t="n"/>
      <c r="C902" s="96">
        <f>IF($B902="","",IFERROR(INDEX(DM_NHAN_SU!$C$6:$C$155,MATCH($B902,DM_NHAN_SU!$B$6:$B$155,0)),"SAI MÃ NV"))</f>
        <v/>
      </c>
      <c r="D902" s="86" t="n"/>
      <c r="E902" s="103">
        <f>IF(OR($B902="",$D902=""),"",IF(COUNTIF(THAM_SO_CC!$F$10:$F$40,$D902)&gt;0,"Lễ",IF(IF(THAM_SO_CC!$B$12="T7+CN",WEEKDAY($D902,2)&gt;=6,WEEKDAY($D902,2)=7),"Nghỉ tuần","Ngày thường")))</f>
        <v/>
      </c>
      <c r="F902" s="107" t="n"/>
      <c r="G902" s="107" t="n"/>
      <c r="H902" s="107" t="n"/>
      <c r="I902" s="81" t="n"/>
      <c r="J902" s="108">
        <f>IF($B902="","",IF($E902="Ngày thường",N($G902),0))</f>
        <v/>
      </c>
      <c r="K902" s="108">
        <f>IF($B902="","",IF($E902="Nghỉ tuần",N($G902),0))</f>
        <v/>
      </c>
      <c r="L902" s="108">
        <f>IF($B902="","",IF($E902="Lễ",N($G902),0))</f>
        <v/>
      </c>
      <c r="M902" s="108">
        <f>IF($B902="","",IF($E902="Ngày thường",N($H902),0))</f>
        <v/>
      </c>
      <c r="N902" s="108">
        <f>IF($B902="","",IF($E902="Nghỉ tuần",N($H902),0))</f>
        <v/>
      </c>
      <c r="O902" s="108">
        <f>IF($B902="","",IF($E902="Lễ",N($H902),0))</f>
        <v/>
      </c>
    </row>
    <row r="903" ht="15" customHeight="1" s="63">
      <c r="A903" s="85">
        <f>IF($B903="","",ROW()-5)</f>
        <v/>
      </c>
      <c r="B903" s="97" t="n"/>
      <c r="C903" s="96">
        <f>IF($B903="","",IFERROR(INDEX(DM_NHAN_SU!$C$6:$C$155,MATCH($B903,DM_NHAN_SU!$B$6:$B$155,0)),"SAI MÃ NV"))</f>
        <v/>
      </c>
      <c r="D903" s="86" t="n"/>
      <c r="E903" s="103">
        <f>IF(OR($B903="",$D903=""),"",IF(COUNTIF(THAM_SO_CC!$F$10:$F$40,$D903)&gt;0,"Lễ",IF(IF(THAM_SO_CC!$B$12="T7+CN",WEEKDAY($D903,2)&gt;=6,WEEKDAY($D903,2)=7),"Nghỉ tuần","Ngày thường")))</f>
        <v/>
      </c>
      <c r="F903" s="107" t="n"/>
      <c r="G903" s="107" t="n"/>
      <c r="H903" s="107" t="n"/>
      <c r="I903" s="81" t="n"/>
      <c r="J903" s="108">
        <f>IF($B903="","",IF($E903="Ngày thường",N($G903),0))</f>
        <v/>
      </c>
      <c r="K903" s="108">
        <f>IF($B903="","",IF($E903="Nghỉ tuần",N($G903),0))</f>
        <v/>
      </c>
      <c r="L903" s="108">
        <f>IF($B903="","",IF($E903="Lễ",N($G903),0))</f>
        <v/>
      </c>
      <c r="M903" s="108">
        <f>IF($B903="","",IF($E903="Ngày thường",N($H903),0))</f>
        <v/>
      </c>
      <c r="N903" s="108">
        <f>IF($B903="","",IF($E903="Nghỉ tuần",N($H903),0))</f>
        <v/>
      </c>
      <c r="O903" s="108">
        <f>IF($B903="","",IF($E903="Lễ",N($H903),0))</f>
        <v/>
      </c>
    </row>
    <row r="904" ht="15" customHeight="1" s="63">
      <c r="A904" s="85">
        <f>IF($B904="","",ROW()-5)</f>
        <v/>
      </c>
      <c r="B904" s="97" t="n"/>
      <c r="C904" s="96">
        <f>IF($B904="","",IFERROR(INDEX(DM_NHAN_SU!$C$6:$C$155,MATCH($B904,DM_NHAN_SU!$B$6:$B$155,0)),"SAI MÃ NV"))</f>
        <v/>
      </c>
      <c r="D904" s="86" t="n"/>
      <c r="E904" s="103">
        <f>IF(OR($B904="",$D904=""),"",IF(COUNTIF(THAM_SO_CC!$F$10:$F$40,$D904)&gt;0,"Lễ",IF(IF(THAM_SO_CC!$B$12="T7+CN",WEEKDAY($D904,2)&gt;=6,WEEKDAY($D904,2)=7),"Nghỉ tuần","Ngày thường")))</f>
        <v/>
      </c>
      <c r="F904" s="107" t="n"/>
      <c r="G904" s="107" t="n"/>
      <c r="H904" s="107" t="n"/>
      <c r="I904" s="81" t="n"/>
      <c r="J904" s="108">
        <f>IF($B904="","",IF($E904="Ngày thường",N($G904),0))</f>
        <v/>
      </c>
      <c r="K904" s="108">
        <f>IF($B904="","",IF($E904="Nghỉ tuần",N($G904),0))</f>
        <v/>
      </c>
      <c r="L904" s="108">
        <f>IF($B904="","",IF($E904="Lễ",N($G904),0))</f>
        <v/>
      </c>
      <c r="M904" s="108">
        <f>IF($B904="","",IF($E904="Ngày thường",N($H904),0))</f>
        <v/>
      </c>
      <c r="N904" s="108">
        <f>IF($B904="","",IF($E904="Nghỉ tuần",N($H904),0))</f>
        <v/>
      </c>
      <c r="O904" s="108">
        <f>IF($B904="","",IF($E904="Lễ",N($H904),0))</f>
        <v/>
      </c>
    </row>
    <row r="905" ht="15" customHeight="1" s="63">
      <c r="A905" s="85">
        <f>IF($B905="","",ROW()-5)</f>
        <v/>
      </c>
      <c r="B905" s="97" t="n"/>
      <c r="C905" s="96">
        <f>IF($B905="","",IFERROR(INDEX(DM_NHAN_SU!$C$6:$C$155,MATCH($B905,DM_NHAN_SU!$B$6:$B$155,0)),"SAI MÃ NV"))</f>
        <v/>
      </c>
      <c r="D905" s="86" t="n"/>
      <c r="E905" s="103">
        <f>IF(OR($B905="",$D905=""),"",IF(COUNTIF(THAM_SO_CC!$F$10:$F$40,$D905)&gt;0,"Lễ",IF(IF(THAM_SO_CC!$B$12="T7+CN",WEEKDAY($D905,2)&gt;=6,WEEKDAY($D905,2)=7),"Nghỉ tuần","Ngày thường")))</f>
        <v/>
      </c>
      <c r="F905" s="107" t="n"/>
      <c r="G905" s="107" t="n"/>
      <c r="H905" s="107" t="n"/>
      <c r="I905" s="81" t="n"/>
      <c r="J905" s="108">
        <f>IF($B905="","",IF($E905="Ngày thường",N($G905),0))</f>
        <v/>
      </c>
      <c r="K905" s="108">
        <f>IF($B905="","",IF($E905="Nghỉ tuần",N($G905),0))</f>
        <v/>
      </c>
      <c r="L905" s="108">
        <f>IF($B905="","",IF($E905="Lễ",N($G905),0))</f>
        <v/>
      </c>
      <c r="M905" s="108">
        <f>IF($B905="","",IF($E905="Ngày thường",N($H905),0))</f>
        <v/>
      </c>
      <c r="N905" s="108">
        <f>IF($B905="","",IF($E905="Nghỉ tuần",N($H905),0))</f>
        <v/>
      </c>
      <c r="O905" s="108">
        <f>IF($B905="","",IF($E905="Lễ",N($H905),0))</f>
        <v/>
      </c>
    </row>
    <row r="906" ht="15" customHeight="1" s="63">
      <c r="A906" s="85">
        <f>IF($B906="","",ROW()-5)</f>
        <v/>
      </c>
      <c r="B906" s="97" t="n"/>
      <c r="C906" s="96">
        <f>IF($B906="","",IFERROR(INDEX(DM_NHAN_SU!$C$6:$C$155,MATCH($B906,DM_NHAN_SU!$B$6:$B$155,0)),"SAI MÃ NV"))</f>
        <v/>
      </c>
      <c r="D906" s="86" t="n"/>
      <c r="E906" s="103">
        <f>IF(OR($B906="",$D906=""),"",IF(COUNTIF(THAM_SO_CC!$F$10:$F$40,$D906)&gt;0,"Lễ",IF(IF(THAM_SO_CC!$B$12="T7+CN",WEEKDAY($D906,2)&gt;=6,WEEKDAY($D906,2)=7),"Nghỉ tuần","Ngày thường")))</f>
        <v/>
      </c>
      <c r="F906" s="107" t="n"/>
      <c r="G906" s="107" t="n"/>
      <c r="H906" s="107" t="n"/>
      <c r="I906" s="81" t="n"/>
      <c r="J906" s="108">
        <f>IF($B906="","",IF($E906="Ngày thường",N($G906),0))</f>
        <v/>
      </c>
      <c r="K906" s="108">
        <f>IF($B906="","",IF($E906="Nghỉ tuần",N($G906),0))</f>
        <v/>
      </c>
      <c r="L906" s="108">
        <f>IF($B906="","",IF($E906="Lễ",N($G906),0))</f>
        <v/>
      </c>
      <c r="M906" s="108">
        <f>IF($B906="","",IF($E906="Ngày thường",N($H906),0))</f>
        <v/>
      </c>
      <c r="N906" s="108">
        <f>IF($B906="","",IF($E906="Nghỉ tuần",N($H906),0))</f>
        <v/>
      </c>
      <c r="O906" s="108">
        <f>IF($B906="","",IF($E906="Lễ",N($H906),0))</f>
        <v/>
      </c>
    </row>
    <row r="907" ht="15" customHeight="1" s="63">
      <c r="A907" s="85">
        <f>IF($B907="","",ROW()-5)</f>
        <v/>
      </c>
      <c r="B907" s="97" t="n"/>
      <c r="C907" s="96">
        <f>IF($B907="","",IFERROR(INDEX(DM_NHAN_SU!$C$6:$C$155,MATCH($B907,DM_NHAN_SU!$B$6:$B$155,0)),"SAI MÃ NV"))</f>
        <v/>
      </c>
      <c r="D907" s="86" t="n"/>
      <c r="E907" s="103">
        <f>IF(OR($B907="",$D907=""),"",IF(COUNTIF(THAM_SO_CC!$F$10:$F$40,$D907)&gt;0,"Lễ",IF(IF(THAM_SO_CC!$B$12="T7+CN",WEEKDAY($D907,2)&gt;=6,WEEKDAY($D907,2)=7),"Nghỉ tuần","Ngày thường")))</f>
        <v/>
      </c>
      <c r="F907" s="107" t="n"/>
      <c r="G907" s="107" t="n"/>
      <c r="H907" s="107" t="n"/>
      <c r="I907" s="81" t="n"/>
      <c r="J907" s="108">
        <f>IF($B907="","",IF($E907="Ngày thường",N($G907),0))</f>
        <v/>
      </c>
      <c r="K907" s="108">
        <f>IF($B907="","",IF($E907="Nghỉ tuần",N($G907),0))</f>
        <v/>
      </c>
      <c r="L907" s="108">
        <f>IF($B907="","",IF($E907="Lễ",N($G907),0))</f>
        <v/>
      </c>
      <c r="M907" s="108">
        <f>IF($B907="","",IF($E907="Ngày thường",N($H907),0))</f>
        <v/>
      </c>
      <c r="N907" s="108">
        <f>IF($B907="","",IF($E907="Nghỉ tuần",N($H907),0))</f>
        <v/>
      </c>
      <c r="O907" s="108">
        <f>IF($B907="","",IF($E907="Lễ",N($H907),0))</f>
        <v/>
      </c>
    </row>
    <row r="908" ht="15" customHeight="1" s="63">
      <c r="A908" s="85">
        <f>IF($B908="","",ROW()-5)</f>
        <v/>
      </c>
      <c r="B908" s="97" t="n"/>
      <c r="C908" s="96">
        <f>IF($B908="","",IFERROR(INDEX(DM_NHAN_SU!$C$6:$C$155,MATCH($B908,DM_NHAN_SU!$B$6:$B$155,0)),"SAI MÃ NV"))</f>
        <v/>
      </c>
      <c r="D908" s="86" t="n"/>
      <c r="E908" s="103">
        <f>IF(OR($B908="",$D908=""),"",IF(COUNTIF(THAM_SO_CC!$F$10:$F$40,$D908)&gt;0,"Lễ",IF(IF(THAM_SO_CC!$B$12="T7+CN",WEEKDAY($D908,2)&gt;=6,WEEKDAY($D908,2)=7),"Nghỉ tuần","Ngày thường")))</f>
        <v/>
      </c>
      <c r="F908" s="107" t="n"/>
      <c r="G908" s="107" t="n"/>
      <c r="H908" s="107" t="n"/>
      <c r="I908" s="81" t="n"/>
      <c r="J908" s="108">
        <f>IF($B908="","",IF($E908="Ngày thường",N($G908),0))</f>
        <v/>
      </c>
      <c r="K908" s="108">
        <f>IF($B908="","",IF($E908="Nghỉ tuần",N($G908),0))</f>
        <v/>
      </c>
      <c r="L908" s="108">
        <f>IF($B908="","",IF($E908="Lễ",N($G908),0))</f>
        <v/>
      </c>
      <c r="M908" s="108">
        <f>IF($B908="","",IF($E908="Ngày thường",N($H908),0))</f>
        <v/>
      </c>
      <c r="N908" s="108">
        <f>IF($B908="","",IF($E908="Nghỉ tuần",N($H908),0))</f>
        <v/>
      </c>
      <c r="O908" s="108">
        <f>IF($B908="","",IF($E908="Lễ",N($H908),0))</f>
        <v/>
      </c>
    </row>
    <row r="909" ht="15" customHeight="1" s="63">
      <c r="A909" s="85">
        <f>IF($B909="","",ROW()-5)</f>
        <v/>
      </c>
      <c r="B909" s="97" t="n"/>
      <c r="C909" s="96">
        <f>IF($B909="","",IFERROR(INDEX(DM_NHAN_SU!$C$6:$C$155,MATCH($B909,DM_NHAN_SU!$B$6:$B$155,0)),"SAI MÃ NV"))</f>
        <v/>
      </c>
      <c r="D909" s="86" t="n"/>
      <c r="E909" s="103">
        <f>IF(OR($B909="",$D909=""),"",IF(COUNTIF(THAM_SO_CC!$F$10:$F$40,$D909)&gt;0,"Lễ",IF(IF(THAM_SO_CC!$B$12="T7+CN",WEEKDAY($D909,2)&gt;=6,WEEKDAY($D909,2)=7),"Nghỉ tuần","Ngày thường")))</f>
        <v/>
      </c>
      <c r="F909" s="107" t="n"/>
      <c r="G909" s="107" t="n"/>
      <c r="H909" s="107" t="n"/>
      <c r="I909" s="81" t="n"/>
      <c r="J909" s="108">
        <f>IF($B909="","",IF($E909="Ngày thường",N($G909),0))</f>
        <v/>
      </c>
      <c r="K909" s="108">
        <f>IF($B909="","",IF($E909="Nghỉ tuần",N($G909),0))</f>
        <v/>
      </c>
      <c r="L909" s="108">
        <f>IF($B909="","",IF($E909="Lễ",N($G909),0))</f>
        <v/>
      </c>
      <c r="M909" s="108">
        <f>IF($B909="","",IF($E909="Ngày thường",N($H909),0))</f>
        <v/>
      </c>
      <c r="N909" s="108">
        <f>IF($B909="","",IF($E909="Nghỉ tuần",N($H909),0))</f>
        <v/>
      </c>
      <c r="O909" s="108">
        <f>IF($B909="","",IF($E909="Lễ",N($H909),0))</f>
        <v/>
      </c>
    </row>
    <row r="910" ht="15" customHeight="1" s="63">
      <c r="A910" s="85">
        <f>IF($B910="","",ROW()-5)</f>
        <v/>
      </c>
      <c r="B910" s="97" t="n"/>
      <c r="C910" s="96">
        <f>IF($B910="","",IFERROR(INDEX(DM_NHAN_SU!$C$6:$C$155,MATCH($B910,DM_NHAN_SU!$B$6:$B$155,0)),"SAI MÃ NV"))</f>
        <v/>
      </c>
      <c r="D910" s="86" t="n"/>
      <c r="E910" s="103">
        <f>IF(OR($B910="",$D910=""),"",IF(COUNTIF(THAM_SO_CC!$F$10:$F$40,$D910)&gt;0,"Lễ",IF(IF(THAM_SO_CC!$B$12="T7+CN",WEEKDAY($D910,2)&gt;=6,WEEKDAY($D910,2)=7),"Nghỉ tuần","Ngày thường")))</f>
        <v/>
      </c>
      <c r="F910" s="107" t="n"/>
      <c r="G910" s="107" t="n"/>
      <c r="H910" s="107" t="n"/>
      <c r="I910" s="81" t="n"/>
      <c r="J910" s="108">
        <f>IF($B910="","",IF($E910="Ngày thường",N($G910),0))</f>
        <v/>
      </c>
      <c r="K910" s="108">
        <f>IF($B910="","",IF($E910="Nghỉ tuần",N($G910),0))</f>
        <v/>
      </c>
      <c r="L910" s="108">
        <f>IF($B910="","",IF($E910="Lễ",N($G910),0))</f>
        <v/>
      </c>
      <c r="M910" s="108">
        <f>IF($B910="","",IF($E910="Ngày thường",N($H910),0))</f>
        <v/>
      </c>
      <c r="N910" s="108">
        <f>IF($B910="","",IF($E910="Nghỉ tuần",N($H910),0))</f>
        <v/>
      </c>
      <c r="O910" s="108">
        <f>IF($B910="","",IF($E910="Lễ",N($H910),0))</f>
        <v/>
      </c>
    </row>
    <row r="911" ht="15" customHeight="1" s="63">
      <c r="A911" s="85">
        <f>IF($B911="","",ROW()-5)</f>
        <v/>
      </c>
      <c r="B911" s="97" t="n"/>
      <c r="C911" s="96">
        <f>IF($B911="","",IFERROR(INDEX(DM_NHAN_SU!$C$6:$C$155,MATCH($B911,DM_NHAN_SU!$B$6:$B$155,0)),"SAI MÃ NV"))</f>
        <v/>
      </c>
      <c r="D911" s="86" t="n"/>
      <c r="E911" s="103">
        <f>IF(OR($B911="",$D911=""),"",IF(COUNTIF(THAM_SO_CC!$F$10:$F$40,$D911)&gt;0,"Lễ",IF(IF(THAM_SO_CC!$B$12="T7+CN",WEEKDAY($D911,2)&gt;=6,WEEKDAY($D911,2)=7),"Nghỉ tuần","Ngày thường")))</f>
        <v/>
      </c>
      <c r="F911" s="107" t="n"/>
      <c r="G911" s="107" t="n"/>
      <c r="H911" s="107" t="n"/>
      <c r="I911" s="81" t="n"/>
      <c r="J911" s="108">
        <f>IF($B911="","",IF($E911="Ngày thường",N($G911),0))</f>
        <v/>
      </c>
      <c r="K911" s="108">
        <f>IF($B911="","",IF($E911="Nghỉ tuần",N($G911),0))</f>
        <v/>
      </c>
      <c r="L911" s="108">
        <f>IF($B911="","",IF($E911="Lễ",N($G911),0))</f>
        <v/>
      </c>
      <c r="M911" s="108">
        <f>IF($B911="","",IF($E911="Ngày thường",N($H911),0))</f>
        <v/>
      </c>
      <c r="N911" s="108">
        <f>IF($B911="","",IF($E911="Nghỉ tuần",N($H911),0))</f>
        <v/>
      </c>
      <c r="O911" s="108">
        <f>IF($B911="","",IF($E911="Lễ",N($H911),0))</f>
        <v/>
      </c>
    </row>
    <row r="912" ht="15" customHeight="1" s="63">
      <c r="A912" s="85">
        <f>IF($B912="","",ROW()-5)</f>
        <v/>
      </c>
      <c r="B912" s="97" t="n"/>
      <c r="C912" s="96">
        <f>IF($B912="","",IFERROR(INDEX(DM_NHAN_SU!$C$6:$C$155,MATCH($B912,DM_NHAN_SU!$B$6:$B$155,0)),"SAI MÃ NV"))</f>
        <v/>
      </c>
      <c r="D912" s="86" t="n"/>
      <c r="E912" s="103">
        <f>IF(OR($B912="",$D912=""),"",IF(COUNTIF(THAM_SO_CC!$F$10:$F$40,$D912)&gt;0,"Lễ",IF(IF(THAM_SO_CC!$B$12="T7+CN",WEEKDAY($D912,2)&gt;=6,WEEKDAY($D912,2)=7),"Nghỉ tuần","Ngày thường")))</f>
        <v/>
      </c>
      <c r="F912" s="107" t="n"/>
      <c r="G912" s="107" t="n"/>
      <c r="H912" s="107" t="n"/>
      <c r="I912" s="81" t="n"/>
      <c r="J912" s="108">
        <f>IF($B912="","",IF($E912="Ngày thường",N($G912),0))</f>
        <v/>
      </c>
      <c r="K912" s="108">
        <f>IF($B912="","",IF($E912="Nghỉ tuần",N($G912),0))</f>
        <v/>
      </c>
      <c r="L912" s="108">
        <f>IF($B912="","",IF($E912="Lễ",N($G912),0))</f>
        <v/>
      </c>
      <c r="M912" s="108">
        <f>IF($B912="","",IF($E912="Ngày thường",N($H912),0))</f>
        <v/>
      </c>
      <c r="N912" s="108">
        <f>IF($B912="","",IF($E912="Nghỉ tuần",N($H912),0))</f>
        <v/>
      </c>
      <c r="O912" s="108">
        <f>IF($B912="","",IF($E912="Lễ",N($H912),0))</f>
        <v/>
      </c>
    </row>
    <row r="913" ht="15" customHeight="1" s="63">
      <c r="A913" s="85">
        <f>IF($B913="","",ROW()-5)</f>
        <v/>
      </c>
      <c r="B913" s="97" t="n"/>
      <c r="C913" s="96">
        <f>IF($B913="","",IFERROR(INDEX(DM_NHAN_SU!$C$6:$C$155,MATCH($B913,DM_NHAN_SU!$B$6:$B$155,0)),"SAI MÃ NV"))</f>
        <v/>
      </c>
      <c r="D913" s="86" t="n"/>
      <c r="E913" s="103">
        <f>IF(OR($B913="",$D913=""),"",IF(COUNTIF(THAM_SO_CC!$F$10:$F$40,$D913)&gt;0,"Lễ",IF(IF(THAM_SO_CC!$B$12="T7+CN",WEEKDAY($D913,2)&gt;=6,WEEKDAY($D913,2)=7),"Nghỉ tuần","Ngày thường")))</f>
        <v/>
      </c>
      <c r="F913" s="107" t="n"/>
      <c r="G913" s="107" t="n"/>
      <c r="H913" s="107" t="n"/>
      <c r="I913" s="81" t="n"/>
      <c r="J913" s="108">
        <f>IF($B913="","",IF($E913="Ngày thường",N($G913),0))</f>
        <v/>
      </c>
      <c r="K913" s="108">
        <f>IF($B913="","",IF($E913="Nghỉ tuần",N($G913),0))</f>
        <v/>
      </c>
      <c r="L913" s="108">
        <f>IF($B913="","",IF($E913="Lễ",N($G913),0))</f>
        <v/>
      </c>
      <c r="M913" s="108">
        <f>IF($B913="","",IF($E913="Ngày thường",N($H913),0))</f>
        <v/>
      </c>
      <c r="N913" s="108">
        <f>IF($B913="","",IF($E913="Nghỉ tuần",N($H913),0))</f>
        <v/>
      </c>
      <c r="O913" s="108">
        <f>IF($B913="","",IF($E913="Lễ",N($H913),0))</f>
        <v/>
      </c>
    </row>
    <row r="914" ht="15" customHeight="1" s="63">
      <c r="A914" s="85">
        <f>IF($B914="","",ROW()-5)</f>
        <v/>
      </c>
      <c r="B914" s="97" t="n"/>
      <c r="C914" s="96">
        <f>IF($B914="","",IFERROR(INDEX(DM_NHAN_SU!$C$6:$C$155,MATCH($B914,DM_NHAN_SU!$B$6:$B$155,0)),"SAI MÃ NV"))</f>
        <v/>
      </c>
      <c r="D914" s="86" t="n"/>
      <c r="E914" s="103">
        <f>IF(OR($B914="",$D914=""),"",IF(COUNTIF(THAM_SO_CC!$F$10:$F$40,$D914)&gt;0,"Lễ",IF(IF(THAM_SO_CC!$B$12="T7+CN",WEEKDAY($D914,2)&gt;=6,WEEKDAY($D914,2)=7),"Nghỉ tuần","Ngày thường")))</f>
        <v/>
      </c>
      <c r="F914" s="107" t="n"/>
      <c r="G914" s="107" t="n"/>
      <c r="H914" s="107" t="n"/>
      <c r="I914" s="81" t="n"/>
      <c r="J914" s="108">
        <f>IF($B914="","",IF($E914="Ngày thường",N($G914),0))</f>
        <v/>
      </c>
      <c r="K914" s="108">
        <f>IF($B914="","",IF($E914="Nghỉ tuần",N($G914),0))</f>
        <v/>
      </c>
      <c r="L914" s="108">
        <f>IF($B914="","",IF($E914="Lễ",N($G914),0))</f>
        <v/>
      </c>
      <c r="M914" s="108">
        <f>IF($B914="","",IF($E914="Ngày thường",N($H914),0))</f>
        <v/>
      </c>
      <c r="N914" s="108">
        <f>IF($B914="","",IF($E914="Nghỉ tuần",N($H914),0))</f>
        <v/>
      </c>
      <c r="O914" s="108">
        <f>IF($B914="","",IF($E914="Lễ",N($H914),0))</f>
        <v/>
      </c>
    </row>
    <row r="915" ht="15" customHeight="1" s="63">
      <c r="A915" s="85">
        <f>IF($B915="","",ROW()-5)</f>
        <v/>
      </c>
      <c r="B915" s="97" t="n"/>
      <c r="C915" s="96">
        <f>IF($B915="","",IFERROR(INDEX(DM_NHAN_SU!$C$6:$C$155,MATCH($B915,DM_NHAN_SU!$B$6:$B$155,0)),"SAI MÃ NV"))</f>
        <v/>
      </c>
      <c r="D915" s="86" t="n"/>
      <c r="E915" s="103">
        <f>IF(OR($B915="",$D915=""),"",IF(COUNTIF(THAM_SO_CC!$F$10:$F$40,$D915)&gt;0,"Lễ",IF(IF(THAM_SO_CC!$B$12="T7+CN",WEEKDAY($D915,2)&gt;=6,WEEKDAY($D915,2)=7),"Nghỉ tuần","Ngày thường")))</f>
        <v/>
      </c>
      <c r="F915" s="107" t="n"/>
      <c r="G915" s="107" t="n"/>
      <c r="H915" s="107" t="n"/>
      <c r="I915" s="81" t="n"/>
      <c r="J915" s="108">
        <f>IF($B915="","",IF($E915="Ngày thường",N($G915),0))</f>
        <v/>
      </c>
      <c r="K915" s="108">
        <f>IF($B915="","",IF($E915="Nghỉ tuần",N($G915),0))</f>
        <v/>
      </c>
      <c r="L915" s="108">
        <f>IF($B915="","",IF($E915="Lễ",N($G915),0))</f>
        <v/>
      </c>
      <c r="M915" s="108">
        <f>IF($B915="","",IF($E915="Ngày thường",N($H915),0))</f>
        <v/>
      </c>
      <c r="N915" s="108">
        <f>IF($B915="","",IF($E915="Nghỉ tuần",N($H915),0))</f>
        <v/>
      </c>
      <c r="O915" s="108">
        <f>IF($B915="","",IF($E915="Lễ",N($H915),0))</f>
        <v/>
      </c>
    </row>
    <row r="916" ht="15" customHeight="1" s="63">
      <c r="A916" s="85">
        <f>IF($B916="","",ROW()-5)</f>
        <v/>
      </c>
      <c r="B916" s="97" t="n"/>
      <c r="C916" s="96">
        <f>IF($B916="","",IFERROR(INDEX(DM_NHAN_SU!$C$6:$C$155,MATCH($B916,DM_NHAN_SU!$B$6:$B$155,0)),"SAI MÃ NV"))</f>
        <v/>
      </c>
      <c r="D916" s="86" t="n"/>
      <c r="E916" s="103">
        <f>IF(OR($B916="",$D916=""),"",IF(COUNTIF(THAM_SO_CC!$F$10:$F$40,$D916)&gt;0,"Lễ",IF(IF(THAM_SO_CC!$B$12="T7+CN",WEEKDAY($D916,2)&gt;=6,WEEKDAY($D916,2)=7),"Nghỉ tuần","Ngày thường")))</f>
        <v/>
      </c>
      <c r="F916" s="107" t="n"/>
      <c r="G916" s="107" t="n"/>
      <c r="H916" s="107" t="n"/>
      <c r="I916" s="81" t="n"/>
      <c r="J916" s="108">
        <f>IF($B916="","",IF($E916="Ngày thường",N($G916),0))</f>
        <v/>
      </c>
      <c r="K916" s="108">
        <f>IF($B916="","",IF($E916="Nghỉ tuần",N($G916),0))</f>
        <v/>
      </c>
      <c r="L916" s="108">
        <f>IF($B916="","",IF($E916="Lễ",N($G916),0))</f>
        <v/>
      </c>
      <c r="M916" s="108">
        <f>IF($B916="","",IF($E916="Ngày thường",N($H916),0))</f>
        <v/>
      </c>
      <c r="N916" s="108">
        <f>IF($B916="","",IF($E916="Nghỉ tuần",N($H916),0))</f>
        <v/>
      </c>
      <c r="O916" s="108">
        <f>IF($B916="","",IF($E916="Lễ",N($H916),0))</f>
        <v/>
      </c>
    </row>
    <row r="917" ht="15" customHeight="1" s="63">
      <c r="A917" s="85">
        <f>IF($B917="","",ROW()-5)</f>
        <v/>
      </c>
      <c r="B917" s="97" t="n"/>
      <c r="C917" s="96">
        <f>IF($B917="","",IFERROR(INDEX(DM_NHAN_SU!$C$6:$C$155,MATCH($B917,DM_NHAN_SU!$B$6:$B$155,0)),"SAI MÃ NV"))</f>
        <v/>
      </c>
      <c r="D917" s="86" t="n"/>
      <c r="E917" s="103">
        <f>IF(OR($B917="",$D917=""),"",IF(COUNTIF(THAM_SO_CC!$F$10:$F$40,$D917)&gt;0,"Lễ",IF(IF(THAM_SO_CC!$B$12="T7+CN",WEEKDAY($D917,2)&gt;=6,WEEKDAY($D917,2)=7),"Nghỉ tuần","Ngày thường")))</f>
        <v/>
      </c>
      <c r="F917" s="107" t="n"/>
      <c r="G917" s="107" t="n"/>
      <c r="H917" s="107" t="n"/>
      <c r="I917" s="81" t="n"/>
      <c r="J917" s="108">
        <f>IF($B917="","",IF($E917="Ngày thường",N($G917),0))</f>
        <v/>
      </c>
      <c r="K917" s="108">
        <f>IF($B917="","",IF($E917="Nghỉ tuần",N($G917),0))</f>
        <v/>
      </c>
      <c r="L917" s="108">
        <f>IF($B917="","",IF($E917="Lễ",N($G917),0))</f>
        <v/>
      </c>
      <c r="M917" s="108">
        <f>IF($B917="","",IF($E917="Ngày thường",N($H917),0))</f>
        <v/>
      </c>
      <c r="N917" s="108">
        <f>IF($B917="","",IF($E917="Nghỉ tuần",N($H917),0))</f>
        <v/>
      </c>
      <c r="O917" s="108">
        <f>IF($B917="","",IF($E917="Lễ",N($H917),0))</f>
        <v/>
      </c>
    </row>
    <row r="918" ht="15" customHeight="1" s="63">
      <c r="A918" s="85">
        <f>IF($B918="","",ROW()-5)</f>
        <v/>
      </c>
      <c r="B918" s="97" t="n"/>
      <c r="C918" s="96">
        <f>IF($B918="","",IFERROR(INDEX(DM_NHAN_SU!$C$6:$C$155,MATCH($B918,DM_NHAN_SU!$B$6:$B$155,0)),"SAI MÃ NV"))</f>
        <v/>
      </c>
      <c r="D918" s="86" t="n"/>
      <c r="E918" s="103">
        <f>IF(OR($B918="",$D918=""),"",IF(COUNTIF(THAM_SO_CC!$F$10:$F$40,$D918)&gt;0,"Lễ",IF(IF(THAM_SO_CC!$B$12="T7+CN",WEEKDAY($D918,2)&gt;=6,WEEKDAY($D918,2)=7),"Nghỉ tuần","Ngày thường")))</f>
        <v/>
      </c>
      <c r="F918" s="107" t="n"/>
      <c r="G918" s="107" t="n"/>
      <c r="H918" s="107" t="n"/>
      <c r="I918" s="81" t="n"/>
      <c r="J918" s="108">
        <f>IF($B918="","",IF($E918="Ngày thường",N($G918),0))</f>
        <v/>
      </c>
      <c r="K918" s="108">
        <f>IF($B918="","",IF($E918="Nghỉ tuần",N($G918),0))</f>
        <v/>
      </c>
      <c r="L918" s="108">
        <f>IF($B918="","",IF($E918="Lễ",N($G918),0))</f>
        <v/>
      </c>
      <c r="M918" s="108">
        <f>IF($B918="","",IF($E918="Ngày thường",N($H918),0))</f>
        <v/>
      </c>
      <c r="N918" s="108">
        <f>IF($B918="","",IF($E918="Nghỉ tuần",N($H918),0))</f>
        <v/>
      </c>
      <c r="O918" s="108">
        <f>IF($B918="","",IF($E918="Lễ",N($H918),0))</f>
        <v/>
      </c>
    </row>
    <row r="919" ht="15" customHeight="1" s="63">
      <c r="A919" s="85">
        <f>IF($B919="","",ROW()-5)</f>
        <v/>
      </c>
      <c r="B919" s="97" t="n"/>
      <c r="C919" s="96">
        <f>IF($B919="","",IFERROR(INDEX(DM_NHAN_SU!$C$6:$C$155,MATCH($B919,DM_NHAN_SU!$B$6:$B$155,0)),"SAI MÃ NV"))</f>
        <v/>
      </c>
      <c r="D919" s="86" t="n"/>
      <c r="E919" s="103">
        <f>IF(OR($B919="",$D919=""),"",IF(COUNTIF(THAM_SO_CC!$F$10:$F$40,$D919)&gt;0,"Lễ",IF(IF(THAM_SO_CC!$B$12="T7+CN",WEEKDAY($D919,2)&gt;=6,WEEKDAY($D919,2)=7),"Nghỉ tuần","Ngày thường")))</f>
        <v/>
      </c>
      <c r="F919" s="107" t="n"/>
      <c r="G919" s="107" t="n"/>
      <c r="H919" s="107" t="n"/>
      <c r="I919" s="81" t="n"/>
      <c r="J919" s="108">
        <f>IF($B919="","",IF($E919="Ngày thường",N($G919),0))</f>
        <v/>
      </c>
      <c r="K919" s="108">
        <f>IF($B919="","",IF($E919="Nghỉ tuần",N($G919),0))</f>
        <v/>
      </c>
      <c r="L919" s="108">
        <f>IF($B919="","",IF($E919="Lễ",N($G919),0))</f>
        <v/>
      </c>
      <c r="M919" s="108">
        <f>IF($B919="","",IF($E919="Ngày thường",N($H919),0))</f>
        <v/>
      </c>
      <c r="N919" s="108">
        <f>IF($B919="","",IF($E919="Nghỉ tuần",N($H919),0))</f>
        <v/>
      </c>
      <c r="O919" s="108">
        <f>IF($B919="","",IF($E919="Lễ",N($H919),0))</f>
        <v/>
      </c>
    </row>
    <row r="920" ht="15" customHeight="1" s="63">
      <c r="A920" s="85">
        <f>IF($B920="","",ROW()-5)</f>
        <v/>
      </c>
      <c r="B920" s="97" t="n"/>
      <c r="C920" s="96">
        <f>IF($B920="","",IFERROR(INDEX(DM_NHAN_SU!$C$6:$C$155,MATCH($B920,DM_NHAN_SU!$B$6:$B$155,0)),"SAI MÃ NV"))</f>
        <v/>
      </c>
      <c r="D920" s="86" t="n"/>
      <c r="E920" s="103">
        <f>IF(OR($B920="",$D920=""),"",IF(COUNTIF(THAM_SO_CC!$F$10:$F$40,$D920)&gt;0,"Lễ",IF(IF(THAM_SO_CC!$B$12="T7+CN",WEEKDAY($D920,2)&gt;=6,WEEKDAY($D920,2)=7),"Nghỉ tuần","Ngày thường")))</f>
        <v/>
      </c>
      <c r="F920" s="107" t="n"/>
      <c r="G920" s="107" t="n"/>
      <c r="H920" s="107" t="n"/>
      <c r="I920" s="81" t="n"/>
      <c r="J920" s="108">
        <f>IF($B920="","",IF($E920="Ngày thường",N($G920),0))</f>
        <v/>
      </c>
      <c r="K920" s="108">
        <f>IF($B920="","",IF($E920="Nghỉ tuần",N($G920),0))</f>
        <v/>
      </c>
      <c r="L920" s="108">
        <f>IF($B920="","",IF($E920="Lễ",N($G920),0))</f>
        <v/>
      </c>
      <c r="M920" s="108">
        <f>IF($B920="","",IF($E920="Ngày thường",N($H920),0))</f>
        <v/>
      </c>
      <c r="N920" s="108">
        <f>IF($B920="","",IF($E920="Nghỉ tuần",N($H920),0))</f>
        <v/>
      </c>
      <c r="O920" s="108">
        <f>IF($B920="","",IF($E920="Lễ",N($H920),0))</f>
        <v/>
      </c>
    </row>
    <row r="921" ht="15" customHeight="1" s="63">
      <c r="A921" s="85">
        <f>IF($B921="","",ROW()-5)</f>
        <v/>
      </c>
      <c r="B921" s="97" t="n"/>
      <c r="C921" s="96">
        <f>IF($B921="","",IFERROR(INDEX(DM_NHAN_SU!$C$6:$C$155,MATCH($B921,DM_NHAN_SU!$B$6:$B$155,0)),"SAI MÃ NV"))</f>
        <v/>
      </c>
      <c r="D921" s="86" t="n"/>
      <c r="E921" s="103">
        <f>IF(OR($B921="",$D921=""),"",IF(COUNTIF(THAM_SO_CC!$F$10:$F$40,$D921)&gt;0,"Lễ",IF(IF(THAM_SO_CC!$B$12="T7+CN",WEEKDAY($D921,2)&gt;=6,WEEKDAY($D921,2)=7),"Nghỉ tuần","Ngày thường")))</f>
        <v/>
      </c>
      <c r="F921" s="107" t="n"/>
      <c r="G921" s="107" t="n"/>
      <c r="H921" s="107" t="n"/>
      <c r="I921" s="81" t="n"/>
      <c r="J921" s="108">
        <f>IF($B921="","",IF($E921="Ngày thường",N($G921),0))</f>
        <v/>
      </c>
      <c r="K921" s="108">
        <f>IF($B921="","",IF($E921="Nghỉ tuần",N($G921),0))</f>
        <v/>
      </c>
      <c r="L921" s="108">
        <f>IF($B921="","",IF($E921="Lễ",N($G921),0))</f>
        <v/>
      </c>
      <c r="M921" s="108">
        <f>IF($B921="","",IF($E921="Ngày thường",N($H921),0))</f>
        <v/>
      </c>
      <c r="N921" s="108">
        <f>IF($B921="","",IF($E921="Nghỉ tuần",N($H921),0))</f>
        <v/>
      </c>
      <c r="O921" s="108">
        <f>IF($B921="","",IF($E921="Lễ",N($H921),0))</f>
        <v/>
      </c>
    </row>
    <row r="922" ht="15" customHeight="1" s="63">
      <c r="A922" s="85">
        <f>IF($B922="","",ROW()-5)</f>
        <v/>
      </c>
      <c r="B922" s="97" t="n"/>
      <c r="C922" s="96">
        <f>IF($B922="","",IFERROR(INDEX(DM_NHAN_SU!$C$6:$C$155,MATCH($B922,DM_NHAN_SU!$B$6:$B$155,0)),"SAI MÃ NV"))</f>
        <v/>
      </c>
      <c r="D922" s="86" t="n"/>
      <c r="E922" s="103">
        <f>IF(OR($B922="",$D922=""),"",IF(COUNTIF(THAM_SO_CC!$F$10:$F$40,$D922)&gt;0,"Lễ",IF(IF(THAM_SO_CC!$B$12="T7+CN",WEEKDAY($D922,2)&gt;=6,WEEKDAY($D922,2)=7),"Nghỉ tuần","Ngày thường")))</f>
        <v/>
      </c>
      <c r="F922" s="107" t="n"/>
      <c r="G922" s="107" t="n"/>
      <c r="H922" s="107" t="n"/>
      <c r="I922" s="81" t="n"/>
      <c r="J922" s="108">
        <f>IF($B922="","",IF($E922="Ngày thường",N($G922),0))</f>
        <v/>
      </c>
      <c r="K922" s="108">
        <f>IF($B922="","",IF($E922="Nghỉ tuần",N($G922),0))</f>
        <v/>
      </c>
      <c r="L922" s="108">
        <f>IF($B922="","",IF($E922="Lễ",N($G922),0))</f>
        <v/>
      </c>
      <c r="M922" s="108">
        <f>IF($B922="","",IF($E922="Ngày thường",N($H922),0))</f>
        <v/>
      </c>
      <c r="N922" s="108">
        <f>IF($B922="","",IF($E922="Nghỉ tuần",N($H922),0))</f>
        <v/>
      </c>
      <c r="O922" s="108">
        <f>IF($B922="","",IF($E922="Lễ",N($H922),0))</f>
        <v/>
      </c>
    </row>
    <row r="923" ht="15" customHeight="1" s="63">
      <c r="A923" s="85">
        <f>IF($B923="","",ROW()-5)</f>
        <v/>
      </c>
      <c r="B923" s="97" t="n"/>
      <c r="C923" s="96">
        <f>IF($B923="","",IFERROR(INDEX(DM_NHAN_SU!$C$6:$C$155,MATCH($B923,DM_NHAN_SU!$B$6:$B$155,0)),"SAI MÃ NV"))</f>
        <v/>
      </c>
      <c r="D923" s="86" t="n"/>
      <c r="E923" s="103">
        <f>IF(OR($B923="",$D923=""),"",IF(COUNTIF(THAM_SO_CC!$F$10:$F$40,$D923)&gt;0,"Lễ",IF(IF(THAM_SO_CC!$B$12="T7+CN",WEEKDAY($D923,2)&gt;=6,WEEKDAY($D923,2)=7),"Nghỉ tuần","Ngày thường")))</f>
        <v/>
      </c>
      <c r="F923" s="107" t="n"/>
      <c r="G923" s="107" t="n"/>
      <c r="H923" s="107" t="n"/>
      <c r="I923" s="81" t="n"/>
      <c r="J923" s="108">
        <f>IF($B923="","",IF($E923="Ngày thường",N($G923),0))</f>
        <v/>
      </c>
      <c r="K923" s="108">
        <f>IF($B923="","",IF($E923="Nghỉ tuần",N($G923),0))</f>
        <v/>
      </c>
      <c r="L923" s="108">
        <f>IF($B923="","",IF($E923="Lễ",N($G923),0))</f>
        <v/>
      </c>
      <c r="M923" s="108">
        <f>IF($B923="","",IF($E923="Ngày thường",N($H923),0))</f>
        <v/>
      </c>
      <c r="N923" s="108">
        <f>IF($B923="","",IF($E923="Nghỉ tuần",N($H923),0))</f>
        <v/>
      </c>
      <c r="O923" s="108">
        <f>IF($B923="","",IF($E923="Lễ",N($H923),0))</f>
        <v/>
      </c>
    </row>
    <row r="924" ht="15" customHeight="1" s="63">
      <c r="A924" s="85">
        <f>IF($B924="","",ROW()-5)</f>
        <v/>
      </c>
      <c r="B924" s="97" t="n"/>
      <c r="C924" s="96">
        <f>IF($B924="","",IFERROR(INDEX(DM_NHAN_SU!$C$6:$C$155,MATCH($B924,DM_NHAN_SU!$B$6:$B$155,0)),"SAI MÃ NV"))</f>
        <v/>
      </c>
      <c r="D924" s="86" t="n"/>
      <c r="E924" s="103">
        <f>IF(OR($B924="",$D924=""),"",IF(COUNTIF(THAM_SO_CC!$F$10:$F$40,$D924)&gt;0,"Lễ",IF(IF(THAM_SO_CC!$B$12="T7+CN",WEEKDAY($D924,2)&gt;=6,WEEKDAY($D924,2)=7),"Nghỉ tuần","Ngày thường")))</f>
        <v/>
      </c>
      <c r="F924" s="107" t="n"/>
      <c r="G924" s="107" t="n"/>
      <c r="H924" s="107" t="n"/>
      <c r="I924" s="81" t="n"/>
      <c r="J924" s="108">
        <f>IF($B924="","",IF($E924="Ngày thường",N($G924),0))</f>
        <v/>
      </c>
      <c r="K924" s="108">
        <f>IF($B924="","",IF($E924="Nghỉ tuần",N($G924),0))</f>
        <v/>
      </c>
      <c r="L924" s="108">
        <f>IF($B924="","",IF($E924="Lễ",N($G924),0))</f>
        <v/>
      </c>
      <c r="M924" s="108">
        <f>IF($B924="","",IF($E924="Ngày thường",N($H924),0))</f>
        <v/>
      </c>
      <c r="N924" s="108">
        <f>IF($B924="","",IF($E924="Nghỉ tuần",N($H924),0))</f>
        <v/>
      </c>
      <c r="O924" s="108">
        <f>IF($B924="","",IF($E924="Lễ",N($H924),0))</f>
        <v/>
      </c>
    </row>
    <row r="925" ht="15" customHeight="1" s="63">
      <c r="A925" s="85">
        <f>IF($B925="","",ROW()-5)</f>
        <v/>
      </c>
      <c r="B925" s="97" t="n"/>
      <c r="C925" s="96">
        <f>IF($B925="","",IFERROR(INDEX(DM_NHAN_SU!$C$6:$C$155,MATCH($B925,DM_NHAN_SU!$B$6:$B$155,0)),"SAI MÃ NV"))</f>
        <v/>
      </c>
      <c r="D925" s="86" t="n"/>
      <c r="E925" s="103">
        <f>IF(OR($B925="",$D925=""),"",IF(COUNTIF(THAM_SO_CC!$F$10:$F$40,$D925)&gt;0,"Lễ",IF(IF(THAM_SO_CC!$B$12="T7+CN",WEEKDAY($D925,2)&gt;=6,WEEKDAY($D925,2)=7),"Nghỉ tuần","Ngày thường")))</f>
        <v/>
      </c>
      <c r="F925" s="107" t="n"/>
      <c r="G925" s="107" t="n"/>
      <c r="H925" s="107" t="n"/>
      <c r="I925" s="81" t="n"/>
      <c r="J925" s="108">
        <f>IF($B925="","",IF($E925="Ngày thường",N($G925),0))</f>
        <v/>
      </c>
      <c r="K925" s="108">
        <f>IF($B925="","",IF($E925="Nghỉ tuần",N($G925),0))</f>
        <v/>
      </c>
      <c r="L925" s="108">
        <f>IF($B925="","",IF($E925="Lễ",N($G925),0))</f>
        <v/>
      </c>
      <c r="M925" s="108">
        <f>IF($B925="","",IF($E925="Ngày thường",N($H925),0))</f>
        <v/>
      </c>
      <c r="N925" s="108">
        <f>IF($B925="","",IF($E925="Nghỉ tuần",N($H925),0))</f>
        <v/>
      </c>
      <c r="O925" s="108">
        <f>IF($B925="","",IF($E925="Lễ",N($H925),0))</f>
        <v/>
      </c>
    </row>
    <row r="926" ht="15" customHeight="1" s="63">
      <c r="A926" s="85">
        <f>IF($B926="","",ROW()-5)</f>
        <v/>
      </c>
      <c r="B926" s="97" t="n"/>
      <c r="C926" s="96">
        <f>IF($B926="","",IFERROR(INDEX(DM_NHAN_SU!$C$6:$C$155,MATCH($B926,DM_NHAN_SU!$B$6:$B$155,0)),"SAI MÃ NV"))</f>
        <v/>
      </c>
      <c r="D926" s="86" t="n"/>
      <c r="E926" s="103">
        <f>IF(OR($B926="",$D926=""),"",IF(COUNTIF(THAM_SO_CC!$F$10:$F$40,$D926)&gt;0,"Lễ",IF(IF(THAM_SO_CC!$B$12="T7+CN",WEEKDAY($D926,2)&gt;=6,WEEKDAY($D926,2)=7),"Nghỉ tuần","Ngày thường")))</f>
        <v/>
      </c>
      <c r="F926" s="107" t="n"/>
      <c r="G926" s="107" t="n"/>
      <c r="H926" s="107" t="n"/>
      <c r="I926" s="81" t="n"/>
      <c r="J926" s="108">
        <f>IF($B926="","",IF($E926="Ngày thường",N($G926),0))</f>
        <v/>
      </c>
      <c r="K926" s="108">
        <f>IF($B926="","",IF($E926="Nghỉ tuần",N($G926),0))</f>
        <v/>
      </c>
      <c r="L926" s="108">
        <f>IF($B926="","",IF($E926="Lễ",N($G926),0))</f>
        <v/>
      </c>
      <c r="M926" s="108">
        <f>IF($B926="","",IF($E926="Ngày thường",N($H926),0))</f>
        <v/>
      </c>
      <c r="N926" s="108">
        <f>IF($B926="","",IF($E926="Nghỉ tuần",N($H926),0))</f>
        <v/>
      </c>
      <c r="O926" s="108">
        <f>IF($B926="","",IF($E926="Lễ",N($H926),0))</f>
        <v/>
      </c>
    </row>
    <row r="927" ht="15" customHeight="1" s="63">
      <c r="A927" s="85">
        <f>IF($B927="","",ROW()-5)</f>
        <v/>
      </c>
      <c r="B927" s="97" t="n"/>
      <c r="C927" s="96">
        <f>IF($B927="","",IFERROR(INDEX(DM_NHAN_SU!$C$6:$C$155,MATCH($B927,DM_NHAN_SU!$B$6:$B$155,0)),"SAI MÃ NV"))</f>
        <v/>
      </c>
      <c r="D927" s="86" t="n"/>
      <c r="E927" s="103">
        <f>IF(OR($B927="",$D927=""),"",IF(COUNTIF(THAM_SO_CC!$F$10:$F$40,$D927)&gt;0,"Lễ",IF(IF(THAM_SO_CC!$B$12="T7+CN",WEEKDAY($D927,2)&gt;=6,WEEKDAY($D927,2)=7),"Nghỉ tuần","Ngày thường")))</f>
        <v/>
      </c>
      <c r="F927" s="107" t="n"/>
      <c r="G927" s="107" t="n"/>
      <c r="H927" s="107" t="n"/>
      <c r="I927" s="81" t="n"/>
      <c r="J927" s="108">
        <f>IF($B927="","",IF($E927="Ngày thường",N($G927),0))</f>
        <v/>
      </c>
      <c r="K927" s="108">
        <f>IF($B927="","",IF($E927="Nghỉ tuần",N($G927),0))</f>
        <v/>
      </c>
      <c r="L927" s="108">
        <f>IF($B927="","",IF($E927="Lễ",N($G927),0))</f>
        <v/>
      </c>
      <c r="M927" s="108">
        <f>IF($B927="","",IF($E927="Ngày thường",N($H927),0))</f>
        <v/>
      </c>
      <c r="N927" s="108">
        <f>IF($B927="","",IF($E927="Nghỉ tuần",N($H927),0))</f>
        <v/>
      </c>
      <c r="O927" s="108">
        <f>IF($B927="","",IF($E927="Lễ",N($H927),0))</f>
        <v/>
      </c>
    </row>
    <row r="928" ht="15" customHeight="1" s="63">
      <c r="A928" s="85">
        <f>IF($B928="","",ROW()-5)</f>
        <v/>
      </c>
      <c r="B928" s="97" t="n"/>
      <c r="C928" s="96">
        <f>IF($B928="","",IFERROR(INDEX(DM_NHAN_SU!$C$6:$C$155,MATCH($B928,DM_NHAN_SU!$B$6:$B$155,0)),"SAI MÃ NV"))</f>
        <v/>
      </c>
      <c r="D928" s="86" t="n"/>
      <c r="E928" s="103">
        <f>IF(OR($B928="",$D928=""),"",IF(COUNTIF(THAM_SO_CC!$F$10:$F$40,$D928)&gt;0,"Lễ",IF(IF(THAM_SO_CC!$B$12="T7+CN",WEEKDAY($D928,2)&gt;=6,WEEKDAY($D928,2)=7),"Nghỉ tuần","Ngày thường")))</f>
        <v/>
      </c>
      <c r="F928" s="107" t="n"/>
      <c r="G928" s="107" t="n"/>
      <c r="H928" s="107" t="n"/>
      <c r="I928" s="81" t="n"/>
      <c r="J928" s="108">
        <f>IF($B928="","",IF($E928="Ngày thường",N($G928),0))</f>
        <v/>
      </c>
      <c r="K928" s="108">
        <f>IF($B928="","",IF($E928="Nghỉ tuần",N($G928),0))</f>
        <v/>
      </c>
      <c r="L928" s="108">
        <f>IF($B928="","",IF($E928="Lễ",N($G928),0))</f>
        <v/>
      </c>
      <c r="M928" s="108">
        <f>IF($B928="","",IF($E928="Ngày thường",N($H928),0))</f>
        <v/>
      </c>
      <c r="N928" s="108">
        <f>IF($B928="","",IF($E928="Nghỉ tuần",N($H928),0))</f>
        <v/>
      </c>
      <c r="O928" s="108">
        <f>IF($B928="","",IF($E928="Lễ",N($H928),0))</f>
        <v/>
      </c>
    </row>
    <row r="929" ht="15" customHeight="1" s="63">
      <c r="A929" s="85">
        <f>IF($B929="","",ROW()-5)</f>
        <v/>
      </c>
      <c r="B929" s="97" t="n"/>
      <c r="C929" s="96">
        <f>IF($B929="","",IFERROR(INDEX(DM_NHAN_SU!$C$6:$C$155,MATCH($B929,DM_NHAN_SU!$B$6:$B$155,0)),"SAI MÃ NV"))</f>
        <v/>
      </c>
      <c r="D929" s="86" t="n"/>
      <c r="E929" s="103">
        <f>IF(OR($B929="",$D929=""),"",IF(COUNTIF(THAM_SO_CC!$F$10:$F$40,$D929)&gt;0,"Lễ",IF(IF(THAM_SO_CC!$B$12="T7+CN",WEEKDAY($D929,2)&gt;=6,WEEKDAY($D929,2)=7),"Nghỉ tuần","Ngày thường")))</f>
        <v/>
      </c>
      <c r="F929" s="107" t="n"/>
      <c r="G929" s="107" t="n"/>
      <c r="H929" s="107" t="n"/>
      <c r="I929" s="81" t="n"/>
      <c r="J929" s="108">
        <f>IF($B929="","",IF($E929="Ngày thường",N($G929),0))</f>
        <v/>
      </c>
      <c r="K929" s="108">
        <f>IF($B929="","",IF($E929="Nghỉ tuần",N($G929),0))</f>
        <v/>
      </c>
      <c r="L929" s="108">
        <f>IF($B929="","",IF($E929="Lễ",N($G929),0))</f>
        <v/>
      </c>
      <c r="M929" s="108">
        <f>IF($B929="","",IF($E929="Ngày thường",N($H929),0))</f>
        <v/>
      </c>
      <c r="N929" s="108">
        <f>IF($B929="","",IF($E929="Nghỉ tuần",N($H929),0))</f>
        <v/>
      </c>
      <c r="O929" s="108">
        <f>IF($B929="","",IF($E929="Lễ",N($H929),0))</f>
        <v/>
      </c>
    </row>
    <row r="930" ht="15" customHeight="1" s="63">
      <c r="A930" s="85">
        <f>IF($B930="","",ROW()-5)</f>
        <v/>
      </c>
      <c r="B930" s="97" t="n"/>
      <c r="C930" s="96">
        <f>IF($B930="","",IFERROR(INDEX(DM_NHAN_SU!$C$6:$C$155,MATCH($B930,DM_NHAN_SU!$B$6:$B$155,0)),"SAI MÃ NV"))</f>
        <v/>
      </c>
      <c r="D930" s="86" t="n"/>
      <c r="E930" s="103">
        <f>IF(OR($B930="",$D930=""),"",IF(COUNTIF(THAM_SO_CC!$F$10:$F$40,$D930)&gt;0,"Lễ",IF(IF(THAM_SO_CC!$B$12="T7+CN",WEEKDAY($D930,2)&gt;=6,WEEKDAY($D930,2)=7),"Nghỉ tuần","Ngày thường")))</f>
        <v/>
      </c>
      <c r="F930" s="107" t="n"/>
      <c r="G930" s="107" t="n"/>
      <c r="H930" s="107" t="n"/>
      <c r="I930" s="81" t="n"/>
      <c r="J930" s="108">
        <f>IF($B930="","",IF($E930="Ngày thường",N($G930),0))</f>
        <v/>
      </c>
      <c r="K930" s="108">
        <f>IF($B930="","",IF($E930="Nghỉ tuần",N($G930),0))</f>
        <v/>
      </c>
      <c r="L930" s="108">
        <f>IF($B930="","",IF($E930="Lễ",N($G930),0))</f>
        <v/>
      </c>
      <c r="M930" s="108">
        <f>IF($B930="","",IF($E930="Ngày thường",N($H930),0))</f>
        <v/>
      </c>
      <c r="N930" s="108">
        <f>IF($B930="","",IF($E930="Nghỉ tuần",N($H930),0))</f>
        <v/>
      </c>
      <c r="O930" s="108">
        <f>IF($B930="","",IF($E930="Lễ",N($H930),0))</f>
        <v/>
      </c>
    </row>
    <row r="931" ht="15" customHeight="1" s="63">
      <c r="A931" s="85">
        <f>IF($B931="","",ROW()-5)</f>
        <v/>
      </c>
      <c r="B931" s="97" t="n"/>
      <c r="C931" s="96">
        <f>IF($B931="","",IFERROR(INDEX(DM_NHAN_SU!$C$6:$C$155,MATCH($B931,DM_NHAN_SU!$B$6:$B$155,0)),"SAI MÃ NV"))</f>
        <v/>
      </c>
      <c r="D931" s="86" t="n"/>
      <c r="E931" s="103">
        <f>IF(OR($B931="",$D931=""),"",IF(COUNTIF(THAM_SO_CC!$F$10:$F$40,$D931)&gt;0,"Lễ",IF(IF(THAM_SO_CC!$B$12="T7+CN",WEEKDAY($D931,2)&gt;=6,WEEKDAY($D931,2)=7),"Nghỉ tuần","Ngày thường")))</f>
        <v/>
      </c>
      <c r="F931" s="107" t="n"/>
      <c r="G931" s="107" t="n"/>
      <c r="H931" s="107" t="n"/>
      <c r="I931" s="81" t="n"/>
      <c r="J931" s="108">
        <f>IF($B931="","",IF($E931="Ngày thường",N($G931),0))</f>
        <v/>
      </c>
      <c r="K931" s="108">
        <f>IF($B931="","",IF($E931="Nghỉ tuần",N($G931),0))</f>
        <v/>
      </c>
      <c r="L931" s="108">
        <f>IF($B931="","",IF($E931="Lễ",N($G931),0))</f>
        <v/>
      </c>
      <c r="M931" s="108">
        <f>IF($B931="","",IF($E931="Ngày thường",N($H931),0))</f>
        <v/>
      </c>
      <c r="N931" s="108">
        <f>IF($B931="","",IF($E931="Nghỉ tuần",N($H931),0))</f>
        <v/>
      </c>
      <c r="O931" s="108">
        <f>IF($B931="","",IF($E931="Lễ",N($H931),0))</f>
        <v/>
      </c>
    </row>
    <row r="932" ht="15" customHeight="1" s="63">
      <c r="A932" s="85">
        <f>IF($B932="","",ROW()-5)</f>
        <v/>
      </c>
      <c r="B932" s="97" t="n"/>
      <c r="C932" s="96">
        <f>IF($B932="","",IFERROR(INDEX(DM_NHAN_SU!$C$6:$C$155,MATCH($B932,DM_NHAN_SU!$B$6:$B$155,0)),"SAI MÃ NV"))</f>
        <v/>
      </c>
      <c r="D932" s="86" t="n"/>
      <c r="E932" s="103">
        <f>IF(OR($B932="",$D932=""),"",IF(COUNTIF(THAM_SO_CC!$F$10:$F$40,$D932)&gt;0,"Lễ",IF(IF(THAM_SO_CC!$B$12="T7+CN",WEEKDAY($D932,2)&gt;=6,WEEKDAY($D932,2)=7),"Nghỉ tuần","Ngày thường")))</f>
        <v/>
      </c>
      <c r="F932" s="107" t="n"/>
      <c r="G932" s="107" t="n"/>
      <c r="H932" s="107" t="n"/>
      <c r="I932" s="81" t="n"/>
      <c r="J932" s="108">
        <f>IF($B932="","",IF($E932="Ngày thường",N($G932),0))</f>
        <v/>
      </c>
      <c r="K932" s="108">
        <f>IF($B932="","",IF($E932="Nghỉ tuần",N($G932),0))</f>
        <v/>
      </c>
      <c r="L932" s="108">
        <f>IF($B932="","",IF($E932="Lễ",N($G932),0))</f>
        <v/>
      </c>
      <c r="M932" s="108">
        <f>IF($B932="","",IF($E932="Ngày thường",N($H932),0))</f>
        <v/>
      </c>
      <c r="N932" s="108">
        <f>IF($B932="","",IF($E932="Nghỉ tuần",N($H932),0))</f>
        <v/>
      </c>
      <c r="O932" s="108">
        <f>IF($B932="","",IF($E932="Lễ",N($H932),0))</f>
        <v/>
      </c>
    </row>
    <row r="933" ht="15" customHeight="1" s="63">
      <c r="A933" s="85">
        <f>IF($B933="","",ROW()-5)</f>
        <v/>
      </c>
      <c r="B933" s="97" t="n"/>
      <c r="C933" s="96">
        <f>IF($B933="","",IFERROR(INDEX(DM_NHAN_SU!$C$6:$C$155,MATCH($B933,DM_NHAN_SU!$B$6:$B$155,0)),"SAI MÃ NV"))</f>
        <v/>
      </c>
      <c r="D933" s="86" t="n"/>
      <c r="E933" s="103">
        <f>IF(OR($B933="",$D933=""),"",IF(COUNTIF(THAM_SO_CC!$F$10:$F$40,$D933)&gt;0,"Lễ",IF(IF(THAM_SO_CC!$B$12="T7+CN",WEEKDAY($D933,2)&gt;=6,WEEKDAY($D933,2)=7),"Nghỉ tuần","Ngày thường")))</f>
        <v/>
      </c>
      <c r="F933" s="107" t="n"/>
      <c r="G933" s="107" t="n"/>
      <c r="H933" s="107" t="n"/>
      <c r="I933" s="81" t="n"/>
      <c r="J933" s="108">
        <f>IF($B933="","",IF($E933="Ngày thường",N($G933),0))</f>
        <v/>
      </c>
      <c r="K933" s="108">
        <f>IF($B933="","",IF($E933="Nghỉ tuần",N($G933),0))</f>
        <v/>
      </c>
      <c r="L933" s="108">
        <f>IF($B933="","",IF($E933="Lễ",N($G933),0))</f>
        <v/>
      </c>
      <c r="M933" s="108">
        <f>IF($B933="","",IF($E933="Ngày thường",N($H933),0))</f>
        <v/>
      </c>
      <c r="N933" s="108">
        <f>IF($B933="","",IF($E933="Nghỉ tuần",N($H933),0))</f>
        <v/>
      </c>
      <c r="O933" s="108">
        <f>IF($B933="","",IF($E933="Lễ",N($H933),0))</f>
        <v/>
      </c>
    </row>
    <row r="934" ht="15" customHeight="1" s="63">
      <c r="A934" s="85">
        <f>IF($B934="","",ROW()-5)</f>
        <v/>
      </c>
      <c r="B934" s="97" t="n"/>
      <c r="C934" s="96">
        <f>IF($B934="","",IFERROR(INDEX(DM_NHAN_SU!$C$6:$C$155,MATCH($B934,DM_NHAN_SU!$B$6:$B$155,0)),"SAI MÃ NV"))</f>
        <v/>
      </c>
      <c r="D934" s="86" t="n"/>
      <c r="E934" s="103">
        <f>IF(OR($B934="",$D934=""),"",IF(COUNTIF(THAM_SO_CC!$F$10:$F$40,$D934)&gt;0,"Lễ",IF(IF(THAM_SO_CC!$B$12="T7+CN",WEEKDAY($D934,2)&gt;=6,WEEKDAY($D934,2)=7),"Nghỉ tuần","Ngày thường")))</f>
        <v/>
      </c>
      <c r="F934" s="107" t="n"/>
      <c r="G934" s="107" t="n"/>
      <c r="H934" s="107" t="n"/>
      <c r="I934" s="81" t="n"/>
      <c r="J934" s="108">
        <f>IF($B934="","",IF($E934="Ngày thường",N($G934),0))</f>
        <v/>
      </c>
      <c r="K934" s="108">
        <f>IF($B934="","",IF($E934="Nghỉ tuần",N($G934),0))</f>
        <v/>
      </c>
      <c r="L934" s="108">
        <f>IF($B934="","",IF($E934="Lễ",N($G934),0))</f>
        <v/>
      </c>
      <c r="M934" s="108">
        <f>IF($B934="","",IF($E934="Ngày thường",N($H934),0))</f>
        <v/>
      </c>
      <c r="N934" s="108">
        <f>IF($B934="","",IF($E934="Nghỉ tuần",N($H934),0))</f>
        <v/>
      </c>
      <c r="O934" s="108">
        <f>IF($B934="","",IF($E934="Lễ",N($H934),0))</f>
        <v/>
      </c>
    </row>
    <row r="935" ht="15" customHeight="1" s="63">
      <c r="A935" s="85">
        <f>IF($B935="","",ROW()-5)</f>
        <v/>
      </c>
      <c r="B935" s="97" t="n"/>
      <c r="C935" s="96">
        <f>IF($B935="","",IFERROR(INDEX(DM_NHAN_SU!$C$6:$C$155,MATCH($B935,DM_NHAN_SU!$B$6:$B$155,0)),"SAI MÃ NV"))</f>
        <v/>
      </c>
      <c r="D935" s="86" t="n"/>
      <c r="E935" s="103">
        <f>IF(OR($B935="",$D935=""),"",IF(COUNTIF(THAM_SO_CC!$F$10:$F$40,$D935)&gt;0,"Lễ",IF(IF(THAM_SO_CC!$B$12="T7+CN",WEEKDAY($D935,2)&gt;=6,WEEKDAY($D935,2)=7),"Nghỉ tuần","Ngày thường")))</f>
        <v/>
      </c>
      <c r="F935" s="107" t="n"/>
      <c r="G935" s="107" t="n"/>
      <c r="H935" s="107" t="n"/>
      <c r="I935" s="81" t="n"/>
      <c r="J935" s="108">
        <f>IF($B935="","",IF($E935="Ngày thường",N($G935),0))</f>
        <v/>
      </c>
      <c r="K935" s="108">
        <f>IF($B935="","",IF($E935="Nghỉ tuần",N($G935),0))</f>
        <v/>
      </c>
      <c r="L935" s="108">
        <f>IF($B935="","",IF($E935="Lễ",N($G935),0))</f>
        <v/>
      </c>
      <c r="M935" s="108">
        <f>IF($B935="","",IF($E935="Ngày thường",N($H935),0))</f>
        <v/>
      </c>
      <c r="N935" s="108">
        <f>IF($B935="","",IF($E935="Nghỉ tuần",N($H935),0))</f>
        <v/>
      </c>
      <c r="O935" s="108">
        <f>IF($B935="","",IF($E935="Lễ",N($H935),0))</f>
        <v/>
      </c>
    </row>
    <row r="936" ht="15" customHeight="1" s="63">
      <c r="A936" s="85">
        <f>IF($B936="","",ROW()-5)</f>
        <v/>
      </c>
      <c r="B936" s="97" t="n"/>
      <c r="C936" s="96">
        <f>IF($B936="","",IFERROR(INDEX(DM_NHAN_SU!$C$6:$C$155,MATCH($B936,DM_NHAN_SU!$B$6:$B$155,0)),"SAI MÃ NV"))</f>
        <v/>
      </c>
      <c r="D936" s="86" t="n"/>
      <c r="E936" s="103">
        <f>IF(OR($B936="",$D936=""),"",IF(COUNTIF(THAM_SO_CC!$F$10:$F$40,$D936)&gt;0,"Lễ",IF(IF(THAM_SO_CC!$B$12="T7+CN",WEEKDAY($D936,2)&gt;=6,WEEKDAY($D936,2)=7),"Nghỉ tuần","Ngày thường")))</f>
        <v/>
      </c>
      <c r="F936" s="107" t="n"/>
      <c r="G936" s="107" t="n"/>
      <c r="H936" s="107" t="n"/>
      <c r="I936" s="81" t="n"/>
      <c r="J936" s="108">
        <f>IF($B936="","",IF($E936="Ngày thường",N($G936),0))</f>
        <v/>
      </c>
      <c r="K936" s="108">
        <f>IF($B936="","",IF($E936="Nghỉ tuần",N($G936),0))</f>
        <v/>
      </c>
      <c r="L936" s="108">
        <f>IF($B936="","",IF($E936="Lễ",N($G936),0))</f>
        <v/>
      </c>
      <c r="M936" s="108">
        <f>IF($B936="","",IF($E936="Ngày thường",N($H936),0))</f>
        <v/>
      </c>
      <c r="N936" s="108">
        <f>IF($B936="","",IF($E936="Nghỉ tuần",N($H936),0))</f>
        <v/>
      </c>
      <c r="O936" s="108">
        <f>IF($B936="","",IF($E936="Lễ",N($H936),0))</f>
        <v/>
      </c>
    </row>
    <row r="937" ht="15" customHeight="1" s="63">
      <c r="A937" s="85">
        <f>IF($B937="","",ROW()-5)</f>
        <v/>
      </c>
      <c r="B937" s="97" t="n"/>
      <c r="C937" s="96">
        <f>IF($B937="","",IFERROR(INDEX(DM_NHAN_SU!$C$6:$C$155,MATCH($B937,DM_NHAN_SU!$B$6:$B$155,0)),"SAI MÃ NV"))</f>
        <v/>
      </c>
      <c r="D937" s="86" t="n"/>
      <c r="E937" s="103">
        <f>IF(OR($B937="",$D937=""),"",IF(COUNTIF(THAM_SO_CC!$F$10:$F$40,$D937)&gt;0,"Lễ",IF(IF(THAM_SO_CC!$B$12="T7+CN",WEEKDAY($D937,2)&gt;=6,WEEKDAY($D937,2)=7),"Nghỉ tuần","Ngày thường")))</f>
        <v/>
      </c>
      <c r="F937" s="107" t="n"/>
      <c r="G937" s="107" t="n"/>
      <c r="H937" s="107" t="n"/>
      <c r="I937" s="81" t="n"/>
      <c r="J937" s="108">
        <f>IF($B937="","",IF($E937="Ngày thường",N($G937),0))</f>
        <v/>
      </c>
      <c r="K937" s="108">
        <f>IF($B937="","",IF($E937="Nghỉ tuần",N($G937),0))</f>
        <v/>
      </c>
      <c r="L937" s="108">
        <f>IF($B937="","",IF($E937="Lễ",N($G937),0))</f>
        <v/>
      </c>
      <c r="M937" s="108">
        <f>IF($B937="","",IF($E937="Ngày thường",N($H937),0))</f>
        <v/>
      </c>
      <c r="N937" s="108">
        <f>IF($B937="","",IF($E937="Nghỉ tuần",N($H937),0))</f>
        <v/>
      </c>
      <c r="O937" s="108">
        <f>IF($B937="","",IF($E937="Lễ",N($H937),0))</f>
        <v/>
      </c>
    </row>
    <row r="938" ht="15" customHeight="1" s="63">
      <c r="A938" s="85">
        <f>IF($B938="","",ROW()-5)</f>
        <v/>
      </c>
      <c r="B938" s="97" t="n"/>
      <c r="C938" s="96">
        <f>IF($B938="","",IFERROR(INDEX(DM_NHAN_SU!$C$6:$C$155,MATCH($B938,DM_NHAN_SU!$B$6:$B$155,0)),"SAI MÃ NV"))</f>
        <v/>
      </c>
      <c r="D938" s="86" t="n"/>
      <c r="E938" s="103">
        <f>IF(OR($B938="",$D938=""),"",IF(COUNTIF(THAM_SO_CC!$F$10:$F$40,$D938)&gt;0,"Lễ",IF(IF(THAM_SO_CC!$B$12="T7+CN",WEEKDAY($D938,2)&gt;=6,WEEKDAY($D938,2)=7),"Nghỉ tuần","Ngày thường")))</f>
        <v/>
      </c>
      <c r="F938" s="107" t="n"/>
      <c r="G938" s="107" t="n"/>
      <c r="H938" s="107" t="n"/>
      <c r="I938" s="81" t="n"/>
      <c r="J938" s="108">
        <f>IF($B938="","",IF($E938="Ngày thường",N($G938),0))</f>
        <v/>
      </c>
      <c r="K938" s="108">
        <f>IF($B938="","",IF($E938="Nghỉ tuần",N($G938),0))</f>
        <v/>
      </c>
      <c r="L938" s="108">
        <f>IF($B938="","",IF($E938="Lễ",N($G938),0))</f>
        <v/>
      </c>
      <c r="M938" s="108">
        <f>IF($B938="","",IF($E938="Ngày thường",N($H938),0))</f>
        <v/>
      </c>
      <c r="N938" s="108">
        <f>IF($B938="","",IF($E938="Nghỉ tuần",N($H938),0))</f>
        <v/>
      </c>
      <c r="O938" s="108">
        <f>IF($B938="","",IF($E938="Lễ",N($H938),0))</f>
        <v/>
      </c>
    </row>
    <row r="939" ht="15" customHeight="1" s="63">
      <c r="A939" s="85">
        <f>IF($B939="","",ROW()-5)</f>
        <v/>
      </c>
      <c r="B939" s="97" t="n"/>
      <c r="C939" s="96">
        <f>IF($B939="","",IFERROR(INDEX(DM_NHAN_SU!$C$6:$C$155,MATCH($B939,DM_NHAN_SU!$B$6:$B$155,0)),"SAI MÃ NV"))</f>
        <v/>
      </c>
      <c r="D939" s="86" t="n"/>
      <c r="E939" s="103">
        <f>IF(OR($B939="",$D939=""),"",IF(COUNTIF(THAM_SO_CC!$F$10:$F$40,$D939)&gt;0,"Lễ",IF(IF(THAM_SO_CC!$B$12="T7+CN",WEEKDAY($D939,2)&gt;=6,WEEKDAY($D939,2)=7),"Nghỉ tuần","Ngày thường")))</f>
        <v/>
      </c>
      <c r="F939" s="107" t="n"/>
      <c r="G939" s="107" t="n"/>
      <c r="H939" s="107" t="n"/>
      <c r="I939" s="81" t="n"/>
      <c r="J939" s="108">
        <f>IF($B939="","",IF($E939="Ngày thường",N($G939),0))</f>
        <v/>
      </c>
      <c r="K939" s="108">
        <f>IF($B939="","",IF($E939="Nghỉ tuần",N($G939),0))</f>
        <v/>
      </c>
      <c r="L939" s="108">
        <f>IF($B939="","",IF($E939="Lễ",N($G939),0))</f>
        <v/>
      </c>
      <c r="M939" s="108">
        <f>IF($B939="","",IF($E939="Ngày thường",N($H939),0))</f>
        <v/>
      </c>
      <c r="N939" s="108">
        <f>IF($B939="","",IF($E939="Nghỉ tuần",N($H939),0))</f>
        <v/>
      </c>
      <c r="O939" s="108">
        <f>IF($B939="","",IF($E939="Lễ",N($H939),0))</f>
        <v/>
      </c>
    </row>
    <row r="940" ht="15" customHeight="1" s="63">
      <c r="A940" s="85">
        <f>IF($B940="","",ROW()-5)</f>
        <v/>
      </c>
      <c r="B940" s="97" t="n"/>
      <c r="C940" s="96">
        <f>IF($B940="","",IFERROR(INDEX(DM_NHAN_SU!$C$6:$C$155,MATCH($B940,DM_NHAN_SU!$B$6:$B$155,0)),"SAI MÃ NV"))</f>
        <v/>
      </c>
      <c r="D940" s="86" t="n"/>
      <c r="E940" s="103">
        <f>IF(OR($B940="",$D940=""),"",IF(COUNTIF(THAM_SO_CC!$F$10:$F$40,$D940)&gt;0,"Lễ",IF(IF(THAM_SO_CC!$B$12="T7+CN",WEEKDAY($D940,2)&gt;=6,WEEKDAY($D940,2)=7),"Nghỉ tuần","Ngày thường")))</f>
        <v/>
      </c>
      <c r="F940" s="107" t="n"/>
      <c r="G940" s="107" t="n"/>
      <c r="H940" s="107" t="n"/>
      <c r="I940" s="81" t="n"/>
      <c r="J940" s="108">
        <f>IF($B940="","",IF($E940="Ngày thường",N($G940),0))</f>
        <v/>
      </c>
      <c r="K940" s="108">
        <f>IF($B940="","",IF($E940="Nghỉ tuần",N($G940),0))</f>
        <v/>
      </c>
      <c r="L940" s="108">
        <f>IF($B940="","",IF($E940="Lễ",N($G940),0))</f>
        <v/>
      </c>
      <c r="M940" s="108">
        <f>IF($B940="","",IF($E940="Ngày thường",N($H940),0))</f>
        <v/>
      </c>
      <c r="N940" s="108">
        <f>IF($B940="","",IF($E940="Nghỉ tuần",N($H940),0))</f>
        <v/>
      </c>
      <c r="O940" s="108">
        <f>IF($B940="","",IF($E940="Lễ",N($H940),0))</f>
        <v/>
      </c>
    </row>
    <row r="941" ht="15" customHeight="1" s="63">
      <c r="A941" s="85">
        <f>IF($B941="","",ROW()-5)</f>
        <v/>
      </c>
      <c r="B941" s="97" t="n"/>
      <c r="C941" s="96">
        <f>IF($B941="","",IFERROR(INDEX(DM_NHAN_SU!$C$6:$C$155,MATCH($B941,DM_NHAN_SU!$B$6:$B$155,0)),"SAI MÃ NV"))</f>
        <v/>
      </c>
      <c r="D941" s="86" t="n"/>
      <c r="E941" s="103">
        <f>IF(OR($B941="",$D941=""),"",IF(COUNTIF(THAM_SO_CC!$F$10:$F$40,$D941)&gt;0,"Lễ",IF(IF(THAM_SO_CC!$B$12="T7+CN",WEEKDAY($D941,2)&gt;=6,WEEKDAY($D941,2)=7),"Nghỉ tuần","Ngày thường")))</f>
        <v/>
      </c>
      <c r="F941" s="107" t="n"/>
      <c r="G941" s="107" t="n"/>
      <c r="H941" s="107" t="n"/>
      <c r="I941" s="81" t="n"/>
      <c r="J941" s="108">
        <f>IF($B941="","",IF($E941="Ngày thường",N($G941),0))</f>
        <v/>
      </c>
      <c r="K941" s="108">
        <f>IF($B941="","",IF($E941="Nghỉ tuần",N($G941),0))</f>
        <v/>
      </c>
      <c r="L941" s="108">
        <f>IF($B941="","",IF($E941="Lễ",N($G941),0))</f>
        <v/>
      </c>
      <c r="M941" s="108">
        <f>IF($B941="","",IF($E941="Ngày thường",N($H941),0))</f>
        <v/>
      </c>
      <c r="N941" s="108">
        <f>IF($B941="","",IF($E941="Nghỉ tuần",N($H941),0))</f>
        <v/>
      </c>
      <c r="O941" s="108">
        <f>IF($B941="","",IF($E941="Lễ",N($H941),0))</f>
        <v/>
      </c>
    </row>
    <row r="942" ht="15" customHeight="1" s="63">
      <c r="A942" s="85">
        <f>IF($B942="","",ROW()-5)</f>
        <v/>
      </c>
      <c r="B942" s="97" t="n"/>
      <c r="C942" s="96">
        <f>IF($B942="","",IFERROR(INDEX(DM_NHAN_SU!$C$6:$C$155,MATCH($B942,DM_NHAN_SU!$B$6:$B$155,0)),"SAI MÃ NV"))</f>
        <v/>
      </c>
      <c r="D942" s="86" t="n"/>
      <c r="E942" s="103">
        <f>IF(OR($B942="",$D942=""),"",IF(COUNTIF(THAM_SO_CC!$F$10:$F$40,$D942)&gt;0,"Lễ",IF(IF(THAM_SO_CC!$B$12="T7+CN",WEEKDAY($D942,2)&gt;=6,WEEKDAY($D942,2)=7),"Nghỉ tuần","Ngày thường")))</f>
        <v/>
      </c>
      <c r="F942" s="107" t="n"/>
      <c r="G942" s="107" t="n"/>
      <c r="H942" s="107" t="n"/>
      <c r="I942" s="81" t="n"/>
      <c r="J942" s="108">
        <f>IF($B942="","",IF($E942="Ngày thường",N($G942),0))</f>
        <v/>
      </c>
      <c r="K942" s="108">
        <f>IF($B942="","",IF($E942="Nghỉ tuần",N($G942),0))</f>
        <v/>
      </c>
      <c r="L942" s="108">
        <f>IF($B942="","",IF($E942="Lễ",N($G942),0))</f>
        <v/>
      </c>
      <c r="M942" s="108">
        <f>IF($B942="","",IF($E942="Ngày thường",N($H942),0))</f>
        <v/>
      </c>
      <c r="N942" s="108">
        <f>IF($B942="","",IF($E942="Nghỉ tuần",N($H942),0))</f>
        <v/>
      </c>
      <c r="O942" s="108">
        <f>IF($B942="","",IF($E942="Lễ",N($H942),0))</f>
        <v/>
      </c>
    </row>
    <row r="943" ht="15" customHeight="1" s="63">
      <c r="A943" s="85">
        <f>IF($B943="","",ROW()-5)</f>
        <v/>
      </c>
      <c r="B943" s="97" t="n"/>
      <c r="C943" s="96">
        <f>IF($B943="","",IFERROR(INDEX(DM_NHAN_SU!$C$6:$C$155,MATCH($B943,DM_NHAN_SU!$B$6:$B$155,0)),"SAI MÃ NV"))</f>
        <v/>
      </c>
      <c r="D943" s="86" t="n"/>
      <c r="E943" s="103">
        <f>IF(OR($B943="",$D943=""),"",IF(COUNTIF(THAM_SO_CC!$F$10:$F$40,$D943)&gt;0,"Lễ",IF(IF(THAM_SO_CC!$B$12="T7+CN",WEEKDAY($D943,2)&gt;=6,WEEKDAY($D943,2)=7),"Nghỉ tuần","Ngày thường")))</f>
        <v/>
      </c>
      <c r="F943" s="107" t="n"/>
      <c r="G943" s="107" t="n"/>
      <c r="H943" s="107" t="n"/>
      <c r="I943" s="81" t="n"/>
      <c r="J943" s="108">
        <f>IF($B943="","",IF($E943="Ngày thường",N($G943),0))</f>
        <v/>
      </c>
      <c r="K943" s="108">
        <f>IF($B943="","",IF($E943="Nghỉ tuần",N($G943),0))</f>
        <v/>
      </c>
      <c r="L943" s="108">
        <f>IF($B943="","",IF($E943="Lễ",N($G943),0))</f>
        <v/>
      </c>
      <c r="M943" s="108">
        <f>IF($B943="","",IF($E943="Ngày thường",N($H943),0))</f>
        <v/>
      </c>
      <c r="N943" s="108">
        <f>IF($B943="","",IF($E943="Nghỉ tuần",N($H943),0))</f>
        <v/>
      </c>
      <c r="O943" s="108">
        <f>IF($B943="","",IF($E943="Lễ",N($H943),0))</f>
        <v/>
      </c>
    </row>
    <row r="944" ht="15" customHeight="1" s="63">
      <c r="A944" s="85">
        <f>IF($B944="","",ROW()-5)</f>
        <v/>
      </c>
      <c r="B944" s="97" t="n"/>
      <c r="C944" s="96">
        <f>IF($B944="","",IFERROR(INDEX(DM_NHAN_SU!$C$6:$C$155,MATCH($B944,DM_NHAN_SU!$B$6:$B$155,0)),"SAI MÃ NV"))</f>
        <v/>
      </c>
      <c r="D944" s="86" t="n"/>
      <c r="E944" s="103">
        <f>IF(OR($B944="",$D944=""),"",IF(COUNTIF(THAM_SO_CC!$F$10:$F$40,$D944)&gt;0,"Lễ",IF(IF(THAM_SO_CC!$B$12="T7+CN",WEEKDAY($D944,2)&gt;=6,WEEKDAY($D944,2)=7),"Nghỉ tuần","Ngày thường")))</f>
        <v/>
      </c>
      <c r="F944" s="107" t="n"/>
      <c r="G944" s="107" t="n"/>
      <c r="H944" s="107" t="n"/>
      <c r="I944" s="81" t="n"/>
      <c r="J944" s="108">
        <f>IF($B944="","",IF($E944="Ngày thường",N($G944),0))</f>
        <v/>
      </c>
      <c r="K944" s="108">
        <f>IF($B944="","",IF($E944="Nghỉ tuần",N($G944),0))</f>
        <v/>
      </c>
      <c r="L944" s="108">
        <f>IF($B944="","",IF($E944="Lễ",N($G944),0))</f>
        <v/>
      </c>
      <c r="M944" s="108">
        <f>IF($B944="","",IF($E944="Ngày thường",N($H944),0))</f>
        <v/>
      </c>
      <c r="N944" s="108">
        <f>IF($B944="","",IF($E944="Nghỉ tuần",N($H944),0))</f>
        <v/>
      </c>
      <c r="O944" s="108">
        <f>IF($B944="","",IF($E944="Lễ",N($H944),0))</f>
        <v/>
      </c>
    </row>
    <row r="945" ht="15" customHeight="1" s="63">
      <c r="A945" s="85">
        <f>IF($B945="","",ROW()-5)</f>
        <v/>
      </c>
      <c r="B945" s="97" t="n"/>
      <c r="C945" s="96">
        <f>IF($B945="","",IFERROR(INDEX(DM_NHAN_SU!$C$6:$C$155,MATCH($B945,DM_NHAN_SU!$B$6:$B$155,0)),"SAI MÃ NV"))</f>
        <v/>
      </c>
      <c r="D945" s="86" t="n"/>
      <c r="E945" s="103">
        <f>IF(OR($B945="",$D945=""),"",IF(COUNTIF(THAM_SO_CC!$F$10:$F$40,$D945)&gt;0,"Lễ",IF(IF(THAM_SO_CC!$B$12="T7+CN",WEEKDAY($D945,2)&gt;=6,WEEKDAY($D945,2)=7),"Nghỉ tuần","Ngày thường")))</f>
        <v/>
      </c>
      <c r="F945" s="107" t="n"/>
      <c r="G945" s="107" t="n"/>
      <c r="H945" s="107" t="n"/>
      <c r="I945" s="81" t="n"/>
      <c r="J945" s="108">
        <f>IF($B945="","",IF($E945="Ngày thường",N($G945),0))</f>
        <v/>
      </c>
      <c r="K945" s="108">
        <f>IF($B945="","",IF($E945="Nghỉ tuần",N($G945),0))</f>
        <v/>
      </c>
      <c r="L945" s="108">
        <f>IF($B945="","",IF($E945="Lễ",N($G945),0))</f>
        <v/>
      </c>
      <c r="M945" s="108">
        <f>IF($B945="","",IF($E945="Ngày thường",N($H945),0))</f>
        <v/>
      </c>
      <c r="N945" s="108">
        <f>IF($B945="","",IF($E945="Nghỉ tuần",N($H945),0))</f>
        <v/>
      </c>
      <c r="O945" s="108">
        <f>IF($B945="","",IF($E945="Lễ",N($H945),0))</f>
        <v/>
      </c>
    </row>
    <row r="946" ht="15" customHeight="1" s="63">
      <c r="A946" s="85">
        <f>IF($B946="","",ROW()-5)</f>
        <v/>
      </c>
      <c r="B946" s="97" t="n"/>
      <c r="C946" s="96">
        <f>IF($B946="","",IFERROR(INDEX(DM_NHAN_SU!$C$6:$C$155,MATCH($B946,DM_NHAN_SU!$B$6:$B$155,0)),"SAI MÃ NV"))</f>
        <v/>
      </c>
      <c r="D946" s="86" t="n"/>
      <c r="E946" s="103">
        <f>IF(OR($B946="",$D946=""),"",IF(COUNTIF(THAM_SO_CC!$F$10:$F$40,$D946)&gt;0,"Lễ",IF(IF(THAM_SO_CC!$B$12="T7+CN",WEEKDAY($D946,2)&gt;=6,WEEKDAY($D946,2)=7),"Nghỉ tuần","Ngày thường")))</f>
        <v/>
      </c>
      <c r="F946" s="107" t="n"/>
      <c r="G946" s="107" t="n"/>
      <c r="H946" s="107" t="n"/>
      <c r="I946" s="81" t="n"/>
      <c r="J946" s="108">
        <f>IF($B946="","",IF($E946="Ngày thường",N($G946),0))</f>
        <v/>
      </c>
      <c r="K946" s="108">
        <f>IF($B946="","",IF($E946="Nghỉ tuần",N($G946),0))</f>
        <v/>
      </c>
      <c r="L946" s="108">
        <f>IF($B946="","",IF($E946="Lễ",N($G946),0))</f>
        <v/>
      </c>
      <c r="M946" s="108">
        <f>IF($B946="","",IF($E946="Ngày thường",N($H946),0))</f>
        <v/>
      </c>
      <c r="N946" s="108">
        <f>IF($B946="","",IF($E946="Nghỉ tuần",N($H946),0))</f>
        <v/>
      </c>
      <c r="O946" s="108">
        <f>IF($B946="","",IF($E946="Lễ",N($H946),0))</f>
        <v/>
      </c>
    </row>
    <row r="947" ht="15" customHeight="1" s="63">
      <c r="A947" s="85">
        <f>IF($B947="","",ROW()-5)</f>
        <v/>
      </c>
      <c r="B947" s="97" t="n"/>
      <c r="C947" s="96">
        <f>IF($B947="","",IFERROR(INDEX(DM_NHAN_SU!$C$6:$C$155,MATCH($B947,DM_NHAN_SU!$B$6:$B$155,0)),"SAI MÃ NV"))</f>
        <v/>
      </c>
      <c r="D947" s="86" t="n"/>
      <c r="E947" s="103">
        <f>IF(OR($B947="",$D947=""),"",IF(COUNTIF(THAM_SO_CC!$F$10:$F$40,$D947)&gt;0,"Lễ",IF(IF(THAM_SO_CC!$B$12="T7+CN",WEEKDAY($D947,2)&gt;=6,WEEKDAY($D947,2)=7),"Nghỉ tuần","Ngày thường")))</f>
        <v/>
      </c>
      <c r="F947" s="107" t="n"/>
      <c r="G947" s="107" t="n"/>
      <c r="H947" s="107" t="n"/>
      <c r="I947" s="81" t="n"/>
      <c r="J947" s="108">
        <f>IF($B947="","",IF($E947="Ngày thường",N($G947),0))</f>
        <v/>
      </c>
      <c r="K947" s="108">
        <f>IF($B947="","",IF($E947="Nghỉ tuần",N($G947),0))</f>
        <v/>
      </c>
      <c r="L947" s="108">
        <f>IF($B947="","",IF($E947="Lễ",N($G947),0))</f>
        <v/>
      </c>
      <c r="M947" s="108">
        <f>IF($B947="","",IF($E947="Ngày thường",N($H947),0))</f>
        <v/>
      </c>
      <c r="N947" s="108">
        <f>IF($B947="","",IF($E947="Nghỉ tuần",N($H947),0))</f>
        <v/>
      </c>
      <c r="O947" s="108">
        <f>IF($B947="","",IF($E947="Lễ",N($H947),0))</f>
        <v/>
      </c>
    </row>
    <row r="948" ht="15" customHeight="1" s="63">
      <c r="A948" s="85">
        <f>IF($B948="","",ROW()-5)</f>
        <v/>
      </c>
      <c r="B948" s="97" t="n"/>
      <c r="C948" s="96">
        <f>IF($B948="","",IFERROR(INDEX(DM_NHAN_SU!$C$6:$C$155,MATCH($B948,DM_NHAN_SU!$B$6:$B$155,0)),"SAI MÃ NV"))</f>
        <v/>
      </c>
      <c r="D948" s="86" t="n"/>
      <c r="E948" s="103">
        <f>IF(OR($B948="",$D948=""),"",IF(COUNTIF(THAM_SO_CC!$F$10:$F$40,$D948)&gt;0,"Lễ",IF(IF(THAM_SO_CC!$B$12="T7+CN",WEEKDAY($D948,2)&gt;=6,WEEKDAY($D948,2)=7),"Nghỉ tuần","Ngày thường")))</f>
        <v/>
      </c>
      <c r="F948" s="107" t="n"/>
      <c r="G948" s="107" t="n"/>
      <c r="H948" s="107" t="n"/>
      <c r="I948" s="81" t="n"/>
      <c r="J948" s="108">
        <f>IF($B948="","",IF($E948="Ngày thường",N($G948),0))</f>
        <v/>
      </c>
      <c r="K948" s="108">
        <f>IF($B948="","",IF($E948="Nghỉ tuần",N($G948),0))</f>
        <v/>
      </c>
      <c r="L948" s="108">
        <f>IF($B948="","",IF($E948="Lễ",N($G948),0))</f>
        <v/>
      </c>
      <c r="M948" s="108">
        <f>IF($B948="","",IF($E948="Ngày thường",N($H948),0))</f>
        <v/>
      </c>
      <c r="N948" s="108">
        <f>IF($B948="","",IF($E948="Nghỉ tuần",N($H948),0))</f>
        <v/>
      </c>
      <c r="O948" s="108">
        <f>IF($B948="","",IF($E948="Lễ",N($H948),0))</f>
        <v/>
      </c>
    </row>
    <row r="949" ht="15" customHeight="1" s="63">
      <c r="A949" s="85">
        <f>IF($B949="","",ROW()-5)</f>
        <v/>
      </c>
      <c r="B949" s="97" t="n"/>
      <c r="C949" s="96">
        <f>IF($B949="","",IFERROR(INDEX(DM_NHAN_SU!$C$6:$C$155,MATCH($B949,DM_NHAN_SU!$B$6:$B$155,0)),"SAI MÃ NV"))</f>
        <v/>
      </c>
      <c r="D949" s="86" t="n"/>
      <c r="E949" s="103">
        <f>IF(OR($B949="",$D949=""),"",IF(COUNTIF(THAM_SO_CC!$F$10:$F$40,$D949)&gt;0,"Lễ",IF(IF(THAM_SO_CC!$B$12="T7+CN",WEEKDAY($D949,2)&gt;=6,WEEKDAY($D949,2)=7),"Nghỉ tuần","Ngày thường")))</f>
        <v/>
      </c>
      <c r="F949" s="107" t="n"/>
      <c r="G949" s="107" t="n"/>
      <c r="H949" s="107" t="n"/>
      <c r="I949" s="81" t="n"/>
      <c r="J949" s="108">
        <f>IF($B949="","",IF($E949="Ngày thường",N($G949),0))</f>
        <v/>
      </c>
      <c r="K949" s="108">
        <f>IF($B949="","",IF($E949="Nghỉ tuần",N($G949),0))</f>
        <v/>
      </c>
      <c r="L949" s="108">
        <f>IF($B949="","",IF($E949="Lễ",N($G949),0))</f>
        <v/>
      </c>
      <c r="M949" s="108">
        <f>IF($B949="","",IF($E949="Ngày thường",N($H949),0))</f>
        <v/>
      </c>
      <c r="N949" s="108">
        <f>IF($B949="","",IF($E949="Nghỉ tuần",N($H949),0))</f>
        <v/>
      </c>
      <c r="O949" s="108">
        <f>IF($B949="","",IF($E949="Lễ",N($H949),0))</f>
        <v/>
      </c>
    </row>
    <row r="950" ht="15" customHeight="1" s="63">
      <c r="A950" s="85">
        <f>IF($B950="","",ROW()-5)</f>
        <v/>
      </c>
      <c r="B950" s="97" t="n"/>
      <c r="C950" s="96">
        <f>IF($B950="","",IFERROR(INDEX(DM_NHAN_SU!$C$6:$C$155,MATCH($B950,DM_NHAN_SU!$B$6:$B$155,0)),"SAI MÃ NV"))</f>
        <v/>
      </c>
      <c r="D950" s="86" t="n"/>
      <c r="E950" s="103">
        <f>IF(OR($B950="",$D950=""),"",IF(COUNTIF(THAM_SO_CC!$F$10:$F$40,$D950)&gt;0,"Lễ",IF(IF(THAM_SO_CC!$B$12="T7+CN",WEEKDAY($D950,2)&gt;=6,WEEKDAY($D950,2)=7),"Nghỉ tuần","Ngày thường")))</f>
        <v/>
      </c>
      <c r="F950" s="107" t="n"/>
      <c r="G950" s="107" t="n"/>
      <c r="H950" s="107" t="n"/>
      <c r="I950" s="81" t="n"/>
      <c r="J950" s="108">
        <f>IF($B950="","",IF($E950="Ngày thường",N($G950),0))</f>
        <v/>
      </c>
      <c r="K950" s="108">
        <f>IF($B950="","",IF($E950="Nghỉ tuần",N($G950),0))</f>
        <v/>
      </c>
      <c r="L950" s="108">
        <f>IF($B950="","",IF($E950="Lễ",N($G950),0))</f>
        <v/>
      </c>
      <c r="M950" s="108">
        <f>IF($B950="","",IF($E950="Ngày thường",N($H950),0))</f>
        <v/>
      </c>
      <c r="N950" s="108">
        <f>IF($B950="","",IF($E950="Nghỉ tuần",N($H950),0))</f>
        <v/>
      </c>
      <c r="O950" s="108">
        <f>IF($B950="","",IF($E950="Lễ",N($H950),0))</f>
        <v/>
      </c>
    </row>
    <row r="951" ht="15" customHeight="1" s="63">
      <c r="A951" s="85">
        <f>IF($B951="","",ROW()-5)</f>
        <v/>
      </c>
      <c r="B951" s="97" t="n"/>
      <c r="C951" s="96">
        <f>IF($B951="","",IFERROR(INDEX(DM_NHAN_SU!$C$6:$C$155,MATCH($B951,DM_NHAN_SU!$B$6:$B$155,0)),"SAI MÃ NV"))</f>
        <v/>
      </c>
      <c r="D951" s="86" t="n"/>
      <c r="E951" s="103">
        <f>IF(OR($B951="",$D951=""),"",IF(COUNTIF(THAM_SO_CC!$F$10:$F$40,$D951)&gt;0,"Lễ",IF(IF(THAM_SO_CC!$B$12="T7+CN",WEEKDAY($D951,2)&gt;=6,WEEKDAY($D951,2)=7),"Nghỉ tuần","Ngày thường")))</f>
        <v/>
      </c>
      <c r="F951" s="107" t="n"/>
      <c r="G951" s="107" t="n"/>
      <c r="H951" s="107" t="n"/>
      <c r="I951" s="81" t="n"/>
      <c r="J951" s="108">
        <f>IF($B951="","",IF($E951="Ngày thường",N($G951),0))</f>
        <v/>
      </c>
      <c r="K951" s="108">
        <f>IF($B951="","",IF($E951="Nghỉ tuần",N($G951),0))</f>
        <v/>
      </c>
      <c r="L951" s="108">
        <f>IF($B951="","",IF($E951="Lễ",N($G951),0))</f>
        <v/>
      </c>
      <c r="M951" s="108">
        <f>IF($B951="","",IF($E951="Ngày thường",N($H951),0))</f>
        <v/>
      </c>
      <c r="N951" s="108">
        <f>IF($B951="","",IF($E951="Nghỉ tuần",N($H951),0))</f>
        <v/>
      </c>
      <c r="O951" s="108">
        <f>IF($B951="","",IF($E951="Lễ",N($H951),0))</f>
        <v/>
      </c>
    </row>
    <row r="952" ht="15" customHeight="1" s="63">
      <c r="A952" s="85">
        <f>IF($B952="","",ROW()-5)</f>
        <v/>
      </c>
      <c r="B952" s="97" t="n"/>
      <c r="C952" s="96">
        <f>IF($B952="","",IFERROR(INDEX(DM_NHAN_SU!$C$6:$C$155,MATCH($B952,DM_NHAN_SU!$B$6:$B$155,0)),"SAI MÃ NV"))</f>
        <v/>
      </c>
      <c r="D952" s="86" t="n"/>
      <c r="E952" s="103">
        <f>IF(OR($B952="",$D952=""),"",IF(COUNTIF(THAM_SO_CC!$F$10:$F$40,$D952)&gt;0,"Lễ",IF(IF(THAM_SO_CC!$B$12="T7+CN",WEEKDAY($D952,2)&gt;=6,WEEKDAY($D952,2)=7),"Nghỉ tuần","Ngày thường")))</f>
        <v/>
      </c>
      <c r="F952" s="107" t="n"/>
      <c r="G952" s="107" t="n"/>
      <c r="H952" s="107" t="n"/>
      <c r="I952" s="81" t="n"/>
      <c r="J952" s="108">
        <f>IF($B952="","",IF($E952="Ngày thường",N($G952),0))</f>
        <v/>
      </c>
      <c r="K952" s="108">
        <f>IF($B952="","",IF($E952="Nghỉ tuần",N($G952),0))</f>
        <v/>
      </c>
      <c r="L952" s="108">
        <f>IF($B952="","",IF($E952="Lễ",N($G952),0))</f>
        <v/>
      </c>
      <c r="M952" s="108">
        <f>IF($B952="","",IF($E952="Ngày thường",N($H952),0))</f>
        <v/>
      </c>
      <c r="N952" s="108">
        <f>IF($B952="","",IF($E952="Nghỉ tuần",N($H952),0))</f>
        <v/>
      </c>
      <c r="O952" s="108">
        <f>IF($B952="","",IF($E952="Lễ",N($H952),0))</f>
        <v/>
      </c>
    </row>
    <row r="953" ht="15" customHeight="1" s="63">
      <c r="A953" s="85">
        <f>IF($B953="","",ROW()-5)</f>
        <v/>
      </c>
      <c r="B953" s="97" t="n"/>
      <c r="C953" s="96">
        <f>IF($B953="","",IFERROR(INDEX(DM_NHAN_SU!$C$6:$C$155,MATCH($B953,DM_NHAN_SU!$B$6:$B$155,0)),"SAI MÃ NV"))</f>
        <v/>
      </c>
      <c r="D953" s="86" t="n"/>
      <c r="E953" s="103">
        <f>IF(OR($B953="",$D953=""),"",IF(COUNTIF(THAM_SO_CC!$F$10:$F$40,$D953)&gt;0,"Lễ",IF(IF(THAM_SO_CC!$B$12="T7+CN",WEEKDAY($D953,2)&gt;=6,WEEKDAY($D953,2)=7),"Nghỉ tuần","Ngày thường")))</f>
        <v/>
      </c>
      <c r="F953" s="107" t="n"/>
      <c r="G953" s="107" t="n"/>
      <c r="H953" s="107" t="n"/>
      <c r="I953" s="81" t="n"/>
      <c r="J953" s="108">
        <f>IF($B953="","",IF($E953="Ngày thường",N($G953),0))</f>
        <v/>
      </c>
      <c r="K953" s="108">
        <f>IF($B953="","",IF($E953="Nghỉ tuần",N($G953),0))</f>
        <v/>
      </c>
      <c r="L953" s="108">
        <f>IF($B953="","",IF($E953="Lễ",N($G953),0))</f>
        <v/>
      </c>
      <c r="M953" s="108">
        <f>IF($B953="","",IF($E953="Ngày thường",N($H953),0))</f>
        <v/>
      </c>
      <c r="N953" s="108">
        <f>IF($B953="","",IF($E953="Nghỉ tuần",N($H953),0))</f>
        <v/>
      </c>
      <c r="O953" s="108">
        <f>IF($B953="","",IF($E953="Lễ",N($H953),0))</f>
        <v/>
      </c>
    </row>
    <row r="954" ht="15" customHeight="1" s="63">
      <c r="A954" s="85">
        <f>IF($B954="","",ROW()-5)</f>
        <v/>
      </c>
      <c r="B954" s="97" t="n"/>
      <c r="C954" s="96">
        <f>IF($B954="","",IFERROR(INDEX(DM_NHAN_SU!$C$6:$C$155,MATCH($B954,DM_NHAN_SU!$B$6:$B$155,0)),"SAI MÃ NV"))</f>
        <v/>
      </c>
      <c r="D954" s="86" t="n"/>
      <c r="E954" s="103">
        <f>IF(OR($B954="",$D954=""),"",IF(COUNTIF(THAM_SO_CC!$F$10:$F$40,$D954)&gt;0,"Lễ",IF(IF(THAM_SO_CC!$B$12="T7+CN",WEEKDAY($D954,2)&gt;=6,WEEKDAY($D954,2)=7),"Nghỉ tuần","Ngày thường")))</f>
        <v/>
      </c>
      <c r="F954" s="107" t="n"/>
      <c r="G954" s="107" t="n"/>
      <c r="H954" s="107" t="n"/>
      <c r="I954" s="81" t="n"/>
      <c r="J954" s="108">
        <f>IF($B954="","",IF($E954="Ngày thường",N($G954),0))</f>
        <v/>
      </c>
      <c r="K954" s="108">
        <f>IF($B954="","",IF($E954="Nghỉ tuần",N($G954),0))</f>
        <v/>
      </c>
      <c r="L954" s="108">
        <f>IF($B954="","",IF($E954="Lễ",N($G954),0))</f>
        <v/>
      </c>
      <c r="M954" s="108">
        <f>IF($B954="","",IF($E954="Ngày thường",N($H954),0))</f>
        <v/>
      </c>
      <c r="N954" s="108">
        <f>IF($B954="","",IF($E954="Nghỉ tuần",N($H954),0))</f>
        <v/>
      </c>
      <c r="O954" s="108">
        <f>IF($B954="","",IF($E954="Lễ",N($H954),0))</f>
        <v/>
      </c>
    </row>
    <row r="955" ht="15" customHeight="1" s="63">
      <c r="A955" s="85">
        <f>IF($B955="","",ROW()-5)</f>
        <v/>
      </c>
      <c r="B955" s="97" t="n"/>
      <c r="C955" s="96">
        <f>IF($B955="","",IFERROR(INDEX(DM_NHAN_SU!$C$6:$C$155,MATCH($B955,DM_NHAN_SU!$B$6:$B$155,0)),"SAI MÃ NV"))</f>
        <v/>
      </c>
      <c r="D955" s="86" t="n"/>
      <c r="E955" s="103">
        <f>IF(OR($B955="",$D955=""),"",IF(COUNTIF(THAM_SO_CC!$F$10:$F$40,$D955)&gt;0,"Lễ",IF(IF(THAM_SO_CC!$B$12="T7+CN",WEEKDAY($D955,2)&gt;=6,WEEKDAY($D955,2)=7),"Nghỉ tuần","Ngày thường")))</f>
        <v/>
      </c>
      <c r="F955" s="107" t="n"/>
      <c r="G955" s="107" t="n"/>
      <c r="H955" s="107" t="n"/>
      <c r="I955" s="81" t="n"/>
      <c r="J955" s="108">
        <f>IF($B955="","",IF($E955="Ngày thường",N($G955),0))</f>
        <v/>
      </c>
      <c r="K955" s="108">
        <f>IF($B955="","",IF($E955="Nghỉ tuần",N($G955),0))</f>
        <v/>
      </c>
      <c r="L955" s="108">
        <f>IF($B955="","",IF($E955="Lễ",N($G955),0))</f>
        <v/>
      </c>
      <c r="M955" s="108">
        <f>IF($B955="","",IF($E955="Ngày thường",N($H955),0))</f>
        <v/>
      </c>
      <c r="N955" s="108">
        <f>IF($B955="","",IF($E955="Nghỉ tuần",N($H955),0))</f>
        <v/>
      </c>
      <c r="O955" s="108">
        <f>IF($B955="","",IF($E955="Lễ",N($H955),0))</f>
        <v/>
      </c>
    </row>
    <row r="956" ht="15" customHeight="1" s="63">
      <c r="A956" s="85">
        <f>IF($B956="","",ROW()-5)</f>
        <v/>
      </c>
      <c r="B956" s="97" t="n"/>
      <c r="C956" s="96">
        <f>IF($B956="","",IFERROR(INDEX(DM_NHAN_SU!$C$6:$C$155,MATCH($B956,DM_NHAN_SU!$B$6:$B$155,0)),"SAI MÃ NV"))</f>
        <v/>
      </c>
      <c r="D956" s="86" t="n"/>
      <c r="E956" s="103">
        <f>IF(OR($B956="",$D956=""),"",IF(COUNTIF(THAM_SO_CC!$F$10:$F$40,$D956)&gt;0,"Lễ",IF(IF(THAM_SO_CC!$B$12="T7+CN",WEEKDAY($D956,2)&gt;=6,WEEKDAY($D956,2)=7),"Nghỉ tuần","Ngày thường")))</f>
        <v/>
      </c>
      <c r="F956" s="107" t="n"/>
      <c r="G956" s="107" t="n"/>
      <c r="H956" s="107" t="n"/>
      <c r="I956" s="81" t="n"/>
      <c r="J956" s="108">
        <f>IF($B956="","",IF($E956="Ngày thường",N($G956),0))</f>
        <v/>
      </c>
      <c r="K956" s="108">
        <f>IF($B956="","",IF($E956="Nghỉ tuần",N($G956),0))</f>
        <v/>
      </c>
      <c r="L956" s="108">
        <f>IF($B956="","",IF($E956="Lễ",N($G956),0))</f>
        <v/>
      </c>
      <c r="M956" s="108">
        <f>IF($B956="","",IF($E956="Ngày thường",N($H956),0))</f>
        <v/>
      </c>
      <c r="N956" s="108">
        <f>IF($B956="","",IF($E956="Nghỉ tuần",N($H956),0))</f>
        <v/>
      </c>
      <c r="O956" s="108">
        <f>IF($B956="","",IF($E956="Lễ",N($H956),0))</f>
        <v/>
      </c>
    </row>
    <row r="957" ht="15" customHeight="1" s="63">
      <c r="A957" s="85">
        <f>IF($B957="","",ROW()-5)</f>
        <v/>
      </c>
      <c r="B957" s="97" t="n"/>
      <c r="C957" s="96">
        <f>IF($B957="","",IFERROR(INDEX(DM_NHAN_SU!$C$6:$C$155,MATCH($B957,DM_NHAN_SU!$B$6:$B$155,0)),"SAI MÃ NV"))</f>
        <v/>
      </c>
      <c r="D957" s="86" t="n"/>
      <c r="E957" s="103">
        <f>IF(OR($B957="",$D957=""),"",IF(COUNTIF(THAM_SO_CC!$F$10:$F$40,$D957)&gt;0,"Lễ",IF(IF(THAM_SO_CC!$B$12="T7+CN",WEEKDAY($D957,2)&gt;=6,WEEKDAY($D957,2)=7),"Nghỉ tuần","Ngày thường")))</f>
        <v/>
      </c>
      <c r="F957" s="107" t="n"/>
      <c r="G957" s="107" t="n"/>
      <c r="H957" s="107" t="n"/>
      <c r="I957" s="81" t="n"/>
      <c r="J957" s="108">
        <f>IF($B957="","",IF($E957="Ngày thường",N($G957),0))</f>
        <v/>
      </c>
      <c r="K957" s="108">
        <f>IF($B957="","",IF($E957="Nghỉ tuần",N($G957),0))</f>
        <v/>
      </c>
      <c r="L957" s="108">
        <f>IF($B957="","",IF($E957="Lễ",N($G957),0))</f>
        <v/>
      </c>
      <c r="M957" s="108">
        <f>IF($B957="","",IF($E957="Ngày thường",N($H957),0))</f>
        <v/>
      </c>
      <c r="N957" s="108">
        <f>IF($B957="","",IF($E957="Nghỉ tuần",N($H957),0))</f>
        <v/>
      </c>
      <c r="O957" s="108">
        <f>IF($B957="","",IF($E957="Lễ",N($H957),0))</f>
        <v/>
      </c>
    </row>
    <row r="958" ht="15" customHeight="1" s="63">
      <c r="A958" s="85">
        <f>IF($B958="","",ROW()-5)</f>
        <v/>
      </c>
      <c r="B958" s="97" t="n"/>
      <c r="C958" s="96">
        <f>IF($B958="","",IFERROR(INDEX(DM_NHAN_SU!$C$6:$C$155,MATCH($B958,DM_NHAN_SU!$B$6:$B$155,0)),"SAI MÃ NV"))</f>
        <v/>
      </c>
      <c r="D958" s="86" t="n"/>
      <c r="E958" s="103">
        <f>IF(OR($B958="",$D958=""),"",IF(COUNTIF(THAM_SO_CC!$F$10:$F$40,$D958)&gt;0,"Lễ",IF(IF(THAM_SO_CC!$B$12="T7+CN",WEEKDAY($D958,2)&gt;=6,WEEKDAY($D958,2)=7),"Nghỉ tuần","Ngày thường")))</f>
        <v/>
      </c>
      <c r="F958" s="107" t="n"/>
      <c r="G958" s="107" t="n"/>
      <c r="H958" s="107" t="n"/>
      <c r="I958" s="81" t="n"/>
      <c r="J958" s="108">
        <f>IF($B958="","",IF($E958="Ngày thường",N($G958),0))</f>
        <v/>
      </c>
      <c r="K958" s="108">
        <f>IF($B958="","",IF($E958="Nghỉ tuần",N($G958),0))</f>
        <v/>
      </c>
      <c r="L958" s="108">
        <f>IF($B958="","",IF($E958="Lễ",N($G958),0))</f>
        <v/>
      </c>
      <c r="M958" s="108">
        <f>IF($B958="","",IF($E958="Ngày thường",N($H958),0))</f>
        <v/>
      </c>
      <c r="N958" s="108">
        <f>IF($B958="","",IF($E958="Nghỉ tuần",N($H958),0))</f>
        <v/>
      </c>
      <c r="O958" s="108">
        <f>IF($B958="","",IF($E958="Lễ",N($H958),0))</f>
        <v/>
      </c>
    </row>
    <row r="959" ht="15" customHeight="1" s="63">
      <c r="A959" s="85">
        <f>IF($B959="","",ROW()-5)</f>
        <v/>
      </c>
      <c r="B959" s="97" t="n"/>
      <c r="C959" s="96">
        <f>IF($B959="","",IFERROR(INDEX(DM_NHAN_SU!$C$6:$C$155,MATCH($B959,DM_NHAN_SU!$B$6:$B$155,0)),"SAI MÃ NV"))</f>
        <v/>
      </c>
      <c r="D959" s="86" t="n"/>
      <c r="E959" s="103">
        <f>IF(OR($B959="",$D959=""),"",IF(COUNTIF(THAM_SO_CC!$F$10:$F$40,$D959)&gt;0,"Lễ",IF(IF(THAM_SO_CC!$B$12="T7+CN",WEEKDAY($D959,2)&gt;=6,WEEKDAY($D959,2)=7),"Nghỉ tuần","Ngày thường")))</f>
        <v/>
      </c>
      <c r="F959" s="107" t="n"/>
      <c r="G959" s="107" t="n"/>
      <c r="H959" s="107" t="n"/>
      <c r="I959" s="81" t="n"/>
      <c r="J959" s="108">
        <f>IF($B959="","",IF($E959="Ngày thường",N($G959),0))</f>
        <v/>
      </c>
      <c r="K959" s="108">
        <f>IF($B959="","",IF($E959="Nghỉ tuần",N($G959),0))</f>
        <v/>
      </c>
      <c r="L959" s="108">
        <f>IF($B959="","",IF($E959="Lễ",N($G959),0))</f>
        <v/>
      </c>
      <c r="M959" s="108">
        <f>IF($B959="","",IF($E959="Ngày thường",N($H959),0))</f>
        <v/>
      </c>
      <c r="N959" s="108">
        <f>IF($B959="","",IF($E959="Nghỉ tuần",N($H959),0))</f>
        <v/>
      </c>
      <c r="O959" s="108">
        <f>IF($B959="","",IF($E959="Lễ",N($H959),0))</f>
        <v/>
      </c>
    </row>
    <row r="960" ht="15" customHeight="1" s="63">
      <c r="A960" s="85">
        <f>IF($B960="","",ROW()-5)</f>
        <v/>
      </c>
      <c r="B960" s="97" t="n"/>
      <c r="C960" s="96">
        <f>IF($B960="","",IFERROR(INDEX(DM_NHAN_SU!$C$6:$C$155,MATCH($B960,DM_NHAN_SU!$B$6:$B$155,0)),"SAI MÃ NV"))</f>
        <v/>
      </c>
      <c r="D960" s="86" t="n"/>
      <c r="E960" s="103">
        <f>IF(OR($B960="",$D960=""),"",IF(COUNTIF(THAM_SO_CC!$F$10:$F$40,$D960)&gt;0,"Lễ",IF(IF(THAM_SO_CC!$B$12="T7+CN",WEEKDAY($D960,2)&gt;=6,WEEKDAY($D960,2)=7),"Nghỉ tuần","Ngày thường")))</f>
        <v/>
      </c>
      <c r="F960" s="107" t="n"/>
      <c r="G960" s="107" t="n"/>
      <c r="H960" s="107" t="n"/>
      <c r="I960" s="81" t="n"/>
      <c r="J960" s="108">
        <f>IF($B960="","",IF($E960="Ngày thường",N($G960),0))</f>
        <v/>
      </c>
      <c r="K960" s="108">
        <f>IF($B960="","",IF($E960="Nghỉ tuần",N($G960),0))</f>
        <v/>
      </c>
      <c r="L960" s="108">
        <f>IF($B960="","",IF($E960="Lễ",N($G960),0))</f>
        <v/>
      </c>
      <c r="M960" s="108">
        <f>IF($B960="","",IF($E960="Ngày thường",N($H960),0))</f>
        <v/>
      </c>
      <c r="N960" s="108">
        <f>IF($B960="","",IF($E960="Nghỉ tuần",N($H960),0))</f>
        <v/>
      </c>
      <c r="O960" s="108">
        <f>IF($B960="","",IF($E960="Lễ",N($H960),0))</f>
        <v/>
      </c>
    </row>
    <row r="961" ht="15" customHeight="1" s="63">
      <c r="A961" s="85">
        <f>IF($B961="","",ROW()-5)</f>
        <v/>
      </c>
      <c r="B961" s="97" t="n"/>
      <c r="C961" s="96">
        <f>IF($B961="","",IFERROR(INDEX(DM_NHAN_SU!$C$6:$C$155,MATCH($B961,DM_NHAN_SU!$B$6:$B$155,0)),"SAI MÃ NV"))</f>
        <v/>
      </c>
      <c r="D961" s="86" t="n"/>
      <c r="E961" s="103">
        <f>IF(OR($B961="",$D961=""),"",IF(COUNTIF(THAM_SO_CC!$F$10:$F$40,$D961)&gt;0,"Lễ",IF(IF(THAM_SO_CC!$B$12="T7+CN",WEEKDAY($D961,2)&gt;=6,WEEKDAY($D961,2)=7),"Nghỉ tuần","Ngày thường")))</f>
        <v/>
      </c>
      <c r="F961" s="107" t="n"/>
      <c r="G961" s="107" t="n"/>
      <c r="H961" s="107" t="n"/>
      <c r="I961" s="81" t="n"/>
      <c r="J961" s="108">
        <f>IF($B961="","",IF($E961="Ngày thường",N($G961),0))</f>
        <v/>
      </c>
      <c r="K961" s="108">
        <f>IF($B961="","",IF($E961="Nghỉ tuần",N($G961),0))</f>
        <v/>
      </c>
      <c r="L961" s="108">
        <f>IF($B961="","",IF($E961="Lễ",N($G961),0))</f>
        <v/>
      </c>
      <c r="M961" s="108">
        <f>IF($B961="","",IF($E961="Ngày thường",N($H961),0))</f>
        <v/>
      </c>
      <c r="N961" s="108">
        <f>IF($B961="","",IF($E961="Nghỉ tuần",N($H961),0))</f>
        <v/>
      </c>
      <c r="O961" s="108">
        <f>IF($B961="","",IF($E961="Lễ",N($H961),0))</f>
        <v/>
      </c>
    </row>
    <row r="962" ht="15" customHeight="1" s="63">
      <c r="A962" s="85">
        <f>IF($B962="","",ROW()-5)</f>
        <v/>
      </c>
      <c r="B962" s="97" t="n"/>
      <c r="C962" s="96">
        <f>IF($B962="","",IFERROR(INDEX(DM_NHAN_SU!$C$6:$C$155,MATCH($B962,DM_NHAN_SU!$B$6:$B$155,0)),"SAI MÃ NV"))</f>
        <v/>
      </c>
      <c r="D962" s="86" t="n"/>
      <c r="E962" s="103">
        <f>IF(OR($B962="",$D962=""),"",IF(COUNTIF(THAM_SO_CC!$F$10:$F$40,$D962)&gt;0,"Lễ",IF(IF(THAM_SO_CC!$B$12="T7+CN",WEEKDAY($D962,2)&gt;=6,WEEKDAY($D962,2)=7),"Nghỉ tuần","Ngày thường")))</f>
        <v/>
      </c>
      <c r="F962" s="107" t="n"/>
      <c r="G962" s="107" t="n"/>
      <c r="H962" s="107" t="n"/>
      <c r="I962" s="81" t="n"/>
      <c r="J962" s="108">
        <f>IF($B962="","",IF($E962="Ngày thường",N($G962),0))</f>
        <v/>
      </c>
      <c r="K962" s="108">
        <f>IF($B962="","",IF($E962="Nghỉ tuần",N($G962),0))</f>
        <v/>
      </c>
      <c r="L962" s="108">
        <f>IF($B962="","",IF($E962="Lễ",N($G962),0))</f>
        <v/>
      </c>
      <c r="M962" s="108">
        <f>IF($B962="","",IF($E962="Ngày thường",N($H962),0))</f>
        <v/>
      </c>
      <c r="N962" s="108">
        <f>IF($B962="","",IF($E962="Nghỉ tuần",N($H962),0))</f>
        <v/>
      </c>
      <c r="O962" s="108">
        <f>IF($B962="","",IF($E962="Lễ",N($H962),0))</f>
        <v/>
      </c>
    </row>
    <row r="963" ht="15" customHeight="1" s="63">
      <c r="A963" s="85">
        <f>IF($B963="","",ROW()-5)</f>
        <v/>
      </c>
      <c r="B963" s="97" t="n"/>
      <c r="C963" s="96">
        <f>IF($B963="","",IFERROR(INDEX(DM_NHAN_SU!$C$6:$C$155,MATCH($B963,DM_NHAN_SU!$B$6:$B$155,0)),"SAI MÃ NV"))</f>
        <v/>
      </c>
      <c r="D963" s="86" t="n"/>
      <c r="E963" s="103">
        <f>IF(OR($B963="",$D963=""),"",IF(COUNTIF(THAM_SO_CC!$F$10:$F$40,$D963)&gt;0,"Lễ",IF(IF(THAM_SO_CC!$B$12="T7+CN",WEEKDAY($D963,2)&gt;=6,WEEKDAY($D963,2)=7),"Nghỉ tuần","Ngày thường")))</f>
        <v/>
      </c>
      <c r="F963" s="107" t="n"/>
      <c r="G963" s="107" t="n"/>
      <c r="H963" s="107" t="n"/>
      <c r="I963" s="81" t="n"/>
      <c r="J963" s="108">
        <f>IF($B963="","",IF($E963="Ngày thường",N($G963),0))</f>
        <v/>
      </c>
      <c r="K963" s="108">
        <f>IF($B963="","",IF($E963="Nghỉ tuần",N($G963),0))</f>
        <v/>
      </c>
      <c r="L963" s="108">
        <f>IF($B963="","",IF($E963="Lễ",N($G963),0))</f>
        <v/>
      </c>
      <c r="M963" s="108">
        <f>IF($B963="","",IF($E963="Ngày thường",N($H963),0))</f>
        <v/>
      </c>
      <c r="N963" s="108">
        <f>IF($B963="","",IF($E963="Nghỉ tuần",N($H963),0))</f>
        <v/>
      </c>
      <c r="O963" s="108">
        <f>IF($B963="","",IF($E963="Lễ",N($H963),0))</f>
        <v/>
      </c>
    </row>
    <row r="964" ht="15" customHeight="1" s="63">
      <c r="A964" s="85">
        <f>IF($B964="","",ROW()-5)</f>
        <v/>
      </c>
      <c r="B964" s="97" t="n"/>
      <c r="C964" s="96">
        <f>IF($B964="","",IFERROR(INDEX(DM_NHAN_SU!$C$6:$C$155,MATCH($B964,DM_NHAN_SU!$B$6:$B$155,0)),"SAI MÃ NV"))</f>
        <v/>
      </c>
      <c r="D964" s="86" t="n"/>
      <c r="E964" s="103">
        <f>IF(OR($B964="",$D964=""),"",IF(COUNTIF(THAM_SO_CC!$F$10:$F$40,$D964)&gt;0,"Lễ",IF(IF(THAM_SO_CC!$B$12="T7+CN",WEEKDAY($D964,2)&gt;=6,WEEKDAY($D964,2)=7),"Nghỉ tuần","Ngày thường")))</f>
        <v/>
      </c>
      <c r="F964" s="107" t="n"/>
      <c r="G964" s="107" t="n"/>
      <c r="H964" s="107" t="n"/>
      <c r="I964" s="81" t="n"/>
      <c r="J964" s="108">
        <f>IF($B964="","",IF($E964="Ngày thường",N($G964),0))</f>
        <v/>
      </c>
      <c r="K964" s="108">
        <f>IF($B964="","",IF($E964="Nghỉ tuần",N($G964),0))</f>
        <v/>
      </c>
      <c r="L964" s="108">
        <f>IF($B964="","",IF($E964="Lễ",N($G964),0))</f>
        <v/>
      </c>
      <c r="M964" s="108">
        <f>IF($B964="","",IF($E964="Ngày thường",N($H964),0))</f>
        <v/>
      </c>
      <c r="N964" s="108">
        <f>IF($B964="","",IF($E964="Nghỉ tuần",N($H964),0))</f>
        <v/>
      </c>
      <c r="O964" s="108">
        <f>IF($B964="","",IF($E964="Lễ",N($H964),0))</f>
        <v/>
      </c>
    </row>
    <row r="965" ht="15" customHeight="1" s="63">
      <c r="A965" s="85">
        <f>IF($B965="","",ROW()-5)</f>
        <v/>
      </c>
      <c r="B965" s="97" t="n"/>
      <c r="C965" s="96">
        <f>IF($B965="","",IFERROR(INDEX(DM_NHAN_SU!$C$6:$C$155,MATCH($B965,DM_NHAN_SU!$B$6:$B$155,0)),"SAI MÃ NV"))</f>
        <v/>
      </c>
      <c r="D965" s="86" t="n"/>
      <c r="E965" s="103">
        <f>IF(OR($B965="",$D965=""),"",IF(COUNTIF(THAM_SO_CC!$F$10:$F$40,$D965)&gt;0,"Lễ",IF(IF(THAM_SO_CC!$B$12="T7+CN",WEEKDAY($D965,2)&gt;=6,WEEKDAY($D965,2)=7),"Nghỉ tuần","Ngày thường")))</f>
        <v/>
      </c>
      <c r="F965" s="107" t="n"/>
      <c r="G965" s="107" t="n"/>
      <c r="H965" s="107" t="n"/>
      <c r="I965" s="81" t="n"/>
      <c r="J965" s="108">
        <f>IF($B965="","",IF($E965="Ngày thường",N($G965),0))</f>
        <v/>
      </c>
      <c r="K965" s="108">
        <f>IF($B965="","",IF($E965="Nghỉ tuần",N($G965),0))</f>
        <v/>
      </c>
      <c r="L965" s="108">
        <f>IF($B965="","",IF($E965="Lễ",N($G965),0))</f>
        <v/>
      </c>
      <c r="M965" s="108">
        <f>IF($B965="","",IF($E965="Ngày thường",N($H965),0))</f>
        <v/>
      </c>
      <c r="N965" s="108">
        <f>IF($B965="","",IF($E965="Nghỉ tuần",N($H965),0))</f>
        <v/>
      </c>
      <c r="O965" s="108">
        <f>IF($B965="","",IF($E965="Lễ",N($H965),0))</f>
        <v/>
      </c>
    </row>
    <row r="966" ht="15" customHeight="1" s="63">
      <c r="A966" s="85">
        <f>IF($B966="","",ROW()-5)</f>
        <v/>
      </c>
      <c r="B966" s="97" t="n"/>
      <c r="C966" s="96">
        <f>IF($B966="","",IFERROR(INDEX(DM_NHAN_SU!$C$6:$C$155,MATCH($B966,DM_NHAN_SU!$B$6:$B$155,0)),"SAI MÃ NV"))</f>
        <v/>
      </c>
      <c r="D966" s="86" t="n"/>
      <c r="E966" s="103">
        <f>IF(OR($B966="",$D966=""),"",IF(COUNTIF(THAM_SO_CC!$F$10:$F$40,$D966)&gt;0,"Lễ",IF(IF(THAM_SO_CC!$B$12="T7+CN",WEEKDAY($D966,2)&gt;=6,WEEKDAY($D966,2)=7),"Nghỉ tuần","Ngày thường")))</f>
        <v/>
      </c>
      <c r="F966" s="107" t="n"/>
      <c r="G966" s="107" t="n"/>
      <c r="H966" s="107" t="n"/>
      <c r="I966" s="81" t="n"/>
      <c r="J966" s="108">
        <f>IF($B966="","",IF($E966="Ngày thường",N($G966),0))</f>
        <v/>
      </c>
      <c r="K966" s="108">
        <f>IF($B966="","",IF($E966="Nghỉ tuần",N($G966),0))</f>
        <v/>
      </c>
      <c r="L966" s="108">
        <f>IF($B966="","",IF($E966="Lễ",N($G966),0))</f>
        <v/>
      </c>
      <c r="M966" s="108">
        <f>IF($B966="","",IF($E966="Ngày thường",N($H966),0))</f>
        <v/>
      </c>
      <c r="N966" s="108">
        <f>IF($B966="","",IF($E966="Nghỉ tuần",N($H966),0))</f>
        <v/>
      </c>
      <c r="O966" s="108">
        <f>IF($B966="","",IF($E966="Lễ",N($H966),0))</f>
        <v/>
      </c>
    </row>
    <row r="967" ht="15" customHeight="1" s="63">
      <c r="A967" s="85">
        <f>IF($B967="","",ROW()-5)</f>
        <v/>
      </c>
      <c r="B967" s="97" t="n"/>
      <c r="C967" s="96">
        <f>IF($B967="","",IFERROR(INDEX(DM_NHAN_SU!$C$6:$C$155,MATCH($B967,DM_NHAN_SU!$B$6:$B$155,0)),"SAI MÃ NV"))</f>
        <v/>
      </c>
      <c r="D967" s="86" t="n"/>
      <c r="E967" s="103">
        <f>IF(OR($B967="",$D967=""),"",IF(COUNTIF(THAM_SO_CC!$F$10:$F$40,$D967)&gt;0,"Lễ",IF(IF(THAM_SO_CC!$B$12="T7+CN",WEEKDAY($D967,2)&gt;=6,WEEKDAY($D967,2)=7),"Nghỉ tuần","Ngày thường")))</f>
        <v/>
      </c>
      <c r="F967" s="107" t="n"/>
      <c r="G967" s="107" t="n"/>
      <c r="H967" s="107" t="n"/>
      <c r="I967" s="81" t="n"/>
      <c r="J967" s="108">
        <f>IF($B967="","",IF($E967="Ngày thường",N($G967),0))</f>
        <v/>
      </c>
      <c r="K967" s="108">
        <f>IF($B967="","",IF($E967="Nghỉ tuần",N($G967),0))</f>
        <v/>
      </c>
      <c r="L967" s="108">
        <f>IF($B967="","",IF($E967="Lễ",N($G967),0))</f>
        <v/>
      </c>
      <c r="M967" s="108">
        <f>IF($B967="","",IF($E967="Ngày thường",N($H967),0))</f>
        <v/>
      </c>
      <c r="N967" s="108">
        <f>IF($B967="","",IF($E967="Nghỉ tuần",N($H967),0))</f>
        <v/>
      </c>
      <c r="O967" s="108">
        <f>IF($B967="","",IF($E967="Lễ",N($H967),0))</f>
        <v/>
      </c>
    </row>
    <row r="968" ht="15" customHeight="1" s="63">
      <c r="A968" s="85">
        <f>IF($B968="","",ROW()-5)</f>
        <v/>
      </c>
      <c r="B968" s="97" t="n"/>
      <c r="C968" s="96">
        <f>IF($B968="","",IFERROR(INDEX(DM_NHAN_SU!$C$6:$C$155,MATCH($B968,DM_NHAN_SU!$B$6:$B$155,0)),"SAI MÃ NV"))</f>
        <v/>
      </c>
      <c r="D968" s="86" t="n"/>
      <c r="E968" s="103">
        <f>IF(OR($B968="",$D968=""),"",IF(COUNTIF(THAM_SO_CC!$F$10:$F$40,$D968)&gt;0,"Lễ",IF(IF(THAM_SO_CC!$B$12="T7+CN",WEEKDAY($D968,2)&gt;=6,WEEKDAY($D968,2)=7),"Nghỉ tuần","Ngày thường")))</f>
        <v/>
      </c>
      <c r="F968" s="107" t="n"/>
      <c r="G968" s="107" t="n"/>
      <c r="H968" s="107" t="n"/>
      <c r="I968" s="81" t="n"/>
      <c r="J968" s="108">
        <f>IF($B968="","",IF($E968="Ngày thường",N($G968),0))</f>
        <v/>
      </c>
      <c r="K968" s="108">
        <f>IF($B968="","",IF($E968="Nghỉ tuần",N($G968),0))</f>
        <v/>
      </c>
      <c r="L968" s="108">
        <f>IF($B968="","",IF($E968="Lễ",N($G968),0))</f>
        <v/>
      </c>
      <c r="M968" s="108">
        <f>IF($B968="","",IF($E968="Ngày thường",N($H968),0))</f>
        <v/>
      </c>
      <c r="N968" s="108">
        <f>IF($B968="","",IF($E968="Nghỉ tuần",N($H968),0))</f>
        <v/>
      </c>
      <c r="O968" s="108">
        <f>IF($B968="","",IF($E968="Lễ",N($H968),0))</f>
        <v/>
      </c>
    </row>
    <row r="969" ht="15" customHeight="1" s="63">
      <c r="A969" s="85">
        <f>IF($B969="","",ROW()-5)</f>
        <v/>
      </c>
      <c r="B969" s="97" t="n"/>
      <c r="C969" s="96">
        <f>IF($B969="","",IFERROR(INDEX(DM_NHAN_SU!$C$6:$C$155,MATCH($B969,DM_NHAN_SU!$B$6:$B$155,0)),"SAI MÃ NV"))</f>
        <v/>
      </c>
      <c r="D969" s="86" t="n"/>
      <c r="E969" s="103">
        <f>IF(OR($B969="",$D969=""),"",IF(COUNTIF(THAM_SO_CC!$F$10:$F$40,$D969)&gt;0,"Lễ",IF(IF(THAM_SO_CC!$B$12="T7+CN",WEEKDAY($D969,2)&gt;=6,WEEKDAY($D969,2)=7),"Nghỉ tuần","Ngày thường")))</f>
        <v/>
      </c>
      <c r="F969" s="107" t="n"/>
      <c r="G969" s="107" t="n"/>
      <c r="H969" s="107" t="n"/>
      <c r="I969" s="81" t="n"/>
      <c r="J969" s="108">
        <f>IF($B969="","",IF($E969="Ngày thường",N($G969),0))</f>
        <v/>
      </c>
      <c r="K969" s="108">
        <f>IF($B969="","",IF($E969="Nghỉ tuần",N($G969),0))</f>
        <v/>
      </c>
      <c r="L969" s="108">
        <f>IF($B969="","",IF($E969="Lễ",N($G969),0))</f>
        <v/>
      </c>
      <c r="M969" s="108">
        <f>IF($B969="","",IF($E969="Ngày thường",N($H969),0))</f>
        <v/>
      </c>
      <c r="N969" s="108">
        <f>IF($B969="","",IF($E969="Nghỉ tuần",N($H969),0))</f>
        <v/>
      </c>
      <c r="O969" s="108">
        <f>IF($B969="","",IF($E969="Lễ",N($H969),0))</f>
        <v/>
      </c>
    </row>
    <row r="970" ht="15" customHeight="1" s="63">
      <c r="A970" s="85">
        <f>IF($B970="","",ROW()-5)</f>
        <v/>
      </c>
      <c r="B970" s="97" t="n"/>
      <c r="C970" s="96">
        <f>IF($B970="","",IFERROR(INDEX(DM_NHAN_SU!$C$6:$C$155,MATCH($B970,DM_NHAN_SU!$B$6:$B$155,0)),"SAI MÃ NV"))</f>
        <v/>
      </c>
      <c r="D970" s="86" t="n"/>
      <c r="E970" s="103">
        <f>IF(OR($B970="",$D970=""),"",IF(COUNTIF(THAM_SO_CC!$F$10:$F$40,$D970)&gt;0,"Lễ",IF(IF(THAM_SO_CC!$B$12="T7+CN",WEEKDAY($D970,2)&gt;=6,WEEKDAY($D970,2)=7),"Nghỉ tuần","Ngày thường")))</f>
        <v/>
      </c>
      <c r="F970" s="107" t="n"/>
      <c r="G970" s="107" t="n"/>
      <c r="H970" s="107" t="n"/>
      <c r="I970" s="81" t="n"/>
      <c r="J970" s="108">
        <f>IF($B970="","",IF($E970="Ngày thường",N($G970),0))</f>
        <v/>
      </c>
      <c r="K970" s="108">
        <f>IF($B970="","",IF($E970="Nghỉ tuần",N($G970),0))</f>
        <v/>
      </c>
      <c r="L970" s="108">
        <f>IF($B970="","",IF($E970="Lễ",N($G970),0))</f>
        <v/>
      </c>
      <c r="M970" s="108">
        <f>IF($B970="","",IF($E970="Ngày thường",N($H970),0))</f>
        <v/>
      </c>
      <c r="N970" s="108">
        <f>IF($B970="","",IF($E970="Nghỉ tuần",N($H970),0))</f>
        <v/>
      </c>
      <c r="O970" s="108">
        <f>IF($B970="","",IF($E970="Lễ",N($H970),0))</f>
        <v/>
      </c>
    </row>
    <row r="971" ht="15" customHeight="1" s="63">
      <c r="A971" s="85">
        <f>IF($B971="","",ROW()-5)</f>
        <v/>
      </c>
      <c r="B971" s="97" t="n"/>
      <c r="C971" s="96">
        <f>IF($B971="","",IFERROR(INDEX(DM_NHAN_SU!$C$6:$C$155,MATCH($B971,DM_NHAN_SU!$B$6:$B$155,0)),"SAI MÃ NV"))</f>
        <v/>
      </c>
      <c r="D971" s="86" t="n"/>
      <c r="E971" s="103">
        <f>IF(OR($B971="",$D971=""),"",IF(COUNTIF(THAM_SO_CC!$F$10:$F$40,$D971)&gt;0,"Lễ",IF(IF(THAM_SO_CC!$B$12="T7+CN",WEEKDAY($D971,2)&gt;=6,WEEKDAY($D971,2)=7),"Nghỉ tuần","Ngày thường")))</f>
        <v/>
      </c>
      <c r="F971" s="107" t="n"/>
      <c r="G971" s="107" t="n"/>
      <c r="H971" s="107" t="n"/>
      <c r="I971" s="81" t="n"/>
      <c r="J971" s="108">
        <f>IF($B971="","",IF($E971="Ngày thường",N($G971),0))</f>
        <v/>
      </c>
      <c r="K971" s="108">
        <f>IF($B971="","",IF($E971="Nghỉ tuần",N($G971),0))</f>
        <v/>
      </c>
      <c r="L971" s="108">
        <f>IF($B971="","",IF($E971="Lễ",N($G971),0))</f>
        <v/>
      </c>
      <c r="M971" s="108">
        <f>IF($B971="","",IF($E971="Ngày thường",N($H971),0))</f>
        <v/>
      </c>
      <c r="N971" s="108">
        <f>IF($B971="","",IF($E971="Nghỉ tuần",N($H971),0))</f>
        <v/>
      </c>
      <c r="O971" s="108">
        <f>IF($B971="","",IF($E971="Lễ",N($H971),0))</f>
        <v/>
      </c>
    </row>
    <row r="972" ht="15" customHeight="1" s="63">
      <c r="A972" s="85">
        <f>IF($B972="","",ROW()-5)</f>
        <v/>
      </c>
      <c r="B972" s="97" t="n"/>
      <c r="C972" s="96">
        <f>IF($B972="","",IFERROR(INDEX(DM_NHAN_SU!$C$6:$C$155,MATCH($B972,DM_NHAN_SU!$B$6:$B$155,0)),"SAI MÃ NV"))</f>
        <v/>
      </c>
      <c r="D972" s="86" t="n"/>
      <c r="E972" s="103">
        <f>IF(OR($B972="",$D972=""),"",IF(COUNTIF(THAM_SO_CC!$F$10:$F$40,$D972)&gt;0,"Lễ",IF(IF(THAM_SO_CC!$B$12="T7+CN",WEEKDAY($D972,2)&gt;=6,WEEKDAY($D972,2)=7),"Nghỉ tuần","Ngày thường")))</f>
        <v/>
      </c>
      <c r="F972" s="107" t="n"/>
      <c r="G972" s="107" t="n"/>
      <c r="H972" s="107" t="n"/>
      <c r="I972" s="81" t="n"/>
      <c r="J972" s="108">
        <f>IF($B972="","",IF($E972="Ngày thường",N($G972),0))</f>
        <v/>
      </c>
      <c r="K972" s="108">
        <f>IF($B972="","",IF($E972="Nghỉ tuần",N($G972),0))</f>
        <v/>
      </c>
      <c r="L972" s="108">
        <f>IF($B972="","",IF($E972="Lễ",N($G972),0))</f>
        <v/>
      </c>
      <c r="M972" s="108">
        <f>IF($B972="","",IF($E972="Ngày thường",N($H972),0))</f>
        <v/>
      </c>
      <c r="N972" s="108">
        <f>IF($B972="","",IF($E972="Nghỉ tuần",N($H972),0))</f>
        <v/>
      </c>
      <c r="O972" s="108">
        <f>IF($B972="","",IF($E972="Lễ",N($H972),0))</f>
        <v/>
      </c>
    </row>
    <row r="973" ht="15" customHeight="1" s="63">
      <c r="A973" s="85">
        <f>IF($B973="","",ROW()-5)</f>
        <v/>
      </c>
      <c r="B973" s="97" t="n"/>
      <c r="C973" s="96">
        <f>IF($B973="","",IFERROR(INDEX(DM_NHAN_SU!$C$6:$C$155,MATCH($B973,DM_NHAN_SU!$B$6:$B$155,0)),"SAI MÃ NV"))</f>
        <v/>
      </c>
      <c r="D973" s="86" t="n"/>
      <c r="E973" s="103">
        <f>IF(OR($B973="",$D973=""),"",IF(COUNTIF(THAM_SO_CC!$F$10:$F$40,$D973)&gt;0,"Lễ",IF(IF(THAM_SO_CC!$B$12="T7+CN",WEEKDAY($D973,2)&gt;=6,WEEKDAY($D973,2)=7),"Nghỉ tuần","Ngày thường")))</f>
        <v/>
      </c>
      <c r="F973" s="107" t="n"/>
      <c r="G973" s="107" t="n"/>
      <c r="H973" s="107" t="n"/>
      <c r="I973" s="81" t="n"/>
      <c r="J973" s="108">
        <f>IF($B973="","",IF($E973="Ngày thường",N($G973),0))</f>
        <v/>
      </c>
      <c r="K973" s="108">
        <f>IF($B973="","",IF($E973="Nghỉ tuần",N($G973),0))</f>
        <v/>
      </c>
      <c r="L973" s="108">
        <f>IF($B973="","",IF($E973="Lễ",N($G973),0))</f>
        <v/>
      </c>
      <c r="M973" s="108">
        <f>IF($B973="","",IF($E973="Ngày thường",N($H973),0))</f>
        <v/>
      </c>
      <c r="N973" s="108">
        <f>IF($B973="","",IF($E973="Nghỉ tuần",N($H973),0))</f>
        <v/>
      </c>
      <c r="O973" s="108">
        <f>IF($B973="","",IF($E973="Lễ",N($H973),0))</f>
        <v/>
      </c>
    </row>
    <row r="974" ht="15" customHeight="1" s="63">
      <c r="A974" s="85">
        <f>IF($B974="","",ROW()-5)</f>
        <v/>
      </c>
      <c r="B974" s="97" t="n"/>
      <c r="C974" s="96">
        <f>IF($B974="","",IFERROR(INDEX(DM_NHAN_SU!$C$6:$C$155,MATCH($B974,DM_NHAN_SU!$B$6:$B$155,0)),"SAI MÃ NV"))</f>
        <v/>
      </c>
      <c r="D974" s="86" t="n"/>
      <c r="E974" s="103">
        <f>IF(OR($B974="",$D974=""),"",IF(COUNTIF(THAM_SO_CC!$F$10:$F$40,$D974)&gt;0,"Lễ",IF(IF(THAM_SO_CC!$B$12="T7+CN",WEEKDAY($D974,2)&gt;=6,WEEKDAY($D974,2)=7),"Nghỉ tuần","Ngày thường")))</f>
        <v/>
      </c>
      <c r="F974" s="107" t="n"/>
      <c r="G974" s="107" t="n"/>
      <c r="H974" s="107" t="n"/>
      <c r="I974" s="81" t="n"/>
      <c r="J974" s="108">
        <f>IF($B974="","",IF($E974="Ngày thường",N($G974),0))</f>
        <v/>
      </c>
      <c r="K974" s="108">
        <f>IF($B974="","",IF($E974="Nghỉ tuần",N($G974),0))</f>
        <v/>
      </c>
      <c r="L974" s="108">
        <f>IF($B974="","",IF($E974="Lễ",N($G974),0))</f>
        <v/>
      </c>
      <c r="M974" s="108">
        <f>IF($B974="","",IF($E974="Ngày thường",N($H974),0))</f>
        <v/>
      </c>
      <c r="N974" s="108">
        <f>IF($B974="","",IF($E974="Nghỉ tuần",N($H974),0))</f>
        <v/>
      </c>
      <c r="O974" s="108">
        <f>IF($B974="","",IF($E974="Lễ",N($H974),0))</f>
        <v/>
      </c>
    </row>
    <row r="975" ht="15" customHeight="1" s="63">
      <c r="A975" s="85">
        <f>IF($B975="","",ROW()-5)</f>
        <v/>
      </c>
      <c r="B975" s="97" t="n"/>
      <c r="C975" s="96">
        <f>IF($B975="","",IFERROR(INDEX(DM_NHAN_SU!$C$6:$C$155,MATCH($B975,DM_NHAN_SU!$B$6:$B$155,0)),"SAI MÃ NV"))</f>
        <v/>
      </c>
      <c r="D975" s="86" t="n"/>
      <c r="E975" s="103">
        <f>IF(OR($B975="",$D975=""),"",IF(COUNTIF(THAM_SO_CC!$F$10:$F$40,$D975)&gt;0,"Lễ",IF(IF(THAM_SO_CC!$B$12="T7+CN",WEEKDAY($D975,2)&gt;=6,WEEKDAY($D975,2)=7),"Nghỉ tuần","Ngày thường")))</f>
        <v/>
      </c>
      <c r="F975" s="107" t="n"/>
      <c r="G975" s="107" t="n"/>
      <c r="H975" s="107" t="n"/>
      <c r="I975" s="81" t="n"/>
      <c r="J975" s="108">
        <f>IF($B975="","",IF($E975="Ngày thường",N($G975),0))</f>
        <v/>
      </c>
      <c r="K975" s="108">
        <f>IF($B975="","",IF($E975="Nghỉ tuần",N($G975),0))</f>
        <v/>
      </c>
      <c r="L975" s="108">
        <f>IF($B975="","",IF($E975="Lễ",N($G975),0))</f>
        <v/>
      </c>
      <c r="M975" s="108">
        <f>IF($B975="","",IF($E975="Ngày thường",N($H975),0))</f>
        <v/>
      </c>
      <c r="N975" s="108">
        <f>IF($B975="","",IF($E975="Nghỉ tuần",N($H975),0))</f>
        <v/>
      </c>
      <c r="O975" s="108">
        <f>IF($B975="","",IF($E975="Lễ",N($H975),0))</f>
        <v/>
      </c>
    </row>
    <row r="976" ht="15" customHeight="1" s="63">
      <c r="A976" s="85">
        <f>IF($B976="","",ROW()-5)</f>
        <v/>
      </c>
      <c r="B976" s="97" t="n"/>
      <c r="C976" s="96">
        <f>IF($B976="","",IFERROR(INDEX(DM_NHAN_SU!$C$6:$C$155,MATCH($B976,DM_NHAN_SU!$B$6:$B$155,0)),"SAI MÃ NV"))</f>
        <v/>
      </c>
      <c r="D976" s="86" t="n"/>
      <c r="E976" s="103">
        <f>IF(OR($B976="",$D976=""),"",IF(COUNTIF(THAM_SO_CC!$F$10:$F$40,$D976)&gt;0,"Lễ",IF(IF(THAM_SO_CC!$B$12="T7+CN",WEEKDAY($D976,2)&gt;=6,WEEKDAY($D976,2)=7),"Nghỉ tuần","Ngày thường")))</f>
        <v/>
      </c>
      <c r="F976" s="107" t="n"/>
      <c r="G976" s="107" t="n"/>
      <c r="H976" s="107" t="n"/>
      <c r="I976" s="81" t="n"/>
      <c r="J976" s="108">
        <f>IF($B976="","",IF($E976="Ngày thường",N($G976),0))</f>
        <v/>
      </c>
      <c r="K976" s="108">
        <f>IF($B976="","",IF($E976="Nghỉ tuần",N($G976),0))</f>
        <v/>
      </c>
      <c r="L976" s="108">
        <f>IF($B976="","",IF($E976="Lễ",N($G976),0))</f>
        <v/>
      </c>
      <c r="M976" s="108">
        <f>IF($B976="","",IF($E976="Ngày thường",N($H976),0))</f>
        <v/>
      </c>
      <c r="N976" s="108">
        <f>IF($B976="","",IF($E976="Nghỉ tuần",N($H976),0))</f>
        <v/>
      </c>
      <c r="O976" s="108">
        <f>IF($B976="","",IF($E976="Lễ",N($H976),0))</f>
        <v/>
      </c>
    </row>
    <row r="977" ht="15" customHeight="1" s="63">
      <c r="A977" s="85">
        <f>IF($B977="","",ROW()-5)</f>
        <v/>
      </c>
      <c r="B977" s="97" t="n"/>
      <c r="C977" s="96">
        <f>IF($B977="","",IFERROR(INDEX(DM_NHAN_SU!$C$6:$C$155,MATCH($B977,DM_NHAN_SU!$B$6:$B$155,0)),"SAI MÃ NV"))</f>
        <v/>
      </c>
      <c r="D977" s="86" t="n"/>
      <c r="E977" s="103">
        <f>IF(OR($B977="",$D977=""),"",IF(COUNTIF(THAM_SO_CC!$F$10:$F$40,$D977)&gt;0,"Lễ",IF(IF(THAM_SO_CC!$B$12="T7+CN",WEEKDAY($D977,2)&gt;=6,WEEKDAY($D977,2)=7),"Nghỉ tuần","Ngày thường")))</f>
        <v/>
      </c>
      <c r="F977" s="107" t="n"/>
      <c r="G977" s="107" t="n"/>
      <c r="H977" s="107" t="n"/>
      <c r="I977" s="81" t="n"/>
      <c r="J977" s="108">
        <f>IF($B977="","",IF($E977="Ngày thường",N($G977),0))</f>
        <v/>
      </c>
      <c r="K977" s="108">
        <f>IF($B977="","",IF($E977="Nghỉ tuần",N($G977),0))</f>
        <v/>
      </c>
      <c r="L977" s="108">
        <f>IF($B977="","",IF($E977="Lễ",N($G977),0))</f>
        <v/>
      </c>
      <c r="M977" s="108">
        <f>IF($B977="","",IF($E977="Ngày thường",N($H977),0))</f>
        <v/>
      </c>
      <c r="N977" s="108">
        <f>IF($B977="","",IF($E977="Nghỉ tuần",N($H977),0))</f>
        <v/>
      </c>
      <c r="O977" s="108">
        <f>IF($B977="","",IF($E977="Lễ",N($H977),0))</f>
        <v/>
      </c>
    </row>
    <row r="978" ht="15" customHeight="1" s="63">
      <c r="A978" s="85">
        <f>IF($B978="","",ROW()-5)</f>
        <v/>
      </c>
      <c r="B978" s="97" t="n"/>
      <c r="C978" s="96">
        <f>IF($B978="","",IFERROR(INDEX(DM_NHAN_SU!$C$6:$C$155,MATCH($B978,DM_NHAN_SU!$B$6:$B$155,0)),"SAI MÃ NV"))</f>
        <v/>
      </c>
      <c r="D978" s="86" t="n"/>
      <c r="E978" s="103">
        <f>IF(OR($B978="",$D978=""),"",IF(COUNTIF(THAM_SO_CC!$F$10:$F$40,$D978)&gt;0,"Lễ",IF(IF(THAM_SO_CC!$B$12="T7+CN",WEEKDAY($D978,2)&gt;=6,WEEKDAY($D978,2)=7),"Nghỉ tuần","Ngày thường")))</f>
        <v/>
      </c>
      <c r="F978" s="107" t="n"/>
      <c r="G978" s="107" t="n"/>
      <c r="H978" s="107" t="n"/>
      <c r="I978" s="81" t="n"/>
      <c r="J978" s="108">
        <f>IF($B978="","",IF($E978="Ngày thường",N($G978),0))</f>
        <v/>
      </c>
      <c r="K978" s="108">
        <f>IF($B978="","",IF($E978="Nghỉ tuần",N($G978),0))</f>
        <v/>
      </c>
      <c r="L978" s="108">
        <f>IF($B978="","",IF($E978="Lễ",N($G978),0))</f>
        <v/>
      </c>
      <c r="M978" s="108">
        <f>IF($B978="","",IF($E978="Ngày thường",N($H978),0))</f>
        <v/>
      </c>
      <c r="N978" s="108">
        <f>IF($B978="","",IF($E978="Nghỉ tuần",N($H978),0))</f>
        <v/>
      </c>
      <c r="O978" s="108">
        <f>IF($B978="","",IF($E978="Lễ",N($H978),0))</f>
        <v/>
      </c>
    </row>
    <row r="979" ht="15" customHeight="1" s="63">
      <c r="A979" s="85">
        <f>IF($B979="","",ROW()-5)</f>
        <v/>
      </c>
      <c r="B979" s="97" t="n"/>
      <c r="C979" s="96">
        <f>IF($B979="","",IFERROR(INDEX(DM_NHAN_SU!$C$6:$C$155,MATCH($B979,DM_NHAN_SU!$B$6:$B$155,0)),"SAI MÃ NV"))</f>
        <v/>
      </c>
      <c r="D979" s="86" t="n"/>
      <c r="E979" s="103">
        <f>IF(OR($B979="",$D979=""),"",IF(COUNTIF(THAM_SO_CC!$F$10:$F$40,$D979)&gt;0,"Lễ",IF(IF(THAM_SO_CC!$B$12="T7+CN",WEEKDAY($D979,2)&gt;=6,WEEKDAY($D979,2)=7),"Nghỉ tuần","Ngày thường")))</f>
        <v/>
      </c>
      <c r="F979" s="107" t="n"/>
      <c r="G979" s="107" t="n"/>
      <c r="H979" s="107" t="n"/>
      <c r="I979" s="81" t="n"/>
      <c r="J979" s="108">
        <f>IF($B979="","",IF($E979="Ngày thường",N($G979),0))</f>
        <v/>
      </c>
      <c r="K979" s="108">
        <f>IF($B979="","",IF($E979="Nghỉ tuần",N($G979),0))</f>
        <v/>
      </c>
      <c r="L979" s="108">
        <f>IF($B979="","",IF($E979="Lễ",N($G979),0))</f>
        <v/>
      </c>
      <c r="M979" s="108">
        <f>IF($B979="","",IF($E979="Ngày thường",N($H979),0))</f>
        <v/>
      </c>
      <c r="N979" s="108">
        <f>IF($B979="","",IF($E979="Nghỉ tuần",N($H979),0))</f>
        <v/>
      </c>
      <c r="O979" s="108">
        <f>IF($B979="","",IF($E979="Lễ",N($H979),0))</f>
        <v/>
      </c>
    </row>
    <row r="980" ht="15" customHeight="1" s="63">
      <c r="A980" s="85">
        <f>IF($B980="","",ROW()-5)</f>
        <v/>
      </c>
      <c r="B980" s="97" t="n"/>
      <c r="C980" s="96">
        <f>IF($B980="","",IFERROR(INDEX(DM_NHAN_SU!$C$6:$C$155,MATCH($B980,DM_NHAN_SU!$B$6:$B$155,0)),"SAI MÃ NV"))</f>
        <v/>
      </c>
      <c r="D980" s="86" t="n"/>
      <c r="E980" s="103">
        <f>IF(OR($B980="",$D980=""),"",IF(COUNTIF(THAM_SO_CC!$F$10:$F$40,$D980)&gt;0,"Lễ",IF(IF(THAM_SO_CC!$B$12="T7+CN",WEEKDAY($D980,2)&gt;=6,WEEKDAY($D980,2)=7),"Nghỉ tuần","Ngày thường")))</f>
        <v/>
      </c>
      <c r="F980" s="107" t="n"/>
      <c r="G980" s="107" t="n"/>
      <c r="H980" s="107" t="n"/>
      <c r="I980" s="81" t="n"/>
      <c r="J980" s="108">
        <f>IF($B980="","",IF($E980="Ngày thường",N($G980),0))</f>
        <v/>
      </c>
      <c r="K980" s="108">
        <f>IF($B980="","",IF($E980="Nghỉ tuần",N($G980),0))</f>
        <v/>
      </c>
      <c r="L980" s="108">
        <f>IF($B980="","",IF($E980="Lễ",N($G980),0))</f>
        <v/>
      </c>
      <c r="M980" s="108">
        <f>IF($B980="","",IF($E980="Ngày thường",N($H980),0))</f>
        <v/>
      </c>
      <c r="N980" s="108">
        <f>IF($B980="","",IF($E980="Nghỉ tuần",N($H980),0))</f>
        <v/>
      </c>
      <c r="O980" s="108">
        <f>IF($B980="","",IF($E980="Lễ",N($H980),0))</f>
        <v/>
      </c>
    </row>
    <row r="981" ht="15" customHeight="1" s="63">
      <c r="A981" s="85">
        <f>IF($B981="","",ROW()-5)</f>
        <v/>
      </c>
      <c r="B981" s="97" t="n"/>
      <c r="C981" s="96">
        <f>IF($B981="","",IFERROR(INDEX(DM_NHAN_SU!$C$6:$C$155,MATCH($B981,DM_NHAN_SU!$B$6:$B$155,0)),"SAI MÃ NV"))</f>
        <v/>
      </c>
      <c r="D981" s="86" t="n"/>
      <c r="E981" s="103">
        <f>IF(OR($B981="",$D981=""),"",IF(COUNTIF(THAM_SO_CC!$F$10:$F$40,$D981)&gt;0,"Lễ",IF(IF(THAM_SO_CC!$B$12="T7+CN",WEEKDAY($D981,2)&gt;=6,WEEKDAY($D981,2)=7),"Nghỉ tuần","Ngày thường")))</f>
        <v/>
      </c>
      <c r="F981" s="107" t="n"/>
      <c r="G981" s="107" t="n"/>
      <c r="H981" s="107" t="n"/>
      <c r="I981" s="81" t="n"/>
      <c r="J981" s="108">
        <f>IF($B981="","",IF($E981="Ngày thường",N($G981),0))</f>
        <v/>
      </c>
      <c r="K981" s="108">
        <f>IF($B981="","",IF($E981="Nghỉ tuần",N($G981),0))</f>
        <v/>
      </c>
      <c r="L981" s="108">
        <f>IF($B981="","",IF($E981="Lễ",N($G981),0))</f>
        <v/>
      </c>
      <c r="M981" s="108">
        <f>IF($B981="","",IF($E981="Ngày thường",N($H981),0))</f>
        <v/>
      </c>
      <c r="N981" s="108">
        <f>IF($B981="","",IF($E981="Nghỉ tuần",N($H981),0))</f>
        <v/>
      </c>
      <c r="O981" s="108">
        <f>IF($B981="","",IF($E981="Lễ",N($H981),0))</f>
        <v/>
      </c>
    </row>
    <row r="982" ht="15" customHeight="1" s="63">
      <c r="A982" s="85">
        <f>IF($B982="","",ROW()-5)</f>
        <v/>
      </c>
      <c r="B982" s="97" t="n"/>
      <c r="C982" s="96">
        <f>IF($B982="","",IFERROR(INDEX(DM_NHAN_SU!$C$6:$C$155,MATCH($B982,DM_NHAN_SU!$B$6:$B$155,0)),"SAI MÃ NV"))</f>
        <v/>
      </c>
      <c r="D982" s="86" t="n"/>
      <c r="E982" s="103">
        <f>IF(OR($B982="",$D982=""),"",IF(COUNTIF(THAM_SO_CC!$F$10:$F$40,$D982)&gt;0,"Lễ",IF(IF(THAM_SO_CC!$B$12="T7+CN",WEEKDAY($D982,2)&gt;=6,WEEKDAY($D982,2)=7),"Nghỉ tuần","Ngày thường")))</f>
        <v/>
      </c>
      <c r="F982" s="107" t="n"/>
      <c r="G982" s="107" t="n"/>
      <c r="H982" s="107" t="n"/>
      <c r="I982" s="81" t="n"/>
      <c r="J982" s="108">
        <f>IF($B982="","",IF($E982="Ngày thường",N($G982),0))</f>
        <v/>
      </c>
      <c r="K982" s="108">
        <f>IF($B982="","",IF($E982="Nghỉ tuần",N($G982),0))</f>
        <v/>
      </c>
      <c r="L982" s="108">
        <f>IF($B982="","",IF($E982="Lễ",N($G982),0))</f>
        <v/>
      </c>
      <c r="M982" s="108">
        <f>IF($B982="","",IF($E982="Ngày thường",N($H982),0))</f>
        <v/>
      </c>
      <c r="N982" s="108">
        <f>IF($B982="","",IF($E982="Nghỉ tuần",N($H982),0))</f>
        <v/>
      </c>
      <c r="O982" s="108">
        <f>IF($B982="","",IF($E982="Lễ",N($H982),0))</f>
        <v/>
      </c>
    </row>
    <row r="983" ht="15" customHeight="1" s="63">
      <c r="A983" s="85">
        <f>IF($B983="","",ROW()-5)</f>
        <v/>
      </c>
      <c r="B983" s="97" t="n"/>
      <c r="C983" s="96">
        <f>IF($B983="","",IFERROR(INDEX(DM_NHAN_SU!$C$6:$C$155,MATCH($B983,DM_NHAN_SU!$B$6:$B$155,0)),"SAI MÃ NV"))</f>
        <v/>
      </c>
      <c r="D983" s="86" t="n"/>
      <c r="E983" s="103">
        <f>IF(OR($B983="",$D983=""),"",IF(COUNTIF(THAM_SO_CC!$F$10:$F$40,$D983)&gt;0,"Lễ",IF(IF(THAM_SO_CC!$B$12="T7+CN",WEEKDAY($D983,2)&gt;=6,WEEKDAY($D983,2)=7),"Nghỉ tuần","Ngày thường")))</f>
        <v/>
      </c>
      <c r="F983" s="107" t="n"/>
      <c r="G983" s="107" t="n"/>
      <c r="H983" s="107" t="n"/>
      <c r="I983" s="81" t="n"/>
      <c r="J983" s="108">
        <f>IF($B983="","",IF($E983="Ngày thường",N($G983),0))</f>
        <v/>
      </c>
      <c r="K983" s="108">
        <f>IF($B983="","",IF($E983="Nghỉ tuần",N($G983),0))</f>
        <v/>
      </c>
      <c r="L983" s="108">
        <f>IF($B983="","",IF($E983="Lễ",N($G983),0))</f>
        <v/>
      </c>
      <c r="M983" s="108">
        <f>IF($B983="","",IF($E983="Ngày thường",N($H983),0))</f>
        <v/>
      </c>
      <c r="N983" s="108">
        <f>IF($B983="","",IF($E983="Nghỉ tuần",N($H983),0))</f>
        <v/>
      </c>
      <c r="O983" s="108">
        <f>IF($B983="","",IF($E983="Lễ",N($H983),0))</f>
        <v/>
      </c>
    </row>
    <row r="984" ht="15" customHeight="1" s="63">
      <c r="A984" s="85">
        <f>IF($B984="","",ROW()-5)</f>
        <v/>
      </c>
      <c r="B984" s="97" t="n"/>
      <c r="C984" s="96">
        <f>IF($B984="","",IFERROR(INDEX(DM_NHAN_SU!$C$6:$C$155,MATCH($B984,DM_NHAN_SU!$B$6:$B$155,0)),"SAI MÃ NV"))</f>
        <v/>
      </c>
      <c r="D984" s="86" t="n"/>
      <c r="E984" s="103">
        <f>IF(OR($B984="",$D984=""),"",IF(COUNTIF(THAM_SO_CC!$F$10:$F$40,$D984)&gt;0,"Lễ",IF(IF(THAM_SO_CC!$B$12="T7+CN",WEEKDAY($D984,2)&gt;=6,WEEKDAY($D984,2)=7),"Nghỉ tuần","Ngày thường")))</f>
        <v/>
      </c>
      <c r="F984" s="107" t="n"/>
      <c r="G984" s="107" t="n"/>
      <c r="H984" s="107" t="n"/>
      <c r="I984" s="81" t="n"/>
      <c r="J984" s="108">
        <f>IF($B984="","",IF($E984="Ngày thường",N($G984),0))</f>
        <v/>
      </c>
      <c r="K984" s="108">
        <f>IF($B984="","",IF($E984="Nghỉ tuần",N($G984),0))</f>
        <v/>
      </c>
      <c r="L984" s="108">
        <f>IF($B984="","",IF($E984="Lễ",N($G984),0))</f>
        <v/>
      </c>
      <c r="M984" s="108">
        <f>IF($B984="","",IF($E984="Ngày thường",N($H984),0))</f>
        <v/>
      </c>
      <c r="N984" s="108">
        <f>IF($B984="","",IF($E984="Nghỉ tuần",N($H984),0))</f>
        <v/>
      </c>
      <c r="O984" s="108">
        <f>IF($B984="","",IF($E984="Lễ",N($H984),0))</f>
        <v/>
      </c>
    </row>
    <row r="985" ht="15" customHeight="1" s="63">
      <c r="A985" s="85">
        <f>IF($B985="","",ROW()-5)</f>
        <v/>
      </c>
      <c r="B985" s="97" t="n"/>
      <c r="C985" s="96">
        <f>IF($B985="","",IFERROR(INDEX(DM_NHAN_SU!$C$6:$C$155,MATCH($B985,DM_NHAN_SU!$B$6:$B$155,0)),"SAI MÃ NV"))</f>
        <v/>
      </c>
      <c r="D985" s="86" t="n"/>
      <c r="E985" s="103">
        <f>IF(OR($B985="",$D985=""),"",IF(COUNTIF(THAM_SO_CC!$F$10:$F$40,$D985)&gt;0,"Lễ",IF(IF(THAM_SO_CC!$B$12="T7+CN",WEEKDAY($D985,2)&gt;=6,WEEKDAY($D985,2)=7),"Nghỉ tuần","Ngày thường")))</f>
        <v/>
      </c>
      <c r="F985" s="107" t="n"/>
      <c r="G985" s="107" t="n"/>
      <c r="H985" s="107" t="n"/>
      <c r="I985" s="81" t="n"/>
      <c r="J985" s="108">
        <f>IF($B985="","",IF($E985="Ngày thường",N($G985),0))</f>
        <v/>
      </c>
      <c r="K985" s="108">
        <f>IF($B985="","",IF($E985="Nghỉ tuần",N($G985),0))</f>
        <v/>
      </c>
      <c r="L985" s="108">
        <f>IF($B985="","",IF($E985="Lễ",N($G985),0))</f>
        <v/>
      </c>
      <c r="M985" s="108">
        <f>IF($B985="","",IF($E985="Ngày thường",N($H985),0))</f>
        <v/>
      </c>
      <c r="N985" s="108">
        <f>IF($B985="","",IF($E985="Nghỉ tuần",N($H985),0))</f>
        <v/>
      </c>
      <c r="O985" s="108">
        <f>IF($B985="","",IF($E985="Lễ",N($H985),0))</f>
        <v/>
      </c>
    </row>
    <row r="986" ht="15" customHeight="1" s="63">
      <c r="A986" s="85">
        <f>IF($B986="","",ROW()-5)</f>
        <v/>
      </c>
      <c r="B986" s="97" t="n"/>
      <c r="C986" s="96">
        <f>IF($B986="","",IFERROR(INDEX(DM_NHAN_SU!$C$6:$C$155,MATCH($B986,DM_NHAN_SU!$B$6:$B$155,0)),"SAI MÃ NV"))</f>
        <v/>
      </c>
      <c r="D986" s="86" t="n"/>
      <c r="E986" s="103">
        <f>IF(OR($B986="",$D986=""),"",IF(COUNTIF(THAM_SO_CC!$F$10:$F$40,$D986)&gt;0,"Lễ",IF(IF(THAM_SO_CC!$B$12="T7+CN",WEEKDAY($D986,2)&gt;=6,WEEKDAY($D986,2)=7),"Nghỉ tuần","Ngày thường")))</f>
        <v/>
      </c>
      <c r="F986" s="107" t="n"/>
      <c r="G986" s="107" t="n"/>
      <c r="H986" s="107" t="n"/>
      <c r="I986" s="81" t="n"/>
      <c r="J986" s="108">
        <f>IF($B986="","",IF($E986="Ngày thường",N($G986),0))</f>
        <v/>
      </c>
      <c r="K986" s="108">
        <f>IF($B986="","",IF($E986="Nghỉ tuần",N($G986),0))</f>
        <v/>
      </c>
      <c r="L986" s="108">
        <f>IF($B986="","",IF($E986="Lễ",N($G986),0))</f>
        <v/>
      </c>
      <c r="M986" s="108">
        <f>IF($B986="","",IF($E986="Ngày thường",N($H986),0))</f>
        <v/>
      </c>
      <c r="N986" s="108">
        <f>IF($B986="","",IF($E986="Nghỉ tuần",N($H986),0))</f>
        <v/>
      </c>
      <c r="O986" s="108">
        <f>IF($B986="","",IF($E986="Lễ",N($H986),0))</f>
        <v/>
      </c>
    </row>
    <row r="987" ht="15" customHeight="1" s="63">
      <c r="A987" s="85">
        <f>IF($B987="","",ROW()-5)</f>
        <v/>
      </c>
      <c r="B987" s="97" t="n"/>
      <c r="C987" s="96">
        <f>IF($B987="","",IFERROR(INDEX(DM_NHAN_SU!$C$6:$C$155,MATCH($B987,DM_NHAN_SU!$B$6:$B$155,0)),"SAI MÃ NV"))</f>
        <v/>
      </c>
      <c r="D987" s="86" t="n"/>
      <c r="E987" s="103">
        <f>IF(OR($B987="",$D987=""),"",IF(COUNTIF(THAM_SO_CC!$F$10:$F$40,$D987)&gt;0,"Lễ",IF(IF(THAM_SO_CC!$B$12="T7+CN",WEEKDAY($D987,2)&gt;=6,WEEKDAY($D987,2)=7),"Nghỉ tuần","Ngày thường")))</f>
        <v/>
      </c>
      <c r="F987" s="107" t="n"/>
      <c r="G987" s="107" t="n"/>
      <c r="H987" s="107" t="n"/>
      <c r="I987" s="81" t="n"/>
      <c r="J987" s="108">
        <f>IF($B987="","",IF($E987="Ngày thường",N($G987),0))</f>
        <v/>
      </c>
      <c r="K987" s="108">
        <f>IF($B987="","",IF($E987="Nghỉ tuần",N($G987),0))</f>
        <v/>
      </c>
      <c r="L987" s="108">
        <f>IF($B987="","",IF($E987="Lễ",N($G987),0))</f>
        <v/>
      </c>
      <c r="M987" s="108">
        <f>IF($B987="","",IF($E987="Ngày thường",N($H987),0))</f>
        <v/>
      </c>
      <c r="N987" s="108">
        <f>IF($B987="","",IF($E987="Nghỉ tuần",N($H987),0))</f>
        <v/>
      </c>
      <c r="O987" s="108">
        <f>IF($B987="","",IF($E987="Lễ",N($H987),0))</f>
        <v/>
      </c>
    </row>
    <row r="988" ht="15" customHeight="1" s="63">
      <c r="A988" s="85">
        <f>IF($B988="","",ROW()-5)</f>
        <v/>
      </c>
      <c r="B988" s="97" t="n"/>
      <c r="C988" s="96">
        <f>IF($B988="","",IFERROR(INDEX(DM_NHAN_SU!$C$6:$C$155,MATCH($B988,DM_NHAN_SU!$B$6:$B$155,0)),"SAI MÃ NV"))</f>
        <v/>
      </c>
      <c r="D988" s="86" t="n"/>
      <c r="E988" s="103">
        <f>IF(OR($B988="",$D988=""),"",IF(COUNTIF(THAM_SO_CC!$F$10:$F$40,$D988)&gt;0,"Lễ",IF(IF(THAM_SO_CC!$B$12="T7+CN",WEEKDAY($D988,2)&gt;=6,WEEKDAY($D988,2)=7),"Nghỉ tuần","Ngày thường")))</f>
        <v/>
      </c>
      <c r="F988" s="107" t="n"/>
      <c r="G988" s="107" t="n"/>
      <c r="H988" s="107" t="n"/>
      <c r="I988" s="81" t="n"/>
      <c r="J988" s="108">
        <f>IF($B988="","",IF($E988="Ngày thường",N($G988),0))</f>
        <v/>
      </c>
      <c r="K988" s="108">
        <f>IF($B988="","",IF($E988="Nghỉ tuần",N($G988),0))</f>
        <v/>
      </c>
      <c r="L988" s="108">
        <f>IF($B988="","",IF($E988="Lễ",N($G988),0))</f>
        <v/>
      </c>
      <c r="M988" s="108">
        <f>IF($B988="","",IF($E988="Ngày thường",N($H988),0))</f>
        <v/>
      </c>
      <c r="N988" s="108">
        <f>IF($B988="","",IF($E988="Nghỉ tuần",N($H988),0))</f>
        <v/>
      </c>
      <c r="O988" s="108">
        <f>IF($B988="","",IF($E988="Lễ",N($H988),0))</f>
        <v/>
      </c>
    </row>
    <row r="989" ht="15" customHeight="1" s="63">
      <c r="A989" s="85">
        <f>IF($B989="","",ROW()-5)</f>
        <v/>
      </c>
      <c r="B989" s="97" t="n"/>
      <c r="C989" s="96">
        <f>IF($B989="","",IFERROR(INDEX(DM_NHAN_SU!$C$6:$C$155,MATCH($B989,DM_NHAN_SU!$B$6:$B$155,0)),"SAI MÃ NV"))</f>
        <v/>
      </c>
      <c r="D989" s="86" t="n"/>
      <c r="E989" s="103">
        <f>IF(OR($B989="",$D989=""),"",IF(COUNTIF(THAM_SO_CC!$F$10:$F$40,$D989)&gt;0,"Lễ",IF(IF(THAM_SO_CC!$B$12="T7+CN",WEEKDAY($D989,2)&gt;=6,WEEKDAY($D989,2)=7),"Nghỉ tuần","Ngày thường")))</f>
        <v/>
      </c>
      <c r="F989" s="107" t="n"/>
      <c r="G989" s="107" t="n"/>
      <c r="H989" s="107" t="n"/>
      <c r="I989" s="81" t="n"/>
      <c r="J989" s="108">
        <f>IF($B989="","",IF($E989="Ngày thường",N($G989),0))</f>
        <v/>
      </c>
      <c r="K989" s="108">
        <f>IF($B989="","",IF($E989="Nghỉ tuần",N($G989),0))</f>
        <v/>
      </c>
      <c r="L989" s="108">
        <f>IF($B989="","",IF($E989="Lễ",N($G989),0))</f>
        <v/>
      </c>
      <c r="M989" s="108">
        <f>IF($B989="","",IF($E989="Ngày thường",N($H989),0))</f>
        <v/>
      </c>
      <c r="N989" s="108">
        <f>IF($B989="","",IF($E989="Nghỉ tuần",N($H989),0))</f>
        <v/>
      </c>
      <c r="O989" s="108">
        <f>IF($B989="","",IF($E989="Lễ",N($H989),0))</f>
        <v/>
      </c>
    </row>
    <row r="990" ht="15" customHeight="1" s="63">
      <c r="A990" s="85">
        <f>IF($B990="","",ROW()-5)</f>
        <v/>
      </c>
      <c r="B990" s="97" t="n"/>
      <c r="C990" s="96">
        <f>IF($B990="","",IFERROR(INDEX(DM_NHAN_SU!$C$6:$C$155,MATCH($B990,DM_NHAN_SU!$B$6:$B$155,0)),"SAI MÃ NV"))</f>
        <v/>
      </c>
      <c r="D990" s="86" t="n"/>
      <c r="E990" s="103">
        <f>IF(OR($B990="",$D990=""),"",IF(COUNTIF(THAM_SO_CC!$F$10:$F$40,$D990)&gt;0,"Lễ",IF(IF(THAM_SO_CC!$B$12="T7+CN",WEEKDAY($D990,2)&gt;=6,WEEKDAY($D990,2)=7),"Nghỉ tuần","Ngày thường")))</f>
        <v/>
      </c>
      <c r="F990" s="107" t="n"/>
      <c r="G990" s="107" t="n"/>
      <c r="H990" s="107" t="n"/>
      <c r="I990" s="81" t="n"/>
      <c r="J990" s="108">
        <f>IF($B990="","",IF($E990="Ngày thường",N($G990),0))</f>
        <v/>
      </c>
      <c r="K990" s="108">
        <f>IF($B990="","",IF($E990="Nghỉ tuần",N($G990),0))</f>
        <v/>
      </c>
      <c r="L990" s="108">
        <f>IF($B990="","",IF($E990="Lễ",N($G990),0))</f>
        <v/>
      </c>
      <c r="M990" s="108">
        <f>IF($B990="","",IF($E990="Ngày thường",N($H990),0))</f>
        <v/>
      </c>
      <c r="N990" s="108">
        <f>IF($B990="","",IF($E990="Nghỉ tuần",N($H990),0))</f>
        <v/>
      </c>
      <c r="O990" s="108">
        <f>IF($B990="","",IF($E990="Lễ",N($H990),0))</f>
        <v/>
      </c>
    </row>
    <row r="991" ht="15" customHeight="1" s="63">
      <c r="A991" s="85">
        <f>IF($B991="","",ROW()-5)</f>
        <v/>
      </c>
      <c r="B991" s="97" t="n"/>
      <c r="C991" s="96">
        <f>IF($B991="","",IFERROR(INDEX(DM_NHAN_SU!$C$6:$C$155,MATCH($B991,DM_NHAN_SU!$B$6:$B$155,0)),"SAI MÃ NV"))</f>
        <v/>
      </c>
      <c r="D991" s="86" t="n"/>
      <c r="E991" s="103">
        <f>IF(OR($B991="",$D991=""),"",IF(COUNTIF(THAM_SO_CC!$F$10:$F$40,$D991)&gt;0,"Lễ",IF(IF(THAM_SO_CC!$B$12="T7+CN",WEEKDAY($D991,2)&gt;=6,WEEKDAY($D991,2)=7),"Nghỉ tuần","Ngày thường")))</f>
        <v/>
      </c>
      <c r="F991" s="107" t="n"/>
      <c r="G991" s="107" t="n"/>
      <c r="H991" s="107" t="n"/>
      <c r="I991" s="81" t="n"/>
      <c r="J991" s="108">
        <f>IF($B991="","",IF($E991="Ngày thường",N($G991),0))</f>
        <v/>
      </c>
      <c r="K991" s="108">
        <f>IF($B991="","",IF($E991="Nghỉ tuần",N($G991),0))</f>
        <v/>
      </c>
      <c r="L991" s="108">
        <f>IF($B991="","",IF($E991="Lễ",N($G991),0))</f>
        <v/>
      </c>
      <c r="M991" s="108">
        <f>IF($B991="","",IF($E991="Ngày thường",N($H991),0))</f>
        <v/>
      </c>
      <c r="N991" s="108">
        <f>IF($B991="","",IF($E991="Nghỉ tuần",N($H991),0))</f>
        <v/>
      </c>
      <c r="O991" s="108">
        <f>IF($B991="","",IF($E991="Lễ",N($H991),0))</f>
        <v/>
      </c>
    </row>
    <row r="992" ht="15" customHeight="1" s="63">
      <c r="A992" s="85">
        <f>IF($B992="","",ROW()-5)</f>
        <v/>
      </c>
      <c r="B992" s="97" t="n"/>
      <c r="C992" s="96">
        <f>IF($B992="","",IFERROR(INDEX(DM_NHAN_SU!$C$6:$C$155,MATCH($B992,DM_NHAN_SU!$B$6:$B$155,0)),"SAI MÃ NV"))</f>
        <v/>
      </c>
      <c r="D992" s="86" t="n"/>
      <c r="E992" s="103">
        <f>IF(OR($B992="",$D992=""),"",IF(COUNTIF(THAM_SO_CC!$F$10:$F$40,$D992)&gt;0,"Lễ",IF(IF(THAM_SO_CC!$B$12="T7+CN",WEEKDAY($D992,2)&gt;=6,WEEKDAY($D992,2)=7),"Nghỉ tuần","Ngày thường")))</f>
        <v/>
      </c>
      <c r="F992" s="107" t="n"/>
      <c r="G992" s="107" t="n"/>
      <c r="H992" s="107" t="n"/>
      <c r="I992" s="81" t="n"/>
      <c r="J992" s="108">
        <f>IF($B992="","",IF($E992="Ngày thường",N($G992),0))</f>
        <v/>
      </c>
      <c r="K992" s="108">
        <f>IF($B992="","",IF($E992="Nghỉ tuần",N($G992),0))</f>
        <v/>
      </c>
      <c r="L992" s="108">
        <f>IF($B992="","",IF($E992="Lễ",N($G992),0))</f>
        <v/>
      </c>
      <c r="M992" s="108">
        <f>IF($B992="","",IF($E992="Ngày thường",N($H992),0))</f>
        <v/>
      </c>
      <c r="N992" s="108">
        <f>IF($B992="","",IF($E992="Nghỉ tuần",N($H992),0))</f>
        <v/>
      </c>
      <c r="O992" s="108">
        <f>IF($B992="","",IF($E992="Lễ",N($H992),0))</f>
        <v/>
      </c>
    </row>
    <row r="993" ht="15" customHeight="1" s="63">
      <c r="A993" s="85">
        <f>IF($B993="","",ROW()-5)</f>
        <v/>
      </c>
      <c r="B993" s="97" t="n"/>
      <c r="C993" s="96">
        <f>IF($B993="","",IFERROR(INDEX(DM_NHAN_SU!$C$6:$C$155,MATCH($B993,DM_NHAN_SU!$B$6:$B$155,0)),"SAI MÃ NV"))</f>
        <v/>
      </c>
      <c r="D993" s="86" t="n"/>
      <c r="E993" s="103">
        <f>IF(OR($B993="",$D993=""),"",IF(COUNTIF(THAM_SO_CC!$F$10:$F$40,$D993)&gt;0,"Lễ",IF(IF(THAM_SO_CC!$B$12="T7+CN",WEEKDAY($D993,2)&gt;=6,WEEKDAY($D993,2)=7),"Nghỉ tuần","Ngày thường")))</f>
        <v/>
      </c>
      <c r="F993" s="107" t="n"/>
      <c r="G993" s="107" t="n"/>
      <c r="H993" s="107" t="n"/>
      <c r="I993" s="81" t="n"/>
      <c r="J993" s="108">
        <f>IF($B993="","",IF($E993="Ngày thường",N($G993),0))</f>
        <v/>
      </c>
      <c r="K993" s="108">
        <f>IF($B993="","",IF($E993="Nghỉ tuần",N($G993),0))</f>
        <v/>
      </c>
      <c r="L993" s="108">
        <f>IF($B993="","",IF($E993="Lễ",N($G993),0))</f>
        <v/>
      </c>
      <c r="M993" s="108">
        <f>IF($B993="","",IF($E993="Ngày thường",N($H993),0))</f>
        <v/>
      </c>
      <c r="N993" s="108">
        <f>IF($B993="","",IF($E993="Nghỉ tuần",N($H993),0))</f>
        <v/>
      </c>
      <c r="O993" s="108">
        <f>IF($B993="","",IF($E993="Lễ",N($H993),0))</f>
        <v/>
      </c>
    </row>
    <row r="994" ht="15" customHeight="1" s="63">
      <c r="A994" s="85">
        <f>IF($B994="","",ROW()-5)</f>
        <v/>
      </c>
      <c r="B994" s="97" t="n"/>
      <c r="C994" s="96">
        <f>IF($B994="","",IFERROR(INDEX(DM_NHAN_SU!$C$6:$C$155,MATCH($B994,DM_NHAN_SU!$B$6:$B$155,0)),"SAI MÃ NV"))</f>
        <v/>
      </c>
      <c r="D994" s="86" t="n"/>
      <c r="E994" s="103">
        <f>IF(OR($B994="",$D994=""),"",IF(COUNTIF(THAM_SO_CC!$F$10:$F$40,$D994)&gt;0,"Lễ",IF(IF(THAM_SO_CC!$B$12="T7+CN",WEEKDAY($D994,2)&gt;=6,WEEKDAY($D994,2)=7),"Nghỉ tuần","Ngày thường")))</f>
        <v/>
      </c>
      <c r="F994" s="107" t="n"/>
      <c r="G994" s="107" t="n"/>
      <c r="H994" s="107" t="n"/>
      <c r="I994" s="81" t="n"/>
      <c r="J994" s="108">
        <f>IF($B994="","",IF($E994="Ngày thường",N($G994),0))</f>
        <v/>
      </c>
      <c r="K994" s="108">
        <f>IF($B994="","",IF($E994="Nghỉ tuần",N($G994),0))</f>
        <v/>
      </c>
      <c r="L994" s="108">
        <f>IF($B994="","",IF($E994="Lễ",N($G994),0))</f>
        <v/>
      </c>
      <c r="M994" s="108">
        <f>IF($B994="","",IF($E994="Ngày thường",N($H994),0))</f>
        <v/>
      </c>
      <c r="N994" s="108">
        <f>IF($B994="","",IF($E994="Nghỉ tuần",N($H994),0))</f>
        <v/>
      </c>
      <c r="O994" s="108">
        <f>IF($B994="","",IF($E994="Lễ",N($H994),0))</f>
        <v/>
      </c>
    </row>
    <row r="995" ht="15" customHeight="1" s="63">
      <c r="A995" s="85">
        <f>IF($B995="","",ROW()-5)</f>
        <v/>
      </c>
      <c r="B995" s="97" t="n"/>
      <c r="C995" s="96">
        <f>IF($B995="","",IFERROR(INDEX(DM_NHAN_SU!$C$6:$C$155,MATCH($B995,DM_NHAN_SU!$B$6:$B$155,0)),"SAI MÃ NV"))</f>
        <v/>
      </c>
      <c r="D995" s="86" t="n"/>
      <c r="E995" s="103">
        <f>IF(OR($B995="",$D995=""),"",IF(COUNTIF(THAM_SO_CC!$F$10:$F$40,$D995)&gt;0,"Lễ",IF(IF(THAM_SO_CC!$B$12="T7+CN",WEEKDAY($D995,2)&gt;=6,WEEKDAY($D995,2)=7),"Nghỉ tuần","Ngày thường")))</f>
        <v/>
      </c>
      <c r="F995" s="107" t="n"/>
      <c r="G995" s="107" t="n"/>
      <c r="H995" s="107" t="n"/>
      <c r="I995" s="81" t="n"/>
      <c r="J995" s="108">
        <f>IF($B995="","",IF($E995="Ngày thường",N($G995),0))</f>
        <v/>
      </c>
      <c r="K995" s="108">
        <f>IF($B995="","",IF($E995="Nghỉ tuần",N($G995),0))</f>
        <v/>
      </c>
      <c r="L995" s="108">
        <f>IF($B995="","",IF($E995="Lễ",N($G995),0))</f>
        <v/>
      </c>
      <c r="M995" s="108">
        <f>IF($B995="","",IF($E995="Ngày thường",N($H995),0))</f>
        <v/>
      </c>
      <c r="N995" s="108">
        <f>IF($B995="","",IF($E995="Nghỉ tuần",N($H995),0))</f>
        <v/>
      </c>
      <c r="O995" s="108">
        <f>IF($B995="","",IF($E995="Lễ",N($H995),0))</f>
        <v/>
      </c>
    </row>
    <row r="996" ht="15" customHeight="1" s="63">
      <c r="A996" s="85">
        <f>IF($B996="","",ROW()-5)</f>
        <v/>
      </c>
      <c r="B996" s="97" t="n"/>
      <c r="C996" s="96">
        <f>IF($B996="","",IFERROR(INDEX(DM_NHAN_SU!$C$6:$C$155,MATCH($B996,DM_NHAN_SU!$B$6:$B$155,0)),"SAI MÃ NV"))</f>
        <v/>
      </c>
      <c r="D996" s="86" t="n"/>
      <c r="E996" s="103">
        <f>IF(OR($B996="",$D996=""),"",IF(COUNTIF(THAM_SO_CC!$F$10:$F$40,$D996)&gt;0,"Lễ",IF(IF(THAM_SO_CC!$B$12="T7+CN",WEEKDAY($D996,2)&gt;=6,WEEKDAY($D996,2)=7),"Nghỉ tuần","Ngày thường")))</f>
        <v/>
      </c>
      <c r="F996" s="107" t="n"/>
      <c r="G996" s="107" t="n"/>
      <c r="H996" s="107" t="n"/>
      <c r="I996" s="81" t="n"/>
      <c r="J996" s="108">
        <f>IF($B996="","",IF($E996="Ngày thường",N($G996),0))</f>
        <v/>
      </c>
      <c r="K996" s="108">
        <f>IF($B996="","",IF($E996="Nghỉ tuần",N($G996),0))</f>
        <v/>
      </c>
      <c r="L996" s="108">
        <f>IF($B996="","",IF($E996="Lễ",N($G996),0))</f>
        <v/>
      </c>
      <c r="M996" s="108">
        <f>IF($B996="","",IF($E996="Ngày thường",N($H996),0))</f>
        <v/>
      </c>
      <c r="N996" s="108">
        <f>IF($B996="","",IF($E996="Nghỉ tuần",N($H996),0))</f>
        <v/>
      </c>
      <c r="O996" s="108">
        <f>IF($B996="","",IF($E996="Lễ",N($H996),0))</f>
        <v/>
      </c>
    </row>
    <row r="997" ht="15" customHeight="1" s="63">
      <c r="A997" s="85">
        <f>IF($B997="","",ROW()-5)</f>
        <v/>
      </c>
      <c r="B997" s="97" t="n"/>
      <c r="C997" s="96">
        <f>IF($B997="","",IFERROR(INDEX(DM_NHAN_SU!$C$6:$C$155,MATCH($B997,DM_NHAN_SU!$B$6:$B$155,0)),"SAI MÃ NV"))</f>
        <v/>
      </c>
      <c r="D997" s="86" t="n"/>
      <c r="E997" s="103">
        <f>IF(OR($B997="",$D997=""),"",IF(COUNTIF(THAM_SO_CC!$F$10:$F$40,$D997)&gt;0,"Lễ",IF(IF(THAM_SO_CC!$B$12="T7+CN",WEEKDAY($D997,2)&gt;=6,WEEKDAY($D997,2)=7),"Nghỉ tuần","Ngày thường")))</f>
        <v/>
      </c>
      <c r="F997" s="107" t="n"/>
      <c r="G997" s="107" t="n"/>
      <c r="H997" s="107" t="n"/>
      <c r="I997" s="81" t="n"/>
      <c r="J997" s="108">
        <f>IF($B997="","",IF($E997="Ngày thường",N($G997),0))</f>
        <v/>
      </c>
      <c r="K997" s="108">
        <f>IF($B997="","",IF($E997="Nghỉ tuần",N($G997),0))</f>
        <v/>
      </c>
      <c r="L997" s="108">
        <f>IF($B997="","",IF($E997="Lễ",N($G997),0))</f>
        <v/>
      </c>
      <c r="M997" s="108">
        <f>IF($B997="","",IF($E997="Ngày thường",N($H997),0))</f>
        <v/>
      </c>
      <c r="N997" s="108">
        <f>IF($B997="","",IF($E997="Nghỉ tuần",N($H997),0))</f>
        <v/>
      </c>
      <c r="O997" s="108">
        <f>IF($B997="","",IF($E997="Lễ",N($H997),0))</f>
        <v/>
      </c>
    </row>
    <row r="998" ht="15" customHeight="1" s="63">
      <c r="A998" s="85">
        <f>IF($B998="","",ROW()-5)</f>
        <v/>
      </c>
      <c r="B998" s="97" t="n"/>
      <c r="C998" s="96">
        <f>IF($B998="","",IFERROR(INDEX(DM_NHAN_SU!$C$6:$C$155,MATCH($B998,DM_NHAN_SU!$B$6:$B$155,0)),"SAI MÃ NV"))</f>
        <v/>
      </c>
      <c r="D998" s="86" t="n"/>
      <c r="E998" s="103">
        <f>IF(OR($B998="",$D998=""),"",IF(COUNTIF(THAM_SO_CC!$F$10:$F$40,$D998)&gt;0,"Lễ",IF(IF(THAM_SO_CC!$B$12="T7+CN",WEEKDAY($D998,2)&gt;=6,WEEKDAY($D998,2)=7),"Nghỉ tuần","Ngày thường")))</f>
        <v/>
      </c>
      <c r="F998" s="107" t="n"/>
      <c r="G998" s="107" t="n"/>
      <c r="H998" s="107" t="n"/>
      <c r="I998" s="81" t="n"/>
      <c r="J998" s="108">
        <f>IF($B998="","",IF($E998="Ngày thường",N($G998),0))</f>
        <v/>
      </c>
      <c r="K998" s="108">
        <f>IF($B998="","",IF($E998="Nghỉ tuần",N($G998),0))</f>
        <v/>
      </c>
      <c r="L998" s="108">
        <f>IF($B998="","",IF($E998="Lễ",N($G998),0))</f>
        <v/>
      </c>
      <c r="M998" s="108">
        <f>IF($B998="","",IF($E998="Ngày thường",N($H998),0))</f>
        <v/>
      </c>
      <c r="N998" s="108">
        <f>IF($B998="","",IF($E998="Nghỉ tuần",N($H998),0))</f>
        <v/>
      </c>
      <c r="O998" s="108">
        <f>IF($B998="","",IF($E998="Lễ",N($H998),0))</f>
        <v/>
      </c>
    </row>
    <row r="999" ht="15" customHeight="1" s="63">
      <c r="A999" s="85">
        <f>IF($B999="","",ROW()-5)</f>
        <v/>
      </c>
      <c r="B999" s="97" t="n"/>
      <c r="C999" s="96">
        <f>IF($B999="","",IFERROR(INDEX(DM_NHAN_SU!$C$6:$C$155,MATCH($B999,DM_NHAN_SU!$B$6:$B$155,0)),"SAI MÃ NV"))</f>
        <v/>
      </c>
      <c r="D999" s="86" t="n"/>
      <c r="E999" s="103">
        <f>IF(OR($B999="",$D999=""),"",IF(COUNTIF(THAM_SO_CC!$F$10:$F$40,$D999)&gt;0,"Lễ",IF(IF(THAM_SO_CC!$B$12="T7+CN",WEEKDAY($D999,2)&gt;=6,WEEKDAY($D999,2)=7),"Nghỉ tuần","Ngày thường")))</f>
        <v/>
      </c>
      <c r="F999" s="107" t="n"/>
      <c r="G999" s="107" t="n"/>
      <c r="H999" s="107" t="n"/>
      <c r="I999" s="81" t="n"/>
      <c r="J999" s="108">
        <f>IF($B999="","",IF($E999="Ngày thường",N($G999),0))</f>
        <v/>
      </c>
      <c r="K999" s="108">
        <f>IF($B999="","",IF($E999="Nghỉ tuần",N($G999),0))</f>
        <v/>
      </c>
      <c r="L999" s="108">
        <f>IF($B999="","",IF($E999="Lễ",N($G999),0))</f>
        <v/>
      </c>
      <c r="M999" s="108">
        <f>IF($B999="","",IF($E999="Ngày thường",N($H999),0))</f>
        <v/>
      </c>
      <c r="N999" s="108">
        <f>IF($B999="","",IF($E999="Nghỉ tuần",N($H999),0))</f>
        <v/>
      </c>
      <c r="O999" s="108">
        <f>IF($B999="","",IF($E999="Lễ",N($H999),0))</f>
        <v/>
      </c>
    </row>
    <row r="1000" ht="15" customHeight="1" s="63">
      <c r="A1000" s="85">
        <f>IF($B1000="","",ROW()-5)</f>
        <v/>
      </c>
      <c r="B1000" s="97" t="n"/>
      <c r="C1000" s="96">
        <f>IF($B1000="","",IFERROR(INDEX(DM_NHAN_SU!$C$6:$C$155,MATCH($B1000,DM_NHAN_SU!$B$6:$B$155,0)),"SAI MÃ NV"))</f>
        <v/>
      </c>
      <c r="D1000" s="86" t="n"/>
      <c r="E1000" s="103">
        <f>IF(OR($B1000="",$D1000=""),"",IF(COUNTIF(THAM_SO_CC!$F$10:$F$40,$D1000)&gt;0,"Lễ",IF(IF(THAM_SO_CC!$B$12="T7+CN",WEEKDAY($D1000,2)&gt;=6,WEEKDAY($D1000,2)=7),"Nghỉ tuần","Ngày thường")))</f>
        <v/>
      </c>
      <c r="F1000" s="107" t="n"/>
      <c r="G1000" s="107" t="n"/>
      <c r="H1000" s="107" t="n"/>
      <c r="I1000" s="81" t="n"/>
      <c r="J1000" s="108">
        <f>IF($B1000="","",IF($E1000="Ngày thường",N($G1000),0))</f>
        <v/>
      </c>
      <c r="K1000" s="108">
        <f>IF($B1000="","",IF($E1000="Nghỉ tuần",N($G1000),0))</f>
        <v/>
      </c>
      <c r="L1000" s="108">
        <f>IF($B1000="","",IF($E1000="Lễ",N($G1000),0))</f>
        <v/>
      </c>
      <c r="M1000" s="108">
        <f>IF($B1000="","",IF($E1000="Ngày thường",N($H1000),0))</f>
        <v/>
      </c>
      <c r="N1000" s="108">
        <f>IF($B1000="","",IF($E1000="Nghỉ tuần",N($H1000),0))</f>
        <v/>
      </c>
      <c r="O1000" s="108">
        <f>IF($B1000="","",IF($E1000="Lễ",N($H1000),0))</f>
        <v/>
      </c>
    </row>
    <row r="1001" ht="15" customHeight="1" s="63">
      <c r="A1001" s="85">
        <f>IF($B1001="","",ROW()-5)</f>
        <v/>
      </c>
      <c r="B1001" s="97" t="n"/>
      <c r="C1001" s="96">
        <f>IF($B1001="","",IFERROR(INDEX(DM_NHAN_SU!$C$6:$C$155,MATCH($B1001,DM_NHAN_SU!$B$6:$B$155,0)),"SAI MÃ NV"))</f>
        <v/>
      </c>
      <c r="D1001" s="86" t="n"/>
      <c r="E1001" s="103">
        <f>IF(OR($B1001="",$D1001=""),"",IF(COUNTIF(THAM_SO_CC!$F$10:$F$40,$D1001)&gt;0,"Lễ",IF(IF(THAM_SO_CC!$B$12="T7+CN",WEEKDAY($D1001,2)&gt;=6,WEEKDAY($D1001,2)=7),"Nghỉ tuần","Ngày thường")))</f>
        <v/>
      </c>
      <c r="F1001" s="107" t="n"/>
      <c r="G1001" s="107" t="n"/>
      <c r="H1001" s="107" t="n"/>
      <c r="I1001" s="81" t="n"/>
      <c r="J1001" s="108">
        <f>IF($B1001="","",IF($E1001="Ngày thường",N($G1001),0))</f>
        <v/>
      </c>
      <c r="K1001" s="108">
        <f>IF($B1001="","",IF($E1001="Nghỉ tuần",N($G1001),0))</f>
        <v/>
      </c>
      <c r="L1001" s="108">
        <f>IF($B1001="","",IF($E1001="Lễ",N($G1001),0))</f>
        <v/>
      </c>
      <c r="M1001" s="108">
        <f>IF($B1001="","",IF($E1001="Ngày thường",N($H1001),0))</f>
        <v/>
      </c>
      <c r="N1001" s="108">
        <f>IF($B1001="","",IF($E1001="Nghỉ tuần",N($H1001),0))</f>
        <v/>
      </c>
      <c r="O1001" s="108">
        <f>IF($B1001="","",IF($E1001="Lễ",N($H1001),0))</f>
        <v/>
      </c>
    </row>
    <row r="1002" ht="15" customHeight="1" s="63">
      <c r="A1002" s="85">
        <f>IF($B1002="","",ROW()-5)</f>
        <v/>
      </c>
      <c r="B1002" s="97" t="n"/>
      <c r="C1002" s="96">
        <f>IF($B1002="","",IFERROR(INDEX(DM_NHAN_SU!$C$6:$C$155,MATCH($B1002,DM_NHAN_SU!$B$6:$B$155,0)),"SAI MÃ NV"))</f>
        <v/>
      </c>
      <c r="D1002" s="86" t="n"/>
      <c r="E1002" s="103">
        <f>IF(OR($B1002="",$D1002=""),"",IF(COUNTIF(THAM_SO_CC!$F$10:$F$40,$D1002)&gt;0,"Lễ",IF(IF(THAM_SO_CC!$B$12="T7+CN",WEEKDAY($D1002,2)&gt;=6,WEEKDAY($D1002,2)=7),"Nghỉ tuần","Ngày thường")))</f>
        <v/>
      </c>
      <c r="F1002" s="107" t="n"/>
      <c r="G1002" s="107" t="n"/>
      <c r="H1002" s="107" t="n"/>
      <c r="I1002" s="81" t="n"/>
      <c r="J1002" s="108">
        <f>IF($B1002="","",IF($E1002="Ngày thường",N($G1002),0))</f>
        <v/>
      </c>
      <c r="K1002" s="108">
        <f>IF($B1002="","",IF($E1002="Nghỉ tuần",N($G1002),0))</f>
        <v/>
      </c>
      <c r="L1002" s="108">
        <f>IF($B1002="","",IF($E1002="Lễ",N($G1002),0))</f>
        <v/>
      </c>
      <c r="M1002" s="108">
        <f>IF($B1002="","",IF($E1002="Ngày thường",N($H1002),0))</f>
        <v/>
      </c>
      <c r="N1002" s="108">
        <f>IF($B1002="","",IF($E1002="Nghỉ tuần",N($H1002),0))</f>
        <v/>
      </c>
      <c r="O1002" s="108">
        <f>IF($B1002="","",IF($E1002="Lễ",N($H1002),0))</f>
        <v/>
      </c>
    </row>
    <row r="1003" ht="15" customHeight="1" s="63">
      <c r="A1003" s="85">
        <f>IF($B1003="","",ROW()-5)</f>
        <v/>
      </c>
      <c r="B1003" s="97" t="n"/>
      <c r="C1003" s="96">
        <f>IF($B1003="","",IFERROR(INDEX(DM_NHAN_SU!$C$6:$C$155,MATCH($B1003,DM_NHAN_SU!$B$6:$B$155,0)),"SAI MÃ NV"))</f>
        <v/>
      </c>
      <c r="D1003" s="86" t="n"/>
      <c r="E1003" s="103">
        <f>IF(OR($B1003="",$D1003=""),"",IF(COUNTIF(THAM_SO_CC!$F$10:$F$40,$D1003)&gt;0,"Lễ",IF(IF(THAM_SO_CC!$B$12="T7+CN",WEEKDAY($D1003,2)&gt;=6,WEEKDAY($D1003,2)=7),"Nghỉ tuần","Ngày thường")))</f>
        <v/>
      </c>
      <c r="F1003" s="107" t="n"/>
      <c r="G1003" s="107" t="n"/>
      <c r="H1003" s="107" t="n"/>
      <c r="I1003" s="81" t="n"/>
      <c r="J1003" s="108">
        <f>IF($B1003="","",IF($E1003="Ngày thường",N($G1003),0))</f>
        <v/>
      </c>
      <c r="K1003" s="108">
        <f>IF($B1003="","",IF($E1003="Nghỉ tuần",N($G1003),0))</f>
        <v/>
      </c>
      <c r="L1003" s="108">
        <f>IF($B1003="","",IF($E1003="Lễ",N($G1003),0))</f>
        <v/>
      </c>
      <c r="M1003" s="108">
        <f>IF($B1003="","",IF($E1003="Ngày thường",N($H1003),0))</f>
        <v/>
      </c>
      <c r="N1003" s="108">
        <f>IF($B1003="","",IF($E1003="Nghỉ tuần",N($H1003),0))</f>
        <v/>
      </c>
      <c r="O1003" s="108">
        <f>IF($B1003="","",IF($E1003="Lễ",N($H1003),0))</f>
        <v/>
      </c>
    </row>
    <row r="1004" ht="15" customHeight="1" s="63">
      <c r="A1004" s="85">
        <f>IF($B1004="","",ROW()-5)</f>
        <v/>
      </c>
      <c r="B1004" s="97" t="n"/>
      <c r="C1004" s="96">
        <f>IF($B1004="","",IFERROR(INDEX(DM_NHAN_SU!$C$6:$C$155,MATCH($B1004,DM_NHAN_SU!$B$6:$B$155,0)),"SAI MÃ NV"))</f>
        <v/>
      </c>
      <c r="D1004" s="86" t="n"/>
      <c r="E1004" s="103">
        <f>IF(OR($B1004="",$D1004=""),"",IF(COUNTIF(THAM_SO_CC!$F$10:$F$40,$D1004)&gt;0,"Lễ",IF(IF(THAM_SO_CC!$B$12="T7+CN",WEEKDAY($D1004,2)&gt;=6,WEEKDAY($D1004,2)=7),"Nghỉ tuần","Ngày thường")))</f>
        <v/>
      </c>
      <c r="F1004" s="107" t="n"/>
      <c r="G1004" s="107" t="n"/>
      <c r="H1004" s="107" t="n"/>
      <c r="I1004" s="81" t="n"/>
      <c r="J1004" s="108">
        <f>IF($B1004="","",IF($E1004="Ngày thường",N($G1004),0))</f>
        <v/>
      </c>
      <c r="K1004" s="108">
        <f>IF($B1004="","",IF($E1004="Nghỉ tuần",N($G1004),0))</f>
        <v/>
      </c>
      <c r="L1004" s="108">
        <f>IF($B1004="","",IF($E1004="Lễ",N($G1004),0))</f>
        <v/>
      </c>
      <c r="M1004" s="108">
        <f>IF($B1004="","",IF($E1004="Ngày thường",N($H1004),0))</f>
        <v/>
      </c>
      <c r="N1004" s="108">
        <f>IF($B1004="","",IF($E1004="Nghỉ tuần",N($H1004),0))</f>
        <v/>
      </c>
      <c r="O1004" s="108">
        <f>IF($B1004="","",IF($E1004="Lễ",N($H1004),0))</f>
        <v/>
      </c>
    </row>
    <row r="1005" ht="15" customHeight="1" s="63">
      <c r="A1005" s="85">
        <f>IF($B1005="","",ROW()-5)</f>
        <v/>
      </c>
      <c r="B1005" s="97" t="n"/>
      <c r="C1005" s="96">
        <f>IF($B1005="","",IFERROR(INDEX(DM_NHAN_SU!$C$6:$C$155,MATCH($B1005,DM_NHAN_SU!$B$6:$B$155,0)),"SAI MÃ NV"))</f>
        <v/>
      </c>
      <c r="D1005" s="86" t="n"/>
      <c r="E1005" s="103">
        <f>IF(OR($B1005="",$D1005=""),"",IF(COUNTIF(THAM_SO_CC!$F$10:$F$40,$D1005)&gt;0,"Lễ",IF(IF(THAM_SO_CC!$B$12="T7+CN",WEEKDAY($D1005,2)&gt;=6,WEEKDAY($D1005,2)=7),"Nghỉ tuần","Ngày thường")))</f>
        <v/>
      </c>
      <c r="F1005" s="107" t="n"/>
      <c r="G1005" s="107" t="n"/>
      <c r="H1005" s="107" t="n"/>
      <c r="I1005" s="81" t="n"/>
      <c r="J1005" s="108">
        <f>IF($B1005="","",IF($E1005="Ngày thường",N($G1005),0))</f>
        <v/>
      </c>
      <c r="K1005" s="108">
        <f>IF($B1005="","",IF($E1005="Nghỉ tuần",N($G1005),0))</f>
        <v/>
      </c>
      <c r="L1005" s="108">
        <f>IF($B1005="","",IF($E1005="Lễ",N($G1005),0))</f>
        <v/>
      </c>
      <c r="M1005" s="108">
        <f>IF($B1005="","",IF($E1005="Ngày thường",N($H1005),0))</f>
        <v/>
      </c>
      <c r="N1005" s="108">
        <f>IF($B1005="","",IF($E1005="Nghỉ tuần",N($H1005),0))</f>
        <v/>
      </c>
      <c r="O1005" s="108">
        <f>IF($B1005="","",IF($E1005="Lễ",N($H1005),0))</f>
        <v/>
      </c>
    </row>
    <row r="1006" ht="15" customHeight="1" s="63">
      <c r="A1006" s="85">
        <f>IF($B1006="","",ROW()-5)</f>
        <v/>
      </c>
      <c r="B1006" s="97" t="n"/>
      <c r="C1006" s="96">
        <f>IF($B1006="","",IFERROR(INDEX(DM_NHAN_SU!$C$6:$C$155,MATCH($B1006,DM_NHAN_SU!$B$6:$B$155,0)),"SAI MÃ NV"))</f>
        <v/>
      </c>
      <c r="D1006" s="86" t="n"/>
      <c r="E1006" s="103">
        <f>IF(OR($B1006="",$D1006=""),"",IF(COUNTIF(THAM_SO_CC!$F$10:$F$40,$D1006)&gt;0,"Lễ",IF(IF(THAM_SO_CC!$B$12="T7+CN",WEEKDAY($D1006,2)&gt;=6,WEEKDAY($D1006,2)=7),"Nghỉ tuần","Ngày thường")))</f>
        <v/>
      </c>
      <c r="F1006" s="107" t="n"/>
      <c r="G1006" s="107" t="n"/>
      <c r="H1006" s="107" t="n"/>
      <c r="I1006" s="81" t="n"/>
      <c r="J1006" s="108">
        <f>IF($B1006="","",IF($E1006="Ngày thường",N($G1006),0))</f>
        <v/>
      </c>
      <c r="K1006" s="108">
        <f>IF($B1006="","",IF($E1006="Nghỉ tuần",N($G1006),0))</f>
        <v/>
      </c>
      <c r="L1006" s="108">
        <f>IF($B1006="","",IF($E1006="Lễ",N($G1006),0))</f>
        <v/>
      </c>
      <c r="M1006" s="108">
        <f>IF($B1006="","",IF($E1006="Ngày thường",N($H1006),0))</f>
        <v/>
      </c>
      <c r="N1006" s="108">
        <f>IF($B1006="","",IF($E1006="Nghỉ tuần",N($H1006),0))</f>
        <v/>
      </c>
      <c r="O1006" s="108">
        <f>IF($B1006="","",IF($E1006="Lễ",N($H1006),0))</f>
        <v/>
      </c>
    </row>
    <row r="1007" ht="15" customHeight="1" s="63">
      <c r="A1007" s="85">
        <f>IF($B1007="","",ROW()-5)</f>
        <v/>
      </c>
      <c r="B1007" s="97" t="n"/>
      <c r="C1007" s="96">
        <f>IF($B1007="","",IFERROR(INDEX(DM_NHAN_SU!$C$6:$C$155,MATCH($B1007,DM_NHAN_SU!$B$6:$B$155,0)),"SAI MÃ NV"))</f>
        <v/>
      </c>
      <c r="D1007" s="86" t="n"/>
      <c r="E1007" s="103">
        <f>IF(OR($B1007="",$D1007=""),"",IF(COUNTIF(THAM_SO_CC!$F$10:$F$40,$D1007)&gt;0,"Lễ",IF(IF(THAM_SO_CC!$B$12="T7+CN",WEEKDAY($D1007,2)&gt;=6,WEEKDAY($D1007,2)=7),"Nghỉ tuần","Ngày thường")))</f>
        <v/>
      </c>
      <c r="F1007" s="107" t="n"/>
      <c r="G1007" s="107" t="n"/>
      <c r="H1007" s="107" t="n"/>
      <c r="I1007" s="81" t="n"/>
      <c r="J1007" s="108">
        <f>IF($B1007="","",IF($E1007="Ngày thường",N($G1007),0))</f>
        <v/>
      </c>
      <c r="K1007" s="108">
        <f>IF($B1007="","",IF($E1007="Nghỉ tuần",N($G1007),0))</f>
        <v/>
      </c>
      <c r="L1007" s="108">
        <f>IF($B1007="","",IF($E1007="Lễ",N($G1007),0))</f>
        <v/>
      </c>
      <c r="M1007" s="108">
        <f>IF($B1007="","",IF($E1007="Ngày thường",N($H1007),0))</f>
        <v/>
      </c>
      <c r="N1007" s="108">
        <f>IF($B1007="","",IF($E1007="Nghỉ tuần",N($H1007),0))</f>
        <v/>
      </c>
      <c r="O1007" s="108">
        <f>IF($B1007="","",IF($E1007="Lễ",N($H1007),0))</f>
        <v/>
      </c>
    </row>
    <row r="1008" ht="15" customHeight="1" s="63">
      <c r="A1008" s="85">
        <f>IF($B1008="","",ROW()-5)</f>
        <v/>
      </c>
      <c r="B1008" s="97" t="n"/>
      <c r="C1008" s="96">
        <f>IF($B1008="","",IFERROR(INDEX(DM_NHAN_SU!$C$6:$C$155,MATCH($B1008,DM_NHAN_SU!$B$6:$B$155,0)),"SAI MÃ NV"))</f>
        <v/>
      </c>
      <c r="D1008" s="86" t="n"/>
      <c r="E1008" s="103">
        <f>IF(OR($B1008="",$D1008=""),"",IF(COUNTIF(THAM_SO_CC!$F$10:$F$40,$D1008)&gt;0,"Lễ",IF(IF(THAM_SO_CC!$B$12="T7+CN",WEEKDAY($D1008,2)&gt;=6,WEEKDAY($D1008,2)=7),"Nghỉ tuần","Ngày thường")))</f>
        <v/>
      </c>
      <c r="F1008" s="107" t="n"/>
      <c r="G1008" s="107" t="n"/>
      <c r="H1008" s="107" t="n"/>
      <c r="I1008" s="81" t="n"/>
      <c r="J1008" s="108">
        <f>IF($B1008="","",IF($E1008="Ngày thường",N($G1008),0))</f>
        <v/>
      </c>
      <c r="K1008" s="108">
        <f>IF($B1008="","",IF($E1008="Nghỉ tuần",N($G1008),0))</f>
        <v/>
      </c>
      <c r="L1008" s="108">
        <f>IF($B1008="","",IF($E1008="Lễ",N($G1008),0))</f>
        <v/>
      </c>
      <c r="M1008" s="108">
        <f>IF($B1008="","",IF($E1008="Ngày thường",N($H1008),0))</f>
        <v/>
      </c>
      <c r="N1008" s="108">
        <f>IF($B1008="","",IF($E1008="Nghỉ tuần",N($H1008),0))</f>
        <v/>
      </c>
      <c r="O1008" s="108">
        <f>IF($B1008="","",IF($E1008="Lễ",N($H1008),0))</f>
        <v/>
      </c>
    </row>
    <row r="1009" ht="15" customHeight="1" s="63">
      <c r="A1009" s="85">
        <f>IF($B1009="","",ROW()-5)</f>
        <v/>
      </c>
      <c r="B1009" s="97" t="n"/>
      <c r="C1009" s="96">
        <f>IF($B1009="","",IFERROR(INDEX(DM_NHAN_SU!$C$6:$C$155,MATCH($B1009,DM_NHAN_SU!$B$6:$B$155,0)),"SAI MÃ NV"))</f>
        <v/>
      </c>
      <c r="D1009" s="86" t="n"/>
      <c r="E1009" s="103">
        <f>IF(OR($B1009="",$D1009=""),"",IF(COUNTIF(THAM_SO_CC!$F$10:$F$40,$D1009)&gt;0,"Lễ",IF(IF(THAM_SO_CC!$B$12="T7+CN",WEEKDAY($D1009,2)&gt;=6,WEEKDAY($D1009,2)=7),"Nghỉ tuần","Ngày thường")))</f>
        <v/>
      </c>
      <c r="F1009" s="107" t="n"/>
      <c r="G1009" s="107" t="n"/>
      <c r="H1009" s="107" t="n"/>
      <c r="I1009" s="81" t="n"/>
      <c r="J1009" s="108">
        <f>IF($B1009="","",IF($E1009="Ngày thường",N($G1009),0))</f>
        <v/>
      </c>
      <c r="K1009" s="108">
        <f>IF($B1009="","",IF($E1009="Nghỉ tuần",N($G1009),0))</f>
        <v/>
      </c>
      <c r="L1009" s="108">
        <f>IF($B1009="","",IF($E1009="Lễ",N($G1009),0))</f>
        <v/>
      </c>
      <c r="M1009" s="108">
        <f>IF($B1009="","",IF($E1009="Ngày thường",N($H1009),0))</f>
        <v/>
      </c>
      <c r="N1009" s="108">
        <f>IF($B1009="","",IF($E1009="Nghỉ tuần",N($H1009),0))</f>
        <v/>
      </c>
      <c r="O1009" s="108">
        <f>IF($B1009="","",IF($E1009="Lễ",N($H1009),0))</f>
        <v/>
      </c>
    </row>
    <row r="1010" ht="15" customHeight="1" s="63">
      <c r="A1010" s="85">
        <f>IF($B1010="","",ROW()-5)</f>
        <v/>
      </c>
      <c r="B1010" s="97" t="n"/>
      <c r="C1010" s="96">
        <f>IF($B1010="","",IFERROR(INDEX(DM_NHAN_SU!$C$6:$C$155,MATCH($B1010,DM_NHAN_SU!$B$6:$B$155,0)),"SAI MÃ NV"))</f>
        <v/>
      </c>
      <c r="D1010" s="86" t="n"/>
      <c r="E1010" s="103">
        <f>IF(OR($B1010="",$D1010=""),"",IF(COUNTIF(THAM_SO_CC!$F$10:$F$40,$D1010)&gt;0,"Lễ",IF(IF(THAM_SO_CC!$B$12="T7+CN",WEEKDAY($D1010,2)&gt;=6,WEEKDAY($D1010,2)=7),"Nghỉ tuần","Ngày thường")))</f>
        <v/>
      </c>
      <c r="F1010" s="107" t="n"/>
      <c r="G1010" s="107" t="n"/>
      <c r="H1010" s="107" t="n"/>
      <c r="I1010" s="81" t="n"/>
      <c r="J1010" s="108">
        <f>IF($B1010="","",IF($E1010="Ngày thường",N($G1010),0))</f>
        <v/>
      </c>
      <c r="K1010" s="108">
        <f>IF($B1010="","",IF($E1010="Nghỉ tuần",N($G1010),0))</f>
        <v/>
      </c>
      <c r="L1010" s="108">
        <f>IF($B1010="","",IF($E1010="Lễ",N($G1010),0))</f>
        <v/>
      </c>
      <c r="M1010" s="108">
        <f>IF($B1010="","",IF($E1010="Ngày thường",N($H1010),0))</f>
        <v/>
      </c>
      <c r="N1010" s="108">
        <f>IF($B1010="","",IF($E1010="Nghỉ tuần",N($H1010),0))</f>
        <v/>
      </c>
      <c r="O1010" s="108">
        <f>IF($B1010="","",IF($E1010="Lễ",N($H1010),0))</f>
        <v/>
      </c>
    </row>
    <row r="1011" ht="15" customHeight="1" s="63">
      <c r="A1011" s="85">
        <f>IF($B1011="","",ROW()-5)</f>
        <v/>
      </c>
      <c r="B1011" s="97" t="n"/>
      <c r="C1011" s="96">
        <f>IF($B1011="","",IFERROR(INDEX(DM_NHAN_SU!$C$6:$C$155,MATCH($B1011,DM_NHAN_SU!$B$6:$B$155,0)),"SAI MÃ NV"))</f>
        <v/>
      </c>
      <c r="D1011" s="86" t="n"/>
      <c r="E1011" s="103">
        <f>IF(OR($B1011="",$D1011=""),"",IF(COUNTIF(THAM_SO_CC!$F$10:$F$40,$D1011)&gt;0,"Lễ",IF(IF(THAM_SO_CC!$B$12="T7+CN",WEEKDAY($D1011,2)&gt;=6,WEEKDAY($D1011,2)=7),"Nghỉ tuần","Ngày thường")))</f>
        <v/>
      </c>
      <c r="F1011" s="107" t="n"/>
      <c r="G1011" s="107" t="n"/>
      <c r="H1011" s="107" t="n"/>
      <c r="I1011" s="81" t="n"/>
      <c r="J1011" s="108">
        <f>IF($B1011="","",IF($E1011="Ngày thường",N($G1011),0))</f>
        <v/>
      </c>
      <c r="K1011" s="108">
        <f>IF($B1011="","",IF($E1011="Nghỉ tuần",N($G1011),0))</f>
        <v/>
      </c>
      <c r="L1011" s="108">
        <f>IF($B1011="","",IF($E1011="Lễ",N($G1011),0))</f>
        <v/>
      </c>
      <c r="M1011" s="108">
        <f>IF($B1011="","",IF($E1011="Ngày thường",N($H1011),0))</f>
        <v/>
      </c>
      <c r="N1011" s="108">
        <f>IF($B1011="","",IF($E1011="Nghỉ tuần",N($H1011),0))</f>
        <v/>
      </c>
      <c r="O1011" s="108">
        <f>IF($B1011="","",IF($E1011="Lễ",N($H1011),0))</f>
        <v/>
      </c>
    </row>
    <row r="1012" ht="15" customHeight="1" s="63">
      <c r="A1012" s="85">
        <f>IF($B1012="","",ROW()-5)</f>
        <v/>
      </c>
      <c r="B1012" s="97" t="n"/>
      <c r="C1012" s="96">
        <f>IF($B1012="","",IFERROR(INDEX(DM_NHAN_SU!$C$6:$C$155,MATCH($B1012,DM_NHAN_SU!$B$6:$B$155,0)),"SAI MÃ NV"))</f>
        <v/>
      </c>
      <c r="D1012" s="86" t="n"/>
      <c r="E1012" s="103">
        <f>IF(OR($B1012="",$D1012=""),"",IF(COUNTIF(THAM_SO_CC!$F$10:$F$40,$D1012)&gt;0,"Lễ",IF(IF(THAM_SO_CC!$B$12="T7+CN",WEEKDAY($D1012,2)&gt;=6,WEEKDAY($D1012,2)=7),"Nghỉ tuần","Ngày thường")))</f>
        <v/>
      </c>
      <c r="F1012" s="107" t="n"/>
      <c r="G1012" s="107" t="n"/>
      <c r="H1012" s="107" t="n"/>
      <c r="I1012" s="81" t="n"/>
      <c r="J1012" s="108">
        <f>IF($B1012="","",IF($E1012="Ngày thường",N($G1012),0))</f>
        <v/>
      </c>
      <c r="K1012" s="108">
        <f>IF($B1012="","",IF($E1012="Nghỉ tuần",N($G1012),0))</f>
        <v/>
      </c>
      <c r="L1012" s="108">
        <f>IF($B1012="","",IF($E1012="Lễ",N($G1012),0))</f>
        <v/>
      </c>
      <c r="M1012" s="108">
        <f>IF($B1012="","",IF($E1012="Ngày thường",N($H1012),0))</f>
        <v/>
      </c>
      <c r="N1012" s="108">
        <f>IF($B1012="","",IF($E1012="Nghỉ tuần",N($H1012),0))</f>
        <v/>
      </c>
      <c r="O1012" s="108">
        <f>IF($B1012="","",IF($E1012="Lễ",N($H1012),0))</f>
        <v/>
      </c>
    </row>
    <row r="1013" ht="15" customHeight="1" s="63">
      <c r="A1013" s="85">
        <f>IF($B1013="","",ROW()-5)</f>
        <v/>
      </c>
      <c r="B1013" s="97" t="n"/>
      <c r="C1013" s="96">
        <f>IF($B1013="","",IFERROR(INDEX(DM_NHAN_SU!$C$6:$C$155,MATCH($B1013,DM_NHAN_SU!$B$6:$B$155,0)),"SAI MÃ NV"))</f>
        <v/>
      </c>
      <c r="D1013" s="86" t="n"/>
      <c r="E1013" s="103">
        <f>IF(OR($B1013="",$D1013=""),"",IF(COUNTIF(THAM_SO_CC!$F$10:$F$40,$D1013)&gt;0,"Lễ",IF(IF(THAM_SO_CC!$B$12="T7+CN",WEEKDAY($D1013,2)&gt;=6,WEEKDAY($D1013,2)=7),"Nghỉ tuần","Ngày thường")))</f>
        <v/>
      </c>
      <c r="F1013" s="107" t="n"/>
      <c r="G1013" s="107" t="n"/>
      <c r="H1013" s="107" t="n"/>
      <c r="I1013" s="81" t="n"/>
      <c r="J1013" s="108">
        <f>IF($B1013="","",IF($E1013="Ngày thường",N($G1013),0))</f>
        <v/>
      </c>
      <c r="K1013" s="108">
        <f>IF($B1013="","",IF($E1013="Nghỉ tuần",N($G1013),0))</f>
        <v/>
      </c>
      <c r="L1013" s="108">
        <f>IF($B1013="","",IF($E1013="Lễ",N($G1013),0))</f>
        <v/>
      </c>
      <c r="M1013" s="108">
        <f>IF($B1013="","",IF($E1013="Ngày thường",N($H1013),0))</f>
        <v/>
      </c>
      <c r="N1013" s="108">
        <f>IF($B1013="","",IF($E1013="Nghỉ tuần",N($H1013),0))</f>
        <v/>
      </c>
      <c r="O1013" s="108">
        <f>IF($B1013="","",IF($E1013="Lễ",N($H1013),0))</f>
        <v/>
      </c>
    </row>
    <row r="1014" ht="15" customHeight="1" s="63">
      <c r="A1014" s="85">
        <f>IF($B1014="","",ROW()-5)</f>
        <v/>
      </c>
      <c r="B1014" s="97" t="n"/>
      <c r="C1014" s="96">
        <f>IF($B1014="","",IFERROR(INDEX(DM_NHAN_SU!$C$6:$C$155,MATCH($B1014,DM_NHAN_SU!$B$6:$B$155,0)),"SAI MÃ NV"))</f>
        <v/>
      </c>
      <c r="D1014" s="86" t="n"/>
      <c r="E1014" s="103">
        <f>IF(OR($B1014="",$D1014=""),"",IF(COUNTIF(THAM_SO_CC!$F$10:$F$40,$D1014)&gt;0,"Lễ",IF(IF(THAM_SO_CC!$B$12="T7+CN",WEEKDAY($D1014,2)&gt;=6,WEEKDAY($D1014,2)=7),"Nghỉ tuần","Ngày thường")))</f>
        <v/>
      </c>
      <c r="F1014" s="107" t="n"/>
      <c r="G1014" s="107" t="n"/>
      <c r="H1014" s="107" t="n"/>
      <c r="I1014" s="81" t="n"/>
      <c r="J1014" s="108">
        <f>IF($B1014="","",IF($E1014="Ngày thường",N($G1014),0))</f>
        <v/>
      </c>
      <c r="K1014" s="108">
        <f>IF($B1014="","",IF($E1014="Nghỉ tuần",N($G1014),0))</f>
        <v/>
      </c>
      <c r="L1014" s="108">
        <f>IF($B1014="","",IF($E1014="Lễ",N($G1014),0))</f>
        <v/>
      </c>
      <c r="M1014" s="108">
        <f>IF($B1014="","",IF($E1014="Ngày thường",N($H1014),0))</f>
        <v/>
      </c>
      <c r="N1014" s="108">
        <f>IF($B1014="","",IF($E1014="Nghỉ tuần",N($H1014),0))</f>
        <v/>
      </c>
      <c r="O1014" s="108">
        <f>IF($B1014="","",IF($E1014="Lễ",N($H1014),0))</f>
        <v/>
      </c>
    </row>
    <row r="1015" ht="15" customHeight="1" s="63">
      <c r="A1015" s="85">
        <f>IF($B1015="","",ROW()-5)</f>
        <v/>
      </c>
      <c r="B1015" s="97" t="n"/>
      <c r="C1015" s="96">
        <f>IF($B1015="","",IFERROR(INDEX(DM_NHAN_SU!$C$6:$C$155,MATCH($B1015,DM_NHAN_SU!$B$6:$B$155,0)),"SAI MÃ NV"))</f>
        <v/>
      </c>
      <c r="D1015" s="86" t="n"/>
      <c r="E1015" s="103">
        <f>IF(OR($B1015="",$D1015=""),"",IF(COUNTIF(THAM_SO_CC!$F$10:$F$40,$D1015)&gt;0,"Lễ",IF(IF(THAM_SO_CC!$B$12="T7+CN",WEEKDAY($D1015,2)&gt;=6,WEEKDAY($D1015,2)=7),"Nghỉ tuần","Ngày thường")))</f>
        <v/>
      </c>
      <c r="F1015" s="107" t="n"/>
      <c r="G1015" s="107" t="n"/>
      <c r="H1015" s="107" t="n"/>
      <c r="I1015" s="81" t="n"/>
      <c r="J1015" s="108">
        <f>IF($B1015="","",IF($E1015="Ngày thường",N($G1015),0))</f>
        <v/>
      </c>
      <c r="K1015" s="108">
        <f>IF($B1015="","",IF($E1015="Nghỉ tuần",N($G1015),0))</f>
        <v/>
      </c>
      <c r="L1015" s="108">
        <f>IF($B1015="","",IF($E1015="Lễ",N($G1015),0))</f>
        <v/>
      </c>
      <c r="M1015" s="108">
        <f>IF($B1015="","",IF($E1015="Ngày thường",N($H1015),0))</f>
        <v/>
      </c>
      <c r="N1015" s="108">
        <f>IF($B1015="","",IF($E1015="Nghỉ tuần",N($H1015),0))</f>
        <v/>
      </c>
      <c r="O1015" s="108">
        <f>IF($B1015="","",IF($E1015="Lễ",N($H1015),0))</f>
        <v/>
      </c>
    </row>
    <row r="1016" ht="15" customHeight="1" s="63">
      <c r="A1016" s="85">
        <f>IF($B1016="","",ROW()-5)</f>
        <v/>
      </c>
      <c r="B1016" s="97" t="n"/>
      <c r="C1016" s="96">
        <f>IF($B1016="","",IFERROR(INDEX(DM_NHAN_SU!$C$6:$C$155,MATCH($B1016,DM_NHAN_SU!$B$6:$B$155,0)),"SAI MÃ NV"))</f>
        <v/>
      </c>
      <c r="D1016" s="86" t="n"/>
      <c r="E1016" s="103">
        <f>IF(OR($B1016="",$D1016=""),"",IF(COUNTIF(THAM_SO_CC!$F$10:$F$40,$D1016)&gt;0,"Lễ",IF(IF(THAM_SO_CC!$B$12="T7+CN",WEEKDAY($D1016,2)&gt;=6,WEEKDAY($D1016,2)=7),"Nghỉ tuần","Ngày thường")))</f>
        <v/>
      </c>
      <c r="F1016" s="107" t="n"/>
      <c r="G1016" s="107" t="n"/>
      <c r="H1016" s="107" t="n"/>
      <c r="I1016" s="81" t="n"/>
      <c r="J1016" s="108">
        <f>IF($B1016="","",IF($E1016="Ngày thường",N($G1016),0))</f>
        <v/>
      </c>
      <c r="K1016" s="108">
        <f>IF($B1016="","",IF($E1016="Nghỉ tuần",N($G1016),0))</f>
        <v/>
      </c>
      <c r="L1016" s="108">
        <f>IF($B1016="","",IF($E1016="Lễ",N($G1016),0))</f>
        <v/>
      </c>
      <c r="M1016" s="108">
        <f>IF($B1016="","",IF($E1016="Ngày thường",N($H1016),0))</f>
        <v/>
      </c>
      <c r="N1016" s="108">
        <f>IF($B1016="","",IF($E1016="Nghỉ tuần",N($H1016),0))</f>
        <v/>
      </c>
      <c r="O1016" s="108">
        <f>IF($B1016="","",IF($E1016="Lễ",N($H1016),0))</f>
        <v/>
      </c>
    </row>
    <row r="1017" ht="15" customHeight="1" s="63">
      <c r="A1017" s="85">
        <f>IF($B1017="","",ROW()-5)</f>
        <v/>
      </c>
      <c r="B1017" s="97" t="n"/>
      <c r="C1017" s="96">
        <f>IF($B1017="","",IFERROR(INDEX(DM_NHAN_SU!$C$6:$C$155,MATCH($B1017,DM_NHAN_SU!$B$6:$B$155,0)),"SAI MÃ NV"))</f>
        <v/>
      </c>
      <c r="D1017" s="86" t="n"/>
      <c r="E1017" s="103">
        <f>IF(OR($B1017="",$D1017=""),"",IF(COUNTIF(THAM_SO_CC!$F$10:$F$40,$D1017)&gt;0,"Lễ",IF(IF(THAM_SO_CC!$B$12="T7+CN",WEEKDAY($D1017,2)&gt;=6,WEEKDAY($D1017,2)=7),"Nghỉ tuần","Ngày thường")))</f>
        <v/>
      </c>
      <c r="F1017" s="107" t="n"/>
      <c r="G1017" s="107" t="n"/>
      <c r="H1017" s="107" t="n"/>
      <c r="I1017" s="81" t="n"/>
      <c r="J1017" s="108">
        <f>IF($B1017="","",IF($E1017="Ngày thường",N($G1017),0))</f>
        <v/>
      </c>
      <c r="K1017" s="108">
        <f>IF($B1017="","",IF($E1017="Nghỉ tuần",N($G1017),0))</f>
        <v/>
      </c>
      <c r="L1017" s="108">
        <f>IF($B1017="","",IF($E1017="Lễ",N($G1017),0))</f>
        <v/>
      </c>
      <c r="M1017" s="108">
        <f>IF($B1017="","",IF($E1017="Ngày thường",N($H1017),0))</f>
        <v/>
      </c>
      <c r="N1017" s="108">
        <f>IF($B1017="","",IF($E1017="Nghỉ tuần",N($H1017),0))</f>
        <v/>
      </c>
      <c r="O1017" s="108">
        <f>IF($B1017="","",IF($E1017="Lễ",N($H1017),0))</f>
        <v/>
      </c>
    </row>
    <row r="1018" ht="15" customHeight="1" s="63">
      <c r="A1018" s="85">
        <f>IF($B1018="","",ROW()-5)</f>
        <v/>
      </c>
      <c r="B1018" s="97" t="n"/>
      <c r="C1018" s="96">
        <f>IF($B1018="","",IFERROR(INDEX(DM_NHAN_SU!$C$6:$C$155,MATCH($B1018,DM_NHAN_SU!$B$6:$B$155,0)),"SAI MÃ NV"))</f>
        <v/>
      </c>
      <c r="D1018" s="86" t="n"/>
      <c r="E1018" s="103">
        <f>IF(OR($B1018="",$D1018=""),"",IF(COUNTIF(THAM_SO_CC!$F$10:$F$40,$D1018)&gt;0,"Lễ",IF(IF(THAM_SO_CC!$B$12="T7+CN",WEEKDAY($D1018,2)&gt;=6,WEEKDAY($D1018,2)=7),"Nghỉ tuần","Ngày thường")))</f>
        <v/>
      </c>
      <c r="F1018" s="107" t="n"/>
      <c r="G1018" s="107" t="n"/>
      <c r="H1018" s="107" t="n"/>
      <c r="I1018" s="81" t="n"/>
      <c r="J1018" s="108">
        <f>IF($B1018="","",IF($E1018="Ngày thường",N($G1018),0))</f>
        <v/>
      </c>
      <c r="K1018" s="108">
        <f>IF($B1018="","",IF($E1018="Nghỉ tuần",N($G1018),0))</f>
        <v/>
      </c>
      <c r="L1018" s="108">
        <f>IF($B1018="","",IF($E1018="Lễ",N($G1018),0))</f>
        <v/>
      </c>
      <c r="M1018" s="108">
        <f>IF($B1018="","",IF($E1018="Ngày thường",N($H1018),0))</f>
        <v/>
      </c>
      <c r="N1018" s="108">
        <f>IF($B1018="","",IF($E1018="Nghỉ tuần",N($H1018),0))</f>
        <v/>
      </c>
      <c r="O1018" s="108">
        <f>IF($B1018="","",IF($E1018="Lễ",N($H1018),0))</f>
        <v/>
      </c>
    </row>
    <row r="1019" ht="15" customHeight="1" s="63">
      <c r="A1019" s="85">
        <f>IF($B1019="","",ROW()-5)</f>
        <v/>
      </c>
      <c r="B1019" s="97" t="n"/>
      <c r="C1019" s="96">
        <f>IF($B1019="","",IFERROR(INDEX(DM_NHAN_SU!$C$6:$C$155,MATCH($B1019,DM_NHAN_SU!$B$6:$B$155,0)),"SAI MÃ NV"))</f>
        <v/>
      </c>
      <c r="D1019" s="86" t="n"/>
      <c r="E1019" s="103">
        <f>IF(OR($B1019="",$D1019=""),"",IF(COUNTIF(THAM_SO_CC!$F$10:$F$40,$D1019)&gt;0,"Lễ",IF(IF(THAM_SO_CC!$B$12="T7+CN",WEEKDAY($D1019,2)&gt;=6,WEEKDAY($D1019,2)=7),"Nghỉ tuần","Ngày thường")))</f>
        <v/>
      </c>
      <c r="F1019" s="107" t="n"/>
      <c r="G1019" s="107" t="n"/>
      <c r="H1019" s="107" t="n"/>
      <c r="I1019" s="81" t="n"/>
      <c r="J1019" s="108">
        <f>IF($B1019="","",IF($E1019="Ngày thường",N($G1019),0))</f>
        <v/>
      </c>
      <c r="K1019" s="108">
        <f>IF($B1019="","",IF($E1019="Nghỉ tuần",N($G1019),0))</f>
        <v/>
      </c>
      <c r="L1019" s="108">
        <f>IF($B1019="","",IF($E1019="Lễ",N($G1019),0))</f>
        <v/>
      </c>
      <c r="M1019" s="108">
        <f>IF($B1019="","",IF($E1019="Ngày thường",N($H1019),0))</f>
        <v/>
      </c>
      <c r="N1019" s="108">
        <f>IF($B1019="","",IF($E1019="Nghỉ tuần",N($H1019),0))</f>
        <v/>
      </c>
      <c r="O1019" s="108">
        <f>IF($B1019="","",IF($E1019="Lễ",N($H1019),0))</f>
        <v/>
      </c>
    </row>
    <row r="1020" ht="15" customHeight="1" s="63">
      <c r="A1020" s="85">
        <f>IF($B1020="","",ROW()-5)</f>
        <v/>
      </c>
      <c r="B1020" s="97" t="n"/>
      <c r="C1020" s="96">
        <f>IF($B1020="","",IFERROR(INDEX(DM_NHAN_SU!$C$6:$C$155,MATCH($B1020,DM_NHAN_SU!$B$6:$B$155,0)),"SAI MÃ NV"))</f>
        <v/>
      </c>
      <c r="D1020" s="86" t="n"/>
      <c r="E1020" s="103">
        <f>IF(OR($B1020="",$D1020=""),"",IF(COUNTIF(THAM_SO_CC!$F$10:$F$40,$D1020)&gt;0,"Lễ",IF(IF(THAM_SO_CC!$B$12="T7+CN",WEEKDAY($D1020,2)&gt;=6,WEEKDAY($D1020,2)=7),"Nghỉ tuần","Ngày thường")))</f>
        <v/>
      </c>
      <c r="F1020" s="107" t="n"/>
      <c r="G1020" s="107" t="n"/>
      <c r="H1020" s="107" t="n"/>
      <c r="I1020" s="81" t="n"/>
      <c r="J1020" s="108">
        <f>IF($B1020="","",IF($E1020="Ngày thường",N($G1020),0))</f>
        <v/>
      </c>
      <c r="K1020" s="108">
        <f>IF($B1020="","",IF($E1020="Nghỉ tuần",N($G1020),0))</f>
        <v/>
      </c>
      <c r="L1020" s="108">
        <f>IF($B1020="","",IF($E1020="Lễ",N($G1020),0))</f>
        <v/>
      </c>
      <c r="M1020" s="108">
        <f>IF($B1020="","",IF($E1020="Ngày thường",N($H1020),0))</f>
        <v/>
      </c>
      <c r="N1020" s="108">
        <f>IF($B1020="","",IF($E1020="Nghỉ tuần",N($H1020),0))</f>
        <v/>
      </c>
      <c r="O1020" s="108">
        <f>IF($B1020="","",IF($E1020="Lễ",N($H1020),0))</f>
        <v/>
      </c>
    </row>
    <row r="1021" ht="15" customHeight="1" s="63">
      <c r="A1021" s="85">
        <f>IF($B1021="","",ROW()-5)</f>
        <v/>
      </c>
      <c r="B1021" s="97" t="n"/>
      <c r="C1021" s="96">
        <f>IF($B1021="","",IFERROR(INDEX(DM_NHAN_SU!$C$6:$C$155,MATCH($B1021,DM_NHAN_SU!$B$6:$B$155,0)),"SAI MÃ NV"))</f>
        <v/>
      </c>
      <c r="D1021" s="86" t="n"/>
      <c r="E1021" s="103">
        <f>IF(OR($B1021="",$D1021=""),"",IF(COUNTIF(THAM_SO_CC!$F$10:$F$40,$D1021)&gt;0,"Lễ",IF(IF(THAM_SO_CC!$B$12="T7+CN",WEEKDAY($D1021,2)&gt;=6,WEEKDAY($D1021,2)=7),"Nghỉ tuần","Ngày thường")))</f>
        <v/>
      </c>
      <c r="F1021" s="107" t="n"/>
      <c r="G1021" s="107" t="n"/>
      <c r="H1021" s="107" t="n"/>
      <c r="I1021" s="81" t="n"/>
      <c r="J1021" s="108">
        <f>IF($B1021="","",IF($E1021="Ngày thường",N($G1021),0))</f>
        <v/>
      </c>
      <c r="K1021" s="108">
        <f>IF($B1021="","",IF($E1021="Nghỉ tuần",N($G1021),0))</f>
        <v/>
      </c>
      <c r="L1021" s="108">
        <f>IF($B1021="","",IF($E1021="Lễ",N($G1021),0))</f>
        <v/>
      </c>
      <c r="M1021" s="108">
        <f>IF($B1021="","",IF($E1021="Ngày thường",N($H1021),0))</f>
        <v/>
      </c>
      <c r="N1021" s="108">
        <f>IF($B1021="","",IF($E1021="Nghỉ tuần",N($H1021),0))</f>
        <v/>
      </c>
      <c r="O1021" s="108">
        <f>IF($B1021="","",IF($E1021="Lễ",N($H1021),0))</f>
        <v/>
      </c>
    </row>
    <row r="1022" ht="15" customHeight="1" s="63">
      <c r="A1022" s="85">
        <f>IF($B1022="","",ROW()-5)</f>
        <v/>
      </c>
      <c r="B1022" s="97" t="n"/>
      <c r="C1022" s="96">
        <f>IF($B1022="","",IFERROR(INDEX(DM_NHAN_SU!$C$6:$C$155,MATCH($B1022,DM_NHAN_SU!$B$6:$B$155,0)),"SAI MÃ NV"))</f>
        <v/>
      </c>
      <c r="D1022" s="86" t="n"/>
      <c r="E1022" s="103">
        <f>IF(OR($B1022="",$D1022=""),"",IF(COUNTIF(THAM_SO_CC!$F$10:$F$40,$D1022)&gt;0,"Lễ",IF(IF(THAM_SO_CC!$B$12="T7+CN",WEEKDAY($D1022,2)&gt;=6,WEEKDAY($D1022,2)=7),"Nghỉ tuần","Ngày thường")))</f>
        <v/>
      </c>
      <c r="F1022" s="107" t="n"/>
      <c r="G1022" s="107" t="n"/>
      <c r="H1022" s="107" t="n"/>
      <c r="I1022" s="81" t="n"/>
      <c r="J1022" s="108">
        <f>IF($B1022="","",IF($E1022="Ngày thường",N($G1022),0))</f>
        <v/>
      </c>
      <c r="K1022" s="108">
        <f>IF($B1022="","",IF($E1022="Nghỉ tuần",N($G1022),0))</f>
        <v/>
      </c>
      <c r="L1022" s="108">
        <f>IF($B1022="","",IF($E1022="Lễ",N($G1022),0))</f>
        <v/>
      </c>
      <c r="M1022" s="108">
        <f>IF($B1022="","",IF($E1022="Ngày thường",N($H1022),0))</f>
        <v/>
      </c>
      <c r="N1022" s="108">
        <f>IF($B1022="","",IF($E1022="Nghỉ tuần",N($H1022),0))</f>
        <v/>
      </c>
      <c r="O1022" s="108">
        <f>IF($B1022="","",IF($E1022="Lễ",N($H1022),0))</f>
        <v/>
      </c>
    </row>
    <row r="1023" ht="15" customHeight="1" s="63">
      <c r="A1023" s="85">
        <f>IF($B1023="","",ROW()-5)</f>
        <v/>
      </c>
      <c r="B1023" s="97" t="n"/>
      <c r="C1023" s="96">
        <f>IF($B1023="","",IFERROR(INDEX(DM_NHAN_SU!$C$6:$C$155,MATCH($B1023,DM_NHAN_SU!$B$6:$B$155,0)),"SAI MÃ NV"))</f>
        <v/>
      </c>
      <c r="D1023" s="86" t="n"/>
      <c r="E1023" s="103">
        <f>IF(OR($B1023="",$D1023=""),"",IF(COUNTIF(THAM_SO_CC!$F$10:$F$40,$D1023)&gt;0,"Lễ",IF(IF(THAM_SO_CC!$B$12="T7+CN",WEEKDAY($D1023,2)&gt;=6,WEEKDAY($D1023,2)=7),"Nghỉ tuần","Ngày thường")))</f>
        <v/>
      </c>
      <c r="F1023" s="107" t="n"/>
      <c r="G1023" s="107" t="n"/>
      <c r="H1023" s="107" t="n"/>
      <c r="I1023" s="81" t="n"/>
      <c r="J1023" s="108">
        <f>IF($B1023="","",IF($E1023="Ngày thường",N($G1023),0))</f>
        <v/>
      </c>
      <c r="K1023" s="108">
        <f>IF($B1023="","",IF($E1023="Nghỉ tuần",N($G1023),0))</f>
        <v/>
      </c>
      <c r="L1023" s="108">
        <f>IF($B1023="","",IF($E1023="Lễ",N($G1023),0))</f>
        <v/>
      </c>
      <c r="M1023" s="108">
        <f>IF($B1023="","",IF($E1023="Ngày thường",N($H1023),0))</f>
        <v/>
      </c>
      <c r="N1023" s="108">
        <f>IF($B1023="","",IF($E1023="Nghỉ tuần",N($H1023),0))</f>
        <v/>
      </c>
      <c r="O1023" s="108">
        <f>IF($B1023="","",IF($E1023="Lễ",N($H1023),0))</f>
        <v/>
      </c>
    </row>
    <row r="1024" ht="15" customHeight="1" s="63">
      <c r="A1024" s="85">
        <f>IF($B1024="","",ROW()-5)</f>
        <v/>
      </c>
      <c r="B1024" s="97" t="n"/>
      <c r="C1024" s="96">
        <f>IF($B1024="","",IFERROR(INDEX(DM_NHAN_SU!$C$6:$C$155,MATCH($B1024,DM_NHAN_SU!$B$6:$B$155,0)),"SAI MÃ NV"))</f>
        <v/>
      </c>
      <c r="D1024" s="86" t="n"/>
      <c r="E1024" s="103">
        <f>IF(OR($B1024="",$D1024=""),"",IF(COUNTIF(THAM_SO_CC!$F$10:$F$40,$D1024)&gt;0,"Lễ",IF(IF(THAM_SO_CC!$B$12="T7+CN",WEEKDAY($D1024,2)&gt;=6,WEEKDAY($D1024,2)=7),"Nghỉ tuần","Ngày thường")))</f>
        <v/>
      </c>
      <c r="F1024" s="107" t="n"/>
      <c r="G1024" s="107" t="n"/>
      <c r="H1024" s="107" t="n"/>
      <c r="I1024" s="81" t="n"/>
      <c r="J1024" s="108">
        <f>IF($B1024="","",IF($E1024="Ngày thường",N($G1024),0))</f>
        <v/>
      </c>
      <c r="K1024" s="108">
        <f>IF($B1024="","",IF($E1024="Nghỉ tuần",N($G1024),0))</f>
        <v/>
      </c>
      <c r="L1024" s="108">
        <f>IF($B1024="","",IF($E1024="Lễ",N($G1024),0))</f>
        <v/>
      </c>
      <c r="M1024" s="108">
        <f>IF($B1024="","",IF($E1024="Ngày thường",N($H1024),0))</f>
        <v/>
      </c>
      <c r="N1024" s="108">
        <f>IF($B1024="","",IF($E1024="Nghỉ tuần",N($H1024),0))</f>
        <v/>
      </c>
      <c r="O1024" s="108">
        <f>IF($B1024="","",IF($E1024="Lễ",N($H1024),0))</f>
        <v/>
      </c>
    </row>
    <row r="1025" ht="15" customHeight="1" s="63">
      <c r="A1025" s="85">
        <f>IF($B1025="","",ROW()-5)</f>
        <v/>
      </c>
      <c r="B1025" s="97" t="n"/>
      <c r="C1025" s="96">
        <f>IF($B1025="","",IFERROR(INDEX(DM_NHAN_SU!$C$6:$C$155,MATCH($B1025,DM_NHAN_SU!$B$6:$B$155,0)),"SAI MÃ NV"))</f>
        <v/>
      </c>
      <c r="D1025" s="86" t="n"/>
      <c r="E1025" s="103">
        <f>IF(OR($B1025="",$D1025=""),"",IF(COUNTIF(THAM_SO_CC!$F$10:$F$40,$D1025)&gt;0,"Lễ",IF(IF(THAM_SO_CC!$B$12="T7+CN",WEEKDAY($D1025,2)&gt;=6,WEEKDAY($D1025,2)=7),"Nghỉ tuần","Ngày thường")))</f>
        <v/>
      </c>
      <c r="F1025" s="107" t="n"/>
      <c r="G1025" s="107" t="n"/>
      <c r="H1025" s="107" t="n"/>
      <c r="I1025" s="81" t="n"/>
      <c r="J1025" s="108">
        <f>IF($B1025="","",IF($E1025="Ngày thường",N($G1025),0))</f>
        <v/>
      </c>
      <c r="K1025" s="108">
        <f>IF($B1025="","",IF($E1025="Nghỉ tuần",N($G1025),0))</f>
        <v/>
      </c>
      <c r="L1025" s="108">
        <f>IF($B1025="","",IF($E1025="Lễ",N($G1025),0))</f>
        <v/>
      </c>
      <c r="M1025" s="108">
        <f>IF($B1025="","",IF($E1025="Ngày thường",N($H1025),0))</f>
        <v/>
      </c>
      <c r="N1025" s="108">
        <f>IF($B1025="","",IF($E1025="Nghỉ tuần",N($H1025),0))</f>
        <v/>
      </c>
      <c r="O1025" s="108">
        <f>IF($B1025="","",IF($E1025="Lễ",N($H1025),0))</f>
        <v/>
      </c>
    </row>
    <row r="1026" ht="15" customHeight="1" s="63">
      <c r="A1026" s="85">
        <f>IF($B1026="","",ROW()-5)</f>
        <v/>
      </c>
      <c r="B1026" s="97" t="n"/>
      <c r="C1026" s="96">
        <f>IF($B1026="","",IFERROR(INDEX(DM_NHAN_SU!$C$6:$C$155,MATCH($B1026,DM_NHAN_SU!$B$6:$B$155,0)),"SAI MÃ NV"))</f>
        <v/>
      </c>
      <c r="D1026" s="86" t="n"/>
      <c r="E1026" s="103">
        <f>IF(OR($B1026="",$D1026=""),"",IF(COUNTIF(THAM_SO_CC!$F$10:$F$40,$D1026)&gt;0,"Lễ",IF(IF(THAM_SO_CC!$B$12="T7+CN",WEEKDAY($D1026,2)&gt;=6,WEEKDAY($D1026,2)=7),"Nghỉ tuần","Ngày thường")))</f>
        <v/>
      </c>
      <c r="F1026" s="107" t="n"/>
      <c r="G1026" s="107" t="n"/>
      <c r="H1026" s="107" t="n"/>
      <c r="I1026" s="81" t="n"/>
      <c r="J1026" s="108">
        <f>IF($B1026="","",IF($E1026="Ngày thường",N($G1026),0))</f>
        <v/>
      </c>
      <c r="K1026" s="108">
        <f>IF($B1026="","",IF($E1026="Nghỉ tuần",N($G1026),0))</f>
        <v/>
      </c>
      <c r="L1026" s="108">
        <f>IF($B1026="","",IF($E1026="Lễ",N($G1026),0))</f>
        <v/>
      </c>
      <c r="M1026" s="108">
        <f>IF($B1026="","",IF($E1026="Ngày thường",N($H1026),0))</f>
        <v/>
      </c>
      <c r="N1026" s="108">
        <f>IF($B1026="","",IF($E1026="Nghỉ tuần",N($H1026),0))</f>
        <v/>
      </c>
      <c r="O1026" s="108">
        <f>IF($B1026="","",IF($E1026="Lễ",N($H1026),0))</f>
        <v/>
      </c>
    </row>
    <row r="1027" ht="15" customHeight="1" s="63">
      <c r="A1027" s="85">
        <f>IF($B1027="","",ROW()-5)</f>
        <v/>
      </c>
      <c r="B1027" s="97" t="n"/>
      <c r="C1027" s="96">
        <f>IF($B1027="","",IFERROR(INDEX(DM_NHAN_SU!$C$6:$C$155,MATCH($B1027,DM_NHAN_SU!$B$6:$B$155,0)),"SAI MÃ NV"))</f>
        <v/>
      </c>
      <c r="D1027" s="86" t="n"/>
      <c r="E1027" s="103">
        <f>IF(OR($B1027="",$D1027=""),"",IF(COUNTIF(THAM_SO_CC!$F$10:$F$40,$D1027)&gt;0,"Lễ",IF(IF(THAM_SO_CC!$B$12="T7+CN",WEEKDAY($D1027,2)&gt;=6,WEEKDAY($D1027,2)=7),"Nghỉ tuần","Ngày thường")))</f>
        <v/>
      </c>
      <c r="F1027" s="107" t="n"/>
      <c r="G1027" s="107" t="n"/>
      <c r="H1027" s="107" t="n"/>
      <c r="I1027" s="81" t="n"/>
      <c r="J1027" s="108">
        <f>IF($B1027="","",IF($E1027="Ngày thường",N($G1027),0))</f>
        <v/>
      </c>
      <c r="K1027" s="108">
        <f>IF($B1027="","",IF($E1027="Nghỉ tuần",N($G1027),0))</f>
        <v/>
      </c>
      <c r="L1027" s="108">
        <f>IF($B1027="","",IF($E1027="Lễ",N($G1027),0))</f>
        <v/>
      </c>
      <c r="M1027" s="108">
        <f>IF($B1027="","",IF($E1027="Ngày thường",N($H1027),0))</f>
        <v/>
      </c>
      <c r="N1027" s="108">
        <f>IF($B1027="","",IF($E1027="Nghỉ tuần",N($H1027),0))</f>
        <v/>
      </c>
      <c r="O1027" s="108">
        <f>IF($B1027="","",IF($E1027="Lễ",N($H1027),0))</f>
        <v/>
      </c>
    </row>
    <row r="1028" ht="15" customHeight="1" s="63">
      <c r="A1028" s="85">
        <f>IF($B1028="","",ROW()-5)</f>
        <v/>
      </c>
      <c r="B1028" s="97" t="n"/>
      <c r="C1028" s="96">
        <f>IF($B1028="","",IFERROR(INDEX(DM_NHAN_SU!$C$6:$C$155,MATCH($B1028,DM_NHAN_SU!$B$6:$B$155,0)),"SAI MÃ NV"))</f>
        <v/>
      </c>
      <c r="D1028" s="86" t="n"/>
      <c r="E1028" s="103">
        <f>IF(OR($B1028="",$D1028=""),"",IF(COUNTIF(THAM_SO_CC!$F$10:$F$40,$D1028)&gt;0,"Lễ",IF(IF(THAM_SO_CC!$B$12="T7+CN",WEEKDAY($D1028,2)&gt;=6,WEEKDAY($D1028,2)=7),"Nghỉ tuần","Ngày thường")))</f>
        <v/>
      </c>
      <c r="F1028" s="107" t="n"/>
      <c r="G1028" s="107" t="n"/>
      <c r="H1028" s="107" t="n"/>
      <c r="I1028" s="81" t="n"/>
      <c r="J1028" s="108">
        <f>IF($B1028="","",IF($E1028="Ngày thường",N($G1028),0))</f>
        <v/>
      </c>
      <c r="K1028" s="108">
        <f>IF($B1028="","",IF($E1028="Nghỉ tuần",N($G1028),0))</f>
        <v/>
      </c>
      <c r="L1028" s="108">
        <f>IF($B1028="","",IF($E1028="Lễ",N($G1028),0))</f>
        <v/>
      </c>
      <c r="M1028" s="108">
        <f>IF($B1028="","",IF($E1028="Ngày thường",N($H1028),0))</f>
        <v/>
      </c>
      <c r="N1028" s="108">
        <f>IF($B1028="","",IF($E1028="Nghỉ tuần",N($H1028),0))</f>
        <v/>
      </c>
      <c r="O1028" s="108">
        <f>IF($B1028="","",IF($E1028="Lễ",N($H1028),0))</f>
        <v/>
      </c>
    </row>
    <row r="1029" ht="15" customHeight="1" s="63">
      <c r="A1029" s="85">
        <f>IF($B1029="","",ROW()-5)</f>
        <v/>
      </c>
      <c r="B1029" s="97" t="n"/>
      <c r="C1029" s="96">
        <f>IF($B1029="","",IFERROR(INDEX(DM_NHAN_SU!$C$6:$C$155,MATCH($B1029,DM_NHAN_SU!$B$6:$B$155,0)),"SAI MÃ NV"))</f>
        <v/>
      </c>
      <c r="D1029" s="86" t="n"/>
      <c r="E1029" s="103">
        <f>IF(OR($B1029="",$D1029=""),"",IF(COUNTIF(THAM_SO_CC!$F$10:$F$40,$D1029)&gt;0,"Lễ",IF(IF(THAM_SO_CC!$B$12="T7+CN",WEEKDAY($D1029,2)&gt;=6,WEEKDAY($D1029,2)=7),"Nghỉ tuần","Ngày thường")))</f>
        <v/>
      </c>
      <c r="F1029" s="107" t="n"/>
      <c r="G1029" s="107" t="n"/>
      <c r="H1029" s="107" t="n"/>
      <c r="I1029" s="81" t="n"/>
      <c r="J1029" s="108">
        <f>IF($B1029="","",IF($E1029="Ngày thường",N($G1029),0))</f>
        <v/>
      </c>
      <c r="K1029" s="108">
        <f>IF($B1029="","",IF($E1029="Nghỉ tuần",N($G1029),0))</f>
        <v/>
      </c>
      <c r="L1029" s="108">
        <f>IF($B1029="","",IF($E1029="Lễ",N($G1029),0))</f>
        <v/>
      </c>
      <c r="M1029" s="108">
        <f>IF($B1029="","",IF($E1029="Ngày thường",N($H1029),0))</f>
        <v/>
      </c>
      <c r="N1029" s="108">
        <f>IF($B1029="","",IF($E1029="Nghỉ tuần",N($H1029),0))</f>
        <v/>
      </c>
      <c r="O1029" s="108">
        <f>IF($B1029="","",IF($E1029="Lễ",N($H1029),0))</f>
        <v/>
      </c>
    </row>
    <row r="1030" ht="15" customHeight="1" s="63">
      <c r="A1030" s="85">
        <f>IF($B1030="","",ROW()-5)</f>
        <v/>
      </c>
      <c r="B1030" s="97" t="n"/>
      <c r="C1030" s="96">
        <f>IF($B1030="","",IFERROR(INDEX(DM_NHAN_SU!$C$6:$C$155,MATCH($B1030,DM_NHAN_SU!$B$6:$B$155,0)),"SAI MÃ NV"))</f>
        <v/>
      </c>
      <c r="D1030" s="86" t="n"/>
      <c r="E1030" s="103">
        <f>IF(OR($B1030="",$D1030=""),"",IF(COUNTIF(THAM_SO_CC!$F$10:$F$40,$D1030)&gt;0,"Lễ",IF(IF(THAM_SO_CC!$B$12="T7+CN",WEEKDAY($D1030,2)&gt;=6,WEEKDAY($D1030,2)=7),"Nghỉ tuần","Ngày thường")))</f>
        <v/>
      </c>
      <c r="F1030" s="107" t="n"/>
      <c r="G1030" s="107" t="n"/>
      <c r="H1030" s="107" t="n"/>
      <c r="I1030" s="81" t="n"/>
      <c r="J1030" s="108">
        <f>IF($B1030="","",IF($E1030="Ngày thường",N($G1030),0))</f>
        <v/>
      </c>
      <c r="K1030" s="108">
        <f>IF($B1030="","",IF($E1030="Nghỉ tuần",N($G1030),0))</f>
        <v/>
      </c>
      <c r="L1030" s="108">
        <f>IF($B1030="","",IF($E1030="Lễ",N($G1030),0))</f>
        <v/>
      </c>
      <c r="M1030" s="108">
        <f>IF($B1030="","",IF($E1030="Ngày thường",N($H1030),0))</f>
        <v/>
      </c>
      <c r="N1030" s="108">
        <f>IF($B1030="","",IF($E1030="Nghỉ tuần",N($H1030),0))</f>
        <v/>
      </c>
      <c r="O1030" s="108">
        <f>IF($B1030="","",IF($E1030="Lễ",N($H1030),0))</f>
        <v/>
      </c>
    </row>
    <row r="1031" ht="15" customHeight="1" s="63">
      <c r="A1031" s="85">
        <f>IF($B1031="","",ROW()-5)</f>
        <v/>
      </c>
      <c r="B1031" s="97" t="n"/>
      <c r="C1031" s="96">
        <f>IF($B1031="","",IFERROR(INDEX(DM_NHAN_SU!$C$6:$C$155,MATCH($B1031,DM_NHAN_SU!$B$6:$B$155,0)),"SAI MÃ NV"))</f>
        <v/>
      </c>
      <c r="D1031" s="86" t="n"/>
      <c r="E1031" s="103">
        <f>IF(OR($B1031="",$D1031=""),"",IF(COUNTIF(THAM_SO_CC!$F$10:$F$40,$D1031)&gt;0,"Lễ",IF(IF(THAM_SO_CC!$B$12="T7+CN",WEEKDAY($D1031,2)&gt;=6,WEEKDAY($D1031,2)=7),"Nghỉ tuần","Ngày thường")))</f>
        <v/>
      </c>
      <c r="F1031" s="107" t="n"/>
      <c r="G1031" s="107" t="n"/>
      <c r="H1031" s="107" t="n"/>
      <c r="I1031" s="81" t="n"/>
      <c r="J1031" s="108">
        <f>IF($B1031="","",IF($E1031="Ngày thường",N($G1031),0))</f>
        <v/>
      </c>
      <c r="K1031" s="108">
        <f>IF($B1031="","",IF($E1031="Nghỉ tuần",N($G1031),0))</f>
        <v/>
      </c>
      <c r="L1031" s="108">
        <f>IF($B1031="","",IF($E1031="Lễ",N($G1031),0))</f>
        <v/>
      </c>
      <c r="M1031" s="108">
        <f>IF($B1031="","",IF($E1031="Ngày thường",N($H1031),0))</f>
        <v/>
      </c>
      <c r="N1031" s="108">
        <f>IF($B1031="","",IF($E1031="Nghỉ tuần",N($H1031),0))</f>
        <v/>
      </c>
      <c r="O1031" s="108">
        <f>IF($B1031="","",IF($E1031="Lễ",N($H1031),0))</f>
        <v/>
      </c>
    </row>
    <row r="1032" ht="15" customHeight="1" s="63">
      <c r="A1032" s="85">
        <f>IF($B1032="","",ROW()-5)</f>
        <v/>
      </c>
      <c r="B1032" s="97" t="n"/>
      <c r="C1032" s="96">
        <f>IF($B1032="","",IFERROR(INDEX(DM_NHAN_SU!$C$6:$C$155,MATCH($B1032,DM_NHAN_SU!$B$6:$B$155,0)),"SAI MÃ NV"))</f>
        <v/>
      </c>
      <c r="D1032" s="86" t="n"/>
      <c r="E1032" s="103">
        <f>IF(OR($B1032="",$D1032=""),"",IF(COUNTIF(THAM_SO_CC!$F$10:$F$40,$D1032)&gt;0,"Lễ",IF(IF(THAM_SO_CC!$B$12="T7+CN",WEEKDAY($D1032,2)&gt;=6,WEEKDAY($D1032,2)=7),"Nghỉ tuần","Ngày thường")))</f>
        <v/>
      </c>
      <c r="F1032" s="107" t="n"/>
      <c r="G1032" s="107" t="n"/>
      <c r="H1032" s="107" t="n"/>
      <c r="I1032" s="81" t="n"/>
      <c r="J1032" s="108">
        <f>IF($B1032="","",IF($E1032="Ngày thường",N($G1032),0))</f>
        <v/>
      </c>
      <c r="K1032" s="108">
        <f>IF($B1032="","",IF($E1032="Nghỉ tuần",N($G1032),0))</f>
        <v/>
      </c>
      <c r="L1032" s="108">
        <f>IF($B1032="","",IF($E1032="Lễ",N($G1032),0))</f>
        <v/>
      </c>
      <c r="M1032" s="108">
        <f>IF($B1032="","",IF($E1032="Ngày thường",N($H1032),0))</f>
        <v/>
      </c>
      <c r="N1032" s="108">
        <f>IF($B1032="","",IF($E1032="Nghỉ tuần",N($H1032),0))</f>
        <v/>
      </c>
      <c r="O1032" s="108">
        <f>IF($B1032="","",IF($E1032="Lễ",N($H1032),0))</f>
        <v/>
      </c>
    </row>
    <row r="1033" ht="15" customHeight="1" s="63">
      <c r="A1033" s="85">
        <f>IF($B1033="","",ROW()-5)</f>
        <v/>
      </c>
      <c r="B1033" s="97" t="n"/>
      <c r="C1033" s="96">
        <f>IF($B1033="","",IFERROR(INDEX(DM_NHAN_SU!$C$6:$C$155,MATCH($B1033,DM_NHAN_SU!$B$6:$B$155,0)),"SAI MÃ NV"))</f>
        <v/>
      </c>
      <c r="D1033" s="86" t="n"/>
      <c r="E1033" s="103">
        <f>IF(OR($B1033="",$D1033=""),"",IF(COUNTIF(THAM_SO_CC!$F$10:$F$40,$D1033)&gt;0,"Lễ",IF(IF(THAM_SO_CC!$B$12="T7+CN",WEEKDAY($D1033,2)&gt;=6,WEEKDAY($D1033,2)=7),"Nghỉ tuần","Ngày thường")))</f>
        <v/>
      </c>
      <c r="F1033" s="107" t="n"/>
      <c r="G1033" s="107" t="n"/>
      <c r="H1033" s="107" t="n"/>
      <c r="I1033" s="81" t="n"/>
      <c r="J1033" s="108">
        <f>IF($B1033="","",IF($E1033="Ngày thường",N($G1033),0))</f>
        <v/>
      </c>
      <c r="K1033" s="108">
        <f>IF($B1033="","",IF($E1033="Nghỉ tuần",N($G1033),0))</f>
        <v/>
      </c>
      <c r="L1033" s="108">
        <f>IF($B1033="","",IF($E1033="Lễ",N($G1033),0))</f>
        <v/>
      </c>
      <c r="M1033" s="108">
        <f>IF($B1033="","",IF($E1033="Ngày thường",N($H1033),0))</f>
        <v/>
      </c>
      <c r="N1033" s="108">
        <f>IF($B1033="","",IF($E1033="Nghỉ tuần",N($H1033),0))</f>
        <v/>
      </c>
      <c r="O1033" s="108">
        <f>IF($B1033="","",IF($E1033="Lễ",N($H1033),0))</f>
        <v/>
      </c>
    </row>
    <row r="1034" ht="15" customHeight="1" s="63">
      <c r="A1034" s="85">
        <f>IF($B1034="","",ROW()-5)</f>
        <v/>
      </c>
      <c r="B1034" s="97" t="n"/>
      <c r="C1034" s="96">
        <f>IF($B1034="","",IFERROR(INDEX(DM_NHAN_SU!$C$6:$C$155,MATCH($B1034,DM_NHAN_SU!$B$6:$B$155,0)),"SAI MÃ NV"))</f>
        <v/>
      </c>
      <c r="D1034" s="86" t="n"/>
      <c r="E1034" s="103">
        <f>IF(OR($B1034="",$D1034=""),"",IF(COUNTIF(THAM_SO_CC!$F$10:$F$40,$D1034)&gt;0,"Lễ",IF(IF(THAM_SO_CC!$B$12="T7+CN",WEEKDAY($D1034,2)&gt;=6,WEEKDAY($D1034,2)=7),"Nghỉ tuần","Ngày thường")))</f>
        <v/>
      </c>
      <c r="F1034" s="107" t="n"/>
      <c r="G1034" s="107" t="n"/>
      <c r="H1034" s="107" t="n"/>
      <c r="I1034" s="81" t="n"/>
      <c r="J1034" s="108">
        <f>IF($B1034="","",IF($E1034="Ngày thường",N($G1034),0))</f>
        <v/>
      </c>
      <c r="K1034" s="108">
        <f>IF($B1034="","",IF($E1034="Nghỉ tuần",N($G1034),0))</f>
        <v/>
      </c>
      <c r="L1034" s="108">
        <f>IF($B1034="","",IF($E1034="Lễ",N($G1034),0))</f>
        <v/>
      </c>
      <c r="M1034" s="108">
        <f>IF($B1034="","",IF($E1034="Ngày thường",N($H1034),0))</f>
        <v/>
      </c>
      <c r="N1034" s="108">
        <f>IF($B1034="","",IF($E1034="Nghỉ tuần",N($H1034),0))</f>
        <v/>
      </c>
      <c r="O1034" s="108">
        <f>IF($B1034="","",IF($E1034="Lễ",N($H1034),0))</f>
        <v/>
      </c>
    </row>
    <row r="1035" ht="15" customHeight="1" s="63">
      <c r="A1035" s="85">
        <f>IF($B1035="","",ROW()-5)</f>
        <v/>
      </c>
      <c r="B1035" s="97" t="n"/>
      <c r="C1035" s="96">
        <f>IF($B1035="","",IFERROR(INDEX(DM_NHAN_SU!$C$6:$C$155,MATCH($B1035,DM_NHAN_SU!$B$6:$B$155,0)),"SAI MÃ NV"))</f>
        <v/>
      </c>
      <c r="D1035" s="86" t="n"/>
      <c r="E1035" s="103">
        <f>IF(OR($B1035="",$D1035=""),"",IF(COUNTIF(THAM_SO_CC!$F$10:$F$40,$D1035)&gt;0,"Lễ",IF(IF(THAM_SO_CC!$B$12="T7+CN",WEEKDAY($D1035,2)&gt;=6,WEEKDAY($D1035,2)=7),"Nghỉ tuần","Ngày thường")))</f>
        <v/>
      </c>
      <c r="F1035" s="107" t="n"/>
      <c r="G1035" s="107" t="n"/>
      <c r="H1035" s="107" t="n"/>
      <c r="I1035" s="81" t="n"/>
      <c r="J1035" s="108">
        <f>IF($B1035="","",IF($E1035="Ngày thường",N($G1035),0))</f>
        <v/>
      </c>
      <c r="K1035" s="108">
        <f>IF($B1035="","",IF($E1035="Nghỉ tuần",N($G1035),0))</f>
        <v/>
      </c>
      <c r="L1035" s="108">
        <f>IF($B1035="","",IF($E1035="Lễ",N($G1035),0))</f>
        <v/>
      </c>
      <c r="M1035" s="108">
        <f>IF($B1035="","",IF($E1035="Ngày thường",N($H1035),0))</f>
        <v/>
      </c>
      <c r="N1035" s="108">
        <f>IF($B1035="","",IF($E1035="Nghỉ tuần",N($H1035),0))</f>
        <v/>
      </c>
      <c r="O1035" s="108">
        <f>IF($B1035="","",IF($E1035="Lễ",N($H1035),0))</f>
        <v/>
      </c>
    </row>
    <row r="1036" ht="15" customHeight="1" s="63">
      <c r="A1036" s="85">
        <f>IF($B1036="","",ROW()-5)</f>
        <v/>
      </c>
      <c r="B1036" s="97" t="n"/>
      <c r="C1036" s="96">
        <f>IF($B1036="","",IFERROR(INDEX(DM_NHAN_SU!$C$6:$C$155,MATCH($B1036,DM_NHAN_SU!$B$6:$B$155,0)),"SAI MÃ NV"))</f>
        <v/>
      </c>
      <c r="D1036" s="86" t="n"/>
      <c r="E1036" s="103">
        <f>IF(OR($B1036="",$D1036=""),"",IF(COUNTIF(THAM_SO_CC!$F$10:$F$40,$D1036)&gt;0,"Lễ",IF(IF(THAM_SO_CC!$B$12="T7+CN",WEEKDAY($D1036,2)&gt;=6,WEEKDAY($D1036,2)=7),"Nghỉ tuần","Ngày thường")))</f>
        <v/>
      </c>
      <c r="F1036" s="107" t="n"/>
      <c r="G1036" s="107" t="n"/>
      <c r="H1036" s="107" t="n"/>
      <c r="I1036" s="81" t="n"/>
      <c r="J1036" s="108">
        <f>IF($B1036="","",IF($E1036="Ngày thường",N($G1036),0))</f>
        <v/>
      </c>
      <c r="K1036" s="108">
        <f>IF($B1036="","",IF($E1036="Nghỉ tuần",N($G1036),0))</f>
        <v/>
      </c>
      <c r="L1036" s="108">
        <f>IF($B1036="","",IF($E1036="Lễ",N($G1036),0))</f>
        <v/>
      </c>
      <c r="M1036" s="108">
        <f>IF($B1036="","",IF($E1036="Ngày thường",N($H1036),0))</f>
        <v/>
      </c>
      <c r="N1036" s="108">
        <f>IF($B1036="","",IF($E1036="Nghỉ tuần",N($H1036),0))</f>
        <v/>
      </c>
      <c r="O1036" s="108">
        <f>IF($B1036="","",IF($E1036="Lễ",N($H1036),0))</f>
        <v/>
      </c>
    </row>
    <row r="1037" ht="15" customHeight="1" s="63">
      <c r="A1037" s="85">
        <f>IF($B1037="","",ROW()-5)</f>
        <v/>
      </c>
      <c r="B1037" s="97" t="n"/>
      <c r="C1037" s="96">
        <f>IF($B1037="","",IFERROR(INDEX(DM_NHAN_SU!$C$6:$C$155,MATCH($B1037,DM_NHAN_SU!$B$6:$B$155,0)),"SAI MÃ NV"))</f>
        <v/>
      </c>
      <c r="D1037" s="86" t="n"/>
      <c r="E1037" s="103">
        <f>IF(OR($B1037="",$D1037=""),"",IF(COUNTIF(THAM_SO_CC!$F$10:$F$40,$D1037)&gt;0,"Lễ",IF(IF(THAM_SO_CC!$B$12="T7+CN",WEEKDAY($D1037,2)&gt;=6,WEEKDAY($D1037,2)=7),"Nghỉ tuần","Ngày thường")))</f>
        <v/>
      </c>
      <c r="F1037" s="107" t="n"/>
      <c r="G1037" s="107" t="n"/>
      <c r="H1037" s="107" t="n"/>
      <c r="I1037" s="81" t="n"/>
      <c r="J1037" s="108">
        <f>IF($B1037="","",IF($E1037="Ngày thường",N($G1037),0))</f>
        <v/>
      </c>
      <c r="K1037" s="108">
        <f>IF($B1037="","",IF($E1037="Nghỉ tuần",N($G1037),0))</f>
        <v/>
      </c>
      <c r="L1037" s="108">
        <f>IF($B1037="","",IF($E1037="Lễ",N($G1037),0))</f>
        <v/>
      </c>
      <c r="M1037" s="108">
        <f>IF($B1037="","",IF($E1037="Ngày thường",N($H1037),0))</f>
        <v/>
      </c>
      <c r="N1037" s="108">
        <f>IF($B1037="","",IF($E1037="Nghỉ tuần",N($H1037),0))</f>
        <v/>
      </c>
      <c r="O1037" s="108">
        <f>IF($B1037="","",IF($E1037="Lễ",N($H1037),0))</f>
        <v/>
      </c>
    </row>
    <row r="1038" ht="15" customHeight="1" s="63">
      <c r="A1038" s="85">
        <f>IF($B1038="","",ROW()-5)</f>
        <v/>
      </c>
      <c r="B1038" s="97" t="n"/>
      <c r="C1038" s="96">
        <f>IF($B1038="","",IFERROR(INDEX(DM_NHAN_SU!$C$6:$C$155,MATCH($B1038,DM_NHAN_SU!$B$6:$B$155,0)),"SAI MÃ NV"))</f>
        <v/>
      </c>
      <c r="D1038" s="86" t="n"/>
      <c r="E1038" s="103">
        <f>IF(OR($B1038="",$D1038=""),"",IF(COUNTIF(THAM_SO_CC!$F$10:$F$40,$D1038)&gt;0,"Lễ",IF(IF(THAM_SO_CC!$B$12="T7+CN",WEEKDAY($D1038,2)&gt;=6,WEEKDAY($D1038,2)=7),"Nghỉ tuần","Ngày thường")))</f>
        <v/>
      </c>
      <c r="F1038" s="107" t="n"/>
      <c r="G1038" s="107" t="n"/>
      <c r="H1038" s="107" t="n"/>
      <c r="I1038" s="81" t="n"/>
      <c r="J1038" s="108">
        <f>IF($B1038="","",IF($E1038="Ngày thường",N($G1038),0))</f>
        <v/>
      </c>
      <c r="K1038" s="108">
        <f>IF($B1038="","",IF($E1038="Nghỉ tuần",N($G1038),0))</f>
        <v/>
      </c>
      <c r="L1038" s="108">
        <f>IF($B1038="","",IF($E1038="Lễ",N($G1038),0))</f>
        <v/>
      </c>
      <c r="M1038" s="108">
        <f>IF($B1038="","",IF($E1038="Ngày thường",N($H1038),0))</f>
        <v/>
      </c>
      <c r="N1038" s="108">
        <f>IF($B1038="","",IF($E1038="Nghỉ tuần",N($H1038),0))</f>
        <v/>
      </c>
      <c r="O1038" s="108">
        <f>IF($B1038="","",IF($E1038="Lễ",N($H1038),0))</f>
        <v/>
      </c>
    </row>
    <row r="1039" ht="15" customHeight="1" s="63">
      <c r="A1039" s="85">
        <f>IF($B1039="","",ROW()-5)</f>
        <v/>
      </c>
      <c r="B1039" s="97" t="n"/>
      <c r="C1039" s="96">
        <f>IF($B1039="","",IFERROR(INDEX(DM_NHAN_SU!$C$6:$C$155,MATCH($B1039,DM_NHAN_SU!$B$6:$B$155,0)),"SAI MÃ NV"))</f>
        <v/>
      </c>
      <c r="D1039" s="86" t="n"/>
      <c r="E1039" s="103">
        <f>IF(OR($B1039="",$D1039=""),"",IF(COUNTIF(THAM_SO_CC!$F$10:$F$40,$D1039)&gt;0,"Lễ",IF(IF(THAM_SO_CC!$B$12="T7+CN",WEEKDAY($D1039,2)&gt;=6,WEEKDAY($D1039,2)=7),"Nghỉ tuần","Ngày thường")))</f>
        <v/>
      </c>
      <c r="F1039" s="107" t="n"/>
      <c r="G1039" s="107" t="n"/>
      <c r="H1039" s="107" t="n"/>
      <c r="I1039" s="81" t="n"/>
      <c r="J1039" s="108">
        <f>IF($B1039="","",IF($E1039="Ngày thường",N($G1039),0))</f>
        <v/>
      </c>
      <c r="K1039" s="108">
        <f>IF($B1039="","",IF($E1039="Nghỉ tuần",N($G1039),0))</f>
        <v/>
      </c>
      <c r="L1039" s="108">
        <f>IF($B1039="","",IF($E1039="Lễ",N($G1039),0))</f>
        <v/>
      </c>
      <c r="M1039" s="108">
        <f>IF($B1039="","",IF($E1039="Ngày thường",N($H1039),0))</f>
        <v/>
      </c>
      <c r="N1039" s="108">
        <f>IF($B1039="","",IF($E1039="Nghỉ tuần",N($H1039),0))</f>
        <v/>
      </c>
      <c r="O1039" s="108">
        <f>IF($B1039="","",IF($E1039="Lễ",N($H1039),0))</f>
        <v/>
      </c>
    </row>
    <row r="1040" ht="15" customHeight="1" s="63">
      <c r="A1040" s="85">
        <f>IF($B1040="","",ROW()-5)</f>
        <v/>
      </c>
      <c r="B1040" s="97" t="n"/>
      <c r="C1040" s="96">
        <f>IF($B1040="","",IFERROR(INDEX(DM_NHAN_SU!$C$6:$C$155,MATCH($B1040,DM_NHAN_SU!$B$6:$B$155,0)),"SAI MÃ NV"))</f>
        <v/>
      </c>
      <c r="D1040" s="86" t="n"/>
      <c r="E1040" s="103">
        <f>IF(OR($B1040="",$D1040=""),"",IF(COUNTIF(THAM_SO_CC!$F$10:$F$40,$D1040)&gt;0,"Lễ",IF(IF(THAM_SO_CC!$B$12="T7+CN",WEEKDAY($D1040,2)&gt;=6,WEEKDAY($D1040,2)=7),"Nghỉ tuần","Ngày thường")))</f>
        <v/>
      </c>
      <c r="F1040" s="107" t="n"/>
      <c r="G1040" s="107" t="n"/>
      <c r="H1040" s="107" t="n"/>
      <c r="I1040" s="81" t="n"/>
      <c r="J1040" s="108">
        <f>IF($B1040="","",IF($E1040="Ngày thường",N($G1040),0))</f>
        <v/>
      </c>
      <c r="K1040" s="108">
        <f>IF($B1040="","",IF($E1040="Nghỉ tuần",N($G1040),0))</f>
        <v/>
      </c>
      <c r="L1040" s="108">
        <f>IF($B1040="","",IF($E1040="Lễ",N($G1040),0))</f>
        <v/>
      </c>
      <c r="M1040" s="108">
        <f>IF($B1040="","",IF($E1040="Ngày thường",N($H1040),0))</f>
        <v/>
      </c>
      <c r="N1040" s="108">
        <f>IF($B1040="","",IF($E1040="Nghỉ tuần",N($H1040),0))</f>
        <v/>
      </c>
      <c r="O1040" s="108">
        <f>IF($B1040="","",IF($E1040="Lễ",N($H1040),0))</f>
        <v/>
      </c>
    </row>
    <row r="1041" ht="15" customHeight="1" s="63">
      <c r="A1041" s="85">
        <f>IF($B1041="","",ROW()-5)</f>
        <v/>
      </c>
      <c r="B1041" s="97" t="n"/>
      <c r="C1041" s="96">
        <f>IF($B1041="","",IFERROR(INDEX(DM_NHAN_SU!$C$6:$C$155,MATCH($B1041,DM_NHAN_SU!$B$6:$B$155,0)),"SAI MÃ NV"))</f>
        <v/>
      </c>
      <c r="D1041" s="86" t="n"/>
      <c r="E1041" s="103">
        <f>IF(OR($B1041="",$D1041=""),"",IF(COUNTIF(THAM_SO_CC!$F$10:$F$40,$D1041)&gt;0,"Lễ",IF(IF(THAM_SO_CC!$B$12="T7+CN",WEEKDAY($D1041,2)&gt;=6,WEEKDAY($D1041,2)=7),"Nghỉ tuần","Ngày thường")))</f>
        <v/>
      </c>
      <c r="F1041" s="107" t="n"/>
      <c r="G1041" s="107" t="n"/>
      <c r="H1041" s="107" t="n"/>
      <c r="I1041" s="81" t="n"/>
      <c r="J1041" s="108">
        <f>IF($B1041="","",IF($E1041="Ngày thường",N($G1041),0))</f>
        <v/>
      </c>
      <c r="K1041" s="108">
        <f>IF($B1041="","",IF($E1041="Nghỉ tuần",N($G1041),0))</f>
        <v/>
      </c>
      <c r="L1041" s="108">
        <f>IF($B1041="","",IF($E1041="Lễ",N($G1041),0))</f>
        <v/>
      </c>
      <c r="M1041" s="108">
        <f>IF($B1041="","",IF($E1041="Ngày thường",N($H1041),0))</f>
        <v/>
      </c>
      <c r="N1041" s="108">
        <f>IF($B1041="","",IF($E1041="Nghỉ tuần",N($H1041),0))</f>
        <v/>
      </c>
      <c r="O1041" s="108">
        <f>IF($B1041="","",IF($E1041="Lễ",N($H1041),0))</f>
        <v/>
      </c>
    </row>
    <row r="1042" ht="15" customHeight="1" s="63">
      <c r="A1042" s="85">
        <f>IF($B1042="","",ROW()-5)</f>
        <v/>
      </c>
      <c r="B1042" s="97" t="n"/>
      <c r="C1042" s="96">
        <f>IF($B1042="","",IFERROR(INDEX(DM_NHAN_SU!$C$6:$C$155,MATCH($B1042,DM_NHAN_SU!$B$6:$B$155,0)),"SAI MÃ NV"))</f>
        <v/>
      </c>
      <c r="D1042" s="86" t="n"/>
      <c r="E1042" s="103">
        <f>IF(OR($B1042="",$D1042=""),"",IF(COUNTIF(THAM_SO_CC!$F$10:$F$40,$D1042)&gt;0,"Lễ",IF(IF(THAM_SO_CC!$B$12="T7+CN",WEEKDAY($D1042,2)&gt;=6,WEEKDAY($D1042,2)=7),"Nghỉ tuần","Ngày thường")))</f>
        <v/>
      </c>
      <c r="F1042" s="107" t="n"/>
      <c r="G1042" s="107" t="n"/>
      <c r="H1042" s="107" t="n"/>
      <c r="I1042" s="81" t="n"/>
      <c r="J1042" s="108">
        <f>IF($B1042="","",IF($E1042="Ngày thường",N($G1042),0))</f>
        <v/>
      </c>
      <c r="K1042" s="108">
        <f>IF($B1042="","",IF($E1042="Nghỉ tuần",N($G1042),0))</f>
        <v/>
      </c>
      <c r="L1042" s="108">
        <f>IF($B1042="","",IF($E1042="Lễ",N($G1042),0))</f>
        <v/>
      </c>
      <c r="M1042" s="108">
        <f>IF($B1042="","",IF($E1042="Ngày thường",N($H1042),0))</f>
        <v/>
      </c>
      <c r="N1042" s="108">
        <f>IF($B1042="","",IF($E1042="Nghỉ tuần",N($H1042),0))</f>
        <v/>
      </c>
      <c r="O1042" s="108">
        <f>IF($B1042="","",IF($E1042="Lễ",N($H1042),0))</f>
        <v/>
      </c>
    </row>
    <row r="1043" ht="15" customHeight="1" s="63">
      <c r="A1043" s="85">
        <f>IF($B1043="","",ROW()-5)</f>
        <v/>
      </c>
      <c r="B1043" s="97" t="n"/>
      <c r="C1043" s="96">
        <f>IF($B1043="","",IFERROR(INDEX(DM_NHAN_SU!$C$6:$C$155,MATCH($B1043,DM_NHAN_SU!$B$6:$B$155,0)),"SAI MÃ NV"))</f>
        <v/>
      </c>
      <c r="D1043" s="86" t="n"/>
      <c r="E1043" s="103">
        <f>IF(OR($B1043="",$D1043=""),"",IF(COUNTIF(THAM_SO_CC!$F$10:$F$40,$D1043)&gt;0,"Lễ",IF(IF(THAM_SO_CC!$B$12="T7+CN",WEEKDAY($D1043,2)&gt;=6,WEEKDAY($D1043,2)=7),"Nghỉ tuần","Ngày thường")))</f>
        <v/>
      </c>
      <c r="F1043" s="107" t="n"/>
      <c r="G1043" s="107" t="n"/>
      <c r="H1043" s="107" t="n"/>
      <c r="I1043" s="81" t="n"/>
      <c r="J1043" s="108">
        <f>IF($B1043="","",IF($E1043="Ngày thường",N($G1043),0))</f>
        <v/>
      </c>
      <c r="K1043" s="108">
        <f>IF($B1043="","",IF($E1043="Nghỉ tuần",N($G1043),0))</f>
        <v/>
      </c>
      <c r="L1043" s="108">
        <f>IF($B1043="","",IF($E1043="Lễ",N($G1043),0))</f>
        <v/>
      </c>
      <c r="M1043" s="108">
        <f>IF($B1043="","",IF($E1043="Ngày thường",N($H1043),0))</f>
        <v/>
      </c>
      <c r="N1043" s="108">
        <f>IF($B1043="","",IF($E1043="Nghỉ tuần",N($H1043),0))</f>
        <v/>
      </c>
      <c r="O1043" s="108">
        <f>IF($B1043="","",IF($E1043="Lễ",N($H1043),0))</f>
        <v/>
      </c>
    </row>
    <row r="1044" ht="15" customHeight="1" s="63">
      <c r="A1044" s="85">
        <f>IF($B1044="","",ROW()-5)</f>
        <v/>
      </c>
      <c r="B1044" s="97" t="n"/>
      <c r="C1044" s="96">
        <f>IF($B1044="","",IFERROR(INDEX(DM_NHAN_SU!$C$6:$C$155,MATCH($B1044,DM_NHAN_SU!$B$6:$B$155,0)),"SAI MÃ NV"))</f>
        <v/>
      </c>
      <c r="D1044" s="86" t="n"/>
      <c r="E1044" s="103">
        <f>IF(OR($B1044="",$D1044=""),"",IF(COUNTIF(THAM_SO_CC!$F$10:$F$40,$D1044)&gt;0,"Lễ",IF(IF(THAM_SO_CC!$B$12="T7+CN",WEEKDAY($D1044,2)&gt;=6,WEEKDAY($D1044,2)=7),"Nghỉ tuần","Ngày thường")))</f>
        <v/>
      </c>
      <c r="F1044" s="107" t="n"/>
      <c r="G1044" s="107" t="n"/>
      <c r="H1044" s="107" t="n"/>
      <c r="I1044" s="81" t="n"/>
      <c r="J1044" s="108">
        <f>IF($B1044="","",IF($E1044="Ngày thường",N($G1044),0))</f>
        <v/>
      </c>
      <c r="K1044" s="108">
        <f>IF($B1044="","",IF($E1044="Nghỉ tuần",N($G1044),0))</f>
        <v/>
      </c>
      <c r="L1044" s="108">
        <f>IF($B1044="","",IF($E1044="Lễ",N($G1044),0))</f>
        <v/>
      </c>
      <c r="M1044" s="108">
        <f>IF($B1044="","",IF($E1044="Ngày thường",N($H1044),0))</f>
        <v/>
      </c>
      <c r="N1044" s="108">
        <f>IF($B1044="","",IF($E1044="Nghỉ tuần",N($H1044),0))</f>
        <v/>
      </c>
      <c r="O1044" s="108">
        <f>IF($B1044="","",IF($E1044="Lễ",N($H1044),0))</f>
        <v/>
      </c>
    </row>
    <row r="1045" ht="15" customHeight="1" s="63">
      <c r="A1045" s="85">
        <f>IF($B1045="","",ROW()-5)</f>
        <v/>
      </c>
      <c r="B1045" s="97" t="n"/>
      <c r="C1045" s="96">
        <f>IF($B1045="","",IFERROR(INDEX(DM_NHAN_SU!$C$6:$C$155,MATCH($B1045,DM_NHAN_SU!$B$6:$B$155,0)),"SAI MÃ NV"))</f>
        <v/>
      </c>
      <c r="D1045" s="86" t="n"/>
      <c r="E1045" s="103">
        <f>IF(OR($B1045="",$D1045=""),"",IF(COUNTIF(THAM_SO_CC!$F$10:$F$40,$D1045)&gt;0,"Lễ",IF(IF(THAM_SO_CC!$B$12="T7+CN",WEEKDAY($D1045,2)&gt;=6,WEEKDAY($D1045,2)=7),"Nghỉ tuần","Ngày thường")))</f>
        <v/>
      </c>
      <c r="F1045" s="107" t="n"/>
      <c r="G1045" s="107" t="n"/>
      <c r="H1045" s="107" t="n"/>
      <c r="I1045" s="81" t="n"/>
      <c r="J1045" s="108">
        <f>IF($B1045="","",IF($E1045="Ngày thường",N($G1045),0))</f>
        <v/>
      </c>
      <c r="K1045" s="108">
        <f>IF($B1045="","",IF($E1045="Nghỉ tuần",N($G1045),0))</f>
        <v/>
      </c>
      <c r="L1045" s="108">
        <f>IF($B1045="","",IF($E1045="Lễ",N($G1045),0))</f>
        <v/>
      </c>
      <c r="M1045" s="108">
        <f>IF($B1045="","",IF($E1045="Ngày thường",N($H1045),0))</f>
        <v/>
      </c>
      <c r="N1045" s="108">
        <f>IF($B1045="","",IF($E1045="Nghỉ tuần",N($H1045),0))</f>
        <v/>
      </c>
      <c r="O1045" s="108">
        <f>IF($B1045="","",IF($E1045="Lễ",N($H1045),0))</f>
        <v/>
      </c>
    </row>
    <row r="1046" ht="15" customHeight="1" s="63">
      <c r="A1046" s="85">
        <f>IF($B1046="","",ROW()-5)</f>
        <v/>
      </c>
      <c r="B1046" s="97" t="n"/>
      <c r="C1046" s="96">
        <f>IF($B1046="","",IFERROR(INDEX(DM_NHAN_SU!$C$6:$C$155,MATCH($B1046,DM_NHAN_SU!$B$6:$B$155,0)),"SAI MÃ NV"))</f>
        <v/>
      </c>
      <c r="D1046" s="86" t="n"/>
      <c r="E1046" s="103">
        <f>IF(OR($B1046="",$D1046=""),"",IF(COUNTIF(THAM_SO_CC!$F$10:$F$40,$D1046)&gt;0,"Lễ",IF(IF(THAM_SO_CC!$B$12="T7+CN",WEEKDAY($D1046,2)&gt;=6,WEEKDAY($D1046,2)=7),"Nghỉ tuần","Ngày thường")))</f>
        <v/>
      </c>
      <c r="F1046" s="107" t="n"/>
      <c r="G1046" s="107" t="n"/>
      <c r="H1046" s="107" t="n"/>
      <c r="I1046" s="81" t="n"/>
      <c r="J1046" s="108">
        <f>IF($B1046="","",IF($E1046="Ngày thường",N($G1046),0))</f>
        <v/>
      </c>
      <c r="K1046" s="108">
        <f>IF($B1046="","",IF($E1046="Nghỉ tuần",N($G1046),0))</f>
        <v/>
      </c>
      <c r="L1046" s="108">
        <f>IF($B1046="","",IF($E1046="Lễ",N($G1046),0))</f>
        <v/>
      </c>
      <c r="M1046" s="108">
        <f>IF($B1046="","",IF($E1046="Ngày thường",N($H1046),0))</f>
        <v/>
      </c>
      <c r="N1046" s="108">
        <f>IF($B1046="","",IF($E1046="Nghỉ tuần",N($H1046),0))</f>
        <v/>
      </c>
      <c r="O1046" s="108">
        <f>IF($B1046="","",IF($E1046="Lễ",N($H1046),0))</f>
        <v/>
      </c>
    </row>
    <row r="1047" ht="15" customHeight="1" s="63">
      <c r="A1047" s="85">
        <f>IF($B1047="","",ROW()-5)</f>
        <v/>
      </c>
      <c r="B1047" s="97" t="n"/>
      <c r="C1047" s="96">
        <f>IF($B1047="","",IFERROR(INDEX(DM_NHAN_SU!$C$6:$C$155,MATCH($B1047,DM_NHAN_SU!$B$6:$B$155,0)),"SAI MÃ NV"))</f>
        <v/>
      </c>
      <c r="D1047" s="86" t="n"/>
      <c r="E1047" s="103">
        <f>IF(OR($B1047="",$D1047=""),"",IF(COUNTIF(THAM_SO_CC!$F$10:$F$40,$D1047)&gt;0,"Lễ",IF(IF(THAM_SO_CC!$B$12="T7+CN",WEEKDAY($D1047,2)&gt;=6,WEEKDAY($D1047,2)=7),"Nghỉ tuần","Ngày thường")))</f>
        <v/>
      </c>
      <c r="F1047" s="107" t="n"/>
      <c r="G1047" s="107" t="n"/>
      <c r="H1047" s="107" t="n"/>
      <c r="I1047" s="81" t="n"/>
      <c r="J1047" s="108">
        <f>IF($B1047="","",IF($E1047="Ngày thường",N($G1047),0))</f>
        <v/>
      </c>
      <c r="K1047" s="108">
        <f>IF($B1047="","",IF($E1047="Nghỉ tuần",N($G1047),0))</f>
        <v/>
      </c>
      <c r="L1047" s="108">
        <f>IF($B1047="","",IF($E1047="Lễ",N($G1047),0))</f>
        <v/>
      </c>
      <c r="M1047" s="108">
        <f>IF($B1047="","",IF($E1047="Ngày thường",N($H1047),0))</f>
        <v/>
      </c>
      <c r="N1047" s="108">
        <f>IF($B1047="","",IF($E1047="Nghỉ tuần",N($H1047),0))</f>
        <v/>
      </c>
      <c r="O1047" s="108">
        <f>IF($B1047="","",IF($E1047="Lễ",N($H1047),0))</f>
        <v/>
      </c>
    </row>
    <row r="1048" ht="15" customHeight="1" s="63">
      <c r="A1048" s="85">
        <f>IF($B1048="","",ROW()-5)</f>
        <v/>
      </c>
      <c r="B1048" s="97" t="n"/>
      <c r="C1048" s="96">
        <f>IF($B1048="","",IFERROR(INDEX(DM_NHAN_SU!$C$6:$C$155,MATCH($B1048,DM_NHAN_SU!$B$6:$B$155,0)),"SAI MÃ NV"))</f>
        <v/>
      </c>
      <c r="D1048" s="86" t="n"/>
      <c r="E1048" s="103">
        <f>IF(OR($B1048="",$D1048=""),"",IF(COUNTIF(THAM_SO_CC!$F$10:$F$40,$D1048)&gt;0,"Lễ",IF(IF(THAM_SO_CC!$B$12="T7+CN",WEEKDAY($D1048,2)&gt;=6,WEEKDAY($D1048,2)=7),"Nghỉ tuần","Ngày thường")))</f>
        <v/>
      </c>
      <c r="F1048" s="107" t="n"/>
      <c r="G1048" s="107" t="n"/>
      <c r="H1048" s="107" t="n"/>
      <c r="I1048" s="81" t="n"/>
      <c r="J1048" s="108">
        <f>IF($B1048="","",IF($E1048="Ngày thường",N($G1048),0))</f>
        <v/>
      </c>
      <c r="K1048" s="108">
        <f>IF($B1048="","",IF($E1048="Nghỉ tuần",N($G1048),0))</f>
        <v/>
      </c>
      <c r="L1048" s="108">
        <f>IF($B1048="","",IF($E1048="Lễ",N($G1048),0))</f>
        <v/>
      </c>
      <c r="M1048" s="108">
        <f>IF($B1048="","",IF($E1048="Ngày thường",N($H1048),0))</f>
        <v/>
      </c>
      <c r="N1048" s="108">
        <f>IF($B1048="","",IF($E1048="Nghỉ tuần",N($H1048),0))</f>
        <v/>
      </c>
      <c r="O1048" s="108">
        <f>IF($B1048="","",IF($E1048="Lễ",N($H1048),0))</f>
        <v/>
      </c>
    </row>
    <row r="1049" ht="15" customHeight="1" s="63">
      <c r="A1049" s="85">
        <f>IF($B1049="","",ROW()-5)</f>
        <v/>
      </c>
      <c r="B1049" s="97" t="n"/>
      <c r="C1049" s="96">
        <f>IF($B1049="","",IFERROR(INDEX(DM_NHAN_SU!$C$6:$C$155,MATCH($B1049,DM_NHAN_SU!$B$6:$B$155,0)),"SAI MÃ NV"))</f>
        <v/>
      </c>
      <c r="D1049" s="86" t="n"/>
      <c r="E1049" s="103">
        <f>IF(OR($B1049="",$D1049=""),"",IF(COUNTIF(THAM_SO_CC!$F$10:$F$40,$D1049)&gt;0,"Lễ",IF(IF(THAM_SO_CC!$B$12="T7+CN",WEEKDAY($D1049,2)&gt;=6,WEEKDAY($D1049,2)=7),"Nghỉ tuần","Ngày thường")))</f>
        <v/>
      </c>
      <c r="F1049" s="107" t="n"/>
      <c r="G1049" s="107" t="n"/>
      <c r="H1049" s="107" t="n"/>
      <c r="I1049" s="81" t="n"/>
      <c r="J1049" s="108">
        <f>IF($B1049="","",IF($E1049="Ngày thường",N($G1049),0))</f>
        <v/>
      </c>
      <c r="K1049" s="108">
        <f>IF($B1049="","",IF($E1049="Nghỉ tuần",N($G1049),0))</f>
        <v/>
      </c>
      <c r="L1049" s="108">
        <f>IF($B1049="","",IF($E1049="Lễ",N($G1049),0))</f>
        <v/>
      </c>
      <c r="M1049" s="108">
        <f>IF($B1049="","",IF($E1049="Ngày thường",N($H1049),0))</f>
        <v/>
      </c>
      <c r="N1049" s="108">
        <f>IF($B1049="","",IF($E1049="Nghỉ tuần",N($H1049),0))</f>
        <v/>
      </c>
      <c r="O1049" s="108">
        <f>IF($B1049="","",IF($E1049="Lễ",N($H1049),0))</f>
        <v/>
      </c>
    </row>
    <row r="1050" ht="15" customHeight="1" s="63">
      <c r="A1050" s="85">
        <f>IF($B1050="","",ROW()-5)</f>
        <v/>
      </c>
      <c r="B1050" s="97" t="n"/>
      <c r="C1050" s="96">
        <f>IF($B1050="","",IFERROR(INDEX(DM_NHAN_SU!$C$6:$C$155,MATCH($B1050,DM_NHAN_SU!$B$6:$B$155,0)),"SAI MÃ NV"))</f>
        <v/>
      </c>
      <c r="D1050" s="86" t="n"/>
      <c r="E1050" s="103">
        <f>IF(OR($B1050="",$D1050=""),"",IF(COUNTIF(THAM_SO_CC!$F$10:$F$40,$D1050)&gt;0,"Lễ",IF(IF(THAM_SO_CC!$B$12="T7+CN",WEEKDAY($D1050,2)&gt;=6,WEEKDAY($D1050,2)=7),"Nghỉ tuần","Ngày thường")))</f>
        <v/>
      </c>
      <c r="F1050" s="107" t="n"/>
      <c r="G1050" s="107" t="n"/>
      <c r="H1050" s="107" t="n"/>
      <c r="I1050" s="81" t="n"/>
      <c r="J1050" s="108">
        <f>IF($B1050="","",IF($E1050="Ngày thường",N($G1050),0))</f>
        <v/>
      </c>
      <c r="K1050" s="108">
        <f>IF($B1050="","",IF($E1050="Nghỉ tuần",N($G1050),0))</f>
        <v/>
      </c>
      <c r="L1050" s="108">
        <f>IF($B1050="","",IF($E1050="Lễ",N($G1050),0))</f>
        <v/>
      </c>
      <c r="M1050" s="108">
        <f>IF($B1050="","",IF($E1050="Ngày thường",N($H1050),0))</f>
        <v/>
      </c>
      <c r="N1050" s="108">
        <f>IF($B1050="","",IF($E1050="Nghỉ tuần",N($H1050),0))</f>
        <v/>
      </c>
      <c r="O1050" s="108">
        <f>IF($B1050="","",IF($E1050="Lễ",N($H1050),0))</f>
        <v/>
      </c>
    </row>
    <row r="1051" ht="15" customHeight="1" s="63">
      <c r="A1051" s="85">
        <f>IF($B1051="","",ROW()-5)</f>
        <v/>
      </c>
      <c r="B1051" s="97" t="n"/>
      <c r="C1051" s="96">
        <f>IF($B1051="","",IFERROR(INDEX(DM_NHAN_SU!$C$6:$C$155,MATCH($B1051,DM_NHAN_SU!$B$6:$B$155,0)),"SAI MÃ NV"))</f>
        <v/>
      </c>
      <c r="D1051" s="86" t="n"/>
      <c r="E1051" s="103">
        <f>IF(OR($B1051="",$D1051=""),"",IF(COUNTIF(THAM_SO_CC!$F$10:$F$40,$D1051)&gt;0,"Lễ",IF(IF(THAM_SO_CC!$B$12="T7+CN",WEEKDAY($D1051,2)&gt;=6,WEEKDAY($D1051,2)=7),"Nghỉ tuần","Ngày thường")))</f>
        <v/>
      </c>
      <c r="F1051" s="107" t="n"/>
      <c r="G1051" s="107" t="n"/>
      <c r="H1051" s="107" t="n"/>
      <c r="I1051" s="81" t="n"/>
      <c r="J1051" s="108">
        <f>IF($B1051="","",IF($E1051="Ngày thường",N($G1051),0))</f>
        <v/>
      </c>
      <c r="K1051" s="108">
        <f>IF($B1051="","",IF($E1051="Nghỉ tuần",N($G1051),0))</f>
        <v/>
      </c>
      <c r="L1051" s="108">
        <f>IF($B1051="","",IF($E1051="Lễ",N($G1051),0))</f>
        <v/>
      </c>
      <c r="M1051" s="108">
        <f>IF($B1051="","",IF($E1051="Ngày thường",N($H1051),0))</f>
        <v/>
      </c>
      <c r="N1051" s="108">
        <f>IF($B1051="","",IF($E1051="Nghỉ tuần",N($H1051),0))</f>
        <v/>
      </c>
      <c r="O1051" s="108">
        <f>IF($B1051="","",IF($E1051="Lễ",N($H1051),0))</f>
        <v/>
      </c>
    </row>
    <row r="1052" ht="15" customHeight="1" s="63">
      <c r="A1052" s="85">
        <f>IF($B1052="","",ROW()-5)</f>
        <v/>
      </c>
      <c r="B1052" s="97" t="n"/>
      <c r="C1052" s="96">
        <f>IF($B1052="","",IFERROR(INDEX(DM_NHAN_SU!$C$6:$C$155,MATCH($B1052,DM_NHAN_SU!$B$6:$B$155,0)),"SAI MÃ NV"))</f>
        <v/>
      </c>
      <c r="D1052" s="86" t="n"/>
      <c r="E1052" s="103">
        <f>IF(OR($B1052="",$D1052=""),"",IF(COUNTIF(THAM_SO_CC!$F$10:$F$40,$D1052)&gt;0,"Lễ",IF(IF(THAM_SO_CC!$B$12="T7+CN",WEEKDAY($D1052,2)&gt;=6,WEEKDAY($D1052,2)=7),"Nghỉ tuần","Ngày thường")))</f>
        <v/>
      </c>
      <c r="F1052" s="107" t="n"/>
      <c r="G1052" s="107" t="n"/>
      <c r="H1052" s="107" t="n"/>
      <c r="I1052" s="81" t="n"/>
      <c r="J1052" s="108">
        <f>IF($B1052="","",IF($E1052="Ngày thường",N($G1052),0))</f>
        <v/>
      </c>
      <c r="K1052" s="108">
        <f>IF($B1052="","",IF($E1052="Nghỉ tuần",N($G1052),0))</f>
        <v/>
      </c>
      <c r="L1052" s="108">
        <f>IF($B1052="","",IF($E1052="Lễ",N($G1052),0))</f>
        <v/>
      </c>
      <c r="M1052" s="108">
        <f>IF($B1052="","",IF($E1052="Ngày thường",N($H1052),0))</f>
        <v/>
      </c>
      <c r="N1052" s="108">
        <f>IF($B1052="","",IF($E1052="Nghỉ tuần",N($H1052),0))</f>
        <v/>
      </c>
      <c r="O1052" s="108">
        <f>IF($B1052="","",IF($E1052="Lễ",N($H1052),0))</f>
        <v/>
      </c>
    </row>
    <row r="1053" ht="15" customHeight="1" s="63">
      <c r="A1053" s="85">
        <f>IF($B1053="","",ROW()-5)</f>
        <v/>
      </c>
      <c r="B1053" s="97" t="n"/>
      <c r="C1053" s="96">
        <f>IF($B1053="","",IFERROR(INDEX(DM_NHAN_SU!$C$6:$C$155,MATCH($B1053,DM_NHAN_SU!$B$6:$B$155,0)),"SAI MÃ NV"))</f>
        <v/>
      </c>
      <c r="D1053" s="86" t="n"/>
      <c r="E1053" s="103">
        <f>IF(OR($B1053="",$D1053=""),"",IF(COUNTIF(THAM_SO_CC!$F$10:$F$40,$D1053)&gt;0,"Lễ",IF(IF(THAM_SO_CC!$B$12="T7+CN",WEEKDAY($D1053,2)&gt;=6,WEEKDAY($D1053,2)=7),"Nghỉ tuần","Ngày thường")))</f>
        <v/>
      </c>
      <c r="F1053" s="107" t="n"/>
      <c r="G1053" s="107" t="n"/>
      <c r="H1053" s="107" t="n"/>
      <c r="I1053" s="81" t="n"/>
      <c r="J1053" s="108">
        <f>IF($B1053="","",IF($E1053="Ngày thường",N($G1053),0))</f>
        <v/>
      </c>
      <c r="K1053" s="108">
        <f>IF($B1053="","",IF($E1053="Nghỉ tuần",N($G1053),0))</f>
        <v/>
      </c>
      <c r="L1053" s="108">
        <f>IF($B1053="","",IF($E1053="Lễ",N($G1053),0))</f>
        <v/>
      </c>
      <c r="M1053" s="108">
        <f>IF($B1053="","",IF($E1053="Ngày thường",N($H1053),0))</f>
        <v/>
      </c>
      <c r="N1053" s="108">
        <f>IF($B1053="","",IF($E1053="Nghỉ tuần",N($H1053),0))</f>
        <v/>
      </c>
      <c r="O1053" s="108">
        <f>IF($B1053="","",IF($E1053="Lễ",N($H1053),0))</f>
        <v/>
      </c>
    </row>
    <row r="1054" ht="15" customHeight="1" s="63">
      <c r="A1054" s="85">
        <f>IF($B1054="","",ROW()-5)</f>
        <v/>
      </c>
      <c r="B1054" s="97" t="n"/>
      <c r="C1054" s="96">
        <f>IF($B1054="","",IFERROR(INDEX(DM_NHAN_SU!$C$6:$C$155,MATCH($B1054,DM_NHAN_SU!$B$6:$B$155,0)),"SAI MÃ NV"))</f>
        <v/>
      </c>
      <c r="D1054" s="86" t="n"/>
      <c r="E1054" s="103">
        <f>IF(OR($B1054="",$D1054=""),"",IF(COUNTIF(THAM_SO_CC!$F$10:$F$40,$D1054)&gt;0,"Lễ",IF(IF(THAM_SO_CC!$B$12="T7+CN",WEEKDAY($D1054,2)&gt;=6,WEEKDAY($D1054,2)=7),"Nghỉ tuần","Ngày thường")))</f>
        <v/>
      </c>
      <c r="F1054" s="107" t="n"/>
      <c r="G1054" s="107" t="n"/>
      <c r="H1054" s="107" t="n"/>
      <c r="I1054" s="81" t="n"/>
      <c r="J1054" s="108">
        <f>IF($B1054="","",IF($E1054="Ngày thường",N($G1054),0))</f>
        <v/>
      </c>
      <c r="K1054" s="108">
        <f>IF($B1054="","",IF($E1054="Nghỉ tuần",N($G1054),0))</f>
        <v/>
      </c>
      <c r="L1054" s="108">
        <f>IF($B1054="","",IF($E1054="Lễ",N($G1054),0))</f>
        <v/>
      </c>
      <c r="M1054" s="108">
        <f>IF($B1054="","",IF($E1054="Ngày thường",N($H1054),0))</f>
        <v/>
      </c>
      <c r="N1054" s="108">
        <f>IF($B1054="","",IF($E1054="Nghỉ tuần",N($H1054),0))</f>
        <v/>
      </c>
      <c r="O1054" s="108">
        <f>IF($B1054="","",IF($E1054="Lễ",N($H1054),0))</f>
        <v/>
      </c>
    </row>
    <row r="1055" ht="15" customHeight="1" s="63">
      <c r="A1055" s="85">
        <f>IF($B1055="","",ROW()-5)</f>
        <v/>
      </c>
      <c r="B1055" s="97" t="n"/>
      <c r="C1055" s="96">
        <f>IF($B1055="","",IFERROR(INDEX(DM_NHAN_SU!$C$6:$C$155,MATCH($B1055,DM_NHAN_SU!$B$6:$B$155,0)),"SAI MÃ NV"))</f>
        <v/>
      </c>
      <c r="D1055" s="86" t="n"/>
      <c r="E1055" s="103">
        <f>IF(OR($B1055="",$D1055=""),"",IF(COUNTIF(THAM_SO_CC!$F$10:$F$40,$D1055)&gt;0,"Lễ",IF(IF(THAM_SO_CC!$B$12="T7+CN",WEEKDAY($D1055,2)&gt;=6,WEEKDAY($D1055,2)=7),"Nghỉ tuần","Ngày thường")))</f>
        <v/>
      </c>
      <c r="F1055" s="107" t="n"/>
      <c r="G1055" s="107" t="n"/>
      <c r="H1055" s="107" t="n"/>
      <c r="I1055" s="81" t="n"/>
      <c r="J1055" s="108">
        <f>IF($B1055="","",IF($E1055="Ngày thường",N($G1055),0))</f>
        <v/>
      </c>
      <c r="K1055" s="108">
        <f>IF($B1055="","",IF($E1055="Nghỉ tuần",N($G1055),0))</f>
        <v/>
      </c>
      <c r="L1055" s="108">
        <f>IF($B1055="","",IF($E1055="Lễ",N($G1055),0))</f>
        <v/>
      </c>
      <c r="M1055" s="108">
        <f>IF($B1055="","",IF($E1055="Ngày thường",N($H1055),0))</f>
        <v/>
      </c>
      <c r="N1055" s="108">
        <f>IF($B1055="","",IF($E1055="Nghỉ tuần",N($H1055),0))</f>
        <v/>
      </c>
      <c r="O1055" s="108">
        <f>IF($B1055="","",IF($E1055="Lễ",N($H1055),0))</f>
        <v/>
      </c>
    </row>
    <row r="1056" ht="15" customHeight="1" s="63">
      <c r="A1056" s="85">
        <f>IF($B1056="","",ROW()-5)</f>
        <v/>
      </c>
      <c r="B1056" s="97" t="n"/>
      <c r="C1056" s="96">
        <f>IF($B1056="","",IFERROR(INDEX(DM_NHAN_SU!$C$6:$C$155,MATCH($B1056,DM_NHAN_SU!$B$6:$B$155,0)),"SAI MÃ NV"))</f>
        <v/>
      </c>
      <c r="D1056" s="86" t="n"/>
      <c r="E1056" s="103">
        <f>IF(OR($B1056="",$D1056=""),"",IF(COUNTIF(THAM_SO_CC!$F$10:$F$40,$D1056)&gt;0,"Lễ",IF(IF(THAM_SO_CC!$B$12="T7+CN",WEEKDAY($D1056,2)&gt;=6,WEEKDAY($D1056,2)=7),"Nghỉ tuần","Ngày thường")))</f>
        <v/>
      </c>
      <c r="F1056" s="107" t="n"/>
      <c r="G1056" s="107" t="n"/>
      <c r="H1056" s="107" t="n"/>
      <c r="I1056" s="81" t="n"/>
      <c r="J1056" s="108">
        <f>IF($B1056="","",IF($E1056="Ngày thường",N($G1056),0))</f>
        <v/>
      </c>
      <c r="K1056" s="108">
        <f>IF($B1056="","",IF($E1056="Nghỉ tuần",N($G1056),0))</f>
        <v/>
      </c>
      <c r="L1056" s="108">
        <f>IF($B1056="","",IF($E1056="Lễ",N($G1056),0))</f>
        <v/>
      </c>
      <c r="M1056" s="108">
        <f>IF($B1056="","",IF($E1056="Ngày thường",N($H1056),0))</f>
        <v/>
      </c>
      <c r="N1056" s="108">
        <f>IF($B1056="","",IF($E1056="Nghỉ tuần",N($H1056),0))</f>
        <v/>
      </c>
      <c r="O1056" s="108">
        <f>IF($B1056="","",IF($E1056="Lễ",N($H1056),0))</f>
        <v/>
      </c>
    </row>
    <row r="1057" ht="15" customHeight="1" s="63">
      <c r="A1057" s="85">
        <f>IF($B1057="","",ROW()-5)</f>
        <v/>
      </c>
      <c r="B1057" s="97" t="n"/>
      <c r="C1057" s="96">
        <f>IF($B1057="","",IFERROR(INDEX(DM_NHAN_SU!$C$6:$C$155,MATCH($B1057,DM_NHAN_SU!$B$6:$B$155,0)),"SAI MÃ NV"))</f>
        <v/>
      </c>
      <c r="D1057" s="86" t="n"/>
      <c r="E1057" s="103">
        <f>IF(OR($B1057="",$D1057=""),"",IF(COUNTIF(THAM_SO_CC!$F$10:$F$40,$D1057)&gt;0,"Lễ",IF(IF(THAM_SO_CC!$B$12="T7+CN",WEEKDAY($D1057,2)&gt;=6,WEEKDAY($D1057,2)=7),"Nghỉ tuần","Ngày thường")))</f>
        <v/>
      </c>
      <c r="F1057" s="107" t="n"/>
      <c r="G1057" s="107" t="n"/>
      <c r="H1057" s="107" t="n"/>
      <c r="I1057" s="81" t="n"/>
      <c r="J1057" s="108">
        <f>IF($B1057="","",IF($E1057="Ngày thường",N($G1057),0))</f>
        <v/>
      </c>
      <c r="K1057" s="108">
        <f>IF($B1057="","",IF($E1057="Nghỉ tuần",N($G1057),0))</f>
        <v/>
      </c>
      <c r="L1057" s="108">
        <f>IF($B1057="","",IF($E1057="Lễ",N($G1057),0))</f>
        <v/>
      </c>
      <c r="M1057" s="108">
        <f>IF($B1057="","",IF($E1057="Ngày thường",N($H1057),0))</f>
        <v/>
      </c>
      <c r="N1057" s="108">
        <f>IF($B1057="","",IF($E1057="Nghỉ tuần",N($H1057),0))</f>
        <v/>
      </c>
      <c r="O1057" s="108">
        <f>IF($B1057="","",IF($E1057="Lễ",N($H1057),0))</f>
        <v/>
      </c>
    </row>
    <row r="1058" ht="15" customHeight="1" s="63">
      <c r="A1058" s="85">
        <f>IF($B1058="","",ROW()-5)</f>
        <v/>
      </c>
      <c r="B1058" s="97" t="n"/>
      <c r="C1058" s="96">
        <f>IF($B1058="","",IFERROR(INDEX(DM_NHAN_SU!$C$6:$C$155,MATCH($B1058,DM_NHAN_SU!$B$6:$B$155,0)),"SAI MÃ NV"))</f>
        <v/>
      </c>
      <c r="D1058" s="86" t="n"/>
      <c r="E1058" s="103">
        <f>IF(OR($B1058="",$D1058=""),"",IF(COUNTIF(THAM_SO_CC!$F$10:$F$40,$D1058)&gt;0,"Lễ",IF(IF(THAM_SO_CC!$B$12="T7+CN",WEEKDAY($D1058,2)&gt;=6,WEEKDAY($D1058,2)=7),"Nghỉ tuần","Ngày thường")))</f>
        <v/>
      </c>
      <c r="F1058" s="107" t="n"/>
      <c r="G1058" s="107" t="n"/>
      <c r="H1058" s="107" t="n"/>
      <c r="I1058" s="81" t="n"/>
      <c r="J1058" s="108">
        <f>IF($B1058="","",IF($E1058="Ngày thường",N($G1058),0))</f>
        <v/>
      </c>
      <c r="K1058" s="108">
        <f>IF($B1058="","",IF($E1058="Nghỉ tuần",N($G1058),0))</f>
        <v/>
      </c>
      <c r="L1058" s="108">
        <f>IF($B1058="","",IF($E1058="Lễ",N($G1058),0))</f>
        <v/>
      </c>
      <c r="M1058" s="108">
        <f>IF($B1058="","",IF($E1058="Ngày thường",N($H1058),0))</f>
        <v/>
      </c>
      <c r="N1058" s="108">
        <f>IF($B1058="","",IF($E1058="Nghỉ tuần",N($H1058),0))</f>
        <v/>
      </c>
      <c r="O1058" s="108">
        <f>IF($B1058="","",IF($E1058="Lễ",N($H1058),0))</f>
        <v/>
      </c>
    </row>
    <row r="1059" ht="15" customHeight="1" s="63">
      <c r="A1059" s="85">
        <f>IF($B1059="","",ROW()-5)</f>
        <v/>
      </c>
      <c r="B1059" s="97" t="n"/>
      <c r="C1059" s="96">
        <f>IF($B1059="","",IFERROR(INDEX(DM_NHAN_SU!$C$6:$C$155,MATCH($B1059,DM_NHAN_SU!$B$6:$B$155,0)),"SAI MÃ NV"))</f>
        <v/>
      </c>
      <c r="D1059" s="86" t="n"/>
      <c r="E1059" s="103">
        <f>IF(OR($B1059="",$D1059=""),"",IF(COUNTIF(THAM_SO_CC!$F$10:$F$40,$D1059)&gt;0,"Lễ",IF(IF(THAM_SO_CC!$B$12="T7+CN",WEEKDAY($D1059,2)&gt;=6,WEEKDAY($D1059,2)=7),"Nghỉ tuần","Ngày thường")))</f>
        <v/>
      </c>
      <c r="F1059" s="107" t="n"/>
      <c r="G1059" s="107" t="n"/>
      <c r="H1059" s="107" t="n"/>
      <c r="I1059" s="81" t="n"/>
      <c r="J1059" s="108">
        <f>IF($B1059="","",IF($E1059="Ngày thường",N($G1059),0))</f>
        <v/>
      </c>
      <c r="K1059" s="108">
        <f>IF($B1059="","",IF($E1059="Nghỉ tuần",N($G1059),0))</f>
        <v/>
      </c>
      <c r="L1059" s="108">
        <f>IF($B1059="","",IF($E1059="Lễ",N($G1059),0))</f>
        <v/>
      </c>
      <c r="M1059" s="108">
        <f>IF($B1059="","",IF($E1059="Ngày thường",N($H1059),0))</f>
        <v/>
      </c>
      <c r="N1059" s="108">
        <f>IF($B1059="","",IF($E1059="Nghỉ tuần",N($H1059),0))</f>
        <v/>
      </c>
      <c r="O1059" s="108">
        <f>IF($B1059="","",IF($E1059="Lễ",N($H1059),0))</f>
        <v/>
      </c>
    </row>
    <row r="1060" ht="15" customHeight="1" s="63">
      <c r="A1060" s="85">
        <f>IF($B1060="","",ROW()-5)</f>
        <v/>
      </c>
      <c r="B1060" s="97" t="n"/>
      <c r="C1060" s="96">
        <f>IF($B1060="","",IFERROR(INDEX(DM_NHAN_SU!$C$6:$C$155,MATCH($B1060,DM_NHAN_SU!$B$6:$B$155,0)),"SAI MÃ NV"))</f>
        <v/>
      </c>
      <c r="D1060" s="86" t="n"/>
      <c r="E1060" s="103">
        <f>IF(OR($B1060="",$D1060=""),"",IF(COUNTIF(THAM_SO_CC!$F$10:$F$40,$D1060)&gt;0,"Lễ",IF(IF(THAM_SO_CC!$B$12="T7+CN",WEEKDAY($D1060,2)&gt;=6,WEEKDAY($D1060,2)=7),"Nghỉ tuần","Ngày thường")))</f>
        <v/>
      </c>
      <c r="F1060" s="107" t="n"/>
      <c r="G1060" s="107" t="n"/>
      <c r="H1060" s="107" t="n"/>
      <c r="I1060" s="81" t="n"/>
      <c r="J1060" s="108">
        <f>IF($B1060="","",IF($E1060="Ngày thường",N($G1060),0))</f>
        <v/>
      </c>
      <c r="K1060" s="108">
        <f>IF($B1060="","",IF($E1060="Nghỉ tuần",N($G1060),0))</f>
        <v/>
      </c>
      <c r="L1060" s="108">
        <f>IF($B1060="","",IF($E1060="Lễ",N($G1060),0))</f>
        <v/>
      </c>
      <c r="M1060" s="108">
        <f>IF($B1060="","",IF($E1060="Ngày thường",N($H1060),0))</f>
        <v/>
      </c>
      <c r="N1060" s="108">
        <f>IF($B1060="","",IF($E1060="Nghỉ tuần",N($H1060),0))</f>
        <v/>
      </c>
      <c r="O1060" s="108">
        <f>IF($B1060="","",IF($E1060="Lễ",N($H1060),0))</f>
        <v/>
      </c>
    </row>
    <row r="1061" ht="15" customHeight="1" s="63">
      <c r="A1061" s="85">
        <f>IF($B1061="","",ROW()-5)</f>
        <v/>
      </c>
      <c r="B1061" s="97" t="n"/>
      <c r="C1061" s="96">
        <f>IF($B1061="","",IFERROR(INDEX(DM_NHAN_SU!$C$6:$C$155,MATCH($B1061,DM_NHAN_SU!$B$6:$B$155,0)),"SAI MÃ NV"))</f>
        <v/>
      </c>
      <c r="D1061" s="86" t="n"/>
      <c r="E1061" s="103">
        <f>IF(OR($B1061="",$D1061=""),"",IF(COUNTIF(THAM_SO_CC!$F$10:$F$40,$D1061)&gt;0,"Lễ",IF(IF(THAM_SO_CC!$B$12="T7+CN",WEEKDAY($D1061,2)&gt;=6,WEEKDAY($D1061,2)=7),"Nghỉ tuần","Ngày thường")))</f>
        <v/>
      </c>
      <c r="F1061" s="107" t="n"/>
      <c r="G1061" s="107" t="n"/>
      <c r="H1061" s="107" t="n"/>
      <c r="I1061" s="81" t="n"/>
      <c r="J1061" s="108">
        <f>IF($B1061="","",IF($E1061="Ngày thường",N($G1061),0))</f>
        <v/>
      </c>
      <c r="K1061" s="108">
        <f>IF($B1061="","",IF($E1061="Nghỉ tuần",N($G1061),0))</f>
        <v/>
      </c>
      <c r="L1061" s="108">
        <f>IF($B1061="","",IF($E1061="Lễ",N($G1061),0))</f>
        <v/>
      </c>
      <c r="M1061" s="108">
        <f>IF($B1061="","",IF($E1061="Ngày thường",N($H1061),0))</f>
        <v/>
      </c>
      <c r="N1061" s="108">
        <f>IF($B1061="","",IF($E1061="Nghỉ tuần",N($H1061),0))</f>
        <v/>
      </c>
      <c r="O1061" s="108">
        <f>IF($B1061="","",IF($E1061="Lễ",N($H1061),0))</f>
        <v/>
      </c>
    </row>
    <row r="1062" ht="15" customHeight="1" s="63">
      <c r="A1062" s="85">
        <f>IF($B1062="","",ROW()-5)</f>
        <v/>
      </c>
      <c r="B1062" s="97" t="n"/>
      <c r="C1062" s="96">
        <f>IF($B1062="","",IFERROR(INDEX(DM_NHAN_SU!$C$6:$C$155,MATCH($B1062,DM_NHAN_SU!$B$6:$B$155,0)),"SAI MÃ NV"))</f>
        <v/>
      </c>
      <c r="D1062" s="86" t="n"/>
      <c r="E1062" s="103">
        <f>IF(OR($B1062="",$D1062=""),"",IF(COUNTIF(THAM_SO_CC!$F$10:$F$40,$D1062)&gt;0,"Lễ",IF(IF(THAM_SO_CC!$B$12="T7+CN",WEEKDAY($D1062,2)&gt;=6,WEEKDAY($D1062,2)=7),"Nghỉ tuần","Ngày thường")))</f>
        <v/>
      </c>
      <c r="F1062" s="107" t="n"/>
      <c r="G1062" s="107" t="n"/>
      <c r="H1062" s="107" t="n"/>
      <c r="I1062" s="81" t="n"/>
      <c r="J1062" s="108">
        <f>IF($B1062="","",IF($E1062="Ngày thường",N($G1062),0))</f>
        <v/>
      </c>
      <c r="K1062" s="108">
        <f>IF($B1062="","",IF($E1062="Nghỉ tuần",N($G1062),0))</f>
        <v/>
      </c>
      <c r="L1062" s="108">
        <f>IF($B1062="","",IF($E1062="Lễ",N($G1062),0))</f>
        <v/>
      </c>
      <c r="M1062" s="108">
        <f>IF($B1062="","",IF($E1062="Ngày thường",N($H1062),0))</f>
        <v/>
      </c>
      <c r="N1062" s="108">
        <f>IF($B1062="","",IF($E1062="Nghỉ tuần",N($H1062),0))</f>
        <v/>
      </c>
      <c r="O1062" s="108">
        <f>IF($B1062="","",IF($E1062="Lễ",N($H1062),0))</f>
        <v/>
      </c>
    </row>
    <row r="1063" ht="15" customHeight="1" s="63">
      <c r="A1063" s="85">
        <f>IF($B1063="","",ROW()-5)</f>
        <v/>
      </c>
      <c r="B1063" s="97" t="n"/>
      <c r="C1063" s="96">
        <f>IF($B1063="","",IFERROR(INDEX(DM_NHAN_SU!$C$6:$C$155,MATCH($B1063,DM_NHAN_SU!$B$6:$B$155,0)),"SAI MÃ NV"))</f>
        <v/>
      </c>
      <c r="D1063" s="86" t="n"/>
      <c r="E1063" s="103">
        <f>IF(OR($B1063="",$D1063=""),"",IF(COUNTIF(THAM_SO_CC!$F$10:$F$40,$D1063)&gt;0,"Lễ",IF(IF(THAM_SO_CC!$B$12="T7+CN",WEEKDAY($D1063,2)&gt;=6,WEEKDAY($D1063,2)=7),"Nghỉ tuần","Ngày thường")))</f>
        <v/>
      </c>
      <c r="F1063" s="107" t="n"/>
      <c r="G1063" s="107" t="n"/>
      <c r="H1063" s="107" t="n"/>
      <c r="I1063" s="81" t="n"/>
      <c r="J1063" s="108">
        <f>IF($B1063="","",IF($E1063="Ngày thường",N($G1063),0))</f>
        <v/>
      </c>
      <c r="K1063" s="108">
        <f>IF($B1063="","",IF($E1063="Nghỉ tuần",N($G1063),0))</f>
        <v/>
      </c>
      <c r="L1063" s="108">
        <f>IF($B1063="","",IF($E1063="Lễ",N($G1063),0))</f>
        <v/>
      </c>
      <c r="M1063" s="108">
        <f>IF($B1063="","",IF($E1063="Ngày thường",N($H1063),0))</f>
        <v/>
      </c>
      <c r="N1063" s="108">
        <f>IF($B1063="","",IF($E1063="Nghỉ tuần",N($H1063),0))</f>
        <v/>
      </c>
      <c r="O1063" s="108">
        <f>IF($B1063="","",IF($E1063="Lễ",N($H1063),0))</f>
        <v/>
      </c>
    </row>
    <row r="1064" ht="15" customHeight="1" s="63">
      <c r="A1064" s="85">
        <f>IF($B1064="","",ROW()-5)</f>
        <v/>
      </c>
      <c r="B1064" s="97" t="n"/>
      <c r="C1064" s="96">
        <f>IF($B1064="","",IFERROR(INDEX(DM_NHAN_SU!$C$6:$C$155,MATCH($B1064,DM_NHAN_SU!$B$6:$B$155,0)),"SAI MÃ NV"))</f>
        <v/>
      </c>
      <c r="D1064" s="86" t="n"/>
      <c r="E1064" s="103">
        <f>IF(OR($B1064="",$D1064=""),"",IF(COUNTIF(THAM_SO_CC!$F$10:$F$40,$D1064)&gt;0,"Lễ",IF(IF(THAM_SO_CC!$B$12="T7+CN",WEEKDAY($D1064,2)&gt;=6,WEEKDAY($D1064,2)=7),"Nghỉ tuần","Ngày thường")))</f>
        <v/>
      </c>
      <c r="F1064" s="107" t="n"/>
      <c r="G1064" s="107" t="n"/>
      <c r="H1064" s="107" t="n"/>
      <c r="I1064" s="81" t="n"/>
      <c r="J1064" s="108">
        <f>IF($B1064="","",IF($E1064="Ngày thường",N($G1064),0))</f>
        <v/>
      </c>
      <c r="K1064" s="108">
        <f>IF($B1064="","",IF($E1064="Nghỉ tuần",N($G1064),0))</f>
        <v/>
      </c>
      <c r="L1064" s="108">
        <f>IF($B1064="","",IF($E1064="Lễ",N($G1064),0))</f>
        <v/>
      </c>
      <c r="M1064" s="108">
        <f>IF($B1064="","",IF($E1064="Ngày thường",N($H1064),0))</f>
        <v/>
      </c>
      <c r="N1064" s="108">
        <f>IF($B1064="","",IF($E1064="Nghỉ tuần",N($H1064),0))</f>
        <v/>
      </c>
      <c r="O1064" s="108">
        <f>IF($B1064="","",IF($E1064="Lễ",N($H1064),0))</f>
        <v/>
      </c>
    </row>
    <row r="1065" ht="15" customHeight="1" s="63">
      <c r="A1065" s="85">
        <f>IF($B1065="","",ROW()-5)</f>
        <v/>
      </c>
      <c r="B1065" s="97" t="n"/>
      <c r="C1065" s="96">
        <f>IF($B1065="","",IFERROR(INDEX(DM_NHAN_SU!$C$6:$C$155,MATCH($B1065,DM_NHAN_SU!$B$6:$B$155,0)),"SAI MÃ NV"))</f>
        <v/>
      </c>
      <c r="D1065" s="86" t="n"/>
      <c r="E1065" s="103">
        <f>IF(OR($B1065="",$D1065=""),"",IF(COUNTIF(THAM_SO_CC!$F$10:$F$40,$D1065)&gt;0,"Lễ",IF(IF(THAM_SO_CC!$B$12="T7+CN",WEEKDAY($D1065,2)&gt;=6,WEEKDAY($D1065,2)=7),"Nghỉ tuần","Ngày thường")))</f>
        <v/>
      </c>
      <c r="F1065" s="107" t="n"/>
      <c r="G1065" s="107" t="n"/>
      <c r="H1065" s="107" t="n"/>
      <c r="I1065" s="81" t="n"/>
      <c r="J1065" s="108">
        <f>IF($B1065="","",IF($E1065="Ngày thường",N($G1065),0))</f>
        <v/>
      </c>
      <c r="K1065" s="108">
        <f>IF($B1065="","",IF($E1065="Nghỉ tuần",N($G1065),0))</f>
        <v/>
      </c>
      <c r="L1065" s="108">
        <f>IF($B1065="","",IF($E1065="Lễ",N($G1065),0))</f>
        <v/>
      </c>
      <c r="M1065" s="108">
        <f>IF($B1065="","",IF($E1065="Ngày thường",N($H1065),0))</f>
        <v/>
      </c>
      <c r="N1065" s="108">
        <f>IF($B1065="","",IF($E1065="Nghỉ tuần",N($H1065),0))</f>
        <v/>
      </c>
      <c r="O1065" s="108">
        <f>IF($B1065="","",IF($E1065="Lễ",N($H1065),0))</f>
        <v/>
      </c>
    </row>
    <row r="1066" ht="15" customHeight="1" s="63">
      <c r="A1066" s="85">
        <f>IF($B1066="","",ROW()-5)</f>
        <v/>
      </c>
      <c r="B1066" s="97" t="n"/>
      <c r="C1066" s="96">
        <f>IF($B1066="","",IFERROR(INDEX(DM_NHAN_SU!$C$6:$C$155,MATCH($B1066,DM_NHAN_SU!$B$6:$B$155,0)),"SAI MÃ NV"))</f>
        <v/>
      </c>
      <c r="D1066" s="86" t="n"/>
      <c r="E1066" s="103">
        <f>IF(OR($B1066="",$D1066=""),"",IF(COUNTIF(THAM_SO_CC!$F$10:$F$40,$D1066)&gt;0,"Lễ",IF(IF(THAM_SO_CC!$B$12="T7+CN",WEEKDAY($D1066,2)&gt;=6,WEEKDAY($D1066,2)=7),"Nghỉ tuần","Ngày thường")))</f>
        <v/>
      </c>
      <c r="F1066" s="107" t="n"/>
      <c r="G1066" s="107" t="n"/>
      <c r="H1066" s="107" t="n"/>
      <c r="I1066" s="81" t="n"/>
      <c r="J1066" s="108">
        <f>IF($B1066="","",IF($E1066="Ngày thường",N($G1066),0))</f>
        <v/>
      </c>
      <c r="K1066" s="108">
        <f>IF($B1066="","",IF($E1066="Nghỉ tuần",N($G1066),0))</f>
        <v/>
      </c>
      <c r="L1066" s="108">
        <f>IF($B1066="","",IF($E1066="Lễ",N($G1066),0))</f>
        <v/>
      </c>
      <c r="M1066" s="108">
        <f>IF($B1066="","",IF($E1066="Ngày thường",N($H1066),0))</f>
        <v/>
      </c>
      <c r="N1066" s="108">
        <f>IF($B1066="","",IF($E1066="Nghỉ tuần",N($H1066),0))</f>
        <v/>
      </c>
      <c r="O1066" s="108">
        <f>IF($B1066="","",IF($E1066="Lễ",N($H1066),0))</f>
        <v/>
      </c>
    </row>
    <row r="1067" ht="15" customHeight="1" s="63">
      <c r="A1067" s="85">
        <f>IF($B1067="","",ROW()-5)</f>
        <v/>
      </c>
      <c r="B1067" s="97" t="n"/>
      <c r="C1067" s="96">
        <f>IF($B1067="","",IFERROR(INDEX(DM_NHAN_SU!$C$6:$C$155,MATCH($B1067,DM_NHAN_SU!$B$6:$B$155,0)),"SAI MÃ NV"))</f>
        <v/>
      </c>
      <c r="D1067" s="86" t="n"/>
      <c r="E1067" s="103">
        <f>IF(OR($B1067="",$D1067=""),"",IF(COUNTIF(THAM_SO_CC!$F$10:$F$40,$D1067)&gt;0,"Lễ",IF(IF(THAM_SO_CC!$B$12="T7+CN",WEEKDAY($D1067,2)&gt;=6,WEEKDAY($D1067,2)=7),"Nghỉ tuần","Ngày thường")))</f>
        <v/>
      </c>
      <c r="F1067" s="107" t="n"/>
      <c r="G1067" s="107" t="n"/>
      <c r="H1067" s="107" t="n"/>
      <c r="I1067" s="81" t="n"/>
      <c r="J1067" s="108">
        <f>IF($B1067="","",IF($E1067="Ngày thường",N($G1067),0))</f>
        <v/>
      </c>
      <c r="K1067" s="108">
        <f>IF($B1067="","",IF($E1067="Nghỉ tuần",N($G1067),0))</f>
        <v/>
      </c>
      <c r="L1067" s="108">
        <f>IF($B1067="","",IF($E1067="Lễ",N($G1067),0))</f>
        <v/>
      </c>
      <c r="M1067" s="108">
        <f>IF($B1067="","",IF($E1067="Ngày thường",N($H1067),0))</f>
        <v/>
      </c>
      <c r="N1067" s="108">
        <f>IF($B1067="","",IF($E1067="Nghỉ tuần",N($H1067),0))</f>
        <v/>
      </c>
      <c r="O1067" s="108">
        <f>IF($B1067="","",IF($E1067="Lễ",N($H1067),0))</f>
        <v/>
      </c>
    </row>
    <row r="1068" ht="15" customHeight="1" s="63">
      <c r="A1068" s="85">
        <f>IF($B1068="","",ROW()-5)</f>
        <v/>
      </c>
      <c r="B1068" s="97" t="n"/>
      <c r="C1068" s="96">
        <f>IF($B1068="","",IFERROR(INDEX(DM_NHAN_SU!$C$6:$C$155,MATCH($B1068,DM_NHAN_SU!$B$6:$B$155,0)),"SAI MÃ NV"))</f>
        <v/>
      </c>
      <c r="D1068" s="86" t="n"/>
      <c r="E1068" s="103">
        <f>IF(OR($B1068="",$D1068=""),"",IF(COUNTIF(THAM_SO_CC!$F$10:$F$40,$D1068)&gt;0,"Lễ",IF(IF(THAM_SO_CC!$B$12="T7+CN",WEEKDAY($D1068,2)&gt;=6,WEEKDAY($D1068,2)=7),"Nghỉ tuần","Ngày thường")))</f>
        <v/>
      </c>
      <c r="F1068" s="107" t="n"/>
      <c r="G1068" s="107" t="n"/>
      <c r="H1068" s="107" t="n"/>
      <c r="I1068" s="81" t="n"/>
      <c r="J1068" s="108">
        <f>IF($B1068="","",IF($E1068="Ngày thường",N($G1068),0))</f>
        <v/>
      </c>
      <c r="K1068" s="108">
        <f>IF($B1068="","",IF($E1068="Nghỉ tuần",N($G1068),0))</f>
        <v/>
      </c>
      <c r="L1068" s="108">
        <f>IF($B1068="","",IF($E1068="Lễ",N($G1068),0))</f>
        <v/>
      </c>
      <c r="M1068" s="108">
        <f>IF($B1068="","",IF($E1068="Ngày thường",N($H1068),0))</f>
        <v/>
      </c>
      <c r="N1068" s="108">
        <f>IF($B1068="","",IF($E1068="Nghỉ tuần",N($H1068),0))</f>
        <v/>
      </c>
      <c r="O1068" s="108">
        <f>IF($B1068="","",IF($E1068="Lễ",N($H1068),0))</f>
        <v/>
      </c>
    </row>
    <row r="1069" ht="15" customHeight="1" s="63">
      <c r="A1069" s="85">
        <f>IF($B1069="","",ROW()-5)</f>
        <v/>
      </c>
      <c r="B1069" s="97" t="n"/>
      <c r="C1069" s="96">
        <f>IF($B1069="","",IFERROR(INDEX(DM_NHAN_SU!$C$6:$C$155,MATCH($B1069,DM_NHAN_SU!$B$6:$B$155,0)),"SAI MÃ NV"))</f>
        <v/>
      </c>
      <c r="D1069" s="86" t="n"/>
      <c r="E1069" s="103">
        <f>IF(OR($B1069="",$D1069=""),"",IF(COUNTIF(THAM_SO_CC!$F$10:$F$40,$D1069)&gt;0,"Lễ",IF(IF(THAM_SO_CC!$B$12="T7+CN",WEEKDAY($D1069,2)&gt;=6,WEEKDAY($D1069,2)=7),"Nghỉ tuần","Ngày thường")))</f>
        <v/>
      </c>
      <c r="F1069" s="107" t="n"/>
      <c r="G1069" s="107" t="n"/>
      <c r="H1069" s="107" t="n"/>
      <c r="I1069" s="81" t="n"/>
      <c r="J1069" s="108">
        <f>IF($B1069="","",IF($E1069="Ngày thường",N($G1069),0))</f>
        <v/>
      </c>
      <c r="K1069" s="108">
        <f>IF($B1069="","",IF($E1069="Nghỉ tuần",N($G1069),0))</f>
        <v/>
      </c>
      <c r="L1069" s="108">
        <f>IF($B1069="","",IF($E1069="Lễ",N($G1069),0))</f>
        <v/>
      </c>
      <c r="M1069" s="108">
        <f>IF($B1069="","",IF($E1069="Ngày thường",N($H1069),0))</f>
        <v/>
      </c>
      <c r="N1069" s="108">
        <f>IF($B1069="","",IF($E1069="Nghỉ tuần",N($H1069),0))</f>
        <v/>
      </c>
      <c r="O1069" s="108">
        <f>IF($B1069="","",IF($E1069="Lễ",N($H1069),0))</f>
        <v/>
      </c>
    </row>
    <row r="1070" ht="15" customHeight="1" s="63">
      <c r="A1070" s="85">
        <f>IF($B1070="","",ROW()-5)</f>
        <v/>
      </c>
      <c r="B1070" s="97" t="n"/>
      <c r="C1070" s="96">
        <f>IF($B1070="","",IFERROR(INDEX(DM_NHAN_SU!$C$6:$C$155,MATCH($B1070,DM_NHAN_SU!$B$6:$B$155,0)),"SAI MÃ NV"))</f>
        <v/>
      </c>
      <c r="D1070" s="86" t="n"/>
      <c r="E1070" s="103">
        <f>IF(OR($B1070="",$D1070=""),"",IF(COUNTIF(THAM_SO_CC!$F$10:$F$40,$D1070)&gt;0,"Lễ",IF(IF(THAM_SO_CC!$B$12="T7+CN",WEEKDAY($D1070,2)&gt;=6,WEEKDAY($D1070,2)=7),"Nghỉ tuần","Ngày thường")))</f>
        <v/>
      </c>
      <c r="F1070" s="107" t="n"/>
      <c r="G1070" s="107" t="n"/>
      <c r="H1070" s="107" t="n"/>
      <c r="I1070" s="81" t="n"/>
      <c r="J1070" s="108">
        <f>IF($B1070="","",IF($E1070="Ngày thường",N($G1070),0))</f>
        <v/>
      </c>
      <c r="K1070" s="108">
        <f>IF($B1070="","",IF($E1070="Nghỉ tuần",N($G1070),0))</f>
        <v/>
      </c>
      <c r="L1070" s="108">
        <f>IF($B1070="","",IF($E1070="Lễ",N($G1070),0))</f>
        <v/>
      </c>
      <c r="M1070" s="108">
        <f>IF($B1070="","",IF($E1070="Ngày thường",N($H1070),0))</f>
        <v/>
      </c>
      <c r="N1070" s="108">
        <f>IF($B1070="","",IF($E1070="Nghỉ tuần",N($H1070),0))</f>
        <v/>
      </c>
      <c r="O1070" s="108">
        <f>IF($B1070="","",IF($E1070="Lễ",N($H1070),0))</f>
        <v/>
      </c>
    </row>
    <row r="1071" ht="15" customHeight="1" s="63">
      <c r="A1071" s="85">
        <f>IF($B1071="","",ROW()-5)</f>
        <v/>
      </c>
      <c r="B1071" s="97" t="n"/>
      <c r="C1071" s="96">
        <f>IF($B1071="","",IFERROR(INDEX(DM_NHAN_SU!$C$6:$C$155,MATCH($B1071,DM_NHAN_SU!$B$6:$B$155,0)),"SAI MÃ NV"))</f>
        <v/>
      </c>
      <c r="D1071" s="86" t="n"/>
      <c r="E1071" s="103">
        <f>IF(OR($B1071="",$D1071=""),"",IF(COUNTIF(THAM_SO_CC!$F$10:$F$40,$D1071)&gt;0,"Lễ",IF(IF(THAM_SO_CC!$B$12="T7+CN",WEEKDAY($D1071,2)&gt;=6,WEEKDAY($D1071,2)=7),"Nghỉ tuần","Ngày thường")))</f>
        <v/>
      </c>
      <c r="F1071" s="107" t="n"/>
      <c r="G1071" s="107" t="n"/>
      <c r="H1071" s="107" t="n"/>
      <c r="I1071" s="81" t="n"/>
      <c r="J1071" s="108">
        <f>IF($B1071="","",IF($E1071="Ngày thường",N($G1071),0))</f>
        <v/>
      </c>
      <c r="K1071" s="108">
        <f>IF($B1071="","",IF($E1071="Nghỉ tuần",N($G1071),0))</f>
        <v/>
      </c>
      <c r="L1071" s="108">
        <f>IF($B1071="","",IF($E1071="Lễ",N($G1071),0))</f>
        <v/>
      </c>
      <c r="M1071" s="108">
        <f>IF($B1071="","",IF($E1071="Ngày thường",N($H1071),0))</f>
        <v/>
      </c>
      <c r="N1071" s="108">
        <f>IF($B1071="","",IF($E1071="Nghỉ tuần",N($H1071),0))</f>
        <v/>
      </c>
      <c r="O1071" s="108">
        <f>IF($B1071="","",IF($E1071="Lễ",N($H1071),0))</f>
        <v/>
      </c>
    </row>
    <row r="1072" ht="15" customHeight="1" s="63">
      <c r="A1072" s="85">
        <f>IF($B1072="","",ROW()-5)</f>
        <v/>
      </c>
      <c r="B1072" s="97" t="n"/>
      <c r="C1072" s="96">
        <f>IF($B1072="","",IFERROR(INDEX(DM_NHAN_SU!$C$6:$C$155,MATCH($B1072,DM_NHAN_SU!$B$6:$B$155,0)),"SAI MÃ NV"))</f>
        <v/>
      </c>
      <c r="D1072" s="86" t="n"/>
      <c r="E1072" s="103">
        <f>IF(OR($B1072="",$D1072=""),"",IF(COUNTIF(THAM_SO_CC!$F$10:$F$40,$D1072)&gt;0,"Lễ",IF(IF(THAM_SO_CC!$B$12="T7+CN",WEEKDAY($D1072,2)&gt;=6,WEEKDAY($D1072,2)=7),"Nghỉ tuần","Ngày thường")))</f>
        <v/>
      </c>
      <c r="F1072" s="107" t="n"/>
      <c r="G1072" s="107" t="n"/>
      <c r="H1072" s="107" t="n"/>
      <c r="I1072" s="81" t="n"/>
      <c r="J1072" s="108">
        <f>IF($B1072="","",IF($E1072="Ngày thường",N($G1072),0))</f>
        <v/>
      </c>
      <c r="K1072" s="108">
        <f>IF($B1072="","",IF($E1072="Nghỉ tuần",N($G1072),0))</f>
        <v/>
      </c>
      <c r="L1072" s="108">
        <f>IF($B1072="","",IF($E1072="Lễ",N($G1072),0))</f>
        <v/>
      </c>
      <c r="M1072" s="108">
        <f>IF($B1072="","",IF($E1072="Ngày thường",N($H1072),0))</f>
        <v/>
      </c>
      <c r="N1072" s="108">
        <f>IF($B1072="","",IF($E1072="Nghỉ tuần",N($H1072),0))</f>
        <v/>
      </c>
      <c r="O1072" s="108">
        <f>IF($B1072="","",IF($E1072="Lễ",N($H1072),0))</f>
        <v/>
      </c>
    </row>
    <row r="1073" ht="15" customHeight="1" s="63">
      <c r="A1073" s="85">
        <f>IF($B1073="","",ROW()-5)</f>
        <v/>
      </c>
      <c r="B1073" s="97" t="n"/>
      <c r="C1073" s="96">
        <f>IF($B1073="","",IFERROR(INDEX(DM_NHAN_SU!$C$6:$C$155,MATCH($B1073,DM_NHAN_SU!$B$6:$B$155,0)),"SAI MÃ NV"))</f>
        <v/>
      </c>
      <c r="D1073" s="86" t="n"/>
      <c r="E1073" s="103">
        <f>IF(OR($B1073="",$D1073=""),"",IF(COUNTIF(THAM_SO_CC!$F$10:$F$40,$D1073)&gt;0,"Lễ",IF(IF(THAM_SO_CC!$B$12="T7+CN",WEEKDAY($D1073,2)&gt;=6,WEEKDAY($D1073,2)=7),"Nghỉ tuần","Ngày thường")))</f>
        <v/>
      </c>
      <c r="F1073" s="107" t="n"/>
      <c r="G1073" s="107" t="n"/>
      <c r="H1073" s="107" t="n"/>
      <c r="I1073" s="81" t="n"/>
      <c r="J1073" s="108">
        <f>IF($B1073="","",IF($E1073="Ngày thường",N($G1073),0))</f>
        <v/>
      </c>
      <c r="K1073" s="108">
        <f>IF($B1073="","",IF($E1073="Nghỉ tuần",N($G1073),0))</f>
        <v/>
      </c>
      <c r="L1073" s="108">
        <f>IF($B1073="","",IF($E1073="Lễ",N($G1073),0))</f>
        <v/>
      </c>
      <c r="M1073" s="108">
        <f>IF($B1073="","",IF($E1073="Ngày thường",N($H1073),0))</f>
        <v/>
      </c>
      <c r="N1073" s="108">
        <f>IF($B1073="","",IF($E1073="Nghỉ tuần",N($H1073),0))</f>
        <v/>
      </c>
      <c r="O1073" s="108">
        <f>IF($B1073="","",IF($E1073="Lễ",N($H1073),0))</f>
        <v/>
      </c>
    </row>
    <row r="1074" ht="15" customHeight="1" s="63">
      <c r="A1074" s="85">
        <f>IF($B1074="","",ROW()-5)</f>
        <v/>
      </c>
      <c r="B1074" s="97" t="n"/>
      <c r="C1074" s="96">
        <f>IF($B1074="","",IFERROR(INDEX(DM_NHAN_SU!$C$6:$C$155,MATCH($B1074,DM_NHAN_SU!$B$6:$B$155,0)),"SAI MÃ NV"))</f>
        <v/>
      </c>
      <c r="D1074" s="86" t="n"/>
      <c r="E1074" s="103">
        <f>IF(OR($B1074="",$D1074=""),"",IF(COUNTIF(THAM_SO_CC!$F$10:$F$40,$D1074)&gt;0,"Lễ",IF(IF(THAM_SO_CC!$B$12="T7+CN",WEEKDAY($D1074,2)&gt;=6,WEEKDAY($D1074,2)=7),"Nghỉ tuần","Ngày thường")))</f>
        <v/>
      </c>
      <c r="F1074" s="107" t="n"/>
      <c r="G1074" s="107" t="n"/>
      <c r="H1074" s="107" t="n"/>
      <c r="I1074" s="81" t="n"/>
      <c r="J1074" s="108">
        <f>IF($B1074="","",IF($E1074="Ngày thường",N($G1074),0))</f>
        <v/>
      </c>
      <c r="K1074" s="108">
        <f>IF($B1074="","",IF($E1074="Nghỉ tuần",N($G1074),0))</f>
        <v/>
      </c>
      <c r="L1074" s="108">
        <f>IF($B1074="","",IF($E1074="Lễ",N($G1074),0))</f>
        <v/>
      </c>
      <c r="M1074" s="108">
        <f>IF($B1074="","",IF($E1074="Ngày thường",N($H1074),0))</f>
        <v/>
      </c>
      <c r="N1074" s="108">
        <f>IF($B1074="","",IF($E1074="Nghỉ tuần",N($H1074),0))</f>
        <v/>
      </c>
      <c r="O1074" s="108">
        <f>IF($B1074="","",IF($E1074="Lễ",N($H1074),0))</f>
        <v/>
      </c>
    </row>
    <row r="1075" ht="15" customHeight="1" s="63">
      <c r="A1075" s="85">
        <f>IF($B1075="","",ROW()-5)</f>
        <v/>
      </c>
      <c r="B1075" s="97" t="n"/>
      <c r="C1075" s="96">
        <f>IF($B1075="","",IFERROR(INDEX(DM_NHAN_SU!$C$6:$C$155,MATCH($B1075,DM_NHAN_SU!$B$6:$B$155,0)),"SAI MÃ NV"))</f>
        <v/>
      </c>
      <c r="D1075" s="86" t="n"/>
      <c r="E1075" s="103">
        <f>IF(OR($B1075="",$D1075=""),"",IF(COUNTIF(THAM_SO_CC!$F$10:$F$40,$D1075)&gt;0,"Lễ",IF(IF(THAM_SO_CC!$B$12="T7+CN",WEEKDAY($D1075,2)&gt;=6,WEEKDAY($D1075,2)=7),"Nghỉ tuần","Ngày thường")))</f>
        <v/>
      </c>
      <c r="F1075" s="107" t="n"/>
      <c r="G1075" s="107" t="n"/>
      <c r="H1075" s="107" t="n"/>
      <c r="I1075" s="81" t="n"/>
      <c r="J1075" s="108">
        <f>IF($B1075="","",IF($E1075="Ngày thường",N($G1075),0))</f>
        <v/>
      </c>
      <c r="K1075" s="108">
        <f>IF($B1075="","",IF($E1075="Nghỉ tuần",N($G1075),0))</f>
        <v/>
      </c>
      <c r="L1075" s="108">
        <f>IF($B1075="","",IF($E1075="Lễ",N($G1075),0))</f>
        <v/>
      </c>
      <c r="M1075" s="108">
        <f>IF($B1075="","",IF($E1075="Ngày thường",N($H1075),0))</f>
        <v/>
      </c>
      <c r="N1075" s="108">
        <f>IF($B1075="","",IF($E1075="Nghỉ tuần",N($H1075),0))</f>
        <v/>
      </c>
      <c r="O1075" s="108">
        <f>IF($B1075="","",IF($E1075="Lễ",N($H1075),0))</f>
        <v/>
      </c>
    </row>
    <row r="1076" ht="15" customHeight="1" s="63">
      <c r="A1076" s="85">
        <f>IF($B1076="","",ROW()-5)</f>
        <v/>
      </c>
      <c r="B1076" s="97" t="n"/>
      <c r="C1076" s="96">
        <f>IF($B1076="","",IFERROR(INDEX(DM_NHAN_SU!$C$6:$C$155,MATCH($B1076,DM_NHAN_SU!$B$6:$B$155,0)),"SAI MÃ NV"))</f>
        <v/>
      </c>
      <c r="D1076" s="86" t="n"/>
      <c r="E1076" s="103">
        <f>IF(OR($B1076="",$D1076=""),"",IF(COUNTIF(THAM_SO_CC!$F$10:$F$40,$D1076)&gt;0,"Lễ",IF(IF(THAM_SO_CC!$B$12="T7+CN",WEEKDAY($D1076,2)&gt;=6,WEEKDAY($D1076,2)=7),"Nghỉ tuần","Ngày thường")))</f>
        <v/>
      </c>
      <c r="F1076" s="107" t="n"/>
      <c r="G1076" s="107" t="n"/>
      <c r="H1076" s="107" t="n"/>
      <c r="I1076" s="81" t="n"/>
      <c r="J1076" s="108">
        <f>IF($B1076="","",IF($E1076="Ngày thường",N($G1076),0))</f>
        <v/>
      </c>
      <c r="K1076" s="108">
        <f>IF($B1076="","",IF($E1076="Nghỉ tuần",N($G1076),0))</f>
        <v/>
      </c>
      <c r="L1076" s="108">
        <f>IF($B1076="","",IF($E1076="Lễ",N($G1076),0))</f>
        <v/>
      </c>
      <c r="M1076" s="108">
        <f>IF($B1076="","",IF($E1076="Ngày thường",N($H1076),0))</f>
        <v/>
      </c>
      <c r="N1076" s="108">
        <f>IF($B1076="","",IF($E1076="Nghỉ tuần",N($H1076),0))</f>
        <v/>
      </c>
      <c r="O1076" s="108">
        <f>IF($B1076="","",IF($E1076="Lễ",N($H1076),0))</f>
        <v/>
      </c>
    </row>
    <row r="1077" ht="15" customHeight="1" s="63">
      <c r="A1077" s="85">
        <f>IF($B1077="","",ROW()-5)</f>
        <v/>
      </c>
      <c r="B1077" s="97" t="n"/>
      <c r="C1077" s="96">
        <f>IF($B1077="","",IFERROR(INDEX(DM_NHAN_SU!$C$6:$C$155,MATCH($B1077,DM_NHAN_SU!$B$6:$B$155,0)),"SAI MÃ NV"))</f>
        <v/>
      </c>
      <c r="D1077" s="86" t="n"/>
      <c r="E1077" s="103">
        <f>IF(OR($B1077="",$D1077=""),"",IF(COUNTIF(THAM_SO_CC!$F$10:$F$40,$D1077)&gt;0,"Lễ",IF(IF(THAM_SO_CC!$B$12="T7+CN",WEEKDAY($D1077,2)&gt;=6,WEEKDAY($D1077,2)=7),"Nghỉ tuần","Ngày thường")))</f>
        <v/>
      </c>
      <c r="F1077" s="107" t="n"/>
      <c r="G1077" s="107" t="n"/>
      <c r="H1077" s="107" t="n"/>
      <c r="I1077" s="81" t="n"/>
      <c r="J1077" s="108">
        <f>IF($B1077="","",IF($E1077="Ngày thường",N($G1077),0))</f>
        <v/>
      </c>
      <c r="K1077" s="108">
        <f>IF($B1077="","",IF($E1077="Nghỉ tuần",N($G1077),0))</f>
        <v/>
      </c>
      <c r="L1077" s="108">
        <f>IF($B1077="","",IF($E1077="Lễ",N($G1077),0))</f>
        <v/>
      </c>
      <c r="M1077" s="108">
        <f>IF($B1077="","",IF($E1077="Ngày thường",N($H1077),0))</f>
        <v/>
      </c>
      <c r="N1077" s="108">
        <f>IF($B1077="","",IF($E1077="Nghỉ tuần",N($H1077),0))</f>
        <v/>
      </c>
      <c r="O1077" s="108">
        <f>IF($B1077="","",IF($E1077="Lễ",N($H1077),0))</f>
        <v/>
      </c>
    </row>
    <row r="1078" ht="15" customHeight="1" s="63">
      <c r="A1078" s="85">
        <f>IF($B1078="","",ROW()-5)</f>
        <v/>
      </c>
      <c r="B1078" s="97" t="n"/>
      <c r="C1078" s="96">
        <f>IF($B1078="","",IFERROR(INDEX(DM_NHAN_SU!$C$6:$C$155,MATCH($B1078,DM_NHAN_SU!$B$6:$B$155,0)),"SAI MÃ NV"))</f>
        <v/>
      </c>
      <c r="D1078" s="86" t="n"/>
      <c r="E1078" s="103">
        <f>IF(OR($B1078="",$D1078=""),"",IF(COUNTIF(THAM_SO_CC!$F$10:$F$40,$D1078)&gt;0,"Lễ",IF(IF(THAM_SO_CC!$B$12="T7+CN",WEEKDAY($D1078,2)&gt;=6,WEEKDAY($D1078,2)=7),"Nghỉ tuần","Ngày thường")))</f>
        <v/>
      </c>
      <c r="F1078" s="107" t="n"/>
      <c r="G1078" s="107" t="n"/>
      <c r="H1078" s="107" t="n"/>
      <c r="I1078" s="81" t="n"/>
      <c r="J1078" s="108">
        <f>IF($B1078="","",IF($E1078="Ngày thường",N($G1078),0))</f>
        <v/>
      </c>
      <c r="K1078" s="108">
        <f>IF($B1078="","",IF($E1078="Nghỉ tuần",N($G1078),0))</f>
        <v/>
      </c>
      <c r="L1078" s="108">
        <f>IF($B1078="","",IF($E1078="Lễ",N($G1078),0))</f>
        <v/>
      </c>
      <c r="M1078" s="108">
        <f>IF($B1078="","",IF($E1078="Ngày thường",N($H1078),0))</f>
        <v/>
      </c>
      <c r="N1078" s="108">
        <f>IF($B1078="","",IF($E1078="Nghỉ tuần",N($H1078),0))</f>
        <v/>
      </c>
      <c r="O1078" s="108">
        <f>IF($B1078="","",IF($E1078="Lễ",N($H1078),0))</f>
        <v/>
      </c>
    </row>
    <row r="1079" ht="15" customHeight="1" s="63">
      <c r="A1079" s="85">
        <f>IF($B1079="","",ROW()-5)</f>
        <v/>
      </c>
      <c r="B1079" s="97" t="n"/>
      <c r="C1079" s="96">
        <f>IF($B1079="","",IFERROR(INDEX(DM_NHAN_SU!$C$6:$C$155,MATCH($B1079,DM_NHAN_SU!$B$6:$B$155,0)),"SAI MÃ NV"))</f>
        <v/>
      </c>
      <c r="D1079" s="86" t="n"/>
      <c r="E1079" s="103">
        <f>IF(OR($B1079="",$D1079=""),"",IF(COUNTIF(THAM_SO_CC!$F$10:$F$40,$D1079)&gt;0,"Lễ",IF(IF(THAM_SO_CC!$B$12="T7+CN",WEEKDAY($D1079,2)&gt;=6,WEEKDAY($D1079,2)=7),"Nghỉ tuần","Ngày thường")))</f>
        <v/>
      </c>
      <c r="F1079" s="107" t="n"/>
      <c r="G1079" s="107" t="n"/>
      <c r="H1079" s="107" t="n"/>
      <c r="I1079" s="81" t="n"/>
      <c r="J1079" s="108">
        <f>IF($B1079="","",IF($E1079="Ngày thường",N($G1079),0))</f>
        <v/>
      </c>
      <c r="K1079" s="108">
        <f>IF($B1079="","",IF($E1079="Nghỉ tuần",N($G1079),0))</f>
        <v/>
      </c>
      <c r="L1079" s="108">
        <f>IF($B1079="","",IF($E1079="Lễ",N($G1079),0))</f>
        <v/>
      </c>
      <c r="M1079" s="108">
        <f>IF($B1079="","",IF($E1079="Ngày thường",N($H1079),0))</f>
        <v/>
      </c>
      <c r="N1079" s="108">
        <f>IF($B1079="","",IF($E1079="Nghỉ tuần",N($H1079),0))</f>
        <v/>
      </c>
      <c r="O1079" s="108">
        <f>IF($B1079="","",IF($E1079="Lễ",N($H1079),0))</f>
        <v/>
      </c>
    </row>
    <row r="1080" ht="15" customHeight="1" s="63">
      <c r="A1080" s="85">
        <f>IF($B1080="","",ROW()-5)</f>
        <v/>
      </c>
      <c r="B1080" s="97" t="n"/>
      <c r="C1080" s="96">
        <f>IF($B1080="","",IFERROR(INDEX(DM_NHAN_SU!$C$6:$C$155,MATCH($B1080,DM_NHAN_SU!$B$6:$B$155,0)),"SAI MÃ NV"))</f>
        <v/>
      </c>
      <c r="D1080" s="86" t="n"/>
      <c r="E1080" s="103">
        <f>IF(OR($B1080="",$D1080=""),"",IF(COUNTIF(THAM_SO_CC!$F$10:$F$40,$D1080)&gt;0,"Lễ",IF(IF(THAM_SO_CC!$B$12="T7+CN",WEEKDAY($D1080,2)&gt;=6,WEEKDAY($D1080,2)=7),"Nghỉ tuần","Ngày thường")))</f>
        <v/>
      </c>
      <c r="F1080" s="107" t="n"/>
      <c r="G1080" s="107" t="n"/>
      <c r="H1080" s="107" t="n"/>
      <c r="I1080" s="81" t="n"/>
      <c r="J1080" s="108">
        <f>IF($B1080="","",IF($E1080="Ngày thường",N($G1080),0))</f>
        <v/>
      </c>
      <c r="K1080" s="108">
        <f>IF($B1080="","",IF($E1080="Nghỉ tuần",N($G1080),0))</f>
        <v/>
      </c>
      <c r="L1080" s="108">
        <f>IF($B1080="","",IF($E1080="Lễ",N($G1080),0))</f>
        <v/>
      </c>
      <c r="M1080" s="108">
        <f>IF($B1080="","",IF($E1080="Ngày thường",N($H1080),0))</f>
        <v/>
      </c>
      <c r="N1080" s="108">
        <f>IF($B1080="","",IF($E1080="Nghỉ tuần",N($H1080),0))</f>
        <v/>
      </c>
      <c r="O1080" s="108">
        <f>IF($B1080="","",IF($E1080="Lễ",N($H1080),0))</f>
        <v/>
      </c>
    </row>
    <row r="1081" ht="15" customHeight="1" s="63">
      <c r="A1081" s="85">
        <f>IF($B1081="","",ROW()-5)</f>
        <v/>
      </c>
      <c r="B1081" s="97" t="n"/>
      <c r="C1081" s="96">
        <f>IF($B1081="","",IFERROR(INDEX(DM_NHAN_SU!$C$6:$C$155,MATCH($B1081,DM_NHAN_SU!$B$6:$B$155,0)),"SAI MÃ NV"))</f>
        <v/>
      </c>
      <c r="D1081" s="86" t="n"/>
      <c r="E1081" s="103">
        <f>IF(OR($B1081="",$D1081=""),"",IF(COUNTIF(THAM_SO_CC!$F$10:$F$40,$D1081)&gt;0,"Lễ",IF(IF(THAM_SO_CC!$B$12="T7+CN",WEEKDAY($D1081,2)&gt;=6,WEEKDAY($D1081,2)=7),"Nghỉ tuần","Ngày thường")))</f>
        <v/>
      </c>
      <c r="F1081" s="107" t="n"/>
      <c r="G1081" s="107" t="n"/>
      <c r="H1081" s="107" t="n"/>
      <c r="I1081" s="81" t="n"/>
      <c r="J1081" s="108">
        <f>IF($B1081="","",IF($E1081="Ngày thường",N($G1081),0))</f>
        <v/>
      </c>
      <c r="K1081" s="108">
        <f>IF($B1081="","",IF($E1081="Nghỉ tuần",N($G1081),0))</f>
        <v/>
      </c>
      <c r="L1081" s="108">
        <f>IF($B1081="","",IF($E1081="Lễ",N($G1081),0))</f>
        <v/>
      </c>
      <c r="M1081" s="108">
        <f>IF($B1081="","",IF($E1081="Ngày thường",N($H1081),0))</f>
        <v/>
      </c>
      <c r="N1081" s="108">
        <f>IF($B1081="","",IF($E1081="Nghỉ tuần",N($H1081),0))</f>
        <v/>
      </c>
      <c r="O1081" s="108">
        <f>IF($B1081="","",IF($E1081="Lễ",N($H1081),0))</f>
        <v/>
      </c>
    </row>
    <row r="1082" ht="15" customHeight="1" s="63">
      <c r="A1082" s="85">
        <f>IF($B1082="","",ROW()-5)</f>
        <v/>
      </c>
      <c r="B1082" s="97" t="n"/>
      <c r="C1082" s="96">
        <f>IF($B1082="","",IFERROR(INDEX(DM_NHAN_SU!$C$6:$C$155,MATCH($B1082,DM_NHAN_SU!$B$6:$B$155,0)),"SAI MÃ NV"))</f>
        <v/>
      </c>
      <c r="D1082" s="86" t="n"/>
      <c r="E1082" s="103">
        <f>IF(OR($B1082="",$D1082=""),"",IF(COUNTIF(THAM_SO_CC!$F$10:$F$40,$D1082)&gt;0,"Lễ",IF(IF(THAM_SO_CC!$B$12="T7+CN",WEEKDAY($D1082,2)&gt;=6,WEEKDAY($D1082,2)=7),"Nghỉ tuần","Ngày thường")))</f>
        <v/>
      </c>
      <c r="F1082" s="107" t="n"/>
      <c r="G1082" s="107" t="n"/>
      <c r="H1082" s="107" t="n"/>
      <c r="I1082" s="81" t="n"/>
      <c r="J1082" s="108">
        <f>IF($B1082="","",IF($E1082="Ngày thường",N($G1082),0))</f>
        <v/>
      </c>
      <c r="K1082" s="108">
        <f>IF($B1082="","",IF($E1082="Nghỉ tuần",N($G1082),0))</f>
        <v/>
      </c>
      <c r="L1082" s="108">
        <f>IF($B1082="","",IF($E1082="Lễ",N($G1082),0))</f>
        <v/>
      </c>
      <c r="M1082" s="108">
        <f>IF($B1082="","",IF($E1082="Ngày thường",N($H1082),0))</f>
        <v/>
      </c>
      <c r="N1082" s="108">
        <f>IF($B1082="","",IF($E1082="Nghỉ tuần",N($H1082),0))</f>
        <v/>
      </c>
      <c r="O1082" s="108">
        <f>IF($B1082="","",IF($E1082="Lễ",N($H1082),0))</f>
        <v/>
      </c>
    </row>
    <row r="1083" ht="15" customHeight="1" s="63">
      <c r="A1083" s="85">
        <f>IF($B1083="","",ROW()-5)</f>
        <v/>
      </c>
      <c r="B1083" s="97" t="n"/>
      <c r="C1083" s="96">
        <f>IF($B1083="","",IFERROR(INDEX(DM_NHAN_SU!$C$6:$C$155,MATCH($B1083,DM_NHAN_SU!$B$6:$B$155,0)),"SAI MÃ NV"))</f>
        <v/>
      </c>
      <c r="D1083" s="86" t="n"/>
      <c r="E1083" s="103">
        <f>IF(OR($B1083="",$D1083=""),"",IF(COUNTIF(THAM_SO_CC!$F$10:$F$40,$D1083)&gt;0,"Lễ",IF(IF(THAM_SO_CC!$B$12="T7+CN",WEEKDAY($D1083,2)&gt;=6,WEEKDAY($D1083,2)=7),"Nghỉ tuần","Ngày thường")))</f>
        <v/>
      </c>
      <c r="F1083" s="107" t="n"/>
      <c r="G1083" s="107" t="n"/>
      <c r="H1083" s="107" t="n"/>
      <c r="I1083" s="81" t="n"/>
      <c r="J1083" s="108">
        <f>IF($B1083="","",IF($E1083="Ngày thường",N($G1083),0))</f>
        <v/>
      </c>
      <c r="K1083" s="108">
        <f>IF($B1083="","",IF($E1083="Nghỉ tuần",N($G1083),0))</f>
        <v/>
      </c>
      <c r="L1083" s="108">
        <f>IF($B1083="","",IF($E1083="Lễ",N($G1083),0))</f>
        <v/>
      </c>
      <c r="M1083" s="108">
        <f>IF($B1083="","",IF($E1083="Ngày thường",N($H1083),0))</f>
        <v/>
      </c>
      <c r="N1083" s="108">
        <f>IF($B1083="","",IF($E1083="Nghỉ tuần",N($H1083),0))</f>
        <v/>
      </c>
      <c r="O1083" s="108">
        <f>IF($B1083="","",IF($E1083="Lễ",N($H1083),0))</f>
        <v/>
      </c>
    </row>
    <row r="1084" ht="15" customHeight="1" s="63">
      <c r="A1084" s="85">
        <f>IF($B1084="","",ROW()-5)</f>
        <v/>
      </c>
      <c r="B1084" s="97" t="n"/>
      <c r="C1084" s="96">
        <f>IF($B1084="","",IFERROR(INDEX(DM_NHAN_SU!$C$6:$C$155,MATCH($B1084,DM_NHAN_SU!$B$6:$B$155,0)),"SAI MÃ NV"))</f>
        <v/>
      </c>
      <c r="D1084" s="86" t="n"/>
      <c r="E1084" s="103">
        <f>IF(OR($B1084="",$D1084=""),"",IF(COUNTIF(THAM_SO_CC!$F$10:$F$40,$D1084)&gt;0,"Lễ",IF(IF(THAM_SO_CC!$B$12="T7+CN",WEEKDAY($D1084,2)&gt;=6,WEEKDAY($D1084,2)=7),"Nghỉ tuần","Ngày thường")))</f>
        <v/>
      </c>
      <c r="F1084" s="107" t="n"/>
      <c r="G1084" s="107" t="n"/>
      <c r="H1084" s="107" t="n"/>
      <c r="I1084" s="81" t="n"/>
      <c r="J1084" s="108">
        <f>IF($B1084="","",IF($E1084="Ngày thường",N($G1084),0))</f>
        <v/>
      </c>
      <c r="K1084" s="108">
        <f>IF($B1084="","",IF($E1084="Nghỉ tuần",N($G1084),0))</f>
        <v/>
      </c>
      <c r="L1084" s="108">
        <f>IF($B1084="","",IF($E1084="Lễ",N($G1084),0))</f>
        <v/>
      </c>
      <c r="M1084" s="108">
        <f>IF($B1084="","",IF($E1084="Ngày thường",N($H1084),0))</f>
        <v/>
      </c>
      <c r="N1084" s="108">
        <f>IF($B1084="","",IF($E1084="Nghỉ tuần",N($H1084),0))</f>
        <v/>
      </c>
      <c r="O1084" s="108">
        <f>IF($B1084="","",IF($E1084="Lễ",N($H1084),0))</f>
        <v/>
      </c>
    </row>
    <row r="1085" ht="15" customHeight="1" s="63">
      <c r="A1085" s="85">
        <f>IF($B1085="","",ROW()-5)</f>
        <v/>
      </c>
      <c r="B1085" s="97" t="n"/>
      <c r="C1085" s="96">
        <f>IF($B1085="","",IFERROR(INDEX(DM_NHAN_SU!$C$6:$C$155,MATCH($B1085,DM_NHAN_SU!$B$6:$B$155,0)),"SAI MÃ NV"))</f>
        <v/>
      </c>
      <c r="D1085" s="86" t="n"/>
      <c r="E1085" s="103">
        <f>IF(OR($B1085="",$D1085=""),"",IF(COUNTIF(THAM_SO_CC!$F$10:$F$40,$D1085)&gt;0,"Lễ",IF(IF(THAM_SO_CC!$B$12="T7+CN",WEEKDAY($D1085,2)&gt;=6,WEEKDAY($D1085,2)=7),"Nghỉ tuần","Ngày thường")))</f>
        <v/>
      </c>
      <c r="F1085" s="107" t="n"/>
      <c r="G1085" s="107" t="n"/>
      <c r="H1085" s="107" t="n"/>
      <c r="I1085" s="81" t="n"/>
      <c r="J1085" s="108">
        <f>IF($B1085="","",IF($E1085="Ngày thường",N($G1085),0))</f>
        <v/>
      </c>
      <c r="K1085" s="108">
        <f>IF($B1085="","",IF($E1085="Nghỉ tuần",N($G1085),0))</f>
        <v/>
      </c>
      <c r="L1085" s="108">
        <f>IF($B1085="","",IF($E1085="Lễ",N($G1085),0))</f>
        <v/>
      </c>
      <c r="M1085" s="108">
        <f>IF($B1085="","",IF($E1085="Ngày thường",N($H1085),0))</f>
        <v/>
      </c>
      <c r="N1085" s="108">
        <f>IF($B1085="","",IF($E1085="Nghỉ tuần",N($H1085),0))</f>
        <v/>
      </c>
      <c r="O1085" s="108">
        <f>IF($B1085="","",IF($E1085="Lễ",N($H1085),0))</f>
        <v/>
      </c>
    </row>
    <row r="1086" ht="15" customHeight="1" s="63">
      <c r="A1086" s="85">
        <f>IF($B1086="","",ROW()-5)</f>
        <v/>
      </c>
      <c r="B1086" s="97" t="n"/>
      <c r="C1086" s="96">
        <f>IF($B1086="","",IFERROR(INDEX(DM_NHAN_SU!$C$6:$C$155,MATCH($B1086,DM_NHAN_SU!$B$6:$B$155,0)),"SAI MÃ NV"))</f>
        <v/>
      </c>
      <c r="D1086" s="86" t="n"/>
      <c r="E1086" s="103">
        <f>IF(OR($B1086="",$D1086=""),"",IF(COUNTIF(THAM_SO_CC!$F$10:$F$40,$D1086)&gt;0,"Lễ",IF(IF(THAM_SO_CC!$B$12="T7+CN",WEEKDAY($D1086,2)&gt;=6,WEEKDAY($D1086,2)=7),"Nghỉ tuần","Ngày thường")))</f>
        <v/>
      </c>
      <c r="F1086" s="107" t="n"/>
      <c r="G1086" s="107" t="n"/>
      <c r="H1086" s="107" t="n"/>
      <c r="I1086" s="81" t="n"/>
      <c r="J1086" s="108">
        <f>IF($B1086="","",IF($E1086="Ngày thường",N($G1086),0))</f>
        <v/>
      </c>
      <c r="K1086" s="108">
        <f>IF($B1086="","",IF($E1086="Nghỉ tuần",N($G1086),0))</f>
        <v/>
      </c>
      <c r="L1086" s="108">
        <f>IF($B1086="","",IF($E1086="Lễ",N($G1086),0))</f>
        <v/>
      </c>
      <c r="M1086" s="108">
        <f>IF($B1086="","",IF($E1086="Ngày thường",N($H1086),0))</f>
        <v/>
      </c>
      <c r="N1086" s="108">
        <f>IF($B1086="","",IF($E1086="Nghỉ tuần",N($H1086),0))</f>
        <v/>
      </c>
      <c r="O1086" s="108">
        <f>IF($B1086="","",IF($E1086="Lễ",N($H1086),0))</f>
        <v/>
      </c>
    </row>
    <row r="1087" ht="15" customHeight="1" s="63">
      <c r="A1087" s="85">
        <f>IF($B1087="","",ROW()-5)</f>
        <v/>
      </c>
      <c r="B1087" s="97" t="n"/>
      <c r="C1087" s="96">
        <f>IF($B1087="","",IFERROR(INDEX(DM_NHAN_SU!$C$6:$C$155,MATCH($B1087,DM_NHAN_SU!$B$6:$B$155,0)),"SAI MÃ NV"))</f>
        <v/>
      </c>
      <c r="D1087" s="86" t="n"/>
      <c r="E1087" s="103">
        <f>IF(OR($B1087="",$D1087=""),"",IF(COUNTIF(THAM_SO_CC!$F$10:$F$40,$D1087)&gt;0,"Lễ",IF(IF(THAM_SO_CC!$B$12="T7+CN",WEEKDAY($D1087,2)&gt;=6,WEEKDAY($D1087,2)=7),"Nghỉ tuần","Ngày thường")))</f>
        <v/>
      </c>
      <c r="F1087" s="107" t="n"/>
      <c r="G1087" s="107" t="n"/>
      <c r="H1087" s="107" t="n"/>
      <c r="I1087" s="81" t="n"/>
      <c r="J1087" s="108">
        <f>IF($B1087="","",IF($E1087="Ngày thường",N($G1087),0))</f>
        <v/>
      </c>
      <c r="K1087" s="108">
        <f>IF($B1087="","",IF($E1087="Nghỉ tuần",N($G1087),0))</f>
        <v/>
      </c>
      <c r="L1087" s="108">
        <f>IF($B1087="","",IF($E1087="Lễ",N($G1087),0))</f>
        <v/>
      </c>
      <c r="M1087" s="108">
        <f>IF($B1087="","",IF($E1087="Ngày thường",N($H1087),0))</f>
        <v/>
      </c>
      <c r="N1087" s="108">
        <f>IF($B1087="","",IF($E1087="Nghỉ tuần",N($H1087),0))</f>
        <v/>
      </c>
      <c r="O1087" s="108">
        <f>IF($B1087="","",IF($E1087="Lễ",N($H1087),0))</f>
        <v/>
      </c>
    </row>
    <row r="1088" ht="15" customHeight="1" s="63">
      <c r="A1088" s="85">
        <f>IF($B1088="","",ROW()-5)</f>
        <v/>
      </c>
      <c r="B1088" s="97" t="n"/>
      <c r="C1088" s="96">
        <f>IF($B1088="","",IFERROR(INDEX(DM_NHAN_SU!$C$6:$C$155,MATCH($B1088,DM_NHAN_SU!$B$6:$B$155,0)),"SAI MÃ NV"))</f>
        <v/>
      </c>
      <c r="D1088" s="86" t="n"/>
      <c r="E1088" s="103">
        <f>IF(OR($B1088="",$D1088=""),"",IF(COUNTIF(THAM_SO_CC!$F$10:$F$40,$D1088)&gt;0,"Lễ",IF(IF(THAM_SO_CC!$B$12="T7+CN",WEEKDAY($D1088,2)&gt;=6,WEEKDAY($D1088,2)=7),"Nghỉ tuần","Ngày thường")))</f>
        <v/>
      </c>
      <c r="F1088" s="107" t="n"/>
      <c r="G1088" s="107" t="n"/>
      <c r="H1088" s="107" t="n"/>
      <c r="I1088" s="81" t="n"/>
      <c r="J1088" s="108">
        <f>IF($B1088="","",IF($E1088="Ngày thường",N($G1088),0))</f>
        <v/>
      </c>
      <c r="K1088" s="108">
        <f>IF($B1088="","",IF($E1088="Nghỉ tuần",N($G1088),0))</f>
        <v/>
      </c>
      <c r="L1088" s="108">
        <f>IF($B1088="","",IF($E1088="Lễ",N($G1088),0))</f>
        <v/>
      </c>
      <c r="M1088" s="108">
        <f>IF($B1088="","",IF($E1088="Ngày thường",N($H1088),0))</f>
        <v/>
      </c>
      <c r="N1088" s="108">
        <f>IF($B1088="","",IF($E1088="Nghỉ tuần",N($H1088),0))</f>
        <v/>
      </c>
      <c r="O1088" s="108">
        <f>IF($B1088="","",IF($E1088="Lễ",N($H1088),0))</f>
        <v/>
      </c>
    </row>
    <row r="1089" ht="15" customHeight="1" s="63">
      <c r="A1089" s="85">
        <f>IF($B1089="","",ROW()-5)</f>
        <v/>
      </c>
      <c r="B1089" s="97" t="n"/>
      <c r="C1089" s="96">
        <f>IF($B1089="","",IFERROR(INDEX(DM_NHAN_SU!$C$6:$C$155,MATCH($B1089,DM_NHAN_SU!$B$6:$B$155,0)),"SAI MÃ NV"))</f>
        <v/>
      </c>
      <c r="D1089" s="86" t="n"/>
      <c r="E1089" s="103">
        <f>IF(OR($B1089="",$D1089=""),"",IF(COUNTIF(THAM_SO_CC!$F$10:$F$40,$D1089)&gt;0,"Lễ",IF(IF(THAM_SO_CC!$B$12="T7+CN",WEEKDAY($D1089,2)&gt;=6,WEEKDAY($D1089,2)=7),"Nghỉ tuần","Ngày thường")))</f>
        <v/>
      </c>
      <c r="F1089" s="107" t="n"/>
      <c r="G1089" s="107" t="n"/>
      <c r="H1089" s="107" t="n"/>
      <c r="I1089" s="81" t="n"/>
      <c r="J1089" s="108">
        <f>IF($B1089="","",IF($E1089="Ngày thường",N($G1089),0))</f>
        <v/>
      </c>
      <c r="K1089" s="108">
        <f>IF($B1089="","",IF($E1089="Nghỉ tuần",N($G1089),0))</f>
        <v/>
      </c>
      <c r="L1089" s="108">
        <f>IF($B1089="","",IF($E1089="Lễ",N($G1089),0))</f>
        <v/>
      </c>
      <c r="M1089" s="108">
        <f>IF($B1089="","",IF($E1089="Ngày thường",N($H1089),0))</f>
        <v/>
      </c>
      <c r="N1089" s="108">
        <f>IF($B1089="","",IF($E1089="Nghỉ tuần",N($H1089),0))</f>
        <v/>
      </c>
      <c r="O1089" s="108">
        <f>IF($B1089="","",IF($E1089="Lễ",N($H1089),0))</f>
        <v/>
      </c>
    </row>
    <row r="1090" ht="15" customHeight="1" s="63">
      <c r="A1090" s="85">
        <f>IF($B1090="","",ROW()-5)</f>
        <v/>
      </c>
      <c r="B1090" s="97" t="n"/>
      <c r="C1090" s="96">
        <f>IF($B1090="","",IFERROR(INDEX(DM_NHAN_SU!$C$6:$C$155,MATCH($B1090,DM_NHAN_SU!$B$6:$B$155,0)),"SAI MÃ NV"))</f>
        <v/>
      </c>
      <c r="D1090" s="86" t="n"/>
      <c r="E1090" s="103">
        <f>IF(OR($B1090="",$D1090=""),"",IF(COUNTIF(THAM_SO_CC!$F$10:$F$40,$D1090)&gt;0,"Lễ",IF(IF(THAM_SO_CC!$B$12="T7+CN",WEEKDAY($D1090,2)&gt;=6,WEEKDAY($D1090,2)=7),"Nghỉ tuần","Ngày thường")))</f>
        <v/>
      </c>
      <c r="F1090" s="107" t="n"/>
      <c r="G1090" s="107" t="n"/>
      <c r="H1090" s="107" t="n"/>
      <c r="I1090" s="81" t="n"/>
      <c r="J1090" s="108">
        <f>IF($B1090="","",IF($E1090="Ngày thường",N($G1090),0))</f>
        <v/>
      </c>
      <c r="K1090" s="108">
        <f>IF($B1090="","",IF($E1090="Nghỉ tuần",N($G1090),0))</f>
        <v/>
      </c>
      <c r="L1090" s="108">
        <f>IF($B1090="","",IF($E1090="Lễ",N($G1090),0))</f>
        <v/>
      </c>
      <c r="M1090" s="108">
        <f>IF($B1090="","",IF($E1090="Ngày thường",N($H1090),0))</f>
        <v/>
      </c>
      <c r="N1090" s="108">
        <f>IF($B1090="","",IF($E1090="Nghỉ tuần",N($H1090),0))</f>
        <v/>
      </c>
      <c r="O1090" s="108">
        <f>IF($B1090="","",IF($E1090="Lễ",N($H1090),0))</f>
        <v/>
      </c>
    </row>
    <row r="1091" ht="15" customHeight="1" s="63">
      <c r="A1091" s="85">
        <f>IF($B1091="","",ROW()-5)</f>
        <v/>
      </c>
      <c r="B1091" s="97" t="n"/>
      <c r="C1091" s="96">
        <f>IF($B1091="","",IFERROR(INDEX(DM_NHAN_SU!$C$6:$C$155,MATCH($B1091,DM_NHAN_SU!$B$6:$B$155,0)),"SAI MÃ NV"))</f>
        <v/>
      </c>
      <c r="D1091" s="86" t="n"/>
      <c r="E1091" s="103">
        <f>IF(OR($B1091="",$D1091=""),"",IF(COUNTIF(THAM_SO_CC!$F$10:$F$40,$D1091)&gt;0,"Lễ",IF(IF(THAM_SO_CC!$B$12="T7+CN",WEEKDAY($D1091,2)&gt;=6,WEEKDAY($D1091,2)=7),"Nghỉ tuần","Ngày thường")))</f>
        <v/>
      </c>
      <c r="F1091" s="107" t="n"/>
      <c r="G1091" s="107" t="n"/>
      <c r="H1091" s="107" t="n"/>
      <c r="I1091" s="81" t="n"/>
      <c r="J1091" s="108">
        <f>IF($B1091="","",IF($E1091="Ngày thường",N($G1091),0))</f>
        <v/>
      </c>
      <c r="K1091" s="108">
        <f>IF($B1091="","",IF($E1091="Nghỉ tuần",N($G1091),0))</f>
        <v/>
      </c>
      <c r="L1091" s="108">
        <f>IF($B1091="","",IF($E1091="Lễ",N($G1091),0))</f>
        <v/>
      </c>
      <c r="M1091" s="108">
        <f>IF($B1091="","",IF($E1091="Ngày thường",N($H1091),0))</f>
        <v/>
      </c>
      <c r="N1091" s="108">
        <f>IF($B1091="","",IF($E1091="Nghỉ tuần",N($H1091),0))</f>
        <v/>
      </c>
      <c r="O1091" s="108">
        <f>IF($B1091="","",IF($E1091="Lễ",N($H1091),0))</f>
        <v/>
      </c>
    </row>
    <row r="1092" ht="15" customHeight="1" s="63">
      <c r="A1092" s="85">
        <f>IF($B1092="","",ROW()-5)</f>
        <v/>
      </c>
      <c r="B1092" s="97" t="n"/>
      <c r="C1092" s="96">
        <f>IF($B1092="","",IFERROR(INDEX(DM_NHAN_SU!$C$6:$C$155,MATCH($B1092,DM_NHAN_SU!$B$6:$B$155,0)),"SAI MÃ NV"))</f>
        <v/>
      </c>
      <c r="D1092" s="86" t="n"/>
      <c r="E1092" s="103">
        <f>IF(OR($B1092="",$D1092=""),"",IF(COUNTIF(THAM_SO_CC!$F$10:$F$40,$D1092)&gt;0,"Lễ",IF(IF(THAM_SO_CC!$B$12="T7+CN",WEEKDAY($D1092,2)&gt;=6,WEEKDAY($D1092,2)=7),"Nghỉ tuần","Ngày thường")))</f>
        <v/>
      </c>
      <c r="F1092" s="107" t="n"/>
      <c r="G1092" s="107" t="n"/>
      <c r="H1092" s="107" t="n"/>
      <c r="I1092" s="81" t="n"/>
      <c r="J1092" s="108">
        <f>IF($B1092="","",IF($E1092="Ngày thường",N($G1092),0))</f>
        <v/>
      </c>
      <c r="K1092" s="108">
        <f>IF($B1092="","",IF($E1092="Nghỉ tuần",N($G1092),0))</f>
        <v/>
      </c>
      <c r="L1092" s="108">
        <f>IF($B1092="","",IF($E1092="Lễ",N($G1092),0))</f>
        <v/>
      </c>
      <c r="M1092" s="108">
        <f>IF($B1092="","",IF($E1092="Ngày thường",N($H1092),0))</f>
        <v/>
      </c>
      <c r="N1092" s="108">
        <f>IF($B1092="","",IF($E1092="Nghỉ tuần",N($H1092),0))</f>
        <v/>
      </c>
      <c r="O1092" s="108">
        <f>IF($B1092="","",IF($E1092="Lễ",N($H1092),0))</f>
        <v/>
      </c>
    </row>
    <row r="1093" ht="15" customHeight="1" s="63">
      <c r="A1093" s="85">
        <f>IF($B1093="","",ROW()-5)</f>
        <v/>
      </c>
      <c r="B1093" s="97" t="n"/>
      <c r="C1093" s="96">
        <f>IF($B1093="","",IFERROR(INDEX(DM_NHAN_SU!$C$6:$C$155,MATCH($B1093,DM_NHAN_SU!$B$6:$B$155,0)),"SAI MÃ NV"))</f>
        <v/>
      </c>
      <c r="D1093" s="86" t="n"/>
      <c r="E1093" s="103">
        <f>IF(OR($B1093="",$D1093=""),"",IF(COUNTIF(THAM_SO_CC!$F$10:$F$40,$D1093)&gt;0,"Lễ",IF(IF(THAM_SO_CC!$B$12="T7+CN",WEEKDAY($D1093,2)&gt;=6,WEEKDAY($D1093,2)=7),"Nghỉ tuần","Ngày thường")))</f>
        <v/>
      </c>
      <c r="F1093" s="107" t="n"/>
      <c r="G1093" s="107" t="n"/>
      <c r="H1093" s="107" t="n"/>
      <c r="I1093" s="81" t="n"/>
      <c r="J1093" s="108">
        <f>IF($B1093="","",IF($E1093="Ngày thường",N($G1093),0))</f>
        <v/>
      </c>
      <c r="K1093" s="108">
        <f>IF($B1093="","",IF($E1093="Nghỉ tuần",N($G1093),0))</f>
        <v/>
      </c>
      <c r="L1093" s="108">
        <f>IF($B1093="","",IF($E1093="Lễ",N($G1093),0))</f>
        <v/>
      </c>
      <c r="M1093" s="108">
        <f>IF($B1093="","",IF($E1093="Ngày thường",N($H1093),0))</f>
        <v/>
      </c>
      <c r="N1093" s="108">
        <f>IF($B1093="","",IF($E1093="Nghỉ tuần",N($H1093),0))</f>
        <v/>
      </c>
      <c r="O1093" s="108">
        <f>IF($B1093="","",IF($E1093="Lễ",N($H1093),0))</f>
        <v/>
      </c>
    </row>
    <row r="1094" ht="15" customHeight="1" s="63">
      <c r="A1094" s="85">
        <f>IF($B1094="","",ROW()-5)</f>
        <v/>
      </c>
      <c r="B1094" s="97" t="n"/>
      <c r="C1094" s="96">
        <f>IF($B1094="","",IFERROR(INDEX(DM_NHAN_SU!$C$6:$C$155,MATCH($B1094,DM_NHAN_SU!$B$6:$B$155,0)),"SAI MÃ NV"))</f>
        <v/>
      </c>
      <c r="D1094" s="86" t="n"/>
      <c r="E1094" s="103">
        <f>IF(OR($B1094="",$D1094=""),"",IF(COUNTIF(THAM_SO_CC!$F$10:$F$40,$D1094)&gt;0,"Lễ",IF(IF(THAM_SO_CC!$B$12="T7+CN",WEEKDAY($D1094,2)&gt;=6,WEEKDAY($D1094,2)=7),"Nghỉ tuần","Ngày thường")))</f>
        <v/>
      </c>
      <c r="F1094" s="107" t="n"/>
      <c r="G1094" s="107" t="n"/>
      <c r="H1094" s="107" t="n"/>
      <c r="I1094" s="81" t="n"/>
      <c r="J1094" s="108">
        <f>IF($B1094="","",IF($E1094="Ngày thường",N($G1094),0))</f>
        <v/>
      </c>
      <c r="K1094" s="108">
        <f>IF($B1094="","",IF($E1094="Nghỉ tuần",N($G1094),0))</f>
        <v/>
      </c>
      <c r="L1094" s="108">
        <f>IF($B1094="","",IF($E1094="Lễ",N($G1094),0))</f>
        <v/>
      </c>
      <c r="M1094" s="108">
        <f>IF($B1094="","",IF($E1094="Ngày thường",N($H1094),0))</f>
        <v/>
      </c>
      <c r="N1094" s="108">
        <f>IF($B1094="","",IF($E1094="Nghỉ tuần",N($H1094),0))</f>
        <v/>
      </c>
      <c r="O1094" s="108">
        <f>IF($B1094="","",IF($E1094="Lễ",N($H1094),0))</f>
        <v/>
      </c>
    </row>
    <row r="1095" ht="15" customHeight="1" s="63">
      <c r="A1095" s="85">
        <f>IF($B1095="","",ROW()-5)</f>
        <v/>
      </c>
      <c r="B1095" s="97" t="n"/>
      <c r="C1095" s="96">
        <f>IF($B1095="","",IFERROR(INDEX(DM_NHAN_SU!$C$6:$C$155,MATCH($B1095,DM_NHAN_SU!$B$6:$B$155,0)),"SAI MÃ NV"))</f>
        <v/>
      </c>
      <c r="D1095" s="86" t="n"/>
      <c r="E1095" s="103">
        <f>IF(OR($B1095="",$D1095=""),"",IF(COUNTIF(THAM_SO_CC!$F$10:$F$40,$D1095)&gt;0,"Lễ",IF(IF(THAM_SO_CC!$B$12="T7+CN",WEEKDAY($D1095,2)&gt;=6,WEEKDAY($D1095,2)=7),"Nghỉ tuần","Ngày thường")))</f>
        <v/>
      </c>
      <c r="F1095" s="107" t="n"/>
      <c r="G1095" s="107" t="n"/>
      <c r="H1095" s="107" t="n"/>
      <c r="I1095" s="81" t="n"/>
      <c r="J1095" s="108">
        <f>IF($B1095="","",IF($E1095="Ngày thường",N($G1095),0))</f>
        <v/>
      </c>
      <c r="K1095" s="108">
        <f>IF($B1095="","",IF($E1095="Nghỉ tuần",N($G1095),0))</f>
        <v/>
      </c>
      <c r="L1095" s="108">
        <f>IF($B1095="","",IF($E1095="Lễ",N($G1095),0))</f>
        <v/>
      </c>
      <c r="M1095" s="108">
        <f>IF($B1095="","",IF($E1095="Ngày thường",N($H1095),0))</f>
        <v/>
      </c>
      <c r="N1095" s="108">
        <f>IF($B1095="","",IF($E1095="Nghỉ tuần",N($H1095),0))</f>
        <v/>
      </c>
      <c r="O1095" s="108">
        <f>IF($B1095="","",IF($E1095="Lễ",N($H1095),0))</f>
        <v/>
      </c>
    </row>
    <row r="1096" ht="15" customHeight="1" s="63">
      <c r="A1096" s="85">
        <f>IF($B1096="","",ROW()-5)</f>
        <v/>
      </c>
      <c r="B1096" s="97" t="n"/>
      <c r="C1096" s="96">
        <f>IF($B1096="","",IFERROR(INDEX(DM_NHAN_SU!$C$6:$C$155,MATCH($B1096,DM_NHAN_SU!$B$6:$B$155,0)),"SAI MÃ NV"))</f>
        <v/>
      </c>
      <c r="D1096" s="86" t="n"/>
      <c r="E1096" s="103">
        <f>IF(OR($B1096="",$D1096=""),"",IF(COUNTIF(THAM_SO_CC!$F$10:$F$40,$D1096)&gt;0,"Lễ",IF(IF(THAM_SO_CC!$B$12="T7+CN",WEEKDAY($D1096,2)&gt;=6,WEEKDAY($D1096,2)=7),"Nghỉ tuần","Ngày thường")))</f>
        <v/>
      </c>
      <c r="F1096" s="107" t="n"/>
      <c r="G1096" s="107" t="n"/>
      <c r="H1096" s="107" t="n"/>
      <c r="I1096" s="81" t="n"/>
      <c r="J1096" s="108">
        <f>IF($B1096="","",IF($E1096="Ngày thường",N($G1096),0))</f>
        <v/>
      </c>
      <c r="K1096" s="108">
        <f>IF($B1096="","",IF($E1096="Nghỉ tuần",N($G1096),0))</f>
        <v/>
      </c>
      <c r="L1096" s="108">
        <f>IF($B1096="","",IF($E1096="Lễ",N($G1096),0))</f>
        <v/>
      </c>
      <c r="M1096" s="108">
        <f>IF($B1096="","",IF($E1096="Ngày thường",N($H1096),0))</f>
        <v/>
      </c>
      <c r="N1096" s="108">
        <f>IF($B1096="","",IF($E1096="Nghỉ tuần",N($H1096),0))</f>
        <v/>
      </c>
      <c r="O1096" s="108">
        <f>IF($B1096="","",IF($E1096="Lễ",N($H1096),0))</f>
        <v/>
      </c>
    </row>
    <row r="1097" ht="15" customHeight="1" s="63">
      <c r="A1097" s="85">
        <f>IF($B1097="","",ROW()-5)</f>
        <v/>
      </c>
      <c r="B1097" s="97" t="n"/>
      <c r="C1097" s="96">
        <f>IF($B1097="","",IFERROR(INDEX(DM_NHAN_SU!$C$6:$C$155,MATCH($B1097,DM_NHAN_SU!$B$6:$B$155,0)),"SAI MÃ NV"))</f>
        <v/>
      </c>
      <c r="D1097" s="86" t="n"/>
      <c r="E1097" s="103">
        <f>IF(OR($B1097="",$D1097=""),"",IF(COUNTIF(THAM_SO_CC!$F$10:$F$40,$D1097)&gt;0,"Lễ",IF(IF(THAM_SO_CC!$B$12="T7+CN",WEEKDAY($D1097,2)&gt;=6,WEEKDAY($D1097,2)=7),"Nghỉ tuần","Ngày thường")))</f>
        <v/>
      </c>
      <c r="F1097" s="107" t="n"/>
      <c r="G1097" s="107" t="n"/>
      <c r="H1097" s="107" t="n"/>
      <c r="I1097" s="81" t="n"/>
      <c r="J1097" s="108">
        <f>IF($B1097="","",IF($E1097="Ngày thường",N($G1097),0))</f>
        <v/>
      </c>
      <c r="K1097" s="108">
        <f>IF($B1097="","",IF($E1097="Nghỉ tuần",N($G1097),0))</f>
        <v/>
      </c>
      <c r="L1097" s="108">
        <f>IF($B1097="","",IF($E1097="Lễ",N($G1097),0))</f>
        <v/>
      </c>
      <c r="M1097" s="108">
        <f>IF($B1097="","",IF($E1097="Ngày thường",N($H1097),0))</f>
        <v/>
      </c>
      <c r="N1097" s="108">
        <f>IF($B1097="","",IF($E1097="Nghỉ tuần",N($H1097),0))</f>
        <v/>
      </c>
      <c r="O1097" s="108">
        <f>IF($B1097="","",IF($E1097="Lễ",N($H1097),0))</f>
        <v/>
      </c>
    </row>
    <row r="1098" ht="15" customHeight="1" s="63">
      <c r="A1098" s="85">
        <f>IF($B1098="","",ROW()-5)</f>
        <v/>
      </c>
      <c r="B1098" s="97" t="n"/>
      <c r="C1098" s="96">
        <f>IF($B1098="","",IFERROR(INDEX(DM_NHAN_SU!$C$6:$C$155,MATCH($B1098,DM_NHAN_SU!$B$6:$B$155,0)),"SAI MÃ NV"))</f>
        <v/>
      </c>
      <c r="D1098" s="86" t="n"/>
      <c r="E1098" s="103">
        <f>IF(OR($B1098="",$D1098=""),"",IF(COUNTIF(THAM_SO_CC!$F$10:$F$40,$D1098)&gt;0,"Lễ",IF(IF(THAM_SO_CC!$B$12="T7+CN",WEEKDAY($D1098,2)&gt;=6,WEEKDAY($D1098,2)=7),"Nghỉ tuần","Ngày thường")))</f>
        <v/>
      </c>
      <c r="F1098" s="107" t="n"/>
      <c r="G1098" s="107" t="n"/>
      <c r="H1098" s="107" t="n"/>
      <c r="I1098" s="81" t="n"/>
      <c r="J1098" s="108">
        <f>IF($B1098="","",IF($E1098="Ngày thường",N($G1098),0))</f>
        <v/>
      </c>
      <c r="K1098" s="108">
        <f>IF($B1098="","",IF($E1098="Nghỉ tuần",N($G1098),0))</f>
        <v/>
      </c>
      <c r="L1098" s="108">
        <f>IF($B1098="","",IF($E1098="Lễ",N($G1098),0))</f>
        <v/>
      </c>
      <c r="M1098" s="108">
        <f>IF($B1098="","",IF($E1098="Ngày thường",N($H1098),0))</f>
        <v/>
      </c>
      <c r="N1098" s="108">
        <f>IF($B1098="","",IF($E1098="Nghỉ tuần",N($H1098),0))</f>
        <v/>
      </c>
      <c r="O1098" s="108">
        <f>IF($B1098="","",IF($E1098="Lễ",N($H1098),0))</f>
        <v/>
      </c>
    </row>
    <row r="1099" ht="15" customHeight="1" s="63">
      <c r="A1099" s="85">
        <f>IF($B1099="","",ROW()-5)</f>
        <v/>
      </c>
      <c r="B1099" s="97" t="n"/>
      <c r="C1099" s="96">
        <f>IF($B1099="","",IFERROR(INDEX(DM_NHAN_SU!$C$6:$C$155,MATCH($B1099,DM_NHAN_SU!$B$6:$B$155,0)),"SAI MÃ NV"))</f>
        <v/>
      </c>
      <c r="D1099" s="86" t="n"/>
      <c r="E1099" s="103">
        <f>IF(OR($B1099="",$D1099=""),"",IF(COUNTIF(THAM_SO_CC!$F$10:$F$40,$D1099)&gt;0,"Lễ",IF(IF(THAM_SO_CC!$B$12="T7+CN",WEEKDAY($D1099,2)&gt;=6,WEEKDAY($D1099,2)=7),"Nghỉ tuần","Ngày thường")))</f>
        <v/>
      </c>
      <c r="F1099" s="107" t="n"/>
      <c r="G1099" s="107" t="n"/>
      <c r="H1099" s="107" t="n"/>
      <c r="I1099" s="81" t="n"/>
      <c r="J1099" s="108">
        <f>IF($B1099="","",IF($E1099="Ngày thường",N($G1099),0))</f>
        <v/>
      </c>
      <c r="K1099" s="108">
        <f>IF($B1099="","",IF($E1099="Nghỉ tuần",N($G1099),0))</f>
        <v/>
      </c>
      <c r="L1099" s="108">
        <f>IF($B1099="","",IF($E1099="Lễ",N($G1099),0))</f>
        <v/>
      </c>
      <c r="M1099" s="108">
        <f>IF($B1099="","",IF($E1099="Ngày thường",N($H1099),0))</f>
        <v/>
      </c>
      <c r="N1099" s="108">
        <f>IF($B1099="","",IF($E1099="Nghỉ tuần",N($H1099),0))</f>
        <v/>
      </c>
      <c r="O1099" s="108">
        <f>IF($B1099="","",IF($E1099="Lễ",N($H1099),0))</f>
        <v/>
      </c>
    </row>
    <row r="1100" ht="15" customHeight="1" s="63">
      <c r="A1100" s="85">
        <f>IF($B1100="","",ROW()-5)</f>
        <v/>
      </c>
      <c r="B1100" s="97" t="n"/>
      <c r="C1100" s="96">
        <f>IF($B1100="","",IFERROR(INDEX(DM_NHAN_SU!$C$6:$C$155,MATCH($B1100,DM_NHAN_SU!$B$6:$B$155,0)),"SAI MÃ NV"))</f>
        <v/>
      </c>
      <c r="D1100" s="86" t="n"/>
      <c r="E1100" s="103">
        <f>IF(OR($B1100="",$D1100=""),"",IF(COUNTIF(THAM_SO_CC!$F$10:$F$40,$D1100)&gt;0,"Lễ",IF(IF(THAM_SO_CC!$B$12="T7+CN",WEEKDAY($D1100,2)&gt;=6,WEEKDAY($D1100,2)=7),"Nghỉ tuần","Ngày thường")))</f>
        <v/>
      </c>
      <c r="F1100" s="107" t="n"/>
      <c r="G1100" s="107" t="n"/>
      <c r="H1100" s="107" t="n"/>
      <c r="I1100" s="81" t="n"/>
      <c r="J1100" s="108">
        <f>IF($B1100="","",IF($E1100="Ngày thường",N($G1100),0))</f>
        <v/>
      </c>
      <c r="K1100" s="108">
        <f>IF($B1100="","",IF($E1100="Nghỉ tuần",N($G1100),0))</f>
        <v/>
      </c>
      <c r="L1100" s="108">
        <f>IF($B1100="","",IF($E1100="Lễ",N($G1100),0))</f>
        <v/>
      </c>
      <c r="M1100" s="108">
        <f>IF($B1100="","",IF($E1100="Ngày thường",N($H1100),0))</f>
        <v/>
      </c>
      <c r="N1100" s="108">
        <f>IF($B1100="","",IF($E1100="Nghỉ tuần",N($H1100),0))</f>
        <v/>
      </c>
      <c r="O1100" s="108">
        <f>IF($B1100="","",IF($E1100="Lễ",N($H1100),0))</f>
        <v/>
      </c>
    </row>
    <row r="1101" ht="15" customHeight="1" s="63">
      <c r="A1101" s="85">
        <f>IF($B1101="","",ROW()-5)</f>
        <v/>
      </c>
      <c r="B1101" s="97" t="n"/>
      <c r="C1101" s="96">
        <f>IF($B1101="","",IFERROR(INDEX(DM_NHAN_SU!$C$6:$C$155,MATCH($B1101,DM_NHAN_SU!$B$6:$B$155,0)),"SAI MÃ NV"))</f>
        <v/>
      </c>
      <c r="D1101" s="86" t="n"/>
      <c r="E1101" s="103">
        <f>IF(OR($B1101="",$D1101=""),"",IF(COUNTIF(THAM_SO_CC!$F$10:$F$40,$D1101)&gt;0,"Lễ",IF(IF(THAM_SO_CC!$B$12="T7+CN",WEEKDAY($D1101,2)&gt;=6,WEEKDAY($D1101,2)=7),"Nghỉ tuần","Ngày thường")))</f>
        <v/>
      </c>
      <c r="F1101" s="107" t="n"/>
      <c r="G1101" s="107" t="n"/>
      <c r="H1101" s="107" t="n"/>
      <c r="I1101" s="81" t="n"/>
      <c r="J1101" s="108">
        <f>IF($B1101="","",IF($E1101="Ngày thường",N($G1101),0))</f>
        <v/>
      </c>
      <c r="K1101" s="108">
        <f>IF($B1101="","",IF($E1101="Nghỉ tuần",N($G1101),0))</f>
        <v/>
      </c>
      <c r="L1101" s="108">
        <f>IF($B1101="","",IF($E1101="Lễ",N($G1101),0))</f>
        <v/>
      </c>
      <c r="M1101" s="108">
        <f>IF($B1101="","",IF($E1101="Ngày thường",N($H1101),0))</f>
        <v/>
      </c>
      <c r="N1101" s="108">
        <f>IF($B1101="","",IF($E1101="Nghỉ tuần",N($H1101),0))</f>
        <v/>
      </c>
      <c r="O1101" s="108">
        <f>IF($B1101="","",IF($E1101="Lễ",N($H1101),0))</f>
        <v/>
      </c>
    </row>
    <row r="1102" ht="15" customHeight="1" s="63">
      <c r="A1102" s="85">
        <f>IF($B1102="","",ROW()-5)</f>
        <v/>
      </c>
      <c r="B1102" s="97" t="n"/>
      <c r="C1102" s="96">
        <f>IF($B1102="","",IFERROR(INDEX(DM_NHAN_SU!$C$6:$C$155,MATCH($B1102,DM_NHAN_SU!$B$6:$B$155,0)),"SAI MÃ NV"))</f>
        <v/>
      </c>
      <c r="D1102" s="86" t="n"/>
      <c r="E1102" s="103">
        <f>IF(OR($B1102="",$D1102=""),"",IF(COUNTIF(THAM_SO_CC!$F$10:$F$40,$D1102)&gt;0,"Lễ",IF(IF(THAM_SO_CC!$B$12="T7+CN",WEEKDAY($D1102,2)&gt;=6,WEEKDAY($D1102,2)=7),"Nghỉ tuần","Ngày thường")))</f>
        <v/>
      </c>
      <c r="F1102" s="107" t="n"/>
      <c r="G1102" s="107" t="n"/>
      <c r="H1102" s="107" t="n"/>
      <c r="I1102" s="81" t="n"/>
      <c r="J1102" s="108">
        <f>IF($B1102="","",IF($E1102="Ngày thường",N($G1102),0))</f>
        <v/>
      </c>
      <c r="K1102" s="108">
        <f>IF($B1102="","",IF($E1102="Nghỉ tuần",N($G1102),0))</f>
        <v/>
      </c>
      <c r="L1102" s="108">
        <f>IF($B1102="","",IF($E1102="Lễ",N($G1102),0))</f>
        <v/>
      </c>
      <c r="M1102" s="108">
        <f>IF($B1102="","",IF($E1102="Ngày thường",N($H1102),0))</f>
        <v/>
      </c>
      <c r="N1102" s="108">
        <f>IF($B1102="","",IF($E1102="Nghỉ tuần",N($H1102),0))</f>
        <v/>
      </c>
      <c r="O1102" s="108">
        <f>IF($B1102="","",IF($E1102="Lễ",N($H1102),0))</f>
        <v/>
      </c>
    </row>
    <row r="1103" ht="15" customHeight="1" s="63">
      <c r="A1103" s="85">
        <f>IF($B1103="","",ROW()-5)</f>
        <v/>
      </c>
      <c r="B1103" s="97" t="n"/>
      <c r="C1103" s="96">
        <f>IF($B1103="","",IFERROR(INDEX(DM_NHAN_SU!$C$6:$C$155,MATCH($B1103,DM_NHAN_SU!$B$6:$B$155,0)),"SAI MÃ NV"))</f>
        <v/>
      </c>
      <c r="D1103" s="86" t="n"/>
      <c r="E1103" s="103">
        <f>IF(OR($B1103="",$D1103=""),"",IF(COUNTIF(THAM_SO_CC!$F$10:$F$40,$D1103)&gt;0,"Lễ",IF(IF(THAM_SO_CC!$B$12="T7+CN",WEEKDAY($D1103,2)&gt;=6,WEEKDAY($D1103,2)=7),"Nghỉ tuần","Ngày thường")))</f>
        <v/>
      </c>
      <c r="F1103" s="107" t="n"/>
      <c r="G1103" s="107" t="n"/>
      <c r="H1103" s="107" t="n"/>
      <c r="I1103" s="81" t="n"/>
      <c r="J1103" s="108">
        <f>IF($B1103="","",IF($E1103="Ngày thường",N($G1103),0))</f>
        <v/>
      </c>
      <c r="K1103" s="108">
        <f>IF($B1103="","",IF($E1103="Nghỉ tuần",N($G1103),0))</f>
        <v/>
      </c>
      <c r="L1103" s="108">
        <f>IF($B1103="","",IF($E1103="Lễ",N($G1103),0))</f>
        <v/>
      </c>
      <c r="M1103" s="108">
        <f>IF($B1103="","",IF($E1103="Ngày thường",N($H1103),0))</f>
        <v/>
      </c>
      <c r="N1103" s="108">
        <f>IF($B1103="","",IF($E1103="Nghỉ tuần",N($H1103),0))</f>
        <v/>
      </c>
      <c r="O1103" s="108">
        <f>IF($B1103="","",IF($E1103="Lễ",N($H1103),0))</f>
        <v/>
      </c>
    </row>
    <row r="1104" ht="15" customHeight="1" s="63">
      <c r="A1104" s="85">
        <f>IF($B1104="","",ROW()-5)</f>
        <v/>
      </c>
      <c r="B1104" s="97" t="n"/>
      <c r="C1104" s="96">
        <f>IF($B1104="","",IFERROR(INDEX(DM_NHAN_SU!$C$6:$C$155,MATCH($B1104,DM_NHAN_SU!$B$6:$B$155,0)),"SAI MÃ NV"))</f>
        <v/>
      </c>
      <c r="D1104" s="86" t="n"/>
      <c r="E1104" s="103">
        <f>IF(OR($B1104="",$D1104=""),"",IF(COUNTIF(THAM_SO_CC!$F$10:$F$40,$D1104)&gt;0,"Lễ",IF(IF(THAM_SO_CC!$B$12="T7+CN",WEEKDAY($D1104,2)&gt;=6,WEEKDAY($D1104,2)=7),"Nghỉ tuần","Ngày thường")))</f>
        <v/>
      </c>
      <c r="F1104" s="107" t="n"/>
      <c r="G1104" s="107" t="n"/>
      <c r="H1104" s="107" t="n"/>
      <c r="I1104" s="81" t="n"/>
      <c r="J1104" s="108">
        <f>IF($B1104="","",IF($E1104="Ngày thường",N($G1104),0))</f>
        <v/>
      </c>
      <c r="K1104" s="108">
        <f>IF($B1104="","",IF($E1104="Nghỉ tuần",N($G1104),0))</f>
        <v/>
      </c>
      <c r="L1104" s="108">
        <f>IF($B1104="","",IF($E1104="Lễ",N($G1104),0))</f>
        <v/>
      </c>
      <c r="M1104" s="108">
        <f>IF($B1104="","",IF($E1104="Ngày thường",N($H1104),0))</f>
        <v/>
      </c>
      <c r="N1104" s="108">
        <f>IF($B1104="","",IF($E1104="Nghỉ tuần",N($H1104),0))</f>
        <v/>
      </c>
      <c r="O1104" s="108">
        <f>IF($B1104="","",IF($E1104="Lễ",N($H1104),0))</f>
        <v/>
      </c>
    </row>
    <row r="1105" ht="15" customHeight="1" s="63">
      <c r="A1105" s="85">
        <f>IF($B1105="","",ROW()-5)</f>
        <v/>
      </c>
      <c r="B1105" s="97" t="n"/>
      <c r="C1105" s="96">
        <f>IF($B1105="","",IFERROR(INDEX(DM_NHAN_SU!$C$6:$C$155,MATCH($B1105,DM_NHAN_SU!$B$6:$B$155,0)),"SAI MÃ NV"))</f>
        <v/>
      </c>
      <c r="D1105" s="86" t="n"/>
      <c r="E1105" s="103">
        <f>IF(OR($B1105="",$D1105=""),"",IF(COUNTIF(THAM_SO_CC!$F$10:$F$40,$D1105)&gt;0,"Lễ",IF(IF(THAM_SO_CC!$B$12="T7+CN",WEEKDAY($D1105,2)&gt;=6,WEEKDAY($D1105,2)=7),"Nghỉ tuần","Ngày thường")))</f>
        <v/>
      </c>
      <c r="F1105" s="107" t="n"/>
      <c r="G1105" s="107" t="n"/>
      <c r="H1105" s="107" t="n"/>
      <c r="I1105" s="81" t="n"/>
      <c r="J1105" s="108">
        <f>IF($B1105="","",IF($E1105="Ngày thường",N($G1105),0))</f>
        <v/>
      </c>
      <c r="K1105" s="108">
        <f>IF($B1105="","",IF($E1105="Nghỉ tuần",N($G1105),0))</f>
        <v/>
      </c>
      <c r="L1105" s="108">
        <f>IF($B1105="","",IF($E1105="Lễ",N($G1105),0))</f>
        <v/>
      </c>
      <c r="M1105" s="108">
        <f>IF($B1105="","",IF($E1105="Ngày thường",N($H1105),0))</f>
        <v/>
      </c>
      <c r="N1105" s="108">
        <f>IF($B1105="","",IF($E1105="Nghỉ tuần",N($H1105),0))</f>
        <v/>
      </c>
      <c r="O1105" s="108">
        <f>IF($B1105="","",IF($E1105="Lễ",N($H1105),0))</f>
        <v/>
      </c>
    </row>
    <row r="1106" ht="15" customHeight="1" s="63">
      <c r="A1106" s="85">
        <f>IF($B1106="","",ROW()-5)</f>
        <v/>
      </c>
      <c r="B1106" s="97" t="n"/>
      <c r="C1106" s="96">
        <f>IF($B1106="","",IFERROR(INDEX(DM_NHAN_SU!$C$6:$C$155,MATCH($B1106,DM_NHAN_SU!$B$6:$B$155,0)),"SAI MÃ NV"))</f>
        <v/>
      </c>
      <c r="D1106" s="86" t="n"/>
      <c r="E1106" s="103">
        <f>IF(OR($B1106="",$D1106=""),"",IF(COUNTIF(THAM_SO_CC!$F$10:$F$40,$D1106)&gt;0,"Lễ",IF(IF(THAM_SO_CC!$B$12="T7+CN",WEEKDAY($D1106,2)&gt;=6,WEEKDAY($D1106,2)=7),"Nghỉ tuần","Ngày thường")))</f>
        <v/>
      </c>
      <c r="F1106" s="107" t="n"/>
      <c r="G1106" s="107" t="n"/>
      <c r="H1106" s="107" t="n"/>
      <c r="I1106" s="81" t="n"/>
      <c r="J1106" s="108">
        <f>IF($B1106="","",IF($E1106="Ngày thường",N($G1106),0))</f>
        <v/>
      </c>
      <c r="K1106" s="108">
        <f>IF($B1106="","",IF($E1106="Nghỉ tuần",N($G1106),0))</f>
        <v/>
      </c>
      <c r="L1106" s="108">
        <f>IF($B1106="","",IF($E1106="Lễ",N($G1106),0))</f>
        <v/>
      </c>
      <c r="M1106" s="108">
        <f>IF($B1106="","",IF($E1106="Ngày thường",N($H1106),0))</f>
        <v/>
      </c>
      <c r="N1106" s="108">
        <f>IF($B1106="","",IF($E1106="Nghỉ tuần",N($H1106),0))</f>
        <v/>
      </c>
      <c r="O1106" s="108">
        <f>IF($B1106="","",IF($E1106="Lễ",N($H1106),0))</f>
        <v/>
      </c>
    </row>
    <row r="1107" ht="15" customHeight="1" s="63">
      <c r="A1107" s="85">
        <f>IF($B1107="","",ROW()-5)</f>
        <v/>
      </c>
      <c r="B1107" s="97" t="n"/>
      <c r="C1107" s="96">
        <f>IF($B1107="","",IFERROR(INDEX(DM_NHAN_SU!$C$6:$C$155,MATCH($B1107,DM_NHAN_SU!$B$6:$B$155,0)),"SAI MÃ NV"))</f>
        <v/>
      </c>
      <c r="D1107" s="86" t="n"/>
      <c r="E1107" s="103">
        <f>IF(OR($B1107="",$D1107=""),"",IF(COUNTIF(THAM_SO_CC!$F$10:$F$40,$D1107)&gt;0,"Lễ",IF(IF(THAM_SO_CC!$B$12="T7+CN",WEEKDAY($D1107,2)&gt;=6,WEEKDAY($D1107,2)=7),"Nghỉ tuần","Ngày thường")))</f>
        <v/>
      </c>
      <c r="F1107" s="107" t="n"/>
      <c r="G1107" s="107" t="n"/>
      <c r="H1107" s="107" t="n"/>
      <c r="I1107" s="81" t="n"/>
      <c r="J1107" s="108">
        <f>IF($B1107="","",IF($E1107="Ngày thường",N($G1107),0))</f>
        <v/>
      </c>
      <c r="K1107" s="108">
        <f>IF($B1107="","",IF($E1107="Nghỉ tuần",N($G1107),0))</f>
        <v/>
      </c>
      <c r="L1107" s="108">
        <f>IF($B1107="","",IF($E1107="Lễ",N($G1107),0))</f>
        <v/>
      </c>
      <c r="M1107" s="108">
        <f>IF($B1107="","",IF($E1107="Ngày thường",N($H1107),0))</f>
        <v/>
      </c>
      <c r="N1107" s="108">
        <f>IF($B1107="","",IF($E1107="Nghỉ tuần",N($H1107),0))</f>
        <v/>
      </c>
      <c r="O1107" s="108">
        <f>IF($B1107="","",IF($E1107="Lễ",N($H1107),0))</f>
        <v/>
      </c>
    </row>
    <row r="1108" ht="15" customHeight="1" s="63">
      <c r="A1108" s="85">
        <f>IF($B1108="","",ROW()-5)</f>
        <v/>
      </c>
      <c r="B1108" s="97" t="n"/>
      <c r="C1108" s="96">
        <f>IF($B1108="","",IFERROR(INDEX(DM_NHAN_SU!$C$6:$C$155,MATCH($B1108,DM_NHAN_SU!$B$6:$B$155,0)),"SAI MÃ NV"))</f>
        <v/>
      </c>
      <c r="D1108" s="86" t="n"/>
      <c r="E1108" s="103">
        <f>IF(OR($B1108="",$D1108=""),"",IF(COUNTIF(THAM_SO_CC!$F$10:$F$40,$D1108)&gt;0,"Lễ",IF(IF(THAM_SO_CC!$B$12="T7+CN",WEEKDAY($D1108,2)&gt;=6,WEEKDAY($D1108,2)=7),"Nghỉ tuần","Ngày thường")))</f>
        <v/>
      </c>
      <c r="F1108" s="107" t="n"/>
      <c r="G1108" s="107" t="n"/>
      <c r="H1108" s="107" t="n"/>
      <c r="I1108" s="81" t="n"/>
      <c r="J1108" s="108">
        <f>IF($B1108="","",IF($E1108="Ngày thường",N($G1108),0))</f>
        <v/>
      </c>
      <c r="K1108" s="108">
        <f>IF($B1108="","",IF($E1108="Nghỉ tuần",N($G1108),0))</f>
        <v/>
      </c>
      <c r="L1108" s="108">
        <f>IF($B1108="","",IF($E1108="Lễ",N($G1108),0))</f>
        <v/>
      </c>
      <c r="M1108" s="108">
        <f>IF($B1108="","",IF($E1108="Ngày thường",N($H1108),0))</f>
        <v/>
      </c>
      <c r="N1108" s="108">
        <f>IF($B1108="","",IF($E1108="Nghỉ tuần",N($H1108),0))</f>
        <v/>
      </c>
      <c r="O1108" s="108">
        <f>IF($B1108="","",IF($E1108="Lễ",N($H1108),0))</f>
        <v/>
      </c>
    </row>
    <row r="1109" ht="15" customHeight="1" s="63">
      <c r="A1109" s="85">
        <f>IF($B1109="","",ROW()-5)</f>
        <v/>
      </c>
      <c r="B1109" s="97" t="n"/>
      <c r="C1109" s="96">
        <f>IF($B1109="","",IFERROR(INDEX(DM_NHAN_SU!$C$6:$C$155,MATCH($B1109,DM_NHAN_SU!$B$6:$B$155,0)),"SAI MÃ NV"))</f>
        <v/>
      </c>
      <c r="D1109" s="86" t="n"/>
      <c r="E1109" s="103">
        <f>IF(OR($B1109="",$D1109=""),"",IF(COUNTIF(THAM_SO_CC!$F$10:$F$40,$D1109)&gt;0,"Lễ",IF(IF(THAM_SO_CC!$B$12="T7+CN",WEEKDAY($D1109,2)&gt;=6,WEEKDAY($D1109,2)=7),"Nghỉ tuần","Ngày thường")))</f>
        <v/>
      </c>
      <c r="F1109" s="107" t="n"/>
      <c r="G1109" s="107" t="n"/>
      <c r="H1109" s="107" t="n"/>
      <c r="I1109" s="81" t="n"/>
      <c r="J1109" s="108">
        <f>IF($B1109="","",IF($E1109="Ngày thường",N($G1109),0))</f>
        <v/>
      </c>
      <c r="K1109" s="108">
        <f>IF($B1109="","",IF($E1109="Nghỉ tuần",N($G1109),0))</f>
        <v/>
      </c>
      <c r="L1109" s="108">
        <f>IF($B1109="","",IF($E1109="Lễ",N($G1109),0))</f>
        <v/>
      </c>
      <c r="M1109" s="108">
        <f>IF($B1109="","",IF($E1109="Ngày thường",N($H1109),0))</f>
        <v/>
      </c>
      <c r="N1109" s="108">
        <f>IF($B1109="","",IF($E1109="Nghỉ tuần",N($H1109),0))</f>
        <v/>
      </c>
      <c r="O1109" s="108">
        <f>IF($B1109="","",IF($E1109="Lễ",N($H1109),0))</f>
        <v/>
      </c>
    </row>
    <row r="1110" ht="15" customHeight="1" s="63">
      <c r="A1110" s="85">
        <f>IF($B1110="","",ROW()-5)</f>
        <v/>
      </c>
      <c r="B1110" s="97" t="n"/>
      <c r="C1110" s="96">
        <f>IF($B1110="","",IFERROR(INDEX(DM_NHAN_SU!$C$6:$C$155,MATCH($B1110,DM_NHAN_SU!$B$6:$B$155,0)),"SAI MÃ NV"))</f>
        <v/>
      </c>
      <c r="D1110" s="86" t="n"/>
      <c r="E1110" s="103">
        <f>IF(OR($B1110="",$D1110=""),"",IF(COUNTIF(THAM_SO_CC!$F$10:$F$40,$D1110)&gt;0,"Lễ",IF(IF(THAM_SO_CC!$B$12="T7+CN",WEEKDAY($D1110,2)&gt;=6,WEEKDAY($D1110,2)=7),"Nghỉ tuần","Ngày thường")))</f>
        <v/>
      </c>
      <c r="F1110" s="107" t="n"/>
      <c r="G1110" s="107" t="n"/>
      <c r="H1110" s="107" t="n"/>
      <c r="I1110" s="81" t="n"/>
      <c r="J1110" s="108">
        <f>IF($B1110="","",IF($E1110="Ngày thường",N($G1110),0))</f>
        <v/>
      </c>
      <c r="K1110" s="108">
        <f>IF($B1110="","",IF($E1110="Nghỉ tuần",N($G1110),0))</f>
        <v/>
      </c>
      <c r="L1110" s="108">
        <f>IF($B1110="","",IF($E1110="Lễ",N($G1110),0))</f>
        <v/>
      </c>
      <c r="M1110" s="108">
        <f>IF($B1110="","",IF($E1110="Ngày thường",N($H1110),0))</f>
        <v/>
      </c>
      <c r="N1110" s="108">
        <f>IF($B1110="","",IF($E1110="Nghỉ tuần",N($H1110),0))</f>
        <v/>
      </c>
      <c r="O1110" s="108">
        <f>IF($B1110="","",IF($E1110="Lễ",N($H1110),0))</f>
        <v/>
      </c>
    </row>
    <row r="1111" ht="15" customHeight="1" s="63">
      <c r="A1111" s="85">
        <f>IF($B1111="","",ROW()-5)</f>
        <v/>
      </c>
      <c r="B1111" s="97" t="n"/>
      <c r="C1111" s="96">
        <f>IF($B1111="","",IFERROR(INDEX(DM_NHAN_SU!$C$6:$C$155,MATCH($B1111,DM_NHAN_SU!$B$6:$B$155,0)),"SAI MÃ NV"))</f>
        <v/>
      </c>
      <c r="D1111" s="86" t="n"/>
      <c r="E1111" s="103">
        <f>IF(OR($B1111="",$D1111=""),"",IF(COUNTIF(THAM_SO_CC!$F$10:$F$40,$D1111)&gt;0,"Lễ",IF(IF(THAM_SO_CC!$B$12="T7+CN",WEEKDAY($D1111,2)&gt;=6,WEEKDAY($D1111,2)=7),"Nghỉ tuần","Ngày thường")))</f>
        <v/>
      </c>
      <c r="F1111" s="107" t="n"/>
      <c r="G1111" s="107" t="n"/>
      <c r="H1111" s="107" t="n"/>
      <c r="I1111" s="81" t="n"/>
      <c r="J1111" s="108">
        <f>IF($B1111="","",IF($E1111="Ngày thường",N($G1111),0))</f>
        <v/>
      </c>
      <c r="K1111" s="108">
        <f>IF($B1111="","",IF($E1111="Nghỉ tuần",N($G1111),0))</f>
        <v/>
      </c>
      <c r="L1111" s="108">
        <f>IF($B1111="","",IF($E1111="Lễ",N($G1111),0))</f>
        <v/>
      </c>
      <c r="M1111" s="108">
        <f>IF($B1111="","",IF($E1111="Ngày thường",N($H1111),0))</f>
        <v/>
      </c>
      <c r="N1111" s="108">
        <f>IF($B1111="","",IF($E1111="Nghỉ tuần",N($H1111),0))</f>
        <v/>
      </c>
      <c r="O1111" s="108">
        <f>IF($B1111="","",IF($E1111="Lễ",N($H1111),0))</f>
        <v/>
      </c>
    </row>
    <row r="1112" ht="15" customHeight="1" s="63">
      <c r="A1112" s="85">
        <f>IF($B1112="","",ROW()-5)</f>
        <v/>
      </c>
      <c r="B1112" s="97" t="n"/>
      <c r="C1112" s="96">
        <f>IF($B1112="","",IFERROR(INDEX(DM_NHAN_SU!$C$6:$C$155,MATCH($B1112,DM_NHAN_SU!$B$6:$B$155,0)),"SAI MÃ NV"))</f>
        <v/>
      </c>
      <c r="D1112" s="86" t="n"/>
      <c r="E1112" s="103">
        <f>IF(OR($B1112="",$D1112=""),"",IF(COUNTIF(THAM_SO_CC!$F$10:$F$40,$D1112)&gt;0,"Lễ",IF(IF(THAM_SO_CC!$B$12="T7+CN",WEEKDAY($D1112,2)&gt;=6,WEEKDAY($D1112,2)=7),"Nghỉ tuần","Ngày thường")))</f>
        <v/>
      </c>
      <c r="F1112" s="107" t="n"/>
      <c r="G1112" s="107" t="n"/>
      <c r="H1112" s="107" t="n"/>
      <c r="I1112" s="81" t="n"/>
      <c r="J1112" s="108">
        <f>IF($B1112="","",IF($E1112="Ngày thường",N($G1112),0))</f>
        <v/>
      </c>
      <c r="K1112" s="108">
        <f>IF($B1112="","",IF($E1112="Nghỉ tuần",N($G1112),0))</f>
        <v/>
      </c>
      <c r="L1112" s="108">
        <f>IF($B1112="","",IF($E1112="Lễ",N($G1112),0))</f>
        <v/>
      </c>
      <c r="M1112" s="108">
        <f>IF($B1112="","",IF($E1112="Ngày thường",N($H1112),0))</f>
        <v/>
      </c>
      <c r="N1112" s="108">
        <f>IF($B1112="","",IF($E1112="Nghỉ tuần",N($H1112),0))</f>
        <v/>
      </c>
      <c r="O1112" s="108">
        <f>IF($B1112="","",IF($E1112="Lễ",N($H1112),0))</f>
        <v/>
      </c>
    </row>
    <row r="1113" ht="15" customHeight="1" s="63">
      <c r="A1113" s="85">
        <f>IF($B1113="","",ROW()-5)</f>
        <v/>
      </c>
      <c r="B1113" s="97" t="n"/>
      <c r="C1113" s="96">
        <f>IF($B1113="","",IFERROR(INDEX(DM_NHAN_SU!$C$6:$C$155,MATCH($B1113,DM_NHAN_SU!$B$6:$B$155,0)),"SAI MÃ NV"))</f>
        <v/>
      </c>
      <c r="D1113" s="86" t="n"/>
      <c r="E1113" s="103">
        <f>IF(OR($B1113="",$D1113=""),"",IF(COUNTIF(THAM_SO_CC!$F$10:$F$40,$D1113)&gt;0,"Lễ",IF(IF(THAM_SO_CC!$B$12="T7+CN",WEEKDAY($D1113,2)&gt;=6,WEEKDAY($D1113,2)=7),"Nghỉ tuần","Ngày thường")))</f>
        <v/>
      </c>
      <c r="F1113" s="107" t="n"/>
      <c r="G1113" s="107" t="n"/>
      <c r="H1113" s="107" t="n"/>
      <c r="I1113" s="81" t="n"/>
      <c r="J1113" s="108">
        <f>IF($B1113="","",IF($E1113="Ngày thường",N($G1113),0))</f>
        <v/>
      </c>
      <c r="K1113" s="108">
        <f>IF($B1113="","",IF($E1113="Nghỉ tuần",N($G1113),0))</f>
        <v/>
      </c>
      <c r="L1113" s="108">
        <f>IF($B1113="","",IF($E1113="Lễ",N($G1113),0))</f>
        <v/>
      </c>
      <c r="M1113" s="108">
        <f>IF($B1113="","",IF($E1113="Ngày thường",N($H1113),0))</f>
        <v/>
      </c>
      <c r="N1113" s="108">
        <f>IF($B1113="","",IF($E1113="Nghỉ tuần",N($H1113),0))</f>
        <v/>
      </c>
      <c r="O1113" s="108">
        <f>IF($B1113="","",IF($E1113="Lễ",N($H1113),0))</f>
        <v/>
      </c>
    </row>
    <row r="1114" ht="15" customHeight="1" s="63">
      <c r="A1114" s="85">
        <f>IF($B1114="","",ROW()-5)</f>
        <v/>
      </c>
      <c r="B1114" s="97" t="n"/>
      <c r="C1114" s="96">
        <f>IF($B1114="","",IFERROR(INDEX(DM_NHAN_SU!$C$6:$C$155,MATCH($B1114,DM_NHAN_SU!$B$6:$B$155,0)),"SAI MÃ NV"))</f>
        <v/>
      </c>
      <c r="D1114" s="86" t="n"/>
      <c r="E1114" s="103">
        <f>IF(OR($B1114="",$D1114=""),"",IF(COUNTIF(THAM_SO_CC!$F$10:$F$40,$D1114)&gt;0,"Lễ",IF(IF(THAM_SO_CC!$B$12="T7+CN",WEEKDAY($D1114,2)&gt;=6,WEEKDAY($D1114,2)=7),"Nghỉ tuần","Ngày thường")))</f>
        <v/>
      </c>
      <c r="F1114" s="107" t="n"/>
      <c r="G1114" s="107" t="n"/>
      <c r="H1114" s="107" t="n"/>
      <c r="I1114" s="81" t="n"/>
      <c r="J1114" s="108">
        <f>IF($B1114="","",IF($E1114="Ngày thường",N($G1114),0))</f>
        <v/>
      </c>
      <c r="K1114" s="108">
        <f>IF($B1114="","",IF($E1114="Nghỉ tuần",N($G1114),0))</f>
        <v/>
      </c>
      <c r="L1114" s="108">
        <f>IF($B1114="","",IF($E1114="Lễ",N($G1114),0))</f>
        <v/>
      </c>
      <c r="M1114" s="108">
        <f>IF($B1114="","",IF($E1114="Ngày thường",N($H1114),0))</f>
        <v/>
      </c>
      <c r="N1114" s="108">
        <f>IF($B1114="","",IF($E1114="Nghỉ tuần",N($H1114),0))</f>
        <v/>
      </c>
      <c r="O1114" s="108">
        <f>IF($B1114="","",IF($E1114="Lễ",N($H1114),0))</f>
        <v/>
      </c>
    </row>
    <row r="1115" ht="15" customHeight="1" s="63">
      <c r="A1115" s="85">
        <f>IF($B1115="","",ROW()-5)</f>
        <v/>
      </c>
      <c r="B1115" s="97" t="n"/>
      <c r="C1115" s="96">
        <f>IF($B1115="","",IFERROR(INDEX(DM_NHAN_SU!$C$6:$C$155,MATCH($B1115,DM_NHAN_SU!$B$6:$B$155,0)),"SAI MÃ NV"))</f>
        <v/>
      </c>
      <c r="D1115" s="86" t="n"/>
      <c r="E1115" s="103">
        <f>IF(OR($B1115="",$D1115=""),"",IF(COUNTIF(THAM_SO_CC!$F$10:$F$40,$D1115)&gt;0,"Lễ",IF(IF(THAM_SO_CC!$B$12="T7+CN",WEEKDAY($D1115,2)&gt;=6,WEEKDAY($D1115,2)=7),"Nghỉ tuần","Ngày thường")))</f>
        <v/>
      </c>
      <c r="F1115" s="107" t="n"/>
      <c r="G1115" s="107" t="n"/>
      <c r="H1115" s="107" t="n"/>
      <c r="I1115" s="81" t="n"/>
      <c r="J1115" s="108">
        <f>IF($B1115="","",IF($E1115="Ngày thường",N($G1115),0))</f>
        <v/>
      </c>
      <c r="K1115" s="108">
        <f>IF($B1115="","",IF($E1115="Nghỉ tuần",N($G1115),0))</f>
        <v/>
      </c>
      <c r="L1115" s="108">
        <f>IF($B1115="","",IF($E1115="Lễ",N($G1115),0))</f>
        <v/>
      </c>
      <c r="M1115" s="108">
        <f>IF($B1115="","",IF($E1115="Ngày thường",N($H1115),0))</f>
        <v/>
      </c>
      <c r="N1115" s="108">
        <f>IF($B1115="","",IF($E1115="Nghỉ tuần",N($H1115),0))</f>
        <v/>
      </c>
      <c r="O1115" s="108">
        <f>IF($B1115="","",IF($E1115="Lễ",N($H1115),0))</f>
        <v/>
      </c>
    </row>
    <row r="1116" ht="15" customHeight="1" s="63">
      <c r="A1116" s="85">
        <f>IF($B1116="","",ROW()-5)</f>
        <v/>
      </c>
      <c r="B1116" s="97" t="n"/>
      <c r="C1116" s="96">
        <f>IF($B1116="","",IFERROR(INDEX(DM_NHAN_SU!$C$6:$C$155,MATCH($B1116,DM_NHAN_SU!$B$6:$B$155,0)),"SAI MÃ NV"))</f>
        <v/>
      </c>
      <c r="D1116" s="86" t="n"/>
      <c r="E1116" s="103">
        <f>IF(OR($B1116="",$D1116=""),"",IF(COUNTIF(THAM_SO_CC!$F$10:$F$40,$D1116)&gt;0,"Lễ",IF(IF(THAM_SO_CC!$B$12="T7+CN",WEEKDAY($D1116,2)&gt;=6,WEEKDAY($D1116,2)=7),"Nghỉ tuần","Ngày thường")))</f>
        <v/>
      </c>
      <c r="F1116" s="107" t="n"/>
      <c r="G1116" s="107" t="n"/>
      <c r="H1116" s="107" t="n"/>
      <c r="I1116" s="81" t="n"/>
      <c r="J1116" s="108">
        <f>IF($B1116="","",IF($E1116="Ngày thường",N($G1116),0))</f>
        <v/>
      </c>
      <c r="K1116" s="108">
        <f>IF($B1116="","",IF($E1116="Nghỉ tuần",N($G1116),0))</f>
        <v/>
      </c>
      <c r="L1116" s="108">
        <f>IF($B1116="","",IF($E1116="Lễ",N($G1116),0))</f>
        <v/>
      </c>
      <c r="M1116" s="108">
        <f>IF($B1116="","",IF($E1116="Ngày thường",N($H1116),0))</f>
        <v/>
      </c>
      <c r="N1116" s="108">
        <f>IF($B1116="","",IF($E1116="Nghỉ tuần",N($H1116),0))</f>
        <v/>
      </c>
      <c r="O1116" s="108">
        <f>IF($B1116="","",IF($E1116="Lễ",N($H1116),0))</f>
        <v/>
      </c>
    </row>
    <row r="1117" ht="15" customHeight="1" s="63">
      <c r="A1117" s="85">
        <f>IF($B1117="","",ROW()-5)</f>
        <v/>
      </c>
      <c r="B1117" s="97" t="n"/>
      <c r="C1117" s="96">
        <f>IF($B1117="","",IFERROR(INDEX(DM_NHAN_SU!$C$6:$C$155,MATCH($B1117,DM_NHAN_SU!$B$6:$B$155,0)),"SAI MÃ NV"))</f>
        <v/>
      </c>
      <c r="D1117" s="86" t="n"/>
      <c r="E1117" s="103">
        <f>IF(OR($B1117="",$D1117=""),"",IF(COUNTIF(THAM_SO_CC!$F$10:$F$40,$D1117)&gt;0,"Lễ",IF(IF(THAM_SO_CC!$B$12="T7+CN",WEEKDAY($D1117,2)&gt;=6,WEEKDAY($D1117,2)=7),"Nghỉ tuần","Ngày thường")))</f>
        <v/>
      </c>
      <c r="F1117" s="107" t="n"/>
      <c r="G1117" s="107" t="n"/>
      <c r="H1117" s="107" t="n"/>
      <c r="I1117" s="81" t="n"/>
      <c r="J1117" s="108">
        <f>IF($B1117="","",IF($E1117="Ngày thường",N($G1117),0))</f>
        <v/>
      </c>
      <c r="K1117" s="108">
        <f>IF($B1117="","",IF($E1117="Nghỉ tuần",N($G1117),0))</f>
        <v/>
      </c>
      <c r="L1117" s="108">
        <f>IF($B1117="","",IF($E1117="Lễ",N($G1117),0))</f>
        <v/>
      </c>
      <c r="M1117" s="108">
        <f>IF($B1117="","",IF($E1117="Ngày thường",N($H1117),0))</f>
        <v/>
      </c>
      <c r="N1117" s="108">
        <f>IF($B1117="","",IF($E1117="Nghỉ tuần",N($H1117),0))</f>
        <v/>
      </c>
      <c r="O1117" s="108">
        <f>IF($B1117="","",IF($E1117="Lễ",N($H1117),0))</f>
        <v/>
      </c>
    </row>
    <row r="1118" ht="15" customHeight="1" s="63">
      <c r="A1118" s="85">
        <f>IF($B1118="","",ROW()-5)</f>
        <v/>
      </c>
      <c r="B1118" s="97" t="n"/>
      <c r="C1118" s="96">
        <f>IF($B1118="","",IFERROR(INDEX(DM_NHAN_SU!$C$6:$C$155,MATCH($B1118,DM_NHAN_SU!$B$6:$B$155,0)),"SAI MÃ NV"))</f>
        <v/>
      </c>
      <c r="D1118" s="86" t="n"/>
      <c r="E1118" s="103">
        <f>IF(OR($B1118="",$D1118=""),"",IF(COUNTIF(THAM_SO_CC!$F$10:$F$40,$D1118)&gt;0,"Lễ",IF(IF(THAM_SO_CC!$B$12="T7+CN",WEEKDAY($D1118,2)&gt;=6,WEEKDAY($D1118,2)=7),"Nghỉ tuần","Ngày thường")))</f>
        <v/>
      </c>
      <c r="F1118" s="107" t="n"/>
      <c r="G1118" s="107" t="n"/>
      <c r="H1118" s="107" t="n"/>
      <c r="I1118" s="81" t="n"/>
      <c r="J1118" s="108">
        <f>IF($B1118="","",IF($E1118="Ngày thường",N($G1118),0))</f>
        <v/>
      </c>
      <c r="K1118" s="108">
        <f>IF($B1118="","",IF($E1118="Nghỉ tuần",N($G1118),0))</f>
        <v/>
      </c>
      <c r="L1118" s="108">
        <f>IF($B1118="","",IF($E1118="Lễ",N($G1118),0))</f>
        <v/>
      </c>
      <c r="M1118" s="108">
        <f>IF($B1118="","",IF($E1118="Ngày thường",N($H1118),0))</f>
        <v/>
      </c>
      <c r="N1118" s="108">
        <f>IF($B1118="","",IF($E1118="Nghỉ tuần",N($H1118),0))</f>
        <v/>
      </c>
      <c r="O1118" s="108">
        <f>IF($B1118="","",IF($E1118="Lễ",N($H1118),0))</f>
        <v/>
      </c>
    </row>
    <row r="1119" ht="15" customHeight="1" s="63">
      <c r="A1119" s="85">
        <f>IF($B1119="","",ROW()-5)</f>
        <v/>
      </c>
      <c r="B1119" s="97" t="n"/>
      <c r="C1119" s="96">
        <f>IF($B1119="","",IFERROR(INDEX(DM_NHAN_SU!$C$6:$C$155,MATCH($B1119,DM_NHAN_SU!$B$6:$B$155,0)),"SAI MÃ NV"))</f>
        <v/>
      </c>
      <c r="D1119" s="86" t="n"/>
      <c r="E1119" s="103">
        <f>IF(OR($B1119="",$D1119=""),"",IF(COUNTIF(THAM_SO_CC!$F$10:$F$40,$D1119)&gt;0,"Lễ",IF(IF(THAM_SO_CC!$B$12="T7+CN",WEEKDAY($D1119,2)&gt;=6,WEEKDAY($D1119,2)=7),"Nghỉ tuần","Ngày thường")))</f>
        <v/>
      </c>
      <c r="F1119" s="107" t="n"/>
      <c r="G1119" s="107" t="n"/>
      <c r="H1119" s="107" t="n"/>
      <c r="I1119" s="81" t="n"/>
      <c r="J1119" s="108">
        <f>IF($B1119="","",IF($E1119="Ngày thường",N($G1119),0))</f>
        <v/>
      </c>
      <c r="K1119" s="108">
        <f>IF($B1119="","",IF($E1119="Nghỉ tuần",N($G1119),0))</f>
        <v/>
      </c>
      <c r="L1119" s="108">
        <f>IF($B1119="","",IF($E1119="Lễ",N($G1119),0))</f>
        <v/>
      </c>
      <c r="M1119" s="108">
        <f>IF($B1119="","",IF($E1119="Ngày thường",N($H1119),0))</f>
        <v/>
      </c>
      <c r="N1119" s="108">
        <f>IF($B1119="","",IF($E1119="Nghỉ tuần",N($H1119),0))</f>
        <v/>
      </c>
      <c r="O1119" s="108">
        <f>IF($B1119="","",IF($E1119="Lễ",N($H1119),0))</f>
        <v/>
      </c>
    </row>
    <row r="1120" ht="15" customHeight="1" s="63">
      <c r="A1120" s="85">
        <f>IF($B1120="","",ROW()-5)</f>
        <v/>
      </c>
      <c r="B1120" s="97" t="n"/>
      <c r="C1120" s="96">
        <f>IF($B1120="","",IFERROR(INDEX(DM_NHAN_SU!$C$6:$C$155,MATCH($B1120,DM_NHAN_SU!$B$6:$B$155,0)),"SAI MÃ NV"))</f>
        <v/>
      </c>
      <c r="D1120" s="86" t="n"/>
      <c r="E1120" s="103">
        <f>IF(OR($B1120="",$D1120=""),"",IF(COUNTIF(THAM_SO_CC!$F$10:$F$40,$D1120)&gt;0,"Lễ",IF(IF(THAM_SO_CC!$B$12="T7+CN",WEEKDAY($D1120,2)&gt;=6,WEEKDAY($D1120,2)=7),"Nghỉ tuần","Ngày thường")))</f>
        <v/>
      </c>
      <c r="F1120" s="107" t="n"/>
      <c r="G1120" s="107" t="n"/>
      <c r="H1120" s="107" t="n"/>
      <c r="I1120" s="81" t="n"/>
      <c r="J1120" s="108">
        <f>IF($B1120="","",IF($E1120="Ngày thường",N($G1120),0))</f>
        <v/>
      </c>
      <c r="K1120" s="108">
        <f>IF($B1120="","",IF($E1120="Nghỉ tuần",N($G1120),0))</f>
        <v/>
      </c>
      <c r="L1120" s="108">
        <f>IF($B1120="","",IF($E1120="Lễ",N($G1120),0))</f>
        <v/>
      </c>
      <c r="M1120" s="108">
        <f>IF($B1120="","",IF($E1120="Ngày thường",N($H1120),0))</f>
        <v/>
      </c>
      <c r="N1120" s="108">
        <f>IF($B1120="","",IF($E1120="Nghỉ tuần",N($H1120),0))</f>
        <v/>
      </c>
      <c r="O1120" s="108">
        <f>IF($B1120="","",IF($E1120="Lễ",N($H1120),0))</f>
        <v/>
      </c>
    </row>
    <row r="1121" ht="15" customHeight="1" s="63">
      <c r="A1121" s="85">
        <f>IF($B1121="","",ROW()-5)</f>
        <v/>
      </c>
      <c r="B1121" s="97" t="n"/>
      <c r="C1121" s="96">
        <f>IF($B1121="","",IFERROR(INDEX(DM_NHAN_SU!$C$6:$C$155,MATCH($B1121,DM_NHAN_SU!$B$6:$B$155,0)),"SAI MÃ NV"))</f>
        <v/>
      </c>
      <c r="D1121" s="86" t="n"/>
      <c r="E1121" s="103">
        <f>IF(OR($B1121="",$D1121=""),"",IF(COUNTIF(THAM_SO_CC!$F$10:$F$40,$D1121)&gt;0,"Lễ",IF(IF(THAM_SO_CC!$B$12="T7+CN",WEEKDAY($D1121,2)&gt;=6,WEEKDAY($D1121,2)=7),"Nghỉ tuần","Ngày thường")))</f>
        <v/>
      </c>
      <c r="F1121" s="107" t="n"/>
      <c r="G1121" s="107" t="n"/>
      <c r="H1121" s="107" t="n"/>
      <c r="I1121" s="81" t="n"/>
      <c r="J1121" s="108">
        <f>IF($B1121="","",IF($E1121="Ngày thường",N($G1121),0))</f>
        <v/>
      </c>
      <c r="K1121" s="108">
        <f>IF($B1121="","",IF($E1121="Nghỉ tuần",N($G1121),0))</f>
        <v/>
      </c>
      <c r="L1121" s="108">
        <f>IF($B1121="","",IF($E1121="Lễ",N($G1121),0))</f>
        <v/>
      </c>
      <c r="M1121" s="108">
        <f>IF($B1121="","",IF($E1121="Ngày thường",N($H1121),0))</f>
        <v/>
      </c>
      <c r="N1121" s="108">
        <f>IF($B1121="","",IF($E1121="Nghỉ tuần",N($H1121),0))</f>
        <v/>
      </c>
      <c r="O1121" s="108">
        <f>IF($B1121="","",IF($E1121="Lễ",N($H1121),0))</f>
        <v/>
      </c>
    </row>
    <row r="1122" ht="15" customHeight="1" s="63">
      <c r="A1122" s="85">
        <f>IF($B1122="","",ROW()-5)</f>
        <v/>
      </c>
      <c r="B1122" s="97" t="n"/>
      <c r="C1122" s="96">
        <f>IF($B1122="","",IFERROR(INDEX(DM_NHAN_SU!$C$6:$C$155,MATCH($B1122,DM_NHAN_SU!$B$6:$B$155,0)),"SAI MÃ NV"))</f>
        <v/>
      </c>
      <c r="D1122" s="86" t="n"/>
      <c r="E1122" s="103">
        <f>IF(OR($B1122="",$D1122=""),"",IF(COUNTIF(THAM_SO_CC!$F$10:$F$40,$D1122)&gt;0,"Lễ",IF(IF(THAM_SO_CC!$B$12="T7+CN",WEEKDAY($D1122,2)&gt;=6,WEEKDAY($D1122,2)=7),"Nghỉ tuần","Ngày thường")))</f>
        <v/>
      </c>
      <c r="F1122" s="107" t="n"/>
      <c r="G1122" s="107" t="n"/>
      <c r="H1122" s="107" t="n"/>
      <c r="I1122" s="81" t="n"/>
      <c r="J1122" s="108">
        <f>IF($B1122="","",IF($E1122="Ngày thường",N($G1122),0))</f>
        <v/>
      </c>
      <c r="K1122" s="108">
        <f>IF($B1122="","",IF($E1122="Nghỉ tuần",N($G1122),0))</f>
        <v/>
      </c>
      <c r="L1122" s="108">
        <f>IF($B1122="","",IF($E1122="Lễ",N($G1122),0))</f>
        <v/>
      </c>
      <c r="M1122" s="108">
        <f>IF($B1122="","",IF($E1122="Ngày thường",N($H1122),0))</f>
        <v/>
      </c>
      <c r="N1122" s="108">
        <f>IF($B1122="","",IF($E1122="Nghỉ tuần",N($H1122),0))</f>
        <v/>
      </c>
      <c r="O1122" s="108">
        <f>IF($B1122="","",IF($E1122="Lễ",N($H1122),0))</f>
        <v/>
      </c>
    </row>
    <row r="1123" ht="15" customHeight="1" s="63">
      <c r="A1123" s="85">
        <f>IF($B1123="","",ROW()-5)</f>
        <v/>
      </c>
      <c r="B1123" s="97" t="n"/>
      <c r="C1123" s="96">
        <f>IF($B1123="","",IFERROR(INDEX(DM_NHAN_SU!$C$6:$C$155,MATCH($B1123,DM_NHAN_SU!$B$6:$B$155,0)),"SAI MÃ NV"))</f>
        <v/>
      </c>
      <c r="D1123" s="86" t="n"/>
      <c r="E1123" s="103">
        <f>IF(OR($B1123="",$D1123=""),"",IF(COUNTIF(THAM_SO_CC!$F$10:$F$40,$D1123)&gt;0,"Lễ",IF(IF(THAM_SO_CC!$B$12="T7+CN",WEEKDAY($D1123,2)&gt;=6,WEEKDAY($D1123,2)=7),"Nghỉ tuần","Ngày thường")))</f>
        <v/>
      </c>
      <c r="F1123" s="107" t="n"/>
      <c r="G1123" s="107" t="n"/>
      <c r="H1123" s="107" t="n"/>
      <c r="I1123" s="81" t="n"/>
      <c r="J1123" s="108">
        <f>IF($B1123="","",IF($E1123="Ngày thường",N($G1123),0))</f>
        <v/>
      </c>
      <c r="K1123" s="108">
        <f>IF($B1123="","",IF($E1123="Nghỉ tuần",N($G1123),0))</f>
        <v/>
      </c>
      <c r="L1123" s="108">
        <f>IF($B1123="","",IF($E1123="Lễ",N($G1123),0))</f>
        <v/>
      </c>
      <c r="M1123" s="108">
        <f>IF($B1123="","",IF($E1123="Ngày thường",N($H1123),0))</f>
        <v/>
      </c>
      <c r="N1123" s="108">
        <f>IF($B1123="","",IF($E1123="Nghỉ tuần",N($H1123),0))</f>
        <v/>
      </c>
      <c r="O1123" s="108">
        <f>IF($B1123="","",IF($E1123="Lễ",N($H1123),0))</f>
        <v/>
      </c>
    </row>
    <row r="1124" ht="15" customHeight="1" s="63">
      <c r="A1124" s="85">
        <f>IF($B1124="","",ROW()-5)</f>
        <v/>
      </c>
      <c r="B1124" s="97" t="n"/>
      <c r="C1124" s="96">
        <f>IF($B1124="","",IFERROR(INDEX(DM_NHAN_SU!$C$6:$C$155,MATCH($B1124,DM_NHAN_SU!$B$6:$B$155,0)),"SAI MÃ NV"))</f>
        <v/>
      </c>
      <c r="D1124" s="86" t="n"/>
      <c r="E1124" s="103">
        <f>IF(OR($B1124="",$D1124=""),"",IF(COUNTIF(THAM_SO_CC!$F$10:$F$40,$D1124)&gt;0,"Lễ",IF(IF(THAM_SO_CC!$B$12="T7+CN",WEEKDAY($D1124,2)&gt;=6,WEEKDAY($D1124,2)=7),"Nghỉ tuần","Ngày thường")))</f>
        <v/>
      </c>
      <c r="F1124" s="107" t="n"/>
      <c r="G1124" s="107" t="n"/>
      <c r="H1124" s="107" t="n"/>
      <c r="I1124" s="81" t="n"/>
      <c r="J1124" s="108">
        <f>IF($B1124="","",IF($E1124="Ngày thường",N($G1124),0))</f>
        <v/>
      </c>
      <c r="K1124" s="108">
        <f>IF($B1124="","",IF($E1124="Nghỉ tuần",N($G1124),0))</f>
        <v/>
      </c>
      <c r="L1124" s="108">
        <f>IF($B1124="","",IF($E1124="Lễ",N($G1124),0))</f>
        <v/>
      </c>
      <c r="M1124" s="108">
        <f>IF($B1124="","",IF($E1124="Ngày thường",N($H1124),0))</f>
        <v/>
      </c>
      <c r="N1124" s="108">
        <f>IF($B1124="","",IF($E1124="Nghỉ tuần",N($H1124),0))</f>
        <v/>
      </c>
      <c r="O1124" s="108">
        <f>IF($B1124="","",IF($E1124="Lễ",N($H1124),0))</f>
        <v/>
      </c>
    </row>
    <row r="1125" ht="15" customHeight="1" s="63">
      <c r="A1125" s="85">
        <f>IF($B1125="","",ROW()-5)</f>
        <v/>
      </c>
      <c r="B1125" s="97" t="n"/>
      <c r="C1125" s="96">
        <f>IF($B1125="","",IFERROR(INDEX(DM_NHAN_SU!$C$6:$C$155,MATCH($B1125,DM_NHAN_SU!$B$6:$B$155,0)),"SAI MÃ NV"))</f>
        <v/>
      </c>
      <c r="D1125" s="86" t="n"/>
      <c r="E1125" s="103">
        <f>IF(OR($B1125="",$D1125=""),"",IF(COUNTIF(THAM_SO_CC!$F$10:$F$40,$D1125)&gt;0,"Lễ",IF(IF(THAM_SO_CC!$B$12="T7+CN",WEEKDAY($D1125,2)&gt;=6,WEEKDAY($D1125,2)=7),"Nghỉ tuần","Ngày thường")))</f>
        <v/>
      </c>
      <c r="F1125" s="107" t="n"/>
      <c r="G1125" s="107" t="n"/>
      <c r="H1125" s="107" t="n"/>
      <c r="I1125" s="81" t="n"/>
      <c r="J1125" s="108">
        <f>IF($B1125="","",IF($E1125="Ngày thường",N($G1125),0))</f>
        <v/>
      </c>
      <c r="K1125" s="108">
        <f>IF($B1125="","",IF($E1125="Nghỉ tuần",N($G1125),0))</f>
        <v/>
      </c>
      <c r="L1125" s="108">
        <f>IF($B1125="","",IF($E1125="Lễ",N($G1125),0))</f>
        <v/>
      </c>
      <c r="M1125" s="108">
        <f>IF($B1125="","",IF($E1125="Ngày thường",N($H1125),0))</f>
        <v/>
      </c>
      <c r="N1125" s="108">
        <f>IF($B1125="","",IF($E1125="Nghỉ tuần",N($H1125),0))</f>
        <v/>
      </c>
      <c r="O1125" s="108">
        <f>IF($B1125="","",IF($E1125="Lễ",N($H1125),0))</f>
        <v/>
      </c>
    </row>
    <row r="1126" ht="15" customHeight="1" s="63">
      <c r="A1126" s="85">
        <f>IF($B1126="","",ROW()-5)</f>
        <v/>
      </c>
      <c r="B1126" s="97" t="n"/>
      <c r="C1126" s="96">
        <f>IF($B1126="","",IFERROR(INDEX(DM_NHAN_SU!$C$6:$C$155,MATCH($B1126,DM_NHAN_SU!$B$6:$B$155,0)),"SAI MÃ NV"))</f>
        <v/>
      </c>
      <c r="D1126" s="86" t="n"/>
      <c r="E1126" s="103">
        <f>IF(OR($B1126="",$D1126=""),"",IF(COUNTIF(THAM_SO_CC!$F$10:$F$40,$D1126)&gt;0,"Lễ",IF(IF(THAM_SO_CC!$B$12="T7+CN",WEEKDAY($D1126,2)&gt;=6,WEEKDAY($D1126,2)=7),"Nghỉ tuần","Ngày thường")))</f>
        <v/>
      </c>
      <c r="F1126" s="107" t="n"/>
      <c r="G1126" s="107" t="n"/>
      <c r="H1126" s="107" t="n"/>
      <c r="I1126" s="81" t="n"/>
      <c r="J1126" s="108">
        <f>IF($B1126="","",IF($E1126="Ngày thường",N($G1126),0))</f>
        <v/>
      </c>
      <c r="K1126" s="108">
        <f>IF($B1126="","",IF($E1126="Nghỉ tuần",N($G1126),0))</f>
        <v/>
      </c>
      <c r="L1126" s="108">
        <f>IF($B1126="","",IF($E1126="Lễ",N($G1126),0))</f>
        <v/>
      </c>
      <c r="M1126" s="108">
        <f>IF($B1126="","",IF($E1126="Ngày thường",N($H1126),0))</f>
        <v/>
      </c>
      <c r="N1126" s="108">
        <f>IF($B1126="","",IF($E1126="Nghỉ tuần",N($H1126),0))</f>
        <v/>
      </c>
      <c r="O1126" s="108">
        <f>IF($B1126="","",IF($E1126="Lễ",N($H1126),0))</f>
        <v/>
      </c>
    </row>
    <row r="1127" ht="15" customHeight="1" s="63">
      <c r="A1127" s="85">
        <f>IF($B1127="","",ROW()-5)</f>
        <v/>
      </c>
      <c r="B1127" s="97" t="n"/>
      <c r="C1127" s="96">
        <f>IF($B1127="","",IFERROR(INDEX(DM_NHAN_SU!$C$6:$C$155,MATCH($B1127,DM_NHAN_SU!$B$6:$B$155,0)),"SAI MÃ NV"))</f>
        <v/>
      </c>
      <c r="D1127" s="86" t="n"/>
      <c r="E1127" s="103">
        <f>IF(OR($B1127="",$D1127=""),"",IF(COUNTIF(THAM_SO_CC!$F$10:$F$40,$D1127)&gt;0,"Lễ",IF(IF(THAM_SO_CC!$B$12="T7+CN",WEEKDAY($D1127,2)&gt;=6,WEEKDAY($D1127,2)=7),"Nghỉ tuần","Ngày thường")))</f>
        <v/>
      </c>
      <c r="F1127" s="107" t="n"/>
      <c r="G1127" s="107" t="n"/>
      <c r="H1127" s="107" t="n"/>
      <c r="I1127" s="81" t="n"/>
      <c r="J1127" s="108">
        <f>IF($B1127="","",IF($E1127="Ngày thường",N($G1127),0))</f>
        <v/>
      </c>
      <c r="K1127" s="108">
        <f>IF($B1127="","",IF($E1127="Nghỉ tuần",N($G1127),0))</f>
        <v/>
      </c>
      <c r="L1127" s="108">
        <f>IF($B1127="","",IF($E1127="Lễ",N($G1127),0))</f>
        <v/>
      </c>
      <c r="M1127" s="108">
        <f>IF($B1127="","",IF($E1127="Ngày thường",N($H1127),0))</f>
        <v/>
      </c>
      <c r="N1127" s="108">
        <f>IF($B1127="","",IF($E1127="Nghỉ tuần",N($H1127),0))</f>
        <v/>
      </c>
      <c r="O1127" s="108">
        <f>IF($B1127="","",IF($E1127="Lễ",N($H1127),0))</f>
        <v/>
      </c>
    </row>
    <row r="1128" ht="15" customHeight="1" s="63">
      <c r="A1128" s="85">
        <f>IF($B1128="","",ROW()-5)</f>
        <v/>
      </c>
      <c r="B1128" s="97" t="n"/>
      <c r="C1128" s="96">
        <f>IF($B1128="","",IFERROR(INDEX(DM_NHAN_SU!$C$6:$C$155,MATCH($B1128,DM_NHAN_SU!$B$6:$B$155,0)),"SAI MÃ NV"))</f>
        <v/>
      </c>
      <c r="D1128" s="86" t="n"/>
      <c r="E1128" s="103">
        <f>IF(OR($B1128="",$D1128=""),"",IF(COUNTIF(THAM_SO_CC!$F$10:$F$40,$D1128)&gt;0,"Lễ",IF(IF(THAM_SO_CC!$B$12="T7+CN",WEEKDAY($D1128,2)&gt;=6,WEEKDAY($D1128,2)=7),"Nghỉ tuần","Ngày thường")))</f>
        <v/>
      </c>
      <c r="F1128" s="107" t="n"/>
      <c r="G1128" s="107" t="n"/>
      <c r="H1128" s="107" t="n"/>
      <c r="I1128" s="81" t="n"/>
      <c r="J1128" s="108">
        <f>IF($B1128="","",IF($E1128="Ngày thường",N($G1128),0))</f>
        <v/>
      </c>
      <c r="K1128" s="108">
        <f>IF($B1128="","",IF($E1128="Nghỉ tuần",N($G1128),0))</f>
        <v/>
      </c>
      <c r="L1128" s="108">
        <f>IF($B1128="","",IF($E1128="Lễ",N($G1128),0))</f>
        <v/>
      </c>
      <c r="M1128" s="108">
        <f>IF($B1128="","",IF($E1128="Ngày thường",N($H1128),0))</f>
        <v/>
      </c>
      <c r="N1128" s="108">
        <f>IF($B1128="","",IF($E1128="Nghỉ tuần",N($H1128),0))</f>
        <v/>
      </c>
      <c r="O1128" s="108">
        <f>IF($B1128="","",IF($E1128="Lễ",N($H1128),0))</f>
        <v/>
      </c>
    </row>
    <row r="1129" ht="15" customHeight="1" s="63">
      <c r="A1129" s="85">
        <f>IF($B1129="","",ROW()-5)</f>
        <v/>
      </c>
      <c r="B1129" s="97" t="n"/>
      <c r="C1129" s="96">
        <f>IF($B1129="","",IFERROR(INDEX(DM_NHAN_SU!$C$6:$C$155,MATCH($B1129,DM_NHAN_SU!$B$6:$B$155,0)),"SAI MÃ NV"))</f>
        <v/>
      </c>
      <c r="D1129" s="86" t="n"/>
      <c r="E1129" s="103">
        <f>IF(OR($B1129="",$D1129=""),"",IF(COUNTIF(THAM_SO_CC!$F$10:$F$40,$D1129)&gt;0,"Lễ",IF(IF(THAM_SO_CC!$B$12="T7+CN",WEEKDAY($D1129,2)&gt;=6,WEEKDAY($D1129,2)=7),"Nghỉ tuần","Ngày thường")))</f>
        <v/>
      </c>
      <c r="F1129" s="107" t="n"/>
      <c r="G1129" s="107" t="n"/>
      <c r="H1129" s="107" t="n"/>
      <c r="I1129" s="81" t="n"/>
      <c r="J1129" s="108">
        <f>IF($B1129="","",IF($E1129="Ngày thường",N($G1129),0))</f>
        <v/>
      </c>
      <c r="K1129" s="108">
        <f>IF($B1129="","",IF($E1129="Nghỉ tuần",N($G1129),0))</f>
        <v/>
      </c>
      <c r="L1129" s="108">
        <f>IF($B1129="","",IF($E1129="Lễ",N($G1129),0))</f>
        <v/>
      </c>
      <c r="M1129" s="108">
        <f>IF($B1129="","",IF($E1129="Ngày thường",N($H1129),0))</f>
        <v/>
      </c>
      <c r="N1129" s="108">
        <f>IF($B1129="","",IF($E1129="Nghỉ tuần",N($H1129),0))</f>
        <v/>
      </c>
      <c r="O1129" s="108">
        <f>IF($B1129="","",IF($E1129="Lễ",N($H1129),0))</f>
        <v/>
      </c>
    </row>
    <row r="1130" ht="15" customHeight="1" s="63">
      <c r="A1130" s="85">
        <f>IF($B1130="","",ROW()-5)</f>
        <v/>
      </c>
      <c r="B1130" s="97" t="n"/>
      <c r="C1130" s="96">
        <f>IF($B1130="","",IFERROR(INDEX(DM_NHAN_SU!$C$6:$C$155,MATCH($B1130,DM_NHAN_SU!$B$6:$B$155,0)),"SAI MÃ NV"))</f>
        <v/>
      </c>
      <c r="D1130" s="86" t="n"/>
      <c r="E1130" s="103">
        <f>IF(OR($B1130="",$D1130=""),"",IF(COUNTIF(THAM_SO_CC!$F$10:$F$40,$D1130)&gt;0,"Lễ",IF(IF(THAM_SO_CC!$B$12="T7+CN",WEEKDAY($D1130,2)&gt;=6,WEEKDAY($D1130,2)=7),"Nghỉ tuần","Ngày thường")))</f>
        <v/>
      </c>
      <c r="F1130" s="107" t="n"/>
      <c r="G1130" s="107" t="n"/>
      <c r="H1130" s="107" t="n"/>
      <c r="I1130" s="81" t="n"/>
      <c r="J1130" s="108">
        <f>IF($B1130="","",IF($E1130="Ngày thường",N($G1130),0))</f>
        <v/>
      </c>
      <c r="K1130" s="108">
        <f>IF($B1130="","",IF($E1130="Nghỉ tuần",N($G1130),0))</f>
        <v/>
      </c>
      <c r="L1130" s="108">
        <f>IF($B1130="","",IF($E1130="Lễ",N($G1130),0))</f>
        <v/>
      </c>
      <c r="M1130" s="108">
        <f>IF($B1130="","",IF($E1130="Ngày thường",N($H1130),0))</f>
        <v/>
      </c>
      <c r="N1130" s="108">
        <f>IF($B1130="","",IF($E1130="Nghỉ tuần",N($H1130),0))</f>
        <v/>
      </c>
      <c r="O1130" s="108">
        <f>IF($B1130="","",IF($E1130="Lễ",N($H1130),0))</f>
        <v/>
      </c>
    </row>
    <row r="1131" ht="15" customHeight="1" s="63">
      <c r="A1131" s="85">
        <f>IF($B1131="","",ROW()-5)</f>
        <v/>
      </c>
      <c r="B1131" s="97" t="n"/>
      <c r="C1131" s="96">
        <f>IF($B1131="","",IFERROR(INDEX(DM_NHAN_SU!$C$6:$C$155,MATCH($B1131,DM_NHAN_SU!$B$6:$B$155,0)),"SAI MÃ NV"))</f>
        <v/>
      </c>
      <c r="D1131" s="86" t="n"/>
      <c r="E1131" s="103">
        <f>IF(OR($B1131="",$D1131=""),"",IF(COUNTIF(THAM_SO_CC!$F$10:$F$40,$D1131)&gt;0,"Lễ",IF(IF(THAM_SO_CC!$B$12="T7+CN",WEEKDAY($D1131,2)&gt;=6,WEEKDAY($D1131,2)=7),"Nghỉ tuần","Ngày thường")))</f>
        <v/>
      </c>
      <c r="F1131" s="107" t="n"/>
      <c r="G1131" s="107" t="n"/>
      <c r="H1131" s="107" t="n"/>
      <c r="I1131" s="81" t="n"/>
      <c r="J1131" s="108">
        <f>IF($B1131="","",IF($E1131="Ngày thường",N($G1131),0))</f>
        <v/>
      </c>
      <c r="K1131" s="108">
        <f>IF($B1131="","",IF($E1131="Nghỉ tuần",N($G1131),0))</f>
        <v/>
      </c>
      <c r="L1131" s="108">
        <f>IF($B1131="","",IF($E1131="Lễ",N($G1131),0))</f>
        <v/>
      </c>
      <c r="M1131" s="108">
        <f>IF($B1131="","",IF($E1131="Ngày thường",N($H1131),0))</f>
        <v/>
      </c>
      <c r="N1131" s="108">
        <f>IF($B1131="","",IF($E1131="Nghỉ tuần",N($H1131),0))</f>
        <v/>
      </c>
      <c r="O1131" s="108">
        <f>IF($B1131="","",IF($E1131="Lễ",N($H1131),0))</f>
        <v/>
      </c>
    </row>
    <row r="1132" ht="15" customHeight="1" s="63">
      <c r="A1132" s="85">
        <f>IF($B1132="","",ROW()-5)</f>
        <v/>
      </c>
      <c r="B1132" s="97" t="n"/>
      <c r="C1132" s="96">
        <f>IF($B1132="","",IFERROR(INDEX(DM_NHAN_SU!$C$6:$C$155,MATCH($B1132,DM_NHAN_SU!$B$6:$B$155,0)),"SAI MÃ NV"))</f>
        <v/>
      </c>
      <c r="D1132" s="86" t="n"/>
      <c r="E1132" s="103">
        <f>IF(OR($B1132="",$D1132=""),"",IF(COUNTIF(THAM_SO_CC!$F$10:$F$40,$D1132)&gt;0,"Lễ",IF(IF(THAM_SO_CC!$B$12="T7+CN",WEEKDAY($D1132,2)&gt;=6,WEEKDAY($D1132,2)=7),"Nghỉ tuần","Ngày thường")))</f>
        <v/>
      </c>
      <c r="F1132" s="107" t="n"/>
      <c r="G1132" s="107" t="n"/>
      <c r="H1132" s="107" t="n"/>
      <c r="I1132" s="81" t="n"/>
      <c r="J1132" s="108">
        <f>IF($B1132="","",IF($E1132="Ngày thường",N($G1132),0))</f>
        <v/>
      </c>
      <c r="K1132" s="108">
        <f>IF($B1132="","",IF($E1132="Nghỉ tuần",N($G1132),0))</f>
        <v/>
      </c>
      <c r="L1132" s="108">
        <f>IF($B1132="","",IF($E1132="Lễ",N($G1132),0))</f>
        <v/>
      </c>
      <c r="M1132" s="108">
        <f>IF($B1132="","",IF($E1132="Ngày thường",N($H1132),0))</f>
        <v/>
      </c>
      <c r="N1132" s="108">
        <f>IF($B1132="","",IF($E1132="Nghỉ tuần",N($H1132),0))</f>
        <v/>
      </c>
      <c r="O1132" s="108">
        <f>IF($B1132="","",IF($E1132="Lễ",N($H1132),0))</f>
        <v/>
      </c>
    </row>
    <row r="1133" ht="15" customHeight="1" s="63">
      <c r="A1133" s="85">
        <f>IF($B1133="","",ROW()-5)</f>
        <v/>
      </c>
      <c r="B1133" s="97" t="n"/>
      <c r="C1133" s="96">
        <f>IF($B1133="","",IFERROR(INDEX(DM_NHAN_SU!$C$6:$C$155,MATCH($B1133,DM_NHAN_SU!$B$6:$B$155,0)),"SAI MÃ NV"))</f>
        <v/>
      </c>
      <c r="D1133" s="86" t="n"/>
      <c r="E1133" s="103">
        <f>IF(OR($B1133="",$D1133=""),"",IF(COUNTIF(THAM_SO_CC!$F$10:$F$40,$D1133)&gt;0,"Lễ",IF(IF(THAM_SO_CC!$B$12="T7+CN",WEEKDAY($D1133,2)&gt;=6,WEEKDAY($D1133,2)=7),"Nghỉ tuần","Ngày thường")))</f>
        <v/>
      </c>
      <c r="F1133" s="107" t="n"/>
      <c r="G1133" s="107" t="n"/>
      <c r="H1133" s="107" t="n"/>
      <c r="I1133" s="81" t="n"/>
      <c r="J1133" s="108">
        <f>IF($B1133="","",IF($E1133="Ngày thường",N($G1133),0))</f>
        <v/>
      </c>
      <c r="K1133" s="108">
        <f>IF($B1133="","",IF($E1133="Nghỉ tuần",N($G1133),0))</f>
        <v/>
      </c>
      <c r="L1133" s="108">
        <f>IF($B1133="","",IF($E1133="Lễ",N($G1133),0))</f>
        <v/>
      </c>
      <c r="M1133" s="108">
        <f>IF($B1133="","",IF($E1133="Ngày thường",N($H1133),0))</f>
        <v/>
      </c>
      <c r="N1133" s="108">
        <f>IF($B1133="","",IF($E1133="Nghỉ tuần",N($H1133),0))</f>
        <v/>
      </c>
      <c r="O1133" s="108">
        <f>IF($B1133="","",IF($E1133="Lễ",N($H1133),0))</f>
        <v/>
      </c>
    </row>
    <row r="1134" ht="15" customHeight="1" s="63">
      <c r="A1134" s="85">
        <f>IF($B1134="","",ROW()-5)</f>
        <v/>
      </c>
      <c r="B1134" s="97" t="n"/>
      <c r="C1134" s="96">
        <f>IF($B1134="","",IFERROR(INDEX(DM_NHAN_SU!$C$6:$C$155,MATCH($B1134,DM_NHAN_SU!$B$6:$B$155,0)),"SAI MÃ NV"))</f>
        <v/>
      </c>
      <c r="D1134" s="86" t="n"/>
      <c r="E1134" s="103">
        <f>IF(OR($B1134="",$D1134=""),"",IF(COUNTIF(THAM_SO_CC!$F$10:$F$40,$D1134)&gt;0,"Lễ",IF(IF(THAM_SO_CC!$B$12="T7+CN",WEEKDAY($D1134,2)&gt;=6,WEEKDAY($D1134,2)=7),"Nghỉ tuần","Ngày thường")))</f>
        <v/>
      </c>
      <c r="F1134" s="107" t="n"/>
      <c r="G1134" s="107" t="n"/>
      <c r="H1134" s="107" t="n"/>
      <c r="I1134" s="81" t="n"/>
      <c r="J1134" s="108">
        <f>IF($B1134="","",IF($E1134="Ngày thường",N($G1134),0))</f>
        <v/>
      </c>
      <c r="K1134" s="108">
        <f>IF($B1134="","",IF($E1134="Nghỉ tuần",N($G1134),0))</f>
        <v/>
      </c>
      <c r="L1134" s="108">
        <f>IF($B1134="","",IF($E1134="Lễ",N($G1134),0))</f>
        <v/>
      </c>
      <c r="M1134" s="108">
        <f>IF($B1134="","",IF($E1134="Ngày thường",N($H1134),0))</f>
        <v/>
      </c>
      <c r="N1134" s="108">
        <f>IF($B1134="","",IF($E1134="Nghỉ tuần",N($H1134),0))</f>
        <v/>
      </c>
      <c r="O1134" s="108">
        <f>IF($B1134="","",IF($E1134="Lễ",N($H1134),0))</f>
        <v/>
      </c>
    </row>
    <row r="1135" ht="15" customHeight="1" s="63">
      <c r="A1135" s="85">
        <f>IF($B1135="","",ROW()-5)</f>
        <v/>
      </c>
      <c r="B1135" s="97" t="n"/>
      <c r="C1135" s="96">
        <f>IF($B1135="","",IFERROR(INDEX(DM_NHAN_SU!$C$6:$C$155,MATCH($B1135,DM_NHAN_SU!$B$6:$B$155,0)),"SAI MÃ NV"))</f>
        <v/>
      </c>
      <c r="D1135" s="86" t="n"/>
      <c r="E1135" s="103">
        <f>IF(OR($B1135="",$D1135=""),"",IF(COUNTIF(THAM_SO_CC!$F$10:$F$40,$D1135)&gt;0,"Lễ",IF(IF(THAM_SO_CC!$B$12="T7+CN",WEEKDAY($D1135,2)&gt;=6,WEEKDAY($D1135,2)=7),"Nghỉ tuần","Ngày thường")))</f>
        <v/>
      </c>
      <c r="F1135" s="107" t="n"/>
      <c r="G1135" s="107" t="n"/>
      <c r="H1135" s="107" t="n"/>
      <c r="I1135" s="81" t="n"/>
      <c r="J1135" s="108">
        <f>IF($B1135="","",IF($E1135="Ngày thường",N($G1135),0))</f>
        <v/>
      </c>
      <c r="K1135" s="108">
        <f>IF($B1135="","",IF($E1135="Nghỉ tuần",N($G1135),0))</f>
        <v/>
      </c>
      <c r="L1135" s="108">
        <f>IF($B1135="","",IF($E1135="Lễ",N($G1135),0))</f>
        <v/>
      </c>
      <c r="M1135" s="108">
        <f>IF($B1135="","",IF($E1135="Ngày thường",N($H1135),0))</f>
        <v/>
      </c>
      <c r="N1135" s="108">
        <f>IF($B1135="","",IF($E1135="Nghỉ tuần",N($H1135),0))</f>
        <v/>
      </c>
      <c r="O1135" s="108">
        <f>IF($B1135="","",IF($E1135="Lễ",N($H1135),0))</f>
        <v/>
      </c>
    </row>
    <row r="1136" ht="15" customHeight="1" s="63">
      <c r="A1136" s="85">
        <f>IF($B1136="","",ROW()-5)</f>
        <v/>
      </c>
      <c r="B1136" s="97" t="n"/>
      <c r="C1136" s="96">
        <f>IF($B1136="","",IFERROR(INDEX(DM_NHAN_SU!$C$6:$C$155,MATCH($B1136,DM_NHAN_SU!$B$6:$B$155,0)),"SAI MÃ NV"))</f>
        <v/>
      </c>
      <c r="D1136" s="86" t="n"/>
      <c r="E1136" s="103">
        <f>IF(OR($B1136="",$D1136=""),"",IF(COUNTIF(THAM_SO_CC!$F$10:$F$40,$D1136)&gt;0,"Lễ",IF(IF(THAM_SO_CC!$B$12="T7+CN",WEEKDAY($D1136,2)&gt;=6,WEEKDAY($D1136,2)=7),"Nghỉ tuần","Ngày thường")))</f>
        <v/>
      </c>
      <c r="F1136" s="107" t="n"/>
      <c r="G1136" s="107" t="n"/>
      <c r="H1136" s="107" t="n"/>
      <c r="I1136" s="81" t="n"/>
      <c r="J1136" s="108">
        <f>IF($B1136="","",IF($E1136="Ngày thường",N($G1136),0))</f>
        <v/>
      </c>
      <c r="K1136" s="108">
        <f>IF($B1136="","",IF($E1136="Nghỉ tuần",N($G1136),0))</f>
        <v/>
      </c>
      <c r="L1136" s="108">
        <f>IF($B1136="","",IF($E1136="Lễ",N($G1136),0))</f>
        <v/>
      </c>
      <c r="M1136" s="108">
        <f>IF($B1136="","",IF($E1136="Ngày thường",N($H1136),0))</f>
        <v/>
      </c>
      <c r="N1136" s="108">
        <f>IF($B1136="","",IF($E1136="Nghỉ tuần",N($H1136),0))</f>
        <v/>
      </c>
      <c r="O1136" s="108">
        <f>IF($B1136="","",IF($E1136="Lễ",N($H1136),0))</f>
        <v/>
      </c>
    </row>
    <row r="1137" ht="15" customHeight="1" s="63">
      <c r="A1137" s="85">
        <f>IF($B1137="","",ROW()-5)</f>
        <v/>
      </c>
      <c r="B1137" s="97" t="n"/>
      <c r="C1137" s="96">
        <f>IF($B1137="","",IFERROR(INDEX(DM_NHAN_SU!$C$6:$C$155,MATCH($B1137,DM_NHAN_SU!$B$6:$B$155,0)),"SAI MÃ NV"))</f>
        <v/>
      </c>
      <c r="D1137" s="86" t="n"/>
      <c r="E1137" s="103">
        <f>IF(OR($B1137="",$D1137=""),"",IF(COUNTIF(THAM_SO_CC!$F$10:$F$40,$D1137)&gt;0,"Lễ",IF(IF(THAM_SO_CC!$B$12="T7+CN",WEEKDAY($D1137,2)&gt;=6,WEEKDAY($D1137,2)=7),"Nghỉ tuần","Ngày thường")))</f>
        <v/>
      </c>
      <c r="F1137" s="107" t="n"/>
      <c r="G1137" s="107" t="n"/>
      <c r="H1137" s="107" t="n"/>
      <c r="I1137" s="81" t="n"/>
      <c r="J1137" s="108">
        <f>IF($B1137="","",IF($E1137="Ngày thường",N($G1137),0))</f>
        <v/>
      </c>
      <c r="K1137" s="108">
        <f>IF($B1137="","",IF($E1137="Nghỉ tuần",N($G1137),0))</f>
        <v/>
      </c>
      <c r="L1137" s="108">
        <f>IF($B1137="","",IF($E1137="Lễ",N($G1137),0))</f>
        <v/>
      </c>
      <c r="M1137" s="108">
        <f>IF($B1137="","",IF($E1137="Ngày thường",N($H1137),0))</f>
        <v/>
      </c>
      <c r="N1137" s="108">
        <f>IF($B1137="","",IF($E1137="Nghỉ tuần",N($H1137),0))</f>
        <v/>
      </c>
      <c r="O1137" s="108">
        <f>IF($B1137="","",IF($E1137="Lễ",N($H1137),0))</f>
        <v/>
      </c>
    </row>
    <row r="1138" ht="15" customHeight="1" s="63">
      <c r="A1138" s="85">
        <f>IF($B1138="","",ROW()-5)</f>
        <v/>
      </c>
      <c r="B1138" s="97" t="n"/>
      <c r="C1138" s="96">
        <f>IF($B1138="","",IFERROR(INDEX(DM_NHAN_SU!$C$6:$C$155,MATCH($B1138,DM_NHAN_SU!$B$6:$B$155,0)),"SAI MÃ NV"))</f>
        <v/>
      </c>
      <c r="D1138" s="86" t="n"/>
      <c r="E1138" s="103">
        <f>IF(OR($B1138="",$D1138=""),"",IF(COUNTIF(THAM_SO_CC!$F$10:$F$40,$D1138)&gt;0,"Lễ",IF(IF(THAM_SO_CC!$B$12="T7+CN",WEEKDAY($D1138,2)&gt;=6,WEEKDAY($D1138,2)=7),"Nghỉ tuần","Ngày thường")))</f>
        <v/>
      </c>
      <c r="F1138" s="107" t="n"/>
      <c r="G1138" s="107" t="n"/>
      <c r="H1138" s="107" t="n"/>
      <c r="I1138" s="81" t="n"/>
      <c r="J1138" s="108">
        <f>IF($B1138="","",IF($E1138="Ngày thường",N($G1138),0))</f>
        <v/>
      </c>
      <c r="K1138" s="108">
        <f>IF($B1138="","",IF($E1138="Nghỉ tuần",N($G1138),0))</f>
        <v/>
      </c>
      <c r="L1138" s="108">
        <f>IF($B1138="","",IF($E1138="Lễ",N($G1138),0))</f>
        <v/>
      </c>
      <c r="M1138" s="108">
        <f>IF($B1138="","",IF($E1138="Ngày thường",N($H1138),0))</f>
        <v/>
      </c>
      <c r="N1138" s="108">
        <f>IF($B1138="","",IF($E1138="Nghỉ tuần",N($H1138),0))</f>
        <v/>
      </c>
      <c r="O1138" s="108">
        <f>IF($B1138="","",IF($E1138="Lễ",N($H1138),0))</f>
        <v/>
      </c>
    </row>
    <row r="1139" ht="15" customHeight="1" s="63">
      <c r="A1139" s="85">
        <f>IF($B1139="","",ROW()-5)</f>
        <v/>
      </c>
      <c r="B1139" s="97" t="n"/>
      <c r="C1139" s="96">
        <f>IF($B1139="","",IFERROR(INDEX(DM_NHAN_SU!$C$6:$C$155,MATCH($B1139,DM_NHAN_SU!$B$6:$B$155,0)),"SAI MÃ NV"))</f>
        <v/>
      </c>
      <c r="D1139" s="86" t="n"/>
      <c r="E1139" s="103">
        <f>IF(OR($B1139="",$D1139=""),"",IF(COUNTIF(THAM_SO_CC!$F$10:$F$40,$D1139)&gt;0,"Lễ",IF(IF(THAM_SO_CC!$B$12="T7+CN",WEEKDAY($D1139,2)&gt;=6,WEEKDAY($D1139,2)=7),"Nghỉ tuần","Ngày thường")))</f>
        <v/>
      </c>
      <c r="F1139" s="107" t="n"/>
      <c r="G1139" s="107" t="n"/>
      <c r="H1139" s="107" t="n"/>
      <c r="I1139" s="81" t="n"/>
      <c r="J1139" s="108">
        <f>IF($B1139="","",IF($E1139="Ngày thường",N($G1139),0))</f>
        <v/>
      </c>
      <c r="K1139" s="108">
        <f>IF($B1139="","",IF($E1139="Nghỉ tuần",N($G1139),0))</f>
        <v/>
      </c>
      <c r="L1139" s="108">
        <f>IF($B1139="","",IF($E1139="Lễ",N($G1139),0))</f>
        <v/>
      </c>
      <c r="M1139" s="108">
        <f>IF($B1139="","",IF($E1139="Ngày thường",N($H1139),0))</f>
        <v/>
      </c>
      <c r="N1139" s="108">
        <f>IF($B1139="","",IF($E1139="Nghỉ tuần",N($H1139),0))</f>
        <v/>
      </c>
      <c r="O1139" s="108">
        <f>IF($B1139="","",IF($E1139="Lễ",N($H1139),0))</f>
        <v/>
      </c>
    </row>
    <row r="1140" ht="15" customHeight="1" s="63">
      <c r="A1140" s="85">
        <f>IF($B1140="","",ROW()-5)</f>
        <v/>
      </c>
      <c r="B1140" s="97" t="n"/>
      <c r="C1140" s="96">
        <f>IF($B1140="","",IFERROR(INDEX(DM_NHAN_SU!$C$6:$C$155,MATCH($B1140,DM_NHAN_SU!$B$6:$B$155,0)),"SAI MÃ NV"))</f>
        <v/>
      </c>
      <c r="D1140" s="86" t="n"/>
      <c r="E1140" s="103">
        <f>IF(OR($B1140="",$D1140=""),"",IF(COUNTIF(THAM_SO_CC!$F$10:$F$40,$D1140)&gt;0,"Lễ",IF(IF(THAM_SO_CC!$B$12="T7+CN",WEEKDAY($D1140,2)&gt;=6,WEEKDAY($D1140,2)=7),"Nghỉ tuần","Ngày thường")))</f>
        <v/>
      </c>
      <c r="F1140" s="107" t="n"/>
      <c r="G1140" s="107" t="n"/>
      <c r="H1140" s="107" t="n"/>
      <c r="I1140" s="81" t="n"/>
      <c r="J1140" s="108">
        <f>IF($B1140="","",IF($E1140="Ngày thường",N($G1140),0))</f>
        <v/>
      </c>
      <c r="K1140" s="108">
        <f>IF($B1140="","",IF($E1140="Nghỉ tuần",N($G1140),0))</f>
        <v/>
      </c>
      <c r="L1140" s="108">
        <f>IF($B1140="","",IF($E1140="Lễ",N($G1140),0))</f>
        <v/>
      </c>
      <c r="M1140" s="108">
        <f>IF($B1140="","",IF($E1140="Ngày thường",N($H1140),0))</f>
        <v/>
      </c>
      <c r="N1140" s="108">
        <f>IF($B1140="","",IF($E1140="Nghỉ tuần",N($H1140),0))</f>
        <v/>
      </c>
      <c r="O1140" s="108">
        <f>IF($B1140="","",IF($E1140="Lễ",N($H1140),0))</f>
        <v/>
      </c>
    </row>
    <row r="1141" ht="15" customHeight="1" s="63">
      <c r="A1141" s="85">
        <f>IF($B1141="","",ROW()-5)</f>
        <v/>
      </c>
      <c r="B1141" s="97" t="n"/>
      <c r="C1141" s="96">
        <f>IF($B1141="","",IFERROR(INDEX(DM_NHAN_SU!$C$6:$C$155,MATCH($B1141,DM_NHAN_SU!$B$6:$B$155,0)),"SAI MÃ NV"))</f>
        <v/>
      </c>
      <c r="D1141" s="86" t="n"/>
      <c r="E1141" s="103">
        <f>IF(OR($B1141="",$D1141=""),"",IF(COUNTIF(THAM_SO_CC!$F$10:$F$40,$D1141)&gt;0,"Lễ",IF(IF(THAM_SO_CC!$B$12="T7+CN",WEEKDAY($D1141,2)&gt;=6,WEEKDAY($D1141,2)=7),"Nghỉ tuần","Ngày thường")))</f>
        <v/>
      </c>
      <c r="F1141" s="107" t="n"/>
      <c r="G1141" s="107" t="n"/>
      <c r="H1141" s="107" t="n"/>
      <c r="I1141" s="81" t="n"/>
      <c r="J1141" s="108">
        <f>IF($B1141="","",IF($E1141="Ngày thường",N($G1141),0))</f>
        <v/>
      </c>
      <c r="K1141" s="108">
        <f>IF($B1141="","",IF($E1141="Nghỉ tuần",N($G1141),0))</f>
        <v/>
      </c>
      <c r="L1141" s="108">
        <f>IF($B1141="","",IF($E1141="Lễ",N($G1141),0))</f>
        <v/>
      </c>
      <c r="M1141" s="108">
        <f>IF($B1141="","",IF($E1141="Ngày thường",N($H1141),0))</f>
        <v/>
      </c>
      <c r="N1141" s="108">
        <f>IF($B1141="","",IF($E1141="Nghỉ tuần",N($H1141),0))</f>
        <v/>
      </c>
      <c r="O1141" s="108">
        <f>IF($B1141="","",IF($E1141="Lễ",N($H1141),0))</f>
        <v/>
      </c>
    </row>
    <row r="1142" ht="15" customHeight="1" s="63">
      <c r="A1142" s="85">
        <f>IF($B1142="","",ROW()-5)</f>
        <v/>
      </c>
      <c r="B1142" s="97" t="n"/>
      <c r="C1142" s="96">
        <f>IF($B1142="","",IFERROR(INDEX(DM_NHAN_SU!$C$6:$C$155,MATCH($B1142,DM_NHAN_SU!$B$6:$B$155,0)),"SAI MÃ NV"))</f>
        <v/>
      </c>
      <c r="D1142" s="86" t="n"/>
      <c r="E1142" s="103">
        <f>IF(OR($B1142="",$D1142=""),"",IF(COUNTIF(THAM_SO_CC!$F$10:$F$40,$D1142)&gt;0,"Lễ",IF(IF(THAM_SO_CC!$B$12="T7+CN",WEEKDAY($D1142,2)&gt;=6,WEEKDAY($D1142,2)=7),"Nghỉ tuần","Ngày thường")))</f>
        <v/>
      </c>
      <c r="F1142" s="107" t="n"/>
      <c r="G1142" s="107" t="n"/>
      <c r="H1142" s="107" t="n"/>
      <c r="I1142" s="81" t="n"/>
      <c r="J1142" s="108">
        <f>IF($B1142="","",IF($E1142="Ngày thường",N($G1142),0))</f>
        <v/>
      </c>
      <c r="K1142" s="108">
        <f>IF($B1142="","",IF($E1142="Nghỉ tuần",N($G1142),0))</f>
        <v/>
      </c>
      <c r="L1142" s="108">
        <f>IF($B1142="","",IF($E1142="Lễ",N($G1142),0))</f>
        <v/>
      </c>
      <c r="M1142" s="108">
        <f>IF($B1142="","",IF($E1142="Ngày thường",N($H1142),0))</f>
        <v/>
      </c>
      <c r="N1142" s="108">
        <f>IF($B1142="","",IF($E1142="Nghỉ tuần",N($H1142),0))</f>
        <v/>
      </c>
      <c r="O1142" s="108">
        <f>IF($B1142="","",IF($E1142="Lễ",N($H1142),0))</f>
        <v/>
      </c>
    </row>
    <row r="1143" ht="15" customHeight="1" s="63">
      <c r="A1143" s="85">
        <f>IF($B1143="","",ROW()-5)</f>
        <v/>
      </c>
      <c r="B1143" s="97" t="n"/>
      <c r="C1143" s="96">
        <f>IF($B1143="","",IFERROR(INDEX(DM_NHAN_SU!$C$6:$C$155,MATCH($B1143,DM_NHAN_SU!$B$6:$B$155,0)),"SAI MÃ NV"))</f>
        <v/>
      </c>
      <c r="D1143" s="86" t="n"/>
      <c r="E1143" s="103">
        <f>IF(OR($B1143="",$D1143=""),"",IF(COUNTIF(THAM_SO_CC!$F$10:$F$40,$D1143)&gt;0,"Lễ",IF(IF(THAM_SO_CC!$B$12="T7+CN",WEEKDAY($D1143,2)&gt;=6,WEEKDAY($D1143,2)=7),"Nghỉ tuần","Ngày thường")))</f>
        <v/>
      </c>
      <c r="F1143" s="107" t="n"/>
      <c r="G1143" s="107" t="n"/>
      <c r="H1143" s="107" t="n"/>
      <c r="I1143" s="81" t="n"/>
      <c r="J1143" s="108">
        <f>IF($B1143="","",IF($E1143="Ngày thường",N($G1143),0))</f>
        <v/>
      </c>
      <c r="K1143" s="108">
        <f>IF($B1143="","",IF($E1143="Nghỉ tuần",N($G1143),0))</f>
        <v/>
      </c>
      <c r="L1143" s="108">
        <f>IF($B1143="","",IF($E1143="Lễ",N($G1143),0))</f>
        <v/>
      </c>
      <c r="M1143" s="108">
        <f>IF($B1143="","",IF($E1143="Ngày thường",N($H1143),0))</f>
        <v/>
      </c>
      <c r="N1143" s="108">
        <f>IF($B1143="","",IF($E1143="Nghỉ tuần",N($H1143),0))</f>
        <v/>
      </c>
      <c r="O1143" s="108">
        <f>IF($B1143="","",IF($E1143="Lễ",N($H1143),0))</f>
        <v/>
      </c>
    </row>
    <row r="1144" ht="15" customHeight="1" s="63">
      <c r="A1144" s="85">
        <f>IF($B1144="","",ROW()-5)</f>
        <v/>
      </c>
      <c r="B1144" s="97" t="n"/>
      <c r="C1144" s="96">
        <f>IF($B1144="","",IFERROR(INDEX(DM_NHAN_SU!$C$6:$C$155,MATCH($B1144,DM_NHAN_SU!$B$6:$B$155,0)),"SAI MÃ NV"))</f>
        <v/>
      </c>
      <c r="D1144" s="86" t="n"/>
      <c r="E1144" s="103">
        <f>IF(OR($B1144="",$D1144=""),"",IF(COUNTIF(THAM_SO_CC!$F$10:$F$40,$D1144)&gt;0,"Lễ",IF(IF(THAM_SO_CC!$B$12="T7+CN",WEEKDAY($D1144,2)&gt;=6,WEEKDAY($D1144,2)=7),"Nghỉ tuần","Ngày thường")))</f>
        <v/>
      </c>
      <c r="F1144" s="107" t="n"/>
      <c r="G1144" s="107" t="n"/>
      <c r="H1144" s="107" t="n"/>
      <c r="I1144" s="81" t="n"/>
      <c r="J1144" s="108">
        <f>IF($B1144="","",IF($E1144="Ngày thường",N($G1144),0))</f>
        <v/>
      </c>
      <c r="K1144" s="108">
        <f>IF($B1144="","",IF($E1144="Nghỉ tuần",N($G1144),0))</f>
        <v/>
      </c>
      <c r="L1144" s="108">
        <f>IF($B1144="","",IF($E1144="Lễ",N($G1144),0))</f>
        <v/>
      </c>
      <c r="M1144" s="108">
        <f>IF($B1144="","",IF($E1144="Ngày thường",N($H1144),0))</f>
        <v/>
      </c>
      <c r="N1144" s="108">
        <f>IF($B1144="","",IF($E1144="Nghỉ tuần",N($H1144),0))</f>
        <v/>
      </c>
      <c r="O1144" s="108">
        <f>IF($B1144="","",IF($E1144="Lễ",N($H1144),0))</f>
        <v/>
      </c>
    </row>
    <row r="1145" ht="15" customHeight="1" s="63">
      <c r="A1145" s="85">
        <f>IF($B1145="","",ROW()-5)</f>
        <v/>
      </c>
      <c r="B1145" s="97" t="n"/>
      <c r="C1145" s="96">
        <f>IF($B1145="","",IFERROR(INDEX(DM_NHAN_SU!$C$6:$C$155,MATCH($B1145,DM_NHAN_SU!$B$6:$B$155,0)),"SAI MÃ NV"))</f>
        <v/>
      </c>
      <c r="D1145" s="86" t="n"/>
      <c r="E1145" s="103">
        <f>IF(OR($B1145="",$D1145=""),"",IF(COUNTIF(THAM_SO_CC!$F$10:$F$40,$D1145)&gt;0,"Lễ",IF(IF(THAM_SO_CC!$B$12="T7+CN",WEEKDAY($D1145,2)&gt;=6,WEEKDAY($D1145,2)=7),"Nghỉ tuần","Ngày thường")))</f>
        <v/>
      </c>
      <c r="F1145" s="107" t="n"/>
      <c r="G1145" s="107" t="n"/>
      <c r="H1145" s="107" t="n"/>
      <c r="I1145" s="81" t="n"/>
      <c r="J1145" s="108">
        <f>IF($B1145="","",IF($E1145="Ngày thường",N($G1145),0))</f>
        <v/>
      </c>
      <c r="K1145" s="108">
        <f>IF($B1145="","",IF($E1145="Nghỉ tuần",N($G1145),0))</f>
        <v/>
      </c>
      <c r="L1145" s="108">
        <f>IF($B1145="","",IF($E1145="Lễ",N($G1145),0))</f>
        <v/>
      </c>
      <c r="M1145" s="108">
        <f>IF($B1145="","",IF($E1145="Ngày thường",N($H1145),0))</f>
        <v/>
      </c>
      <c r="N1145" s="108">
        <f>IF($B1145="","",IF($E1145="Nghỉ tuần",N($H1145),0))</f>
        <v/>
      </c>
      <c r="O1145" s="108">
        <f>IF($B1145="","",IF($E1145="Lễ",N($H1145),0))</f>
        <v/>
      </c>
    </row>
    <row r="1146" ht="15" customHeight="1" s="63">
      <c r="A1146" s="85">
        <f>IF($B1146="","",ROW()-5)</f>
        <v/>
      </c>
      <c r="B1146" s="97" t="n"/>
      <c r="C1146" s="96">
        <f>IF($B1146="","",IFERROR(INDEX(DM_NHAN_SU!$C$6:$C$155,MATCH($B1146,DM_NHAN_SU!$B$6:$B$155,0)),"SAI MÃ NV"))</f>
        <v/>
      </c>
      <c r="D1146" s="86" t="n"/>
      <c r="E1146" s="103">
        <f>IF(OR($B1146="",$D1146=""),"",IF(COUNTIF(THAM_SO_CC!$F$10:$F$40,$D1146)&gt;0,"Lễ",IF(IF(THAM_SO_CC!$B$12="T7+CN",WEEKDAY($D1146,2)&gt;=6,WEEKDAY($D1146,2)=7),"Nghỉ tuần","Ngày thường")))</f>
        <v/>
      </c>
      <c r="F1146" s="107" t="n"/>
      <c r="G1146" s="107" t="n"/>
      <c r="H1146" s="107" t="n"/>
      <c r="I1146" s="81" t="n"/>
      <c r="J1146" s="108">
        <f>IF($B1146="","",IF($E1146="Ngày thường",N($G1146),0))</f>
        <v/>
      </c>
      <c r="K1146" s="108">
        <f>IF($B1146="","",IF($E1146="Nghỉ tuần",N($G1146),0))</f>
        <v/>
      </c>
      <c r="L1146" s="108">
        <f>IF($B1146="","",IF($E1146="Lễ",N($G1146),0))</f>
        <v/>
      </c>
      <c r="M1146" s="108">
        <f>IF($B1146="","",IF($E1146="Ngày thường",N($H1146),0))</f>
        <v/>
      </c>
      <c r="N1146" s="108">
        <f>IF($B1146="","",IF($E1146="Nghỉ tuần",N($H1146),0))</f>
        <v/>
      </c>
      <c r="O1146" s="108">
        <f>IF($B1146="","",IF($E1146="Lễ",N($H1146),0))</f>
        <v/>
      </c>
    </row>
    <row r="1147" ht="15" customHeight="1" s="63">
      <c r="A1147" s="85">
        <f>IF($B1147="","",ROW()-5)</f>
        <v/>
      </c>
      <c r="B1147" s="97" t="n"/>
      <c r="C1147" s="96">
        <f>IF($B1147="","",IFERROR(INDEX(DM_NHAN_SU!$C$6:$C$155,MATCH($B1147,DM_NHAN_SU!$B$6:$B$155,0)),"SAI MÃ NV"))</f>
        <v/>
      </c>
      <c r="D1147" s="86" t="n"/>
      <c r="E1147" s="103">
        <f>IF(OR($B1147="",$D1147=""),"",IF(COUNTIF(THAM_SO_CC!$F$10:$F$40,$D1147)&gt;0,"Lễ",IF(IF(THAM_SO_CC!$B$12="T7+CN",WEEKDAY($D1147,2)&gt;=6,WEEKDAY($D1147,2)=7),"Nghỉ tuần","Ngày thường")))</f>
        <v/>
      </c>
      <c r="F1147" s="107" t="n"/>
      <c r="G1147" s="107" t="n"/>
      <c r="H1147" s="107" t="n"/>
      <c r="I1147" s="81" t="n"/>
      <c r="J1147" s="108">
        <f>IF($B1147="","",IF($E1147="Ngày thường",N($G1147),0))</f>
        <v/>
      </c>
      <c r="K1147" s="108">
        <f>IF($B1147="","",IF($E1147="Nghỉ tuần",N($G1147),0))</f>
        <v/>
      </c>
      <c r="L1147" s="108">
        <f>IF($B1147="","",IF($E1147="Lễ",N($G1147),0))</f>
        <v/>
      </c>
      <c r="M1147" s="108">
        <f>IF($B1147="","",IF($E1147="Ngày thường",N($H1147),0))</f>
        <v/>
      </c>
      <c r="N1147" s="108">
        <f>IF($B1147="","",IF($E1147="Nghỉ tuần",N($H1147),0))</f>
        <v/>
      </c>
      <c r="O1147" s="108">
        <f>IF($B1147="","",IF($E1147="Lễ",N($H1147),0))</f>
        <v/>
      </c>
    </row>
    <row r="1148" ht="15" customHeight="1" s="63">
      <c r="A1148" s="85">
        <f>IF($B1148="","",ROW()-5)</f>
        <v/>
      </c>
      <c r="B1148" s="97" t="n"/>
      <c r="C1148" s="96">
        <f>IF($B1148="","",IFERROR(INDEX(DM_NHAN_SU!$C$6:$C$155,MATCH($B1148,DM_NHAN_SU!$B$6:$B$155,0)),"SAI MÃ NV"))</f>
        <v/>
      </c>
      <c r="D1148" s="86" t="n"/>
      <c r="E1148" s="103">
        <f>IF(OR($B1148="",$D1148=""),"",IF(COUNTIF(THAM_SO_CC!$F$10:$F$40,$D1148)&gt;0,"Lễ",IF(IF(THAM_SO_CC!$B$12="T7+CN",WEEKDAY($D1148,2)&gt;=6,WEEKDAY($D1148,2)=7),"Nghỉ tuần","Ngày thường")))</f>
        <v/>
      </c>
      <c r="F1148" s="107" t="n"/>
      <c r="G1148" s="107" t="n"/>
      <c r="H1148" s="107" t="n"/>
      <c r="I1148" s="81" t="n"/>
      <c r="J1148" s="108">
        <f>IF($B1148="","",IF($E1148="Ngày thường",N($G1148),0))</f>
        <v/>
      </c>
      <c r="K1148" s="108">
        <f>IF($B1148="","",IF($E1148="Nghỉ tuần",N($G1148),0))</f>
        <v/>
      </c>
      <c r="L1148" s="108">
        <f>IF($B1148="","",IF($E1148="Lễ",N($G1148),0))</f>
        <v/>
      </c>
      <c r="M1148" s="108">
        <f>IF($B1148="","",IF($E1148="Ngày thường",N($H1148),0))</f>
        <v/>
      </c>
      <c r="N1148" s="108">
        <f>IF($B1148="","",IF($E1148="Nghỉ tuần",N($H1148),0))</f>
        <v/>
      </c>
      <c r="O1148" s="108">
        <f>IF($B1148="","",IF($E1148="Lễ",N($H1148),0))</f>
        <v/>
      </c>
    </row>
    <row r="1149" ht="15" customHeight="1" s="63">
      <c r="A1149" s="85">
        <f>IF($B1149="","",ROW()-5)</f>
        <v/>
      </c>
      <c r="B1149" s="97" t="n"/>
      <c r="C1149" s="96">
        <f>IF($B1149="","",IFERROR(INDEX(DM_NHAN_SU!$C$6:$C$155,MATCH($B1149,DM_NHAN_SU!$B$6:$B$155,0)),"SAI MÃ NV"))</f>
        <v/>
      </c>
      <c r="D1149" s="86" t="n"/>
      <c r="E1149" s="103">
        <f>IF(OR($B1149="",$D1149=""),"",IF(COUNTIF(THAM_SO_CC!$F$10:$F$40,$D1149)&gt;0,"Lễ",IF(IF(THAM_SO_CC!$B$12="T7+CN",WEEKDAY($D1149,2)&gt;=6,WEEKDAY($D1149,2)=7),"Nghỉ tuần","Ngày thường")))</f>
        <v/>
      </c>
      <c r="F1149" s="107" t="n"/>
      <c r="G1149" s="107" t="n"/>
      <c r="H1149" s="107" t="n"/>
      <c r="I1149" s="81" t="n"/>
      <c r="J1149" s="108">
        <f>IF($B1149="","",IF($E1149="Ngày thường",N($G1149),0))</f>
        <v/>
      </c>
      <c r="K1149" s="108">
        <f>IF($B1149="","",IF($E1149="Nghỉ tuần",N($G1149),0))</f>
        <v/>
      </c>
      <c r="L1149" s="108">
        <f>IF($B1149="","",IF($E1149="Lễ",N($G1149),0))</f>
        <v/>
      </c>
      <c r="M1149" s="108">
        <f>IF($B1149="","",IF($E1149="Ngày thường",N($H1149),0))</f>
        <v/>
      </c>
      <c r="N1149" s="108">
        <f>IF($B1149="","",IF($E1149="Nghỉ tuần",N($H1149),0))</f>
        <v/>
      </c>
      <c r="O1149" s="108">
        <f>IF($B1149="","",IF($E1149="Lễ",N($H1149),0))</f>
        <v/>
      </c>
    </row>
    <row r="1150" ht="15" customHeight="1" s="63">
      <c r="A1150" s="85">
        <f>IF($B1150="","",ROW()-5)</f>
        <v/>
      </c>
      <c r="B1150" s="97" t="n"/>
      <c r="C1150" s="96">
        <f>IF($B1150="","",IFERROR(INDEX(DM_NHAN_SU!$C$6:$C$155,MATCH($B1150,DM_NHAN_SU!$B$6:$B$155,0)),"SAI MÃ NV"))</f>
        <v/>
      </c>
      <c r="D1150" s="86" t="n"/>
      <c r="E1150" s="103">
        <f>IF(OR($B1150="",$D1150=""),"",IF(COUNTIF(THAM_SO_CC!$F$10:$F$40,$D1150)&gt;0,"Lễ",IF(IF(THAM_SO_CC!$B$12="T7+CN",WEEKDAY($D1150,2)&gt;=6,WEEKDAY($D1150,2)=7),"Nghỉ tuần","Ngày thường")))</f>
        <v/>
      </c>
      <c r="F1150" s="107" t="n"/>
      <c r="G1150" s="107" t="n"/>
      <c r="H1150" s="107" t="n"/>
      <c r="I1150" s="81" t="n"/>
      <c r="J1150" s="108">
        <f>IF($B1150="","",IF($E1150="Ngày thường",N($G1150),0))</f>
        <v/>
      </c>
      <c r="K1150" s="108">
        <f>IF($B1150="","",IF($E1150="Nghỉ tuần",N($G1150),0))</f>
        <v/>
      </c>
      <c r="L1150" s="108">
        <f>IF($B1150="","",IF($E1150="Lễ",N($G1150),0))</f>
        <v/>
      </c>
      <c r="M1150" s="108">
        <f>IF($B1150="","",IF($E1150="Ngày thường",N($H1150),0))</f>
        <v/>
      </c>
      <c r="N1150" s="108">
        <f>IF($B1150="","",IF($E1150="Nghỉ tuần",N($H1150),0))</f>
        <v/>
      </c>
      <c r="O1150" s="108">
        <f>IF($B1150="","",IF($E1150="Lễ",N($H1150),0))</f>
        <v/>
      </c>
    </row>
    <row r="1151" ht="15" customHeight="1" s="63">
      <c r="A1151" s="85">
        <f>IF($B1151="","",ROW()-5)</f>
        <v/>
      </c>
      <c r="B1151" s="97" t="n"/>
      <c r="C1151" s="96">
        <f>IF($B1151="","",IFERROR(INDEX(DM_NHAN_SU!$C$6:$C$155,MATCH($B1151,DM_NHAN_SU!$B$6:$B$155,0)),"SAI MÃ NV"))</f>
        <v/>
      </c>
      <c r="D1151" s="86" t="n"/>
      <c r="E1151" s="103">
        <f>IF(OR($B1151="",$D1151=""),"",IF(COUNTIF(THAM_SO_CC!$F$10:$F$40,$D1151)&gt;0,"Lễ",IF(IF(THAM_SO_CC!$B$12="T7+CN",WEEKDAY($D1151,2)&gt;=6,WEEKDAY($D1151,2)=7),"Nghỉ tuần","Ngày thường")))</f>
        <v/>
      </c>
      <c r="F1151" s="107" t="n"/>
      <c r="G1151" s="107" t="n"/>
      <c r="H1151" s="107" t="n"/>
      <c r="I1151" s="81" t="n"/>
      <c r="J1151" s="108">
        <f>IF($B1151="","",IF($E1151="Ngày thường",N($G1151),0))</f>
        <v/>
      </c>
      <c r="K1151" s="108">
        <f>IF($B1151="","",IF($E1151="Nghỉ tuần",N($G1151),0))</f>
        <v/>
      </c>
      <c r="L1151" s="108">
        <f>IF($B1151="","",IF($E1151="Lễ",N($G1151),0))</f>
        <v/>
      </c>
      <c r="M1151" s="108">
        <f>IF($B1151="","",IF($E1151="Ngày thường",N($H1151),0))</f>
        <v/>
      </c>
      <c r="N1151" s="108">
        <f>IF($B1151="","",IF($E1151="Nghỉ tuần",N($H1151),0))</f>
        <v/>
      </c>
      <c r="O1151" s="108">
        <f>IF($B1151="","",IF($E1151="Lễ",N($H1151),0))</f>
        <v/>
      </c>
    </row>
    <row r="1152" ht="15" customHeight="1" s="63">
      <c r="A1152" s="85">
        <f>IF($B1152="","",ROW()-5)</f>
        <v/>
      </c>
      <c r="B1152" s="97" t="n"/>
      <c r="C1152" s="96">
        <f>IF($B1152="","",IFERROR(INDEX(DM_NHAN_SU!$C$6:$C$155,MATCH($B1152,DM_NHAN_SU!$B$6:$B$155,0)),"SAI MÃ NV"))</f>
        <v/>
      </c>
      <c r="D1152" s="86" t="n"/>
      <c r="E1152" s="103">
        <f>IF(OR($B1152="",$D1152=""),"",IF(COUNTIF(THAM_SO_CC!$F$10:$F$40,$D1152)&gt;0,"Lễ",IF(IF(THAM_SO_CC!$B$12="T7+CN",WEEKDAY($D1152,2)&gt;=6,WEEKDAY($D1152,2)=7),"Nghỉ tuần","Ngày thường")))</f>
        <v/>
      </c>
      <c r="F1152" s="107" t="n"/>
      <c r="G1152" s="107" t="n"/>
      <c r="H1152" s="107" t="n"/>
      <c r="I1152" s="81" t="n"/>
      <c r="J1152" s="108">
        <f>IF($B1152="","",IF($E1152="Ngày thường",N($G1152),0))</f>
        <v/>
      </c>
      <c r="K1152" s="108">
        <f>IF($B1152="","",IF($E1152="Nghỉ tuần",N($G1152),0))</f>
        <v/>
      </c>
      <c r="L1152" s="108">
        <f>IF($B1152="","",IF($E1152="Lễ",N($G1152),0))</f>
        <v/>
      </c>
      <c r="M1152" s="108">
        <f>IF($B1152="","",IF($E1152="Ngày thường",N($H1152),0))</f>
        <v/>
      </c>
      <c r="N1152" s="108">
        <f>IF($B1152="","",IF($E1152="Nghỉ tuần",N($H1152),0))</f>
        <v/>
      </c>
      <c r="O1152" s="108">
        <f>IF($B1152="","",IF($E1152="Lễ",N($H1152),0))</f>
        <v/>
      </c>
    </row>
    <row r="1153" ht="15" customHeight="1" s="63">
      <c r="A1153" s="85">
        <f>IF($B1153="","",ROW()-5)</f>
        <v/>
      </c>
      <c r="B1153" s="97" t="n"/>
      <c r="C1153" s="96">
        <f>IF($B1153="","",IFERROR(INDEX(DM_NHAN_SU!$C$6:$C$155,MATCH($B1153,DM_NHAN_SU!$B$6:$B$155,0)),"SAI MÃ NV"))</f>
        <v/>
      </c>
      <c r="D1153" s="86" t="n"/>
      <c r="E1153" s="103">
        <f>IF(OR($B1153="",$D1153=""),"",IF(COUNTIF(THAM_SO_CC!$F$10:$F$40,$D1153)&gt;0,"Lễ",IF(IF(THAM_SO_CC!$B$12="T7+CN",WEEKDAY($D1153,2)&gt;=6,WEEKDAY($D1153,2)=7),"Nghỉ tuần","Ngày thường")))</f>
        <v/>
      </c>
      <c r="F1153" s="107" t="n"/>
      <c r="G1153" s="107" t="n"/>
      <c r="H1153" s="107" t="n"/>
      <c r="I1153" s="81" t="n"/>
      <c r="J1153" s="108">
        <f>IF($B1153="","",IF($E1153="Ngày thường",N($G1153),0))</f>
        <v/>
      </c>
      <c r="K1153" s="108">
        <f>IF($B1153="","",IF($E1153="Nghỉ tuần",N($G1153),0))</f>
        <v/>
      </c>
      <c r="L1153" s="108">
        <f>IF($B1153="","",IF($E1153="Lễ",N($G1153),0))</f>
        <v/>
      </c>
      <c r="M1153" s="108">
        <f>IF($B1153="","",IF($E1153="Ngày thường",N($H1153),0))</f>
        <v/>
      </c>
      <c r="N1153" s="108">
        <f>IF($B1153="","",IF($E1153="Nghỉ tuần",N($H1153),0))</f>
        <v/>
      </c>
      <c r="O1153" s="108">
        <f>IF($B1153="","",IF($E1153="Lễ",N($H1153),0))</f>
        <v/>
      </c>
    </row>
    <row r="1154" ht="15" customHeight="1" s="63">
      <c r="A1154" s="85">
        <f>IF($B1154="","",ROW()-5)</f>
        <v/>
      </c>
      <c r="B1154" s="97" t="n"/>
      <c r="C1154" s="96">
        <f>IF($B1154="","",IFERROR(INDEX(DM_NHAN_SU!$C$6:$C$155,MATCH($B1154,DM_NHAN_SU!$B$6:$B$155,0)),"SAI MÃ NV"))</f>
        <v/>
      </c>
      <c r="D1154" s="86" t="n"/>
      <c r="E1154" s="103">
        <f>IF(OR($B1154="",$D1154=""),"",IF(COUNTIF(THAM_SO_CC!$F$10:$F$40,$D1154)&gt;0,"Lễ",IF(IF(THAM_SO_CC!$B$12="T7+CN",WEEKDAY($D1154,2)&gt;=6,WEEKDAY($D1154,2)=7),"Nghỉ tuần","Ngày thường")))</f>
        <v/>
      </c>
      <c r="F1154" s="107" t="n"/>
      <c r="G1154" s="107" t="n"/>
      <c r="H1154" s="107" t="n"/>
      <c r="I1154" s="81" t="n"/>
      <c r="J1154" s="108">
        <f>IF($B1154="","",IF($E1154="Ngày thường",N($G1154),0))</f>
        <v/>
      </c>
      <c r="K1154" s="108">
        <f>IF($B1154="","",IF($E1154="Nghỉ tuần",N($G1154),0))</f>
        <v/>
      </c>
      <c r="L1154" s="108">
        <f>IF($B1154="","",IF($E1154="Lễ",N($G1154),0))</f>
        <v/>
      </c>
      <c r="M1154" s="108">
        <f>IF($B1154="","",IF($E1154="Ngày thường",N($H1154),0))</f>
        <v/>
      </c>
      <c r="N1154" s="108">
        <f>IF($B1154="","",IF($E1154="Nghỉ tuần",N($H1154),0))</f>
        <v/>
      </c>
      <c r="O1154" s="108">
        <f>IF($B1154="","",IF($E1154="Lễ",N($H1154),0))</f>
        <v/>
      </c>
    </row>
    <row r="1155" ht="15" customHeight="1" s="63">
      <c r="A1155" s="85">
        <f>IF($B1155="","",ROW()-5)</f>
        <v/>
      </c>
      <c r="B1155" s="97" t="n"/>
      <c r="C1155" s="96">
        <f>IF($B1155="","",IFERROR(INDEX(DM_NHAN_SU!$C$6:$C$155,MATCH($B1155,DM_NHAN_SU!$B$6:$B$155,0)),"SAI MÃ NV"))</f>
        <v/>
      </c>
      <c r="D1155" s="86" t="n"/>
      <c r="E1155" s="103">
        <f>IF(OR($B1155="",$D1155=""),"",IF(COUNTIF(THAM_SO_CC!$F$10:$F$40,$D1155)&gt;0,"Lễ",IF(IF(THAM_SO_CC!$B$12="T7+CN",WEEKDAY($D1155,2)&gt;=6,WEEKDAY($D1155,2)=7),"Nghỉ tuần","Ngày thường")))</f>
        <v/>
      </c>
      <c r="F1155" s="107" t="n"/>
      <c r="G1155" s="107" t="n"/>
      <c r="H1155" s="107" t="n"/>
      <c r="I1155" s="81" t="n"/>
      <c r="J1155" s="108">
        <f>IF($B1155="","",IF($E1155="Ngày thường",N($G1155),0))</f>
        <v/>
      </c>
      <c r="K1155" s="108">
        <f>IF($B1155="","",IF($E1155="Nghỉ tuần",N($G1155),0))</f>
        <v/>
      </c>
      <c r="L1155" s="108">
        <f>IF($B1155="","",IF($E1155="Lễ",N($G1155),0))</f>
        <v/>
      </c>
      <c r="M1155" s="108">
        <f>IF($B1155="","",IF($E1155="Ngày thường",N($H1155),0))</f>
        <v/>
      </c>
      <c r="N1155" s="108">
        <f>IF($B1155="","",IF($E1155="Nghỉ tuần",N($H1155),0))</f>
        <v/>
      </c>
      <c r="O1155" s="108">
        <f>IF($B1155="","",IF($E1155="Lễ",N($H1155),0))</f>
        <v/>
      </c>
    </row>
    <row r="1156" ht="15" customHeight="1" s="63">
      <c r="A1156" s="85">
        <f>IF($B1156="","",ROW()-5)</f>
        <v/>
      </c>
      <c r="B1156" s="97" t="n"/>
      <c r="C1156" s="96">
        <f>IF($B1156="","",IFERROR(INDEX(DM_NHAN_SU!$C$6:$C$155,MATCH($B1156,DM_NHAN_SU!$B$6:$B$155,0)),"SAI MÃ NV"))</f>
        <v/>
      </c>
      <c r="D1156" s="86" t="n"/>
      <c r="E1156" s="103">
        <f>IF(OR($B1156="",$D1156=""),"",IF(COUNTIF(THAM_SO_CC!$F$10:$F$40,$D1156)&gt;0,"Lễ",IF(IF(THAM_SO_CC!$B$12="T7+CN",WEEKDAY($D1156,2)&gt;=6,WEEKDAY($D1156,2)=7),"Nghỉ tuần","Ngày thường")))</f>
        <v/>
      </c>
      <c r="F1156" s="107" t="n"/>
      <c r="G1156" s="107" t="n"/>
      <c r="H1156" s="107" t="n"/>
      <c r="I1156" s="81" t="n"/>
      <c r="J1156" s="108">
        <f>IF($B1156="","",IF($E1156="Ngày thường",N($G1156),0))</f>
        <v/>
      </c>
      <c r="K1156" s="108">
        <f>IF($B1156="","",IF($E1156="Nghỉ tuần",N($G1156),0))</f>
        <v/>
      </c>
      <c r="L1156" s="108">
        <f>IF($B1156="","",IF($E1156="Lễ",N($G1156),0))</f>
        <v/>
      </c>
      <c r="M1156" s="108">
        <f>IF($B1156="","",IF($E1156="Ngày thường",N($H1156),0))</f>
        <v/>
      </c>
      <c r="N1156" s="108">
        <f>IF($B1156="","",IF($E1156="Nghỉ tuần",N($H1156),0))</f>
        <v/>
      </c>
      <c r="O1156" s="108">
        <f>IF($B1156="","",IF($E1156="Lễ",N($H1156),0))</f>
        <v/>
      </c>
    </row>
    <row r="1157" ht="15" customHeight="1" s="63">
      <c r="A1157" s="85">
        <f>IF($B1157="","",ROW()-5)</f>
        <v/>
      </c>
      <c r="B1157" s="97" t="n"/>
      <c r="C1157" s="96">
        <f>IF($B1157="","",IFERROR(INDEX(DM_NHAN_SU!$C$6:$C$155,MATCH($B1157,DM_NHAN_SU!$B$6:$B$155,0)),"SAI MÃ NV"))</f>
        <v/>
      </c>
      <c r="D1157" s="86" t="n"/>
      <c r="E1157" s="103">
        <f>IF(OR($B1157="",$D1157=""),"",IF(COUNTIF(THAM_SO_CC!$F$10:$F$40,$D1157)&gt;0,"Lễ",IF(IF(THAM_SO_CC!$B$12="T7+CN",WEEKDAY($D1157,2)&gt;=6,WEEKDAY($D1157,2)=7),"Nghỉ tuần","Ngày thường")))</f>
        <v/>
      </c>
      <c r="F1157" s="107" t="n"/>
      <c r="G1157" s="107" t="n"/>
      <c r="H1157" s="107" t="n"/>
      <c r="I1157" s="81" t="n"/>
      <c r="J1157" s="108">
        <f>IF($B1157="","",IF($E1157="Ngày thường",N($G1157),0))</f>
        <v/>
      </c>
      <c r="K1157" s="108">
        <f>IF($B1157="","",IF($E1157="Nghỉ tuần",N($G1157),0))</f>
        <v/>
      </c>
      <c r="L1157" s="108">
        <f>IF($B1157="","",IF($E1157="Lễ",N($G1157),0))</f>
        <v/>
      </c>
      <c r="M1157" s="108">
        <f>IF($B1157="","",IF($E1157="Ngày thường",N($H1157),0))</f>
        <v/>
      </c>
      <c r="N1157" s="108">
        <f>IF($B1157="","",IF($E1157="Nghỉ tuần",N($H1157),0))</f>
        <v/>
      </c>
      <c r="O1157" s="108">
        <f>IF($B1157="","",IF($E1157="Lễ",N($H1157),0))</f>
        <v/>
      </c>
    </row>
    <row r="1158" ht="15" customHeight="1" s="63">
      <c r="A1158" s="85">
        <f>IF($B1158="","",ROW()-5)</f>
        <v/>
      </c>
      <c r="B1158" s="97" t="n"/>
      <c r="C1158" s="96">
        <f>IF($B1158="","",IFERROR(INDEX(DM_NHAN_SU!$C$6:$C$155,MATCH($B1158,DM_NHAN_SU!$B$6:$B$155,0)),"SAI MÃ NV"))</f>
        <v/>
      </c>
      <c r="D1158" s="86" t="n"/>
      <c r="E1158" s="103">
        <f>IF(OR($B1158="",$D1158=""),"",IF(COUNTIF(THAM_SO_CC!$F$10:$F$40,$D1158)&gt;0,"Lễ",IF(IF(THAM_SO_CC!$B$12="T7+CN",WEEKDAY($D1158,2)&gt;=6,WEEKDAY($D1158,2)=7),"Nghỉ tuần","Ngày thường")))</f>
        <v/>
      </c>
      <c r="F1158" s="107" t="n"/>
      <c r="G1158" s="107" t="n"/>
      <c r="H1158" s="107" t="n"/>
      <c r="I1158" s="81" t="n"/>
      <c r="J1158" s="108">
        <f>IF($B1158="","",IF($E1158="Ngày thường",N($G1158),0))</f>
        <v/>
      </c>
      <c r="K1158" s="108">
        <f>IF($B1158="","",IF($E1158="Nghỉ tuần",N($G1158),0))</f>
        <v/>
      </c>
      <c r="L1158" s="108">
        <f>IF($B1158="","",IF($E1158="Lễ",N($G1158),0))</f>
        <v/>
      </c>
      <c r="M1158" s="108">
        <f>IF($B1158="","",IF($E1158="Ngày thường",N($H1158),0))</f>
        <v/>
      </c>
      <c r="N1158" s="108">
        <f>IF($B1158="","",IF($E1158="Nghỉ tuần",N($H1158),0))</f>
        <v/>
      </c>
      <c r="O1158" s="108">
        <f>IF($B1158="","",IF($E1158="Lễ",N($H1158),0))</f>
        <v/>
      </c>
    </row>
    <row r="1159" ht="15" customHeight="1" s="63">
      <c r="A1159" s="85">
        <f>IF($B1159="","",ROW()-5)</f>
        <v/>
      </c>
      <c r="B1159" s="97" t="n"/>
      <c r="C1159" s="96">
        <f>IF($B1159="","",IFERROR(INDEX(DM_NHAN_SU!$C$6:$C$155,MATCH($B1159,DM_NHAN_SU!$B$6:$B$155,0)),"SAI MÃ NV"))</f>
        <v/>
      </c>
      <c r="D1159" s="86" t="n"/>
      <c r="E1159" s="103">
        <f>IF(OR($B1159="",$D1159=""),"",IF(COUNTIF(THAM_SO_CC!$F$10:$F$40,$D1159)&gt;0,"Lễ",IF(IF(THAM_SO_CC!$B$12="T7+CN",WEEKDAY($D1159,2)&gt;=6,WEEKDAY($D1159,2)=7),"Nghỉ tuần","Ngày thường")))</f>
        <v/>
      </c>
      <c r="F1159" s="107" t="n"/>
      <c r="G1159" s="107" t="n"/>
      <c r="H1159" s="107" t="n"/>
      <c r="I1159" s="81" t="n"/>
      <c r="J1159" s="108">
        <f>IF($B1159="","",IF($E1159="Ngày thường",N($G1159),0))</f>
        <v/>
      </c>
      <c r="K1159" s="108">
        <f>IF($B1159="","",IF($E1159="Nghỉ tuần",N($G1159),0))</f>
        <v/>
      </c>
      <c r="L1159" s="108">
        <f>IF($B1159="","",IF($E1159="Lễ",N($G1159),0))</f>
        <v/>
      </c>
      <c r="M1159" s="108">
        <f>IF($B1159="","",IF($E1159="Ngày thường",N($H1159),0))</f>
        <v/>
      </c>
      <c r="N1159" s="108">
        <f>IF($B1159="","",IF($E1159="Nghỉ tuần",N($H1159),0))</f>
        <v/>
      </c>
      <c r="O1159" s="108">
        <f>IF($B1159="","",IF($E1159="Lễ",N($H1159),0))</f>
        <v/>
      </c>
    </row>
    <row r="1160" ht="15" customHeight="1" s="63">
      <c r="A1160" s="85">
        <f>IF($B1160="","",ROW()-5)</f>
        <v/>
      </c>
      <c r="B1160" s="97" t="n"/>
      <c r="C1160" s="96">
        <f>IF($B1160="","",IFERROR(INDEX(DM_NHAN_SU!$C$6:$C$155,MATCH($B1160,DM_NHAN_SU!$B$6:$B$155,0)),"SAI MÃ NV"))</f>
        <v/>
      </c>
      <c r="D1160" s="86" t="n"/>
      <c r="E1160" s="103">
        <f>IF(OR($B1160="",$D1160=""),"",IF(COUNTIF(THAM_SO_CC!$F$10:$F$40,$D1160)&gt;0,"Lễ",IF(IF(THAM_SO_CC!$B$12="T7+CN",WEEKDAY($D1160,2)&gt;=6,WEEKDAY($D1160,2)=7),"Nghỉ tuần","Ngày thường")))</f>
        <v/>
      </c>
      <c r="F1160" s="107" t="n"/>
      <c r="G1160" s="107" t="n"/>
      <c r="H1160" s="107" t="n"/>
      <c r="I1160" s="81" t="n"/>
      <c r="J1160" s="108">
        <f>IF($B1160="","",IF($E1160="Ngày thường",N($G1160),0))</f>
        <v/>
      </c>
      <c r="K1160" s="108">
        <f>IF($B1160="","",IF($E1160="Nghỉ tuần",N($G1160),0))</f>
        <v/>
      </c>
      <c r="L1160" s="108">
        <f>IF($B1160="","",IF($E1160="Lễ",N($G1160),0))</f>
        <v/>
      </c>
      <c r="M1160" s="108">
        <f>IF($B1160="","",IF($E1160="Ngày thường",N($H1160),0))</f>
        <v/>
      </c>
      <c r="N1160" s="108">
        <f>IF($B1160="","",IF($E1160="Nghỉ tuần",N($H1160),0))</f>
        <v/>
      </c>
      <c r="O1160" s="108">
        <f>IF($B1160="","",IF($E1160="Lễ",N($H1160),0))</f>
        <v/>
      </c>
    </row>
    <row r="1161" ht="15" customHeight="1" s="63">
      <c r="A1161" s="85">
        <f>IF($B1161="","",ROW()-5)</f>
        <v/>
      </c>
      <c r="B1161" s="97" t="n"/>
      <c r="C1161" s="96">
        <f>IF($B1161="","",IFERROR(INDEX(DM_NHAN_SU!$C$6:$C$155,MATCH($B1161,DM_NHAN_SU!$B$6:$B$155,0)),"SAI MÃ NV"))</f>
        <v/>
      </c>
      <c r="D1161" s="86" t="n"/>
      <c r="E1161" s="103">
        <f>IF(OR($B1161="",$D1161=""),"",IF(COUNTIF(THAM_SO_CC!$F$10:$F$40,$D1161)&gt;0,"Lễ",IF(IF(THAM_SO_CC!$B$12="T7+CN",WEEKDAY($D1161,2)&gt;=6,WEEKDAY($D1161,2)=7),"Nghỉ tuần","Ngày thường")))</f>
        <v/>
      </c>
      <c r="F1161" s="107" t="n"/>
      <c r="G1161" s="107" t="n"/>
      <c r="H1161" s="107" t="n"/>
      <c r="I1161" s="81" t="n"/>
      <c r="J1161" s="108">
        <f>IF($B1161="","",IF($E1161="Ngày thường",N($G1161),0))</f>
        <v/>
      </c>
      <c r="K1161" s="108">
        <f>IF($B1161="","",IF($E1161="Nghỉ tuần",N($G1161),0))</f>
        <v/>
      </c>
      <c r="L1161" s="108">
        <f>IF($B1161="","",IF($E1161="Lễ",N($G1161),0))</f>
        <v/>
      </c>
      <c r="M1161" s="108">
        <f>IF($B1161="","",IF($E1161="Ngày thường",N($H1161),0))</f>
        <v/>
      </c>
      <c r="N1161" s="108">
        <f>IF($B1161="","",IF($E1161="Nghỉ tuần",N($H1161),0))</f>
        <v/>
      </c>
      <c r="O1161" s="108">
        <f>IF($B1161="","",IF($E1161="Lễ",N($H1161),0))</f>
        <v/>
      </c>
    </row>
    <row r="1162" ht="15" customHeight="1" s="63">
      <c r="A1162" s="85">
        <f>IF($B1162="","",ROW()-5)</f>
        <v/>
      </c>
      <c r="B1162" s="97" t="n"/>
      <c r="C1162" s="96">
        <f>IF($B1162="","",IFERROR(INDEX(DM_NHAN_SU!$C$6:$C$155,MATCH($B1162,DM_NHAN_SU!$B$6:$B$155,0)),"SAI MÃ NV"))</f>
        <v/>
      </c>
      <c r="D1162" s="86" t="n"/>
      <c r="E1162" s="103">
        <f>IF(OR($B1162="",$D1162=""),"",IF(COUNTIF(THAM_SO_CC!$F$10:$F$40,$D1162)&gt;0,"Lễ",IF(IF(THAM_SO_CC!$B$12="T7+CN",WEEKDAY($D1162,2)&gt;=6,WEEKDAY($D1162,2)=7),"Nghỉ tuần","Ngày thường")))</f>
        <v/>
      </c>
      <c r="F1162" s="107" t="n"/>
      <c r="G1162" s="107" t="n"/>
      <c r="H1162" s="107" t="n"/>
      <c r="I1162" s="81" t="n"/>
      <c r="J1162" s="108">
        <f>IF($B1162="","",IF($E1162="Ngày thường",N($G1162),0))</f>
        <v/>
      </c>
      <c r="K1162" s="108">
        <f>IF($B1162="","",IF($E1162="Nghỉ tuần",N($G1162),0))</f>
        <v/>
      </c>
      <c r="L1162" s="108">
        <f>IF($B1162="","",IF($E1162="Lễ",N($G1162),0))</f>
        <v/>
      </c>
      <c r="M1162" s="108">
        <f>IF($B1162="","",IF($E1162="Ngày thường",N($H1162),0))</f>
        <v/>
      </c>
      <c r="N1162" s="108">
        <f>IF($B1162="","",IF($E1162="Nghỉ tuần",N($H1162),0))</f>
        <v/>
      </c>
      <c r="O1162" s="108">
        <f>IF($B1162="","",IF($E1162="Lễ",N($H1162),0))</f>
        <v/>
      </c>
    </row>
    <row r="1163" ht="15" customHeight="1" s="63">
      <c r="A1163" s="85">
        <f>IF($B1163="","",ROW()-5)</f>
        <v/>
      </c>
      <c r="B1163" s="97" t="n"/>
      <c r="C1163" s="96">
        <f>IF($B1163="","",IFERROR(INDEX(DM_NHAN_SU!$C$6:$C$155,MATCH($B1163,DM_NHAN_SU!$B$6:$B$155,0)),"SAI MÃ NV"))</f>
        <v/>
      </c>
      <c r="D1163" s="86" t="n"/>
      <c r="E1163" s="103">
        <f>IF(OR($B1163="",$D1163=""),"",IF(COUNTIF(THAM_SO_CC!$F$10:$F$40,$D1163)&gt;0,"Lễ",IF(IF(THAM_SO_CC!$B$12="T7+CN",WEEKDAY($D1163,2)&gt;=6,WEEKDAY($D1163,2)=7),"Nghỉ tuần","Ngày thường")))</f>
        <v/>
      </c>
      <c r="F1163" s="107" t="n"/>
      <c r="G1163" s="107" t="n"/>
      <c r="H1163" s="107" t="n"/>
      <c r="I1163" s="81" t="n"/>
      <c r="J1163" s="108">
        <f>IF($B1163="","",IF($E1163="Ngày thường",N($G1163),0))</f>
        <v/>
      </c>
      <c r="K1163" s="108">
        <f>IF($B1163="","",IF($E1163="Nghỉ tuần",N($G1163),0))</f>
        <v/>
      </c>
      <c r="L1163" s="108">
        <f>IF($B1163="","",IF($E1163="Lễ",N($G1163),0))</f>
        <v/>
      </c>
      <c r="M1163" s="108">
        <f>IF($B1163="","",IF($E1163="Ngày thường",N($H1163),0))</f>
        <v/>
      </c>
      <c r="N1163" s="108">
        <f>IF($B1163="","",IF($E1163="Nghỉ tuần",N($H1163),0))</f>
        <v/>
      </c>
      <c r="O1163" s="108">
        <f>IF($B1163="","",IF($E1163="Lễ",N($H1163),0))</f>
        <v/>
      </c>
    </row>
    <row r="1164" ht="15" customHeight="1" s="63">
      <c r="A1164" s="85">
        <f>IF($B1164="","",ROW()-5)</f>
        <v/>
      </c>
      <c r="B1164" s="97" t="n"/>
      <c r="C1164" s="96">
        <f>IF($B1164="","",IFERROR(INDEX(DM_NHAN_SU!$C$6:$C$155,MATCH($B1164,DM_NHAN_SU!$B$6:$B$155,0)),"SAI MÃ NV"))</f>
        <v/>
      </c>
      <c r="D1164" s="86" t="n"/>
      <c r="E1164" s="103">
        <f>IF(OR($B1164="",$D1164=""),"",IF(COUNTIF(THAM_SO_CC!$F$10:$F$40,$D1164)&gt;0,"Lễ",IF(IF(THAM_SO_CC!$B$12="T7+CN",WEEKDAY($D1164,2)&gt;=6,WEEKDAY($D1164,2)=7),"Nghỉ tuần","Ngày thường")))</f>
        <v/>
      </c>
      <c r="F1164" s="107" t="n"/>
      <c r="G1164" s="107" t="n"/>
      <c r="H1164" s="107" t="n"/>
      <c r="I1164" s="81" t="n"/>
      <c r="J1164" s="108">
        <f>IF($B1164="","",IF($E1164="Ngày thường",N($G1164),0))</f>
        <v/>
      </c>
      <c r="K1164" s="108">
        <f>IF($B1164="","",IF($E1164="Nghỉ tuần",N($G1164),0))</f>
        <v/>
      </c>
      <c r="L1164" s="108">
        <f>IF($B1164="","",IF($E1164="Lễ",N($G1164),0))</f>
        <v/>
      </c>
      <c r="M1164" s="108">
        <f>IF($B1164="","",IF($E1164="Ngày thường",N($H1164),0))</f>
        <v/>
      </c>
      <c r="N1164" s="108">
        <f>IF($B1164="","",IF($E1164="Nghỉ tuần",N($H1164),0))</f>
        <v/>
      </c>
      <c r="O1164" s="108">
        <f>IF($B1164="","",IF($E1164="Lễ",N($H1164),0))</f>
        <v/>
      </c>
    </row>
    <row r="1165" ht="15" customHeight="1" s="63">
      <c r="A1165" s="85">
        <f>IF($B1165="","",ROW()-5)</f>
        <v/>
      </c>
      <c r="B1165" s="97" t="n"/>
      <c r="C1165" s="96">
        <f>IF($B1165="","",IFERROR(INDEX(DM_NHAN_SU!$C$6:$C$155,MATCH($B1165,DM_NHAN_SU!$B$6:$B$155,0)),"SAI MÃ NV"))</f>
        <v/>
      </c>
      <c r="D1165" s="86" t="n"/>
      <c r="E1165" s="103">
        <f>IF(OR($B1165="",$D1165=""),"",IF(COUNTIF(THAM_SO_CC!$F$10:$F$40,$D1165)&gt;0,"Lễ",IF(IF(THAM_SO_CC!$B$12="T7+CN",WEEKDAY($D1165,2)&gt;=6,WEEKDAY($D1165,2)=7),"Nghỉ tuần","Ngày thường")))</f>
        <v/>
      </c>
      <c r="F1165" s="107" t="n"/>
      <c r="G1165" s="107" t="n"/>
      <c r="H1165" s="107" t="n"/>
      <c r="I1165" s="81" t="n"/>
      <c r="J1165" s="108">
        <f>IF($B1165="","",IF($E1165="Ngày thường",N($G1165),0))</f>
        <v/>
      </c>
      <c r="K1165" s="108">
        <f>IF($B1165="","",IF($E1165="Nghỉ tuần",N($G1165),0))</f>
        <v/>
      </c>
      <c r="L1165" s="108">
        <f>IF($B1165="","",IF($E1165="Lễ",N($G1165),0))</f>
        <v/>
      </c>
      <c r="M1165" s="108">
        <f>IF($B1165="","",IF($E1165="Ngày thường",N($H1165),0))</f>
        <v/>
      </c>
      <c r="N1165" s="108">
        <f>IF($B1165="","",IF($E1165="Nghỉ tuần",N($H1165),0))</f>
        <v/>
      </c>
      <c r="O1165" s="108">
        <f>IF($B1165="","",IF($E1165="Lễ",N($H1165),0))</f>
        <v/>
      </c>
    </row>
    <row r="1166" ht="15" customHeight="1" s="63">
      <c r="A1166" s="85">
        <f>IF($B1166="","",ROW()-5)</f>
        <v/>
      </c>
      <c r="B1166" s="97" t="n"/>
      <c r="C1166" s="96">
        <f>IF($B1166="","",IFERROR(INDEX(DM_NHAN_SU!$C$6:$C$155,MATCH($B1166,DM_NHAN_SU!$B$6:$B$155,0)),"SAI MÃ NV"))</f>
        <v/>
      </c>
      <c r="D1166" s="86" t="n"/>
      <c r="E1166" s="103">
        <f>IF(OR($B1166="",$D1166=""),"",IF(COUNTIF(THAM_SO_CC!$F$10:$F$40,$D1166)&gt;0,"Lễ",IF(IF(THAM_SO_CC!$B$12="T7+CN",WEEKDAY($D1166,2)&gt;=6,WEEKDAY($D1166,2)=7),"Nghỉ tuần","Ngày thường")))</f>
        <v/>
      </c>
      <c r="F1166" s="107" t="n"/>
      <c r="G1166" s="107" t="n"/>
      <c r="H1166" s="107" t="n"/>
      <c r="I1166" s="81" t="n"/>
      <c r="J1166" s="108">
        <f>IF($B1166="","",IF($E1166="Ngày thường",N($G1166),0))</f>
        <v/>
      </c>
      <c r="K1166" s="108">
        <f>IF($B1166="","",IF($E1166="Nghỉ tuần",N($G1166),0))</f>
        <v/>
      </c>
      <c r="L1166" s="108">
        <f>IF($B1166="","",IF($E1166="Lễ",N($G1166),0))</f>
        <v/>
      </c>
      <c r="M1166" s="108">
        <f>IF($B1166="","",IF($E1166="Ngày thường",N($H1166),0))</f>
        <v/>
      </c>
      <c r="N1166" s="108">
        <f>IF($B1166="","",IF($E1166="Nghỉ tuần",N($H1166),0))</f>
        <v/>
      </c>
      <c r="O1166" s="108">
        <f>IF($B1166="","",IF($E1166="Lễ",N($H1166),0))</f>
        <v/>
      </c>
    </row>
    <row r="1167" ht="15" customHeight="1" s="63">
      <c r="A1167" s="85">
        <f>IF($B1167="","",ROW()-5)</f>
        <v/>
      </c>
      <c r="B1167" s="97" t="n"/>
      <c r="C1167" s="96">
        <f>IF($B1167="","",IFERROR(INDEX(DM_NHAN_SU!$C$6:$C$155,MATCH($B1167,DM_NHAN_SU!$B$6:$B$155,0)),"SAI MÃ NV"))</f>
        <v/>
      </c>
      <c r="D1167" s="86" t="n"/>
      <c r="E1167" s="103">
        <f>IF(OR($B1167="",$D1167=""),"",IF(COUNTIF(THAM_SO_CC!$F$10:$F$40,$D1167)&gt;0,"Lễ",IF(IF(THAM_SO_CC!$B$12="T7+CN",WEEKDAY($D1167,2)&gt;=6,WEEKDAY($D1167,2)=7),"Nghỉ tuần","Ngày thường")))</f>
        <v/>
      </c>
      <c r="F1167" s="107" t="n"/>
      <c r="G1167" s="107" t="n"/>
      <c r="H1167" s="107" t="n"/>
      <c r="I1167" s="81" t="n"/>
      <c r="J1167" s="108">
        <f>IF($B1167="","",IF($E1167="Ngày thường",N($G1167),0))</f>
        <v/>
      </c>
      <c r="K1167" s="108">
        <f>IF($B1167="","",IF($E1167="Nghỉ tuần",N($G1167),0))</f>
        <v/>
      </c>
      <c r="L1167" s="108">
        <f>IF($B1167="","",IF($E1167="Lễ",N($G1167),0))</f>
        <v/>
      </c>
      <c r="M1167" s="108">
        <f>IF($B1167="","",IF($E1167="Ngày thường",N($H1167),0))</f>
        <v/>
      </c>
      <c r="N1167" s="108">
        <f>IF($B1167="","",IF($E1167="Nghỉ tuần",N($H1167),0))</f>
        <v/>
      </c>
      <c r="O1167" s="108">
        <f>IF($B1167="","",IF($E1167="Lễ",N($H1167),0))</f>
        <v/>
      </c>
    </row>
    <row r="1168" ht="15" customHeight="1" s="63">
      <c r="A1168" s="85">
        <f>IF($B1168="","",ROW()-5)</f>
        <v/>
      </c>
      <c r="B1168" s="97" t="n"/>
      <c r="C1168" s="96">
        <f>IF($B1168="","",IFERROR(INDEX(DM_NHAN_SU!$C$6:$C$155,MATCH($B1168,DM_NHAN_SU!$B$6:$B$155,0)),"SAI MÃ NV"))</f>
        <v/>
      </c>
      <c r="D1168" s="86" t="n"/>
      <c r="E1168" s="103">
        <f>IF(OR($B1168="",$D1168=""),"",IF(COUNTIF(THAM_SO_CC!$F$10:$F$40,$D1168)&gt;0,"Lễ",IF(IF(THAM_SO_CC!$B$12="T7+CN",WEEKDAY($D1168,2)&gt;=6,WEEKDAY($D1168,2)=7),"Nghỉ tuần","Ngày thường")))</f>
        <v/>
      </c>
      <c r="F1168" s="107" t="n"/>
      <c r="G1168" s="107" t="n"/>
      <c r="H1168" s="107" t="n"/>
      <c r="I1168" s="81" t="n"/>
      <c r="J1168" s="108">
        <f>IF($B1168="","",IF($E1168="Ngày thường",N($G1168),0))</f>
        <v/>
      </c>
      <c r="K1168" s="108">
        <f>IF($B1168="","",IF($E1168="Nghỉ tuần",N($G1168),0))</f>
        <v/>
      </c>
      <c r="L1168" s="108">
        <f>IF($B1168="","",IF($E1168="Lễ",N($G1168),0))</f>
        <v/>
      </c>
      <c r="M1168" s="108">
        <f>IF($B1168="","",IF($E1168="Ngày thường",N($H1168),0))</f>
        <v/>
      </c>
      <c r="N1168" s="108">
        <f>IF($B1168="","",IF($E1168="Nghỉ tuần",N($H1168),0))</f>
        <v/>
      </c>
      <c r="O1168" s="108">
        <f>IF($B1168="","",IF($E1168="Lễ",N($H1168),0))</f>
        <v/>
      </c>
    </row>
    <row r="1169" ht="15" customHeight="1" s="63">
      <c r="A1169" s="85">
        <f>IF($B1169="","",ROW()-5)</f>
        <v/>
      </c>
      <c r="B1169" s="97" t="n"/>
      <c r="C1169" s="96">
        <f>IF($B1169="","",IFERROR(INDEX(DM_NHAN_SU!$C$6:$C$155,MATCH($B1169,DM_NHAN_SU!$B$6:$B$155,0)),"SAI MÃ NV"))</f>
        <v/>
      </c>
      <c r="D1169" s="86" t="n"/>
      <c r="E1169" s="103">
        <f>IF(OR($B1169="",$D1169=""),"",IF(COUNTIF(THAM_SO_CC!$F$10:$F$40,$D1169)&gt;0,"Lễ",IF(IF(THAM_SO_CC!$B$12="T7+CN",WEEKDAY($D1169,2)&gt;=6,WEEKDAY($D1169,2)=7),"Nghỉ tuần","Ngày thường")))</f>
        <v/>
      </c>
      <c r="F1169" s="107" t="n"/>
      <c r="G1169" s="107" t="n"/>
      <c r="H1169" s="107" t="n"/>
      <c r="I1169" s="81" t="n"/>
      <c r="J1169" s="108">
        <f>IF($B1169="","",IF($E1169="Ngày thường",N($G1169),0))</f>
        <v/>
      </c>
      <c r="K1169" s="108">
        <f>IF($B1169="","",IF($E1169="Nghỉ tuần",N($G1169),0))</f>
        <v/>
      </c>
      <c r="L1169" s="108">
        <f>IF($B1169="","",IF($E1169="Lễ",N($G1169),0))</f>
        <v/>
      </c>
      <c r="M1169" s="108">
        <f>IF($B1169="","",IF($E1169="Ngày thường",N($H1169),0))</f>
        <v/>
      </c>
      <c r="N1169" s="108">
        <f>IF($B1169="","",IF($E1169="Nghỉ tuần",N($H1169),0))</f>
        <v/>
      </c>
      <c r="O1169" s="108">
        <f>IF($B1169="","",IF($E1169="Lễ",N($H1169),0))</f>
        <v/>
      </c>
    </row>
    <row r="1170" ht="15" customHeight="1" s="63">
      <c r="A1170" s="85">
        <f>IF($B1170="","",ROW()-5)</f>
        <v/>
      </c>
      <c r="B1170" s="97" t="n"/>
      <c r="C1170" s="96">
        <f>IF($B1170="","",IFERROR(INDEX(DM_NHAN_SU!$C$6:$C$155,MATCH($B1170,DM_NHAN_SU!$B$6:$B$155,0)),"SAI MÃ NV"))</f>
        <v/>
      </c>
      <c r="D1170" s="86" t="n"/>
      <c r="E1170" s="103">
        <f>IF(OR($B1170="",$D1170=""),"",IF(COUNTIF(THAM_SO_CC!$F$10:$F$40,$D1170)&gt;0,"Lễ",IF(IF(THAM_SO_CC!$B$12="T7+CN",WEEKDAY($D1170,2)&gt;=6,WEEKDAY($D1170,2)=7),"Nghỉ tuần","Ngày thường")))</f>
        <v/>
      </c>
      <c r="F1170" s="107" t="n"/>
      <c r="G1170" s="107" t="n"/>
      <c r="H1170" s="107" t="n"/>
      <c r="I1170" s="81" t="n"/>
      <c r="J1170" s="108">
        <f>IF($B1170="","",IF($E1170="Ngày thường",N($G1170),0))</f>
        <v/>
      </c>
      <c r="K1170" s="108">
        <f>IF($B1170="","",IF($E1170="Nghỉ tuần",N($G1170),0))</f>
        <v/>
      </c>
      <c r="L1170" s="108">
        <f>IF($B1170="","",IF($E1170="Lễ",N($G1170),0))</f>
        <v/>
      </c>
      <c r="M1170" s="108">
        <f>IF($B1170="","",IF($E1170="Ngày thường",N($H1170),0))</f>
        <v/>
      </c>
      <c r="N1170" s="108">
        <f>IF($B1170="","",IF($E1170="Nghỉ tuần",N($H1170),0))</f>
        <v/>
      </c>
      <c r="O1170" s="108">
        <f>IF($B1170="","",IF($E1170="Lễ",N($H1170),0))</f>
        <v/>
      </c>
    </row>
    <row r="1171" ht="15" customHeight="1" s="63">
      <c r="A1171" s="85">
        <f>IF($B1171="","",ROW()-5)</f>
        <v/>
      </c>
      <c r="B1171" s="97" t="n"/>
      <c r="C1171" s="96">
        <f>IF($B1171="","",IFERROR(INDEX(DM_NHAN_SU!$C$6:$C$155,MATCH($B1171,DM_NHAN_SU!$B$6:$B$155,0)),"SAI MÃ NV"))</f>
        <v/>
      </c>
      <c r="D1171" s="86" t="n"/>
      <c r="E1171" s="103">
        <f>IF(OR($B1171="",$D1171=""),"",IF(COUNTIF(THAM_SO_CC!$F$10:$F$40,$D1171)&gt;0,"Lễ",IF(IF(THAM_SO_CC!$B$12="T7+CN",WEEKDAY($D1171,2)&gt;=6,WEEKDAY($D1171,2)=7),"Nghỉ tuần","Ngày thường")))</f>
        <v/>
      </c>
      <c r="F1171" s="107" t="n"/>
      <c r="G1171" s="107" t="n"/>
      <c r="H1171" s="107" t="n"/>
      <c r="I1171" s="81" t="n"/>
      <c r="J1171" s="108">
        <f>IF($B1171="","",IF($E1171="Ngày thường",N($G1171),0))</f>
        <v/>
      </c>
      <c r="K1171" s="108">
        <f>IF($B1171="","",IF($E1171="Nghỉ tuần",N($G1171),0))</f>
        <v/>
      </c>
      <c r="L1171" s="108">
        <f>IF($B1171="","",IF($E1171="Lễ",N($G1171),0))</f>
        <v/>
      </c>
      <c r="M1171" s="108">
        <f>IF($B1171="","",IF($E1171="Ngày thường",N($H1171),0))</f>
        <v/>
      </c>
      <c r="N1171" s="108">
        <f>IF($B1171="","",IF($E1171="Nghỉ tuần",N($H1171),0))</f>
        <v/>
      </c>
      <c r="O1171" s="108">
        <f>IF($B1171="","",IF($E1171="Lễ",N($H1171),0))</f>
        <v/>
      </c>
    </row>
    <row r="1172" ht="15" customHeight="1" s="63">
      <c r="A1172" s="85">
        <f>IF($B1172="","",ROW()-5)</f>
        <v/>
      </c>
      <c r="B1172" s="97" t="n"/>
      <c r="C1172" s="96">
        <f>IF($B1172="","",IFERROR(INDEX(DM_NHAN_SU!$C$6:$C$155,MATCH($B1172,DM_NHAN_SU!$B$6:$B$155,0)),"SAI MÃ NV"))</f>
        <v/>
      </c>
      <c r="D1172" s="86" t="n"/>
      <c r="E1172" s="103">
        <f>IF(OR($B1172="",$D1172=""),"",IF(COUNTIF(THAM_SO_CC!$F$10:$F$40,$D1172)&gt;0,"Lễ",IF(IF(THAM_SO_CC!$B$12="T7+CN",WEEKDAY($D1172,2)&gt;=6,WEEKDAY($D1172,2)=7),"Nghỉ tuần","Ngày thường")))</f>
        <v/>
      </c>
      <c r="F1172" s="107" t="n"/>
      <c r="G1172" s="107" t="n"/>
      <c r="H1172" s="107" t="n"/>
      <c r="I1172" s="81" t="n"/>
      <c r="J1172" s="108">
        <f>IF($B1172="","",IF($E1172="Ngày thường",N($G1172),0))</f>
        <v/>
      </c>
      <c r="K1172" s="108">
        <f>IF($B1172="","",IF($E1172="Nghỉ tuần",N($G1172),0))</f>
        <v/>
      </c>
      <c r="L1172" s="108">
        <f>IF($B1172="","",IF($E1172="Lễ",N($G1172),0))</f>
        <v/>
      </c>
      <c r="M1172" s="108">
        <f>IF($B1172="","",IF($E1172="Ngày thường",N($H1172),0))</f>
        <v/>
      </c>
      <c r="N1172" s="108">
        <f>IF($B1172="","",IF($E1172="Nghỉ tuần",N($H1172),0))</f>
        <v/>
      </c>
      <c r="O1172" s="108">
        <f>IF($B1172="","",IF($E1172="Lễ",N($H1172),0))</f>
        <v/>
      </c>
    </row>
    <row r="1173" ht="15" customHeight="1" s="63">
      <c r="A1173" s="85">
        <f>IF($B1173="","",ROW()-5)</f>
        <v/>
      </c>
      <c r="B1173" s="97" t="n"/>
      <c r="C1173" s="96">
        <f>IF($B1173="","",IFERROR(INDEX(DM_NHAN_SU!$C$6:$C$155,MATCH($B1173,DM_NHAN_SU!$B$6:$B$155,0)),"SAI MÃ NV"))</f>
        <v/>
      </c>
      <c r="D1173" s="86" t="n"/>
      <c r="E1173" s="103">
        <f>IF(OR($B1173="",$D1173=""),"",IF(COUNTIF(THAM_SO_CC!$F$10:$F$40,$D1173)&gt;0,"Lễ",IF(IF(THAM_SO_CC!$B$12="T7+CN",WEEKDAY($D1173,2)&gt;=6,WEEKDAY($D1173,2)=7),"Nghỉ tuần","Ngày thường")))</f>
        <v/>
      </c>
      <c r="F1173" s="107" t="n"/>
      <c r="G1173" s="107" t="n"/>
      <c r="H1173" s="107" t="n"/>
      <c r="I1173" s="81" t="n"/>
      <c r="J1173" s="108">
        <f>IF($B1173="","",IF($E1173="Ngày thường",N($G1173),0))</f>
        <v/>
      </c>
      <c r="K1173" s="108">
        <f>IF($B1173="","",IF($E1173="Nghỉ tuần",N($G1173),0))</f>
        <v/>
      </c>
      <c r="L1173" s="108">
        <f>IF($B1173="","",IF($E1173="Lễ",N($G1173),0))</f>
        <v/>
      </c>
      <c r="M1173" s="108">
        <f>IF($B1173="","",IF($E1173="Ngày thường",N($H1173),0))</f>
        <v/>
      </c>
      <c r="N1173" s="108">
        <f>IF($B1173="","",IF($E1173="Nghỉ tuần",N($H1173),0))</f>
        <v/>
      </c>
      <c r="O1173" s="108">
        <f>IF($B1173="","",IF($E1173="Lễ",N($H1173),0))</f>
        <v/>
      </c>
    </row>
    <row r="1174" ht="15" customHeight="1" s="63">
      <c r="A1174" s="85">
        <f>IF($B1174="","",ROW()-5)</f>
        <v/>
      </c>
      <c r="B1174" s="97" t="n"/>
      <c r="C1174" s="96">
        <f>IF($B1174="","",IFERROR(INDEX(DM_NHAN_SU!$C$6:$C$155,MATCH($B1174,DM_NHAN_SU!$B$6:$B$155,0)),"SAI MÃ NV"))</f>
        <v/>
      </c>
      <c r="D1174" s="86" t="n"/>
      <c r="E1174" s="103">
        <f>IF(OR($B1174="",$D1174=""),"",IF(COUNTIF(THAM_SO_CC!$F$10:$F$40,$D1174)&gt;0,"Lễ",IF(IF(THAM_SO_CC!$B$12="T7+CN",WEEKDAY($D1174,2)&gt;=6,WEEKDAY($D1174,2)=7),"Nghỉ tuần","Ngày thường")))</f>
        <v/>
      </c>
      <c r="F1174" s="107" t="n"/>
      <c r="G1174" s="107" t="n"/>
      <c r="H1174" s="107" t="n"/>
      <c r="I1174" s="81" t="n"/>
      <c r="J1174" s="108">
        <f>IF($B1174="","",IF($E1174="Ngày thường",N($G1174),0))</f>
        <v/>
      </c>
      <c r="K1174" s="108">
        <f>IF($B1174="","",IF($E1174="Nghỉ tuần",N($G1174),0))</f>
        <v/>
      </c>
      <c r="L1174" s="108">
        <f>IF($B1174="","",IF($E1174="Lễ",N($G1174),0))</f>
        <v/>
      </c>
      <c r="M1174" s="108">
        <f>IF($B1174="","",IF($E1174="Ngày thường",N($H1174),0))</f>
        <v/>
      </c>
      <c r="N1174" s="108">
        <f>IF($B1174="","",IF($E1174="Nghỉ tuần",N($H1174),0))</f>
        <v/>
      </c>
      <c r="O1174" s="108">
        <f>IF($B1174="","",IF($E1174="Lễ",N($H1174),0))</f>
        <v/>
      </c>
    </row>
    <row r="1175" ht="15" customHeight="1" s="63">
      <c r="A1175" s="85">
        <f>IF($B1175="","",ROW()-5)</f>
        <v/>
      </c>
      <c r="B1175" s="97" t="n"/>
      <c r="C1175" s="96">
        <f>IF($B1175="","",IFERROR(INDEX(DM_NHAN_SU!$C$6:$C$155,MATCH($B1175,DM_NHAN_SU!$B$6:$B$155,0)),"SAI MÃ NV"))</f>
        <v/>
      </c>
      <c r="D1175" s="86" t="n"/>
      <c r="E1175" s="103">
        <f>IF(OR($B1175="",$D1175=""),"",IF(COUNTIF(THAM_SO_CC!$F$10:$F$40,$D1175)&gt;0,"Lễ",IF(IF(THAM_SO_CC!$B$12="T7+CN",WEEKDAY($D1175,2)&gt;=6,WEEKDAY($D1175,2)=7),"Nghỉ tuần","Ngày thường")))</f>
        <v/>
      </c>
      <c r="F1175" s="107" t="n"/>
      <c r="G1175" s="107" t="n"/>
      <c r="H1175" s="107" t="n"/>
      <c r="I1175" s="81" t="n"/>
      <c r="J1175" s="108">
        <f>IF($B1175="","",IF($E1175="Ngày thường",N($G1175),0))</f>
        <v/>
      </c>
      <c r="K1175" s="108">
        <f>IF($B1175="","",IF($E1175="Nghỉ tuần",N($G1175),0))</f>
        <v/>
      </c>
      <c r="L1175" s="108">
        <f>IF($B1175="","",IF($E1175="Lễ",N($G1175),0))</f>
        <v/>
      </c>
      <c r="M1175" s="108">
        <f>IF($B1175="","",IF($E1175="Ngày thường",N($H1175),0))</f>
        <v/>
      </c>
      <c r="N1175" s="108">
        <f>IF($B1175="","",IF($E1175="Nghỉ tuần",N($H1175),0))</f>
        <v/>
      </c>
      <c r="O1175" s="108">
        <f>IF($B1175="","",IF($E1175="Lễ",N($H1175),0))</f>
        <v/>
      </c>
    </row>
    <row r="1176" ht="15" customHeight="1" s="63">
      <c r="A1176" s="85">
        <f>IF($B1176="","",ROW()-5)</f>
        <v/>
      </c>
      <c r="B1176" s="97" t="n"/>
      <c r="C1176" s="96">
        <f>IF($B1176="","",IFERROR(INDEX(DM_NHAN_SU!$C$6:$C$155,MATCH($B1176,DM_NHAN_SU!$B$6:$B$155,0)),"SAI MÃ NV"))</f>
        <v/>
      </c>
      <c r="D1176" s="86" t="n"/>
      <c r="E1176" s="103">
        <f>IF(OR($B1176="",$D1176=""),"",IF(COUNTIF(THAM_SO_CC!$F$10:$F$40,$D1176)&gt;0,"Lễ",IF(IF(THAM_SO_CC!$B$12="T7+CN",WEEKDAY($D1176,2)&gt;=6,WEEKDAY($D1176,2)=7),"Nghỉ tuần","Ngày thường")))</f>
        <v/>
      </c>
      <c r="F1176" s="107" t="n"/>
      <c r="G1176" s="107" t="n"/>
      <c r="H1176" s="107" t="n"/>
      <c r="I1176" s="81" t="n"/>
      <c r="J1176" s="108">
        <f>IF($B1176="","",IF($E1176="Ngày thường",N($G1176),0))</f>
        <v/>
      </c>
      <c r="K1176" s="108">
        <f>IF($B1176="","",IF($E1176="Nghỉ tuần",N($G1176),0))</f>
        <v/>
      </c>
      <c r="L1176" s="108">
        <f>IF($B1176="","",IF($E1176="Lễ",N($G1176),0))</f>
        <v/>
      </c>
      <c r="M1176" s="108">
        <f>IF($B1176="","",IF($E1176="Ngày thường",N($H1176),0))</f>
        <v/>
      </c>
      <c r="N1176" s="108">
        <f>IF($B1176="","",IF($E1176="Nghỉ tuần",N($H1176),0))</f>
        <v/>
      </c>
      <c r="O1176" s="108">
        <f>IF($B1176="","",IF($E1176="Lễ",N($H1176),0))</f>
        <v/>
      </c>
    </row>
    <row r="1177" ht="15" customHeight="1" s="63">
      <c r="A1177" s="85">
        <f>IF($B1177="","",ROW()-5)</f>
        <v/>
      </c>
      <c r="B1177" s="97" t="n"/>
      <c r="C1177" s="96">
        <f>IF($B1177="","",IFERROR(INDEX(DM_NHAN_SU!$C$6:$C$155,MATCH($B1177,DM_NHAN_SU!$B$6:$B$155,0)),"SAI MÃ NV"))</f>
        <v/>
      </c>
      <c r="D1177" s="86" t="n"/>
      <c r="E1177" s="103">
        <f>IF(OR($B1177="",$D1177=""),"",IF(COUNTIF(THAM_SO_CC!$F$10:$F$40,$D1177)&gt;0,"Lễ",IF(IF(THAM_SO_CC!$B$12="T7+CN",WEEKDAY($D1177,2)&gt;=6,WEEKDAY($D1177,2)=7),"Nghỉ tuần","Ngày thường")))</f>
        <v/>
      </c>
      <c r="F1177" s="107" t="n"/>
      <c r="G1177" s="107" t="n"/>
      <c r="H1177" s="107" t="n"/>
      <c r="I1177" s="81" t="n"/>
      <c r="J1177" s="108">
        <f>IF($B1177="","",IF($E1177="Ngày thường",N($G1177),0))</f>
        <v/>
      </c>
      <c r="K1177" s="108">
        <f>IF($B1177="","",IF($E1177="Nghỉ tuần",N($G1177),0))</f>
        <v/>
      </c>
      <c r="L1177" s="108">
        <f>IF($B1177="","",IF($E1177="Lễ",N($G1177),0))</f>
        <v/>
      </c>
      <c r="M1177" s="108">
        <f>IF($B1177="","",IF($E1177="Ngày thường",N($H1177),0))</f>
        <v/>
      </c>
      <c r="N1177" s="108">
        <f>IF($B1177="","",IF($E1177="Nghỉ tuần",N($H1177),0))</f>
        <v/>
      </c>
      <c r="O1177" s="108">
        <f>IF($B1177="","",IF($E1177="Lễ",N($H1177),0))</f>
        <v/>
      </c>
    </row>
    <row r="1178" ht="15" customHeight="1" s="63">
      <c r="A1178" s="85">
        <f>IF($B1178="","",ROW()-5)</f>
        <v/>
      </c>
      <c r="B1178" s="97" t="n"/>
      <c r="C1178" s="96">
        <f>IF($B1178="","",IFERROR(INDEX(DM_NHAN_SU!$C$6:$C$155,MATCH($B1178,DM_NHAN_SU!$B$6:$B$155,0)),"SAI MÃ NV"))</f>
        <v/>
      </c>
      <c r="D1178" s="86" t="n"/>
      <c r="E1178" s="103">
        <f>IF(OR($B1178="",$D1178=""),"",IF(COUNTIF(THAM_SO_CC!$F$10:$F$40,$D1178)&gt;0,"Lễ",IF(IF(THAM_SO_CC!$B$12="T7+CN",WEEKDAY($D1178,2)&gt;=6,WEEKDAY($D1178,2)=7),"Nghỉ tuần","Ngày thường")))</f>
        <v/>
      </c>
      <c r="F1178" s="107" t="n"/>
      <c r="G1178" s="107" t="n"/>
      <c r="H1178" s="107" t="n"/>
      <c r="I1178" s="81" t="n"/>
      <c r="J1178" s="108">
        <f>IF($B1178="","",IF($E1178="Ngày thường",N($G1178),0))</f>
        <v/>
      </c>
      <c r="K1178" s="108">
        <f>IF($B1178="","",IF($E1178="Nghỉ tuần",N($G1178),0))</f>
        <v/>
      </c>
      <c r="L1178" s="108">
        <f>IF($B1178="","",IF($E1178="Lễ",N($G1178),0))</f>
        <v/>
      </c>
      <c r="M1178" s="108">
        <f>IF($B1178="","",IF($E1178="Ngày thường",N($H1178),0))</f>
        <v/>
      </c>
      <c r="N1178" s="108">
        <f>IF($B1178="","",IF($E1178="Nghỉ tuần",N($H1178),0))</f>
        <v/>
      </c>
      <c r="O1178" s="108">
        <f>IF($B1178="","",IF($E1178="Lễ",N($H1178),0))</f>
        <v/>
      </c>
    </row>
    <row r="1179" ht="15" customHeight="1" s="63">
      <c r="A1179" s="85">
        <f>IF($B1179="","",ROW()-5)</f>
        <v/>
      </c>
      <c r="B1179" s="97" t="n"/>
      <c r="C1179" s="96">
        <f>IF($B1179="","",IFERROR(INDEX(DM_NHAN_SU!$C$6:$C$155,MATCH($B1179,DM_NHAN_SU!$B$6:$B$155,0)),"SAI MÃ NV"))</f>
        <v/>
      </c>
      <c r="D1179" s="86" t="n"/>
      <c r="E1179" s="103">
        <f>IF(OR($B1179="",$D1179=""),"",IF(COUNTIF(THAM_SO_CC!$F$10:$F$40,$D1179)&gt;0,"Lễ",IF(IF(THAM_SO_CC!$B$12="T7+CN",WEEKDAY($D1179,2)&gt;=6,WEEKDAY($D1179,2)=7),"Nghỉ tuần","Ngày thường")))</f>
        <v/>
      </c>
      <c r="F1179" s="107" t="n"/>
      <c r="G1179" s="107" t="n"/>
      <c r="H1179" s="107" t="n"/>
      <c r="I1179" s="81" t="n"/>
      <c r="J1179" s="108">
        <f>IF($B1179="","",IF($E1179="Ngày thường",N($G1179),0))</f>
        <v/>
      </c>
      <c r="K1179" s="108">
        <f>IF($B1179="","",IF($E1179="Nghỉ tuần",N($G1179),0))</f>
        <v/>
      </c>
      <c r="L1179" s="108">
        <f>IF($B1179="","",IF($E1179="Lễ",N($G1179),0))</f>
        <v/>
      </c>
      <c r="M1179" s="108">
        <f>IF($B1179="","",IF($E1179="Ngày thường",N($H1179),0))</f>
        <v/>
      </c>
      <c r="N1179" s="108">
        <f>IF($B1179="","",IF($E1179="Nghỉ tuần",N($H1179),0))</f>
        <v/>
      </c>
      <c r="O1179" s="108">
        <f>IF($B1179="","",IF($E1179="Lễ",N($H1179),0))</f>
        <v/>
      </c>
    </row>
    <row r="1180" ht="15" customHeight="1" s="63">
      <c r="A1180" s="85">
        <f>IF($B1180="","",ROW()-5)</f>
        <v/>
      </c>
      <c r="B1180" s="97" t="n"/>
      <c r="C1180" s="96">
        <f>IF($B1180="","",IFERROR(INDEX(DM_NHAN_SU!$C$6:$C$155,MATCH($B1180,DM_NHAN_SU!$B$6:$B$155,0)),"SAI MÃ NV"))</f>
        <v/>
      </c>
      <c r="D1180" s="86" t="n"/>
      <c r="E1180" s="103">
        <f>IF(OR($B1180="",$D1180=""),"",IF(COUNTIF(THAM_SO_CC!$F$10:$F$40,$D1180)&gt;0,"Lễ",IF(IF(THAM_SO_CC!$B$12="T7+CN",WEEKDAY($D1180,2)&gt;=6,WEEKDAY($D1180,2)=7),"Nghỉ tuần","Ngày thường")))</f>
        <v/>
      </c>
      <c r="F1180" s="107" t="n"/>
      <c r="G1180" s="107" t="n"/>
      <c r="H1180" s="107" t="n"/>
      <c r="I1180" s="81" t="n"/>
      <c r="J1180" s="108">
        <f>IF($B1180="","",IF($E1180="Ngày thường",N($G1180),0))</f>
        <v/>
      </c>
      <c r="K1180" s="108">
        <f>IF($B1180="","",IF($E1180="Nghỉ tuần",N($G1180),0))</f>
        <v/>
      </c>
      <c r="L1180" s="108">
        <f>IF($B1180="","",IF($E1180="Lễ",N($G1180),0))</f>
        <v/>
      </c>
      <c r="M1180" s="108">
        <f>IF($B1180="","",IF($E1180="Ngày thường",N($H1180),0))</f>
        <v/>
      </c>
      <c r="N1180" s="108">
        <f>IF($B1180="","",IF($E1180="Nghỉ tuần",N($H1180),0))</f>
        <v/>
      </c>
      <c r="O1180" s="108">
        <f>IF($B1180="","",IF($E1180="Lễ",N($H1180),0))</f>
        <v/>
      </c>
    </row>
    <row r="1181" ht="15" customHeight="1" s="63">
      <c r="A1181" s="85">
        <f>IF($B1181="","",ROW()-5)</f>
        <v/>
      </c>
      <c r="B1181" s="97" t="n"/>
      <c r="C1181" s="96">
        <f>IF($B1181="","",IFERROR(INDEX(DM_NHAN_SU!$C$6:$C$155,MATCH($B1181,DM_NHAN_SU!$B$6:$B$155,0)),"SAI MÃ NV"))</f>
        <v/>
      </c>
      <c r="D1181" s="86" t="n"/>
      <c r="E1181" s="103">
        <f>IF(OR($B1181="",$D1181=""),"",IF(COUNTIF(THAM_SO_CC!$F$10:$F$40,$D1181)&gt;0,"Lễ",IF(IF(THAM_SO_CC!$B$12="T7+CN",WEEKDAY($D1181,2)&gt;=6,WEEKDAY($D1181,2)=7),"Nghỉ tuần","Ngày thường")))</f>
        <v/>
      </c>
      <c r="F1181" s="107" t="n"/>
      <c r="G1181" s="107" t="n"/>
      <c r="H1181" s="107" t="n"/>
      <c r="I1181" s="81" t="n"/>
      <c r="J1181" s="108">
        <f>IF($B1181="","",IF($E1181="Ngày thường",N($G1181),0))</f>
        <v/>
      </c>
      <c r="K1181" s="108">
        <f>IF($B1181="","",IF($E1181="Nghỉ tuần",N($G1181),0))</f>
        <v/>
      </c>
      <c r="L1181" s="108">
        <f>IF($B1181="","",IF($E1181="Lễ",N($G1181),0))</f>
        <v/>
      </c>
      <c r="M1181" s="108">
        <f>IF($B1181="","",IF($E1181="Ngày thường",N($H1181),0))</f>
        <v/>
      </c>
      <c r="N1181" s="108">
        <f>IF($B1181="","",IF($E1181="Nghỉ tuần",N($H1181),0))</f>
        <v/>
      </c>
      <c r="O1181" s="108">
        <f>IF($B1181="","",IF($E1181="Lễ",N($H1181),0))</f>
        <v/>
      </c>
    </row>
    <row r="1182" ht="15" customHeight="1" s="63">
      <c r="A1182" s="85">
        <f>IF($B1182="","",ROW()-5)</f>
        <v/>
      </c>
      <c r="B1182" s="97" t="n"/>
      <c r="C1182" s="96">
        <f>IF($B1182="","",IFERROR(INDEX(DM_NHAN_SU!$C$6:$C$155,MATCH($B1182,DM_NHAN_SU!$B$6:$B$155,0)),"SAI MÃ NV"))</f>
        <v/>
      </c>
      <c r="D1182" s="86" t="n"/>
      <c r="E1182" s="103">
        <f>IF(OR($B1182="",$D1182=""),"",IF(COUNTIF(THAM_SO_CC!$F$10:$F$40,$D1182)&gt;0,"Lễ",IF(IF(THAM_SO_CC!$B$12="T7+CN",WEEKDAY($D1182,2)&gt;=6,WEEKDAY($D1182,2)=7),"Nghỉ tuần","Ngày thường")))</f>
        <v/>
      </c>
      <c r="F1182" s="107" t="n"/>
      <c r="G1182" s="107" t="n"/>
      <c r="H1182" s="107" t="n"/>
      <c r="I1182" s="81" t="n"/>
      <c r="J1182" s="108">
        <f>IF($B1182="","",IF($E1182="Ngày thường",N($G1182),0))</f>
        <v/>
      </c>
      <c r="K1182" s="108">
        <f>IF($B1182="","",IF($E1182="Nghỉ tuần",N($G1182),0))</f>
        <v/>
      </c>
      <c r="L1182" s="108">
        <f>IF($B1182="","",IF($E1182="Lễ",N($G1182),0))</f>
        <v/>
      </c>
      <c r="M1182" s="108">
        <f>IF($B1182="","",IF($E1182="Ngày thường",N($H1182),0))</f>
        <v/>
      </c>
      <c r="N1182" s="108">
        <f>IF($B1182="","",IF($E1182="Nghỉ tuần",N($H1182),0))</f>
        <v/>
      </c>
      <c r="O1182" s="108">
        <f>IF($B1182="","",IF($E1182="Lễ",N($H1182),0))</f>
        <v/>
      </c>
    </row>
    <row r="1183" ht="15" customHeight="1" s="63">
      <c r="A1183" s="85">
        <f>IF($B1183="","",ROW()-5)</f>
        <v/>
      </c>
      <c r="B1183" s="97" t="n"/>
      <c r="C1183" s="96">
        <f>IF($B1183="","",IFERROR(INDEX(DM_NHAN_SU!$C$6:$C$155,MATCH($B1183,DM_NHAN_SU!$B$6:$B$155,0)),"SAI MÃ NV"))</f>
        <v/>
      </c>
      <c r="D1183" s="86" t="n"/>
      <c r="E1183" s="103">
        <f>IF(OR($B1183="",$D1183=""),"",IF(COUNTIF(THAM_SO_CC!$F$10:$F$40,$D1183)&gt;0,"Lễ",IF(IF(THAM_SO_CC!$B$12="T7+CN",WEEKDAY($D1183,2)&gt;=6,WEEKDAY($D1183,2)=7),"Nghỉ tuần","Ngày thường")))</f>
        <v/>
      </c>
      <c r="F1183" s="107" t="n"/>
      <c r="G1183" s="107" t="n"/>
      <c r="H1183" s="107" t="n"/>
      <c r="I1183" s="81" t="n"/>
      <c r="J1183" s="108">
        <f>IF($B1183="","",IF($E1183="Ngày thường",N($G1183),0))</f>
        <v/>
      </c>
      <c r="K1183" s="108">
        <f>IF($B1183="","",IF($E1183="Nghỉ tuần",N($G1183),0))</f>
        <v/>
      </c>
      <c r="L1183" s="108">
        <f>IF($B1183="","",IF($E1183="Lễ",N($G1183),0))</f>
        <v/>
      </c>
      <c r="M1183" s="108">
        <f>IF($B1183="","",IF($E1183="Ngày thường",N($H1183),0))</f>
        <v/>
      </c>
      <c r="N1183" s="108">
        <f>IF($B1183="","",IF($E1183="Nghỉ tuần",N($H1183),0))</f>
        <v/>
      </c>
      <c r="O1183" s="108">
        <f>IF($B1183="","",IF($E1183="Lễ",N($H1183),0))</f>
        <v/>
      </c>
    </row>
    <row r="1184" ht="15" customHeight="1" s="63">
      <c r="A1184" s="85">
        <f>IF($B1184="","",ROW()-5)</f>
        <v/>
      </c>
      <c r="B1184" s="97" t="n"/>
      <c r="C1184" s="96">
        <f>IF($B1184="","",IFERROR(INDEX(DM_NHAN_SU!$C$6:$C$155,MATCH($B1184,DM_NHAN_SU!$B$6:$B$155,0)),"SAI MÃ NV"))</f>
        <v/>
      </c>
      <c r="D1184" s="86" t="n"/>
      <c r="E1184" s="103">
        <f>IF(OR($B1184="",$D1184=""),"",IF(COUNTIF(THAM_SO_CC!$F$10:$F$40,$D1184)&gt;0,"Lễ",IF(IF(THAM_SO_CC!$B$12="T7+CN",WEEKDAY($D1184,2)&gt;=6,WEEKDAY($D1184,2)=7),"Nghỉ tuần","Ngày thường")))</f>
        <v/>
      </c>
      <c r="F1184" s="107" t="n"/>
      <c r="G1184" s="107" t="n"/>
      <c r="H1184" s="107" t="n"/>
      <c r="I1184" s="81" t="n"/>
      <c r="J1184" s="108">
        <f>IF($B1184="","",IF($E1184="Ngày thường",N($G1184),0))</f>
        <v/>
      </c>
      <c r="K1184" s="108">
        <f>IF($B1184="","",IF($E1184="Nghỉ tuần",N($G1184),0))</f>
        <v/>
      </c>
      <c r="L1184" s="108">
        <f>IF($B1184="","",IF($E1184="Lễ",N($G1184),0))</f>
        <v/>
      </c>
      <c r="M1184" s="108">
        <f>IF($B1184="","",IF($E1184="Ngày thường",N($H1184),0))</f>
        <v/>
      </c>
      <c r="N1184" s="108">
        <f>IF($B1184="","",IF($E1184="Nghỉ tuần",N($H1184),0))</f>
        <v/>
      </c>
      <c r="O1184" s="108">
        <f>IF($B1184="","",IF($E1184="Lễ",N($H1184),0))</f>
        <v/>
      </c>
    </row>
    <row r="1185" ht="15" customHeight="1" s="63">
      <c r="A1185" s="85">
        <f>IF($B1185="","",ROW()-5)</f>
        <v/>
      </c>
      <c r="B1185" s="97" t="n"/>
      <c r="C1185" s="96">
        <f>IF($B1185="","",IFERROR(INDEX(DM_NHAN_SU!$C$6:$C$155,MATCH($B1185,DM_NHAN_SU!$B$6:$B$155,0)),"SAI MÃ NV"))</f>
        <v/>
      </c>
      <c r="D1185" s="86" t="n"/>
      <c r="E1185" s="103">
        <f>IF(OR($B1185="",$D1185=""),"",IF(COUNTIF(THAM_SO_CC!$F$10:$F$40,$D1185)&gt;0,"Lễ",IF(IF(THAM_SO_CC!$B$12="T7+CN",WEEKDAY($D1185,2)&gt;=6,WEEKDAY($D1185,2)=7),"Nghỉ tuần","Ngày thường")))</f>
        <v/>
      </c>
      <c r="F1185" s="107" t="n"/>
      <c r="G1185" s="107" t="n"/>
      <c r="H1185" s="107" t="n"/>
      <c r="I1185" s="81" t="n"/>
      <c r="J1185" s="108">
        <f>IF($B1185="","",IF($E1185="Ngày thường",N($G1185),0))</f>
        <v/>
      </c>
      <c r="K1185" s="108">
        <f>IF($B1185="","",IF($E1185="Nghỉ tuần",N($G1185),0))</f>
        <v/>
      </c>
      <c r="L1185" s="108">
        <f>IF($B1185="","",IF($E1185="Lễ",N($G1185),0))</f>
        <v/>
      </c>
      <c r="M1185" s="108">
        <f>IF($B1185="","",IF($E1185="Ngày thường",N($H1185),0))</f>
        <v/>
      </c>
      <c r="N1185" s="108">
        <f>IF($B1185="","",IF($E1185="Nghỉ tuần",N($H1185),0))</f>
        <v/>
      </c>
      <c r="O1185" s="108">
        <f>IF($B1185="","",IF($E1185="Lễ",N($H1185),0))</f>
        <v/>
      </c>
    </row>
    <row r="1186" ht="15" customHeight="1" s="63">
      <c r="A1186" s="85">
        <f>IF($B1186="","",ROW()-5)</f>
        <v/>
      </c>
      <c r="B1186" s="97" t="n"/>
      <c r="C1186" s="96">
        <f>IF($B1186="","",IFERROR(INDEX(DM_NHAN_SU!$C$6:$C$155,MATCH($B1186,DM_NHAN_SU!$B$6:$B$155,0)),"SAI MÃ NV"))</f>
        <v/>
      </c>
      <c r="D1186" s="86" t="n"/>
      <c r="E1186" s="103">
        <f>IF(OR($B1186="",$D1186=""),"",IF(COUNTIF(THAM_SO_CC!$F$10:$F$40,$D1186)&gt;0,"Lễ",IF(IF(THAM_SO_CC!$B$12="T7+CN",WEEKDAY($D1186,2)&gt;=6,WEEKDAY($D1186,2)=7),"Nghỉ tuần","Ngày thường")))</f>
        <v/>
      </c>
      <c r="F1186" s="107" t="n"/>
      <c r="G1186" s="107" t="n"/>
      <c r="H1186" s="107" t="n"/>
      <c r="I1186" s="81" t="n"/>
      <c r="J1186" s="108">
        <f>IF($B1186="","",IF($E1186="Ngày thường",N($G1186),0))</f>
        <v/>
      </c>
      <c r="K1186" s="108">
        <f>IF($B1186="","",IF($E1186="Nghỉ tuần",N($G1186),0))</f>
        <v/>
      </c>
      <c r="L1186" s="108">
        <f>IF($B1186="","",IF($E1186="Lễ",N($G1186),0))</f>
        <v/>
      </c>
      <c r="M1186" s="108">
        <f>IF($B1186="","",IF($E1186="Ngày thường",N($H1186),0))</f>
        <v/>
      </c>
      <c r="N1186" s="108">
        <f>IF($B1186="","",IF($E1186="Nghỉ tuần",N($H1186),0))</f>
        <v/>
      </c>
      <c r="O1186" s="108">
        <f>IF($B1186="","",IF($E1186="Lễ",N($H1186),0))</f>
        <v/>
      </c>
    </row>
    <row r="1187" ht="15" customHeight="1" s="63">
      <c r="A1187" s="85">
        <f>IF($B1187="","",ROW()-5)</f>
        <v/>
      </c>
      <c r="B1187" s="97" t="n"/>
      <c r="C1187" s="96">
        <f>IF($B1187="","",IFERROR(INDEX(DM_NHAN_SU!$C$6:$C$155,MATCH($B1187,DM_NHAN_SU!$B$6:$B$155,0)),"SAI MÃ NV"))</f>
        <v/>
      </c>
      <c r="D1187" s="86" t="n"/>
      <c r="E1187" s="103">
        <f>IF(OR($B1187="",$D1187=""),"",IF(COUNTIF(THAM_SO_CC!$F$10:$F$40,$D1187)&gt;0,"Lễ",IF(IF(THAM_SO_CC!$B$12="T7+CN",WEEKDAY($D1187,2)&gt;=6,WEEKDAY($D1187,2)=7),"Nghỉ tuần","Ngày thường")))</f>
        <v/>
      </c>
      <c r="F1187" s="107" t="n"/>
      <c r="G1187" s="107" t="n"/>
      <c r="H1187" s="107" t="n"/>
      <c r="I1187" s="81" t="n"/>
      <c r="J1187" s="108">
        <f>IF($B1187="","",IF($E1187="Ngày thường",N($G1187),0))</f>
        <v/>
      </c>
      <c r="K1187" s="108">
        <f>IF($B1187="","",IF($E1187="Nghỉ tuần",N($G1187),0))</f>
        <v/>
      </c>
      <c r="L1187" s="108">
        <f>IF($B1187="","",IF($E1187="Lễ",N($G1187),0))</f>
        <v/>
      </c>
      <c r="M1187" s="108">
        <f>IF($B1187="","",IF($E1187="Ngày thường",N($H1187),0))</f>
        <v/>
      </c>
      <c r="N1187" s="108">
        <f>IF($B1187="","",IF($E1187="Nghỉ tuần",N($H1187),0))</f>
        <v/>
      </c>
      <c r="O1187" s="108">
        <f>IF($B1187="","",IF($E1187="Lễ",N($H1187),0))</f>
        <v/>
      </c>
    </row>
    <row r="1188" ht="15" customHeight="1" s="63">
      <c r="A1188" s="85">
        <f>IF($B1188="","",ROW()-5)</f>
        <v/>
      </c>
      <c r="B1188" s="97" t="n"/>
      <c r="C1188" s="96">
        <f>IF($B1188="","",IFERROR(INDEX(DM_NHAN_SU!$C$6:$C$155,MATCH($B1188,DM_NHAN_SU!$B$6:$B$155,0)),"SAI MÃ NV"))</f>
        <v/>
      </c>
      <c r="D1188" s="86" t="n"/>
      <c r="E1188" s="103">
        <f>IF(OR($B1188="",$D1188=""),"",IF(COUNTIF(THAM_SO_CC!$F$10:$F$40,$D1188)&gt;0,"Lễ",IF(IF(THAM_SO_CC!$B$12="T7+CN",WEEKDAY($D1188,2)&gt;=6,WEEKDAY($D1188,2)=7),"Nghỉ tuần","Ngày thường")))</f>
        <v/>
      </c>
      <c r="F1188" s="107" t="n"/>
      <c r="G1188" s="107" t="n"/>
      <c r="H1188" s="107" t="n"/>
      <c r="I1188" s="81" t="n"/>
      <c r="J1188" s="108">
        <f>IF($B1188="","",IF($E1188="Ngày thường",N($G1188),0))</f>
        <v/>
      </c>
      <c r="K1188" s="108">
        <f>IF($B1188="","",IF($E1188="Nghỉ tuần",N($G1188),0))</f>
        <v/>
      </c>
      <c r="L1188" s="108">
        <f>IF($B1188="","",IF($E1188="Lễ",N($G1188),0))</f>
        <v/>
      </c>
      <c r="M1188" s="108">
        <f>IF($B1188="","",IF($E1188="Ngày thường",N($H1188),0))</f>
        <v/>
      </c>
      <c r="N1188" s="108">
        <f>IF($B1188="","",IF($E1188="Nghỉ tuần",N($H1188),0))</f>
        <v/>
      </c>
      <c r="O1188" s="108">
        <f>IF($B1188="","",IF($E1188="Lễ",N($H1188),0))</f>
        <v/>
      </c>
    </row>
    <row r="1189" ht="15" customHeight="1" s="63">
      <c r="A1189" s="85">
        <f>IF($B1189="","",ROW()-5)</f>
        <v/>
      </c>
      <c r="B1189" s="97" t="n"/>
      <c r="C1189" s="96">
        <f>IF($B1189="","",IFERROR(INDEX(DM_NHAN_SU!$C$6:$C$155,MATCH($B1189,DM_NHAN_SU!$B$6:$B$155,0)),"SAI MÃ NV"))</f>
        <v/>
      </c>
      <c r="D1189" s="86" t="n"/>
      <c r="E1189" s="103">
        <f>IF(OR($B1189="",$D1189=""),"",IF(COUNTIF(THAM_SO_CC!$F$10:$F$40,$D1189)&gt;0,"Lễ",IF(IF(THAM_SO_CC!$B$12="T7+CN",WEEKDAY($D1189,2)&gt;=6,WEEKDAY($D1189,2)=7),"Nghỉ tuần","Ngày thường")))</f>
        <v/>
      </c>
      <c r="F1189" s="107" t="n"/>
      <c r="G1189" s="107" t="n"/>
      <c r="H1189" s="107" t="n"/>
      <c r="I1189" s="81" t="n"/>
      <c r="J1189" s="108">
        <f>IF($B1189="","",IF($E1189="Ngày thường",N($G1189),0))</f>
        <v/>
      </c>
      <c r="K1189" s="108">
        <f>IF($B1189="","",IF($E1189="Nghỉ tuần",N($G1189),0))</f>
        <v/>
      </c>
      <c r="L1189" s="108">
        <f>IF($B1189="","",IF($E1189="Lễ",N($G1189),0))</f>
        <v/>
      </c>
      <c r="M1189" s="108">
        <f>IF($B1189="","",IF($E1189="Ngày thường",N($H1189),0))</f>
        <v/>
      </c>
      <c r="N1189" s="108">
        <f>IF($B1189="","",IF($E1189="Nghỉ tuần",N($H1189),0))</f>
        <v/>
      </c>
      <c r="O1189" s="108">
        <f>IF($B1189="","",IF($E1189="Lễ",N($H1189),0))</f>
        <v/>
      </c>
    </row>
    <row r="1190" ht="15" customHeight="1" s="63">
      <c r="A1190" s="85">
        <f>IF($B1190="","",ROW()-5)</f>
        <v/>
      </c>
      <c r="B1190" s="97" t="n"/>
      <c r="C1190" s="96">
        <f>IF($B1190="","",IFERROR(INDEX(DM_NHAN_SU!$C$6:$C$155,MATCH($B1190,DM_NHAN_SU!$B$6:$B$155,0)),"SAI MÃ NV"))</f>
        <v/>
      </c>
      <c r="D1190" s="86" t="n"/>
      <c r="E1190" s="103">
        <f>IF(OR($B1190="",$D1190=""),"",IF(COUNTIF(THAM_SO_CC!$F$10:$F$40,$D1190)&gt;0,"Lễ",IF(IF(THAM_SO_CC!$B$12="T7+CN",WEEKDAY($D1190,2)&gt;=6,WEEKDAY($D1190,2)=7),"Nghỉ tuần","Ngày thường")))</f>
        <v/>
      </c>
      <c r="F1190" s="107" t="n"/>
      <c r="G1190" s="107" t="n"/>
      <c r="H1190" s="107" t="n"/>
      <c r="I1190" s="81" t="n"/>
      <c r="J1190" s="108">
        <f>IF($B1190="","",IF($E1190="Ngày thường",N($G1190),0))</f>
        <v/>
      </c>
      <c r="K1190" s="108">
        <f>IF($B1190="","",IF($E1190="Nghỉ tuần",N($G1190),0))</f>
        <v/>
      </c>
      <c r="L1190" s="108">
        <f>IF($B1190="","",IF($E1190="Lễ",N($G1190),0))</f>
        <v/>
      </c>
      <c r="M1190" s="108">
        <f>IF($B1190="","",IF($E1190="Ngày thường",N($H1190),0))</f>
        <v/>
      </c>
      <c r="N1190" s="108">
        <f>IF($B1190="","",IF($E1190="Nghỉ tuần",N($H1190),0))</f>
        <v/>
      </c>
      <c r="O1190" s="108">
        <f>IF($B1190="","",IF($E1190="Lễ",N($H1190),0))</f>
        <v/>
      </c>
    </row>
    <row r="1191" ht="15" customHeight="1" s="63">
      <c r="A1191" s="85">
        <f>IF($B1191="","",ROW()-5)</f>
        <v/>
      </c>
      <c r="B1191" s="97" t="n"/>
      <c r="C1191" s="96">
        <f>IF($B1191="","",IFERROR(INDEX(DM_NHAN_SU!$C$6:$C$155,MATCH($B1191,DM_NHAN_SU!$B$6:$B$155,0)),"SAI MÃ NV"))</f>
        <v/>
      </c>
      <c r="D1191" s="86" t="n"/>
      <c r="E1191" s="103">
        <f>IF(OR($B1191="",$D1191=""),"",IF(COUNTIF(THAM_SO_CC!$F$10:$F$40,$D1191)&gt;0,"Lễ",IF(IF(THAM_SO_CC!$B$12="T7+CN",WEEKDAY($D1191,2)&gt;=6,WEEKDAY($D1191,2)=7),"Nghỉ tuần","Ngày thường")))</f>
        <v/>
      </c>
      <c r="F1191" s="107" t="n"/>
      <c r="G1191" s="107" t="n"/>
      <c r="H1191" s="107" t="n"/>
      <c r="I1191" s="81" t="n"/>
      <c r="J1191" s="108">
        <f>IF($B1191="","",IF($E1191="Ngày thường",N($G1191),0))</f>
        <v/>
      </c>
      <c r="K1191" s="108">
        <f>IF($B1191="","",IF($E1191="Nghỉ tuần",N($G1191),0))</f>
        <v/>
      </c>
      <c r="L1191" s="108">
        <f>IF($B1191="","",IF($E1191="Lễ",N($G1191),0))</f>
        <v/>
      </c>
      <c r="M1191" s="108">
        <f>IF($B1191="","",IF($E1191="Ngày thường",N($H1191),0))</f>
        <v/>
      </c>
      <c r="N1191" s="108">
        <f>IF($B1191="","",IF($E1191="Nghỉ tuần",N($H1191),0))</f>
        <v/>
      </c>
      <c r="O1191" s="108">
        <f>IF($B1191="","",IF($E1191="Lễ",N($H1191),0))</f>
        <v/>
      </c>
    </row>
    <row r="1192" ht="15" customHeight="1" s="63">
      <c r="A1192" s="85">
        <f>IF($B1192="","",ROW()-5)</f>
        <v/>
      </c>
      <c r="B1192" s="97" t="n"/>
      <c r="C1192" s="96">
        <f>IF($B1192="","",IFERROR(INDEX(DM_NHAN_SU!$C$6:$C$155,MATCH($B1192,DM_NHAN_SU!$B$6:$B$155,0)),"SAI MÃ NV"))</f>
        <v/>
      </c>
      <c r="D1192" s="86" t="n"/>
      <c r="E1192" s="103">
        <f>IF(OR($B1192="",$D1192=""),"",IF(COUNTIF(THAM_SO_CC!$F$10:$F$40,$D1192)&gt;0,"Lễ",IF(IF(THAM_SO_CC!$B$12="T7+CN",WEEKDAY($D1192,2)&gt;=6,WEEKDAY($D1192,2)=7),"Nghỉ tuần","Ngày thường")))</f>
        <v/>
      </c>
      <c r="F1192" s="107" t="n"/>
      <c r="G1192" s="107" t="n"/>
      <c r="H1192" s="107" t="n"/>
      <c r="I1192" s="81" t="n"/>
      <c r="J1192" s="108">
        <f>IF($B1192="","",IF($E1192="Ngày thường",N($G1192),0))</f>
        <v/>
      </c>
      <c r="K1192" s="108">
        <f>IF($B1192="","",IF($E1192="Nghỉ tuần",N($G1192),0))</f>
        <v/>
      </c>
      <c r="L1192" s="108">
        <f>IF($B1192="","",IF($E1192="Lễ",N($G1192),0))</f>
        <v/>
      </c>
      <c r="M1192" s="108">
        <f>IF($B1192="","",IF($E1192="Ngày thường",N($H1192),0))</f>
        <v/>
      </c>
      <c r="N1192" s="108">
        <f>IF($B1192="","",IF($E1192="Nghỉ tuần",N($H1192),0))</f>
        <v/>
      </c>
      <c r="O1192" s="108">
        <f>IF($B1192="","",IF($E1192="Lễ",N($H1192),0))</f>
        <v/>
      </c>
    </row>
    <row r="1193" ht="15" customHeight="1" s="63">
      <c r="A1193" s="85">
        <f>IF($B1193="","",ROW()-5)</f>
        <v/>
      </c>
      <c r="B1193" s="97" t="n"/>
      <c r="C1193" s="96">
        <f>IF($B1193="","",IFERROR(INDEX(DM_NHAN_SU!$C$6:$C$155,MATCH($B1193,DM_NHAN_SU!$B$6:$B$155,0)),"SAI MÃ NV"))</f>
        <v/>
      </c>
      <c r="D1193" s="86" t="n"/>
      <c r="E1193" s="103">
        <f>IF(OR($B1193="",$D1193=""),"",IF(COUNTIF(THAM_SO_CC!$F$10:$F$40,$D1193)&gt;0,"Lễ",IF(IF(THAM_SO_CC!$B$12="T7+CN",WEEKDAY($D1193,2)&gt;=6,WEEKDAY($D1193,2)=7),"Nghỉ tuần","Ngày thường")))</f>
        <v/>
      </c>
      <c r="F1193" s="107" t="n"/>
      <c r="G1193" s="107" t="n"/>
      <c r="H1193" s="107" t="n"/>
      <c r="I1193" s="81" t="n"/>
      <c r="J1193" s="108">
        <f>IF($B1193="","",IF($E1193="Ngày thường",N($G1193),0))</f>
        <v/>
      </c>
      <c r="K1193" s="108">
        <f>IF($B1193="","",IF($E1193="Nghỉ tuần",N($G1193),0))</f>
        <v/>
      </c>
      <c r="L1193" s="108">
        <f>IF($B1193="","",IF($E1193="Lễ",N($G1193),0))</f>
        <v/>
      </c>
      <c r="M1193" s="108">
        <f>IF($B1193="","",IF($E1193="Ngày thường",N($H1193),0))</f>
        <v/>
      </c>
      <c r="N1193" s="108">
        <f>IF($B1193="","",IF($E1193="Nghỉ tuần",N($H1193),0))</f>
        <v/>
      </c>
      <c r="O1193" s="108">
        <f>IF($B1193="","",IF($E1193="Lễ",N($H1193),0))</f>
        <v/>
      </c>
    </row>
    <row r="1194" ht="15" customHeight="1" s="63">
      <c r="A1194" s="85">
        <f>IF($B1194="","",ROW()-5)</f>
        <v/>
      </c>
      <c r="B1194" s="97" t="n"/>
      <c r="C1194" s="96">
        <f>IF($B1194="","",IFERROR(INDEX(DM_NHAN_SU!$C$6:$C$155,MATCH($B1194,DM_NHAN_SU!$B$6:$B$155,0)),"SAI MÃ NV"))</f>
        <v/>
      </c>
      <c r="D1194" s="86" t="n"/>
      <c r="E1194" s="103">
        <f>IF(OR($B1194="",$D1194=""),"",IF(COUNTIF(THAM_SO_CC!$F$10:$F$40,$D1194)&gt;0,"Lễ",IF(IF(THAM_SO_CC!$B$12="T7+CN",WEEKDAY($D1194,2)&gt;=6,WEEKDAY($D1194,2)=7),"Nghỉ tuần","Ngày thường")))</f>
        <v/>
      </c>
      <c r="F1194" s="107" t="n"/>
      <c r="G1194" s="107" t="n"/>
      <c r="H1194" s="107" t="n"/>
      <c r="I1194" s="81" t="n"/>
      <c r="J1194" s="108">
        <f>IF($B1194="","",IF($E1194="Ngày thường",N($G1194),0))</f>
        <v/>
      </c>
      <c r="K1194" s="108">
        <f>IF($B1194="","",IF($E1194="Nghỉ tuần",N($G1194),0))</f>
        <v/>
      </c>
      <c r="L1194" s="108">
        <f>IF($B1194="","",IF($E1194="Lễ",N($G1194),0))</f>
        <v/>
      </c>
      <c r="M1194" s="108">
        <f>IF($B1194="","",IF($E1194="Ngày thường",N($H1194),0))</f>
        <v/>
      </c>
      <c r="N1194" s="108">
        <f>IF($B1194="","",IF($E1194="Nghỉ tuần",N($H1194),0))</f>
        <v/>
      </c>
      <c r="O1194" s="108">
        <f>IF($B1194="","",IF($E1194="Lễ",N($H1194),0))</f>
        <v/>
      </c>
    </row>
    <row r="1195" ht="15" customHeight="1" s="63">
      <c r="A1195" s="85">
        <f>IF($B1195="","",ROW()-5)</f>
        <v/>
      </c>
      <c r="B1195" s="97" t="n"/>
      <c r="C1195" s="96">
        <f>IF($B1195="","",IFERROR(INDEX(DM_NHAN_SU!$C$6:$C$155,MATCH($B1195,DM_NHAN_SU!$B$6:$B$155,0)),"SAI MÃ NV"))</f>
        <v/>
      </c>
      <c r="D1195" s="86" t="n"/>
      <c r="E1195" s="103">
        <f>IF(OR($B1195="",$D1195=""),"",IF(COUNTIF(THAM_SO_CC!$F$10:$F$40,$D1195)&gt;0,"Lễ",IF(IF(THAM_SO_CC!$B$12="T7+CN",WEEKDAY($D1195,2)&gt;=6,WEEKDAY($D1195,2)=7),"Nghỉ tuần","Ngày thường")))</f>
        <v/>
      </c>
      <c r="F1195" s="107" t="n"/>
      <c r="G1195" s="107" t="n"/>
      <c r="H1195" s="107" t="n"/>
      <c r="I1195" s="81" t="n"/>
      <c r="J1195" s="108">
        <f>IF($B1195="","",IF($E1195="Ngày thường",N($G1195),0))</f>
        <v/>
      </c>
      <c r="K1195" s="108">
        <f>IF($B1195="","",IF($E1195="Nghỉ tuần",N($G1195),0))</f>
        <v/>
      </c>
      <c r="L1195" s="108">
        <f>IF($B1195="","",IF($E1195="Lễ",N($G1195),0))</f>
        <v/>
      </c>
      <c r="M1195" s="108">
        <f>IF($B1195="","",IF($E1195="Ngày thường",N($H1195),0))</f>
        <v/>
      </c>
      <c r="N1195" s="108">
        <f>IF($B1195="","",IF($E1195="Nghỉ tuần",N($H1195),0))</f>
        <v/>
      </c>
      <c r="O1195" s="108">
        <f>IF($B1195="","",IF($E1195="Lễ",N($H1195),0))</f>
        <v/>
      </c>
    </row>
    <row r="1196" ht="15" customHeight="1" s="63">
      <c r="A1196" s="85">
        <f>IF($B1196="","",ROW()-5)</f>
        <v/>
      </c>
      <c r="B1196" s="97" t="n"/>
      <c r="C1196" s="96">
        <f>IF($B1196="","",IFERROR(INDEX(DM_NHAN_SU!$C$6:$C$155,MATCH($B1196,DM_NHAN_SU!$B$6:$B$155,0)),"SAI MÃ NV"))</f>
        <v/>
      </c>
      <c r="D1196" s="86" t="n"/>
      <c r="E1196" s="103">
        <f>IF(OR($B1196="",$D1196=""),"",IF(COUNTIF(THAM_SO_CC!$F$10:$F$40,$D1196)&gt;0,"Lễ",IF(IF(THAM_SO_CC!$B$12="T7+CN",WEEKDAY($D1196,2)&gt;=6,WEEKDAY($D1196,2)=7),"Nghỉ tuần","Ngày thường")))</f>
        <v/>
      </c>
      <c r="F1196" s="107" t="n"/>
      <c r="G1196" s="107" t="n"/>
      <c r="H1196" s="107" t="n"/>
      <c r="I1196" s="81" t="n"/>
      <c r="J1196" s="108">
        <f>IF($B1196="","",IF($E1196="Ngày thường",N($G1196),0))</f>
        <v/>
      </c>
      <c r="K1196" s="108">
        <f>IF($B1196="","",IF($E1196="Nghỉ tuần",N($G1196),0))</f>
        <v/>
      </c>
      <c r="L1196" s="108">
        <f>IF($B1196="","",IF($E1196="Lễ",N($G1196),0))</f>
        <v/>
      </c>
      <c r="M1196" s="108">
        <f>IF($B1196="","",IF($E1196="Ngày thường",N($H1196),0))</f>
        <v/>
      </c>
      <c r="N1196" s="108">
        <f>IF($B1196="","",IF($E1196="Nghỉ tuần",N($H1196),0))</f>
        <v/>
      </c>
      <c r="O1196" s="108">
        <f>IF($B1196="","",IF($E1196="Lễ",N($H1196),0))</f>
        <v/>
      </c>
    </row>
    <row r="1197" ht="15" customHeight="1" s="63">
      <c r="A1197" s="85">
        <f>IF($B1197="","",ROW()-5)</f>
        <v/>
      </c>
      <c r="B1197" s="97" t="n"/>
      <c r="C1197" s="96">
        <f>IF($B1197="","",IFERROR(INDEX(DM_NHAN_SU!$C$6:$C$155,MATCH($B1197,DM_NHAN_SU!$B$6:$B$155,0)),"SAI MÃ NV"))</f>
        <v/>
      </c>
      <c r="D1197" s="86" t="n"/>
      <c r="E1197" s="103">
        <f>IF(OR($B1197="",$D1197=""),"",IF(COUNTIF(THAM_SO_CC!$F$10:$F$40,$D1197)&gt;0,"Lễ",IF(IF(THAM_SO_CC!$B$12="T7+CN",WEEKDAY($D1197,2)&gt;=6,WEEKDAY($D1197,2)=7),"Nghỉ tuần","Ngày thường")))</f>
        <v/>
      </c>
      <c r="F1197" s="107" t="n"/>
      <c r="G1197" s="107" t="n"/>
      <c r="H1197" s="107" t="n"/>
      <c r="I1197" s="81" t="n"/>
      <c r="J1197" s="108">
        <f>IF($B1197="","",IF($E1197="Ngày thường",N($G1197),0))</f>
        <v/>
      </c>
      <c r="K1197" s="108">
        <f>IF($B1197="","",IF($E1197="Nghỉ tuần",N($G1197),0))</f>
        <v/>
      </c>
      <c r="L1197" s="108">
        <f>IF($B1197="","",IF($E1197="Lễ",N($G1197),0))</f>
        <v/>
      </c>
      <c r="M1197" s="108">
        <f>IF($B1197="","",IF($E1197="Ngày thường",N($H1197),0))</f>
        <v/>
      </c>
      <c r="N1197" s="108">
        <f>IF($B1197="","",IF($E1197="Nghỉ tuần",N($H1197),0))</f>
        <v/>
      </c>
      <c r="O1197" s="108">
        <f>IF($B1197="","",IF($E1197="Lễ",N($H1197),0))</f>
        <v/>
      </c>
    </row>
    <row r="1198" ht="15" customHeight="1" s="63">
      <c r="A1198" s="85">
        <f>IF($B1198="","",ROW()-5)</f>
        <v/>
      </c>
      <c r="B1198" s="97" t="n"/>
      <c r="C1198" s="96">
        <f>IF($B1198="","",IFERROR(INDEX(DM_NHAN_SU!$C$6:$C$155,MATCH($B1198,DM_NHAN_SU!$B$6:$B$155,0)),"SAI MÃ NV"))</f>
        <v/>
      </c>
      <c r="D1198" s="86" t="n"/>
      <c r="E1198" s="103">
        <f>IF(OR($B1198="",$D1198=""),"",IF(COUNTIF(THAM_SO_CC!$F$10:$F$40,$D1198)&gt;0,"Lễ",IF(IF(THAM_SO_CC!$B$12="T7+CN",WEEKDAY($D1198,2)&gt;=6,WEEKDAY($D1198,2)=7),"Nghỉ tuần","Ngày thường")))</f>
        <v/>
      </c>
      <c r="F1198" s="107" t="n"/>
      <c r="G1198" s="107" t="n"/>
      <c r="H1198" s="107" t="n"/>
      <c r="I1198" s="81" t="n"/>
      <c r="J1198" s="108">
        <f>IF($B1198="","",IF($E1198="Ngày thường",N($G1198),0))</f>
        <v/>
      </c>
      <c r="K1198" s="108">
        <f>IF($B1198="","",IF($E1198="Nghỉ tuần",N($G1198),0))</f>
        <v/>
      </c>
      <c r="L1198" s="108">
        <f>IF($B1198="","",IF($E1198="Lễ",N($G1198),0))</f>
        <v/>
      </c>
      <c r="M1198" s="108">
        <f>IF($B1198="","",IF($E1198="Ngày thường",N($H1198),0))</f>
        <v/>
      </c>
      <c r="N1198" s="108">
        <f>IF($B1198="","",IF($E1198="Nghỉ tuần",N($H1198),0))</f>
        <v/>
      </c>
      <c r="O1198" s="108">
        <f>IF($B1198="","",IF($E1198="Lễ",N($H1198),0))</f>
        <v/>
      </c>
    </row>
    <row r="1199" ht="15" customHeight="1" s="63">
      <c r="A1199" s="85">
        <f>IF($B1199="","",ROW()-5)</f>
        <v/>
      </c>
      <c r="B1199" s="97" t="n"/>
      <c r="C1199" s="96">
        <f>IF($B1199="","",IFERROR(INDEX(DM_NHAN_SU!$C$6:$C$155,MATCH($B1199,DM_NHAN_SU!$B$6:$B$155,0)),"SAI MÃ NV"))</f>
        <v/>
      </c>
      <c r="D1199" s="86" t="n"/>
      <c r="E1199" s="103">
        <f>IF(OR($B1199="",$D1199=""),"",IF(COUNTIF(THAM_SO_CC!$F$10:$F$40,$D1199)&gt;0,"Lễ",IF(IF(THAM_SO_CC!$B$12="T7+CN",WEEKDAY($D1199,2)&gt;=6,WEEKDAY($D1199,2)=7),"Nghỉ tuần","Ngày thường")))</f>
        <v/>
      </c>
      <c r="F1199" s="107" t="n"/>
      <c r="G1199" s="107" t="n"/>
      <c r="H1199" s="107" t="n"/>
      <c r="I1199" s="81" t="n"/>
      <c r="J1199" s="108">
        <f>IF($B1199="","",IF($E1199="Ngày thường",N($G1199),0))</f>
        <v/>
      </c>
      <c r="K1199" s="108">
        <f>IF($B1199="","",IF($E1199="Nghỉ tuần",N($G1199),0))</f>
        <v/>
      </c>
      <c r="L1199" s="108">
        <f>IF($B1199="","",IF($E1199="Lễ",N($G1199),0))</f>
        <v/>
      </c>
      <c r="M1199" s="108">
        <f>IF($B1199="","",IF($E1199="Ngày thường",N($H1199),0))</f>
        <v/>
      </c>
      <c r="N1199" s="108">
        <f>IF($B1199="","",IF($E1199="Nghỉ tuần",N($H1199),0))</f>
        <v/>
      </c>
      <c r="O1199" s="108">
        <f>IF($B1199="","",IF($E1199="Lễ",N($H1199),0))</f>
        <v/>
      </c>
    </row>
    <row r="1200" ht="15" customHeight="1" s="63">
      <c r="A1200" s="85">
        <f>IF($B1200="","",ROW()-5)</f>
        <v/>
      </c>
      <c r="B1200" s="97" t="n"/>
      <c r="C1200" s="96">
        <f>IF($B1200="","",IFERROR(INDEX(DM_NHAN_SU!$C$6:$C$155,MATCH($B1200,DM_NHAN_SU!$B$6:$B$155,0)),"SAI MÃ NV"))</f>
        <v/>
      </c>
      <c r="D1200" s="86" t="n"/>
      <c r="E1200" s="103">
        <f>IF(OR($B1200="",$D1200=""),"",IF(COUNTIF(THAM_SO_CC!$F$10:$F$40,$D1200)&gt;0,"Lễ",IF(IF(THAM_SO_CC!$B$12="T7+CN",WEEKDAY($D1200,2)&gt;=6,WEEKDAY($D1200,2)=7),"Nghỉ tuần","Ngày thường")))</f>
        <v/>
      </c>
      <c r="F1200" s="107" t="n"/>
      <c r="G1200" s="107" t="n"/>
      <c r="H1200" s="107" t="n"/>
      <c r="I1200" s="81" t="n"/>
      <c r="J1200" s="108">
        <f>IF($B1200="","",IF($E1200="Ngày thường",N($G1200),0))</f>
        <v/>
      </c>
      <c r="K1200" s="108">
        <f>IF($B1200="","",IF($E1200="Nghỉ tuần",N($G1200),0))</f>
        <v/>
      </c>
      <c r="L1200" s="108">
        <f>IF($B1200="","",IF($E1200="Lễ",N($G1200),0))</f>
        <v/>
      </c>
      <c r="M1200" s="108">
        <f>IF($B1200="","",IF($E1200="Ngày thường",N($H1200),0))</f>
        <v/>
      </c>
      <c r="N1200" s="108">
        <f>IF($B1200="","",IF($E1200="Nghỉ tuần",N($H1200),0))</f>
        <v/>
      </c>
      <c r="O1200" s="108">
        <f>IF($B1200="","",IF($E1200="Lễ",N($H1200),0))</f>
        <v/>
      </c>
    </row>
    <row r="1201" ht="15" customHeight="1" s="63">
      <c r="A1201" s="85">
        <f>IF($B1201="","",ROW()-5)</f>
        <v/>
      </c>
      <c r="B1201" s="97" t="n"/>
      <c r="C1201" s="96">
        <f>IF($B1201="","",IFERROR(INDEX(DM_NHAN_SU!$C$6:$C$155,MATCH($B1201,DM_NHAN_SU!$B$6:$B$155,0)),"SAI MÃ NV"))</f>
        <v/>
      </c>
      <c r="D1201" s="86" t="n"/>
      <c r="E1201" s="103">
        <f>IF(OR($B1201="",$D1201=""),"",IF(COUNTIF(THAM_SO_CC!$F$10:$F$40,$D1201)&gt;0,"Lễ",IF(IF(THAM_SO_CC!$B$12="T7+CN",WEEKDAY($D1201,2)&gt;=6,WEEKDAY($D1201,2)=7),"Nghỉ tuần","Ngày thường")))</f>
        <v/>
      </c>
      <c r="F1201" s="107" t="n"/>
      <c r="G1201" s="107" t="n"/>
      <c r="H1201" s="107" t="n"/>
      <c r="I1201" s="81" t="n"/>
      <c r="J1201" s="108">
        <f>IF($B1201="","",IF($E1201="Ngày thường",N($G1201),0))</f>
        <v/>
      </c>
      <c r="K1201" s="108">
        <f>IF($B1201="","",IF($E1201="Nghỉ tuần",N($G1201),0))</f>
        <v/>
      </c>
      <c r="L1201" s="108">
        <f>IF($B1201="","",IF($E1201="Lễ",N($G1201),0))</f>
        <v/>
      </c>
      <c r="M1201" s="108">
        <f>IF($B1201="","",IF($E1201="Ngày thường",N($H1201),0))</f>
        <v/>
      </c>
      <c r="N1201" s="108">
        <f>IF($B1201="","",IF($E1201="Nghỉ tuần",N($H1201),0))</f>
        <v/>
      </c>
      <c r="O1201" s="108">
        <f>IF($B1201="","",IF($E1201="Lễ",N($H1201),0))</f>
        <v/>
      </c>
    </row>
    <row r="1202" ht="15" customHeight="1" s="63">
      <c r="A1202" s="85">
        <f>IF($B1202="","",ROW()-5)</f>
        <v/>
      </c>
      <c r="B1202" s="97" t="n"/>
      <c r="C1202" s="96">
        <f>IF($B1202="","",IFERROR(INDEX(DM_NHAN_SU!$C$6:$C$155,MATCH($B1202,DM_NHAN_SU!$B$6:$B$155,0)),"SAI MÃ NV"))</f>
        <v/>
      </c>
      <c r="D1202" s="86" t="n"/>
      <c r="E1202" s="103">
        <f>IF(OR($B1202="",$D1202=""),"",IF(COUNTIF(THAM_SO_CC!$F$10:$F$40,$D1202)&gt;0,"Lễ",IF(IF(THAM_SO_CC!$B$12="T7+CN",WEEKDAY($D1202,2)&gt;=6,WEEKDAY($D1202,2)=7),"Nghỉ tuần","Ngày thường")))</f>
        <v/>
      </c>
      <c r="F1202" s="107" t="n"/>
      <c r="G1202" s="107" t="n"/>
      <c r="H1202" s="107" t="n"/>
      <c r="I1202" s="81" t="n"/>
      <c r="J1202" s="108">
        <f>IF($B1202="","",IF($E1202="Ngày thường",N($G1202),0))</f>
        <v/>
      </c>
      <c r="K1202" s="108">
        <f>IF($B1202="","",IF($E1202="Nghỉ tuần",N($G1202),0))</f>
        <v/>
      </c>
      <c r="L1202" s="108">
        <f>IF($B1202="","",IF($E1202="Lễ",N($G1202),0))</f>
        <v/>
      </c>
      <c r="M1202" s="108">
        <f>IF($B1202="","",IF($E1202="Ngày thường",N($H1202),0))</f>
        <v/>
      </c>
      <c r="N1202" s="108">
        <f>IF($B1202="","",IF($E1202="Nghỉ tuần",N($H1202),0))</f>
        <v/>
      </c>
      <c r="O1202" s="108">
        <f>IF($B1202="","",IF($E1202="Lễ",N($H1202),0))</f>
        <v/>
      </c>
    </row>
    <row r="1203" ht="15" customHeight="1" s="63">
      <c r="A1203" s="85">
        <f>IF($B1203="","",ROW()-5)</f>
        <v/>
      </c>
      <c r="B1203" s="97" t="n"/>
      <c r="C1203" s="96">
        <f>IF($B1203="","",IFERROR(INDEX(DM_NHAN_SU!$C$6:$C$155,MATCH($B1203,DM_NHAN_SU!$B$6:$B$155,0)),"SAI MÃ NV"))</f>
        <v/>
      </c>
      <c r="D1203" s="86" t="n"/>
      <c r="E1203" s="103">
        <f>IF(OR($B1203="",$D1203=""),"",IF(COUNTIF(THAM_SO_CC!$F$10:$F$40,$D1203)&gt;0,"Lễ",IF(IF(THAM_SO_CC!$B$12="T7+CN",WEEKDAY($D1203,2)&gt;=6,WEEKDAY($D1203,2)=7),"Nghỉ tuần","Ngày thường")))</f>
        <v/>
      </c>
      <c r="F1203" s="107" t="n"/>
      <c r="G1203" s="107" t="n"/>
      <c r="H1203" s="107" t="n"/>
      <c r="I1203" s="81" t="n"/>
      <c r="J1203" s="108">
        <f>IF($B1203="","",IF($E1203="Ngày thường",N($G1203),0))</f>
        <v/>
      </c>
      <c r="K1203" s="108">
        <f>IF($B1203="","",IF($E1203="Nghỉ tuần",N($G1203),0))</f>
        <v/>
      </c>
      <c r="L1203" s="108">
        <f>IF($B1203="","",IF($E1203="Lễ",N($G1203),0))</f>
        <v/>
      </c>
      <c r="M1203" s="108">
        <f>IF($B1203="","",IF($E1203="Ngày thường",N($H1203),0))</f>
        <v/>
      </c>
      <c r="N1203" s="108">
        <f>IF($B1203="","",IF($E1203="Nghỉ tuần",N($H1203),0))</f>
        <v/>
      </c>
      <c r="O1203" s="108">
        <f>IF($B1203="","",IF($E1203="Lễ",N($H1203),0))</f>
        <v/>
      </c>
    </row>
    <row r="1204" ht="15" customHeight="1" s="63">
      <c r="A1204" s="85">
        <f>IF($B1204="","",ROW()-5)</f>
        <v/>
      </c>
      <c r="B1204" s="97" t="n"/>
      <c r="C1204" s="96">
        <f>IF($B1204="","",IFERROR(INDEX(DM_NHAN_SU!$C$6:$C$155,MATCH($B1204,DM_NHAN_SU!$B$6:$B$155,0)),"SAI MÃ NV"))</f>
        <v/>
      </c>
      <c r="D1204" s="86" t="n"/>
      <c r="E1204" s="103">
        <f>IF(OR($B1204="",$D1204=""),"",IF(COUNTIF(THAM_SO_CC!$F$10:$F$40,$D1204)&gt;0,"Lễ",IF(IF(THAM_SO_CC!$B$12="T7+CN",WEEKDAY($D1204,2)&gt;=6,WEEKDAY($D1204,2)=7),"Nghỉ tuần","Ngày thường")))</f>
        <v/>
      </c>
      <c r="F1204" s="107" t="n"/>
      <c r="G1204" s="107" t="n"/>
      <c r="H1204" s="107" t="n"/>
      <c r="I1204" s="81" t="n"/>
      <c r="J1204" s="108">
        <f>IF($B1204="","",IF($E1204="Ngày thường",N($G1204),0))</f>
        <v/>
      </c>
      <c r="K1204" s="108">
        <f>IF($B1204="","",IF($E1204="Nghỉ tuần",N($G1204),0))</f>
        <v/>
      </c>
      <c r="L1204" s="108">
        <f>IF($B1204="","",IF($E1204="Lễ",N($G1204),0))</f>
        <v/>
      </c>
      <c r="M1204" s="108">
        <f>IF($B1204="","",IF($E1204="Ngày thường",N($H1204),0))</f>
        <v/>
      </c>
      <c r="N1204" s="108">
        <f>IF($B1204="","",IF($E1204="Nghỉ tuần",N($H1204),0))</f>
        <v/>
      </c>
      <c r="O1204" s="108">
        <f>IF($B1204="","",IF($E1204="Lễ",N($H1204),0))</f>
        <v/>
      </c>
    </row>
    <row r="1205" ht="15" customHeight="1" s="63">
      <c r="A1205" s="85">
        <f>IF($B1205="","",ROW()-5)</f>
        <v/>
      </c>
      <c r="B1205" s="97" t="n"/>
      <c r="C1205" s="96">
        <f>IF($B1205="","",IFERROR(INDEX(DM_NHAN_SU!$C$6:$C$155,MATCH($B1205,DM_NHAN_SU!$B$6:$B$155,0)),"SAI MÃ NV"))</f>
        <v/>
      </c>
      <c r="D1205" s="86" t="n"/>
      <c r="E1205" s="103">
        <f>IF(OR($B1205="",$D1205=""),"",IF(COUNTIF(THAM_SO_CC!$F$10:$F$40,$D1205)&gt;0,"Lễ",IF(IF(THAM_SO_CC!$B$12="T7+CN",WEEKDAY($D1205,2)&gt;=6,WEEKDAY($D1205,2)=7),"Nghỉ tuần","Ngày thường")))</f>
        <v/>
      </c>
      <c r="F1205" s="107" t="n"/>
      <c r="G1205" s="107" t="n"/>
      <c r="H1205" s="107" t="n"/>
      <c r="I1205" s="81" t="n"/>
      <c r="J1205" s="108">
        <f>IF($B1205="","",IF($E1205="Ngày thường",N($G1205),0))</f>
        <v/>
      </c>
      <c r="K1205" s="108">
        <f>IF($B1205="","",IF($E1205="Nghỉ tuần",N($G1205),0))</f>
        <v/>
      </c>
      <c r="L1205" s="108">
        <f>IF($B1205="","",IF($E1205="Lễ",N($G1205),0))</f>
        <v/>
      </c>
      <c r="M1205" s="108">
        <f>IF($B1205="","",IF($E1205="Ngày thường",N($H1205),0))</f>
        <v/>
      </c>
      <c r="N1205" s="108">
        <f>IF($B1205="","",IF($E1205="Nghỉ tuần",N($H1205),0))</f>
        <v/>
      </c>
      <c r="O1205" s="108">
        <f>IF($B1205="","",IF($E1205="Lễ",N($H1205),0))</f>
        <v/>
      </c>
    </row>
    <row r="1206" ht="15" customHeight="1" s="63">
      <c r="A1206" s="85">
        <f>IF($B1206="","",ROW()-5)</f>
        <v/>
      </c>
      <c r="B1206" s="97" t="n"/>
      <c r="C1206" s="96">
        <f>IF($B1206="","",IFERROR(INDEX(DM_NHAN_SU!$C$6:$C$155,MATCH($B1206,DM_NHAN_SU!$B$6:$B$155,0)),"SAI MÃ NV"))</f>
        <v/>
      </c>
      <c r="D1206" s="86" t="n"/>
      <c r="E1206" s="103">
        <f>IF(OR($B1206="",$D1206=""),"",IF(COUNTIF(THAM_SO_CC!$F$10:$F$40,$D1206)&gt;0,"Lễ",IF(IF(THAM_SO_CC!$B$12="T7+CN",WEEKDAY($D1206,2)&gt;=6,WEEKDAY($D1206,2)=7),"Nghỉ tuần","Ngày thường")))</f>
        <v/>
      </c>
      <c r="F1206" s="107" t="n"/>
      <c r="G1206" s="107" t="n"/>
      <c r="H1206" s="107" t="n"/>
      <c r="I1206" s="81" t="n"/>
      <c r="J1206" s="108">
        <f>IF($B1206="","",IF($E1206="Ngày thường",N($G1206),0))</f>
        <v/>
      </c>
      <c r="K1206" s="108">
        <f>IF($B1206="","",IF($E1206="Nghỉ tuần",N($G1206),0))</f>
        <v/>
      </c>
      <c r="L1206" s="108">
        <f>IF($B1206="","",IF($E1206="Lễ",N($G1206),0))</f>
        <v/>
      </c>
      <c r="M1206" s="108">
        <f>IF($B1206="","",IF($E1206="Ngày thường",N($H1206),0))</f>
        <v/>
      </c>
      <c r="N1206" s="108">
        <f>IF($B1206="","",IF($E1206="Nghỉ tuần",N($H1206),0))</f>
        <v/>
      </c>
      <c r="O1206" s="108">
        <f>IF($B1206="","",IF($E1206="Lễ",N($H1206),0))</f>
        <v/>
      </c>
    </row>
    <row r="1207" ht="15" customHeight="1" s="63">
      <c r="A1207" s="85">
        <f>IF($B1207="","",ROW()-5)</f>
        <v/>
      </c>
      <c r="B1207" s="97" t="n"/>
      <c r="C1207" s="96">
        <f>IF($B1207="","",IFERROR(INDEX(DM_NHAN_SU!$C$6:$C$155,MATCH($B1207,DM_NHAN_SU!$B$6:$B$155,0)),"SAI MÃ NV"))</f>
        <v/>
      </c>
      <c r="D1207" s="86" t="n"/>
      <c r="E1207" s="103">
        <f>IF(OR($B1207="",$D1207=""),"",IF(COUNTIF(THAM_SO_CC!$F$10:$F$40,$D1207)&gt;0,"Lễ",IF(IF(THAM_SO_CC!$B$12="T7+CN",WEEKDAY($D1207,2)&gt;=6,WEEKDAY($D1207,2)=7),"Nghỉ tuần","Ngày thường")))</f>
        <v/>
      </c>
      <c r="F1207" s="107" t="n"/>
      <c r="G1207" s="107" t="n"/>
      <c r="H1207" s="107" t="n"/>
      <c r="I1207" s="81" t="n"/>
      <c r="J1207" s="108">
        <f>IF($B1207="","",IF($E1207="Ngày thường",N($G1207),0))</f>
        <v/>
      </c>
      <c r="K1207" s="108">
        <f>IF($B1207="","",IF($E1207="Nghỉ tuần",N($G1207),0))</f>
        <v/>
      </c>
      <c r="L1207" s="108">
        <f>IF($B1207="","",IF($E1207="Lễ",N($G1207),0))</f>
        <v/>
      </c>
      <c r="M1207" s="108">
        <f>IF($B1207="","",IF($E1207="Ngày thường",N($H1207),0))</f>
        <v/>
      </c>
      <c r="N1207" s="108">
        <f>IF($B1207="","",IF($E1207="Nghỉ tuần",N($H1207),0))</f>
        <v/>
      </c>
      <c r="O1207" s="108">
        <f>IF($B1207="","",IF($E1207="Lễ",N($H1207),0))</f>
        <v/>
      </c>
    </row>
    <row r="1208" ht="15" customHeight="1" s="63">
      <c r="A1208" s="85">
        <f>IF($B1208="","",ROW()-5)</f>
        <v/>
      </c>
      <c r="B1208" s="97" t="n"/>
      <c r="C1208" s="96">
        <f>IF($B1208="","",IFERROR(INDEX(DM_NHAN_SU!$C$6:$C$155,MATCH($B1208,DM_NHAN_SU!$B$6:$B$155,0)),"SAI MÃ NV"))</f>
        <v/>
      </c>
      <c r="D1208" s="86" t="n"/>
      <c r="E1208" s="103">
        <f>IF(OR($B1208="",$D1208=""),"",IF(COUNTIF(THAM_SO_CC!$F$10:$F$40,$D1208)&gt;0,"Lễ",IF(IF(THAM_SO_CC!$B$12="T7+CN",WEEKDAY($D1208,2)&gt;=6,WEEKDAY($D1208,2)=7),"Nghỉ tuần","Ngày thường")))</f>
        <v/>
      </c>
      <c r="F1208" s="107" t="n"/>
      <c r="G1208" s="107" t="n"/>
      <c r="H1208" s="107" t="n"/>
      <c r="I1208" s="81" t="n"/>
      <c r="J1208" s="108">
        <f>IF($B1208="","",IF($E1208="Ngày thường",N($G1208),0))</f>
        <v/>
      </c>
      <c r="K1208" s="108">
        <f>IF($B1208="","",IF($E1208="Nghỉ tuần",N($G1208),0))</f>
        <v/>
      </c>
      <c r="L1208" s="108">
        <f>IF($B1208="","",IF($E1208="Lễ",N($G1208),0))</f>
        <v/>
      </c>
      <c r="M1208" s="108">
        <f>IF($B1208="","",IF($E1208="Ngày thường",N($H1208),0))</f>
        <v/>
      </c>
      <c r="N1208" s="108">
        <f>IF($B1208="","",IF($E1208="Nghỉ tuần",N($H1208),0))</f>
        <v/>
      </c>
      <c r="O1208" s="108">
        <f>IF($B1208="","",IF($E1208="Lễ",N($H1208),0))</f>
        <v/>
      </c>
    </row>
    <row r="1209" ht="15" customHeight="1" s="63">
      <c r="A1209" s="85">
        <f>IF($B1209="","",ROW()-5)</f>
        <v/>
      </c>
      <c r="B1209" s="97" t="n"/>
      <c r="C1209" s="96">
        <f>IF($B1209="","",IFERROR(INDEX(DM_NHAN_SU!$C$6:$C$155,MATCH($B1209,DM_NHAN_SU!$B$6:$B$155,0)),"SAI MÃ NV"))</f>
        <v/>
      </c>
      <c r="D1209" s="86" t="n"/>
      <c r="E1209" s="103">
        <f>IF(OR($B1209="",$D1209=""),"",IF(COUNTIF(THAM_SO_CC!$F$10:$F$40,$D1209)&gt;0,"Lễ",IF(IF(THAM_SO_CC!$B$12="T7+CN",WEEKDAY($D1209,2)&gt;=6,WEEKDAY($D1209,2)=7),"Nghỉ tuần","Ngày thường")))</f>
        <v/>
      </c>
      <c r="F1209" s="107" t="n"/>
      <c r="G1209" s="107" t="n"/>
      <c r="H1209" s="107" t="n"/>
      <c r="I1209" s="81" t="n"/>
      <c r="J1209" s="108">
        <f>IF($B1209="","",IF($E1209="Ngày thường",N($G1209),0))</f>
        <v/>
      </c>
      <c r="K1209" s="108">
        <f>IF($B1209="","",IF($E1209="Nghỉ tuần",N($G1209),0))</f>
        <v/>
      </c>
      <c r="L1209" s="108">
        <f>IF($B1209="","",IF($E1209="Lễ",N($G1209),0))</f>
        <v/>
      </c>
      <c r="M1209" s="108">
        <f>IF($B1209="","",IF($E1209="Ngày thường",N($H1209),0))</f>
        <v/>
      </c>
      <c r="N1209" s="108">
        <f>IF($B1209="","",IF($E1209="Nghỉ tuần",N($H1209),0))</f>
        <v/>
      </c>
      <c r="O1209" s="108">
        <f>IF($B1209="","",IF($E1209="Lễ",N($H1209),0))</f>
        <v/>
      </c>
    </row>
    <row r="1210" ht="15" customHeight="1" s="63">
      <c r="A1210" s="85">
        <f>IF($B1210="","",ROW()-5)</f>
        <v/>
      </c>
      <c r="B1210" s="97" t="n"/>
      <c r="C1210" s="96">
        <f>IF($B1210="","",IFERROR(INDEX(DM_NHAN_SU!$C$6:$C$155,MATCH($B1210,DM_NHAN_SU!$B$6:$B$155,0)),"SAI MÃ NV"))</f>
        <v/>
      </c>
      <c r="D1210" s="86" t="n"/>
      <c r="E1210" s="103">
        <f>IF(OR($B1210="",$D1210=""),"",IF(COUNTIF(THAM_SO_CC!$F$10:$F$40,$D1210)&gt;0,"Lễ",IF(IF(THAM_SO_CC!$B$12="T7+CN",WEEKDAY($D1210,2)&gt;=6,WEEKDAY($D1210,2)=7),"Nghỉ tuần","Ngày thường")))</f>
        <v/>
      </c>
      <c r="F1210" s="107" t="n"/>
      <c r="G1210" s="107" t="n"/>
      <c r="H1210" s="107" t="n"/>
      <c r="I1210" s="81" t="n"/>
      <c r="J1210" s="108">
        <f>IF($B1210="","",IF($E1210="Ngày thường",N($G1210),0))</f>
        <v/>
      </c>
      <c r="K1210" s="108">
        <f>IF($B1210="","",IF($E1210="Nghỉ tuần",N($G1210),0))</f>
        <v/>
      </c>
      <c r="L1210" s="108">
        <f>IF($B1210="","",IF($E1210="Lễ",N($G1210),0))</f>
        <v/>
      </c>
      <c r="M1210" s="108">
        <f>IF($B1210="","",IF($E1210="Ngày thường",N($H1210),0))</f>
        <v/>
      </c>
      <c r="N1210" s="108">
        <f>IF($B1210="","",IF($E1210="Nghỉ tuần",N($H1210),0))</f>
        <v/>
      </c>
      <c r="O1210" s="108">
        <f>IF($B1210="","",IF($E1210="Lễ",N($H1210),0))</f>
        <v/>
      </c>
    </row>
    <row r="1211" ht="15" customHeight="1" s="63">
      <c r="A1211" s="85">
        <f>IF($B1211="","",ROW()-5)</f>
        <v/>
      </c>
      <c r="B1211" s="97" t="n"/>
      <c r="C1211" s="96">
        <f>IF($B1211="","",IFERROR(INDEX(DM_NHAN_SU!$C$6:$C$155,MATCH($B1211,DM_NHAN_SU!$B$6:$B$155,0)),"SAI MÃ NV"))</f>
        <v/>
      </c>
      <c r="D1211" s="86" t="n"/>
      <c r="E1211" s="103">
        <f>IF(OR($B1211="",$D1211=""),"",IF(COUNTIF(THAM_SO_CC!$F$10:$F$40,$D1211)&gt;0,"Lễ",IF(IF(THAM_SO_CC!$B$12="T7+CN",WEEKDAY($D1211,2)&gt;=6,WEEKDAY($D1211,2)=7),"Nghỉ tuần","Ngày thường")))</f>
        <v/>
      </c>
      <c r="F1211" s="107" t="n"/>
      <c r="G1211" s="107" t="n"/>
      <c r="H1211" s="107" t="n"/>
      <c r="I1211" s="81" t="n"/>
      <c r="J1211" s="108">
        <f>IF($B1211="","",IF($E1211="Ngày thường",N($G1211),0))</f>
        <v/>
      </c>
      <c r="K1211" s="108">
        <f>IF($B1211="","",IF($E1211="Nghỉ tuần",N($G1211),0))</f>
        <v/>
      </c>
      <c r="L1211" s="108">
        <f>IF($B1211="","",IF($E1211="Lễ",N($G1211),0))</f>
        <v/>
      </c>
      <c r="M1211" s="108">
        <f>IF($B1211="","",IF($E1211="Ngày thường",N($H1211),0))</f>
        <v/>
      </c>
      <c r="N1211" s="108">
        <f>IF($B1211="","",IF($E1211="Nghỉ tuần",N($H1211),0))</f>
        <v/>
      </c>
      <c r="O1211" s="108">
        <f>IF($B1211="","",IF($E1211="Lễ",N($H1211),0))</f>
        <v/>
      </c>
    </row>
    <row r="1212" ht="15" customHeight="1" s="63">
      <c r="A1212" s="85">
        <f>IF($B1212="","",ROW()-5)</f>
        <v/>
      </c>
      <c r="B1212" s="97" t="n"/>
      <c r="C1212" s="96">
        <f>IF($B1212="","",IFERROR(INDEX(DM_NHAN_SU!$C$6:$C$155,MATCH($B1212,DM_NHAN_SU!$B$6:$B$155,0)),"SAI MÃ NV"))</f>
        <v/>
      </c>
      <c r="D1212" s="86" t="n"/>
      <c r="E1212" s="103">
        <f>IF(OR($B1212="",$D1212=""),"",IF(COUNTIF(THAM_SO_CC!$F$10:$F$40,$D1212)&gt;0,"Lễ",IF(IF(THAM_SO_CC!$B$12="T7+CN",WEEKDAY($D1212,2)&gt;=6,WEEKDAY($D1212,2)=7),"Nghỉ tuần","Ngày thường")))</f>
        <v/>
      </c>
      <c r="F1212" s="107" t="n"/>
      <c r="G1212" s="107" t="n"/>
      <c r="H1212" s="107" t="n"/>
      <c r="I1212" s="81" t="n"/>
      <c r="J1212" s="108">
        <f>IF($B1212="","",IF($E1212="Ngày thường",N($G1212),0))</f>
        <v/>
      </c>
      <c r="K1212" s="108">
        <f>IF($B1212="","",IF($E1212="Nghỉ tuần",N($G1212),0))</f>
        <v/>
      </c>
      <c r="L1212" s="108">
        <f>IF($B1212="","",IF($E1212="Lễ",N($G1212),0))</f>
        <v/>
      </c>
      <c r="M1212" s="108">
        <f>IF($B1212="","",IF($E1212="Ngày thường",N($H1212),0))</f>
        <v/>
      </c>
      <c r="N1212" s="108">
        <f>IF($B1212="","",IF($E1212="Nghỉ tuần",N($H1212),0))</f>
        <v/>
      </c>
      <c r="O1212" s="108">
        <f>IF($B1212="","",IF($E1212="Lễ",N($H1212),0))</f>
        <v/>
      </c>
    </row>
    <row r="1213" ht="15" customHeight="1" s="63">
      <c r="A1213" s="85">
        <f>IF($B1213="","",ROW()-5)</f>
        <v/>
      </c>
      <c r="B1213" s="97" t="n"/>
      <c r="C1213" s="96">
        <f>IF($B1213="","",IFERROR(INDEX(DM_NHAN_SU!$C$6:$C$155,MATCH($B1213,DM_NHAN_SU!$B$6:$B$155,0)),"SAI MÃ NV"))</f>
        <v/>
      </c>
      <c r="D1213" s="86" t="n"/>
      <c r="E1213" s="103">
        <f>IF(OR($B1213="",$D1213=""),"",IF(COUNTIF(THAM_SO_CC!$F$10:$F$40,$D1213)&gt;0,"Lễ",IF(IF(THAM_SO_CC!$B$12="T7+CN",WEEKDAY($D1213,2)&gt;=6,WEEKDAY($D1213,2)=7),"Nghỉ tuần","Ngày thường")))</f>
        <v/>
      </c>
      <c r="F1213" s="107" t="n"/>
      <c r="G1213" s="107" t="n"/>
      <c r="H1213" s="107" t="n"/>
      <c r="I1213" s="81" t="n"/>
      <c r="J1213" s="108">
        <f>IF($B1213="","",IF($E1213="Ngày thường",N($G1213),0))</f>
        <v/>
      </c>
      <c r="K1213" s="108">
        <f>IF($B1213="","",IF($E1213="Nghỉ tuần",N($G1213),0))</f>
        <v/>
      </c>
      <c r="L1213" s="108">
        <f>IF($B1213="","",IF($E1213="Lễ",N($G1213),0))</f>
        <v/>
      </c>
      <c r="M1213" s="108">
        <f>IF($B1213="","",IF($E1213="Ngày thường",N($H1213),0))</f>
        <v/>
      </c>
      <c r="N1213" s="108">
        <f>IF($B1213="","",IF($E1213="Nghỉ tuần",N($H1213),0))</f>
        <v/>
      </c>
      <c r="O1213" s="108">
        <f>IF($B1213="","",IF($E1213="Lễ",N($H1213),0))</f>
        <v/>
      </c>
    </row>
    <row r="1214" ht="15" customHeight="1" s="63">
      <c r="A1214" s="85">
        <f>IF($B1214="","",ROW()-5)</f>
        <v/>
      </c>
      <c r="B1214" s="97" t="n"/>
      <c r="C1214" s="96">
        <f>IF($B1214="","",IFERROR(INDEX(DM_NHAN_SU!$C$6:$C$155,MATCH($B1214,DM_NHAN_SU!$B$6:$B$155,0)),"SAI MÃ NV"))</f>
        <v/>
      </c>
      <c r="D1214" s="86" t="n"/>
      <c r="E1214" s="103">
        <f>IF(OR($B1214="",$D1214=""),"",IF(COUNTIF(THAM_SO_CC!$F$10:$F$40,$D1214)&gt;0,"Lễ",IF(IF(THAM_SO_CC!$B$12="T7+CN",WEEKDAY($D1214,2)&gt;=6,WEEKDAY($D1214,2)=7),"Nghỉ tuần","Ngày thường")))</f>
        <v/>
      </c>
      <c r="F1214" s="107" t="n"/>
      <c r="G1214" s="107" t="n"/>
      <c r="H1214" s="107" t="n"/>
      <c r="I1214" s="81" t="n"/>
      <c r="J1214" s="108">
        <f>IF($B1214="","",IF($E1214="Ngày thường",N($G1214),0))</f>
        <v/>
      </c>
      <c r="K1214" s="108">
        <f>IF($B1214="","",IF($E1214="Nghỉ tuần",N($G1214),0))</f>
        <v/>
      </c>
      <c r="L1214" s="108">
        <f>IF($B1214="","",IF($E1214="Lễ",N($G1214),0))</f>
        <v/>
      </c>
      <c r="M1214" s="108">
        <f>IF($B1214="","",IF($E1214="Ngày thường",N($H1214),0))</f>
        <v/>
      </c>
      <c r="N1214" s="108">
        <f>IF($B1214="","",IF($E1214="Nghỉ tuần",N($H1214),0))</f>
        <v/>
      </c>
      <c r="O1214" s="108">
        <f>IF($B1214="","",IF($E1214="Lễ",N($H1214),0))</f>
        <v/>
      </c>
    </row>
    <row r="1215" ht="15" customHeight="1" s="63">
      <c r="A1215" s="85">
        <f>IF($B1215="","",ROW()-5)</f>
        <v/>
      </c>
      <c r="B1215" s="97" t="n"/>
      <c r="C1215" s="96">
        <f>IF($B1215="","",IFERROR(INDEX(DM_NHAN_SU!$C$6:$C$155,MATCH($B1215,DM_NHAN_SU!$B$6:$B$155,0)),"SAI MÃ NV"))</f>
        <v/>
      </c>
      <c r="D1215" s="86" t="n"/>
      <c r="E1215" s="103">
        <f>IF(OR($B1215="",$D1215=""),"",IF(COUNTIF(THAM_SO_CC!$F$10:$F$40,$D1215)&gt;0,"Lễ",IF(IF(THAM_SO_CC!$B$12="T7+CN",WEEKDAY($D1215,2)&gt;=6,WEEKDAY($D1215,2)=7),"Nghỉ tuần","Ngày thường")))</f>
        <v/>
      </c>
      <c r="F1215" s="107" t="n"/>
      <c r="G1215" s="107" t="n"/>
      <c r="H1215" s="107" t="n"/>
      <c r="I1215" s="81" t="n"/>
      <c r="J1215" s="108">
        <f>IF($B1215="","",IF($E1215="Ngày thường",N($G1215),0))</f>
        <v/>
      </c>
      <c r="K1215" s="108">
        <f>IF($B1215="","",IF($E1215="Nghỉ tuần",N($G1215),0))</f>
        <v/>
      </c>
      <c r="L1215" s="108">
        <f>IF($B1215="","",IF($E1215="Lễ",N($G1215),0))</f>
        <v/>
      </c>
      <c r="M1215" s="108">
        <f>IF($B1215="","",IF($E1215="Ngày thường",N($H1215),0))</f>
        <v/>
      </c>
      <c r="N1215" s="108">
        <f>IF($B1215="","",IF($E1215="Nghỉ tuần",N($H1215),0))</f>
        <v/>
      </c>
      <c r="O1215" s="108">
        <f>IF($B1215="","",IF($E1215="Lễ",N($H1215),0))</f>
        <v/>
      </c>
    </row>
    <row r="1216" ht="15" customHeight="1" s="63">
      <c r="A1216" s="85">
        <f>IF($B1216="","",ROW()-5)</f>
        <v/>
      </c>
      <c r="B1216" s="97" t="n"/>
      <c r="C1216" s="96">
        <f>IF($B1216="","",IFERROR(INDEX(DM_NHAN_SU!$C$6:$C$155,MATCH($B1216,DM_NHAN_SU!$B$6:$B$155,0)),"SAI MÃ NV"))</f>
        <v/>
      </c>
      <c r="D1216" s="86" t="n"/>
      <c r="E1216" s="103">
        <f>IF(OR($B1216="",$D1216=""),"",IF(COUNTIF(THAM_SO_CC!$F$10:$F$40,$D1216)&gt;0,"Lễ",IF(IF(THAM_SO_CC!$B$12="T7+CN",WEEKDAY($D1216,2)&gt;=6,WEEKDAY($D1216,2)=7),"Nghỉ tuần","Ngày thường")))</f>
        <v/>
      </c>
      <c r="F1216" s="107" t="n"/>
      <c r="G1216" s="107" t="n"/>
      <c r="H1216" s="107" t="n"/>
      <c r="I1216" s="81" t="n"/>
      <c r="J1216" s="108">
        <f>IF($B1216="","",IF($E1216="Ngày thường",N($G1216),0))</f>
        <v/>
      </c>
      <c r="K1216" s="108">
        <f>IF($B1216="","",IF($E1216="Nghỉ tuần",N($G1216),0))</f>
        <v/>
      </c>
      <c r="L1216" s="108">
        <f>IF($B1216="","",IF($E1216="Lễ",N($G1216),0))</f>
        <v/>
      </c>
      <c r="M1216" s="108">
        <f>IF($B1216="","",IF($E1216="Ngày thường",N($H1216),0))</f>
        <v/>
      </c>
      <c r="N1216" s="108">
        <f>IF($B1216="","",IF($E1216="Nghỉ tuần",N($H1216),0))</f>
        <v/>
      </c>
      <c r="O1216" s="108">
        <f>IF($B1216="","",IF($E1216="Lễ",N($H1216),0))</f>
        <v/>
      </c>
    </row>
    <row r="1217" ht="15" customHeight="1" s="63">
      <c r="A1217" s="85">
        <f>IF($B1217="","",ROW()-5)</f>
        <v/>
      </c>
      <c r="B1217" s="97" t="n"/>
      <c r="C1217" s="96">
        <f>IF($B1217="","",IFERROR(INDEX(DM_NHAN_SU!$C$6:$C$155,MATCH($B1217,DM_NHAN_SU!$B$6:$B$155,0)),"SAI MÃ NV"))</f>
        <v/>
      </c>
      <c r="D1217" s="86" t="n"/>
      <c r="E1217" s="103">
        <f>IF(OR($B1217="",$D1217=""),"",IF(COUNTIF(THAM_SO_CC!$F$10:$F$40,$D1217)&gt;0,"Lễ",IF(IF(THAM_SO_CC!$B$12="T7+CN",WEEKDAY($D1217,2)&gt;=6,WEEKDAY($D1217,2)=7),"Nghỉ tuần","Ngày thường")))</f>
        <v/>
      </c>
      <c r="F1217" s="107" t="n"/>
      <c r="G1217" s="107" t="n"/>
      <c r="H1217" s="107" t="n"/>
      <c r="I1217" s="81" t="n"/>
      <c r="J1217" s="108">
        <f>IF($B1217="","",IF($E1217="Ngày thường",N($G1217),0))</f>
        <v/>
      </c>
      <c r="K1217" s="108">
        <f>IF($B1217="","",IF($E1217="Nghỉ tuần",N($G1217),0))</f>
        <v/>
      </c>
      <c r="L1217" s="108">
        <f>IF($B1217="","",IF($E1217="Lễ",N($G1217),0))</f>
        <v/>
      </c>
      <c r="M1217" s="108">
        <f>IF($B1217="","",IF($E1217="Ngày thường",N($H1217),0))</f>
        <v/>
      </c>
      <c r="N1217" s="108">
        <f>IF($B1217="","",IF($E1217="Nghỉ tuần",N($H1217),0))</f>
        <v/>
      </c>
      <c r="O1217" s="108">
        <f>IF($B1217="","",IF($E1217="Lễ",N($H1217),0))</f>
        <v/>
      </c>
    </row>
    <row r="1218" ht="15" customHeight="1" s="63">
      <c r="A1218" s="85">
        <f>IF($B1218="","",ROW()-5)</f>
        <v/>
      </c>
      <c r="B1218" s="97" t="n"/>
      <c r="C1218" s="96">
        <f>IF($B1218="","",IFERROR(INDEX(DM_NHAN_SU!$C$6:$C$155,MATCH($B1218,DM_NHAN_SU!$B$6:$B$155,0)),"SAI MÃ NV"))</f>
        <v/>
      </c>
      <c r="D1218" s="86" t="n"/>
      <c r="E1218" s="103">
        <f>IF(OR($B1218="",$D1218=""),"",IF(COUNTIF(THAM_SO_CC!$F$10:$F$40,$D1218)&gt;0,"Lễ",IF(IF(THAM_SO_CC!$B$12="T7+CN",WEEKDAY($D1218,2)&gt;=6,WEEKDAY($D1218,2)=7),"Nghỉ tuần","Ngày thường")))</f>
        <v/>
      </c>
      <c r="F1218" s="107" t="n"/>
      <c r="G1218" s="107" t="n"/>
      <c r="H1218" s="107" t="n"/>
      <c r="I1218" s="81" t="n"/>
      <c r="J1218" s="108">
        <f>IF($B1218="","",IF($E1218="Ngày thường",N($G1218),0))</f>
        <v/>
      </c>
      <c r="K1218" s="108">
        <f>IF($B1218="","",IF($E1218="Nghỉ tuần",N($G1218),0))</f>
        <v/>
      </c>
      <c r="L1218" s="108">
        <f>IF($B1218="","",IF($E1218="Lễ",N($G1218),0))</f>
        <v/>
      </c>
      <c r="M1218" s="108">
        <f>IF($B1218="","",IF($E1218="Ngày thường",N($H1218),0))</f>
        <v/>
      </c>
      <c r="N1218" s="108">
        <f>IF($B1218="","",IF($E1218="Nghỉ tuần",N($H1218),0))</f>
        <v/>
      </c>
      <c r="O1218" s="108">
        <f>IF($B1218="","",IF($E1218="Lễ",N($H1218),0))</f>
        <v/>
      </c>
    </row>
    <row r="1219" ht="15" customHeight="1" s="63">
      <c r="A1219" s="85">
        <f>IF($B1219="","",ROW()-5)</f>
        <v/>
      </c>
      <c r="B1219" s="97" t="n"/>
      <c r="C1219" s="96">
        <f>IF($B1219="","",IFERROR(INDEX(DM_NHAN_SU!$C$6:$C$155,MATCH($B1219,DM_NHAN_SU!$B$6:$B$155,0)),"SAI MÃ NV"))</f>
        <v/>
      </c>
      <c r="D1219" s="86" t="n"/>
      <c r="E1219" s="103">
        <f>IF(OR($B1219="",$D1219=""),"",IF(COUNTIF(THAM_SO_CC!$F$10:$F$40,$D1219)&gt;0,"Lễ",IF(IF(THAM_SO_CC!$B$12="T7+CN",WEEKDAY($D1219,2)&gt;=6,WEEKDAY($D1219,2)=7),"Nghỉ tuần","Ngày thường")))</f>
        <v/>
      </c>
      <c r="F1219" s="107" t="n"/>
      <c r="G1219" s="107" t="n"/>
      <c r="H1219" s="107" t="n"/>
      <c r="I1219" s="81" t="n"/>
      <c r="J1219" s="108">
        <f>IF($B1219="","",IF($E1219="Ngày thường",N($G1219),0))</f>
        <v/>
      </c>
      <c r="K1219" s="108">
        <f>IF($B1219="","",IF($E1219="Nghỉ tuần",N($G1219),0))</f>
        <v/>
      </c>
      <c r="L1219" s="108">
        <f>IF($B1219="","",IF($E1219="Lễ",N($G1219),0))</f>
        <v/>
      </c>
      <c r="M1219" s="108">
        <f>IF($B1219="","",IF($E1219="Ngày thường",N($H1219),0))</f>
        <v/>
      </c>
      <c r="N1219" s="108">
        <f>IF($B1219="","",IF($E1219="Nghỉ tuần",N($H1219),0))</f>
        <v/>
      </c>
      <c r="O1219" s="108">
        <f>IF($B1219="","",IF($E1219="Lễ",N($H1219),0))</f>
        <v/>
      </c>
    </row>
    <row r="1220" ht="15" customHeight="1" s="63">
      <c r="A1220" s="85">
        <f>IF($B1220="","",ROW()-5)</f>
        <v/>
      </c>
      <c r="B1220" s="97" t="n"/>
      <c r="C1220" s="96">
        <f>IF($B1220="","",IFERROR(INDEX(DM_NHAN_SU!$C$6:$C$155,MATCH($B1220,DM_NHAN_SU!$B$6:$B$155,0)),"SAI MÃ NV"))</f>
        <v/>
      </c>
      <c r="D1220" s="86" t="n"/>
      <c r="E1220" s="103">
        <f>IF(OR($B1220="",$D1220=""),"",IF(COUNTIF(THAM_SO_CC!$F$10:$F$40,$D1220)&gt;0,"Lễ",IF(IF(THAM_SO_CC!$B$12="T7+CN",WEEKDAY($D1220,2)&gt;=6,WEEKDAY($D1220,2)=7),"Nghỉ tuần","Ngày thường")))</f>
        <v/>
      </c>
      <c r="F1220" s="107" t="n"/>
      <c r="G1220" s="107" t="n"/>
      <c r="H1220" s="107" t="n"/>
      <c r="I1220" s="81" t="n"/>
      <c r="J1220" s="108">
        <f>IF($B1220="","",IF($E1220="Ngày thường",N($G1220),0))</f>
        <v/>
      </c>
      <c r="K1220" s="108">
        <f>IF($B1220="","",IF($E1220="Nghỉ tuần",N($G1220),0))</f>
        <v/>
      </c>
      <c r="L1220" s="108">
        <f>IF($B1220="","",IF($E1220="Lễ",N($G1220),0))</f>
        <v/>
      </c>
      <c r="M1220" s="108">
        <f>IF($B1220="","",IF($E1220="Ngày thường",N($H1220),0))</f>
        <v/>
      </c>
      <c r="N1220" s="108">
        <f>IF($B1220="","",IF($E1220="Nghỉ tuần",N($H1220),0))</f>
        <v/>
      </c>
      <c r="O1220" s="108">
        <f>IF($B1220="","",IF($E1220="Lễ",N($H1220),0))</f>
        <v/>
      </c>
    </row>
    <row r="1221" ht="15" customHeight="1" s="63">
      <c r="A1221" s="85">
        <f>IF($B1221="","",ROW()-5)</f>
        <v/>
      </c>
      <c r="B1221" s="97" t="n"/>
      <c r="C1221" s="96">
        <f>IF($B1221="","",IFERROR(INDEX(DM_NHAN_SU!$C$6:$C$155,MATCH($B1221,DM_NHAN_SU!$B$6:$B$155,0)),"SAI MÃ NV"))</f>
        <v/>
      </c>
      <c r="D1221" s="86" t="n"/>
      <c r="E1221" s="103">
        <f>IF(OR($B1221="",$D1221=""),"",IF(COUNTIF(THAM_SO_CC!$F$10:$F$40,$D1221)&gt;0,"Lễ",IF(IF(THAM_SO_CC!$B$12="T7+CN",WEEKDAY($D1221,2)&gt;=6,WEEKDAY($D1221,2)=7),"Nghỉ tuần","Ngày thường")))</f>
        <v/>
      </c>
      <c r="F1221" s="107" t="n"/>
      <c r="G1221" s="107" t="n"/>
      <c r="H1221" s="107" t="n"/>
      <c r="I1221" s="81" t="n"/>
      <c r="J1221" s="108">
        <f>IF($B1221="","",IF($E1221="Ngày thường",N($G1221),0))</f>
        <v/>
      </c>
      <c r="K1221" s="108">
        <f>IF($B1221="","",IF($E1221="Nghỉ tuần",N($G1221),0))</f>
        <v/>
      </c>
      <c r="L1221" s="108">
        <f>IF($B1221="","",IF($E1221="Lễ",N($G1221),0))</f>
        <v/>
      </c>
      <c r="M1221" s="108">
        <f>IF($B1221="","",IF($E1221="Ngày thường",N($H1221),0))</f>
        <v/>
      </c>
      <c r="N1221" s="108">
        <f>IF($B1221="","",IF($E1221="Nghỉ tuần",N($H1221),0))</f>
        <v/>
      </c>
      <c r="O1221" s="108">
        <f>IF($B1221="","",IF($E1221="Lễ",N($H1221),0))</f>
        <v/>
      </c>
    </row>
    <row r="1222" ht="15" customHeight="1" s="63">
      <c r="A1222" s="85">
        <f>IF($B1222="","",ROW()-5)</f>
        <v/>
      </c>
      <c r="B1222" s="97" t="n"/>
      <c r="C1222" s="96">
        <f>IF($B1222="","",IFERROR(INDEX(DM_NHAN_SU!$C$6:$C$155,MATCH($B1222,DM_NHAN_SU!$B$6:$B$155,0)),"SAI MÃ NV"))</f>
        <v/>
      </c>
      <c r="D1222" s="86" t="n"/>
      <c r="E1222" s="103">
        <f>IF(OR($B1222="",$D1222=""),"",IF(COUNTIF(THAM_SO_CC!$F$10:$F$40,$D1222)&gt;0,"Lễ",IF(IF(THAM_SO_CC!$B$12="T7+CN",WEEKDAY($D1222,2)&gt;=6,WEEKDAY($D1222,2)=7),"Nghỉ tuần","Ngày thường")))</f>
        <v/>
      </c>
      <c r="F1222" s="107" t="n"/>
      <c r="G1222" s="107" t="n"/>
      <c r="H1222" s="107" t="n"/>
      <c r="I1222" s="81" t="n"/>
      <c r="J1222" s="108">
        <f>IF($B1222="","",IF($E1222="Ngày thường",N($G1222),0))</f>
        <v/>
      </c>
      <c r="K1222" s="108">
        <f>IF($B1222="","",IF($E1222="Nghỉ tuần",N($G1222),0))</f>
        <v/>
      </c>
      <c r="L1222" s="108">
        <f>IF($B1222="","",IF($E1222="Lễ",N($G1222),0))</f>
        <v/>
      </c>
      <c r="M1222" s="108">
        <f>IF($B1222="","",IF($E1222="Ngày thường",N($H1222),0))</f>
        <v/>
      </c>
      <c r="N1222" s="108">
        <f>IF($B1222="","",IF($E1222="Nghỉ tuần",N($H1222),0))</f>
        <v/>
      </c>
      <c r="O1222" s="108">
        <f>IF($B1222="","",IF($E1222="Lễ",N($H1222),0))</f>
        <v/>
      </c>
    </row>
    <row r="1223" ht="15" customHeight="1" s="63">
      <c r="A1223" s="85">
        <f>IF($B1223="","",ROW()-5)</f>
        <v/>
      </c>
      <c r="B1223" s="97" t="n"/>
      <c r="C1223" s="96">
        <f>IF($B1223="","",IFERROR(INDEX(DM_NHAN_SU!$C$6:$C$155,MATCH($B1223,DM_NHAN_SU!$B$6:$B$155,0)),"SAI MÃ NV"))</f>
        <v/>
      </c>
      <c r="D1223" s="86" t="n"/>
      <c r="E1223" s="103">
        <f>IF(OR($B1223="",$D1223=""),"",IF(COUNTIF(THAM_SO_CC!$F$10:$F$40,$D1223)&gt;0,"Lễ",IF(IF(THAM_SO_CC!$B$12="T7+CN",WEEKDAY($D1223,2)&gt;=6,WEEKDAY($D1223,2)=7),"Nghỉ tuần","Ngày thường")))</f>
        <v/>
      </c>
      <c r="F1223" s="107" t="n"/>
      <c r="G1223" s="107" t="n"/>
      <c r="H1223" s="107" t="n"/>
      <c r="I1223" s="81" t="n"/>
      <c r="J1223" s="108">
        <f>IF($B1223="","",IF($E1223="Ngày thường",N($G1223),0))</f>
        <v/>
      </c>
      <c r="K1223" s="108">
        <f>IF($B1223="","",IF($E1223="Nghỉ tuần",N($G1223),0))</f>
        <v/>
      </c>
      <c r="L1223" s="108">
        <f>IF($B1223="","",IF($E1223="Lễ",N($G1223),0))</f>
        <v/>
      </c>
      <c r="M1223" s="108">
        <f>IF($B1223="","",IF($E1223="Ngày thường",N($H1223),0))</f>
        <v/>
      </c>
      <c r="N1223" s="108">
        <f>IF($B1223="","",IF($E1223="Nghỉ tuần",N($H1223),0))</f>
        <v/>
      </c>
      <c r="O1223" s="108">
        <f>IF($B1223="","",IF($E1223="Lễ",N($H1223),0))</f>
        <v/>
      </c>
    </row>
    <row r="1224" ht="15" customHeight="1" s="63">
      <c r="A1224" s="85">
        <f>IF($B1224="","",ROW()-5)</f>
        <v/>
      </c>
      <c r="B1224" s="97" t="n"/>
      <c r="C1224" s="96">
        <f>IF($B1224="","",IFERROR(INDEX(DM_NHAN_SU!$C$6:$C$155,MATCH($B1224,DM_NHAN_SU!$B$6:$B$155,0)),"SAI MÃ NV"))</f>
        <v/>
      </c>
      <c r="D1224" s="86" t="n"/>
      <c r="E1224" s="103">
        <f>IF(OR($B1224="",$D1224=""),"",IF(COUNTIF(THAM_SO_CC!$F$10:$F$40,$D1224)&gt;0,"Lễ",IF(IF(THAM_SO_CC!$B$12="T7+CN",WEEKDAY($D1224,2)&gt;=6,WEEKDAY($D1224,2)=7),"Nghỉ tuần","Ngày thường")))</f>
        <v/>
      </c>
      <c r="F1224" s="107" t="n"/>
      <c r="G1224" s="107" t="n"/>
      <c r="H1224" s="107" t="n"/>
      <c r="I1224" s="81" t="n"/>
      <c r="J1224" s="108">
        <f>IF($B1224="","",IF($E1224="Ngày thường",N($G1224),0))</f>
        <v/>
      </c>
      <c r="K1224" s="108">
        <f>IF($B1224="","",IF($E1224="Nghỉ tuần",N($G1224),0))</f>
        <v/>
      </c>
      <c r="L1224" s="108">
        <f>IF($B1224="","",IF($E1224="Lễ",N($G1224),0))</f>
        <v/>
      </c>
      <c r="M1224" s="108">
        <f>IF($B1224="","",IF($E1224="Ngày thường",N($H1224),0))</f>
        <v/>
      </c>
      <c r="N1224" s="108">
        <f>IF($B1224="","",IF($E1224="Nghỉ tuần",N($H1224),0))</f>
        <v/>
      </c>
      <c r="O1224" s="108">
        <f>IF($B1224="","",IF($E1224="Lễ",N($H1224),0))</f>
        <v/>
      </c>
    </row>
    <row r="1225" ht="15" customHeight="1" s="63">
      <c r="A1225" s="85">
        <f>IF($B1225="","",ROW()-5)</f>
        <v/>
      </c>
      <c r="B1225" s="97" t="n"/>
      <c r="C1225" s="96">
        <f>IF($B1225="","",IFERROR(INDEX(DM_NHAN_SU!$C$6:$C$155,MATCH($B1225,DM_NHAN_SU!$B$6:$B$155,0)),"SAI MÃ NV"))</f>
        <v/>
      </c>
      <c r="D1225" s="86" t="n"/>
      <c r="E1225" s="103">
        <f>IF(OR($B1225="",$D1225=""),"",IF(COUNTIF(THAM_SO_CC!$F$10:$F$40,$D1225)&gt;0,"Lễ",IF(IF(THAM_SO_CC!$B$12="T7+CN",WEEKDAY($D1225,2)&gt;=6,WEEKDAY($D1225,2)=7),"Nghỉ tuần","Ngày thường")))</f>
        <v/>
      </c>
      <c r="F1225" s="107" t="n"/>
      <c r="G1225" s="107" t="n"/>
      <c r="H1225" s="107" t="n"/>
      <c r="I1225" s="81" t="n"/>
      <c r="J1225" s="108">
        <f>IF($B1225="","",IF($E1225="Ngày thường",N($G1225),0))</f>
        <v/>
      </c>
      <c r="K1225" s="108">
        <f>IF($B1225="","",IF($E1225="Nghỉ tuần",N($G1225),0))</f>
        <v/>
      </c>
      <c r="L1225" s="108">
        <f>IF($B1225="","",IF($E1225="Lễ",N($G1225),0))</f>
        <v/>
      </c>
      <c r="M1225" s="108">
        <f>IF($B1225="","",IF($E1225="Ngày thường",N($H1225),0))</f>
        <v/>
      </c>
      <c r="N1225" s="108">
        <f>IF($B1225="","",IF($E1225="Nghỉ tuần",N($H1225),0))</f>
        <v/>
      </c>
      <c r="O1225" s="108">
        <f>IF($B1225="","",IF($E1225="Lễ",N($H1225),0))</f>
        <v/>
      </c>
    </row>
    <row r="1226" ht="15" customHeight="1" s="63">
      <c r="A1226" s="85">
        <f>IF($B1226="","",ROW()-5)</f>
        <v/>
      </c>
      <c r="B1226" s="97" t="n"/>
      <c r="C1226" s="96">
        <f>IF($B1226="","",IFERROR(INDEX(DM_NHAN_SU!$C$6:$C$155,MATCH($B1226,DM_NHAN_SU!$B$6:$B$155,0)),"SAI MÃ NV"))</f>
        <v/>
      </c>
      <c r="D1226" s="86" t="n"/>
      <c r="E1226" s="103">
        <f>IF(OR($B1226="",$D1226=""),"",IF(COUNTIF(THAM_SO_CC!$F$10:$F$40,$D1226)&gt;0,"Lễ",IF(IF(THAM_SO_CC!$B$12="T7+CN",WEEKDAY($D1226,2)&gt;=6,WEEKDAY($D1226,2)=7),"Nghỉ tuần","Ngày thường")))</f>
        <v/>
      </c>
      <c r="F1226" s="107" t="n"/>
      <c r="G1226" s="107" t="n"/>
      <c r="H1226" s="107" t="n"/>
      <c r="I1226" s="81" t="n"/>
      <c r="J1226" s="108">
        <f>IF($B1226="","",IF($E1226="Ngày thường",N($G1226),0))</f>
        <v/>
      </c>
      <c r="K1226" s="108">
        <f>IF($B1226="","",IF($E1226="Nghỉ tuần",N($G1226),0))</f>
        <v/>
      </c>
      <c r="L1226" s="108">
        <f>IF($B1226="","",IF($E1226="Lễ",N($G1226),0))</f>
        <v/>
      </c>
      <c r="M1226" s="108">
        <f>IF($B1226="","",IF($E1226="Ngày thường",N($H1226),0))</f>
        <v/>
      </c>
      <c r="N1226" s="108">
        <f>IF($B1226="","",IF($E1226="Nghỉ tuần",N($H1226),0))</f>
        <v/>
      </c>
      <c r="O1226" s="108">
        <f>IF($B1226="","",IF($E1226="Lễ",N($H1226),0))</f>
        <v/>
      </c>
    </row>
    <row r="1227" ht="15" customHeight="1" s="63">
      <c r="A1227" s="85">
        <f>IF($B1227="","",ROW()-5)</f>
        <v/>
      </c>
      <c r="B1227" s="97" t="n"/>
      <c r="C1227" s="96">
        <f>IF($B1227="","",IFERROR(INDEX(DM_NHAN_SU!$C$6:$C$155,MATCH($B1227,DM_NHAN_SU!$B$6:$B$155,0)),"SAI MÃ NV"))</f>
        <v/>
      </c>
      <c r="D1227" s="86" t="n"/>
      <c r="E1227" s="103">
        <f>IF(OR($B1227="",$D1227=""),"",IF(COUNTIF(THAM_SO_CC!$F$10:$F$40,$D1227)&gt;0,"Lễ",IF(IF(THAM_SO_CC!$B$12="T7+CN",WEEKDAY($D1227,2)&gt;=6,WEEKDAY($D1227,2)=7),"Nghỉ tuần","Ngày thường")))</f>
        <v/>
      </c>
      <c r="F1227" s="107" t="n"/>
      <c r="G1227" s="107" t="n"/>
      <c r="H1227" s="107" t="n"/>
      <c r="I1227" s="81" t="n"/>
      <c r="J1227" s="108">
        <f>IF($B1227="","",IF($E1227="Ngày thường",N($G1227),0))</f>
        <v/>
      </c>
      <c r="K1227" s="108">
        <f>IF($B1227="","",IF($E1227="Nghỉ tuần",N($G1227),0))</f>
        <v/>
      </c>
      <c r="L1227" s="108">
        <f>IF($B1227="","",IF($E1227="Lễ",N($G1227),0))</f>
        <v/>
      </c>
      <c r="M1227" s="108">
        <f>IF($B1227="","",IF($E1227="Ngày thường",N($H1227),0))</f>
        <v/>
      </c>
      <c r="N1227" s="108">
        <f>IF($B1227="","",IF($E1227="Nghỉ tuần",N($H1227),0))</f>
        <v/>
      </c>
      <c r="O1227" s="108">
        <f>IF($B1227="","",IF($E1227="Lễ",N($H1227),0))</f>
        <v/>
      </c>
    </row>
    <row r="1228" ht="15" customHeight="1" s="63">
      <c r="A1228" s="85">
        <f>IF($B1228="","",ROW()-5)</f>
        <v/>
      </c>
      <c r="B1228" s="97" t="n"/>
      <c r="C1228" s="96">
        <f>IF($B1228="","",IFERROR(INDEX(DM_NHAN_SU!$C$6:$C$155,MATCH($B1228,DM_NHAN_SU!$B$6:$B$155,0)),"SAI MÃ NV"))</f>
        <v/>
      </c>
      <c r="D1228" s="86" t="n"/>
      <c r="E1228" s="103">
        <f>IF(OR($B1228="",$D1228=""),"",IF(COUNTIF(THAM_SO_CC!$F$10:$F$40,$D1228)&gt;0,"Lễ",IF(IF(THAM_SO_CC!$B$12="T7+CN",WEEKDAY($D1228,2)&gt;=6,WEEKDAY($D1228,2)=7),"Nghỉ tuần","Ngày thường")))</f>
        <v/>
      </c>
      <c r="F1228" s="107" t="n"/>
      <c r="G1228" s="107" t="n"/>
      <c r="H1228" s="107" t="n"/>
      <c r="I1228" s="81" t="n"/>
      <c r="J1228" s="108">
        <f>IF($B1228="","",IF($E1228="Ngày thường",N($G1228),0))</f>
        <v/>
      </c>
      <c r="K1228" s="108">
        <f>IF($B1228="","",IF($E1228="Nghỉ tuần",N($G1228),0))</f>
        <v/>
      </c>
      <c r="L1228" s="108">
        <f>IF($B1228="","",IF($E1228="Lễ",N($G1228),0))</f>
        <v/>
      </c>
      <c r="M1228" s="108">
        <f>IF($B1228="","",IF($E1228="Ngày thường",N($H1228),0))</f>
        <v/>
      </c>
      <c r="N1228" s="108">
        <f>IF($B1228="","",IF($E1228="Nghỉ tuần",N($H1228),0))</f>
        <v/>
      </c>
      <c r="O1228" s="108">
        <f>IF($B1228="","",IF($E1228="Lễ",N($H1228),0))</f>
        <v/>
      </c>
    </row>
    <row r="1229" ht="15" customHeight="1" s="63">
      <c r="A1229" s="85">
        <f>IF($B1229="","",ROW()-5)</f>
        <v/>
      </c>
      <c r="B1229" s="97" t="n"/>
      <c r="C1229" s="96">
        <f>IF($B1229="","",IFERROR(INDEX(DM_NHAN_SU!$C$6:$C$155,MATCH($B1229,DM_NHAN_SU!$B$6:$B$155,0)),"SAI MÃ NV"))</f>
        <v/>
      </c>
      <c r="D1229" s="86" t="n"/>
      <c r="E1229" s="103">
        <f>IF(OR($B1229="",$D1229=""),"",IF(COUNTIF(THAM_SO_CC!$F$10:$F$40,$D1229)&gt;0,"Lễ",IF(IF(THAM_SO_CC!$B$12="T7+CN",WEEKDAY($D1229,2)&gt;=6,WEEKDAY($D1229,2)=7),"Nghỉ tuần","Ngày thường")))</f>
        <v/>
      </c>
      <c r="F1229" s="107" t="n"/>
      <c r="G1229" s="107" t="n"/>
      <c r="H1229" s="107" t="n"/>
      <c r="I1229" s="81" t="n"/>
      <c r="J1229" s="108">
        <f>IF($B1229="","",IF($E1229="Ngày thường",N($G1229),0))</f>
        <v/>
      </c>
      <c r="K1229" s="108">
        <f>IF($B1229="","",IF($E1229="Nghỉ tuần",N($G1229),0))</f>
        <v/>
      </c>
      <c r="L1229" s="108">
        <f>IF($B1229="","",IF($E1229="Lễ",N($G1229),0))</f>
        <v/>
      </c>
      <c r="M1229" s="108">
        <f>IF($B1229="","",IF($E1229="Ngày thường",N($H1229),0))</f>
        <v/>
      </c>
      <c r="N1229" s="108">
        <f>IF($B1229="","",IF($E1229="Nghỉ tuần",N($H1229),0))</f>
        <v/>
      </c>
      <c r="O1229" s="108">
        <f>IF($B1229="","",IF($E1229="Lễ",N($H1229),0))</f>
        <v/>
      </c>
    </row>
    <row r="1230" ht="15" customHeight="1" s="63">
      <c r="A1230" s="85">
        <f>IF($B1230="","",ROW()-5)</f>
        <v/>
      </c>
      <c r="B1230" s="97" t="n"/>
      <c r="C1230" s="96">
        <f>IF($B1230="","",IFERROR(INDEX(DM_NHAN_SU!$C$6:$C$155,MATCH($B1230,DM_NHAN_SU!$B$6:$B$155,0)),"SAI MÃ NV"))</f>
        <v/>
      </c>
      <c r="D1230" s="86" t="n"/>
      <c r="E1230" s="103">
        <f>IF(OR($B1230="",$D1230=""),"",IF(COUNTIF(THAM_SO_CC!$F$10:$F$40,$D1230)&gt;0,"Lễ",IF(IF(THAM_SO_CC!$B$12="T7+CN",WEEKDAY($D1230,2)&gt;=6,WEEKDAY($D1230,2)=7),"Nghỉ tuần","Ngày thường")))</f>
        <v/>
      </c>
      <c r="F1230" s="107" t="n"/>
      <c r="G1230" s="107" t="n"/>
      <c r="H1230" s="107" t="n"/>
      <c r="I1230" s="81" t="n"/>
      <c r="J1230" s="108">
        <f>IF($B1230="","",IF($E1230="Ngày thường",N($G1230),0))</f>
        <v/>
      </c>
      <c r="K1230" s="108">
        <f>IF($B1230="","",IF($E1230="Nghỉ tuần",N($G1230),0))</f>
        <v/>
      </c>
      <c r="L1230" s="108">
        <f>IF($B1230="","",IF($E1230="Lễ",N($G1230),0))</f>
        <v/>
      </c>
      <c r="M1230" s="108">
        <f>IF($B1230="","",IF($E1230="Ngày thường",N($H1230),0))</f>
        <v/>
      </c>
      <c r="N1230" s="108">
        <f>IF($B1230="","",IF($E1230="Nghỉ tuần",N($H1230),0))</f>
        <v/>
      </c>
      <c r="O1230" s="108">
        <f>IF($B1230="","",IF($E1230="Lễ",N($H1230),0))</f>
        <v/>
      </c>
    </row>
    <row r="1231" ht="15" customHeight="1" s="63">
      <c r="A1231" s="85">
        <f>IF($B1231="","",ROW()-5)</f>
        <v/>
      </c>
      <c r="B1231" s="97" t="n"/>
      <c r="C1231" s="96">
        <f>IF($B1231="","",IFERROR(INDEX(DM_NHAN_SU!$C$6:$C$155,MATCH($B1231,DM_NHAN_SU!$B$6:$B$155,0)),"SAI MÃ NV"))</f>
        <v/>
      </c>
      <c r="D1231" s="86" t="n"/>
      <c r="E1231" s="103">
        <f>IF(OR($B1231="",$D1231=""),"",IF(COUNTIF(THAM_SO_CC!$F$10:$F$40,$D1231)&gt;0,"Lễ",IF(IF(THAM_SO_CC!$B$12="T7+CN",WEEKDAY($D1231,2)&gt;=6,WEEKDAY($D1231,2)=7),"Nghỉ tuần","Ngày thường")))</f>
        <v/>
      </c>
      <c r="F1231" s="107" t="n"/>
      <c r="G1231" s="107" t="n"/>
      <c r="H1231" s="107" t="n"/>
      <c r="I1231" s="81" t="n"/>
      <c r="J1231" s="108">
        <f>IF($B1231="","",IF($E1231="Ngày thường",N($G1231),0))</f>
        <v/>
      </c>
      <c r="K1231" s="108">
        <f>IF($B1231="","",IF($E1231="Nghỉ tuần",N($G1231),0))</f>
        <v/>
      </c>
      <c r="L1231" s="108">
        <f>IF($B1231="","",IF($E1231="Lễ",N($G1231),0))</f>
        <v/>
      </c>
      <c r="M1231" s="108">
        <f>IF($B1231="","",IF($E1231="Ngày thường",N($H1231),0))</f>
        <v/>
      </c>
      <c r="N1231" s="108">
        <f>IF($B1231="","",IF($E1231="Nghỉ tuần",N($H1231),0))</f>
        <v/>
      </c>
      <c r="O1231" s="108">
        <f>IF($B1231="","",IF($E1231="Lễ",N($H1231),0))</f>
        <v/>
      </c>
    </row>
    <row r="1232" ht="15" customHeight="1" s="63">
      <c r="A1232" s="85">
        <f>IF($B1232="","",ROW()-5)</f>
        <v/>
      </c>
      <c r="B1232" s="97" t="n"/>
      <c r="C1232" s="96">
        <f>IF($B1232="","",IFERROR(INDEX(DM_NHAN_SU!$C$6:$C$155,MATCH($B1232,DM_NHAN_SU!$B$6:$B$155,0)),"SAI MÃ NV"))</f>
        <v/>
      </c>
      <c r="D1232" s="86" t="n"/>
      <c r="E1232" s="103">
        <f>IF(OR($B1232="",$D1232=""),"",IF(COUNTIF(THAM_SO_CC!$F$10:$F$40,$D1232)&gt;0,"Lễ",IF(IF(THAM_SO_CC!$B$12="T7+CN",WEEKDAY($D1232,2)&gt;=6,WEEKDAY($D1232,2)=7),"Nghỉ tuần","Ngày thường")))</f>
        <v/>
      </c>
      <c r="F1232" s="107" t="n"/>
      <c r="G1232" s="107" t="n"/>
      <c r="H1232" s="107" t="n"/>
      <c r="I1232" s="81" t="n"/>
      <c r="J1232" s="108">
        <f>IF($B1232="","",IF($E1232="Ngày thường",N($G1232),0))</f>
        <v/>
      </c>
      <c r="K1232" s="108">
        <f>IF($B1232="","",IF($E1232="Nghỉ tuần",N($G1232),0))</f>
        <v/>
      </c>
      <c r="L1232" s="108">
        <f>IF($B1232="","",IF($E1232="Lễ",N($G1232),0))</f>
        <v/>
      </c>
      <c r="M1232" s="108">
        <f>IF($B1232="","",IF($E1232="Ngày thường",N($H1232),0))</f>
        <v/>
      </c>
      <c r="N1232" s="108">
        <f>IF($B1232="","",IF($E1232="Nghỉ tuần",N($H1232),0))</f>
        <v/>
      </c>
      <c r="O1232" s="108">
        <f>IF($B1232="","",IF($E1232="Lễ",N($H1232),0))</f>
        <v/>
      </c>
    </row>
    <row r="1233" ht="15" customHeight="1" s="63">
      <c r="A1233" s="85">
        <f>IF($B1233="","",ROW()-5)</f>
        <v/>
      </c>
      <c r="B1233" s="97" t="n"/>
      <c r="C1233" s="96">
        <f>IF($B1233="","",IFERROR(INDEX(DM_NHAN_SU!$C$6:$C$155,MATCH($B1233,DM_NHAN_SU!$B$6:$B$155,0)),"SAI MÃ NV"))</f>
        <v/>
      </c>
      <c r="D1233" s="86" t="n"/>
      <c r="E1233" s="103">
        <f>IF(OR($B1233="",$D1233=""),"",IF(COUNTIF(THAM_SO_CC!$F$10:$F$40,$D1233)&gt;0,"Lễ",IF(IF(THAM_SO_CC!$B$12="T7+CN",WEEKDAY($D1233,2)&gt;=6,WEEKDAY($D1233,2)=7),"Nghỉ tuần","Ngày thường")))</f>
        <v/>
      </c>
      <c r="F1233" s="107" t="n"/>
      <c r="G1233" s="107" t="n"/>
      <c r="H1233" s="107" t="n"/>
      <c r="I1233" s="81" t="n"/>
      <c r="J1233" s="108">
        <f>IF($B1233="","",IF($E1233="Ngày thường",N($G1233),0))</f>
        <v/>
      </c>
      <c r="K1233" s="108">
        <f>IF($B1233="","",IF($E1233="Nghỉ tuần",N($G1233),0))</f>
        <v/>
      </c>
      <c r="L1233" s="108">
        <f>IF($B1233="","",IF($E1233="Lễ",N($G1233),0))</f>
        <v/>
      </c>
      <c r="M1233" s="108">
        <f>IF($B1233="","",IF($E1233="Ngày thường",N($H1233),0))</f>
        <v/>
      </c>
      <c r="N1233" s="108">
        <f>IF($B1233="","",IF($E1233="Nghỉ tuần",N($H1233),0))</f>
        <v/>
      </c>
      <c r="O1233" s="108">
        <f>IF($B1233="","",IF($E1233="Lễ",N($H1233),0))</f>
        <v/>
      </c>
    </row>
    <row r="1234" ht="15" customHeight="1" s="63">
      <c r="A1234" s="85">
        <f>IF($B1234="","",ROW()-5)</f>
        <v/>
      </c>
      <c r="B1234" s="97" t="n"/>
      <c r="C1234" s="96">
        <f>IF($B1234="","",IFERROR(INDEX(DM_NHAN_SU!$C$6:$C$155,MATCH($B1234,DM_NHAN_SU!$B$6:$B$155,0)),"SAI MÃ NV"))</f>
        <v/>
      </c>
      <c r="D1234" s="86" t="n"/>
      <c r="E1234" s="103">
        <f>IF(OR($B1234="",$D1234=""),"",IF(COUNTIF(THAM_SO_CC!$F$10:$F$40,$D1234)&gt;0,"Lễ",IF(IF(THAM_SO_CC!$B$12="T7+CN",WEEKDAY($D1234,2)&gt;=6,WEEKDAY($D1234,2)=7),"Nghỉ tuần","Ngày thường")))</f>
        <v/>
      </c>
      <c r="F1234" s="107" t="n"/>
      <c r="G1234" s="107" t="n"/>
      <c r="H1234" s="107" t="n"/>
      <c r="I1234" s="81" t="n"/>
      <c r="J1234" s="108">
        <f>IF($B1234="","",IF($E1234="Ngày thường",N($G1234),0))</f>
        <v/>
      </c>
      <c r="K1234" s="108">
        <f>IF($B1234="","",IF($E1234="Nghỉ tuần",N($G1234),0))</f>
        <v/>
      </c>
      <c r="L1234" s="108">
        <f>IF($B1234="","",IF($E1234="Lễ",N($G1234),0))</f>
        <v/>
      </c>
      <c r="M1234" s="108">
        <f>IF($B1234="","",IF($E1234="Ngày thường",N($H1234),0))</f>
        <v/>
      </c>
      <c r="N1234" s="108">
        <f>IF($B1234="","",IF($E1234="Nghỉ tuần",N($H1234),0))</f>
        <v/>
      </c>
      <c r="O1234" s="108">
        <f>IF($B1234="","",IF($E1234="Lễ",N($H1234),0))</f>
        <v/>
      </c>
    </row>
    <row r="1235" ht="15" customHeight="1" s="63">
      <c r="A1235" s="85">
        <f>IF($B1235="","",ROW()-5)</f>
        <v/>
      </c>
      <c r="B1235" s="97" t="n"/>
      <c r="C1235" s="96">
        <f>IF($B1235="","",IFERROR(INDEX(DM_NHAN_SU!$C$6:$C$155,MATCH($B1235,DM_NHAN_SU!$B$6:$B$155,0)),"SAI MÃ NV"))</f>
        <v/>
      </c>
      <c r="D1235" s="86" t="n"/>
      <c r="E1235" s="103">
        <f>IF(OR($B1235="",$D1235=""),"",IF(COUNTIF(THAM_SO_CC!$F$10:$F$40,$D1235)&gt;0,"Lễ",IF(IF(THAM_SO_CC!$B$12="T7+CN",WEEKDAY($D1235,2)&gt;=6,WEEKDAY($D1235,2)=7),"Nghỉ tuần","Ngày thường")))</f>
        <v/>
      </c>
      <c r="F1235" s="107" t="n"/>
      <c r="G1235" s="107" t="n"/>
      <c r="H1235" s="107" t="n"/>
      <c r="I1235" s="81" t="n"/>
      <c r="J1235" s="108">
        <f>IF($B1235="","",IF($E1235="Ngày thường",N($G1235),0))</f>
        <v/>
      </c>
      <c r="K1235" s="108">
        <f>IF($B1235="","",IF($E1235="Nghỉ tuần",N($G1235),0))</f>
        <v/>
      </c>
      <c r="L1235" s="108">
        <f>IF($B1235="","",IF($E1235="Lễ",N($G1235),0))</f>
        <v/>
      </c>
      <c r="M1235" s="108">
        <f>IF($B1235="","",IF($E1235="Ngày thường",N($H1235),0))</f>
        <v/>
      </c>
      <c r="N1235" s="108">
        <f>IF($B1235="","",IF($E1235="Nghỉ tuần",N($H1235),0))</f>
        <v/>
      </c>
      <c r="O1235" s="108">
        <f>IF($B1235="","",IF($E1235="Lễ",N($H1235),0))</f>
        <v/>
      </c>
    </row>
    <row r="1236" ht="15" customHeight="1" s="63">
      <c r="A1236" s="85">
        <f>IF($B1236="","",ROW()-5)</f>
        <v/>
      </c>
      <c r="B1236" s="97" t="n"/>
      <c r="C1236" s="96">
        <f>IF($B1236="","",IFERROR(INDEX(DM_NHAN_SU!$C$6:$C$155,MATCH($B1236,DM_NHAN_SU!$B$6:$B$155,0)),"SAI MÃ NV"))</f>
        <v/>
      </c>
      <c r="D1236" s="86" t="n"/>
      <c r="E1236" s="103">
        <f>IF(OR($B1236="",$D1236=""),"",IF(COUNTIF(THAM_SO_CC!$F$10:$F$40,$D1236)&gt;0,"Lễ",IF(IF(THAM_SO_CC!$B$12="T7+CN",WEEKDAY($D1236,2)&gt;=6,WEEKDAY($D1236,2)=7),"Nghỉ tuần","Ngày thường")))</f>
        <v/>
      </c>
      <c r="F1236" s="107" t="n"/>
      <c r="G1236" s="107" t="n"/>
      <c r="H1236" s="107" t="n"/>
      <c r="I1236" s="81" t="n"/>
      <c r="J1236" s="108">
        <f>IF($B1236="","",IF($E1236="Ngày thường",N($G1236),0))</f>
        <v/>
      </c>
      <c r="K1236" s="108">
        <f>IF($B1236="","",IF($E1236="Nghỉ tuần",N($G1236),0))</f>
        <v/>
      </c>
      <c r="L1236" s="108">
        <f>IF($B1236="","",IF($E1236="Lễ",N($G1236),0))</f>
        <v/>
      </c>
      <c r="M1236" s="108">
        <f>IF($B1236="","",IF($E1236="Ngày thường",N($H1236),0))</f>
        <v/>
      </c>
      <c r="N1236" s="108">
        <f>IF($B1236="","",IF($E1236="Nghỉ tuần",N($H1236),0))</f>
        <v/>
      </c>
      <c r="O1236" s="108">
        <f>IF($B1236="","",IF($E1236="Lễ",N($H1236),0))</f>
        <v/>
      </c>
    </row>
    <row r="1237" ht="15" customHeight="1" s="63">
      <c r="A1237" s="85">
        <f>IF($B1237="","",ROW()-5)</f>
        <v/>
      </c>
      <c r="B1237" s="97" t="n"/>
      <c r="C1237" s="96">
        <f>IF($B1237="","",IFERROR(INDEX(DM_NHAN_SU!$C$6:$C$155,MATCH($B1237,DM_NHAN_SU!$B$6:$B$155,0)),"SAI MÃ NV"))</f>
        <v/>
      </c>
      <c r="D1237" s="86" t="n"/>
      <c r="E1237" s="103">
        <f>IF(OR($B1237="",$D1237=""),"",IF(COUNTIF(THAM_SO_CC!$F$10:$F$40,$D1237)&gt;0,"Lễ",IF(IF(THAM_SO_CC!$B$12="T7+CN",WEEKDAY($D1237,2)&gt;=6,WEEKDAY($D1237,2)=7),"Nghỉ tuần","Ngày thường")))</f>
        <v/>
      </c>
      <c r="F1237" s="107" t="n"/>
      <c r="G1237" s="107" t="n"/>
      <c r="H1237" s="107" t="n"/>
      <c r="I1237" s="81" t="n"/>
      <c r="J1237" s="108">
        <f>IF($B1237="","",IF($E1237="Ngày thường",N($G1237),0))</f>
        <v/>
      </c>
      <c r="K1237" s="108">
        <f>IF($B1237="","",IF($E1237="Nghỉ tuần",N($G1237),0))</f>
        <v/>
      </c>
      <c r="L1237" s="108">
        <f>IF($B1237="","",IF($E1237="Lễ",N($G1237),0))</f>
        <v/>
      </c>
      <c r="M1237" s="108">
        <f>IF($B1237="","",IF($E1237="Ngày thường",N($H1237),0))</f>
        <v/>
      </c>
      <c r="N1237" s="108">
        <f>IF($B1237="","",IF($E1237="Nghỉ tuần",N($H1237),0))</f>
        <v/>
      </c>
      <c r="O1237" s="108">
        <f>IF($B1237="","",IF($E1237="Lễ",N($H1237),0))</f>
        <v/>
      </c>
    </row>
    <row r="1238" ht="15" customHeight="1" s="63">
      <c r="A1238" s="85">
        <f>IF($B1238="","",ROW()-5)</f>
        <v/>
      </c>
      <c r="B1238" s="97" t="n"/>
      <c r="C1238" s="96">
        <f>IF($B1238="","",IFERROR(INDEX(DM_NHAN_SU!$C$6:$C$155,MATCH($B1238,DM_NHAN_SU!$B$6:$B$155,0)),"SAI MÃ NV"))</f>
        <v/>
      </c>
      <c r="D1238" s="86" t="n"/>
      <c r="E1238" s="103">
        <f>IF(OR($B1238="",$D1238=""),"",IF(COUNTIF(THAM_SO_CC!$F$10:$F$40,$D1238)&gt;0,"Lễ",IF(IF(THAM_SO_CC!$B$12="T7+CN",WEEKDAY($D1238,2)&gt;=6,WEEKDAY($D1238,2)=7),"Nghỉ tuần","Ngày thường")))</f>
        <v/>
      </c>
      <c r="F1238" s="107" t="n"/>
      <c r="G1238" s="107" t="n"/>
      <c r="H1238" s="107" t="n"/>
      <c r="I1238" s="81" t="n"/>
      <c r="J1238" s="108">
        <f>IF($B1238="","",IF($E1238="Ngày thường",N($G1238),0))</f>
        <v/>
      </c>
      <c r="K1238" s="108">
        <f>IF($B1238="","",IF($E1238="Nghỉ tuần",N($G1238),0))</f>
        <v/>
      </c>
      <c r="L1238" s="108">
        <f>IF($B1238="","",IF($E1238="Lễ",N($G1238),0))</f>
        <v/>
      </c>
      <c r="M1238" s="108">
        <f>IF($B1238="","",IF($E1238="Ngày thường",N($H1238),0))</f>
        <v/>
      </c>
      <c r="N1238" s="108">
        <f>IF($B1238="","",IF($E1238="Nghỉ tuần",N($H1238),0))</f>
        <v/>
      </c>
      <c r="O1238" s="108">
        <f>IF($B1238="","",IF($E1238="Lễ",N($H1238),0))</f>
        <v/>
      </c>
    </row>
    <row r="1239" ht="15" customHeight="1" s="63">
      <c r="A1239" s="85">
        <f>IF($B1239="","",ROW()-5)</f>
        <v/>
      </c>
      <c r="B1239" s="97" t="n"/>
      <c r="C1239" s="96">
        <f>IF($B1239="","",IFERROR(INDEX(DM_NHAN_SU!$C$6:$C$155,MATCH($B1239,DM_NHAN_SU!$B$6:$B$155,0)),"SAI MÃ NV"))</f>
        <v/>
      </c>
      <c r="D1239" s="86" t="n"/>
      <c r="E1239" s="103">
        <f>IF(OR($B1239="",$D1239=""),"",IF(COUNTIF(THAM_SO_CC!$F$10:$F$40,$D1239)&gt;0,"Lễ",IF(IF(THAM_SO_CC!$B$12="T7+CN",WEEKDAY($D1239,2)&gt;=6,WEEKDAY($D1239,2)=7),"Nghỉ tuần","Ngày thường")))</f>
        <v/>
      </c>
      <c r="F1239" s="107" t="n"/>
      <c r="G1239" s="107" t="n"/>
      <c r="H1239" s="107" t="n"/>
      <c r="I1239" s="81" t="n"/>
      <c r="J1239" s="108">
        <f>IF($B1239="","",IF($E1239="Ngày thường",N($G1239),0))</f>
        <v/>
      </c>
      <c r="K1239" s="108">
        <f>IF($B1239="","",IF($E1239="Nghỉ tuần",N($G1239),0))</f>
        <v/>
      </c>
      <c r="L1239" s="108">
        <f>IF($B1239="","",IF($E1239="Lễ",N($G1239),0))</f>
        <v/>
      </c>
      <c r="M1239" s="108">
        <f>IF($B1239="","",IF($E1239="Ngày thường",N($H1239),0))</f>
        <v/>
      </c>
      <c r="N1239" s="108">
        <f>IF($B1239="","",IF($E1239="Nghỉ tuần",N($H1239),0))</f>
        <v/>
      </c>
      <c r="O1239" s="108">
        <f>IF($B1239="","",IF($E1239="Lễ",N($H1239),0))</f>
        <v/>
      </c>
    </row>
    <row r="1240" ht="15" customHeight="1" s="63">
      <c r="A1240" s="85">
        <f>IF($B1240="","",ROW()-5)</f>
        <v/>
      </c>
      <c r="B1240" s="97" t="n"/>
      <c r="C1240" s="96">
        <f>IF($B1240="","",IFERROR(INDEX(DM_NHAN_SU!$C$6:$C$155,MATCH($B1240,DM_NHAN_SU!$B$6:$B$155,0)),"SAI MÃ NV"))</f>
        <v/>
      </c>
      <c r="D1240" s="86" t="n"/>
      <c r="E1240" s="103">
        <f>IF(OR($B1240="",$D1240=""),"",IF(COUNTIF(THAM_SO_CC!$F$10:$F$40,$D1240)&gt;0,"Lễ",IF(IF(THAM_SO_CC!$B$12="T7+CN",WEEKDAY($D1240,2)&gt;=6,WEEKDAY($D1240,2)=7),"Nghỉ tuần","Ngày thường")))</f>
        <v/>
      </c>
      <c r="F1240" s="107" t="n"/>
      <c r="G1240" s="107" t="n"/>
      <c r="H1240" s="107" t="n"/>
      <c r="I1240" s="81" t="n"/>
      <c r="J1240" s="108">
        <f>IF($B1240="","",IF($E1240="Ngày thường",N($G1240),0))</f>
        <v/>
      </c>
      <c r="K1240" s="108">
        <f>IF($B1240="","",IF($E1240="Nghỉ tuần",N($G1240),0))</f>
        <v/>
      </c>
      <c r="L1240" s="108">
        <f>IF($B1240="","",IF($E1240="Lễ",N($G1240),0))</f>
        <v/>
      </c>
      <c r="M1240" s="108">
        <f>IF($B1240="","",IF($E1240="Ngày thường",N($H1240),0))</f>
        <v/>
      </c>
      <c r="N1240" s="108">
        <f>IF($B1240="","",IF($E1240="Nghỉ tuần",N($H1240),0))</f>
        <v/>
      </c>
      <c r="O1240" s="108">
        <f>IF($B1240="","",IF($E1240="Lễ",N($H1240),0))</f>
        <v/>
      </c>
    </row>
    <row r="1241" ht="15" customHeight="1" s="63">
      <c r="A1241" s="85">
        <f>IF($B1241="","",ROW()-5)</f>
        <v/>
      </c>
      <c r="B1241" s="97" t="n"/>
      <c r="C1241" s="96">
        <f>IF($B1241="","",IFERROR(INDEX(DM_NHAN_SU!$C$6:$C$155,MATCH($B1241,DM_NHAN_SU!$B$6:$B$155,0)),"SAI MÃ NV"))</f>
        <v/>
      </c>
      <c r="D1241" s="86" t="n"/>
      <c r="E1241" s="103">
        <f>IF(OR($B1241="",$D1241=""),"",IF(COUNTIF(THAM_SO_CC!$F$10:$F$40,$D1241)&gt;0,"Lễ",IF(IF(THAM_SO_CC!$B$12="T7+CN",WEEKDAY($D1241,2)&gt;=6,WEEKDAY($D1241,2)=7),"Nghỉ tuần","Ngày thường")))</f>
        <v/>
      </c>
      <c r="F1241" s="107" t="n"/>
      <c r="G1241" s="107" t="n"/>
      <c r="H1241" s="107" t="n"/>
      <c r="I1241" s="81" t="n"/>
      <c r="J1241" s="108">
        <f>IF($B1241="","",IF($E1241="Ngày thường",N($G1241),0))</f>
        <v/>
      </c>
      <c r="K1241" s="108">
        <f>IF($B1241="","",IF($E1241="Nghỉ tuần",N($G1241),0))</f>
        <v/>
      </c>
      <c r="L1241" s="108">
        <f>IF($B1241="","",IF($E1241="Lễ",N($G1241),0))</f>
        <v/>
      </c>
      <c r="M1241" s="108">
        <f>IF($B1241="","",IF($E1241="Ngày thường",N($H1241),0))</f>
        <v/>
      </c>
      <c r="N1241" s="108">
        <f>IF($B1241="","",IF($E1241="Nghỉ tuần",N($H1241),0))</f>
        <v/>
      </c>
      <c r="O1241" s="108">
        <f>IF($B1241="","",IF($E1241="Lễ",N($H1241),0))</f>
        <v/>
      </c>
    </row>
    <row r="1242" ht="15" customHeight="1" s="63">
      <c r="A1242" s="85">
        <f>IF($B1242="","",ROW()-5)</f>
        <v/>
      </c>
      <c r="B1242" s="97" t="n"/>
      <c r="C1242" s="96">
        <f>IF($B1242="","",IFERROR(INDEX(DM_NHAN_SU!$C$6:$C$155,MATCH($B1242,DM_NHAN_SU!$B$6:$B$155,0)),"SAI MÃ NV"))</f>
        <v/>
      </c>
      <c r="D1242" s="86" t="n"/>
      <c r="E1242" s="103">
        <f>IF(OR($B1242="",$D1242=""),"",IF(COUNTIF(THAM_SO_CC!$F$10:$F$40,$D1242)&gt;0,"Lễ",IF(IF(THAM_SO_CC!$B$12="T7+CN",WEEKDAY($D1242,2)&gt;=6,WEEKDAY($D1242,2)=7),"Nghỉ tuần","Ngày thường")))</f>
        <v/>
      </c>
      <c r="F1242" s="107" t="n"/>
      <c r="G1242" s="107" t="n"/>
      <c r="H1242" s="107" t="n"/>
      <c r="I1242" s="81" t="n"/>
      <c r="J1242" s="108">
        <f>IF($B1242="","",IF($E1242="Ngày thường",N($G1242),0))</f>
        <v/>
      </c>
      <c r="K1242" s="108">
        <f>IF($B1242="","",IF($E1242="Nghỉ tuần",N($G1242),0))</f>
        <v/>
      </c>
      <c r="L1242" s="108">
        <f>IF($B1242="","",IF($E1242="Lễ",N($G1242),0))</f>
        <v/>
      </c>
      <c r="M1242" s="108">
        <f>IF($B1242="","",IF($E1242="Ngày thường",N($H1242),0))</f>
        <v/>
      </c>
      <c r="N1242" s="108">
        <f>IF($B1242="","",IF($E1242="Nghỉ tuần",N($H1242),0))</f>
        <v/>
      </c>
      <c r="O1242" s="108">
        <f>IF($B1242="","",IF($E1242="Lễ",N($H1242),0))</f>
        <v/>
      </c>
    </row>
    <row r="1243" ht="15" customHeight="1" s="63">
      <c r="A1243" s="85">
        <f>IF($B1243="","",ROW()-5)</f>
        <v/>
      </c>
      <c r="B1243" s="97" t="n"/>
      <c r="C1243" s="96">
        <f>IF($B1243="","",IFERROR(INDEX(DM_NHAN_SU!$C$6:$C$155,MATCH($B1243,DM_NHAN_SU!$B$6:$B$155,0)),"SAI MÃ NV"))</f>
        <v/>
      </c>
      <c r="D1243" s="86" t="n"/>
      <c r="E1243" s="103">
        <f>IF(OR($B1243="",$D1243=""),"",IF(COUNTIF(THAM_SO_CC!$F$10:$F$40,$D1243)&gt;0,"Lễ",IF(IF(THAM_SO_CC!$B$12="T7+CN",WEEKDAY($D1243,2)&gt;=6,WEEKDAY($D1243,2)=7),"Nghỉ tuần","Ngày thường")))</f>
        <v/>
      </c>
      <c r="F1243" s="107" t="n"/>
      <c r="G1243" s="107" t="n"/>
      <c r="H1243" s="107" t="n"/>
      <c r="I1243" s="81" t="n"/>
      <c r="J1243" s="108">
        <f>IF($B1243="","",IF($E1243="Ngày thường",N($G1243),0))</f>
        <v/>
      </c>
      <c r="K1243" s="108">
        <f>IF($B1243="","",IF($E1243="Nghỉ tuần",N($G1243),0))</f>
        <v/>
      </c>
      <c r="L1243" s="108">
        <f>IF($B1243="","",IF($E1243="Lễ",N($G1243),0))</f>
        <v/>
      </c>
      <c r="M1243" s="108">
        <f>IF($B1243="","",IF($E1243="Ngày thường",N($H1243),0))</f>
        <v/>
      </c>
      <c r="N1243" s="108">
        <f>IF($B1243="","",IF($E1243="Nghỉ tuần",N($H1243),0))</f>
        <v/>
      </c>
      <c r="O1243" s="108">
        <f>IF($B1243="","",IF($E1243="Lễ",N($H1243),0))</f>
        <v/>
      </c>
    </row>
    <row r="1244" ht="15" customHeight="1" s="63">
      <c r="A1244" s="85">
        <f>IF($B1244="","",ROW()-5)</f>
        <v/>
      </c>
      <c r="B1244" s="97" t="n"/>
      <c r="C1244" s="96">
        <f>IF($B1244="","",IFERROR(INDEX(DM_NHAN_SU!$C$6:$C$155,MATCH($B1244,DM_NHAN_SU!$B$6:$B$155,0)),"SAI MÃ NV"))</f>
        <v/>
      </c>
      <c r="D1244" s="86" t="n"/>
      <c r="E1244" s="103">
        <f>IF(OR($B1244="",$D1244=""),"",IF(COUNTIF(THAM_SO_CC!$F$10:$F$40,$D1244)&gt;0,"Lễ",IF(IF(THAM_SO_CC!$B$12="T7+CN",WEEKDAY($D1244,2)&gt;=6,WEEKDAY($D1244,2)=7),"Nghỉ tuần","Ngày thường")))</f>
        <v/>
      </c>
      <c r="F1244" s="107" t="n"/>
      <c r="G1244" s="107" t="n"/>
      <c r="H1244" s="107" t="n"/>
      <c r="I1244" s="81" t="n"/>
      <c r="J1244" s="108">
        <f>IF($B1244="","",IF($E1244="Ngày thường",N($G1244),0))</f>
        <v/>
      </c>
      <c r="K1244" s="108">
        <f>IF($B1244="","",IF($E1244="Nghỉ tuần",N($G1244),0))</f>
        <v/>
      </c>
      <c r="L1244" s="108">
        <f>IF($B1244="","",IF($E1244="Lễ",N($G1244),0))</f>
        <v/>
      </c>
      <c r="M1244" s="108">
        <f>IF($B1244="","",IF($E1244="Ngày thường",N($H1244),0))</f>
        <v/>
      </c>
      <c r="N1244" s="108">
        <f>IF($B1244="","",IF($E1244="Nghỉ tuần",N($H1244),0))</f>
        <v/>
      </c>
      <c r="O1244" s="108">
        <f>IF($B1244="","",IF($E1244="Lễ",N($H1244),0))</f>
        <v/>
      </c>
    </row>
    <row r="1245" ht="15" customHeight="1" s="63">
      <c r="A1245" s="85">
        <f>IF($B1245="","",ROW()-5)</f>
        <v/>
      </c>
      <c r="B1245" s="97" t="n"/>
      <c r="C1245" s="96">
        <f>IF($B1245="","",IFERROR(INDEX(DM_NHAN_SU!$C$6:$C$155,MATCH($B1245,DM_NHAN_SU!$B$6:$B$155,0)),"SAI MÃ NV"))</f>
        <v/>
      </c>
      <c r="D1245" s="86" t="n"/>
      <c r="E1245" s="103">
        <f>IF(OR($B1245="",$D1245=""),"",IF(COUNTIF(THAM_SO_CC!$F$10:$F$40,$D1245)&gt;0,"Lễ",IF(IF(THAM_SO_CC!$B$12="T7+CN",WEEKDAY($D1245,2)&gt;=6,WEEKDAY($D1245,2)=7),"Nghỉ tuần","Ngày thường")))</f>
        <v/>
      </c>
      <c r="F1245" s="107" t="n"/>
      <c r="G1245" s="107" t="n"/>
      <c r="H1245" s="107" t="n"/>
      <c r="I1245" s="81" t="n"/>
      <c r="J1245" s="108">
        <f>IF($B1245="","",IF($E1245="Ngày thường",N($G1245),0))</f>
        <v/>
      </c>
      <c r="K1245" s="108">
        <f>IF($B1245="","",IF($E1245="Nghỉ tuần",N($G1245),0))</f>
        <v/>
      </c>
      <c r="L1245" s="108">
        <f>IF($B1245="","",IF($E1245="Lễ",N($G1245),0))</f>
        <v/>
      </c>
      <c r="M1245" s="108">
        <f>IF($B1245="","",IF($E1245="Ngày thường",N($H1245),0))</f>
        <v/>
      </c>
      <c r="N1245" s="108">
        <f>IF($B1245="","",IF($E1245="Nghỉ tuần",N($H1245),0))</f>
        <v/>
      </c>
      <c r="O1245" s="108">
        <f>IF($B1245="","",IF($E1245="Lễ",N($H1245),0))</f>
        <v/>
      </c>
    </row>
    <row r="1246" ht="15" customHeight="1" s="63">
      <c r="A1246" s="85">
        <f>IF($B1246="","",ROW()-5)</f>
        <v/>
      </c>
      <c r="B1246" s="97" t="n"/>
      <c r="C1246" s="96">
        <f>IF($B1246="","",IFERROR(INDEX(DM_NHAN_SU!$C$6:$C$155,MATCH($B1246,DM_NHAN_SU!$B$6:$B$155,0)),"SAI MÃ NV"))</f>
        <v/>
      </c>
      <c r="D1246" s="86" t="n"/>
      <c r="E1246" s="103">
        <f>IF(OR($B1246="",$D1246=""),"",IF(COUNTIF(THAM_SO_CC!$F$10:$F$40,$D1246)&gt;0,"Lễ",IF(IF(THAM_SO_CC!$B$12="T7+CN",WEEKDAY($D1246,2)&gt;=6,WEEKDAY($D1246,2)=7),"Nghỉ tuần","Ngày thường")))</f>
        <v/>
      </c>
      <c r="F1246" s="107" t="n"/>
      <c r="G1246" s="107" t="n"/>
      <c r="H1246" s="107" t="n"/>
      <c r="I1246" s="81" t="n"/>
      <c r="J1246" s="108">
        <f>IF($B1246="","",IF($E1246="Ngày thường",N($G1246),0))</f>
        <v/>
      </c>
      <c r="K1246" s="108">
        <f>IF($B1246="","",IF($E1246="Nghỉ tuần",N($G1246),0))</f>
        <v/>
      </c>
      <c r="L1246" s="108">
        <f>IF($B1246="","",IF($E1246="Lễ",N($G1246),0))</f>
        <v/>
      </c>
      <c r="M1246" s="108">
        <f>IF($B1246="","",IF($E1246="Ngày thường",N($H1246),0))</f>
        <v/>
      </c>
      <c r="N1246" s="108">
        <f>IF($B1246="","",IF($E1246="Nghỉ tuần",N($H1246),0))</f>
        <v/>
      </c>
      <c r="O1246" s="108">
        <f>IF($B1246="","",IF($E1246="Lễ",N($H1246),0))</f>
        <v/>
      </c>
    </row>
    <row r="1247" ht="15" customHeight="1" s="63">
      <c r="A1247" s="85">
        <f>IF($B1247="","",ROW()-5)</f>
        <v/>
      </c>
      <c r="B1247" s="97" t="n"/>
      <c r="C1247" s="96">
        <f>IF($B1247="","",IFERROR(INDEX(DM_NHAN_SU!$C$6:$C$155,MATCH($B1247,DM_NHAN_SU!$B$6:$B$155,0)),"SAI MÃ NV"))</f>
        <v/>
      </c>
      <c r="D1247" s="86" t="n"/>
      <c r="E1247" s="103">
        <f>IF(OR($B1247="",$D1247=""),"",IF(COUNTIF(THAM_SO_CC!$F$10:$F$40,$D1247)&gt;0,"Lễ",IF(IF(THAM_SO_CC!$B$12="T7+CN",WEEKDAY($D1247,2)&gt;=6,WEEKDAY($D1247,2)=7),"Nghỉ tuần","Ngày thường")))</f>
        <v/>
      </c>
      <c r="F1247" s="107" t="n"/>
      <c r="G1247" s="107" t="n"/>
      <c r="H1247" s="107" t="n"/>
      <c r="I1247" s="81" t="n"/>
      <c r="J1247" s="108">
        <f>IF($B1247="","",IF($E1247="Ngày thường",N($G1247),0))</f>
        <v/>
      </c>
      <c r="K1247" s="108">
        <f>IF($B1247="","",IF($E1247="Nghỉ tuần",N($G1247),0))</f>
        <v/>
      </c>
      <c r="L1247" s="108">
        <f>IF($B1247="","",IF($E1247="Lễ",N($G1247),0))</f>
        <v/>
      </c>
      <c r="M1247" s="108">
        <f>IF($B1247="","",IF($E1247="Ngày thường",N($H1247),0))</f>
        <v/>
      </c>
      <c r="N1247" s="108">
        <f>IF($B1247="","",IF($E1247="Nghỉ tuần",N($H1247),0))</f>
        <v/>
      </c>
      <c r="O1247" s="108">
        <f>IF($B1247="","",IF($E1247="Lễ",N($H1247),0))</f>
        <v/>
      </c>
    </row>
    <row r="1248" ht="15" customHeight="1" s="63">
      <c r="A1248" s="85">
        <f>IF($B1248="","",ROW()-5)</f>
        <v/>
      </c>
      <c r="B1248" s="97" t="n"/>
      <c r="C1248" s="96">
        <f>IF($B1248="","",IFERROR(INDEX(DM_NHAN_SU!$C$6:$C$155,MATCH($B1248,DM_NHAN_SU!$B$6:$B$155,0)),"SAI MÃ NV"))</f>
        <v/>
      </c>
      <c r="D1248" s="86" t="n"/>
      <c r="E1248" s="103">
        <f>IF(OR($B1248="",$D1248=""),"",IF(COUNTIF(THAM_SO_CC!$F$10:$F$40,$D1248)&gt;0,"Lễ",IF(IF(THAM_SO_CC!$B$12="T7+CN",WEEKDAY($D1248,2)&gt;=6,WEEKDAY($D1248,2)=7),"Nghỉ tuần","Ngày thường")))</f>
        <v/>
      </c>
      <c r="F1248" s="107" t="n"/>
      <c r="G1248" s="107" t="n"/>
      <c r="H1248" s="107" t="n"/>
      <c r="I1248" s="81" t="n"/>
      <c r="J1248" s="108">
        <f>IF($B1248="","",IF($E1248="Ngày thường",N($G1248),0))</f>
        <v/>
      </c>
      <c r="K1248" s="108">
        <f>IF($B1248="","",IF($E1248="Nghỉ tuần",N($G1248),0))</f>
        <v/>
      </c>
      <c r="L1248" s="108">
        <f>IF($B1248="","",IF($E1248="Lễ",N($G1248),0))</f>
        <v/>
      </c>
      <c r="M1248" s="108">
        <f>IF($B1248="","",IF($E1248="Ngày thường",N($H1248),0))</f>
        <v/>
      </c>
      <c r="N1248" s="108">
        <f>IF($B1248="","",IF($E1248="Nghỉ tuần",N($H1248),0))</f>
        <v/>
      </c>
      <c r="O1248" s="108">
        <f>IF($B1248="","",IF($E1248="Lễ",N($H1248),0))</f>
        <v/>
      </c>
    </row>
    <row r="1249" ht="15" customHeight="1" s="63">
      <c r="A1249" s="85">
        <f>IF($B1249="","",ROW()-5)</f>
        <v/>
      </c>
      <c r="B1249" s="97" t="n"/>
      <c r="C1249" s="96">
        <f>IF($B1249="","",IFERROR(INDEX(DM_NHAN_SU!$C$6:$C$155,MATCH($B1249,DM_NHAN_SU!$B$6:$B$155,0)),"SAI MÃ NV"))</f>
        <v/>
      </c>
      <c r="D1249" s="86" t="n"/>
      <c r="E1249" s="103">
        <f>IF(OR($B1249="",$D1249=""),"",IF(COUNTIF(THAM_SO_CC!$F$10:$F$40,$D1249)&gt;0,"Lễ",IF(IF(THAM_SO_CC!$B$12="T7+CN",WEEKDAY($D1249,2)&gt;=6,WEEKDAY($D1249,2)=7),"Nghỉ tuần","Ngày thường")))</f>
        <v/>
      </c>
      <c r="F1249" s="107" t="n"/>
      <c r="G1249" s="107" t="n"/>
      <c r="H1249" s="107" t="n"/>
      <c r="I1249" s="81" t="n"/>
      <c r="J1249" s="108">
        <f>IF($B1249="","",IF($E1249="Ngày thường",N($G1249),0))</f>
        <v/>
      </c>
      <c r="K1249" s="108">
        <f>IF($B1249="","",IF($E1249="Nghỉ tuần",N($G1249),0))</f>
        <v/>
      </c>
      <c r="L1249" s="108">
        <f>IF($B1249="","",IF($E1249="Lễ",N($G1249),0))</f>
        <v/>
      </c>
      <c r="M1249" s="108">
        <f>IF($B1249="","",IF($E1249="Ngày thường",N($H1249),0))</f>
        <v/>
      </c>
      <c r="N1249" s="108">
        <f>IF($B1249="","",IF($E1249="Nghỉ tuần",N($H1249),0))</f>
        <v/>
      </c>
      <c r="O1249" s="108">
        <f>IF($B1249="","",IF($E1249="Lễ",N($H1249),0))</f>
        <v/>
      </c>
    </row>
    <row r="1250" ht="15" customHeight="1" s="63">
      <c r="A1250" s="85">
        <f>IF($B1250="","",ROW()-5)</f>
        <v/>
      </c>
      <c r="B1250" s="97" t="n"/>
      <c r="C1250" s="96">
        <f>IF($B1250="","",IFERROR(INDEX(DM_NHAN_SU!$C$6:$C$155,MATCH($B1250,DM_NHAN_SU!$B$6:$B$155,0)),"SAI MÃ NV"))</f>
        <v/>
      </c>
      <c r="D1250" s="86" t="n"/>
      <c r="E1250" s="103">
        <f>IF(OR($B1250="",$D1250=""),"",IF(COUNTIF(THAM_SO_CC!$F$10:$F$40,$D1250)&gt;0,"Lễ",IF(IF(THAM_SO_CC!$B$12="T7+CN",WEEKDAY($D1250,2)&gt;=6,WEEKDAY($D1250,2)=7),"Nghỉ tuần","Ngày thường")))</f>
        <v/>
      </c>
      <c r="F1250" s="107" t="n"/>
      <c r="G1250" s="107" t="n"/>
      <c r="H1250" s="107" t="n"/>
      <c r="I1250" s="81" t="n"/>
      <c r="J1250" s="108">
        <f>IF($B1250="","",IF($E1250="Ngày thường",N($G1250),0))</f>
        <v/>
      </c>
      <c r="K1250" s="108">
        <f>IF($B1250="","",IF($E1250="Nghỉ tuần",N($G1250),0))</f>
        <v/>
      </c>
      <c r="L1250" s="108">
        <f>IF($B1250="","",IF($E1250="Lễ",N($G1250),0))</f>
        <v/>
      </c>
      <c r="M1250" s="108">
        <f>IF($B1250="","",IF($E1250="Ngày thường",N($H1250),0))</f>
        <v/>
      </c>
      <c r="N1250" s="108">
        <f>IF($B1250="","",IF($E1250="Nghỉ tuần",N($H1250),0))</f>
        <v/>
      </c>
      <c r="O1250" s="108">
        <f>IF($B1250="","",IF($E1250="Lễ",N($H1250),0))</f>
        <v/>
      </c>
    </row>
    <row r="1251" ht="15" customHeight="1" s="63">
      <c r="A1251" s="85">
        <f>IF($B1251="","",ROW()-5)</f>
        <v/>
      </c>
      <c r="B1251" s="97" t="n"/>
      <c r="C1251" s="96">
        <f>IF($B1251="","",IFERROR(INDEX(DM_NHAN_SU!$C$6:$C$155,MATCH($B1251,DM_NHAN_SU!$B$6:$B$155,0)),"SAI MÃ NV"))</f>
        <v/>
      </c>
      <c r="D1251" s="86" t="n"/>
      <c r="E1251" s="103">
        <f>IF(OR($B1251="",$D1251=""),"",IF(COUNTIF(THAM_SO_CC!$F$10:$F$40,$D1251)&gt;0,"Lễ",IF(IF(THAM_SO_CC!$B$12="T7+CN",WEEKDAY($D1251,2)&gt;=6,WEEKDAY($D1251,2)=7),"Nghỉ tuần","Ngày thường")))</f>
        <v/>
      </c>
      <c r="F1251" s="107" t="n"/>
      <c r="G1251" s="107" t="n"/>
      <c r="H1251" s="107" t="n"/>
      <c r="I1251" s="81" t="n"/>
      <c r="J1251" s="108">
        <f>IF($B1251="","",IF($E1251="Ngày thường",N($G1251),0))</f>
        <v/>
      </c>
      <c r="K1251" s="108">
        <f>IF($B1251="","",IF($E1251="Nghỉ tuần",N($G1251),0))</f>
        <v/>
      </c>
      <c r="L1251" s="108">
        <f>IF($B1251="","",IF($E1251="Lễ",N($G1251),0))</f>
        <v/>
      </c>
      <c r="M1251" s="108">
        <f>IF($B1251="","",IF($E1251="Ngày thường",N($H1251),0))</f>
        <v/>
      </c>
      <c r="N1251" s="108">
        <f>IF($B1251="","",IF($E1251="Nghỉ tuần",N($H1251),0))</f>
        <v/>
      </c>
      <c r="O1251" s="108">
        <f>IF($B1251="","",IF($E1251="Lễ",N($H1251),0))</f>
        <v/>
      </c>
    </row>
    <row r="1252" ht="15" customHeight="1" s="63">
      <c r="A1252" s="85">
        <f>IF($B1252="","",ROW()-5)</f>
        <v/>
      </c>
      <c r="B1252" s="97" t="n"/>
      <c r="C1252" s="96">
        <f>IF($B1252="","",IFERROR(INDEX(DM_NHAN_SU!$C$6:$C$155,MATCH($B1252,DM_NHAN_SU!$B$6:$B$155,0)),"SAI MÃ NV"))</f>
        <v/>
      </c>
      <c r="D1252" s="86" t="n"/>
      <c r="E1252" s="103">
        <f>IF(OR($B1252="",$D1252=""),"",IF(COUNTIF(THAM_SO_CC!$F$10:$F$40,$D1252)&gt;0,"Lễ",IF(IF(THAM_SO_CC!$B$12="T7+CN",WEEKDAY($D1252,2)&gt;=6,WEEKDAY($D1252,2)=7),"Nghỉ tuần","Ngày thường")))</f>
        <v/>
      </c>
      <c r="F1252" s="107" t="n"/>
      <c r="G1252" s="107" t="n"/>
      <c r="H1252" s="107" t="n"/>
      <c r="I1252" s="81" t="n"/>
      <c r="J1252" s="108">
        <f>IF($B1252="","",IF($E1252="Ngày thường",N($G1252),0))</f>
        <v/>
      </c>
      <c r="K1252" s="108">
        <f>IF($B1252="","",IF($E1252="Nghỉ tuần",N($G1252),0))</f>
        <v/>
      </c>
      <c r="L1252" s="108">
        <f>IF($B1252="","",IF($E1252="Lễ",N($G1252),0))</f>
        <v/>
      </c>
      <c r="M1252" s="108">
        <f>IF($B1252="","",IF($E1252="Ngày thường",N($H1252),0))</f>
        <v/>
      </c>
      <c r="N1252" s="108">
        <f>IF($B1252="","",IF($E1252="Nghỉ tuần",N($H1252),0))</f>
        <v/>
      </c>
      <c r="O1252" s="108">
        <f>IF($B1252="","",IF($E1252="Lễ",N($H1252),0))</f>
        <v/>
      </c>
    </row>
    <row r="1253" ht="15" customHeight="1" s="63">
      <c r="A1253" s="85">
        <f>IF($B1253="","",ROW()-5)</f>
        <v/>
      </c>
      <c r="B1253" s="97" t="n"/>
      <c r="C1253" s="96">
        <f>IF($B1253="","",IFERROR(INDEX(DM_NHAN_SU!$C$6:$C$155,MATCH($B1253,DM_NHAN_SU!$B$6:$B$155,0)),"SAI MÃ NV"))</f>
        <v/>
      </c>
      <c r="D1253" s="86" t="n"/>
      <c r="E1253" s="103">
        <f>IF(OR($B1253="",$D1253=""),"",IF(COUNTIF(THAM_SO_CC!$F$10:$F$40,$D1253)&gt;0,"Lễ",IF(IF(THAM_SO_CC!$B$12="T7+CN",WEEKDAY($D1253,2)&gt;=6,WEEKDAY($D1253,2)=7),"Nghỉ tuần","Ngày thường")))</f>
        <v/>
      </c>
      <c r="F1253" s="107" t="n"/>
      <c r="G1253" s="107" t="n"/>
      <c r="H1253" s="107" t="n"/>
      <c r="I1253" s="81" t="n"/>
      <c r="J1253" s="108">
        <f>IF($B1253="","",IF($E1253="Ngày thường",N($G1253),0))</f>
        <v/>
      </c>
      <c r="K1253" s="108">
        <f>IF($B1253="","",IF($E1253="Nghỉ tuần",N($G1253),0))</f>
        <v/>
      </c>
      <c r="L1253" s="108">
        <f>IF($B1253="","",IF($E1253="Lễ",N($G1253),0))</f>
        <v/>
      </c>
      <c r="M1253" s="108">
        <f>IF($B1253="","",IF($E1253="Ngày thường",N($H1253),0))</f>
        <v/>
      </c>
      <c r="N1253" s="108">
        <f>IF($B1253="","",IF($E1253="Nghỉ tuần",N($H1253),0))</f>
        <v/>
      </c>
      <c r="O1253" s="108">
        <f>IF($B1253="","",IF($E1253="Lễ",N($H1253),0))</f>
        <v/>
      </c>
    </row>
    <row r="1254" ht="15" customHeight="1" s="63">
      <c r="A1254" s="85">
        <f>IF($B1254="","",ROW()-5)</f>
        <v/>
      </c>
      <c r="B1254" s="97" t="n"/>
      <c r="C1254" s="96">
        <f>IF($B1254="","",IFERROR(INDEX(DM_NHAN_SU!$C$6:$C$155,MATCH($B1254,DM_NHAN_SU!$B$6:$B$155,0)),"SAI MÃ NV"))</f>
        <v/>
      </c>
      <c r="D1254" s="86" t="n"/>
      <c r="E1254" s="103">
        <f>IF(OR($B1254="",$D1254=""),"",IF(COUNTIF(THAM_SO_CC!$F$10:$F$40,$D1254)&gt;0,"Lễ",IF(IF(THAM_SO_CC!$B$12="T7+CN",WEEKDAY($D1254,2)&gt;=6,WEEKDAY($D1254,2)=7),"Nghỉ tuần","Ngày thường")))</f>
        <v/>
      </c>
      <c r="F1254" s="107" t="n"/>
      <c r="G1254" s="107" t="n"/>
      <c r="H1254" s="107" t="n"/>
      <c r="I1254" s="81" t="n"/>
      <c r="J1254" s="108">
        <f>IF($B1254="","",IF($E1254="Ngày thường",N($G1254),0))</f>
        <v/>
      </c>
      <c r="K1254" s="108">
        <f>IF($B1254="","",IF($E1254="Nghỉ tuần",N($G1254),0))</f>
        <v/>
      </c>
      <c r="L1254" s="108">
        <f>IF($B1254="","",IF($E1254="Lễ",N($G1254),0))</f>
        <v/>
      </c>
      <c r="M1254" s="108">
        <f>IF($B1254="","",IF($E1254="Ngày thường",N($H1254),0))</f>
        <v/>
      </c>
      <c r="N1254" s="108">
        <f>IF($B1254="","",IF($E1254="Nghỉ tuần",N($H1254),0))</f>
        <v/>
      </c>
      <c r="O1254" s="108">
        <f>IF($B1254="","",IF($E1254="Lễ",N($H1254),0))</f>
        <v/>
      </c>
    </row>
    <row r="1255" ht="15" customHeight="1" s="63">
      <c r="A1255" s="85">
        <f>IF($B1255="","",ROW()-5)</f>
        <v/>
      </c>
      <c r="B1255" s="97" t="n"/>
      <c r="C1255" s="96">
        <f>IF($B1255="","",IFERROR(INDEX(DM_NHAN_SU!$C$6:$C$155,MATCH($B1255,DM_NHAN_SU!$B$6:$B$155,0)),"SAI MÃ NV"))</f>
        <v/>
      </c>
      <c r="D1255" s="86" t="n"/>
      <c r="E1255" s="103">
        <f>IF(OR($B1255="",$D1255=""),"",IF(COUNTIF(THAM_SO_CC!$F$10:$F$40,$D1255)&gt;0,"Lễ",IF(IF(THAM_SO_CC!$B$12="T7+CN",WEEKDAY($D1255,2)&gt;=6,WEEKDAY($D1255,2)=7),"Nghỉ tuần","Ngày thường")))</f>
        <v/>
      </c>
      <c r="F1255" s="107" t="n"/>
      <c r="G1255" s="107" t="n"/>
      <c r="H1255" s="107" t="n"/>
      <c r="I1255" s="81" t="n"/>
      <c r="J1255" s="108">
        <f>IF($B1255="","",IF($E1255="Ngày thường",N($G1255),0))</f>
        <v/>
      </c>
      <c r="K1255" s="108">
        <f>IF($B1255="","",IF($E1255="Nghỉ tuần",N($G1255),0))</f>
        <v/>
      </c>
      <c r="L1255" s="108">
        <f>IF($B1255="","",IF($E1255="Lễ",N($G1255),0))</f>
        <v/>
      </c>
      <c r="M1255" s="108">
        <f>IF($B1255="","",IF($E1255="Ngày thường",N($H1255),0))</f>
        <v/>
      </c>
      <c r="N1255" s="108">
        <f>IF($B1255="","",IF($E1255="Nghỉ tuần",N($H1255),0))</f>
        <v/>
      </c>
      <c r="O1255" s="108">
        <f>IF($B1255="","",IF($E1255="Lễ",N($H1255),0))</f>
        <v/>
      </c>
    </row>
    <row r="1256" ht="15" customHeight="1" s="63">
      <c r="A1256" s="85">
        <f>IF($B1256="","",ROW()-5)</f>
        <v/>
      </c>
      <c r="B1256" s="97" t="n"/>
      <c r="C1256" s="96">
        <f>IF($B1256="","",IFERROR(INDEX(DM_NHAN_SU!$C$6:$C$155,MATCH($B1256,DM_NHAN_SU!$B$6:$B$155,0)),"SAI MÃ NV"))</f>
        <v/>
      </c>
      <c r="D1256" s="86" t="n"/>
      <c r="E1256" s="103">
        <f>IF(OR($B1256="",$D1256=""),"",IF(COUNTIF(THAM_SO_CC!$F$10:$F$40,$D1256)&gt;0,"Lễ",IF(IF(THAM_SO_CC!$B$12="T7+CN",WEEKDAY($D1256,2)&gt;=6,WEEKDAY($D1256,2)=7),"Nghỉ tuần","Ngày thường")))</f>
        <v/>
      </c>
      <c r="F1256" s="107" t="n"/>
      <c r="G1256" s="107" t="n"/>
      <c r="H1256" s="107" t="n"/>
      <c r="I1256" s="81" t="n"/>
      <c r="J1256" s="108">
        <f>IF($B1256="","",IF($E1256="Ngày thường",N($G1256),0))</f>
        <v/>
      </c>
      <c r="K1256" s="108">
        <f>IF($B1256="","",IF($E1256="Nghỉ tuần",N($G1256),0))</f>
        <v/>
      </c>
      <c r="L1256" s="108">
        <f>IF($B1256="","",IF($E1256="Lễ",N($G1256),0))</f>
        <v/>
      </c>
      <c r="M1256" s="108">
        <f>IF($B1256="","",IF($E1256="Ngày thường",N($H1256),0))</f>
        <v/>
      </c>
      <c r="N1256" s="108">
        <f>IF($B1256="","",IF($E1256="Nghỉ tuần",N($H1256),0))</f>
        <v/>
      </c>
      <c r="O1256" s="108">
        <f>IF($B1256="","",IF($E1256="Lễ",N($H1256),0))</f>
        <v/>
      </c>
    </row>
    <row r="1257" ht="15" customHeight="1" s="63">
      <c r="A1257" s="85">
        <f>IF($B1257="","",ROW()-5)</f>
        <v/>
      </c>
      <c r="B1257" s="97" t="n"/>
      <c r="C1257" s="96">
        <f>IF($B1257="","",IFERROR(INDEX(DM_NHAN_SU!$C$6:$C$155,MATCH($B1257,DM_NHAN_SU!$B$6:$B$155,0)),"SAI MÃ NV"))</f>
        <v/>
      </c>
      <c r="D1257" s="86" t="n"/>
      <c r="E1257" s="103">
        <f>IF(OR($B1257="",$D1257=""),"",IF(COUNTIF(THAM_SO_CC!$F$10:$F$40,$D1257)&gt;0,"Lễ",IF(IF(THAM_SO_CC!$B$12="T7+CN",WEEKDAY($D1257,2)&gt;=6,WEEKDAY($D1257,2)=7),"Nghỉ tuần","Ngày thường")))</f>
        <v/>
      </c>
      <c r="F1257" s="107" t="n"/>
      <c r="G1257" s="107" t="n"/>
      <c r="H1257" s="107" t="n"/>
      <c r="I1257" s="81" t="n"/>
      <c r="J1257" s="108">
        <f>IF($B1257="","",IF($E1257="Ngày thường",N($G1257),0))</f>
        <v/>
      </c>
      <c r="K1257" s="108">
        <f>IF($B1257="","",IF($E1257="Nghỉ tuần",N($G1257),0))</f>
        <v/>
      </c>
      <c r="L1257" s="108">
        <f>IF($B1257="","",IF($E1257="Lễ",N($G1257),0))</f>
        <v/>
      </c>
      <c r="M1257" s="108">
        <f>IF($B1257="","",IF($E1257="Ngày thường",N($H1257),0))</f>
        <v/>
      </c>
      <c r="N1257" s="108">
        <f>IF($B1257="","",IF($E1257="Nghỉ tuần",N($H1257),0))</f>
        <v/>
      </c>
      <c r="O1257" s="108">
        <f>IF($B1257="","",IF($E1257="Lễ",N($H1257),0))</f>
        <v/>
      </c>
    </row>
    <row r="1258" ht="15" customHeight="1" s="63">
      <c r="A1258" s="85">
        <f>IF($B1258="","",ROW()-5)</f>
        <v/>
      </c>
      <c r="B1258" s="97" t="n"/>
      <c r="C1258" s="96">
        <f>IF($B1258="","",IFERROR(INDEX(DM_NHAN_SU!$C$6:$C$155,MATCH($B1258,DM_NHAN_SU!$B$6:$B$155,0)),"SAI MÃ NV"))</f>
        <v/>
      </c>
      <c r="D1258" s="86" t="n"/>
      <c r="E1258" s="103">
        <f>IF(OR($B1258="",$D1258=""),"",IF(COUNTIF(THAM_SO_CC!$F$10:$F$40,$D1258)&gt;0,"Lễ",IF(IF(THAM_SO_CC!$B$12="T7+CN",WEEKDAY($D1258,2)&gt;=6,WEEKDAY($D1258,2)=7),"Nghỉ tuần","Ngày thường")))</f>
        <v/>
      </c>
      <c r="F1258" s="107" t="n"/>
      <c r="G1258" s="107" t="n"/>
      <c r="H1258" s="107" t="n"/>
      <c r="I1258" s="81" t="n"/>
      <c r="J1258" s="108">
        <f>IF($B1258="","",IF($E1258="Ngày thường",N($G1258),0))</f>
        <v/>
      </c>
      <c r="K1258" s="108">
        <f>IF($B1258="","",IF($E1258="Nghỉ tuần",N($G1258),0))</f>
        <v/>
      </c>
      <c r="L1258" s="108">
        <f>IF($B1258="","",IF($E1258="Lễ",N($G1258),0))</f>
        <v/>
      </c>
      <c r="M1258" s="108">
        <f>IF($B1258="","",IF($E1258="Ngày thường",N($H1258),0))</f>
        <v/>
      </c>
      <c r="N1258" s="108">
        <f>IF($B1258="","",IF($E1258="Nghỉ tuần",N($H1258),0))</f>
        <v/>
      </c>
      <c r="O1258" s="108">
        <f>IF($B1258="","",IF($E1258="Lễ",N($H1258),0))</f>
        <v/>
      </c>
    </row>
    <row r="1259" ht="15" customHeight="1" s="63">
      <c r="A1259" s="85">
        <f>IF($B1259="","",ROW()-5)</f>
        <v/>
      </c>
      <c r="B1259" s="97" t="n"/>
      <c r="C1259" s="96">
        <f>IF($B1259="","",IFERROR(INDEX(DM_NHAN_SU!$C$6:$C$155,MATCH($B1259,DM_NHAN_SU!$B$6:$B$155,0)),"SAI MÃ NV"))</f>
        <v/>
      </c>
      <c r="D1259" s="86" t="n"/>
      <c r="E1259" s="103">
        <f>IF(OR($B1259="",$D1259=""),"",IF(COUNTIF(THAM_SO_CC!$F$10:$F$40,$D1259)&gt;0,"Lễ",IF(IF(THAM_SO_CC!$B$12="T7+CN",WEEKDAY($D1259,2)&gt;=6,WEEKDAY($D1259,2)=7),"Nghỉ tuần","Ngày thường")))</f>
        <v/>
      </c>
      <c r="F1259" s="107" t="n"/>
      <c r="G1259" s="107" t="n"/>
      <c r="H1259" s="107" t="n"/>
      <c r="I1259" s="81" t="n"/>
      <c r="J1259" s="108">
        <f>IF($B1259="","",IF($E1259="Ngày thường",N($G1259),0))</f>
        <v/>
      </c>
      <c r="K1259" s="108">
        <f>IF($B1259="","",IF($E1259="Nghỉ tuần",N($G1259),0))</f>
        <v/>
      </c>
      <c r="L1259" s="108">
        <f>IF($B1259="","",IF($E1259="Lễ",N($G1259),0))</f>
        <v/>
      </c>
      <c r="M1259" s="108">
        <f>IF($B1259="","",IF($E1259="Ngày thường",N($H1259),0))</f>
        <v/>
      </c>
      <c r="N1259" s="108">
        <f>IF($B1259="","",IF($E1259="Nghỉ tuần",N($H1259),0))</f>
        <v/>
      </c>
      <c r="O1259" s="108">
        <f>IF($B1259="","",IF($E1259="Lễ",N($H1259),0))</f>
        <v/>
      </c>
    </row>
    <row r="1260" ht="15" customHeight="1" s="63">
      <c r="A1260" s="85">
        <f>IF($B1260="","",ROW()-5)</f>
        <v/>
      </c>
      <c r="B1260" s="97" t="n"/>
      <c r="C1260" s="96">
        <f>IF($B1260="","",IFERROR(INDEX(DM_NHAN_SU!$C$6:$C$155,MATCH($B1260,DM_NHAN_SU!$B$6:$B$155,0)),"SAI MÃ NV"))</f>
        <v/>
      </c>
      <c r="D1260" s="86" t="n"/>
      <c r="E1260" s="103">
        <f>IF(OR($B1260="",$D1260=""),"",IF(COUNTIF(THAM_SO_CC!$F$10:$F$40,$D1260)&gt;0,"Lễ",IF(IF(THAM_SO_CC!$B$12="T7+CN",WEEKDAY($D1260,2)&gt;=6,WEEKDAY($D1260,2)=7),"Nghỉ tuần","Ngày thường")))</f>
        <v/>
      </c>
      <c r="F1260" s="107" t="n"/>
      <c r="G1260" s="107" t="n"/>
      <c r="H1260" s="107" t="n"/>
      <c r="I1260" s="81" t="n"/>
      <c r="J1260" s="108">
        <f>IF($B1260="","",IF($E1260="Ngày thường",N($G1260),0))</f>
        <v/>
      </c>
      <c r="K1260" s="108">
        <f>IF($B1260="","",IF($E1260="Nghỉ tuần",N($G1260),0))</f>
        <v/>
      </c>
      <c r="L1260" s="108">
        <f>IF($B1260="","",IF($E1260="Lễ",N($G1260),0))</f>
        <v/>
      </c>
      <c r="M1260" s="108">
        <f>IF($B1260="","",IF($E1260="Ngày thường",N($H1260),0))</f>
        <v/>
      </c>
      <c r="N1260" s="108">
        <f>IF($B1260="","",IF($E1260="Nghỉ tuần",N($H1260),0))</f>
        <v/>
      </c>
      <c r="O1260" s="108">
        <f>IF($B1260="","",IF($E1260="Lễ",N($H1260),0))</f>
        <v/>
      </c>
    </row>
    <row r="1261" ht="15" customHeight="1" s="63">
      <c r="A1261" s="85">
        <f>IF($B1261="","",ROW()-5)</f>
        <v/>
      </c>
      <c r="B1261" s="97" t="n"/>
      <c r="C1261" s="96">
        <f>IF($B1261="","",IFERROR(INDEX(DM_NHAN_SU!$C$6:$C$155,MATCH($B1261,DM_NHAN_SU!$B$6:$B$155,0)),"SAI MÃ NV"))</f>
        <v/>
      </c>
      <c r="D1261" s="86" t="n"/>
      <c r="E1261" s="103">
        <f>IF(OR($B1261="",$D1261=""),"",IF(COUNTIF(THAM_SO_CC!$F$10:$F$40,$D1261)&gt;0,"Lễ",IF(IF(THAM_SO_CC!$B$12="T7+CN",WEEKDAY($D1261,2)&gt;=6,WEEKDAY($D1261,2)=7),"Nghỉ tuần","Ngày thường")))</f>
        <v/>
      </c>
      <c r="F1261" s="107" t="n"/>
      <c r="G1261" s="107" t="n"/>
      <c r="H1261" s="107" t="n"/>
      <c r="I1261" s="81" t="n"/>
      <c r="J1261" s="108">
        <f>IF($B1261="","",IF($E1261="Ngày thường",N($G1261),0))</f>
        <v/>
      </c>
      <c r="K1261" s="108">
        <f>IF($B1261="","",IF($E1261="Nghỉ tuần",N($G1261),0))</f>
        <v/>
      </c>
      <c r="L1261" s="108">
        <f>IF($B1261="","",IF($E1261="Lễ",N($G1261),0))</f>
        <v/>
      </c>
      <c r="M1261" s="108">
        <f>IF($B1261="","",IF($E1261="Ngày thường",N($H1261),0))</f>
        <v/>
      </c>
      <c r="N1261" s="108">
        <f>IF($B1261="","",IF($E1261="Nghỉ tuần",N($H1261),0))</f>
        <v/>
      </c>
      <c r="O1261" s="108">
        <f>IF($B1261="","",IF($E1261="Lễ",N($H1261),0))</f>
        <v/>
      </c>
    </row>
    <row r="1262" ht="15" customHeight="1" s="63">
      <c r="A1262" s="85">
        <f>IF($B1262="","",ROW()-5)</f>
        <v/>
      </c>
      <c r="B1262" s="97" t="n"/>
      <c r="C1262" s="96">
        <f>IF($B1262="","",IFERROR(INDEX(DM_NHAN_SU!$C$6:$C$155,MATCH($B1262,DM_NHAN_SU!$B$6:$B$155,0)),"SAI MÃ NV"))</f>
        <v/>
      </c>
      <c r="D1262" s="86" t="n"/>
      <c r="E1262" s="103">
        <f>IF(OR($B1262="",$D1262=""),"",IF(COUNTIF(THAM_SO_CC!$F$10:$F$40,$D1262)&gt;0,"Lễ",IF(IF(THAM_SO_CC!$B$12="T7+CN",WEEKDAY($D1262,2)&gt;=6,WEEKDAY($D1262,2)=7),"Nghỉ tuần","Ngày thường")))</f>
        <v/>
      </c>
      <c r="F1262" s="107" t="n"/>
      <c r="G1262" s="107" t="n"/>
      <c r="H1262" s="107" t="n"/>
      <c r="I1262" s="81" t="n"/>
      <c r="J1262" s="108">
        <f>IF($B1262="","",IF($E1262="Ngày thường",N($G1262),0))</f>
        <v/>
      </c>
      <c r="K1262" s="108">
        <f>IF($B1262="","",IF($E1262="Nghỉ tuần",N($G1262),0))</f>
        <v/>
      </c>
      <c r="L1262" s="108">
        <f>IF($B1262="","",IF($E1262="Lễ",N($G1262),0))</f>
        <v/>
      </c>
      <c r="M1262" s="108">
        <f>IF($B1262="","",IF($E1262="Ngày thường",N($H1262),0))</f>
        <v/>
      </c>
      <c r="N1262" s="108">
        <f>IF($B1262="","",IF($E1262="Nghỉ tuần",N($H1262),0))</f>
        <v/>
      </c>
      <c r="O1262" s="108">
        <f>IF($B1262="","",IF($E1262="Lễ",N($H1262),0))</f>
        <v/>
      </c>
    </row>
    <row r="1263" ht="15" customHeight="1" s="63">
      <c r="A1263" s="85">
        <f>IF($B1263="","",ROW()-5)</f>
        <v/>
      </c>
      <c r="B1263" s="97" t="n"/>
      <c r="C1263" s="96">
        <f>IF($B1263="","",IFERROR(INDEX(DM_NHAN_SU!$C$6:$C$155,MATCH($B1263,DM_NHAN_SU!$B$6:$B$155,0)),"SAI MÃ NV"))</f>
        <v/>
      </c>
      <c r="D1263" s="86" t="n"/>
      <c r="E1263" s="103">
        <f>IF(OR($B1263="",$D1263=""),"",IF(COUNTIF(THAM_SO_CC!$F$10:$F$40,$D1263)&gt;0,"Lễ",IF(IF(THAM_SO_CC!$B$12="T7+CN",WEEKDAY($D1263,2)&gt;=6,WEEKDAY($D1263,2)=7),"Nghỉ tuần","Ngày thường")))</f>
        <v/>
      </c>
      <c r="F1263" s="107" t="n"/>
      <c r="G1263" s="107" t="n"/>
      <c r="H1263" s="107" t="n"/>
      <c r="I1263" s="81" t="n"/>
      <c r="J1263" s="108">
        <f>IF($B1263="","",IF($E1263="Ngày thường",N($G1263),0))</f>
        <v/>
      </c>
      <c r="K1263" s="108">
        <f>IF($B1263="","",IF($E1263="Nghỉ tuần",N($G1263),0))</f>
        <v/>
      </c>
      <c r="L1263" s="108">
        <f>IF($B1263="","",IF($E1263="Lễ",N($G1263),0))</f>
        <v/>
      </c>
      <c r="M1263" s="108">
        <f>IF($B1263="","",IF($E1263="Ngày thường",N($H1263),0))</f>
        <v/>
      </c>
      <c r="N1263" s="108">
        <f>IF($B1263="","",IF($E1263="Nghỉ tuần",N($H1263),0))</f>
        <v/>
      </c>
      <c r="O1263" s="108">
        <f>IF($B1263="","",IF($E1263="Lễ",N($H1263),0))</f>
        <v/>
      </c>
    </row>
    <row r="1264" ht="15" customHeight="1" s="63">
      <c r="A1264" s="85">
        <f>IF($B1264="","",ROW()-5)</f>
        <v/>
      </c>
      <c r="B1264" s="97" t="n"/>
      <c r="C1264" s="96">
        <f>IF($B1264="","",IFERROR(INDEX(DM_NHAN_SU!$C$6:$C$155,MATCH($B1264,DM_NHAN_SU!$B$6:$B$155,0)),"SAI MÃ NV"))</f>
        <v/>
      </c>
      <c r="D1264" s="86" t="n"/>
      <c r="E1264" s="103">
        <f>IF(OR($B1264="",$D1264=""),"",IF(COUNTIF(THAM_SO_CC!$F$10:$F$40,$D1264)&gt;0,"Lễ",IF(IF(THAM_SO_CC!$B$12="T7+CN",WEEKDAY($D1264,2)&gt;=6,WEEKDAY($D1264,2)=7),"Nghỉ tuần","Ngày thường")))</f>
        <v/>
      </c>
      <c r="F1264" s="107" t="n"/>
      <c r="G1264" s="107" t="n"/>
      <c r="H1264" s="107" t="n"/>
      <c r="I1264" s="81" t="n"/>
      <c r="J1264" s="108">
        <f>IF($B1264="","",IF($E1264="Ngày thường",N($G1264),0))</f>
        <v/>
      </c>
      <c r="K1264" s="108">
        <f>IF($B1264="","",IF($E1264="Nghỉ tuần",N($G1264),0))</f>
        <v/>
      </c>
      <c r="L1264" s="108">
        <f>IF($B1264="","",IF($E1264="Lễ",N($G1264),0))</f>
        <v/>
      </c>
      <c r="M1264" s="108">
        <f>IF($B1264="","",IF($E1264="Ngày thường",N($H1264),0))</f>
        <v/>
      </c>
      <c r="N1264" s="108">
        <f>IF($B1264="","",IF($E1264="Nghỉ tuần",N($H1264),0))</f>
        <v/>
      </c>
      <c r="O1264" s="108">
        <f>IF($B1264="","",IF($E1264="Lễ",N($H1264),0))</f>
        <v/>
      </c>
    </row>
    <row r="1265" ht="15" customHeight="1" s="63">
      <c r="A1265" s="85">
        <f>IF($B1265="","",ROW()-5)</f>
        <v/>
      </c>
      <c r="B1265" s="97" t="n"/>
      <c r="C1265" s="96">
        <f>IF($B1265="","",IFERROR(INDEX(DM_NHAN_SU!$C$6:$C$155,MATCH($B1265,DM_NHAN_SU!$B$6:$B$155,0)),"SAI MÃ NV"))</f>
        <v/>
      </c>
      <c r="D1265" s="86" t="n"/>
      <c r="E1265" s="103">
        <f>IF(OR($B1265="",$D1265=""),"",IF(COUNTIF(THAM_SO_CC!$F$10:$F$40,$D1265)&gt;0,"Lễ",IF(IF(THAM_SO_CC!$B$12="T7+CN",WEEKDAY($D1265,2)&gt;=6,WEEKDAY($D1265,2)=7),"Nghỉ tuần","Ngày thường")))</f>
        <v/>
      </c>
      <c r="F1265" s="107" t="n"/>
      <c r="G1265" s="107" t="n"/>
      <c r="H1265" s="107" t="n"/>
      <c r="I1265" s="81" t="n"/>
      <c r="J1265" s="108">
        <f>IF($B1265="","",IF($E1265="Ngày thường",N($G1265),0))</f>
        <v/>
      </c>
      <c r="K1265" s="108">
        <f>IF($B1265="","",IF($E1265="Nghỉ tuần",N($G1265),0))</f>
        <v/>
      </c>
      <c r="L1265" s="108">
        <f>IF($B1265="","",IF($E1265="Lễ",N($G1265),0))</f>
        <v/>
      </c>
      <c r="M1265" s="108">
        <f>IF($B1265="","",IF($E1265="Ngày thường",N($H1265),0))</f>
        <v/>
      </c>
      <c r="N1265" s="108">
        <f>IF($B1265="","",IF($E1265="Nghỉ tuần",N($H1265),0))</f>
        <v/>
      </c>
      <c r="O1265" s="108">
        <f>IF($B1265="","",IF($E1265="Lễ",N($H1265),0))</f>
        <v/>
      </c>
    </row>
    <row r="1266" ht="15" customHeight="1" s="63">
      <c r="A1266" s="85">
        <f>IF($B1266="","",ROW()-5)</f>
        <v/>
      </c>
      <c r="B1266" s="97" t="n"/>
      <c r="C1266" s="96">
        <f>IF($B1266="","",IFERROR(INDEX(DM_NHAN_SU!$C$6:$C$155,MATCH($B1266,DM_NHAN_SU!$B$6:$B$155,0)),"SAI MÃ NV"))</f>
        <v/>
      </c>
      <c r="D1266" s="86" t="n"/>
      <c r="E1266" s="103">
        <f>IF(OR($B1266="",$D1266=""),"",IF(COUNTIF(THAM_SO_CC!$F$10:$F$40,$D1266)&gt;0,"Lễ",IF(IF(THAM_SO_CC!$B$12="T7+CN",WEEKDAY($D1266,2)&gt;=6,WEEKDAY($D1266,2)=7),"Nghỉ tuần","Ngày thường")))</f>
        <v/>
      </c>
      <c r="F1266" s="107" t="n"/>
      <c r="G1266" s="107" t="n"/>
      <c r="H1266" s="107" t="n"/>
      <c r="I1266" s="81" t="n"/>
      <c r="J1266" s="108">
        <f>IF($B1266="","",IF($E1266="Ngày thường",N($G1266),0))</f>
        <v/>
      </c>
      <c r="K1266" s="108">
        <f>IF($B1266="","",IF($E1266="Nghỉ tuần",N($G1266),0))</f>
        <v/>
      </c>
      <c r="L1266" s="108">
        <f>IF($B1266="","",IF($E1266="Lễ",N($G1266),0))</f>
        <v/>
      </c>
      <c r="M1266" s="108">
        <f>IF($B1266="","",IF($E1266="Ngày thường",N($H1266),0))</f>
        <v/>
      </c>
      <c r="N1266" s="108">
        <f>IF($B1266="","",IF($E1266="Nghỉ tuần",N($H1266),0))</f>
        <v/>
      </c>
      <c r="O1266" s="108">
        <f>IF($B1266="","",IF($E1266="Lễ",N($H1266),0))</f>
        <v/>
      </c>
    </row>
    <row r="1267" ht="15" customHeight="1" s="63">
      <c r="A1267" s="85">
        <f>IF($B1267="","",ROW()-5)</f>
        <v/>
      </c>
      <c r="B1267" s="97" t="n"/>
      <c r="C1267" s="96">
        <f>IF($B1267="","",IFERROR(INDEX(DM_NHAN_SU!$C$6:$C$155,MATCH($B1267,DM_NHAN_SU!$B$6:$B$155,0)),"SAI MÃ NV"))</f>
        <v/>
      </c>
      <c r="D1267" s="86" t="n"/>
      <c r="E1267" s="103">
        <f>IF(OR($B1267="",$D1267=""),"",IF(COUNTIF(THAM_SO_CC!$F$10:$F$40,$D1267)&gt;0,"Lễ",IF(IF(THAM_SO_CC!$B$12="T7+CN",WEEKDAY($D1267,2)&gt;=6,WEEKDAY($D1267,2)=7),"Nghỉ tuần","Ngày thường")))</f>
        <v/>
      </c>
      <c r="F1267" s="107" t="n"/>
      <c r="G1267" s="107" t="n"/>
      <c r="H1267" s="107" t="n"/>
      <c r="I1267" s="81" t="n"/>
      <c r="J1267" s="108">
        <f>IF($B1267="","",IF($E1267="Ngày thường",N($G1267),0))</f>
        <v/>
      </c>
      <c r="K1267" s="108">
        <f>IF($B1267="","",IF($E1267="Nghỉ tuần",N($G1267),0))</f>
        <v/>
      </c>
      <c r="L1267" s="108">
        <f>IF($B1267="","",IF($E1267="Lễ",N($G1267),0))</f>
        <v/>
      </c>
      <c r="M1267" s="108">
        <f>IF($B1267="","",IF($E1267="Ngày thường",N($H1267),0))</f>
        <v/>
      </c>
      <c r="N1267" s="108">
        <f>IF($B1267="","",IF($E1267="Nghỉ tuần",N($H1267),0))</f>
        <v/>
      </c>
      <c r="O1267" s="108">
        <f>IF($B1267="","",IF($E1267="Lễ",N($H1267),0))</f>
        <v/>
      </c>
    </row>
    <row r="1268" ht="15" customHeight="1" s="63">
      <c r="A1268" s="85">
        <f>IF($B1268="","",ROW()-5)</f>
        <v/>
      </c>
      <c r="B1268" s="97" t="n"/>
      <c r="C1268" s="96">
        <f>IF($B1268="","",IFERROR(INDEX(DM_NHAN_SU!$C$6:$C$155,MATCH($B1268,DM_NHAN_SU!$B$6:$B$155,0)),"SAI MÃ NV"))</f>
        <v/>
      </c>
      <c r="D1268" s="86" t="n"/>
      <c r="E1268" s="103">
        <f>IF(OR($B1268="",$D1268=""),"",IF(COUNTIF(THAM_SO_CC!$F$10:$F$40,$D1268)&gt;0,"Lễ",IF(IF(THAM_SO_CC!$B$12="T7+CN",WEEKDAY($D1268,2)&gt;=6,WEEKDAY($D1268,2)=7),"Nghỉ tuần","Ngày thường")))</f>
        <v/>
      </c>
      <c r="F1268" s="107" t="n"/>
      <c r="G1268" s="107" t="n"/>
      <c r="H1268" s="107" t="n"/>
      <c r="I1268" s="81" t="n"/>
      <c r="J1268" s="108">
        <f>IF($B1268="","",IF($E1268="Ngày thường",N($G1268),0))</f>
        <v/>
      </c>
      <c r="K1268" s="108">
        <f>IF($B1268="","",IF($E1268="Nghỉ tuần",N($G1268),0))</f>
        <v/>
      </c>
      <c r="L1268" s="108">
        <f>IF($B1268="","",IF($E1268="Lễ",N($G1268),0))</f>
        <v/>
      </c>
      <c r="M1268" s="108">
        <f>IF($B1268="","",IF($E1268="Ngày thường",N($H1268),0))</f>
        <v/>
      </c>
      <c r="N1268" s="108">
        <f>IF($B1268="","",IF($E1268="Nghỉ tuần",N($H1268),0))</f>
        <v/>
      </c>
      <c r="O1268" s="108">
        <f>IF($B1268="","",IF($E1268="Lễ",N($H1268),0))</f>
        <v/>
      </c>
    </row>
    <row r="1269" ht="15" customHeight="1" s="63">
      <c r="A1269" s="85">
        <f>IF($B1269="","",ROW()-5)</f>
        <v/>
      </c>
      <c r="B1269" s="97" t="n"/>
      <c r="C1269" s="96">
        <f>IF($B1269="","",IFERROR(INDEX(DM_NHAN_SU!$C$6:$C$155,MATCH($B1269,DM_NHAN_SU!$B$6:$B$155,0)),"SAI MÃ NV"))</f>
        <v/>
      </c>
      <c r="D1269" s="86" t="n"/>
      <c r="E1269" s="103">
        <f>IF(OR($B1269="",$D1269=""),"",IF(COUNTIF(THAM_SO_CC!$F$10:$F$40,$D1269)&gt;0,"Lễ",IF(IF(THAM_SO_CC!$B$12="T7+CN",WEEKDAY($D1269,2)&gt;=6,WEEKDAY($D1269,2)=7),"Nghỉ tuần","Ngày thường")))</f>
        <v/>
      </c>
      <c r="F1269" s="107" t="n"/>
      <c r="G1269" s="107" t="n"/>
      <c r="H1269" s="107" t="n"/>
      <c r="I1269" s="81" t="n"/>
      <c r="J1269" s="108">
        <f>IF($B1269="","",IF($E1269="Ngày thường",N($G1269),0))</f>
        <v/>
      </c>
      <c r="K1269" s="108">
        <f>IF($B1269="","",IF($E1269="Nghỉ tuần",N($G1269),0))</f>
        <v/>
      </c>
      <c r="L1269" s="108">
        <f>IF($B1269="","",IF($E1269="Lễ",N($G1269),0))</f>
        <v/>
      </c>
      <c r="M1269" s="108">
        <f>IF($B1269="","",IF($E1269="Ngày thường",N($H1269),0))</f>
        <v/>
      </c>
      <c r="N1269" s="108">
        <f>IF($B1269="","",IF($E1269="Nghỉ tuần",N($H1269),0))</f>
        <v/>
      </c>
      <c r="O1269" s="108">
        <f>IF($B1269="","",IF($E1269="Lễ",N($H1269),0))</f>
        <v/>
      </c>
    </row>
    <row r="1270" ht="15" customHeight="1" s="63">
      <c r="A1270" s="85">
        <f>IF($B1270="","",ROW()-5)</f>
        <v/>
      </c>
      <c r="B1270" s="97" t="n"/>
      <c r="C1270" s="96">
        <f>IF($B1270="","",IFERROR(INDEX(DM_NHAN_SU!$C$6:$C$155,MATCH($B1270,DM_NHAN_SU!$B$6:$B$155,0)),"SAI MÃ NV"))</f>
        <v/>
      </c>
      <c r="D1270" s="86" t="n"/>
      <c r="E1270" s="103">
        <f>IF(OR($B1270="",$D1270=""),"",IF(COUNTIF(THAM_SO_CC!$F$10:$F$40,$D1270)&gt;0,"Lễ",IF(IF(THAM_SO_CC!$B$12="T7+CN",WEEKDAY($D1270,2)&gt;=6,WEEKDAY($D1270,2)=7),"Nghỉ tuần","Ngày thường")))</f>
        <v/>
      </c>
      <c r="F1270" s="107" t="n"/>
      <c r="G1270" s="107" t="n"/>
      <c r="H1270" s="107" t="n"/>
      <c r="I1270" s="81" t="n"/>
      <c r="J1270" s="108">
        <f>IF($B1270="","",IF($E1270="Ngày thường",N($G1270),0))</f>
        <v/>
      </c>
      <c r="K1270" s="108">
        <f>IF($B1270="","",IF($E1270="Nghỉ tuần",N($G1270),0))</f>
        <v/>
      </c>
      <c r="L1270" s="108">
        <f>IF($B1270="","",IF($E1270="Lễ",N($G1270),0))</f>
        <v/>
      </c>
      <c r="M1270" s="108">
        <f>IF($B1270="","",IF($E1270="Ngày thường",N($H1270),0))</f>
        <v/>
      </c>
      <c r="N1270" s="108">
        <f>IF($B1270="","",IF($E1270="Nghỉ tuần",N($H1270),0))</f>
        <v/>
      </c>
      <c r="O1270" s="108">
        <f>IF($B1270="","",IF($E1270="Lễ",N($H1270),0))</f>
        <v/>
      </c>
    </row>
    <row r="1271" ht="15" customHeight="1" s="63">
      <c r="A1271" s="85">
        <f>IF($B1271="","",ROW()-5)</f>
        <v/>
      </c>
      <c r="B1271" s="97" t="n"/>
      <c r="C1271" s="96">
        <f>IF($B1271="","",IFERROR(INDEX(DM_NHAN_SU!$C$6:$C$155,MATCH($B1271,DM_NHAN_SU!$B$6:$B$155,0)),"SAI MÃ NV"))</f>
        <v/>
      </c>
      <c r="D1271" s="86" t="n"/>
      <c r="E1271" s="103">
        <f>IF(OR($B1271="",$D1271=""),"",IF(COUNTIF(THAM_SO_CC!$F$10:$F$40,$D1271)&gt;0,"Lễ",IF(IF(THAM_SO_CC!$B$12="T7+CN",WEEKDAY($D1271,2)&gt;=6,WEEKDAY($D1271,2)=7),"Nghỉ tuần","Ngày thường")))</f>
        <v/>
      </c>
      <c r="F1271" s="107" t="n"/>
      <c r="G1271" s="107" t="n"/>
      <c r="H1271" s="107" t="n"/>
      <c r="I1271" s="81" t="n"/>
      <c r="J1271" s="108">
        <f>IF($B1271="","",IF($E1271="Ngày thường",N($G1271),0))</f>
        <v/>
      </c>
      <c r="K1271" s="108">
        <f>IF($B1271="","",IF($E1271="Nghỉ tuần",N($G1271),0))</f>
        <v/>
      </c>
      <c r="L1271" s="108">
        <f>IF($B1271="","",IF($E1271="Lễ",N($G1271),0))</f>
        <v/>
      </c>
      <c r="M1271" s="108">
        <f>IF($B1271="","",IF($E1271="Ngày thường",N($H1271),0))</f>
        <v/>
      </c>
      <c r="N1271" s="108">
        <f>IF($B1271="","",IF($E1271="Nghỉ tuần",N($H1271),0))</f>
        <v/>
      </c>
      <c r="O1271" s="108">
        <f>IF($B1271="","",IF($E1271="Lễ",N($H1271),0))</f>
        <v/>
      </c>
    </row>
    <row r="1272" ht="15" customHeight="1" s="63">
      <c r="A1272" s="85">
        <f>IF($B1272="","",ROW()-5)</f>
        <v/>
      </c>
      <c r="B1272" s="97" t="n"/>
      <c r="C1272" s="96">
        <f>IF($B1272="","",IFERROR(INDEX(DM_NHAN_SU!$C$6:$C$155,MATCH($B1272,DM_NHAN_SU!$B$6:$B$155,0)),"SAI MÃ NV"))</f>
        <v/>
      </c>
      <c r="D1272" s="86" t="n"/>
      <c r="E1272" s="103">
        <f>IF(OR($B1272="",$D1272=""),"",IF(COUNTIF(THAM_SO_CC!$F$10:$F$40,$D1272)&gt;0,"Lễ",IF(IF(THAM_SO_CC!$B$12="T7+CN",WEEKDAY($D1272,2)&gt;=6,WEEKDAY($D1272,2)=7),"Nghỉ tuần","Ngày thường")))</f>
        <v/>
      </c>
      <c r="F1272" s="107" t="n"/>
      <c r="G1272" s="107" t="n"/>
      <c r="H1272" s="107" t="n"/>
      <c r="I1272" s="81" t="n"/>
      <c r="J1272" s="108">
        <f>IF($B1272="","",IF($E1272="Ngày thường",N($G1272),0))</f>
        <v/>
      </c>
      <c r="K1272" s="108">
        <f>IF($B1272="","",IF($E1272="Nghỉ tuần",N($G1272),0))</f>
        <v/>
      </c>
      <c r="L1272" s="108">
        <f>IF($B1272="","",IF($E1272="Lễ",N($G1272),0))</f>
        <v/>
      </c>
      <c r="M1272" s="108">
        <f>IF($B1272="","",IF($E1272="Ngày thường",N($H1272),0))</f>
        <v/>
      </c>
      <c r="N1272" s="108">
        <f>IF($B1272="","",IF($E1272="Nghỉ tuần",N($H1272),0))</f>
        <v/>
      </c>
      <c r="O1272" s="108">
        <f>IF($B1272="","",IF($E1272="Lễ",N($H1272),0))</f>
        <v/>
      </c>
    </row>
    <row r="1273" ht="15" customHeight="1" s="63">
      <c r="A1273" s="85">
        <f>IF($B1273="","",ROW()-5)</f>
        <v/>
      </c>
      <c r="B1273" s="97" t="n"/>
      <c r="C1273" s="96">
        <f>IF($B1273="","",IFERROR(INDEX(DM_NHAN_SU!$C$6:$C$155,MATCH($B1273,DM_NHAN_SU!$B$6:$B$155,0)),"SAI MÃ NV"))</f>
        <v/>
      </c>
      <c r="D1273" s="86" t="n"/>
      <c r="E1273" s="103">
        <f>IF(OR($B1273="",$D1273=""),"",IF(COUNTIF(THAM_SO_CC!$F$10:$F$40,$D1273)&gt;0,"Lễ",IF(IF(THAM_SO_CC!$B$12="T7+CN",WEEKDAY($D1273,2)&gt;=6,WEEKDAY($D1273,2)=7),"Nghỉ tuần","Ngày thường")))</f>
        <v/>
      </c>
      <c r="F1273" s="107" t="n"/>
      <c r="G1273" s="107" t="n"/>
      <c r="H1273" s="107" t="n"/>
      <c r="I1273" s="81" t="n"/>
      <c r="J1273" s="108">
        <f>IF($B1273="","",IF($E1273="Ngày thường",N($G1273),0))</f>
        <v/>
      </c>
      <c r="K1273" s="108">
        <f>IF($B1273="","",IF($E1273="Nghỉ tuần",N($G1273),0))</f>
        <v/>
      </c>
      <c r="L1273" s="108">
        <f>IF($B1273="","",IF($E1273="Lễ",N($G1273),0))</f>
        <v/>
      </c>
      <c r="M1273" s="108">
        <f>IF($B1273="","",IF($E1273="Ngày thường",N($H1273),0))</f>
        <v/>
      </c>
      <c r="N1273" s="108">
        <f>IF($B1273="","",IF($E1273="Nghỉ tuần",N($H1273),0))</f>
        <v/>
      </c>
      <c r="O1273" s="108">
        <f>IF($B1273="","",IF($E1273="Lễ",N($H1273),0))</f>
        <v/>
      </c>
    </row>
    <row r="1274" ht="15" customHeight="1" s="63">
      <c r="A1274" s="85">
        <f>IF($B1274="","",ROW()-5)</f>
        <v/>
      </c>
      <c r="B1274" s="97" t="n"/>
      <c r="C1274" s="96">
        <f>IF($B1274="","",IFERROR(INDEX(DM_NHAN_SU!$C$6:$C$155,MATCH($B1274,DM_NHAN_SU!$B$6:$B$155,0)),"SAI MÃ NV"))</f>
        <v/>
      </c>
      <c r="D1274" s="86" t="n"/>
      <c r="E1274" s="103">
        <f>IF(OR($B1274="",$D1274=""),"",IF(COUNTIF(THAM_SO_CC!$F$10:$F$40,$D1274)&gt;0,"Lễ",IF(IF(THAM_SO_CC!$B$12="T7+CN",WEEKDAY($D1274,2)&gt;=6,WEEKDAY($D1274,2)=7),"Nghỉ tuần","Ngày thường")))</f>
        <v/>
      </c>
      <c r="F1274" s="107" t="n"/>
      <c r="G1274" s="107" t="n"/>
      <c r="H1274" s="107" t="n"/>
      <c r="I1274" s="81" t="n"/>
      <c r="J1274" s="108">
        <f>IF($B1274="","",IF($E1274="Ngày thường",N($G1274),0))</f>
        <v/>
      </c>
      <c r="K1274" s="108">
        <f>IF($B1274="","",IF($E1274="Nghỉ tuần",N($G1274),0))</f>
        <v/>
      </c>
      <c r="L1274" s="108">
        <f>IF($B1274="","",IF($E1274="Lễ",N($G1274),0))</f>
        <v/>
      </c>
      <c r="M1274" s="108">
        <f>IF($B1274="","",IF($E1274="Ngày thường",N($H1274),0))</f>
        <v/>
      </c>
      <c r="N1274" s="108">
        <f>IF($B1274="","",IF($E1274="Nghỉ tuần",N($H1274),0))</f>
        <v/>
      </c>
      <c r="O1274" s="108">
        <f>IF($B1274="","",IF($E1274="Lễ",N($H1274),0))</f>
        <v/>
      </c>
    </row>
    <row r="1275" ht="15" customHeight="1" s="63">
      <c r="A1275" s="85">
        <f>IF($B1275="","",ROW()-5)</f>
        <v/>
      </c>
      <c r="B1275" s="97" t="n"/>
      <c r="C1275" s="96">
        <f>IF($B1275="","",IFERROR(INDEX(DM_NHAN_SU!$C$6:$C$155,MATCH($B1275,DM_NHAN_SU!$B$6:$B$155,0)),"SAI MÃ NV"))</f>
        <v/>
      </c>
      <c r="D1275" s="86" t="n"/>
      <c r="E1275" s="103">
        <f>IF(OR($B1275="",$D1275=""),"",IF(COUNTIF(THAM_SO_CC!$F$10:$F$40,$D1275)&gt;0,"Lễ",IF(IF(THAM_SO_CC!$B$12="T7+CN",WEEKDAY($D1275,2)&gt;=6,WEEKDAY($D1275,2)=7),"Nghỉ tuần","Ngày thường")))</f>
        <v/>
      </c>
      <c r="F1275" s="107" t="n"/>
      <c r="G1275" s="107" t="n"/>
      <c r="H1275" s="107" t="n"/>
      <c r="I1275" s="81" t="n"/>
      <c r="J1275" s="108">
        <f>IF($B1275="","",IF($E1275="Ngày thường",N($G1275),0))</f>
        <v/>
      </c>
      <c r="K1275" s="108">
        <f>IF($B1275="","",IF($E1275="Nghỉ tuần",N($G1275),0))</f>
        <v/>
      </c>
      <c r="L1275" s="108">
        <f>IF($B1275="","",IF($E1275="Lễ",N($G1275),0))</f>
        <v/>
      </c>
      <c r="M1275" s="108">
        <f>IF($B1275="","",IF($E1275="Ngày thường",N($H1275),0))</f>
        <v/>
      </c>
      <c r="N1275" s="108">
        <f>IF($B1275="","",IF($E1275="Nghỉ tuần",N($H1275),0))</f>
        <v/>
      </c>
      <c r="O1275" s="108">
        <f>IF($B1275="","",IF($E1275="Lễ",N($H1275),0))</f>
        <v/>
      </c>
    </row>
    <row r="1276" ht="15" customHeight="1" s="63">
      <c r="A1276" s="85">
        <f>IF($B1276="","",ROW()-5)</f>
        <v/>
      </c>
      <c r="B1276" s="97" t="n"/>
      <c r="C1276" s="96">
        <f>IF($B1276="","",IFERROR(INDEX(DM_NHAN_SU!$C$6:$C$155,MATCH($B1276,DM_NHAN_SU!$B$6:$B$155,0)),"SAI MÃ NV"))</f>
        <v/>
      </c>
      <c r="D1276" s="86" t="n"/>
      <c r="E1276" s="103">
        <f>IF(OR($B1276="",$D1276=""),"",IF(COUNTIF(THAM_SO_CC!$F$10:$F$40,$D1276)&gt;0,"Lễ",IF(IF(THAM_SO_CC!$B$12="T7+CN",WEEKDAY($D1276,2)&gt;=6,WEEKDAY($D1276,2)=7),"Nghỉ tuần","Ngày thường")))</f>
        <v/>
      </c>
      <c r="F1276" s="107" t="n"/>
      <c r="G1276" s="107" t="n"/>
      <c r="H1276" s="107" t="n"/>
      <c r="I1276" s="81" t="n"/>
      <c r="J1276" s="108">
        <f>IF($B1276="","",IF($E1276="Ngày thường",N($G1276),0))</f>
        <v/>
      </c>
      <c r="K1276" s="108">
        <f>IF($B1276="","",IF($E1276="Nghỉ tuần",N($G1276),0))</f>
        <v/>
      </c>
      <c r="L1276" s="108">
        <f>IF($B1276="","",IF($E1276="Lễ",N($G1276),0))</f>
        <v/>
      </c>
      <c r="M1276" s="108">
        <f>IF($B1276="","",IF($E1276="Ngày thường",N($H1276),0))</f>
        <v/>
      </c>
      <c r="N1276" s="108">
        <f>IF($B1276="","",IF($E1276="Nghỉ tuần",N($H1276),0))</f>
        <v/>
      </c>
      <c r="O1276" s="108">
        <f>IF($B1276="","",IF($E1276="Lễ",N($H1276),0))</f>
        <v/>
      </c>
    </row>
    <row r="1277" ht="15" customHeight="1" s="63">
      <c r="A1277" s="85">
        <f>IF($B1277="","",ROW()-5)</f>
        <v/>
      </c>
      <c r="B1277" s="97" t="n"/>
      <c r="C1277" s="96">
        <f>IF($B1277="","",IFERROR(INDEX(DM_NHAN_SU!$C$6:$C$155,MATCH($B1277,DM_NHAN_SU!$B$6:$B$155,0)),"SAI MÃ NV"))</f>
        <v/>
      </c>
      <c r="D1277" s="86" t="n"/>
      <c r="E1277" s="103">
        <f>IF(OR($B1277="",$D1277=""),"",IF(COUNTIF(THAM_SO_CC!$F$10:$F$40,$D1277)&gt;0,"Lễ",IF(IF(THAM_SO_CC!$B$12="T7+CN",WEEKDAY($D1277,2)&gt;=6,WEEKDAY($D1277,2)=7),"Nghỉ tuần","Ngày thường")))</f>
        <v/>
      </c>
      <c r="F1277" s="107" t="n"/>
      <c r="G1277" s="107" t="n"/>
      <c r="H1277" s="107" t="n"/>
      <c r="I1277" s="81" t="n"/>
      <c r="J1277" s="108">
        <f>IF($B1277="","",IF($E1277="Ngày thường",N($G1277),0))</f>
        <v/>
      </c>
      <c r="K1277" s="108">
        <f>IF($B1277="","",IF($E1277="Nghỉ tuần",N($G1277),0))</f>
        <v/>
      </c>
      <c r="L1277" s="108">
        <f>IF($B1277="","",IF($E1277="Lễ",N($G1277),0))</f>
        <v/>
      </c>
      <c r="M1277" s="108">
        <f>IF($B1277="","",IF($E1277="Ngày thường",N($H1277),0))</f>
        <v/>
      </c>
      <c r="N1277" s="108">
        <f>IF($B1277="","",IF($E1277="Nghỉ tuần",N($H1277),0))</f>
        <v/>
      </c>
      <c r="O1277" s="108">
        <f>IF($B1277="","",IF($E1277="Lễ",N($H1277),0))</f>
        <v/>
      </c>
    </row>
    <row r="1278" ht="15" customHeight="1" s="63">
      <c r="A1278" s="85">
        <f>IF($B1278="","",ROW()-5)</f>
        <v/>
      </c>
      <c r="B1278" s="97" t="n"/>
      <c r="C1278" s="96">
        <f>IF($B1278="","",IFERROR(INDEX(DM_NHAN_SU!$C$6:$C$155,MATCH($B1278,DM_NHAN_SU!$B$6:$B$155,0)),"SAI MÃ NV"))</f>
        <v/>
      </c>
      <c r="D1278" s="86" t="n"/>
      <c r="E1278" s="103">
        <f>IF(OR($B1278="",$D1278=""),"",IF(COUNTIF(THAM_SO_CC!$F$10:$F$40,$D1278)&gt;0,"Lễ",IF(IF(THAM_SO_CC!$B$12="T7+CN",WEEKDAY($D1278,2)&gt;=6,WEEKDAY($D1278,2)=7),"Nghỉ tuần","Ngày thường")))</f>
        <v/>
      </c>
      <c r="F1278" s="107" t="n"/>
      <c r="G1278" s="107" t="n"/>
      <c r="H1278" s="107" t="n"/>
      <c r="I1278" s="81" t="n"/>
      <c r="J1278" s="108">
        <f>IF($B1278="","",IF($E1278="Ngày thường",N($G1278),0))</f>
        <v/>
      </c>
      <c r="K1278" s="108">
        <f>IF($B1278="","",IF($E1278="Nghỉ tuần",N($G1278),0))</f>
        <v/>
      </c>
      <c r="L1278" s="108">
        <f>IF($B1278="","",IF($E1278="Lễ",N($G1278),0))</f>
        <v/>
      </c>
      <c r="M1278" s="108">
        <f>IF($B1278="","",IF($E1278="Ngày thường",N($H1278),0))</f>
        <v/>
      </c>
      <c r="N1278" s="108">
        <f>IF($B1278="","",IF($E1278="Nghỉ tuần",N($H1278),0))</f>
        <v/>
      </c>
      <c r="O1278" s="108">
        <f>IF($B1278="","",IF($E1278="Lễ",N($H1278),0))</f>
        <v/>
      </c>
    </row>
    <row r="1279" ht="15" customHeight="1" s="63">
      <c r="A1279" s="85">
        <f>IF($B1279="","",ROW()-5)</f>
        <v/>
      </c>
      <c r="B1279" s="97" t="n"/>
      <c r="C1279" s="96">
        <f>IF($B1279="","",IFERROR(INDEX(DM_NHAN_SU!$C$6:$C$155,MATCH($B1279,DM_NHAN_SU!$B$6:$B$155,0)),"SAI MÃ NV"))</f>
        <v/>
      </c>
      <c r="D1279" s="86" t="n"/>
      <c r="E1279" s="103">
        <f>IF(OR($B1279="",$D1279=""),"",IF(COUNTIF(THAM_SO_CC!$F$10:$F$40,$D1279)&gt;0,"Lễ",IF(IF(THAM_SO_CC!$B$12="T7+CN",WEEKDAY($D1279,2)&gt;=6,WEEKDAY($D1279,2)=7),"Nghỉ tuần","Ngày thường")))</f>
        <v/>
      </c>
      <c r="F1279" s="107" t="n"/>
      <c r="G1279" s="107" t="n"/>
      <c r="H1279" s="107" t="n"/>
      <c r="I1279" s="81" t="n"/>
      <c r="J1279" s="108">
        <f>IF($B1279="","",IF($E1279="Ngày thường",N($G1279),0))</f>
        <v/>
      </c>
      <c r="K1279" s="108">
        <f>IF($B1279="","",IF($E1279="Nghỉ tuần",N($G1279),0))</f>
        <v/>
      </c>
      <c r="L1279" s="108">
        <f>IF($B1279="","",IF($E1279="Lễ",N($G1279),0))</f>
        <v/>
      </c>
      <c r="M1279" s="108">
        <f>IF($B1279="","",IF($E1279="Ngày thường",N($H1279),0))</f>
        <v/>
      </c>
      <c r="N1279" s="108">
        <f>IF($B1279="","",IF($E1279="Nghỉ tuần",N($H1279),0))</f>
        <v/>
      </c>
      <c r="O1279" s="108">
        <f>IF($B1279="","",IF($E1279="Lễ",N($H1279),0))</f>
        <v/>
      </c>
    </row>
    <row r="1280" ht="15" customHeight="1" s="63">
      <c r="A1280" s="85">
        <f>IF($B1280="","",ROW()-5)</f>
        <v/>
      </c>
      <c r="B1280" s="97" t="n"/>
      <c r="C1280" s="96">
        <f>IF($B1280="","",IFERROR(INDEX(DM_NHAN_SU!$C$6:$C$155,MATCH($B1280,DM_NHAN_SU!$B$6:$B$155,0)),"SAI MÃ NV"))</f>
        <v/>
      </c>
      <c r="D1280" s="86" t="n"/>
      <c r="E1280" s="103">
        <f>IF(OR($B1280="",$D1280=""),"",IF(COUNTIF(THAM_SO_CC!$F$10:$F$40,$D1280)&gt;0,"Lễ",IF(IF(THAM_SO_CC!$B$12="T7+CN",WEEKDAY($D1280,2)&gt;=6,WEEKDAY($D1280,2)=7),"Nghỉ tuần","Ngày thường")))</f>
        <v/>
      </c>
      <c r="F1280" s="107" t="n"/>
      <c r="G1280" s="107" t="n"/>
      <c r="H1280" s="107" t="n"/>
      <c r="I1280" s="81" t="n"/>
      <c r="J1280" s="108">
        <f>IF($B1280="","",IF($E1280="Ngày thường",N($G1280),0))</f>
        <v/>
      </c>
      <c r="K1280" s="108">
        <f>IF($B1280="","",IF($E1280="Nghỉ tuần",N($G1280),0))</f>
        <v/>
      </c>
      <c r="L1280" s="108">
        <f>IF($B1280="","",IF($E1280="Lễ",N($G1280),0))</f>
        <v/>
      </c>
      <c r="M1280" s="108">
        <f>IF($B1280="","",IF($E1280="Ngày thường",N($H1280),0))</f>
        <v/>
      </c>
      <c r="N1280" s="108">
        <f>IF($B1280="","",IF($E1280="Nghỉ tuần",N($H1280),0))</f>
        <v/>
      </c>
      <c r="O1280" s="108">
        <f>IF($B1280="","",IF($E1280="Lễ",N($H1280),0))</f>
        <v/>
      </c>
    </row>
    <row r="1281" ht="15" customHeight="1" s="63">
      <c r="A1281" s="85">
        <f>IF($B1281="","",ROW()-5)</f>
        <v/>
      </c>
      <c r="B1281" s="97" t="n"/>
      <c r="C1281" s="96">
        <f>IF($B1281="","",IFERROR(INDEX(DM_NHAN_SU!$C$6:$C$155,MATCH($B1281,DM_NHAN_SU!$B$6:$B$155,0)),"SAI MÃ NV"))</f>
        <v/>
      </c>
      <c r="D1281" s="86" t="n"/>
      <c r="E1281" s="103">
        <f>IF(OR($B1281="",$D1281=""),"",IF(COUNTIF(THAM_SO_CC!$F$10:$F$40,$D1281)&gt;0,"Lễ",IF(IF(THAM_SO_CC!$B$12="T7+CN",WEEKDAY($D1281,2)&gt;=6,WEEKDAY($D1281,2)=7),"Nghỉ tuần","Ngày thường")))</f>
        <v/>
      </c>
      <c r="F1281" s="107" t="n"/>
      <c r="G1281" s="107" t="n"/>
      <c r="H1281" s="107" t="n"/>
      <c r="I1281" s="81" t="n"/>
      <c r="J1281" s="108">
        <f>IF($B1281="","",IF($E1281="Ngày thường",N($G1281),0))</f>
        <v/>
      </c>
      <c r="K1281" s="108">
        <f>IF($B1281="","",IF($E1281="Nghỉ tuần",N($G1281),0))</f>
        <v/>
      </c>
      <c r="L1281" s="108">
        <f>IF($B1281="","",IF($E1281="Lễ",N($G1281),0))</f>
        <v/>
      </c>
      <c r="M1281" s="108">
        <f>IF($B1281="","",IF($E1281="Ngày thường",N($H1281),0))</f>
        <v/>
      </c>
      <c r="N1281" s="108">
        <f>IF($B1281="","",IF($E1281="Nghỉ tuần",N($H1281),0))</f>
        <v/>
      </c>
      <c r="O1281" s="108">
        <f>IF($B1281="","",IF($E1281="Lễ",N($H1281),0))</f>
        <v/>
      </c>
    </row>
    <row r="1282" ht="15" customHeight="1" s="63">
      <c r="A1282" s="85">
        <f>IF($B1282="","",ROW()-5)</f>
        <v/>
      </c>
      <c r="B1282" s="97" t="n"/>
      <c r="C1282" s="96">
        <f>IF($B1282="","",IFERROR(INDEX(DM_NHAN_SU!$C$6:$C$155,MATCH($B1282,DM_NHAN_SU!$B$6:$B$155,0)),"SAI MÃ NV"))</f>
        <v/>
      </c>
      <c r="D1282" s="86" t="n"/>
      <c r="E1282" s="103">
        <f>IF(OR($B1282="",$D1282=""),"",IF(COUNTIF(THAM_SO_CC!$F$10:$F$40,$D1282)&gt;0,"Lễ",IF(IF(THAM_SO_CC!$B$12="T7+CN",WEEKDAY($D1282,2)&gt;=6,WEEKDAY($D1282,2)=7),"Nghỉ tuần","Ngày thường")))</f>
        <v/>
      </c>
      <c r="F1282" s="107" t="n"/>
      <c r="G1282" s="107" t="n"/>
      <c r="H1282" s="107" t="n"/>
      <c r="I1282" s="81" t="n"/>
      <c r="J1282" s="108">
        <f>IF($B1282="","",IF($E1282="Ngày thường",N($G1282),0))</f>
        <v/>
      </c>
      <c r="K1282" s="108">
        <f>IF($B1282="","",IF($E1282="Nghỉ tuần",N($G1282),0))</f>
        <v/>
      </c>
      <c r="L1282" s="108">
        <f>IF($B1282="","",IF($E1282="Lễ",N($G1282),0))</f>
        <v/>
      </c>
      <c r="M1282" s="108">
        <f>IF($B1282="","",IF($E1282="Ngày thường",N($H1282),0))</f>
        <v/>
      </c>
      <c r="N1282" s="108">
        <f>IF($B1282="","",IF($E1282="Nghỉ tuần",N($H1282),0))</f>
        <v/>
      </c>
      <c r="O1282" s="108">
        <f>IF($B1282="","",IF($E1282="Lễ",N($H1282),0))</f>
        <v/>
      </c>
    </row>
    <row r="1283" ht="15" customHeight="1" s="63">
      <c r="A1283" s="85">
        <f>IF($B1283="","",ROW()-5)</f>
        <v/>
      </c>
      <c r="B1283" s="97" t="n"/>
      <c r="C1283" s="96">
        <f>IF($B1283="","",IFERROR(INDEX(DM_NHAN_SU!$C$6:$C$155,MATCH($B1283,DM_NHAN_SU!$B$6:$B$155,0)),"SAI MÃ NV"))</f>
        <v/>
      </c>
      <c r="D1283" s="86" t="n"/>
      <c r="E1283" s="103">
        <f>IF(OR($B1283="",$D1283=""),"",IF(COUNTIF(THAM_SO_CC!$F$10:$F$40,$D1283)&gt;0,"Lễ",IF(IF(THAM_SO_CC!$B$12="T7+CN",WEEKDAY($D1283,2)&gt;=6,WEEKDAY($D1283,2)=7),"Nghỉ tuần","Ngày thường")))</f>
        <v/>
      </c>
      <c r="F1283" s="107" t="n"/>
      <c r="G1283" s="107" t="n"/>
      <c r="H1283" s="107" t="n"/>
      <c r="I1283" s="81" t="n"/>
      <c r="J1283" s="108">
        <f>IF($B1283="","",IF($E1283="Ngày thường",N($G1283),0))</f>
        <v/>
      </c>
      <c r="K1283" s="108">
        <f>IF($B1283="","",IF($E1283="Nghỉ tuần",N($G1283),0))</f>
        <v/>
      </c>
      <c r="L1283" s="108">
        <f>IF($B1283="","",IF($E1283="Lễ",N($G1283),0))</f>
        <v/>
      </c>
      <c r="M1283" s="108">
        <f>IF($B1283="","",IF($E1283="Ngày thường",N($H1283),0))</f>
        <v/>
      </c>
      <c r="N1283" s="108">
        <f>IF($B1283="","",IF($E1283="Nghỉ tuần",N($H1283),0))</f>
        <v/>
      </c>
      <c r="O1283" s="108">
        <f>IF($B1283="","",IF($E1283="Lễ",N($H1283),0))</f>
        <v/>
      </c>
    </row>
    <row r="1284" ht="15" customHeight="1" s="63">
      <c r="A1284" s="85">
        <f>IF($B1284="","",ROW()-5)</f>
        <v/>
      </c>
      <c r="B1284" s="97" t="n"/>
      <c r="C1284" s="96">
        <f>IF($B1284="","",IFERROR(INDEX(DM_NHAN_SU!$C$6:$C$155,MATCH($B1284,DM_NHAN_SU!$B$6:$B$155,0)),"SAI MÃ NV"))</f>
        <v/>
      </c>
      <c r="D1284" s="86" t="n"/>
      <c r="E1284" s="103">
        <f>IF(OR($B1284="",$D1284=""),"",IF(COUNTIF(THAM_SO_CC!$F$10:$F$40,$D1284)&gt;0,"Lễ",IF(IF(THAM_SO_CC!$B$12="T7+CN",WEEKDAY($D1284,2)&gt;=6,WEEKDAY($D1284,2)=7),"Nghỉ tuần","Ngày thường")))</f>
        <v/>
      </c>
      <c r="F1284" s="107" t="n"/>
      <c r="G1284" s="107" t="n"/>
      <c r="H1284" s="107" t="n"/>
      <c r="I1284" s="81" t="n"/>
      <c r="J1284" s="108">
        <f>IF($B1284="","",IF($E1284="Ngày thường",N($G1284),0))</f>
        <v/>
      </c>
      <c r="K1284" s="108">
        <f>IF($B1284="","",IF($E1284="Nghỉ tuần",N($G1284),0))</f>
        <v/>
      </c>
      <c r="L1284" s="108">
        <f>IF($B1284="","",IF($E1284="Lễ",N($G1284),0))</f>
        <v/>
      </c>
      <c r="M1284" s="108">
        <f>IF($B1284="","",IF($E1284="Ngày thường",N($H1284),0))</f>
        <v/>
      </c>
      <c r="N1284" s="108">
        <f>IF($B1284="","",IF($E1284="Nghỉ tuần",N($H1284),0))</f>
        <v/>
      </c>
      <c r="O1284" s="108">
        <f>IF($B1284="","",IF($E1284="Lễ",N($H1284),0))</f>
        <v/>
      </c>
    </row>
    <row r="1285" ht="15" customHeight="1" s="63">
      <c r="A1285" s="85">
        <f>IF($B1285="","",ROW()-5)</f>
        <v/>
      </c>
      <c r="B1285" s="97" t="n"/>
      <c r="C1285" s="96">
        <f>IF($B1285="","",IFERROR(INDEX(DM_NHAN_SU!$C$6:$C$155,MATCH($B1285,DM_NHAN_SU!$B$6:$B$155,0)),"SAI MÃ NV"))</f>
        <v/>
      </c>
      <c r="D1285" s="86" t="n"/>
      <c r="E1285" s="103">
        <f>IF(OR($B1285="",$D1285=""),"",IF(COUNTIF(THAM_SO_CC!$F$10:$F$40,$D1285)&gt;0,"Lễ",IF(IF(THAM_SO_CC!$B$12="T7+CN",WEEKDAY($D1285,2)&gt;=6,WEEKDAY($D1285,2)=7),"Nghỉ tuần","Ngày thường")))</f>
        <v/>
      </c>
      <c r="F1285" s="107" t="n"/>
      <c r="G1285" s="107" t="n"/>
      <c r="H1285" s="107" t="n"/>
      <c r="I1285" s="81" t="n"/>
      <c r="J1285" s="108">
        <f>IF($B1285="","",IF($E1285="Ngày thường",N($G1285),0))</f>
        <v/>
      </c>
      <c r="K1285" s="108">
        <f>IF($B1285="","",IF($E1285="Nghỉ tuần",N($G1285),0))</f>
        <v/>
      </c>
      <c r="L1285" s="108">
        <f>IF($B1285="","",IF($E1285="Lễ",N($G1285),0))</f>
        <v/>
      </c>
      <c r="M1285" s="108">
        <f>IF($B1285="","",IF($E1285="Ngày thường",N($H1285),0))</f>
        <v/>
      </c>
      <c r="N1285" s="108">
        <f>IF($B1285="","",IF($E1285="Nghỉ tuần",N($H1285),0))</f>
        <v/>
      </c>
      <c r="O1285" s="108">
        <f>IF($B1285="","",IF($E1285="Lễ",N($H1285),0))</f>
        <v/>
      </c>
    </row>
    <row r="1286" ht="15" customHeight="1" s="63">
      <c r="A1286" s="85">
        <f>IF($B1286="","",ROW()-5)</f>
        <v/>
      </c>
      <c r="B1286" s="97" t="n"/>
      <c r="C1286" s="96">
        <f>IF($B1286="","",IFERROR(INDEX(DM_NHAN_SU!$C$6:$C$155,MATCH($B1286,DM_NHAN_SU!$B$6:$B$155,0)),"SAI MÃ NV"))</f>
        <v/>
      </c>
      <c r="D1286" s="86" t="n"/>
      <c r="E1286" s="103">
        <f>IF(OR($B1286="",$D1286=""),"",IF(COUNTIF(THAM_SO_CC!$F$10:$F$40,$D1286)&gt;0,"Lễ",IF(IF(THAM_SO_CC!$B$12="T7+CN",WEEKDAY($D1286,2)&gt;=6,WEEKDAY($D1286,2)=7),"Nghỉ tuần","Ngày thường")))</f>
        <v/>
      </c>
      <c r="F1286" s="107" t="n"/>
      <c r="G1286" s="107" t="n"/>
      <c r="H1286" s="107" t="n"/>
      <c r="I1286" s="81" t="n"/>
      <c r="J1286" s="108">
        <f>IF($B1286="","",IF($E1286="Ngày thường",N($G1286),0))</f>
        <v/>
      </c>
      <c r="K1286" s="108">
        <f>IF($B1286="","",IF($E1286="Nghỉ tuần",N($G1286),0))</f>
        <v/>
      </c>
      <c r="L1286" s="108">
        <f>IF($B1286="","",IF($E1286="Lễ",N($G1286),0))</f>
        <v/>
      </c>
      <c r="M1286" s="108">
        <f>IF($B1286="","",IF($E1286="Ngày thường",N($H1286),0))</f>
        <v/>
      </c>
      <c r="N1286" s="108">
        <f>IF($B1286="","",IF($E1286="Nghỉ tuần",N($H1286),0))</f>
        <v/>
      </c>
      <c r="O1286" s="108">
        <f>IF($B1286="","",IF($E1286="Lễ",N($H1286),0))</f>
        <v/>
      </c>
    </row>
    <row r="1287" ht="15" customHeight="1" s="63">
      <c r="A1287" s="85">
        <f>IF($B1287="","",ROW()-5)</f>
        <v/>
      </c>
      <c r="B1287" s="97" t="n"/>
      <c r="C1287" s="96">
        <f>IF($B1287="","",IFERROR(INDEX(DM_NHAN_SU!$C$6:$C$155,MATCH($B1287,DM_NHAN_SU!$B$6:$B$155,0)),"SAI MÃ NV"))</f>
        <v/>
      </c>
      <c r="D1287" s="86" t="n"/>
      <c r="E1287" s="103">
        <f>IF(OR($B1287="",$D1287=""),"",IF(COUNTIF(THAM_SO_CC!$F$10:$F$40,$D1287)&gt;0,"Lễ",IF(IF(THAM_SO_CC!$B$12="T7+CN",WEEKDAY($D1287,2)&gt;=6,WEEKDAY($D1287,2)=7),"Nghỉ tuần","Ngày thường")))</f>
        <v/>
      </c>
      <c r="F1287" s="107" t="n"/>
      <c r="G1287" s="107" t="n"/>
      <c r="H1287" s="107" t="n"/>
      <c r="I1287" s="81" t="n"/>
      <c r="J1287" s="108">
        <f>IF($B1287="","",IF($E1287="Ngày thường",N($G1287),0))</f>
        <v/>
      </c>
      <c r="K1287" s="108">
        <f>IF($B1287="","",IF($E1287="Nghỉ tuần",N($G1287),0))</f>
        <v/>
      </c>
      <c r="L1287" s="108">
        <f>IF($B1287="","",IF($E1287="Lễ",N($G1287),0))</f>
        <v/>
      </c>
      <c r="M1287" s="108">
        <f>IF($B1287="","",IF($E1287="Ngày thường",N($H1287),0))</f>
        <v/>
      </c>
      <c r="N1287" s="108">
        <f>IF($B1287="","",IF($E1287="Nghỉ tuần",N($H1287),0))</f>
        <v/>
      </c>
      <c r="O1287" s="108">
        <f>IF($B1287="","",IF($E1287="Lễ",N($H1287),0))</f>
        <v/>
      </c>
    </row>
    <row r="1288" ht="15" customHeight="1" s="63">
      <c r="A1288" s="85">
        <f>IF($B1288="","",ROW()-5)</f>
        <v/>
      </c>
      <c r="B1288" s="97" t="n"/>
      <c r="C1288" s="96">
        <f>IF($B1288="","",IFERROR(INDEX(DM_NHAN_SU!$C$6:$C$155,MATCH($B1288,DM_NHAN_SU!$B$6:$B$155,0)),"SAI MÃ NV"))</f>
        <v/>
      </c>
      <c r="D1288" s="86" t="n"/>
      <c r="E1288" s="103">
        <f>IF(OR($B1288="",$D1288=""),"",IF(COUNTIF(THAM_SO_CC!$F$10:$F$40,$D1288)&gt;0,"Lễ",IF(IF(THAM_SO_CC!$B$12="T7+CN",WEEKDAY($D1288,2)&gt;=6,WEEKDAY($D1288,2)=7),"Nghỉ tuần","Ngày thường")))</f>
        <v/>
      </c>
      <c r="F1288" s="107" t="n"/>
      <c r="G1288" s="107" t="n"/>
      <c r="H1288" s="107" t="n"/>
      <c r="I1288" s="81" t="n"/>
      <c r="J1288" s="108">
        <f>IF($B1288="","",IF($E1288="Ngày thường",N($G1288),0))</f>
        <v/>
      </c>
      <c r="K1288" s="108">
        <f>IF($B1288="","",IF($E1288="Nghỉ tuần",N($G1288),0))</f>
        <v/>
      </c>
      <c r="L1288" s="108">
        <f>IF($B1288="","",IF($E1288="Lễ",N($G1288),0))</f>
        <v/>
      </c>
      <c r="M1288" s="108">
        <f>IF($B1288="","",IF($E1288="Ngày thường",N($H1288),0))</f>
        <v/>
      </c>
      <c r="N1288" s="108">
        <f>IF($B1288="","",IF($E1288="Nghỉ tuần",N($H1288),0))</f>
        <v/>
      </c>
      <c r="O1288" s="108">
        <f>IF($B1288="","",IF($E1288="Lễ",N($H1288),0))</f>
        <v/>
      </c>
    </row>
    <row r="1289" ht="15" customHeight="1" s="63">
      <c r="A1289" s="85">
        <f>IF($B1289="","",ROW()-5)</f>
        <v/>
      </c>
      <c r="B1289" s="97" t="n"/>
      <c r="C1289" s="96">
        <f>IF($B1289="","",IFERROR(INDEX(DM_NHAN_SU!$C$6:$C$155,MATCH($B1289,DM_NHAN_SU!$B$6:$B$155,0)),"SAI MÃ NV"))</f>
        <v/>
      </c>
      <c r="D1289" s="86" t="n"/>
      <c r="E1289" s="103">
        <f>IF(OR($B1289="",$D1289=""),"",IF(COUNTIF(THAM_SO_CC!$F$10:$F$40,$D1289)&gt;0,"Lễ",IF(IF(THAM_SO_CC!$B$12="T7+CN",WEEKDAY($D1289,2)&gt;=6,WEEKDAY($D1289,2)=7),"Nghỉ tuần","Ngày thường")))</f>
        <v/>
      </c>
      <c r="F1289" s="107" t="n"/>
      <c r="G1289" s="107" t="n"/>
      <c r="H1289" s="107" t="n"/>
      <c r="I1289" s="81" t="n"/>
      <c r="J1289" s="108">
        <f>IF($B1289="","",IF($E1289="Ngày thường",N($G1289),0))</f>
        <v/>
      </c>
      <c r="K1289" s="108">
        <f>IF($B1289="","",IF($E1289="Nghỉ tuần",N($G1289),0))</f>
        <v/>
      </c>
      <c r="L1289" s="108">
        <f>IF($B1289="","",IF($E1289="Lễ",N($G1289),0))</f>
        <v/>
      </c>
      <c r="M1289" s="108">
        <f>IF($B1289="","",IF($E1289="Ngày thường",N($H1289),0))</f>
        <v/>
      </c>
      <c r="N1289" s="108">
        <f>IF($B1289="","",IF($E1289="Nghỉ tuần",N($H1289),0))</f>
        <v/>
      </c>
      <c r="O1289" s="108">
        <f>IF($B1289="","",IF($E1289="Lễ",N($H1289),0))</f>
        <v/>
      </c>
    </row>
    <row r="1290" ht="15" customHeight="1" s="63">
      <c r="A1290" s="85">
        <f>IF($B1290="","",ROW()-5)</f>
        <v/>
      </c>
      <c r="B1290" s="97" t="n"/>
      <c r="C1290" s="96">
        <f>IF($B1290="","",IFERROR(INDEX(DM_NHAN_SU!$C$6:$C$155,MATCH($B1290,DM_NHAN_SU!$B$6:$B$155,0)),"SAI MÃ NV"))</f>
        <v/>
      </c>
      <c r="D1290" s="86" t="n"/>
      <c r="E1290" s="103">
        <f>IF(OR($B1290="",$D1290=""),"",IF(COUNTIF(THAM_SO_CC!$F$10:$F$40,$D1290)&gt;0,"Lễ",IF(IF(THAM_SO_CC!$B$12="T7+CN",WEEKDAY($D1290,2)&gt;=6,WEEKDAY($D1290,2)=7),"Nghỉ tuần","Ngày thường")))</f>
        <v/>
      </c>
      <c r="F1290" s="107" t="n"/>
      <c r="G1290" s="107" t="n"/>
      <c r="H1290" s="107" t="n"/>
      <c r="I1290" s="81" t="n"/>
      <c r="J1290" s="108">
        <f>IF($B1290="","",IF($E1290="Ngày thường",N($G1290),0))</f>
        <v/>
      </c>
      <c r="K1290" s="108">
        <f>IF($B1290="","",IF($E1290="Nghỉ tuần",N($G1290),0))</f>
        <v/>
      </c>
      <c r="L1290" s="108">
        <f>IF($B1290="","",IF($E1290="Lễ",N($G1290),0))</f>
        <v/>
      </c>
      <c r="M1290" s="108">
        <f>IF($B1290="","",IF($E1290="Ngày thường",N($H1290),0))</f>
        <v/>
      </c>
      <c r="N1290" s="108">
        <f>IF($B1290="","",IF($E1290="Nghỉ tuần",N($H1290),0))</f>
        <v/>
      </c>
      <c r="O1290" s="108">
        <f>IF($B1290="","",IF($E1290="Lễ",N($H1290),0))</f>
        <v/>
      </c>
    </row>
    <row r="1291" ht="15" customHeight="1" s="63">
      <c r="A1291" s="85">
        <f>IF($B1291="","",ROW()-5)</f>
        <v/>
      </c>
      <c r="B1291" s="97" t="n"/>
      <c r="C1291" s="96">
        <f>IF($B1291="","",IFERROR(INDEX(DM_NHAN_SU!$C$6:$C$155,MATCH($B1291,DM_NHAN_SU!$B$6:$B$155,0)),"SAI MÃ NV"))</f>
        <v/>
      </c>
      <c r="D1291" s="86" t="n"/>
      <c r="E1291" s="103">
        <f>IF(OR($B1291="",$D1291=""),"",IF(COUNTIF(THAM_SO_CC!$F$10:$F$40,$D1291)&gt;0,"Lễ",IF(IF(THAM_SO_CC!$B$12="T7+CN",WEEKDAY($D1291,2)&gt;=6,WEEKDAY($D1291,2)=7),"Nghỉ tuần","Ngày thường")))</f>
        <v/>
      </c>
      <c r="F1291" s="107" t="n"/>
      <c r="G1291" s="107" t="n"/>
      <c r="H1291" s="107" t="n"/>
      <c r="I1291" s="81" t="n"/>
      <c r="J1291" s="108">
        <f>IF($B1291="","",IF($E1291="Ngày thường",N($G1291),0))</f>
        <v/>
      </c>
      <c r="K1291" s="108">
        <f>IF($B1291="","",IF($E1291="Nghỉ tuần",N($G1291),0))</f>
        <v/>
      </c>
      <c r="L1291" s="108">
        <f>IF($B1291="","",IF($E1291="Lễ",N($G1291),0))</f>
        <v/>
      </c>
      <c r="M1291" s="108">
        <f>IF($B1291="","",IF($E1291="Ngày thường",N($H1291),0))</f>
        <v/>
      </c>
      <c r="N1291" s="108">
        <f>IF($B1291="","",IF($E1291="Nghỉ tuần",N($H1291),0))</f>
        <v/>
      </c>
      <c r="O1291" s="108">
        <f>IF($B1291="","",IF($E1291="Lễ",N($H1291),0))</f>
        <v/>
      </c>
    </row>
    <row r="1292" ht="15" customHeight="1" s="63">
      <c r="A1292" s="85">
        <f>IF($B1292="","",ROW()-5)</f>
        <v/>
      </c>
      <c r="B1292" s="97" t="n"/>
      <c r="C1292" s="96">
        <f>IF($B1292="","",IFERROR(INDEX(DM_NHAN_SU!$C$6:$C$155,MATCH($B1292,DM_NHAN_SU!$B$6:$B$155,0)),"SAI MÃ NV"))</f>
        <v/>
      </c>
      <c r="D1292" s="86" t="n"/>
      <c r="E1292" s="103">
        <f>IF(OR($B1292="",$D1292=""),"",IF(COUNTIF(THAM_SO_CC!$F$10:$F$40,$D1292)&gt;0,"Lễ",IF(IF(THAM_SO_CC!$B$12="T7+CN",WEEKDAY($D1292,2)&gt;=6,WEEKDAY($D1292,2)=7),"Nghỉ tuần","Ngày thường")))</f>
        <v/>
      </c>
      <c r="F1292" s="107" t="n"/>
      <c r="G1292" s="107" t="n"/>
      <c r="H1292" s="107" t="n"/>
      <c r="I1292" s="81" t="n"/>
      <c r="J1292" s="108">
        <f>IF($B1292="","",IF($E1292="Ngày thường",N($G1292),0))</f>
        <v/>
      </c>
      <c r="K1292" s="108">
        <f>IF($B1292="","",IF($E1292="Nghỉ tuần",N($G1292),0))</f>
        <v/>
      </c>
      <c r="L1292" s="108">
        <f>IF($B1292="","",IF($E1292="Lễ",N($G1292),0))</f>
        <v/>
      </c>
      <c r="M1292" s="108">
        <f>IF($B1292="","",IF($E1292="Ngày thường",N($H1292),0))</f>
        <v/>
      </c>
      <c r="N1292" s="108">
        <f>IF($B1292="","",IF($E1292="Nghỉ tuần",N($H1292),0))</f>
        <v/>
      </c>
      <c r="O1292" s="108">
        <f>IF($B1292="","",IF($E1292="Lễ",N($H1292),0))</f>
        <v/>
      </c>
    </row>
    <row r="1293" ht="15" customHeight="1" s="63">
      <c r="A1293" s="85">
        <f>IF($B1293="","",ROW()-5)</f>
        <v/>
      </c>
      <c r="B1293" s="97" t="n"/>
      <c r="C1293" s="96">
        <f>IF($B1293="","",IFERROR(INDEX(DM_NHAN_SU!$C$6:$C$155,MATCH($B1293,DM_NHAN_SU!$B$6:$B$155,0)),"SAI MÃ NV"))</f>
        <v/>
      </c>
      <c r="D1293" s="86" t="n"/>
      <c r="E1293" s="103">
        <f>IF(OR($B1293="",$D1293=""),"",IF(COUNTIF(THAM_SO_CC!$F$10:$F$40,$D1293)&gt;0,"Lễ",IF(IF(THAM_SO_CC!$B$12="T7+CN",WEEKDAY($D1293,2)&gt;=6,WEEKDAY($D1293,2)=7),"Nghỉ tuần","Ngày thường")))</f>
        <v/>
      </c>
      <c r="F1293" s="107" t="n"/>
      <c r="G1293" s="107" t="n"/>
      <c r="H1293" s="107" t="n"/>
      <c r="I1293" s="81" t="n"/>
      <c r="J1293" s="108">
        <f>IF($B1293="","",IF($E1293="Ngày thường",N($G1293),0))</f>
        <v/>
      </c>
      <c r="K1293" s="108">
        <f>IF($B1293="","",IF($E1293="Nghỉ tuần",N($G1293),0))</f>
        <v/>
      </c>
      <c r="L1293" s="108">
        <f>IF($B1293="","",IF($E1293="Lễ",N($G1293),0))</f>
        <v/>
      </c>
      <c r="M1293" s="108">
        <f>IF($B1293="","",IF($E1293="Ngày thường",N($H1293),0))</f>
        <v/>
      </c>
      <c r="N1293" s="108">
        <f>IF($B1293="","",IF($E1293="Nghỉ tuần",N($H1293),0))</f>
        <v/>
      </c>
      <c r="O1293" s="108">
        <f>IF($B1293="","",IF($E1293="Lễ",N($H1293),0))</f>
        <v/>
      </c>
    </row>
    <row r="1294" ht="15" customHeight="1" s="63">
      <c r="A1294" s="85">
        <f>IF($B1294="","",ROW()-5)</f>
        <v/>
      </c>
      <c r="B1294" s="97" t="n"/>
      <c r="C1294" s="96">
        <f>IF($B1294="","",IFERROR(INDEX(DM_NHAN_SU!$C$6:$C$155,MATCH($B1294,DM_NHAN_SU!$B$6:$B$155,0)),"SAI MÃ NV"))</f>
        <v/>
      </c>
      <c r="D1294" s="86" t="n"/>
      <c r="E1294" s="103">
        <f>IF(OR($B1294="",$D1294=""),"",IF(COUNTIF(THAM_SO_CC!$F$10:$F$40,$D1294)&gt;0,"Lễ",IF(IF(THAM_SO_CC!$B$12="T7+CN",WEEKDAY($D1294,2)&gt;=6,WEEKDAY($D1294,2)=7),"Nghỉ tuần","Ngày thường")))</f>
        <v/>
      </c>
      <c r="F1294" s="107" t="n"/>
      <c r="G1294" s="107" t="n"/>
      <c r="H1294" s="107" t="n"/>
      <c r="I1294" s="81" t="n"/>
      <c r="J1294" s="108">
        <f>IF($B1294="","",IF($E1294="Ngày thường",N($G1294),0))</f>
        <v/>
      </c>
      <c r="K1294" s="108">
        <f>IF($B1294="","",IF($E1294="Nghỉ tuần",N($G1294),0))</f>
        <v/>
      </c>
      <c r="L1294" s="108">
        <f>IF($B1294="","",IF($E1294="Lễ",N($G1294),0))</f>
        <v/>
      </c>
      <c r="M1294" s="108">
        <f>IF($B1294="","",IF($E1294="Ngày thường",N($H1294),0))</f>
        <v/>
      </c>
      <c r="N1294" s="108">
        <f>IF($B1294="","",IF($E1294="Nghỉ tuần",N($H1294),0))</f>
        <v/>
      </c>
      <c r="O1294" s="108">
        <f>IF($B1294="","",IF($E1294="Lễ",N($H1294),0))</f>
        <v/>
      </c>
    </row>
    <row r="1295" ht="15" customHeight="1" s="63">
      <c r="A1295" s="85">
        <f>IF($B1295="","",ROW()-5)</f>
        <v/>
      </c>
      <c r="B1295" s="97" t="n"/>
      <c r="C1295" s="96">
        <f>IF($B1295="","",IFERROR(INDEX(DM_NHAN_SU!$C$6:$C$155,MATCH($B1295,DM_NHAN_SU!$B$6:$B$155,0)),"SAI MÃ NV"))</f>
        <v/>
      </c>
      <c r="D1295" s="86" t="n"/>
      <c r="E1295" s="103">
        <f>IF(OR($B1295="",$D1295=""),"",IF(COUNTIF(THAM_SO_CC!$F$10:$F$40,$D1295)&gt;0,"Lễ",IF(IF(THAM_SO_CC!$B$12="T7+CN",WEEKDAY($D1295,2)&gt;=6,WEEKDAY($D1295,2)=7),"Nghỉ tuần","Ngày thường")))</f>
        <v/>
      </c>
      <c r="F1295" s="107" t="n"/>
      <c r="G1295" s="107" t="n"/>
      <c r="H1295" s="107" t="n"/>
      <c r="I1295" s="81" t="n"/>
      <c r="J1295" s="108">
        <f>IF($B1295="","",IF($E1295="Ngày thường",N($G1295),0))</f>
        <v/>
      </c>
      <c r="K1295" s="108">
        <f>IF($B1295="","",IF($E1295="Nghỉ tuần",N($G1295),0))</f>
        <v/>
      </c>
      <c r="L1295" s="108">
        <f>IF($B1295="","",IF($E1295="Lễ",N($G1295),0))</f>
        <v/>
      </c>
      <c r="M1295" s="108">
        <f>IF($B1295="","",IF($E1295="Ngày thường",N($H1295),0))</f>
        <v/>
      </c>
      <c r="N1295" s="108">
        <f>IF($B1295="","",IF($E1295="Nghỉ tuần",N($H1295),0))</f>
        <v/>
      </c>
      <c r="O1295" s="108">
        <f>IF($B1295="","",IF($E1295="Lễ",N($H1295),0))</f>
        <v/>
      </c>
    </row>
    <row r="1296" ht="15" customHeight="1" s="63">
      <c r="A1296" s="85">
        <f>IF($B1296="","",ROW()-5)</f>
        <v/>
      </c>
      <c r="B1296" s="97" t="n"/>
      <c r="C1296" s="96">
        <f>IF($B1296="","",IFERROR(INDEX(DM_NHAN_SU!$C$6:$C$155,MATCH($B1296,DM_NHAN_SU!$B$6:$B$155,0)),"SAI MÃ NV"))</f>
        <v/>
      </c>
      <c r="D1296" s="86" t="n"/>
      <c r="E1296" s="103">
        <f>IF(OR($B1296="",$D1296=""),"",IF(COUNTIF(THAM_SO_CC!$F$10:$F$40,$D1296)&gt;0,"Lễ",IF(IF(THAM_SO_CC!$B$12="T7+CN",WEEKDAY($D1296,2)&gt;=6,WEEKDAY($D1296,2)=7),"Nghỉ tuần","Ngày thường")))</f>
        <v/>
      </c>
      <c r="F1296" s="107" t="n"/>
      <c r="G1296" s="107" t="n"/>
      <c r="H1296" s="107" t="n"/>
      <c r="I1296" s="81" t="n"/>
      <c r="J1296" s="108">
        <f>IF($B1296="","",IF($E1296="Ngày thường",N($G1296),0))</f>
        <v/>
      </c>
      <c r="K1296" s="108">
        <f>IF($B1296="","",IF($E1296="Nghỉ tuần",N($G1296),0))</f>
        <v/>
      </c>
      <c r="L1296" s="108">
        <f>IF($B1296="","",IF($E1296="Lễ",N($G1296),0))</f>
        <v/>
      </c>
      <c r="M1296" s="108">
        <f>IF($B1296="","",IF($E1296="Ngày thường",N($H1296),0))</f>
        <v/>
      </c>
      <c r="N1296" s="108">
        <f>IF($B1296="","",IF($E1296="Nghỉ tuần",N($H1296),0))</f>
        <v/>
      </c>
      <c r="O1296" s="108">
        <f>IF($B1296="","",IF($E1296="Lễ",N($H1296),0))</f>
        <v/>
      </c>
    </row>
    <row r="1297" ht="15" customHeight="1" s="63">
      <c r="A1297" s="85">
        <f>IF($B1297="","",ROW()-5)</f>
        <v/>
      </c>
      <c r="B1297" s="97" t="n"/>
      <c r="C1297" s="96">
        <f>IF($B1297="","",IFERROR(INDEX(DM_NHAN_SU!$C$6:$C$155,MATCH($B1297,DM_NHAN_SU!$B$6:$B$155,0)),"SAI MÃ NV"))</f>
        <v/>
      </c>
      <c r="D1297" s="86" t="n"/>
      <c r="E1297" s="103">
        <f>IF(OR($B1297="",$D1297=""),"",IF(COUNTIF(THAM_SO_CC!$F$10:$F$40,$D1297)&gt;0,"Lễ",IF(IF(THAM_SO_CC!$B$12="T7+CN",WEEKDAY($D1297,2)&gt;=6,WEEKDAY($D1297,2)=7),"Nghỉ tuần","Ngày thường")))</f>
        <v/>
      </c>
      <c r="F1297" s="107" t="n"/>
      <c r="G1297" s="107" t="n"/>
      <c r="H1297" s="107" t="n"/>
      <c r="I1297" s="81" t="n"/>
      <c r="J1297" s="108">
        <f>IF($B1297="","",IF($E1297="Ngày thường",N($G1297),0))</f>
        <v/>
      </c>
      <c r="K1297" s="108">
        <f>IF($B1297="","",IF($E1297="Nghỉ tuần",N($G1297),0))</f>
        <v/>
      </c>
      <c r="L1297" s="108">
        <f>IF($B1297="","",IF($E1297="Lễ",N($G1297),0))</f>
        <v/>
      </c>
      <c r="M1297" s="108">
        <f>IF($B1297="","",IF($E1297="Ngày thường",N($H1297),0))</f>
        <v/>
      </c>
      <c r="N1297" s="108">
        <f>IF($B1297="","",IF($E1297="Nghỉ tuần",N($H1297),0))</f>
        <v/>
      </c>
      <c r="O1297" s="108">
        <f>IF($B1297="","",IF($E1297="Lễ",N($H1297),0))</f>
        <v/>
      </c>
    </row>
    <row r="1298" ht="15" customHeight="1" s="63">
      <c r="A1298" s="85">
        <f>IF($B1298="","",ROW()-5)</f>
        <v/>
      </c>
      <c r="B1298" s="97" t="n"/>
      <c r="C1298" s="96">
        <f>IF($B1298="","",IFERROR(INDEX(DM_NHAN_SU!$C$6:$C$155,MATCH($B1298,DM_NHAN_SU!$B$6:$B$155,0)),"SAI MÃ NV"))</f>
        <v/>
      </c>
      <c r="D1298" s="86" t="n"/>
      <c r="E1298" s="103">
        <f>IF(OR($B1298="",$D1298=""),"",IF(COUNTIF(THAM_SO_CC!$F$10:$F$40,$D1298)&gt;0,"Lễ",IF(IF(THAM_SO_CC!$B$12="T7+CN",WEEKDAY($D1298,2)&gt;=6,WEEKDAY($D1298,2)=7),"Nghỉ tuần","Ngày thường")))</f>
        <v/>
      </c>
      <c r="F1298" s="107" t="n"/>
      <c r="G1298" s="107" t="n"/>
      <c r="H1298" s="107" t="n"/>
      <c r="I1298" s="81" t="n"/>
      <c r="J1298" s="108">
        <f>IF($B1298="","",IF($E1298="Ngày thường",N($G1298),0))</f>
        <v/>
      </c>
      <c r="K1298" s="108">
        <f>IF($B1298="","",IF($E1298="Nghỉ tuần",N($G1298),0))</f>
        <v/>
      </c>
      <c r="L1298" s="108">
        <f>IF($B1298="","",IF($E1298="Lễ",N($G1298),0))</f>
        <v/>
      </c>
      <c r="M1298" s="108">
        <f>IF($B1298="","",IF($E1298="Ngày thường",N($H1298),0))</f>
        <v/>
      </c>
      <c r="N1298" s="108">
        <f>IF($B1298="","",IF($E1298="Nghỉ tuần",N($H1298),0))</f>
        <v/>
      </c>
      <c r="O1298" s="108">
        <f>IF($B1298="","",IF($E1298="Lễ",N($H1298),0))</f>
        <v/>
      </c>
    </row>
    <row r="1299" ht="15" customHeight="1" s="63">
      <c r="A1299" s="85">
        <f>IF($B1299="","",ROW()-5)</f>
        <v/>
      </c>
      <c r="B1299" s="97" t="n"/>
      <c r="C1299" s="96">
        <f>IF($B1299="","",IFERROR(INDEX(DM_NHAN_SU!$C$6:$C$155,MATCH($B1299,DM_NHAN_SU!$B$6:$B$155,0)),"SAI MÃ NV"))</f>
        <v/>
      </c>
      <c r="D1299" s="86" t="n"/>
      <c r="E1299" s="103">
        <f>IF(OR($B1299="",$D1299=""),"",IF(COUNTIF(THAM_SO_CC!$F$10:$F$40,$D1299)&gt;0,"Lễ",IF(IF(THAM_SO_CC!$B$12="T7+CN",WEEKDAY($D1299,2)&gt;=6,WEEKDAY($D1299,2)=7),"Nghỉ tuần","Ngày thường")))</f>
        <v/>
      </c>
      <c r="F1299" s="107" t="n"/>
      <c r="G1299" s="107" t="n"/>
      <c r="H1299" s="107" t="n"/>
      <c r="I1299" s="81" t="n"/>
      <c r="J1299" s="108">
        <f>IF($B1299="","",IF($E1299="Ngày thường",N($G1299),0))</f>
        <v/>
      </c>
      <c r="K1299" s="108">
        <f>IF($B1299="","",IF($E1299="Nghỉ tuần",N($G1299),0))</f>
        <v/>
      </c>
      <c r="L1299" s="108">
        <f>IF($B1299="","",IF($E1299="Lễ",N($G1299),0))</f>
        <v/>
      </c>
      <c r="M1299" s="108">
        <f>IF($B1299="","",IF($E1299="Ngày thường",N($H1299),0))</f>
        <v/>
      </c>
      <c r="N1299" s="108">
        <f>IF($B1299="","",IF($E1299="Nghỉ tuần",N($H1299),0))</f>
        <v/>
      </c>
      <c r="O1299" s="108">
        <f>IF($B1299="","",IF($E1299="Lễ",N($H1299),0))</f>
        <v/>
      </c>
    </row>
    <row r="1300" ht="15" customHeight="1" s="63">
      <c r="A1300" s="85">
        <f>IF($B1300="","",ROW()-5)</f>
        <v/>
      </c>
      <c r="B1300" s="97" t="n"/>
      <c r="C1300" s="96">
        <f>IF($B1300="","",IFERROR(INDEX(DM_NHAN_SU!$C$6:$C$155,MATCH($B1300,DM_NHAN_SU!$B$6:$B$155,0)),"SAI MÃ NV"))</f>
        <v/>
      </c>
      <c r="D1300" s="86" t="n"/>
      <c r="E1300" s="103">
        <f>IF(OR($B1300="",$D1300=""),"",IF(COUNTIF(THAM_SO_CC!$F$10:$F$40,$D1300)&gt;0,"Lễ",IF(IF(THAM_SO_CC!$B$12="T7+CN",WEEKDAY($D1300,2)&gt;=6,WEEKDAY($D1300,2)=7),"Nghỉ tuần","Ngày thường")))</f>
        <v/>
      </c>
      <c r="F1300" s="107" t="n"/>
      <c r="G1300" s="107" t="n"/>
      <c r="H1300" s="107" t="n"/>
      <c r="I1300" s="81" t="n"/>
      <c r="J1300" s="108">
        <f>IF($B1300="","",IF($E1300="Ngày thường",N($G1300),0))</f>
        <v/>
      </c>
      <c r="K1300" s="108">
        <f>IF($B1300="","",IF($E1300="Nghỉ tuần",N($G1300),0))</f>
        <v/>
      </c>
      <c r="L1300" s="108">
        <f>IF($B1300="","",IF($E1300="Lễ",N($G1300),0))</f>
        <v/>
      </c>
      <c r="M1300" s="108">
        <f>IF($B1300="","",IF($E1300="Ngày thường",N($H1300),0))</f>
        <v/>
      </c>
      <c r="N1300" s="108">
        <f>IF($B1300="","",IF($E1300="Nghỉ tuần",N($H1300),0))</f>
        <v/>
      </c>
      <c r="O1300" s="108">
        <f>IF($B1300="","",IF($E1300="Lễ",N($H1300),0))</f>
        <v/>
      </c>
    </row>
    <row r="1301" ht="15" customHeight="1" s="63">
      <c r="A1301" s="85">
        <f>IF($B1301="","",ROW()-5)</f>
        <v/>
      </c>
      <c r="B1301" s="97" t="n"/>
      <c r="C1301" s="96">
        <f>IF($B1301="","",IFERROR(INDEX(DM_NHAN_SU!$C$6:$C$155,MATCH($B1301,DM_NHAN_SU!$B$6:$B$155,0)),"SAI MÃ NV"))</f>
        <v/>
      </c>
      <c r="D1301" s="86" t="n"/>
      <c r="E1301" s="103">
        <f>IF(OR($B1301="",$D1301=""),"",IF(COUNTIF(THAM_SO_CC!$F$10:$F$40,$D1301)&gt;0,"Lễ",IF(IF(THAM_SO_CC!$B$12="T7+CN",WEEKDAY($D1301,2)&gt;=6,WEEKDAY($D1301,2)=7),"Nghỉ tuần","Ngày thường")))</f>
        <v/>
      </c>
      <c r="F1301" s="107" t="n"/>
      <c r="G1301" s="107" t="n"/>
      <c r="H1301" s="107" t="n"/>
      <c r="I1301" s="81" t="n"/>
      <c r="J1301" s="108">
        <f>IF($B1301="","",IF($E1301="Ngày thường",N($G1301),0))</f>
        <v/>
      </c>
      <c r="K1301" s="108">
        <f>IF($B1301="","",IF($E1301="Nghỉ tuần",N($G1301),0))</f>
        <v/>
      </c>
      <c r="L1301" s="108">
        <f>IF($B1301="","",IF($E1301="Lễ",N($G1301),0))</f>
        <v/>
      </c>
      <c r="M1301" s="108">
        <f>IF($B1301="","",IF($E1301="Ngày thường",N($H1301),0))</f>
        <v/>
      </c>
      <c r="N1301" s="108">
        <f>IF($B1301="","",IF($E1301="Nghỉ tuần",N($H1301),0))</f>
        <v/>
      </c>
      <c r="O1301" s="108">
        <f>IF($B1301="","",IF($E1301="Lễ",N($H1301),0))</f>
        <v/>
      </c>
    </row>
    <row r="1302" ht="15" customHeight="1" s="63">
      <c r="A1302" s="85">
        <f>IF($B1302="","",ROW()-5)</f>
        <v/>
      </c>
      <c r="B1302" s="97" t="n"/>
      <c r="C1302" s="96">
        <f>IF($B1302="","",IFERROR(INDEX(DM_NHAN_SU!$C$6:$C$155,MATCH($B1302,DM_NHAN_SU!$B$6:$B$155,0)),"SAI MÃ NV"))</f>
        <v/>
      </c>
      <c r="D1302" s="86" t="n"/>
      <c r="E1302" s="103">
        <f>IF(OR($B1302="",$D1302=""),"",IF(COUNTIF(THAM_SO_CC!$F$10:$F$40,$D1302)&gt;0,"Lễ",IF(IF(THAM_SO_CC!$B$12="T7+CN",WEEKDAY($D1302,2)&gt;=6,WEEKDAY($D1302,2)=7),"Nghỉ tuần","Ngày thường")))</f>
        <v/>
      </c>
      <c r="F1302" s="107" t="n"/>
      <c r="G1302" s="107" t="n"/>
      <c r="H1302" s="107" t="n"/>
      <c r="I1302" s="81" t="n"/>
      <c r="J1302" s="108">
        <f>IF($B1302="","",IF($E1302="Ngày thường",N($G1302),0))</f>
        <v/>
      </c>
      <c r="K1302" s="108">
        <f>IF($B1302="","",IF($E1302="Nghỉ tuần",N($G1302),0))</f>
        <v/>
      </c>
      <c r="L1302" s="108">
        <f>IF($B1302="","",IF($E1302="Lễ",N($G1302),0))</f>
        <v/>
      </c>
      <c r="M1302" s="108">
        <f>IF($B1302="","",IF($E1302="Ngày thường",N($H1302),0))</f>
        <v/>
      </c>
      <c r="N1302" s="108">
        <f>IF($B1302="","",IF($E1302="Nghỉ tuần",N($H1302),0))</f>
        <v/>
      </c>
      <c r="O1302" s="108">
        <f>IF($B1302="","",IF($E1302="Lễ",N($H1302),0))</f>
        <v/>
      </c>
    </row>
    <row r="1303" ht="15" customHeight="1" s="63">
      <c r="A1303" s="85">
        <f>IF($B1303="","",ROW()-5)</f>
        <v/>
      </c>
      <c r="B1303" s="97" t="n"/>
      <c r="C1303" s="96">
        <f>IF($B1303="","",IFERROR(INDEX(DM_NHAN_SU!$C$6:$C$155,MATCH($B1303,DM_NHAN_SU!$B$6:$B$155,0)),"SAI MÃ NV"))</f>
        <v/>
      </c>
      <c r="D1303" s="86" t="n"/>
      <c r="E1303" s="103">
        <f>IF(OR($B1303="",$D1303=""),"",IF(COUNTIF(THAM_SO_CC!$F$10:$F$40,$D1303)&gt;0,"Lễ",IF(IF(THAM_SO_CC!$B$12="T7+CN",WEEKDAY($D1303,2)&gt;=6,WEEKDAY($D1303,2)=7),"Nghỉ tuần","Ngày thường")))</f>
        <v/>
      </c>
      <c r="F1303" s="107" t="n"/>
      <c r="G1303" s="107" t="n"/>
      <c r="H1303" s="107" t="n"/>
      <c r="I1303" s="81" t="n"/>
      <c r="J1303" s="108">
        <f>IF($B1303="","",IF($E1303="Ngày thường",N($G1303),0))</f>
        <v/>
      </c>
      <c r="K1303" s="108">
        <f>IF($B1303="","",IF($E1303="Nghỉ tuần",N($G1303),0))</f>
        <v/>
      </c>
      <c r="L1303" s="108">
        <f>IF($B1303="","",IF($E1303="Lễ",N($G1303),0))</f>
        <v/>
      </c>
      <c r="M1303" s="108">
        <f>IF($B1303="","",IF($E1303="Ngày thường",N($H1303),0))</f>
        <v/>
      </c>
      <c r="N1303" s="108">
        <f>IF($B1303="","",IF($E1303="Nghỉ tuần",N($H1303),0))</f>
        <v/>
      </c>
      <c r="O1303" s="108">
        <f>IF($B1303="","",IF($E1303="Lễ",N($H1303),0))</f>
        <v/>
      </c>
    </row>
    <row r="1304" ht="15" customHeight="1" s="63">
      <c r="A1304" s="85">
        <f>IF($B1304="","",ROW()-5)</f>
        <v/>
      </c>
      <c r="B1304" s="97" t="n"/>
      <c r="C1304" s="96">
        <f>IF($B1304="","",IFERROR(INDEX(DM_NHAN_SU!$C$6:$C$155,MATCH($B1304,DM_NHAN_SU!$B$6:$B$155,0)),"SAI MÃ NV"))</f>
        <v/>
      </c>
      <c r="D1304" s="86" t="n"/>
      <c r="E1304" s="103">
        <f>IF(OR($B1304="",$D1304=""),"",IF(COUNTIF(THAM_SO_CC!$F$10:$F$40,$D1304)&gt;0,"Lễ",IF(IF(THAM_SO_CC!$B$12="T7+CN",WEEKDAY($D1304,2)&gt;=6,WEEKDAY($D1304,2)=7),"Nghỉ tuần","Ngày thường")))</f>
        <v/>
      </c>
      <c r="F1304" s="107" t="n"/>
      <c r="G1304" s="107" t="n"/>
      <c r="H1304" s="107" t="n"/>
      <c r="I1304" s="81" t="n"/>
      <c r="J1304" s="108">
        <f>IF($B1304="","",IF($E1304="Ngày thường",N($G1304),0))</f>
        <v/>
      </c>
      <c r="K1304" s="108">
        <f>IF($B1304="","",IF($E1304="Nghỉ tuần",N($G1304),0))</f>
        <v/>
      </c>
      <c r="L1304" s="108">
        <f>IF($B1304="","",IF($E1304="Lễ",N($G1304),0))</f>
        <v/>
      </c>
      <c r="M1304" s="108">
        <f>IF($B1304="","",IF($E1304="Ngày thường",N($H1304),0))</f>
        <v/>
      </c>
      <c r="N1304" s="108">
        <f>IF($B1304="","",IF($E1304="Nghỉ tuần",N($H1304),0))</f>
        <v/>
      </c>
      <c r="O1304" s="108">
        <f>IF($B1304="","",IF($E1304="Lễ",N($H1304),0))</f>
        <v/>
      </c>
    </row>
    <row r="1305" ht="15" customHeight="1" s="63">
      <c r="A1305" s="85">
        <f>IF($B1305="","",ROW()-5)</f>
        <v/>
      </c>
      <c r="B1305" s="97" t="n"/>
      <c r="C1305" s="96">
        <f>IF($B1305="","",IFERROR(INDEX(DM_NHAN_SU!$C$6:$C$155,MATCH($B1305,DM_NHAN_SU!$B$6:$B$155,0)),"SAI MÃ NV"))</f>
        <v/>
      </c>
      <c r="D1305" s="86" t="n"/>
      <c r="E1305" s="103">
        <f>IF(OR($B1305="",$D1305=""),"",IF(COUNTIF(THAM_SO_CC!$F$10:$F$40,$D1305)&gt;0,"Lễ",IF(IF(THAM_SO_CC!$B$12="T7+CN",WEEKDAY($D1305,2)&gt;=6,WEEKDAY($D1305,2)=7),"Nghỉ tuần","Ngày thường")))</f>
        <v/>
      </c>
      <c r="F1305" s="107" t="n"/>
      <c r="G1305" s="107" t="n"/>
      <c r="H1305" s="107" t="n"/>
      <c r="I1305" s="81" t="n"/>
      <c r="J1305" s="108">
        <f>IF($B1305="","",IF($E1305="Ngày thường",N($G1305),0))</f>
        <v/>
      </c>
      <c r="K1305" s="108">
        <f>IF($B1305="","",IF($E1305="Nghỉ tuần",N($G1305),0))</f>
        <v/>
      </c>
      <c r="L1305" s="108">
        <f>IF($B1305="","",IF($E1305="Lễ",N($G1305),0))</f>
        <v/>
      </c>
      <c r="M1305" s="108">
        <f>IF($B1305="","",IF($E1305="Ngày thường",N($H1305),0))</f>
        <v/>
      </c>
      <c r="N1305" s="108">
        <f>IF($B1305="","",IF($E1305="Nghỉ tuần",N($H1305),0))</f>
        <v/>
      </c>
      <c r="O1305" s="108">
        <f>IF($B1305="","",IF($E1305="Lễ",N($H1305),0))</f>
        <v/>
      </c>
    </row>
    <row r="1306" ht="15" customHeight="1" s="63">
      <c r="A1306" s="85">
        <f>IF($B1306="","",ROW()-5)</f>
        <v/>
      </c>
      <c r="B1306" s="97" t="n"/>
      <c r="C1306" s="96">
        <f>IF($B1306="","",IFERROR(INDEX(DM_NHAN_SU!$C$6:$C$155,MATCH($B1306,DM_NHAN_SU!$B$6:$B$155,0)),"SAI MÃ NV"))</f>
        <v/>
      </c>
      <c r="D1306" s="86" t="n"/>
      <c r="E1306" s="103">
        <f>IF(OR($B1306="",$D1306=""),"",IF(COUNTIF(THAM_SO_CC!$F$10:$F$40,$D1306)&gt;0,"Lễ",IF(IF(THAM_SO_CC!$B$12="T7+CN",WEEKDAY($D1306,2)&gt;=6,WEEKDAY($D1306,2)=7),"Nghỉ tuần","Ngày thường")))</f>
        <v/>
      </c>
      <c r="F1306" s="107" t="n"/>
      <c r="G1306" s="107" t="n"/>
      <c r="H1306" s="107" t="n"/>
      <c r="I1306" s="81" t="n"/>
      <c r="J1306" s="108">
        <f>IF($B1306="","",IF($E1306="Ngày thường",N($G1306),0))</f>
        <v/>
      </c>
      <c r="K1306" s="108">
        <f>IF($B1306="","",IF($E1306="Nghỉ tuần",N($G1306),0))</f>
        <v/>
      </c>
      <c r="L1306" s="108">
        <f>IF($B1306="","",IF($E1306="Lễ",N($G1306),0))</f>
        <v/>
      </c>
      <c r="M1306" s="108">
        <f>IF($B1306="","",IF($E1306="Ngày thường",N($H1306),0))</f>
        <v/>
      </c>
      <c r="N1306" s="108">
        <f>IF($B1306="","",IF($E1306="Nghỉ tuần",N($H1306),0))</f>
        <v/>
      </c>
      <c r="O1306" s="108">
        <f>IF($B1306="","",IF($E1306="Lễ",N($H1306),0))</f>
        <v/>
      </c>
    </row>
    <row r="1307" ht="15" customHeight="1" s="63">
      <c r="A1307" s="85">
        <f>IF($B1307="","",ROW()-5)</f>
        <v/>
      </c>
      <c r="B1307" s="97" t="n"/>
      <c r="C1307" s="96">
        <f>IF($B1307="","",IFERROR(INDEX(DM_NHAN_SU!$C$6:$C$155,MATCH($B1307,DM_NHAN_SU!$B$6:$B$155,0)),"SAI MÃ NV"))</f>
        <v/>
      </c>
      <c r="D1307" s="86" t="n"/>
      <c r="E1307" s="103">
        <f>IF(OR($B1307="",$D1307=""),"",IF(COUNTIF(THAM_SO_CC!$F$10:$F$40,$D1307)&gt;0,"Lễ",IF(IF(THAM_SO_CC!$B$12="T7+CN",WEEKDAY($D1307,2)&gt;=6,WEEKDAY($D1307,2)=7),"Nghỉ tuần","Ngày thường")))</f>
        <v/>
      </c>
      <c r="F1307" s="107" t="n"/>
      <c r="G1307" s="107" t="n"/>
      <c r="H1307" s="107" t="n"/>
      <c r="I1307" s="81" t="n"/>
      <c r="J1307" s="108">
        <f>IF($B1307="","",IF($E1307="Ngày thường",N($G1307),0))</f>
        <v/>
      </c>
      <c r="K1307" s="108">
        <f>IF($B1307="","",IF($E1307="Nghỉ tuần",N($G1307),0))</f>
        <v/>
      </c>
      <c r="L1307" s="108">
        <f>IF($B1307="","",IF($E1307="Lễ",N($G1307),0))</f>
        <v/>
      </c>
      <c r="M1307" s="108">
        <f>IF($B1307="","",IF($E1307="Ngày thường",N($H1307),0))</f>
        <v/>
      </c>
      <c r="N1307" s="108">
        <f>IF($B1307="","",IF($E1307="Nghỉ tuần",N($H1307),0))</f>
        <v/>
      </c>
      <c r="O1307" s="108">
        <f>IF($B1307="","",IF($E1307="Lễ",N($H1307),0))</f>
        <v/>
      </c>
    </row>
    <row r="1308" ht="15" customHeight="1" s="63">
      <c r="A1308" s="85">
        <f>IF($B1308="","",ROW()-5)</f>
        <v/>
      </c>
      <c r="B1308" s="97" t="n"/>
      <c r="C1308" s="96">
        <f>IF($B1308="","",IFERROR(INDEX(DM_NHAN_SU!$C$6:$C$155,MATCH($B1308,DM_NHAN_SU!$B$6:$B$155,0)),"SAI MÃ NV"))</f>
        <v/>
      </c>
      <c r="D1308" s="86" t="n"/>
      <c r="E1308" s="103">
        <f>IF(OR($B1308="",$D1308=""),"",IF(COUNTIF(THAM_SO_CC!$F$10:$F$40,$D1308)&gt;0,"Lễ",IF(IF(THAM_SO_CC!$B$12="T7+CN",WEEKDAY($D1308,2)&gt;=6,WEEKDAY($D1308,2)=7),"Nghỉ tuần","Ngày thường")))</f>
        <v/>
      </c>
      <c r="F1308" s="107" t="n"/>
      <c r="G1308" s="107" t="n"/>
      <c r="H1308" s="107" t="n"/>
      <c r="I1308" s="81" t="n"/>
      <c r="J1308" s="108">
        <f>IF($B1308="","",IF($E1308="Ngày thường",N($G1308),0))</f>
        <v/>
      </c>
      <c r="K1308" s="108">
        <f>IF($B1308="","",IF($E1308="Nghỉ tuần",N($G1308),0))</f>
        <v/>
      </c>
      <c r="L1308" s="108">
        <f>IF($B1308="","",IF($E1308="Lễ",N($G1308),0))</f>
        <v/>
      </c>
      <c r="M1308" s="108">
        <f>IF($B1308="","",IF($E1308="Ngày thường",N($H1308),0))</f>
        <v/>
      </c>
      <c r="N1308" s="108">
        <f>IF($B1308="","",IF($E1308="Nghỉ tuần",N($H1308),0))</f>
        <v/>
      </c>
      <c r="O1308" s="108">
        <f>IF($B1308="","",IF($E1308="Lễ",N($H1308),0))</f>
        <v/>
      </c>
    </row>
    <row r="1309" ht="15" customHeight="1" s="63">
      <c r="A1309" s="85">
        <f>IF($B1309="","",ROW()-5)</f>
        <v/>
      </c>
      <c r="B1309" s="97" t="n"/>
      <c r="C1309" s="96">
        <f>IF($B1309="","",IFERROR(INDEX(DM_NHAN_SU!$C$6:$C$155,MATCH($B1309,DM_NHAN_SU!$B$6:$B$155,0)),"SAI MÃ NV"))</f>
        <v/>
      </c>
      <c r="D1309" s="86" t="n"/>
      <c r="E1309" s="103">
        <f>IF(OR($B1309="",$D1309=""),"",IF(COUNTIF(THAM_SO_CC!$F$10:$F$40,$D1309)&gt;0,"Lễ",IF(IF(THAM_SO_CC!$B$12="T7+CN",WEEKDAY($D1309,2)&gt;=6,WEEKDAY($D1309,2)=7),"Nghỉ tuần","Ngày thường")))</f>
        <v/>
      </c>
      <c r="F1309" s="107" t="n"/>
      <c r="G1309" s="107" t="n"/>
      <c r="H1309" s="107" t="n"/>
      <c r="I1309" s="81" t="n"/>
      <c r="J1309" s="108">
        <f>IF($B1309="","",IF($E1309="Ngày thường",N($G1309),0))</f>
        <v/>
      </c>
      <c r="K1309" s="108">
        <f>IF($B1309="","",IF($E1309="Nghỉ tuần",N($G1309),0))</f>
        <v/>
      </c>
      <c r="L1309" s="108">
        <f>IF($B1309="","",IF($E1309="Lễ",N($G1309),0))</f>
        <v/>
      </c>
      <c r="M1309" s="108">
        <f>IF($B1309="","",IF($E1309="Ngày thường",N($H1309),0))</f>
        <v/>
      </c>
      <c r="N1309" s="108">
        <f>IF($B1309="","",IF($E1309="Nghỉ tuần",N($H1309),0))</f>
        <v/>
      </c>
      <c r="O1309" s="108">
        <f>IF($B1309="","",IF($E1309="Lễ",N($H1309),0))</f>
        <v/>
      </c>
    </row>
    <row r="1310" ht="15" customHeight="1" s="63">
      <c r="A1310" s="85">
        <f>IF($B1310="","",ROW()-5)</f>
        <v/>
      </c>
      <c r="B1310" s="97" t="n"/>
      <c r="C1310" s="96">
        <f>IF($B1310="","",IFERROR(INDEX(DM_NHAN_SU!$C$6:$C$155,MATCH($B1310,DM_NHAN_SU!$B$6:$B$155,0)),"SAI MÃ NV"))</f>
        <v/>
      </c>
      <c r="D1310" s="86" t="n"/>
      <c r="E1310" s="103">
        <f>IF(OR($B1310="",$D1310=""),"",IF(COUNTIF(THAM_SO_CC!$F$10:$F$40,$D1310)&gt;0,"Lễ",IF(IF(THAM_SO_CC!$B$12="T7+CN",WEEKDAY($D1310,2)&gt;=6,WEEKDAY($D1310,2)=7),"Nghỉ tuần","Ngày thường")))</f>
        <v/>
      </c>
      <c r="F1310" s="107" t="n"/>
      <c r="G1310" s="107" t="n"/>
      <c r="H1310" s="107" t="n"/>
      <c r="I1310" s="81" t="n"/>
      <c r="J1310" s="108">
        <f>IF($B1310="","",IF($E1310="Ngày thường",N($G1310),0))</f>
        <v/>
      </c>
      <c r="K1310" s="108">
        <f>IF($B1310="","",IF($E1310="Nghỉ tuần",N($G1310),0))</f>
        <v/>
      </c>
      <c r="L1310" s="108">
        <f>IF($B1310="","",IF($E1310="Lễ",N($G1310),0))</f>
        <v/>
      </c>
      <c r="M1310" s="108">
        <f>IF($B1310="","",IF($E1310="Ngày thường",N($H1310),0))</f>
        <v/>
      </c>
      <c r="N1310" s="108">
        <f>IF($B1310="","",IF($E1310="Nghỉ tuần",N($H1310),0))</f>
        <v/>
      </c>
      <c r="O1310" s="108">
        <f>IF($B1310="","",IF($E1310="Lễ",N($H1310),0))</f>
        <v/>
      </c>
    </row>
    <row r="1311" ht="15" customHeight="1" s="63">
      <c r="A1311" s="85">
        <f>IF($B1311="","",ROW()-5)</f>
        <v/>
      </c>
      <c r="B1311" s="97" t="n"/>
      <c r="C1311" s="96">
        <f>IF($B1311="","",IFERROR(INDEX(DM_NHAN_SU!$C$6:$C$155,MATCH($B1311,DM_NHAN_SU!$B$6:$B$155,0)),"SAI MÃ NV"))</f>
        <v/>
      </c>
      <c r="D1311" s="86" t="n"/>
      <c r="E1311" s="103">
        <f>IF(OR($B1311="",$D1311=""),"",IF(COUNTIF(THAM_SO_CC!$F$10:$F$40,$D1311)&gt;0,"Lễ",IF(IF(THAM_SO_CC!$B$12="T7+CN",WEEKDAY($D1311,2)&gt;=6,WEEKDAY($D1311,2)=7),"Nghỉ tuần","Ngày thường")))</f>
        <v/>
      </c>
      <c r="F1311" s="107" t="n"/>
      <c r="G1311" s="107" t="n"/>
      <c r="H1311" s="107" t="n"/>
      <c r="I1311" s="81" t="n"/>
      <c r="J1311" s="108">
        <f>IF($B1311="","",IF($E1311="Ngày thường",N($G1311),0))</f>
        <v/>
      </c>
      <c r="K1311" s="108">
        <f>IF($B1311="","",IF($E1311="Nghỉ tuần",N($G1311),0))</f>
        <v/>
      </c>
      <c r="L1311" s="108">
        <f>IF($B1311="","",IF($E1311="Lễ",N($G1311),0))</f>
        <v/>
      </c>
      <c r="M1311" s="108">
        <f>IF($B1311="","",IF($E1311="Ngày thường",N($H1311),0))</f>
        <v/>
      </c>
      <c r="N1311" s="108">
        <f>IF($B1311="","",IF($E1311="Nghỉ tuần",N($H1311),0))</f>
        <v/>
      </c>
      <c r="O1311" s="108">
        <f>IF($B1311="","",IF($E1311="Lễ",N($H1311),0))</f>
        <v/>
      </c>
    </row>
    <row r="1312" ht="15" customHeight="1" s="63">
      <c r="A1312" s="85">
        <f>IF($B1312="","",ROW()-5)</f>
        <v/>
      </c>
      <c r="B1312" s="97" t="n"/>
      <c r="C1312" s="96">
        <f>IF($B1312="","",IFERROR(INDEX(DM_NHAN_SU!$C$6:$C$155,MATCH($B1312,DM_NHAN_SU!$B$6:$B$155,0)),"SAI MÃ NV"))</f>
        <v/>
      </c>
      <c r="D1312" s="86" t="n"/>
      <c r="E1312" s="103">
        <f>IF(OR($B1312="",$D1312=""),"",IF(COUNTIF(THAM_SO_CC!$F$10:$F$40,$D1312)&gt;0,"Lễ",IF(IF(THAM_SO_CC!$B$12="T7+CN",WEEKDAY($D1312,2)&gt;=6,WEEKDAY($D1312,2)=7),"Nghỉ tuần","Ngày thường")))</f>
        <v/>
      </c>
      <c r="F1312" s="107" t="n"/>
      <c r="G1312" s="107" t="n"/>
      <c r="H1312" s="107" t="n"/>
      <c r="I1312" s="81" t="n"/>
      <c r="J1312" s="108">
        <f>IF($B1312="","",IF($E1312="Ngày thường",N($G1312),0))</f>
        <v/>
      </c>
      <c r="K1312" s="108">
        <f>IF($B1312="","",IF($E1312="Nghỉ tuần",N($G1312),0))</f>
        <v/>
      </c>
      <c r="L1312" s="108">
        <f>IF($B1312="","",IF($E1312="Lễ",N($G1312),0))</f>
        <v/>
      </c>
      <c r="M1312" s="108">
        <f>IF($B1312="","",IF($E1312="Ngày thường",N($H1312),0))</f>
        <v/>
      </c>
      <c r="N1312" s="108">
        <f>IF($B1312="","",IF($E1312="Nghỉ tuần",N($H1312),0))</f>
        <v/>
      </c>
      <c r="O1312" s="108">
        <f>IF($B1312="","",IF($E1312="Lễ",N($H1312),0))</f>
        <v/>
      </c>
    </row>
    <row r="1313" ht="15" customHeight="1" s="63">
      <c r="A1313" s="85">
        <f>IF($B1313="","",ROW()-5)</f>
        <v/>
      </c>
      <c r="B1313" s="97" t="n"/>
      <c r="C1313" s="96">
        <f>IF($B1313="","",IFERROR(INDEX(DM_NHAN_SU!$C$6:$C$155,MATCH($B1313,DM_NHAN_SU!$B$6:$B$155,0)),"SAI MÃ NV"))</f>
        <v/>
      </c>
      <c r="D1313" s="86" t="n"/>
      <c r="E1313" s="103">
        <f>IF(OR($B1313="",$D1313=""),"",IF(COUNTIF(THAM_SO_CC!$F$10:$F$40,$D1313)&gt;0,"Lễ",IF(IF(THAM_SO_CC!$B$12="T7+CN",WEEKDAY($D1313,2)&gt;=6,WEEKDAY($D1313,2)=7),"Nghỉ tuần","Ngày thường")))</f>
        <v/>
      </c>
      <c r="F1313" s="107" t="n"/>
      <c r="G1313" s="107" t="n"/>
      <c r="H1313" s="107" t="n"/>
      <c r="I1313" s="81" t="n"/>
      <c r="J1313" s="108">
        <f>IF($B1313="","",IF($E1313="Ngày thường",N($G1313),0))</f>
        <v/>
      </c>
      <c r="K1313" s="108">
        <f>IF($B1313="","",IF($E1313="Nghỉ tuần",N($G1313),0))</f>
        <v/>
      </c>
      <c r="L1313" s="108">
        <f>IF($B1313="","",IF($E1313="Lễ",N($G1313),0))</f>
        <v/>
      </c>
      <c r="M1313" s="108">
        <f>IF($B1313="","",IF($E1313="Ngày thường",N($H1313),0))</f>
        <v/>
      </c>
      <c r="N1313" s="108">
        <f>IF($B1313="","",IF($E1313="Nghỉ tuần",N($H1313),0))</f>
        <v/>
      </c>
      <c r="O1313" s="108">
        <f>IF($B1313="","",IF($E1313="Lễ",N($H1313),0))</f>
        <v/>
      </c>
    </row>
    <row r="1314" ht="15" customHeight="1" s="63">
      <c r="A1314" s="85">
        <f>IF($B1314="","",ROW()-5)</f>
        <v/>
      </c>
      <c r="B1314" s="97" t="n"/>
      <c r="C1314" s="96">
        <f>IF($B1314="","",IFERROR(INDEX(DM_NHAN_SU!$C$6:$C$155,MATCH($B1314,DM_NHAN_SU!$B$6:$B$155,0)),"SAI MÃ NV"))</f>
        <v/>
      </c>
      <c r="D1314" s="86" t="n"/>
      <c r="E1314" s="103">
        <f>IF(OR($B1314="",$D1314=""),"",IF(COUNTIF(THAM_SO_CC!$F$10:$F$40,$D1314)&gt;0,"Lễ",IF(IF(THAM_SO_CC!$B$12="T7+CN",WEEKDAY($D1314,2)&gt;=6,WEEKDAY($D1314,2)=7),"Nghỉ tuần","Ngày thường")))</f>
        <v/>
      </c>
      <c r="F1314" s="107" t="n"/>
      <c r="G1314" s="107" t="n"/>
      <c r="H1314" s="107" t="n"/>
      <c r="I1314" s="81" t="n"/>
      <c r="J1314" s="108">
        <f>IF($B1314="","",IF($E1314="Ngày thường",N($G1314),0))</f>
        <v/>
      </c>
      <c r="K1314" s="108">
        <f>IF($B1314="","",IF($E1314="Nghỉ tuần",N($G1314),0))</f>
        <v/>
      </c>
      <c r="L1314" s="108">
        <f>IF($B1314="","",IF($E1314="Lễ",N($G1314),0))</f>
        <v/>
      </c>
      <c r="M1314" s="108">
        <f>IF($B1314="","",IF($E1314="Ngày thường",N($H1314),0))</f>
        <v/>
      </c>
      <c r="N1314" s="108">
        <f>IF($B1314="","",IF($E1314="Nghỉ tuần",N($H1314),0))</f>
        <v/>
      </c>
      <c r="O1314" s="108">
        <f>IF($B1314="","",IF($E1314="Lễ",N($H1314),0))</f>
        <v/>
      </c>
    </row>
    <row r="1315" ht="15" customHeight="1" s="63">
      <c r="A1315" s="85">
        <f>IF($B1315="","",ROW()-5)</f>
        <v/>
      </c>
      <c r="B1315" s="97" t="n"/>
      <c r="C1315" s="96">
        <f>IF($B1315="","",IFERROR(INDEX(DM_NHAN_SU!$C$6:$C$155,MATCH($B1315,DM_NHAN_SU!$B$6:$B$155,0)),"SAI MÃ NV"))</f>
        <v/>
      </c>
      <c r="D1315" s="86" t="n"/>
      <c r="E1315" s="103">
        <f>IF(OR($B1315="",$D1315=""),"",IF(COUNTIF(THAM_SO_CC!$F$10:$F$40,$D1315)&gt;0,"Lễ",IF(IF(THAM_SO_CC!$B$12="T7+CN",WEEKDAY($D1315,2)&gt;=6,WEEKDAY($D1315,2)=7),"Nghỉ tuần","Ngày thường")))</f>
        <v/>
      </c>
      <c r="F1315" s="107" t="n"/>
      <c r="G1315" s="107" t="n"/>
      <c r="H1315" s="107" t="n"/>
      <c r="I1315" s="81" t="n"/>
      <c r="J1315" s="108">
        <f>IF($B1315="","",IF($E1315="Ngày thường",N($G1315),0))</f>
        <v/>
      </c>
      <c r="K1315" s="108">
        <f>IF($B1315="","",IF($E1315="Nghỉ tuần",N($G1315),0))</f>
        <v/>
      </c>
      <c r="L1315" s="108">
        <f>IF($B1315="","",IF($E1315="Lễ",N($G1315),0))</f>
        <v/>
      </c>
      <c r="M1315" s="108">
        <f>IF($B1315="","",IF($E1315="Ngày thường",N($H1315),0))</f>
        <v/>
      </c>
      <c r="N1315" s="108">
        <f>IF($B1315="","",IF($E1315="Nghỉ tuần",N($H1315),0))</f>
        <v/>
      </c>
      <c r="O1315" s="108">
        <f>IF($B1315="","",IF($E1315="Lễ",N($H1315),0))</f>
        <v/>
      </c>
    </row>
    <row r="1316" ht="15" customHeight="1" s="63">
      <c r="A1316" s="85">
        <f>IF($B1316="","",ROW()-5)</f>
        <v/>
      </c>
      <c r="B1316" s="97" t="n"/>
      <c r="C1316" s="96">
        <f>IF($B1316="","",IFERROR(INDEX(DM_NHAN_SU!$C$6:$C$155,MATCH($B1316,DM_NHAN_SU!$B$6:$B$155,0)),"SAI MÃ NV"))</f>
        <v/>
      </c>
      <c r="D1316" s="86" t="n"/>
      <c r="E1316" s="103">
        <f>IF(OR($B1316="",$D1316=""),"",IF(COUNTIF(THAM_SO_CC!$F$10:$F$40,$D1316)&gt;0,"Lễ",IF(IF(THAM_SO_CC!$B$12="T7+CN",WEEKDAY($D1316,2)&gt;=6,WEEKDAY($D1316,2)=7),"Nghỉ tuần","Ngày thường")))</f>
        <v/>
      </c>
      <c r="F1316" s="107" t="n"/>
      <c r="G1316" s="107" t="n"/>
      <c r="H1316" s="107" t="n"/>
      <c r="I1316" s="81" t="n"/>
      <c r="J1316" s="108">
        <f>IF($B1316="","",IF($E1316="Ngày thường",N($G1316),0))</f>
        <v/>
      </c>
      <c r="K1316" s="108">
        <f>IF($B1316="","",IF($E1316="Nghỉ tuần",N($G1316),0))</f>
        <v/>
      </c>
      <c r="L1316" s="108">
        <f>IF($B1316="","",IF($E1316="Lễ",N($G1316),0))</f>
        <v/>
      </c>
      <c r="M1316" s="108">
        <f>IF($B1316="","",IF($E1316="Ngày thường",N($H1316),0))</f>
        <v/>
      </c>
      <c r="N1316" s="108">
        <f>IF($B1316="","",IF($E1316="Nghỉ tuần",N($H1316),0))</f>
        <v/>
      </c>
      <c r="O1316" s="108">
        <f>IF($B1316="","",IF($E1316="Lễ",N($H1316),0))</f>
        <v/>
      </c>
    </row>
    <row r="1317" ht="15" customHeight="1" s="63">
      <c r="A1317" s="85">
        <f>IF($B1317="","",ROW()-5)</f>
        <v/>
      </c>
      <c r="B1317" s="97" t="n"/>
      <c r="C1317" s="96">
        <f>IF($B1317="","",IFERROR(INDEX(DM_NHAN_SU!$C$6:$C$155,MATCH($B1317,DM_NHAN_SU!$B$6:$B$155,0)),"SAI MÃ NV"))</f>
        <v/>
      </c>
      <c r="D1317" s="86" t="n"/>
      <c r="E1317" s="103">
        <f>IF(OR($B1317="",$D1317=""),"",IF(COUNTIF(THAM_SO_CC!$F$10:$F$40,$D1317)&gt;0,"Lễ",IF(IF(THAM_SO_CC!$B$12="T7+CN",WEEKDAY($D1317,2)&gt;=6,WEEKDAY($D1317,2)=7),"Nghỉ tuần","Ngày thường")))</f>
        <v/>
      </c>
      <c r="F1317" s="107" t="n"/>
      <c r="G1317" s="107" t="n"/>
      <c r="H1317" s="107" t="n"/>
      <c r="I1317" s="81" t="n"/>
      <c r="J1317" s="108">
        <f>IF($B1317="","",IF($E1317="Ngày thường",N($G1317),0))</f>
        <v/>
      </c>
      <c r="K1317" s="108">
        <f>IF($B1317="","",IF($E1317="Nghỉ tuần",N($G1317),0))</f>
        <v/>
      </c>
      <c r="L1317" s="108">
        <f>IF($B1317="","",IF($E1317="Lễ",N($G1317),0))</f>
        <v/>
      </c>
      <c r="M1317" s="108">
        <f>IF($B1317="","",IF($E1317="Ngày thường",N($H1317),0))</f>
        <v/>
      </c>
      <c r="N1317" s="108">
        <f>IF($B1317="","",IF($E1317="Nghỉ tuần",N($H1317),0))</f>
        <v/>
      </c>
      <c r="O1317" s="108">
        <f>IF($B1317="","",IF($E1317="Lễ",N($H1317),0))</f>
        <v/>
      </c>
    </row>
    <row r="1318" ht="15" customHeight="1" s="63">
      <c r="A1318" s="85">
        <f>IF($B1318="","",ROW()-5)</f>
        <v/>
      </c>
      <c r="B1318" s="97" t="n"/>
      <c r="C1318" s="96">
        <f>IF($B1318="","",IFERROR(INDEX(DM_NHAN_SU!$C$6:$C$155,MATCH($B1318,DM_NHAN_SU!$B$6:$B$155,0)),"SAI MÃ NV"))</f>
        <v/>
      </c>
      <c r="D1318" s="86" t="n"/>
      <c r="E1318" s="103">
        <f>IF(OR($B1318="",$D1318=""),"",IF(COUNTIF(THAM_SO_CC!$F$10:$F$40,$D1318)&gt;0,"Lễ",IF(IF(THAM_SO_CC!$B$12="T7+CN",WEEKDAY($D1318,2)&gt;=6,WEEKDAY($D1318,2)=7),"Nghỉ tuần","Ngày thường")))</f>
        <v/>
      </c>
      <c r="F1318" s="107" t="n"/>
      <c r="G1318" s="107" t="n"/>
      <c r="H1318" s="107" t="n"/>
      <c r="I1318" s="81" t="n"/>
      <c r="J1318" s="108">
        <f>IF($B1318="","",IF($E1318="Ngày thường",N($G1318),0))</f>
        <v/>
      </c>
      <c r="K1318" s="108">
        <f>IF($B1318="","",IF($E1318="Nghỉ tuần",N($G1318),0))</f>
        <v/>
      </c>
      <c r="L1318" s="108">
        <f>IF($B1318="","",IF($E1318="Lễ",N($G1318),0))</f>
        <v/>
      </c>
      <c r="M1318" s="108">
        <f>IF($B1318="","",IF($E1318="Ngày thường",N($H1318),0))</f>
        <v/>
      </c>
      <c r="N1318" s="108">
        <f>IF($B1318="","",IF($E1318="Nghỉ tuần",N($H1318),0))</f>
        <v/>
      </c>
      <c r="O1318" s="108">
        <f>IF($B1318="","",IF($E1318="Lễ",N($H1318),0))</f>
        <v/>
      </c>
    </row>
    <row r="1319" ht="15" customHeight="1" s="63">
      <c r="A1319" s="85">
        <f>IF($B1319="","",ROW()-5)</f>
        <v/>
      </c>
      <c r="B1319" s="97" t="n"/>
      <c r="C1319" s="96">
        <f>IF($B1319="","",IFERROR(INDEX(DM_NHAN_SU!$C$6:$C$155,MATCH($B1319,DM_NHAN_SU!$B$6:$B$155,0)),"SAI MÃ NV"))</f>
        <v/>
      </c>
      <c r="D1319" s="86" t="n"/>
      <c r="E1319" s="103">
        <f>IF(OR($B1319="",$D1319=""),"",IF(COUNTIF(THAM_SO_CC!$F$10:$F$40,$D1319)&gt;0,"Lễ",IF(IF(THAM_SO_CC!$B$12="T7+CN",WEEKDAY($D1319,2)&gt;=6,WEEKDAY($D1319,2)=7),"Nghỉ tuần","Ngày thường")))</f>
        <v/>
      </c>
      <c r="F1319" s="107" t="n"/>
      <c r="G1319" s="107" t="n"/>
      <c r="H1319" s="107" t="n"/>
      <c r="I1319" s="81" t="n"/>
      <c r="J1319" s="108">
        <f>IF($B1319="","",IF($E1319="Ngày thường",N($G1319),0))</f>
        <v/>
      </c>
      <c r="K1319" s="108">
        <f>IF($B1319="","",IF($E1319="Nghỉ tuần",N($G1319),0))</f>
        <v/>
      </c>
      <c r="L1319" s="108">
        <f>IF($B1319="","",IF($E1319="Lễ",N($G1319),0))</f>
        <v/>
      </c>
      <c r="M1319" s="108">
        <f>IF($B1319="","",IF($E1319="Ngày thường",N($H1319),0))</f>
        <v/>
      </c>
      <c r="N1319" s="108">
        <f>IF($B1319="","",IF($E1319="Nghỉ tuần",N($H1319),0))</f>
        <v/>
      </c>
      <c r="O1319" s="108">
        <f>IF($B1319="","",IF($E1319="Lễ",N($H1319),0))</f>
        <v/>
      </c>
    </row>
    <row r="1320" ht="15" customHeight="1" s="63">
      <c r="A1320" s="85">
        <f>IF($B1320="","",ROW()-5)</f>
        <v/>
      </c>
      <c r="B1320" s="97" t="n"/>
      <c r="C1320" s="96">
        <f>IF($B1320="","",IFERROR(INDEX(DM_NHAN_SU!$C$6:$C$155,MATCH($B1320,DM_NHAN_SU!$B$6:$B$155,0)),"SAI MÃ NV"))</f>
        <v/>
      </c>
      <c r="D1320" s="86" t="n"/>
      <c r="E1320" s="103">
        <f>IF(OR($B1320="",$D1320=""),"",IF(COUNTIF(THAM_SO_CC!$F$10:$F$40,$D1320)&gt;0,"Lễ",IF(IF(THAM_SO_CC!$B$12="T7+CN",WEEKDAY($D1320,2)&gt;=6,WEEKDAY($D1320,2)=7),"Nghỉ tuần","Ngày thường")))</f>
        <v/>
      </c>
      <c r="F1320" s="107" t="n"/>
      <c r="G1320" s="107" t="n"/>
      <c r="H1320" s="107" t="n"/>
      <c r="I1320" s="81" t="n"/>
      <c r="J1320" s="108">
        <f>IF($B1320="","",IF($E1320="Ngày thường",N($G1320),0))</f>
        <v/>
      </c>
      <c r="K1320" s="108">
        <f>IF($B1320="","",IF($E1320="Nghỉ tuần",N($G1320),0))</f>
        <v/>
      </c>
      <c r="L1320" s="108">
        <f>IF($B1320="","",IF($E1320="Lễ",N($G1320),0))</f>
        <v/>
      </c>
      <c r="M1320" s="108">
        <f>IF($B1320="","",IF($E1320="Ngày thường",N($H1320),0))</f>
        <v/>
      </c>
      <c r="N1320" s="108">
        <f>IF($B1320="","",IF($E1320="Nghỉ tuần",N($H1320),0))</f>
        <v/>
      </c>
      <c r="O1320" s="108">
        <f>IF($B1320="","",IF($E1320="Lễ",N($H1320),0))</f>
        <v/>
      </c>
    </row>
    <row r="1321" ht="15" customHeight="1" s="63">
      <c r="A1321" s="85">
        <f>IF($B1321="","",ROW()-5)</f>
        <v/>
      </c>
      <c r="B1321" s="97" t="n"/>
      <c r="C1321" s="96">
        <f>IF($B1321="","",IFERROR(INDEX(DM_NHAN_SU!$C$6:$C$155,MATCH($B1321,DM_NHAN_SU!$B$6:$B$155,0)),"SAI MÃ NV"))</f>
        <v/>
      </c>
      <c r="D1321" s="86" t="n"/>
      <c r="E1321" s="103">
        <f>IF(OR($B1321="",$D1321=""),"",IF(COUNTIF(THAM_SO_CC!$F$10:$F$40,$D1321)&gt;0,"Lễ",IF(IF(THAM_SO_CC!$B$12="T7+CN",WEEKDAY($D1321,2)&gt;=6,WEEKDAY($D1321,2)=7),"Nghỉ tuần","Ngày thường")))</f>
        <v/>
      </c>
      <c r="F1321" s="107" t="n"/>
      <c r="G1321" s="107" t="n"/>
      <c r="H1321" s="107" t="n"/>
      <c r="I1321" s="81" t="n"/>
      <c r="J1321" s="108">
        <f>IF($B1321="","",IF($E1321="Ngày thường",N($G1321),0))</f>
        <v/>
      </c>
      <c r="K1321" s="108">
        <f>IF($B1321="","",IF($E1321="Nghỉ tuần",N($G1321),0))</f>
        <v/>
      </c>
      <c r="L1321" s="108">
        <f>IF($B1321="","",IF($E1321="Lễ",N($G1321),0))</f>
        <v/>
      </c>
      <c r="M1321" s="108">
        <f>IF($B1321="","",IF($E1321="Ngày thường",N($H1321),0))</f>
        <v/>
      </c>
      <c r="N1321" s="108">
        <f>IF($B1321="","",IF($E1321="Nghỉ tuần",N($H1321),0))</f>
        <v/>
      </c>
      <c r="O1321" s="108">
        <f>IF($B1321="","",IF($E1321="Lễ",N($H1321),0))</f>
        <v/>
      </c>
    </row>
    <row r="1322" ht="15" customHeight="1" s="63">
      <c r="A1322" s="85">
        <f>IF($B1322="","",ROW()-5)</f>
        <v/>
      </c>
      <c r="B1322" s="97" t="n"/>
      <c r="C1322" s="96">
        <f>IF($B1322="","",IFERROR(INDEX(DM_NHAN_SU!$C$6:$C$155,MATCH($B1322,DM_NHAN_SU!$B$6:$B$155,0)),"SAI MÃ NV"))</f>
        <v/>
      </c>
      <c r="D1322" s="86" t="n"/>
      <c r="E1322" s="103">
        <f>IF(OR($B1322="",$D1322=""),"",IF(COUNTIF(THAM_SO_CC!$F$10:$F$40,$D1322)&gt;0,"Lễ",IF(IF(THAM_SO_CC!$B$12="T7+CN",WEEKDAY($D1322,2)&gt;=6,WEEKDAY($D1322,2)=7),"Nghỉ tuần","Ngày thường")))</f>
        <v/>
      </c>
      <c r="F1322" s="107" t="n"/>
      <c r="G1322" s="107" t="n"/>
      <c r="H1322" s="107" t="n"/>
      <c r="I1322" s="81" t="n"/>
      <c r="J1322" s="108">
        <f>IF($B1322="","",IF($E1322="Ngày thường",N($G1322),0))</f>
        <v/>
      </c>
      <c r="K1322" s="108">
        <f>IF($B1322="","",IF($E1322="Nghỉ tuần",N($G1322),0))</f>
        <v/>
      </c>
      <c r="L1322" s="108">
        <f>IF($B1322="","",IF($E1322="Lễ",N($G1322),0))</f>
        <v/>
      </c>
      <c r="M1322" s="108">
        <f>IF($B1322="","",IF($E1322="Ngày thường",N($H1322),0))</f>
        <v/>
      </c>
      <c r="N1322" s="108">
        <f>IF($B1322="","",IF($E1322="Nghỉ tuần",N($H1322),0))</f>
        <v/>
      </c>
      <c r="O1322" s="108">
        <f>IF($B1322="","",IF($E1322="Lễ",N($H1322),0))</f>
        <v/>
      </c>
    </row>
    <row r="1323" ht="15" customHeight="1" s="63">
      <c r="A1323" s="85">
        <f>IF($B1323="","",ROW()-5)</f>
        <v/>
      </c>
      <c r="B1323" s="97" t="n"/>
      <c r="C1323" s="96">
        <f>IF($B1323="","",IFERROR(INDEX(DM_NHAN_SU!$C$6:$C$155,MATCH($B1323,DM_NHAN_SU!$B$6:$B$155,0)),"SAI MÃ NV"))</f>
        <v/>
      </c>
      <c r="D1323" s="86" t="n"/>
      <c r="E1323" s="103">
        <f>IF(OR($B1323="",$D1323=""),"",IF(COUNTIF(THAM_SO_CC!$F$10:$F$40,$D1323)&gt;0,"Lễ",IF(IF(THAM_SO_CC!$B$12="T7+CN",WEEKDAY($D1323,2)&gt;=6,WEEKDAY($D1323,2)=7),"Nghỉ tuần","Ngày thường")))</f>
        <v/>
      </c>
      <c r="F1323" s="107" t="n"/>
      <c r="G1323" s="107" t="n"/>
      <c r="H1323" s="107" t="n"/>
      <c r="I1323" s="81" t="n"/>
      <c r="J1323" s="108">
        <f>IF($B1323="","",IF($E1323="Ngày thường",N($G1323),0))</f>
        <v/>
      </c>
      <c r="K1323" s="108">
        <f>IF($B1323="","",IF($E1323="Nghỉ tuần",N($G1323),0))</f>
        <v/>
      </c>
      <c r="L1323" s="108">
        <f>IF($B1323="","",IF($E1323="Lễ",N($G1323),0))</f>
        <v/>
      </c>
      <c r="M1323" s="108">
        <f>IF($B1323="","",IF($E1323="Ngày thường",N($H1323),0))</f>
        <v/>
      </c>
      <c r="N1323" s="108">
        <f>IF($B1323="","",IF($E1323="Nghỉ tuần",N($H1323),0))</f>
        <v/>
      </c>
      <c r="O1323" s="108">
        <f>IF($B1323="","",IF($E1323="Lễ",N($H1323),0))</f>
        <v/>
      </c>
    </row>
    <row r="1324" ht="15" customHeight="1" s="63">
      <c r="A1324" s="85">
        <f>IF($B1324="","",ROW()-5)</f>
        <v/>
      </c>
      <c r="B1324" s="97" t="n"/>
      <c r="C1324" s="96">
        <f>IF($B1324="","",IFERROR(INDEX(DM_NHAN_SU!$C$6:$C$155,MATCH($B1324,DM_NHAN_SU!$B$6:$B$155,0)),"SAI MÃ NV"))</f>
        <v/>
      </c>
      <c r="D1324" s="86" t="n"/>
      <c r="E1324" s="103">
        <f>IF(OR($B1324="",$D1324=""),"",IF(COUNTIF(THAM_SO_CC!$F$10:$F$40,$D1324)&gt;0,"Lễ",IF(IF(THAM_SO_CC!$B$12="T7+CN",WEEKDAY($D1324,2)&gt;=6,WEEKDAY($D1324,2)=7),"Nghỉ tuần","Ngày thường")))</f>
        <v/>
      </c>
      <c r="F1324" s="107" t="n"/>
      <c r="G1324" s="107" t="n"/>
      <c r="H1324" s="107" t="n"/>
      <c r="I1324" s="81" t="n"/>
      <c r="J1324" s="108">
        <f>IF($B1324="","",IF($E1324="Ngày thường",N($G1324),0))</f>
        <v/>
      </c>
      <c r="K1324" s="108">
        <f>IF($B1324="","",IF($E1324="Nghỉ tuần",N($G1324),0))</f>
        <v/>
      </c>
      <c r="L1324" s="108">
        <f>IF($B1324="","",IF($E1324="Lễ",N($G1324),0))</f>
        <v/>
      </c>
      <c r="M1324" s="108">
        <f>IF($B1324="","",IF($E1324="Ngày thường",N($H1324),0))</f>
        <v/>
      </c>
      <c r="N1324" s="108">
        <f>IF($B1324="","",IF($E1324="Nghỉ tuần",N($H1324),0))</f>
        <v/>
      </c>
      <c r="O1324" s="108">
        <f>IF($B1324="","",IF($E1324="Lễ",N($H1324),0))</f>
        <v/>
      </c>
    </row>
    <row r="1325" ht="15" customHeight="1" s="63">
      <c r="A1325" s="85">
        <f>IF($B1325="","",ROW()-5)</f>
        <v/>
      </c>
      <c r="B1325" s="97" t="n"/>
      <c r="C1325" s="96">
        <f>IF($B1325="","",IFERROR(INDEX(DM_NHAN_SU!$C$6:$C$155,MATCH($B1325,DM_NHAN_SU!$B$6:$B$155,0)),"SAI MÃ NV"))</f>
        <v/>
      </c>
      <c r="D1325" s="86" t="n"/>
      <c r="E1325" s="103">
        <f>IF(OR($B1325="",$D1325=""),"",IF(COUNTIF(THAM_SO_CC!$F$10:$F$40,$D1325)&gt;0,"Lễ",IF(IF(THAM_SO_CC!$B$12="T7+CN",WEEKDAY($D1325,2)&gt;=6,WEEKDAY($D1325,2)=7),"Nghỉ tuần","Ngày thường")))</f>
        <v/>
      </c>
      <c r="F1325" s="107" t="n"/>
      <c r="G1325" s="107" t="n"/>
      <c r="H1325" s="107" t="n"/>
      <c r="I1325" s="81" t="n"/>
      <c r="J1325" s="108">
        <f>IF($B1325="","",IF($E1325="Ngày thường",N($G1325),0))</f>
        <v/>
      </c>
      <c r="K1325" s="108">
        <f>IF($B1325="","",IF($E1325="Nghỉ tuần",N($G1325),0))</f>
        <v/>
      </c>
      <c r="L1325" s="108">
        <f>IF($B1325="","",IF($E1325="Lễ",N($G1325),0))</f>
        <v/>
      </c>
      <c r="M1325" s="108">
        <f>IF($B1325="","",IF($E1325="Ngày thường",N($H1325),0))</f>
        <v/>
      </c>
      <c r="N1325" s="108">
        <f>IF($B1325="","",IF($E1325="Nghỉ tuần",N($H1325),0))</f>
        <v/>
      </c>
      <c r="O1325" s="108">
        <f>IF($B1325="","",IF($E1325="Lễ",N($H1325),0))</f>
        <v/>
      </c>
    </row>
    <row r="1326" ht="15" customHeight="1" s="63">
      <c r="A1326" s="85">
        <f>IF($B1326="","",ROW()-5)</f>
        <v/>
      </c>
      <c r="B1326" s="97" t="n"/>
      <c r="C1326" s="96">
        <f>IF($B1326="","",IFERROR(INDEX(DM_NHAN_SU!$C$6:$C$155,MATCH($B1326,DM_NHAN_SU!$B$6:$B$155,0)),"SAI MÃ NV"))</f>
        <v/>
      </c>
      <c r="D1326" s="86" t="n"/>
      <c r="E1326" s="103">
        <f>IF(OR($B1326="",$D1326=""),"",IF(COUNTIF(THAM_SO_CC!$F$10:$F$40,$D1326)&gt;0,"Lễ",IF(IF(THAM_SO_CC!$B$12="T7+CN",WEEKDAY($D1326,2)&gt;=6,WEEKDAY($D1326,2)=7),"Nghỉ tuần","Ngày thường")))</f>
        <v/>
      </c>
      <c r="F1326" s="107" t="n"/>
      <c r="G1326" s="107" t="n"/>
      <c r="H1326" s="107" t="n"/>
      <c r="I1326" s="81" t="n"/>
      <c r="J1326" s="108">
        <f>IF($B1326="","",IF($E1326="Ngày thường",N($G1326),0))</f>
        <v/>
      </c>
      <c r="K1326" s="108">
        <f>IF($B1326="","",IF($E1326="Nghỉ tuần",N($G1326),0))</f>
        <v/>
      </c>
      <c r="L1326" s="108">
        <f>IF($B1326="","",IF($E1326="Lễ",N($G1326),0))</f>
        <v/>
      </c>
      <c r="M1326" s="108">
        <f>IF($B1326="","",IF($E1326="Ngày thường",N($H1326),0))</f>
        <v/>
      </c>
      <c r="N1326" s="108">
        <f>IF($B1326="","",IF($E1326="Nghỉ tuần",N($H1326),0))</f>
        <v/>
      </c>
      <c r="O1326" s="108">
        <f>IF($B1326="","",IF($E1326="Lễ",N($H1326),0))</f>
        <v/>
      </c>
    </row>
    <row r="1327" ht="15" customHeight="1" s="63">
      <c r="A1327" s="85">
        <f>IF($B1327="","",ROW()-5)</f>
        <v/>
      </c>
      <c r="B1327" s="97" t="n"/>
      <c r="C1327" s="96">
        <f>IF($B1327="","",IFERROR(INDEX(DM_NHAN_SU!$C$6:$C$155,MATCH($B1327,DM_NHAN_SU!$B$6:$B$155,0)),"SAI MÃ NV"))</f>
        <v/>
      </c>
      <c r="D1327" s="86" t="n"/>
      <c r="E1327" s="103">
        <f>IF(OR($B1327="",$D1327=""),"",IF(COUNTIF(THAM_SO_CC!$F$10:$F$40,$D1327)&gt;0,"Lễ",IF(IF(THAM_SO_CC!$B$12="T7+CN",WEEKDAY($D1327,2)&gt;=6,WEEKDAY($D1327,2)=7),"Nghỉ tuần","Ngày thường")))</f>
        <v/>
      </c>
      <c r="F1327" s="107" t="n"/>
      <c r="G1327" s="107" t="n"/>
      <c r="H1327" s="107" t="n"/>
      <c r="I1327" s="81" t="n"/>
      <c r="J1327" s="108">
        <f>IF($B1327="","",IF($E1327="Ngày thường",N($G1327),0))</f>
        <v/>
      </c>
      <c r="K1327" s="108">
        <f>IF($B1327="","",IF($E1327="Nghỉ tuần",N($G1327),0))</f>
        <v/>
      </c>
      <c r="L1327" s="108">
        <f>IF($B1327="","",IF($E1327="Lễ",N($G1327),0))</f>
        <v/>
      </c>
      <c r="M1327" s="108">
        <f>IF($B1327="","",IF($E1327="Ngày thường",N($H1327),0))</f>
        <v/>
      </c>
      <c r="N1327" s="108">
        <f>IF($B1327="","",IF($E1327="Nghỉ tuần",N($H1327),0))</f>
        <v/>
      </c>
      <c r="O1327" s="108">
        <f>IF($B1327="","",IF($E1327="Lễ",N($H1327),0))</f>
        <v/>
      </c>
    </row>
    <row r="1328" ht="15" customHeight="1" s="63">
      <c r="A1328" s="85">
        <f>IF($B1328="","",ROW()-5)</f>
        <v/>
      </c>
      <c r="B1328" s="97" t="n"/>
      <c r="C1328" s="96">
        <f>IF($B1328="","",IFERROR(INDEX(DM_NHAN_SU!$C$6:$C$155,MATCH($B1328,DM_NHAN_SU!$B$6:$B$155,0)),"SAI MÃ NV"))</f>
        <v/>
      </c>
      <c r="D1328" s="86" t="n"/>
      <c r="E1328" s="103">
        <f>IF(OR($B1328="",$D1328=""),"",IF(COUNTIF(THAM_SO_CC!$F$10:$F$40,$D1328)&gt;0,"Lễ",IF(IF(THAM_SO_CC!$B$12="T7+CN",WEEKDAY($D1328,2)&gt;=6,WEEKDAY($D1328,2)=7),"Nghỉ tuần","Ngày thường")))</f>
        <v/>
      </c>
      <c r="F1328" s="107" t="n"/>
      <c r="G1328" s="107" t="n"/>
      <c r="H1328" s="107" t="n"/>
      <c r="I1328" s="81" t="n"/>
      <c r="J1328" s="108">
        <f>IF($B1328="","",IF($E1328="Ngày thường",N($G1328),0))</f>
        <v/>
      </c>
      <c r="K1328" s="108">
        <f>IF($B1328="","",IF($E1328="Nghỉ tuần",N($G1328),0))</f>
        <v/>
      </c>
      <c r="L1328" s="108">
        <f>IF($B1328="","",IF($E1328="Lễ",N($G1328),0))</f>
        <v/>
      </c>
      <c r="M1328" s="108">
        <f>IF($B1328="","",IF($E1328="Ngày thường",N($H1328),0))</f>
        <v/>
      </c>
      <c r="N1328" s="108">
        <f>IF($B1328="","",IF($E1328="Nghỉ tuần",N($H1328),0))</f>
        <v/>
      </c>
      <c r="O1328" s="108">
        <f>IF($B1328="","",IF($E1328="Lễ",N($H1328),0))</f>
        <v/>
      </c>
    </row>
    <row r="1329" ht="15" customHeight="1" s="63">
      <c r="A1329" s="85">
        <f>IF($B1329="","",ROW()-5)</f>
        <v/>
      </c>
      <c r="B1329" s="97" t="n"/>
      <c r="C1329" s="96">
        <f>IF($B1329="","",IFERROR(INDEX(DM_NHAN_SU!$C$6:$C$155,MATCH($B1329,DM_NHAN_SU!$B$6:$B$155,0)),"SAI MÃ NV"))</f>
        <v/>
      </c>
      <c r="D1329" s="86" t="n"/>
      <c r="E1329" s="103">
        <f>IF(OR($B1329="",$D1329=""),"",IF(COUNTIF(THAM_SO_CC!$F$10:$F$40,$D1329)&gt;0,"Lễ",IF(IF(THAM_SO_CC!$B$12="T7+CN",WEEKDAY($D1329,2)&gt;=6,WEEKDAY($D1329,2)=7),"Nghỉ tuần","Ngày thường")))</f>
        <v/>
      </c>
      <c r="F1329" s="107" t="n"/>
      <c r="G1329" s="107" t="n"/>
      <c r="H1329" s="107" t="n"/>
      <c r="I1329" s="81" t="n"/>
      <c r="J1329" s="108">
        <f>IF($B1329="","",IF($E1329="Ngày thường",N($G1329),0))</f>
        <v/>
      </c>
      <c r="K1329" s="108">
        <f>IF($B1329="","",IF($E1329="Nghỉ tuần",N($G1329),0))</f>
        <v/>
      </c>
      <c r="L1329" s="108">
        <f>IF($B1329="","",IF($E1329="Lễ",N($G1329),0))</f>
        <v/>
      </c>
      <c r="M1329" s="108">
        <f>IF($B1329="","",IF($E1329="Ngày thường",N($H1329),0))</f>
        <v/>
      </c>
      <c r="N1329" s="108">
        <f>IF($B1329="","",IF($E1329="Nghỉ tuần",N($H1329),0))</f>
        <v/>
      </c>
      <c r="O1329" s="108">
        <f>IF($B1329="","",IF($E1329="Lễ",N($H1329),0))</f>
        <v/>
      </c>
    </row>
    <row r="1330" ht="15" customHeight="1" s="63">
      <c r="A1330" s="85">
        <f>IF($B1330="","",ROW()-5)</f>
        <v/>
      </c>
      <c r="B1330" s="97" t="n"/>
      <c r="C1330" s="96">
        <f>IF($B1330="","",IFERROR(INDEX(DM_NHAN_SU!$C$6:$C$155,MATCH($B1330,DM_NHAN_SU!$B$6:$B$155,0)),"SAI MÃ NV"))</f>
        <v/>
      </c>
      <c r="D1330" s="86" t="n"/>
      <c r="E1330" s="103">
        <f>IF(OR($B1330="",$D1330=""),"",IF(COUNTIF(THAM_SO_CC!$F$10:$F$40,$D1330)&gt;0,"Lễ",IF(IF(THAM_SO_CC!$B$12="T7+CN",WEEKDAY($D1330,2)&gt;=6,WEEKDAY($D1330,2)=7),"Nghỉ tuần","Ngày thường")))</f>
        <v/>
      </c>
      <c r="F1330" s="107" t="n"/>
      <c r="G1330" s="107" t="n"/>
      <c r="H1330" s="107" t="n"/>
      <c r="I1330" s="81" t="n"/>
      <c r="J1330" s="108">
        <f>IF($B1330="","",IF($E1330="Ngày thường",N($G1330),0))</f>
        <v/>
      </c>
      <c r="K1330" s="108">
        <f>IF($B1330="","",IF($E1330="Nghỉ tuần",N($G1330),0))</f>
        <v/>
      </c>
      <c r="L1330" s="108">
        <f>IF($B1330="","",IF($E1330="Lễ",N($G1330),0))</f>
        <v/>
      </c>
      <c r="M1330" s="108">
        <f>IF($B1330="","",IF($E1330="Ngày thường",N($H1330),0))</f>
        <v/>
      </c>
      <c r="N1330" s="108">
        <f>IF($B1330="","",IF($E1330="Nghỉ tuần",N($H1330),0))</f>
        <v/>
      </c>
      <c r="O1330" s="108">
        <f>IF($B1330="","",IF($E1330="Lễ",N($H1330),0))</f>
        <v/>
      </c>
    </row>
    <row r="1331" ht="15" customHeight="1" s="63">
      <c r="A1331" s="85">
        <f>IF($B1331="","",ROW()-5)</f>
        <v/>
      </c>
      <c r="B1331" s="97" t="n"/>
      <c r="C1331" s="96">
        <f>IF($B1331="","",IFERROR(INDEX(DM_NHAN_SU!$C$6:$C$155,MATCH($B1331,DM_NHAN_SU!$B$6:$B$155,0)),"SAI MÃ NV"))</f>
        <v/>
      </c>
      <c r="D1331" s="86" t="n"/>
      <c r="E1331" s="103">
        <f>IF(OR($B1331="",$D1331=""),"",IF(COUNTIF(THAM_SO_CC!$F$10:$F$40,$D1331)&gt;0,"Lễ",IF(IF(THAM_SO_CC!$B$12="T7+CN",WEEKDAY($D1331,2)&gt;=6,WEEKDAY($D1331,2)=7),"Nghỉ tuần","Ngày thường")))</f>
        <v/>
      </c>
      <c r="F1331" s="107" t="n"/>
      <c r="G1331" s="107" t="n"/>
      <c r="H1331" s="107" t="n"/>
      <c r="I1331" s="81" t="n"/>
      <c r="J1331" s="108">
        <f>IF($B1331="","",IF($E1331="Ngày thường",N($G1331),0))</f>
        <v/>
      </c>
      <c r="K1331" s="108">
        <f>IF($B1331="","",IF($E1331="Nghỉ tuần",N($G1331),0))</f>
        <v/>
      </c>
      <c r="L1331" s="108">
        <f>IF($B1331="","",IF($E1331="Lễ",N($G1331),0))</f>
        <v/>
      </c>
      <c r="M1331" s="108">
        <f>IF($B1331="","",IF($E1331="Ngày thường",N($H1331),0))</f>
        <v/>
      </c>
      <c r="N1331" s="108">
        <f>IF($B1331="","",IF($E1331="Nghỉ tuần",N($H1331),0))</f>
        <v/>
      </c>
      <c r="O1331" s="108">
        <f>IF($B1331="","",IF($E1331="Lễ",N($H1331),0))</f>
        <v/>
      </c>
    </row>
    <row r="1332" ht="15" customHeight="1" s="63">
      <c r="A1332" s="85">
        <f>IF($B1332="","",ROW()-5)</f>
        <v/>
      </c>
      <c r="B1332" s="97" t="n"/>
      <c r="C1332" s="96">
        <f>IF($B1332="","",IFERROR(INDEX(DM_NHAN_SU!$C$6:$C$155,MATCH($B1332,DM_NHAN_SU!$B$6:$B$155,0)),"SAI MÃ NV"))</f>
        <v/>
      </c>
      <c r="D1332" s="86" t="n"/>
      <c r="E1332" s="103">
        <f>IF(OR($B1332="",$D1332=""),"",IF(COUNTIF(THAM_SO_CC!$F$10:$F$40,$D1332)&gt;0,"Lễ",IF(IF(THAM_SO_CC!$B$12="T7+CN",WEEKDAY($D1332,2)&gt;=6,WEEKDAY($D1332,2)=7),"Nghỉ tuần","Ngày thường")))</f>
        <v/>
      </c>
      <c r="F1332" s="107" t="n"/>
      <c r="G1332" s="107" t="n"/>
      <c r="H1332" s="107" t="n"/>
      <c r="I1332" s="81" t="n"/>
      <c r="J1332" s="108">
        <f>IF($B1332="","",IF($E1332="Ngày thường",N($G1332),0))</f>
        <v/>
      </c>
      <c r="K1332" s="108">
        <f>IF($B1332="","",IF($E1332="Nghỉ tuần",N($G1332),0))</f>
        <v/>
      </c>
      <c r="L1332" s="108">
        <f>IF($B1332="","",IF($E1332="Lễ",N($G1332),0))</f>
        <v/>
      </c>
      <c r="M1332" s="108">
        <f>IF($B1332="","",IF($E1332="Ngày thường",N($H1332),0))</f>
        <v/>
      </c>
      <c r="N1332" s="108">
        <f>IF($B1332="","",IF($E1332="Nghỉ tuần",N($H1332),0))</f>
        <v/>
      </c>
      <c r="O1332" s="108">
        <f>IF($B1332="","",IF($E1332="Lễ",N($H1332),0))</f>
        <v/>
      </c>
    </row>
    <row r="1333" ht="15" customHeight="1" s="63">
      <c r="A1333" s="85">
        <f>IF($B1333="","",ROW()-5)</f>
        <v/>
      </c>
      <c r="B1333" s="97" t="n"/>
      <c r="C1333" s="96">
        <f>IF($B1333="","",IFERROR(INDEX(DM_NHAN_SU!$C$6:$C$155,MATCH($B1333,DM_NHAN_SU!$B$6:$B$155,0)),"SAI MÃ NV"))</f>
        <v/>
      </c>
      <c r="D1333" s="86" t="n"/>
      <c r="E1333" s="103">
        <f>IF(OR($B1333="",$D1333=""),"",IF(COUNTIF(THAM_SO_CC!$F$10:$F$40,$D1333)&gt;0,"Lễ",IF(IF(THAM_SO_CC!$B$12="T7+CN",WEEKDAY($D1333,2)&gt;=6,WEEKDAY($D1333,2)=7),"Nghỉ tuần","Ngày thường")))</f>
        <v/>
      </c>
      <c r="F1333" s="107" t="n"/>
      <c r="G1333" s="107" t="n"/>
      <c r="H1333" s="107" t="n"/>
      <c r="I1333" s="81" t="n"/>
      <c r="J1333" s="108">
        <f>IF($B1333="","",IF($E1333="Ngày thường",N($G1333),0))</f>
        <v/>
      </c>
      <c r="K1333" s="108">
        <f>IF($B1333="","",IF($E1333="Nghỉ tuần",N($G1333),0))</f>
        <v/>
      </c>
      <c r="L1333" s="108">
        <f>IF($B1333="","",IF($E1333="Lễ",N($G1333),0))</f>
        <v/>
      </c>
      <c r="M1333" s="108">
        <f>IF($B1333="","",IF($E1333="Ngày thường",N($H1333),0))</f>
        <v/>
      </c>
      <c r="N1333" s="108">
        <f>IF($B1333="","",IF($E1333="Nghỉ tuần",N($H1333),0))</f>
        <v/>
      </c>
      <c r="O1333" s="108">
        <f>IF($B1333="","",IF($E1333="Lễ",N($H1333),0))</f>
        <v/>
      </c>
    </row>
    <row r="1334" ht="15" customHeight="1" s="63">
      <c r="A1334" s="85">
        <f>IF($B1334="","",ROW()-5)</f>
        <v/>
      </c>
      <c r="B1334" s="97" t="n"/>
      <c r="C1334" s="96">
        <f>IF($B1334="","",IFERROR(INDEX(DM_NHAN_SU!$C$6:$C$155,MATCH($B1334,DM_NHAN_SU!$B$6:$B$155,0)),"SAI MÃ NV"))</f>
        <v/>
      </c>
      <c r="D1334" s="86" t="n"/>
      <c r="E1334" s="103">
        <f>IF(OR($B1334="",$D1334=""),"",IF(COUNTIF(THAM_SO_CC!$F$10:$F$40,$D1334)&gt;0,"Lễ",IF(IF(THAM_SO_CC!$B$12="T7+CN",WEEKDAY($D1334,2)&gt;=6,WEEKDAY($D1334,2)=7),"Nghỉ tuần","Ngày thường")))</f>
        <v/>
      </c>
      <c r="F1334" s="107" t="n"/>
      <c r="G1334" s="107" t="n"/>
      <c r="H1334" s="107" t="n"/>
      <c r="I1334" s="81" t="n"/>
      <c r="J1334" s="108">
        <f>IF($B1334="","",IF($E1334="Ngày thường",N($G1334),0))</f>
        <v/>
      </c>
      <c r="K1334" s="108">
        <f>IF($B1334="","",IF($E1334="Nghỉ tuần",N($G1334),0))</f>
        <v/>
      </c>
      <c r="L1334" s="108">
        <f>IF($B1334="","",IF($E1334="Lễ",N($G1334),0))</f>
        <v/>
      </c>
      <c r="M1334" s="108">
        <f>IF($B1334="","",IF($E1334="Ngày thường",N($H1334),0))</f>
        <v/>
      </c>
      <c r="N1334" s="108">
        <f>IF($B1334="","",IF($E1334="Nghỉ tuần",N($H1334),0))</f>
        <v/>
      </c>
      <c r="O1334" s="108">
        <f>IF($B1334="","",IF($E1334="Lễ",N($H1334),0))</f>
        <v/>
      </c>
    </row>
    <row r="1335" ht="15" customHeight="1" s="63">
      <c r="A1335" s="85">
        <f>IF($B1335="","",ROW()-5)</f>
        <v/>
      </c>
      <c r="B1335" s="97" t="n"/>
      <c r="C1335" s="96">
        <f>IF($B1335="","",IFERROR(INDEX(DM_NHAN_SU!$C$6:$C$155,MATCH($B1335,DM_NHAN_SU!$B$6:$B$155,0)),"SAI MÃ NV"))</f>
        <v/>
      </c>
      <c r="D1335" s="86" t="n"/>
      <c r="E1335" s="103">
        <f>IF(OR($B1335="",$D1335=""),"",IF(COUNTIF(THAM_SO_CC!$F$10:$F$40,$D1335)&gt;0,"Lễ",IF(IF(THAM_SO_CC!$B$12="T7+CN",WEEKDAY($D1335,2)&gt;=6,WEEKDAY($D1335,2)=7),"Nghỉ tuần","Ngày thường")))</f>
        <v/>
      </c>
      <c r="F1335" s="107" t="n"/>
      <c r="G1335" s="107" t="n"/>
      <c r="H1335" s="107" t="n"/>
      <c r="I1335" s="81" t="n"/>
      <c r="J1335" s="108">
        <f>IF($B1335="","",IF($E1335="Ngày thường",N($G1335),0))</f>
        <v/>
      </c>
      <c r="K1335" s="108">
        <f>IF($B1335="","",IF($E1335="Nghỉ tuần",N($G1335),0))</f>
        <v/>
      </c>
      <c r="L1335" s="108">
        <f>IF($B1335="","",IF($E1335="Lễ",N($G1335),0))</f>
        <v/>
      </c>
      <c r="M1335" s="108">
        <f>IF($B1335="","",IF($E1335="Ngày thường",N($H1335),0))</f>
        <v/>
      </c>
      <c r="N1335" s="108">
        <f>IF($B1335="","",IF($E1335="Nghỉ tuần",N($H1335),0))</f>
        <v/>
      </c>
      <c r="O1335" s="108">
        <f>IF($B1335="","",IF($E1335="Lễ",N($H1335),0))</f>
        <v/>
      </c>
    </row>
    <row r="1336" ht="15" customHeight="1" s="63">
      <c r="A1336" s="85">
        <f>IF($B1336="","",ROW()-5)</f>
        <v/>
      </c>
      <c r="B1336" s="97" t="n"/>
      <c r="C1336" s="96">
        <f>IF($B1336="","",IFERROR(INDEX(DM_NHAN_SU!$C$6:$C$155,MATCH($B1336,DM_NHAN_SU!$B$6:$B$155,0)),"SAI MÃ NV"))</f>
        <v/>
      </c>
      <c r="D1336" s="86" t="n"/>
      <c r="E1336" s="103">
        <f>IF(OR($B1336="",$D1336=""),"",IF(COUNTIF(THAM_SO_CC!$F$10:$F$40,$D1336)&gt;0,"Lễ",IF(IF(THAM_SO_CC!$B$12="T7+CN",WEEKDAY($D1336,2)&gt;=6,WEEKDAY($D1336,2)=7),"Nghỉ tuần","Ngày thường")))</f>
        <v/>
      </c>
      <c r="F1336" s="107" t="n"/>
      <c r="G1336" s="107" t="n"/>
      <c r="H1336" s="107" t="n"/>
      <c r="I1336" s="81" t="n"/>
      <c r="J1336" s="108">
        <f>IF($B1336="","",IF($E1336="Ngày thường",N($G1336),0))</f>
        <v/>
      </c>
      <c r="K1336" s="108">
        <f>IF($B1336="","",IF($E1336="Nghỉ tuần",N($G1336),0))</f>
        <v/>
      </c>
      <c r="L1336" s="108">
        <f>IF($B1336="","",IF($E1336="Lễ",N($G1336),0))</f>
        <v/>
      </c>
      <c r="M1336" s="108">
        <f>IF($B1336="","",IF($E1336="Ngày thường",N($H1336),0))</f>
        <v/>
      </c>
      <c r="N1336" s="108">
        <f>IF($B1336="","",IF($E1336="Nghỉ tuần",N($H1336),0))</f>
        <v/>
      </c>
      <c r="O1336" s="108">
        <f>IF($B1336="","",IF($E1336="Lễ",N($H1336),0))</f>
        <v/>
      </c>
    </row>
    <row r="1337" ht="15" customHeight="1" s="63">
      <c r="A1337" s="85">
        <f>IF($B1337="","",ROW()-5)</f>
        <v/>
      </c>
      <c r="B1337" s="97" t="n"/>
      <c r="C1337" s="96">
        <f>IF($B1337="","",IFERROR(INDEX(DM_NHAN_SU!$C$6:$C$155,MATCH($B1337,DM_NHAN_SU!$B$6:$B$155,0)),"SAI MÃ NV"))</f>
        <v/>
      </c>
      <c r="D1337" s="86" t="n"/>
      <c r="E1337" s="103">
        <f>IF(OR($B1337="",$D1337=""),"",IF(COUNTIF(THAM_SO_CC!$F$10:$F$40,$D1337)&gt;0,"Lễ",IF(IF(THAM_SO_CC!$B$12="T7+CN",WEEKDAY($D1337,2)&gt;=6,WEEKDAY($D1337,2)=7),"Nghỉ tuần","Ngày thường")))</f>
        <v/>
      </c>
      <c r="F1337" s="107" t="n"/>
      <c r="G1337" s="107" t="n"/>
      <c r="H1337" s="107" t="n"/>
      <c r="I1337" s="81" t="n"/>
      <c r="J1337" s="108">
        <f>IF($B1337="","",IF($E1337="Ngày thường",N($G1337),0))</f>
        <v/>
      </c>
      <c r="K1337" s="108">
        <f>IF($B1337="","",IF($E1337="Nghỉ tuần",N($G1337),0))</f>
        <v/>
      </c>
      <c r="L1337" s="108">
        <f>IF($B1337="","",IF($E1337="Lễ",N($G1337),0))</f>
        <v/>
      </c>
      <c r="M1337" s="108">
        <f>IF($B1337="","",IF($E1337="Ngày thường",N($H1337),0))</f>
        <v/>
      </c>
      <c r="N1337" s="108">
        <f>IF($B1337="","",IF($E1337="Nghỉ tuần",N($H1337),0))</f>
        <v/>
      </c>
      <c r="O1337" s="108">
        <f>IF($B1337="","",IF($E1337="Lễ",N($H1337),0))</f>
        <v/>
      </c>
    </row>
    <row r="1338" ht="15" customHeight="1" s="63">
      <c r="A1338" s="85">
        <f>IF($B1338="","",ROW()-5)</f>
        <v/>
      </c>
      <c r="B1338" s="97" t="n"/>
      <c r="C1338" s="96">
        <f>IF($B1338="","",IFERROR(INDEX(DM_NHAN_SU!$C$6:$C$155,MATCH($B1338,DM_NHAN_SU!$B$6:$B$155,0)),"SAI MÃ NV"))</f>
        <v/>
      </c>
      <c r="D1338" s="86" t="n"/>
      <c r="E1338" s="103">
        <f>IF(OR($B1338="",$D1338=""),"",IF(COUNTIF(THAM_SO_CC!$F$10:$F$40,$D1338)&gt;0,"Lễ",IF(IF(THAM_SO_CC!$B$12="T7+CN",WEEKDAY($D1338,2)&gt;=6,WEEKDAY($D1338,2)=7),"Nghỉ tuần","Ngày thường")))</f>
        <v/>
      </c>
      <c r="F1338" s="107" t="n"/>
      <c r="G1338" s="107" t="n"/>
      <c r="H1338" s="107" t="n"/>
      <c r="I1338" s="81" t="n"/>
      <c r="J1338" s="108">
        <f>IF($B1338="","",IF($E1338="Ngày thường",N($G1338),0))</f>
        <v/>
      </c>
      <c r="K1338" s="108">
        <f>IF($B1338="","",IF($E1338="Nghỉ tuần",N($G1338),0))</f>
        <v/>
      </c>
      <c r="L1338" s="108">
        <f>IF($B1338="","",IF($E1338="Lễ",N($G1338),0))</f>
        <v/>
      </c>
      <c r="M1338" s="108">
        <f>IF($B1338="","",IF($E1338="Ngày thường",N($H1338),0))</f>
        <v/>
      </c>
      <c r="N1338" s="108">
        <f>IF($B1338="","",IF($E1338="Nghỉ tuần",N($H1338),0))</f>
        <v/>
      </c>
      <c r="O1338" s="108">
        <f>IF($B1338="","",IF($E1338="Lễ",N($H1338),0))</f>
        <v/>
      </c>
    </row>
    <row r="1339" ht="15" customHeight="1" s="63">
      <c r="A1339" s="85">
        <f>IF($B1339="","",ROW()-5)</f>
        <v/>
      </c>
      <c r="B1339" s="97" t="n"/>
      <c r="C1339" s="96">
        <f>IF($B1339="","",IFERROR(INDEX(DM_NHAN_SU!$C$6:$C$155,MATCH($B1339,DM_NHAN_SU!$B$6:$B$155,0)),"SAI MÃ NV"))</f>
        <v/>
      </c>
      <c r="D1339" s="86" t="n"/>
      <c r="E1339" s="103">
        <f>IF(OR($B1339="",$D1339=""),"",IF(COUNTIF(THAM_SO_CC!$F$10:$F$40,$D1339)&gt;0,"Lễ",IF(IF(THAM_SO_CC!$B$12="T7+CN",WEEKDAY($D1339,2)&gt;=6,WEEKDAY($D1339,2)=7),"Nghỉ tuần","Ngày thường")))</f>
        <v/>
      </c>
      <c r="F1339" s="107" t="n"/>
      <c r="G1339" s="107" t="n"/>
      <c r="H1339" s="107" t="n"/>
      <c r="I1339" s="81" t="n"/>
      <c r="J1339" s="108">
        <f>IF($B1339="","",IF($E1339="Ngày thường",N($G1339),0))</f>
        <v/>
      </c>
      <c r="K1339" s="108">
        <f>IF($B1339="","",IF($E1339="Nghỉ tuần",N($G1339),0))</f>
        <v/>
      </c>
      <c r="L1339" s="108">
        <f>IF($B1339="","",IF($E1339="Lễ",N($G1339),0))</f>
        <v/>
      </c>
      <c r="M1339" s="108">
        <f>IF($B1339="","",IF($E1339="Ngày thường",N($H1339),0))</f>
        <v/>
      </c>
      <c r="N1339" s="108">
        <f>IF($B1339="","",IF($E1339="Nghỉ tuần",N($H1339),0))</f>
        <v/>
      </c>
      <c r="O1339" s="108">
        <f>IF($B1339="","",IF($E1339="Lễ",N($H1339),0))</f>
        <v/>
      </c>
    </row>
    <row r="1340" ht="15" customHeight="1" s="63">
      <c r="A1340" s="85">
        <f>IF($B1340="","",ROW()-5)</f>
        <v/>
      </c>
      <c r="B1340" s="97" t="n"/>
      <c r="C1340" s="96">
        <f>IF($B1340="","",IFERROR(INDEX(DM_NHAN_SU!$C$6:$C$155,MATCH($B1340,DM_NHAN_SU!$B$6:$B$155,0)),"SAI MÃ NV"))</f>
        <v/>
      </c>
      <c r="D1340" s="86" t="n"/>
      <c r="E1340" s="103">
        <f>IF(OR($B1340="",$D1340=""),"",IF(COUNTIF(THAM_SO_CC!$F$10:$F$40,$D1340)&gt;0,"Lễ",IF(IF(THAM_SO_CC!$B$12="T7+CN",WEEKDAY($D1340,2)&gt;=6,WEEKDAY($D1340,2)=7),"Nghỉ tuần","Ngày thường")))</f>
        <v/>
      </c>
      <c r="F1340" s="107" t="n"/>
      <c r="G1340" s="107" t="n"/>
      <c r="H1340" s="107" t="n"/>
      <c r="I1340" s="81" t="n"/>
      <c r="J1340" s="108">
        <f>IF($B1340="","",IF($E1340="Ngày thường",N($G1340),0))</f>
        <v/>
      </c>
      <c r="K1340" s="108">
        <f>IF($B1340="","",IF($E1340="Nghỉ tuần",N($G1340),0))</f>
        <v/>
      </c>
      <c r="L1340" s="108">
        <f>IF($B1340="","",IF($E1340="Lễ",N($G1340),0))</f>
        <v/>
      </c>
      <c r="M1340" s="108">
        <f>IF($B1340="","",IF($E1340="Ngày thường",N($H1340),0))</f>
        <v/>
      </c>
      <c r="N1340" s="108">
        <f>IF($B1340="","",IF($E1340="Nghỉ tuần",N($H1340),0))</f>
        <v/>
      </c>
      <c r="O1340" s="108">
        <f>IF($B1340="","",IF($E1340="Lễ",N($H1340),0))</f>
        <v/>
      </c>
    </row>
    <row r="1341" ht="15" customHeight="1" s="63">
      <c r="A1341" s="85">
        <f>IF($B1341="","",ROW()-5)</f>
        <v/>
      </c>
      <c r="B1341" s="97" t="n"/>
      <c r="C1341" s="96">
        <f>IF($B1341="","",IFERROR(INDEX(DM_NHAN_SU!$C$6:$C$155,MATCH($B1341,DM_NHAN_SU!$B$6:$B$155,0)),"SAI MÃ NV"))</f>
        <v/>
      </c>
      <c r="D1341" s="86" t="n"/>
      <c r="E1341" s="103">
        <f>IF(OR($B1341="",$D1341=""),"",IF(COUNTIF(THAM_SO_CC!$F$10:$F$40,$D1341)&gt;0,"Lễ",IF(IF(THAM_SO_CC!$B$12="T7+CN",WEEKDAY($D1341,2)&gt;=6,WEEKDAY($D1341,2)=7),"Nghỉ tuần","Ngày thường")))</f>
        <v/>
      </c>
      <c r="F1341" s="107" t="n"/>
      <c r="G1341" s="107" t="n"/>
      <c r="H1341" s="107" t="n"/>
      <c r="I1341" s="81" t="n"/>
      <c r="J1341" s="108">
        <f>IF($B1341="","",IF($E1341="Ngày thường",N($G1341),0))</f>
        <v/>
      </c>
      <c r="K1341" s="108">
        <f>IF($B1341="","",IF($E1341="Nghỉ tuần",N($G1341),0))</f>
        <v/>
      </c>
      <c r="L1341" s="108">
        <f>IF($B1341="","",IF($E1341="Lễ",N($G1341),0))</f>
        <v/>
      </c>
      <c r="M1341" s="108">
        <f>IF($B1341="","",IF($E1341="Ngày thường",N($H1341),0))</f>
        <v/>
      </c>
      <c r="N1341" s="108">
        <f>IF($B1341="","",IF($E1341="Nghỉ tuần",N($H1341),0))</f>
        <v/>
      </c>
      <c r="O1341" s="108">
        <f>IF($B1341="","",IF($E1341="Lễ",N($H1341),0))</f>
        <v/>
      </c>
    </row>
    <row r="1342" ht="15" customHeight="1" s="63">
      <c r="A1342" s="85">
        <f>IF($B1342="","",ROW()-5)</f>
        <v/>
      </c>
      <c r="B1342" s="97" t="n"/>
      <c r="C1342" s="96">
        <f>IF($B1342="","",IFERROR(INDEX(DM_NHAN_SU!$C$6:$C$155,MATCH($B1342,DM_NHAN_SU!$B$6:$B$155,0)),"SAI MÃ NV"))</f>
        <v/>
      </c>
      <c r="D1342" s="86" t="n"/>
      <c r="E1342" s="103">
        <f>IF(OR($B1342="",$D1342=""),"",IF(COUNTIF(THAM_SO_CC!$F$10:$F$40,$D1342)&gt;0,"Lễ",IF(IF(THAM_SO_CC!$B$12="T7+CN",WEEKDAY($D1342,2)&gt;=6,WEEKDAY($D1342,2)=7),"Nghỉ tuần","Ngày thường")))</f>
        <v/>
      </c>
      <c r="F1342" s="107" t="n"/>
      <c r="G1342" s="107" t="n"/>
      <c r="H1342" s="107" t="n"/>
      <c r="I1342" s="81" t="n"/>
      <c r="J1342" s="108">
        <f>IF($B1342="","",IF($E1342="Ngày thường",N($G1342),0))</f>
        <v/>
      </c>
      <c r="K1342" s="108">
        <f>IF($B1342="","",IF($E1342="Nghỉ tuần",N($G1342),0))</f>
        <v/>
      </c>
      <c r="L1342" s="108">
        <f>IF($B1342="","",IF($E1342="Lễ",N($G1342),0))</f>
        <v/>
      </c>
      <c r="M1342" s="108">
        <f>IF($B1342="","",IF($E1342="Ngày thường",N($H1342),0))</f>
        <v/>
      </c>
      <c r="N1342" s="108">
        <f>IF($B1342="","",IF($E1342="Nghỉ tuần",N($H1342),0))</f>
        <v/>
      </c>
      <c r="O1342" s="108">
        <f>IF($B1342="","",IF($E1342="Lễ",N($H1342),0))</f>
        <v/>
      </c>
    </row>
    <row r="1343" ht="15" customHeight="1" s="63">
      <c r="A1343" s="85">
        <f>IF($B1343="","",ROW()-5)</f>
        <v/>
      </c>
      <c r="B1343" s="97" t="n"/>
      <c r="C1343" s="96">
        <f>IF($B1343="","",IFERROR(INDEX(DM_NHAN_SU!$C$6:$C$155,MATCH($B1343,DM_NHAN_SU!$B$6:$B$155,0)),"SAI MÃ NV"))</f>
        <v/>
      </c>
      <c r="D1343" s="86" t="n"/>
      <c r="E1343" s="103">
        <f>IF(OR($B1343="",$D1343=""),"",IF(COUNTIF(THAM_SO_CC!$F$10:$F$40,$D1343)&gt;0,"Lễ",IF(IF(THAM_SO_CC!$B$12="T7+CN",WEEKDAY($D1343,2)&gt;=6,WEEKDAY($D1343,2)=7),"Nghỉ tuần","Ngày thường")))</f>
        <v/>
      </c>
      <c r="F1343" s="107" t="n"/>
      <c r="G1343" s="107" t="n"/>
      <c r="H1343" s="107" t="n"/>
      <c r="I1343" s="81" t="n"/>
      <c r="J1343" s="108">
        <f>IF($B1343="","",IF($E1343="Ngày thường",N($G1343),0))</f>
        <v/>
      </c>
      <c r="K1343" s="108">
        <f>IF($B1343="","",IF($E1343="Nghỉ tuần",N($G1343),0))</f>
        <v/>
      </c>
      <c r="L1343" s="108">
        <f>IF($B1343="","",IF($E1343="Lễ",N($G1343),0))</f>
        <v/>
      </c>
      <c r="M1343" s="108">
        <f>IF($B1343="","",IF($E1343="Ngày thường",N($H1343),0))</f>
        <v/>
      </c>
      <c r="N1343" s="108">
        <f>IF($B1343="","",IF($E1343="Nghỉ tuần",N($H1343),0))</f>
        <v/>
      </c>
      <c r="O1343" s="108">
        <f>IF($B1343="","",IF($E1343="Lễ",N($H1343),0))</f>
        <v/>
      </c>
    </row>
    <row r="1344" ht="15" customHeight="1" s="63">
      <c r="A1344" s="85">
        <f>IF($B1344="","",ROW()-5)</f>
        <v/>
      </c>
      <c r="B1344" s="97" t="n"/>
      <c r="C1344" s="96">
        <f>IF($B1344="","",IFERROR(INDEX(DM_NHAN_SU!$C$6:$C$155,MATCH($B1344,DM_NHAN_SU!$B$6:$B$155,0)),"SAI MÃ NV"))</f>
        <v/>
      </c>
      <c r="D1344" s="86" t="n"/>
      <c r="E1344" s="103">
        <f>IF(OR($B1344="",$D1344=""),"",IF(COUNTIF(THAM_SO_CC!$F$10:$F$40,$D1344)&gt;0,"Lễ",IF(IF(THAM_SO_CC!$B$12="T7+CN",WEEKDAY($D1344,2)&gt;=6,WEEKDAY($D1344,2)=7),"Nghỉ tuần","Ngày thường")))</f>
        <v/>
      </c>
      <c r="F1344" s="107" t="n"/>
      <c r="G1344" s="107" t="n"/>
      <c r="H1344" s="107" t="n"/>
      <c r="I1344" s="81" t="n"/>
      <c r="J1344" s="108">
        <f>IF($B1344="","",IF($E1344="Ngày thường",N($G1344),0))</f>
        <v/>
      </c>
      <c r="K1344" s="108">
        <f>IF($B1344="","",IF($E1344="Nghỉ tuần",N($G1344),0))</f>
        <v/>
      </c>
      <c r="L1344" s="108">
        <f>IF($B1344="","",IF($E1344="Lễ",N($G1344),0))</f>
        <v/>
      </c>
      <c r="M1344" s="108">
        <f>IF($B1344="","",IF($E1344="Ngày thường",N($H1344),0))</f>
        <v/>
      </c>
      <c r="N1344" s="108">
        <f>IF($B1344="","",IF($E1344="Nghỉ tuần",N($H1344),0))</f>
        <v/>
      </c>
      <c r="O1344" s="108">
        <f>IF($B1344="","",IF($E1344="Lễ",N($H1344),0))</f>
        <v/>
      </c>
    </row>
    <row r="1345" ht="15" customHeight="1" s="63">
      <c r="A1345" s="85">
        <f>IF($B1345="","",ROW()-5)</f>
        <v/>
      </c>
      <c r="B1345" s="97" t="n"/>
      <c r="C1345" s="96">
        <f>IF($B1345="","",IFERROR(INDEX(DM_NHAN_SU!$C$6:$C$155,MATCH($B1345,DM_NHAN_SU!$B$6:$B$155,0)),"SAI MÃ NV"))</f>
        <v/>
      </c>
      <c r="D1345" s="86" t="n"/>
      <c r="E1345" s="103">
        <f>IF(OR($B1345="",$D1345=""),"",IF(COUNTIF(THAM_SO_CC!$F$10:$F$40,$D1345)&gt;0,"Lễ",IF(IF(THAM_SO_CC!$B$12="T7+CN",WEEKDAY($D1345,2)&gt;=6,WEEKDAY($D1345,2)=7),"Nghỉ tuần","Ngày thường")))</f>
        <v/>
      </c>
      <c r="F1345" s="107" t="n"/>
      <c r="G1345" s="107" t="n"/>
      <c r="H1345" s="107" t="n"/>
      <c r="I1345" s="81" t="n"/>
      <c r="J1345" s="108">
        <f>IF($B1345="","",IF($E1345="Ngày thường",N($G1345),0))</f>
        <v/>
      </c>
      <c r="K1345" s="108">
        <f>IF($B1345="","",IF($E1345="Nghỉ tuần",N($G1345),0))</f>
        <v/>
      </c>
      <c r="L1345" s="108">
        <f>IF($B1345="","",IF($E1345="Lễ",N($G1345),0))</f>
        <v/>
      </c>
      <c r="M1345" s="108">
        <f>IF($B1345="","",IF($E1345="Ngày thường",N($H1345),0))</f>
        <v/>
      </c>
      <c r="N1345" s="108">
        <f>IF($B1345="","",IF($E1345="Nghỉ tuần",N($H1345),0))</f>
        <v/>
      </c>
      <c r="O1345" s="108">
        <f>IF($B1345="","",IF($E1345="Lễ",N($H1345),0))</f>
        <v/>
      </c>
    </row>
    <row r="1346" ht="15" customHeight="1" s="63">
      <c r="A1346" s="85">
        <f>IF($B1346="","",ROW()-5)</f>
        <v/>
      </c>
      <c r="B1346" s="97" t="n"/>
      <c r="C1346" s="96">
        <f>IF($B1346="","",IFERROR(INDEX(DM_NHAN_SU!$C$6:$C$155,MATCH($B1346,DM_NHAN_SU!$B$6:$B$155,0)),"SAI MÃ NV"))</f>
        <v/>
      </c>
      <c r="D1346" s="86" t="n"/>
      <c r="E1346" s="103">
        <f>IF(OR($B1346="",$D1346=""),"",IF(COUNTIF(THAM_SO_CC!$F$10:$F$40,$D1346)&gt;0,"Lễ",IF(IF(THAM_SO_CC!$B$12="T7+CN",WEEKDAY($D1346,2)&gt;=6,WEEKDAY($D1346,2)=7),"Nghỉ tuần","Ngày thường")))</f>
        <v/>
      </c>
      <c r="F1346" s="107" t="n"/>
      <c r="G1346" s="107" t="n"/>
      <c r="H1346" s="107" t="n"/>
      <c r="I1346" s="81" t="n"/>
      <c r="J1346" s="108">
        <f>IF($B1346="","",IF($E1346="Ngày thường",N($G1346),0))</f>
        <v/>
      </c>
      <c r="K1346" s="108">
        <f>IF($B1346="","",IF($E1346="Nghỉ tuần",N($G1346),0))</f>
        <v/>
      </c>
      <c r="L1346" s="108">
        <f>IF($B1346="","",IF($E1346="Lễ",N($G1346),0))</f>
        <v/>
      </c>
      <c r="M1346" s="108">
        <f>IF($B1346="","",IF($E1346="Ngày thường",N($H1346),0))</f>
        <v/>
      </c>
      <c r="N1346" s="108">
        <f>IF($B1346="","",IF($E1346="Nghỉ tuần",N($H1346),0))</f>
        <v/>
      </c>
      <c r="O1346" s="108">
        <f>IF($B1346="","",IF($E1346="Lễ",N($H1346),0))</f>
        <v/>
      </c>
    </row>
    <row r="1347" ht="15" customHeight="1" s="63">
      <c r="A1347" s="85">
        <f>IF($B1347="","",ROW()-5)</f>
        <v/>
      </c>
      <c r="B1347" s="97" t="n"/>
      <c r="C1347" s="96">
        <f>IF($B1347="","",IFERROR(INDEX(DM_NHAN_SU!$C$6:$C$155,MATCH($B1347,DM_NHAN_SU!$B$6:$B$155,0)),"SAI MÃ NV"))</f>
        <v/>
      </c>
      <c r="D1347" s="86" t="n"/>
      <c r="E1347" s="103">
        <f>IF(OR($B1347="",$D1347=""),"",IF(COUNTIF(THAM_SO_CC!$F$10:$F$40,$D1347)&gt;0,"Lễ",IF(IF(THAM_SO_CC!$B$12="T7+CN",WEEKDAY($D1347,2)&gt;=6,WEEKDAY($D1347,2)=7),"Nghỉ tuần","Ngày thường")))</f>
        <v/>
      </c>
      <c r="F1347" s="107" t="n"/>
      <c r="G1347" s="107" t="n"/>
      <c r="H1347" s="107" t="n"/>
      <c r="I1347" s="81" t="n"/>
      <c r="J1347" s="108">
        <f>IF($B1347="","",IF($E1347="Ngày thường",N($G1347),0))</f>
        <v/>
      </c>
      <c r="K1347" s="108">
        <f>IF($B1347="","",IF($E1347="Nghỉ tuần",N($G1347),0))</f>
        <v/>
      </c>
      <c r="L1347" s="108">
        <f>IF($B1347="","",IF($E1347="Lễ",N($G1347),0))</f>
        <v/>
      </c>
      <c r="M1347" s="108">
        <f>IF($B1347="","",IF($E1347="Ngày thường",N($H1347),0))</f>
        <v/>
      </c>
      <c r="N1347" s="108">
        <f>IF($B1347="","",IF($E1347="Nghỉ tuần",N($H1347),0))</f>
        <v/>
      </c>
      <c r="O1347" s="108">
        <f>IF($B1347="","",IF($E1347="Lễ",N($H1347),0))</f>
        <v/>
      </c>
    </row>
    <row r="1348" ht="15" customHeight="1" s="63">
      <c r="A1348" s="85">
        <f>IF($B1348="","",ROW()-5)</f>
        <v/>
      </c>
      <c r="B1348" s="97" t="n"/>
      <c r="C1348" s="96">
        <f>IF($B1348="","",IFERROR(INDEX(DM_NHAN_SU!$C$6:$C$155,MATCH($B1348,DM_NHAN_SU!$B$6:$B$155,0)),"SAI MÃ NV"))</f>
        <v/>
      </c>
      <c r="D1348" s="86" t="n"/>
      <c r="E1348" s="103">
        <f>IF(OR($B1348="",$D1348=""),"",IF(COUNTIF(THAM_SO_CC!$F$10:$F$40,$D1348)&gt;0,"Lễ",IF(IF(THAM_SO_CC!$B$12="T7+CN",WEEKDAY($D1348,2)&gt;=6,WEEKDAY($D1348,2)=7),"Nghỉ tuần","Ngày thường")))</f>
        <v/>
      </c>
      <c r="F1348" s="107" t="n"/>
      <c r="G1348" s="107" t="n"/>
      <c r="H1348" s="107" t="n"/>
      <c r="I1348" s="81" t="n"/>
      <c r="J1348" s="108">
        <f>IF($B1348="","",IF($E1348="Ngày thường",N($G1348),0))</f>
        <v/>
      </c>
      <c r="K1348" s="108">
        <f>IF($B1348="","",IF($E1348="Nghỉ tuần",N($G1348),0))</f>
        <v/>
      </c>
      <c r="L1348" s="108">
        <f>IF($B1348="","",IF($E1348="Lễ",N($G1348),0))</f>
        <v/>
      </c>
      <c r="M1348" s="108">
        <f>IF($B1348="","",IF($E1348="Ngày thường",N($H1348),0))</f>
        <v/>
      </c>
      <c r="N1348" s="108">
        <f>IF($B1348="","",IF($E1348="Nghỉ tuần",N($H1348),0))</f>
        <v/>
      </c>
      <c r="O1348" s="108">
        <f>IF($B1348="","",IF($E1348="Lễ",N($H1348),0))</f>
        <v/>
      </c>
    </row>
    <row r="1349" ht="15" customHeight="1" s="63">
      <c r="A1349" s="85">
        <f>IF($B1349="","",ROW()-5)</f>
        <v/>
      </c>
      <c r="B1349" s="97" t="n"/>
      <c r="C1349" s="96">
        <f>IF($B1349="","",IFERROR(INDEX(DM_NHAN_SU!$C$6:$C$155,MATCH($B1349,DM_NHAN_SU!$B$6:$B$155,0)),"SAI MÃ NV"))</f>
        <v/>
      </c>
      <c r="D1349" s="86" t="n"/>
      <c r="E1349" s="103">
        <f>IF(OR($B1349="",$D1349=""),"",IF(COUNTIF(THAM_SO_CC!$F$10:$F$40,$D1349)&gt;0,"Lễ",IF(IF(THAM_SO_CC!$B$12="T7+CN",WEEKDAY($D1349,2)&gt;=6,WEEKDAY($D1349,2)=7),"Nghỉ tuần","Ngày thường")))</f>
        <v/>
      </c>
      <c r="F1349" s="107" t="n"/>
      <c r="G1349" s="107" t="n"/>
      <c r="H1349" s="107" t="n"/>
      <c r="I1349" s="81" t="n"/>
      <c r="J1349" s="108">
        <f>IF($B1349="","",IF($E1349="Ngày thường",N($G1349),0))</f>
        <v/>
      </c>
      <c r="K1349" s="108">
        <f>IF($B1349="","",IF($E1349="Nghỉ tuần",N($G1349),0))</f>
        <v/>
      </c>
      <c r="L1349" s="108">
        <f>IF($B1349="","",IF($E1349="Lễ",N($G1349),0))</f>
        <v/>
      </c>
      <c r="M1349" s="108">
        <f>IF($B1349="","",IF($E1349="Ngày thường",N($H1349),0))</f>
        <v/>
      </c>
      <c r="N1349" s="108">
        <f>IF($B1349="","",IF($E1349="Nghỉ tuần",N($H1349),0))</f>
        <v/>
      </c>
      <c r="O1349" s="108">
        <f>IF($B1349="","",IF($E1349="Lễ",N($H1349),0))</f>
        <v/>
      </c>
    </row>
    <row r="1350" ht="15" customHeight="1" s="63">
      <c r="A1350" s="85">
        <f>IF($B1350="","",ROW()-5)</f>
        <v/>
      </c>
      <c r="B1350" s="97" t="n"/>
      <c r="C1350" s="96">
        <f>IF($B1350="","",IFERROR(INDEX(DM_NHAN_SU!$C$6:$C$155,MATCH($B1350,DM_NHAN_SU!$B$6:$B$155,0)),"SAI MÃ NV"))</f>
        <v/>
      </c>
      <c r="D1350" s="86" t="n"/>
      <c r="E1350" s="103">
        <f>IF(OR($B1350="",$D1350=""),"",IF(COUNTIF(THAM_SO_CC!$F$10:$F$40,$D1350)&gt;0,"Lễ",IF(IF(THAM_SO_CC!$B$12="T7+CN",WEEKDAY($D1350,2)&gt;=6,WEEKDAY($D1350,2)=7),"Nghỉ tuần","Ngày thường")))</f>
        <v/>
      </c>
      <c r="F1350" s="107" t="n"/>
      <c r="G1350" s="107" t="n"/>
      <c r="H1350" s="107" t="n"/>
      <c r="I1350" s="81" t="n"/>
      <c r="J1350" s="108">
        <f>IF($B1350="","",IF($E1350="Ngày thường",N($G1350),0))</f>
        <v/>
      </c>
      <c r="K1350" s="108">
        <f>IF($B1350="","",IF($E1350="Nghỉ tuần",N($G1350),0))</f>
        <v/>
      </c>
      <c r="L1350" s="108">
        <f>IF($B1350="","",IF($E1350="Lễ",N($G1350),0))</f>
        <v/>
      </c>
      <c r="M1350" s="108">
        <f>IF($B1350="","",IF($E1350="Ngày thường",N($H1350),0))</f>
        <v/>
      </c>
      <c r="N1350" s="108">
        <f>IF($B1350="","",IF($E1350="Nghỉ tuần",N($H1350),0))</f>
        <v/>
      </c>
      <c r="O1350" s="108">
        <f>IF($B1350="","",IF($E1350="Lễ",N($H1350),0))</f>
        <v/>
      </c>
    </row>
    <row r="1351" ht="15" customHeight="1" s="63">
      <c r="A1351" s="85">
        <f>IF($B1351="","",ROW()-5)</f>
        <v/>
      </c>
      <c r="B1351" s="97" t="n"/>
      <c r="C1351" s="96">
        <f>IF($B1351="","",IFERROR(INDEX(DM_NHAN_SU!$C$6:$C$155,MATCH($B1351,DM_NHAN_SU!$B$6:$B$155,0)),"SAI MÃ NV"))</f>
        <v/>
      </c>
      <c r="D1351" s="86" t="n"/>
      <c r="E1351" s="103">
        <f>IF(OR($B1351="",$D1351=""),"",IF(COUNTIF(THAM_SO_CC!$F$10:$F$40,$D1351)&gt;0,"Lễ",IF(IF(THAM_SO_CC!$B$12="T7+CN",WEEKDAY($D1351,2)&gt;=6,WEEKDAY($D1351,2)=7),"Nghỉ tuần","Ngày thường")))</f>
        <v/>
      </c>
      <c r="F1351" s="107" t="n"/>
      <c r="G1351" s="107" t="n"/>
      <c r="H1351" s="107" t="n"/>
      <c r="I1351" s="81" t="n"/>
      <c r="J1351" s="108">
        <f>IF($B1351="","",IF($E1351="Ngày thường",N($G1351),0))</f>
        <v/>
      </c>
      <c r="K1351" s="108">
        <f>IF($B1351="","",IF($E1351="Nghỉ tuần",N($G1351),0))</f>
        <v/>
      </c>
      <c r="L1351" s="108">
        <f>IF($B1351="","",IF($E1351="Lễ",N($G1351),0))</f>
        <v/>
      </c>
      <c r="M1351" s="108">
        <f>IF($B1351="","",IF($E1351="Ngày thường",N($H1351),0))</f>
        <v/>
      </c>
      <c r="N1351" s="108">
        <f>IF($B1351="","",IF($E1351="Nghỉ tuần",N($H1351),0))</f>
        <v/>
      </c>
      <c r="O1351" s="108">
        <f>IF($B1351="","",IF($E1351="Lễ",N($H1351),0))</f>
        <v/>
      </c>
    </row>
    <row r="1352" ht="15" customHeight="1" s="63">
      <c r="A1352" s="85">
        <f>IF($B1352="","",ROW()-5)</f>
        <v/>
      </c>
      <c r="B1352" s="97" t="n"/>
      <c r="C1352" s="96">
        <f>IF($B1352="","",IFERROR(INDEX(DM_NHAN_SU!$C$6:$C$155,MATCH($B1352,DM_NHAN_SU!$B$6:$B$155,0)),"SAI MÃ NV"))</f>
        <v/>
      </c>
      <c r="D1352" s="86" t="n"/>
      <c r="E1352" s="103">
        <f>IF(OR($B1352="",$D1352=""),"",IF(COUNTIF(THAM_SO_CC!$F$10:$F$40,$D1352)&gt;0,"Lễ",IF(IF(THAM_SO_CC!$B$12="T7+CN",WEEKDAY($D1352,2)&gt;=6,WEEKDAY($D1352,2)=7),"Nghỉ tuần","Ngày thường")))</f>
        <v/>
      </c>
      <c r="F1352" s="107" t="n"/>
      <c r="G1352" s="107" t="n"/>
      <c r="H1352" s="107" t="n"/>
      <c r="I1352" s="81" t="n"/>
      <c r="J1352" s="108">
        <f>IF($B1352="","",IF($E1352="Ngày thường",N($G1352),0))</f>
        <v/>
      </c>
      <c r="K1352" s="108">
        <f>IF($B1352="","",IF($E1352="Nghỉ tuần",N($G1352),0))</f>
        <v/>
      </c>
      <c r="L1352" s="108">
        <f>IF($B1352="","",IF($E1352="Lễ",N($G1352),0))</f>
        <v/>
      </c>
      <c r="M1352" s="108">
        <f>IF($B1352="","",IF($E1352="Ngày thường",N($H1352),0))</f>
        <v/>
      </c>
      <c r="N1352" s="108">
        <f>IF($B1352="","",IF($E1352="Nghỉ tuần",N($H1352),0))</f>
        <v/>
      </c>
      <c r="O1352" s="108">
        <f>IF($B1352="","",IF($E1352="Lễ",N($H1352),0))</f>
        <v/>
      </c>
    </row>
    <row r="1353" ht="15" customHeight="1" s="63">
      <c r="A1353" s="85">
        <f>IF($B1353="","",ROW()-5)</f>
        <v/>
      </c>
      <c r="B1353" s="97" t="n"/>
      <c r="C1353" s="96">
        <f>IF($B1353="","",IFERROR(INDEX(DM_NHAN_SU!$C$6:$C$155,MATCH($B1353,DM_NHAN_SU!$B$6:$B$155,0)),"SAI MÃ NV"))</f>
        <v/>
      </c>
      <c r="D1353" s="86" t="n"/>
      <c r="E1353" s="103">
        <f>IF(OR($B1353="",$D1353=""),"",IF(COUNTIF(THAM_SO_CC!$F$10:$F$40,$D1353)&gt;0,"Lễ",IF(IF(THAM_SO_CC!$B$12="T7+CN",WEEKDAY($D1353,2)&gt;=6,WEEKDAY($D1353,2)=7),"Nghỉ tuần","Ngày thường")))</f>
        <v/>
      </c>
      <c r="F1353" s="107" t="n"/>
      <c r="G1353" s="107" t="n"/>
      <c r="H1353" s="107" t="n"/>
      <c r="I1353" s="81" t="n"/>
      <c r="J1353" s="108">
        <f>IF($B1353="","",IF($E1353="Ngày thường",N($G1353),0))</f>
        <v/>
      </c>
      <c r="K1353" s="108">
        <f>IF($B1353="","",IF($E1353="Nghỉ tuần",N($G1353),0))</f>
        <v/>
      </c>
      <c r="L1353" s="108">
        <f>IF($B1353="","",IF($E1353="Lễ",N($G1353),0))</f>
        <v/>
      </c>
      <c r="M1353" s="108">
        <f>IF($B1353="","",IF($E1353="Ngày thường",N($H1353),0))</f>
        <v/>
      </c>
      <c r="N1353" s="108">
        <f>IF($B1353="","",IF($E1353="Nghỉ tuần",N($H1353),0))</f>
        <v/>
      </c>
      <c r="O1353" s="108">
        <f>IF($B1353="","",IF($E1353="Lễ",N($H1353),0))</f>
        <v/>
      </c>
    </row>
    <row r="1354" ht="15" customHeight="1" s="63">
      <c r="A1354" s="85">
        <f>IF($B1354="","",ROW()-5)</f>
        <v/>
      </c>
      <c r="B1354" s="97" t="n"/>
      <c r="C1354" s="96">
        <f>IF($B1354="","",IFERROR(INDEX(DM_NHAN_SU!$C$6:$C$155,MATCH($B1354,DM_NHAN_SU!$B$6:$B$155,0)),"SAI MÃ NV"))</f>
        <v/>
      </c>
      <c r="D1354" s="86" t="n"/>
      <c r="E1354" s="103">
        <f>IF(OR($B1354="",$D1354=""),"",IF(COUNTIF(THAM_SO_CC!$F$10:$F$40,$D1354)&gt;0,"Lễ",IF(IF(THAM_SO_CC!$B$12="T7+CN",WEEKDAY($D1354,2)&gt;=6,WEEKDAY($D1354,2)=7),"Nghỉ tuần","Ngày thường")))</f>
        <v/>
      </c>
      <c r="F1354" s="107" t="n"/>
      <c r="G1354" s="107" t="n"/>
      <c r="H1354" s="107" t="n"/>
      <c r="I1354" s="81" t="n"/>
      <c r="J1354" s="108">
        <f>IF($B1354="","",IF($E1354="Ngày thường",N($G1354),0))</f>
        <v/>
      </c>
      <c r="K1354" s="108">
        <f>IF($B1354="","",IF($E1354="Nghỉ tuần",N($G1354),0))</f>
        <v/>
      </c>
      <c r="L1354" s="108">
        <f>IF($B1354="","",IF($E1354="Lễ",N($G1354),0))</f>
        <v/>
      </c>
      <c r="M1354" s="108">
        <f>IF($B1354="","",IF($E1354="Ngày thường",N($H1354),0))</f>
        <v/>
      </c>
      <c r="N1354" s="108">
        <f>IF($B1354="","",IF($E1354="Nghỉ tuần",N($H1354),0))</f>
        <v/>
      </c>
      <c r="O1354" s="108">
        <f>IF($B1354="","",IF($E1354="Lễ",N($H1354),0))</f>
        <v/>
      </c>
    </row>
    <row r="1355" ht="15" customHeight="1" s="63">
      <c r="A1355" s="85">
        <f>IF($B1355="","",ROW()-5)</f>
        <v/>
      </c>
      <c r="B1355" s="97" t="n"/>
      <c r="C1355" s="96">
        <f>IF($B1355="","",IFERROR(INDEX(DM_NHAN_SU!$C$6:$C$155,MATCH($B1355,DM_NHAN_SU!$B$6:$B$155,0)),"SAI MÃ NV"))</f>
        <v/>
      </c>
      <c r="D1355" s="86" t="n"/>
      <c r="E1355" s="103">
        <f>IF(OR($B1355="",$D1355=""),"",IF(COUNTIF(THAM_SO_CC!$F$10:$F$40,$D1355)&gt;0,"Lễ",IF(IF(THAM_SO_CC!$B$12="T7+CN",WEEKDAY($D1355,2)&gt;=6,WEEKDAY($D1355,2)=7),"Nghỉ tuần","Ngày thường")))</f>
        <v/>
      </c>
      <c r="F1355" s="107" t="n"/>
      <c r="G1355" s="107" t="n"/>
      <c r="H1355" s="107" t="n"/>
      <c r="I1355" s="81" t="n"/>
      <c r="J1355" s="108">
        <f>IF($B1355="","",IF($E1355="Ngày thường",N($G1355),0))</f>
        <v/>
      </c>
      <c r="K1355" s="108">
        <f>IF($B1355="","",IF($E1355="Nghỉ tuần",N($G1355),0))</f>
        <v/>
      </c>
      <c r="L1355" s="108">
        <f>IF($B1355="","",IF($E1355="Lễ",N($G1355),0))</f>
        <v/>
      </c>
      <c r="M1355" s="108">
        <f>IF($B1355="","",IF($E1355="Ngày thường",N($H1355),0))</f>
        <v/>
      </c>
      <c r="N1355" s="108">
        <f>IF($B1355="","",IF($E1355="Nghỉ tuần",N($H1355),0))</f>
        <v/>
      </c>
      <c r="O1355" s="108">
        <f>IF($B1355="","",IF($E1355="Lễ",N($H1355),0))</f>
        <v/>
      </c>
    </row>
    <row r="1356" ht="15" customHeight="1" s="63">
      <c r="A1356" s="85">
        <f>IF($B1356="","",ROW()-5)</f>
        <v/>
      </c>
      <c r="B1356" s="97" t="n"/>
      <c r="C1356" s="96">
        <f>IF($B1356="","",IFERROR(INDEX(DM_NHAN_SU!$C$6:$C$155,MATCH($B1356,DM_NHAN_SU!$B$6:$B$155,0)),"SAI MÃ NV"))</f>
        <v/>
      </c>
      <c r="D1356" s="86" t="n"/>
      <c r="E1356" s="103">
        <f>IF(OR($B1356="",$D1356=""),"",IF(COUNTIF(THAM_SO_CC!$F$10:$F$40,$D1356)&gt;0,"Lễ",IF(IF(THAM_SO_CC!$B$12="T7+CN",WEEKDAY($D1356,2)&gt;=6,WEEKDAY($D1356,2)=7),"Nghỉ tuần","Ngày thường")))</f>
        <v/>
      </c>
      <c r="F1356" s="107" t="n"/>
      <c r="G1356" s="107" t="n"/>
      <c r="H1356" s="107" t="n"/>
      <c r="I1356" s="81" t="n"/>
      <c r="J1356" s="108">
        <f>IF($B1356="","",IF($E1356="Ngày thường",N($G1356),0))</f>
        <v/>
      </c>
      <c r="K1356" s="108">
        <f>IF($B1356="","",IF($E1356="Nghỉ tuần",N($G1356),0))</f>
        <v/>
      </c>
      <c r="L1356" s="108">
        <f>IF($B1356="","",IF($E1356="Lễ",N($G1356),0))</f>
        <v/>
      </c>
      <c r="M1356" s="108">
        <f>IF($B1356="","",IF($E1356="Ngày thường",N($H1356),0))</f>
        <v/>
      </c>
      <c r="N1356" s="108">
        <f>IF($B1356="","",IF($E1356="Nghỉ tuần",N($H1356),0))</f>
        <v/>
      </c>
      <c r="O1356" s="108">
        <f>IF($B1356="","",IF($E1356="Lễ",N($H1356),0))</f>
        <v/>
      </c>
    </row>
    <row r="1357" ht="15" customHeight="1" s="63">
      <c r="A1357" s="85">
        <f>IF($B1357="","",ROW()-5)</f>
        <v/>
      </c>
      <c r="B1357" s="97" t="n"/>
      <c r="C1357" s="96">
        <f>IF($B1357="","",IFERROR(INDEX(DM_NHAN_SU!$C$6:$C$155,MATCH($B1357,DM_NHAN_SU!$B$6:$B$155,0)),"SAI MÃ NV"))</f>
        <v/>
      </c>
      <c r="D1357" s="86" t="n"/>
      <c r="E1357" s="103">
        <f>IF(OR($B1357="",$D1357=""),"",IF(COUNTIF(THAM_SO_CC!$F$10:$F$40,$D1357)&gt;0,"Lễ",IF(IF(THAM_SO_CC!$B$12="T7+CN",WEEKDAY($D1357,2)&gt;=6,WEEKDAY($D1357,2)=7),"Nghỉ tuần","Ngày thường")))</f>
        <v/>
      </c>
      <c r="F1357" s="107" t="n"/>
      <c r="G1357" s="107" t="n"/>
      <c r="H1357" s="107" t="n"/>
      <c r="I1357" s="81" t="n"/>
      <c r="J1357" s="108">
        <f>IF($B1357="","",IF($E1357="Ngày thường",N($G1357),0))</f>
        <v/>
      </c>
      <c r="K1357" s="108">
        <f>IF($B1357="","",IF($E1357="Nghỉ tuần",N($G1357),0))</f>
        <v/>
      </c>
      <c r="L1357" s="108">
        <f>IF($B1357="","",IF($E1357="Lễ",N($G1357),0))</f>
        <v/>
      </c>
      <c r="M1357" s="108">
        <f>IF($B1357="","",IF($E1357="Ngày thường",N($H1357),0))</f>
        <v/>
      </c>
      <c r="N1357" s="108">
        <f>IF($B1357="","",IF($E1357="Nghỉ tuần",N($H1357),0))</f>
        <v/>
      </c>
      <c r="O1357" s="108">
        <f>IF($B1357="","",IF($E1357="Lễ",N($H1357),0))</f>
        <v/>
      </c>
    </row>
    <row r="1358" ht="15" customHeight="1" s="63">
      <c r="A1358" s="85">
        <f>IF($B1358="","",ROW()-5)</f>
        <v/>
      </c>
      <c r="B1358" s="97" t="n"/>
      <c r="C1358" s="96">
        <f>IF($B1358="","",IFERROR(INDEX(DM_NHAN_SU!$C$6:$C$155,MATCH($B1358,DM_NHAN_SU!$B$6:$B$155,0)),"SAI MÃ NV"))</f>
        <v/>
      </c>
      <c r="D1358" s="86" t="n"/>
      <c r="E1358" s="103">
        <f>IF(OR($B1358="",$D1358=""),"",IF(COUNTIF(THAM_SO_CC!$F$10:$F$40,$D1358)&gt;0,"Lễ",IF(IF(THAM_SO_CC!$B$12="T7+CN",WEEKDAY($D1358,2)&gt;=6,WEEKDAY($D1358,2)=7),"Nghỉ tuần","Ngày thường")))</f>
        <v/>
      </c>
      <c r="F1358" s="107" t="n"/>
      <c r="G1358" s="107" t="n"/>
      <c r="H1358" s="107" t="n"/>
      <c r="I1358" s="81" t="n"/>
      <c r="J1358" s="108">
        <f>IF($B1358="","",IF($E1358="Ngày thường",N($G1358),0))</f>
        <v/>
      </c>
      <c r="K1358" s="108">
        <f>IF($B1358="","",IF($E1358="Nghỉ tuần",N($G1358),0))</f>
        <v/>
      </c>
      <c r="L1358" s="108">
        <f>IF($B1358="","",IF($E1358="Lễ",N($G1358),0))</f>
        <v/>
      </c>
      <c r="M1358" s="108">
        <f>IF($B1358="","",IF($E1358="Ngày thường",N($H1358),0))</f>
        <v/>
      </c>
      <c r="N1358" s="108">
        <f>IF($B1358="","",IF($E1358="Nghỉ tuần",N($H1358),0))</f>
        <v/>
      </c>
      <c r="O1358" s="108">
        <f>IF($B1358="","",IF($E1358="Lễ",N($H1358),0))</f>
        <v/>
      </c>
    </row>
    <row r="1359" ht="15" customHeight="1" s="63">
      <c r="A1359" s="85">
        <f>IF($B1359="","",ROW()-5)</f>
        <v/>
      </c>
      <c r="B1359" s="97" t="n"/>
      <c r="C1359" s="96">
        <f>IF($B1359="","",IFERROR(INDEX(DM_NHAN_SU!$C$6:$C$155,MATCH($B1359,DM_NHAN_SU!$B$6:$B$155,0)),"SAI MÃ NV"))</f>
        <v/>
      </c>
      <c r="D1359" s="86" t="n"/>
      <c r="E1359" s="103">
        <f>IF(OR($B1359="",$D1359=""),"",IF(COUNTIF(THAM_SO_CC!$F$10:$F$40,$D1359)&gt;0,"Lễ",IF(IF(THAM_SO_CC!$B$12="T7+CN",WEEKDAY($D1359,2)&gt;=6,WEEKDAY($D1359,2)=7),"Nghỉ tuần","Ngày thường")))</f>
        <v/>
      </c>
      <c r="F1359" s="107" t="n"/>
      <c r="G1359" s="107" t="n"/>
      <c r="H1359" s="107" t="n"/>
      <c r="I1359" s="81" t="n"/>
      <c r="J1359" s="108">
        <f>IF($B1359="","",IF($E1359="Ngày thường",N($G1359),0))</f>
        <v/>
      </c>
      <c r="K1359" s="108">
        <f>IF($B1359="","",IF($E1359="Nghỉ tuần",N($G1359),0))</f>
        <v/>
      </c>
      <c r="L1359" s="108">
        <f>IF($B1359="","",IF($E1359="Lễ",N($G1359),0))</f>
        <v/>
      </c>
      <c r="M1359" s="108">
        <f>IF($B1359="","",IF($E1359="Ngày thường",N($H1359),0))</f>
        <v/>
      </c>
      <c r="N1359" s="108">
        <f>IF($B1359="","",IF($E1359="Nghỉ tuần",N($H1359),0))</f>
        <v/>
      </c>
      <c r="O1359" s="108">
        <f>IF($B1359="","",IF($E1359="Lễ",N($H1359),0))</f>
        <v/>
      </c>
    </row>
    <row r="1360" ht="15" customHeight="1" s="63">
      <c r="A1360" s="85">
        <f>IF($B1360="","",ROW()-5)</f>
        <v/>
      </c>
      <c r="B1360" s="97" t="n"/>
      <c r="C1360" s="96">
        <f>IF($B1360="","",IFERROR(INDEX(DM_NHAN_SU!$C$6:$C$155,MATCH($B1360,DM_NHAN_SU!$B$6:$B$155,0)),"SAI MÃ NV"))</f>
        <v/>
      </c>
      <c r="D1360" s="86" t="n"/>
      <c r="E1360" s="103">
        <f>IF(OR($B1360="",$D1360=""),"",IF(COUNTIF(THAM_SO_CC!$F$10:$F$40,$D1360)&gt;0,"Lễ",IF(IF(THAM_SO_CC!$B$12="T7+CN",WEEKDAY($D1360,2)&gt;=6,WEEKDAY($D1360,2)=7),"Nghỉ tuần","Ngày thường")))</f>
        <v/>
      </c>
      <c r="F1360" s="107" t="n"/>
      <c r="G1360" s="107" t="n"/>
      <c r="H1360" s="107" t="n"/>
      <c r="I1360" s="81" t="n"/>
      <c r="J1360" s="108">
        <f>IF($B1360="","",IF($E1360="Ngày thường",N($G1360),0))</f>
        <v/>
      </c>
      <c r="K1360" s="108">
        <f>IF($B1360="","",IF($E1360="Nghỉ tuần",N($G1360),0))</f>
        <v/>
      </c>
      <c r="L1360" s="108">
        <f>IF($B1360="","",IF($E1360="Lễ",N($G1360),0))</f>
        <v/>
      </c>
      <c r="M1360" s="108">
        <f>IF($B1360="","",IF($E1360="Ngày thường",N($H1360),0))</f>
        <v/>
      </c>
      <c r="N1360" s="108">
        <f>IF($B1360="","",IF($E1360="Nghỉ tuần",N($H1360),0))</f>
        <v/>
      </c>
      <c r="O1360" s="108">
        <f>IF($B1360="","",IF($E1360="Lễ",N($H1360),0))</f>
        <v/>
      </c>
    </row>
    <row r="1361" ht="15" customHeight="1" s="63">
      <c r="A1361" s="85">
        <f>IF($B1361="","",ROW()-5)</f>
        <v/>
      </c>
      <c r="B1361" s="97" t="n"/>
      <c r="C1361" s="96">
        <f>IF($B1361="","",IFERROR(INDEX(DM_NHAN_SU!$C$6:$C$155,MATCH($B1361,DM_NHAN_SU!$B$6:$B$155,0)),"SAI MÃ NV"))</f>
        <v/>
      </c>
      <c r="D1361" s="86" t="n"/>
      <c r="E1361" s="103">
        <f>IF(OR($B1361="",$D1361=""),"",IF(COUNTIF(THAM_SO_CC!$F$10:$F$40,$D1361)&gt;0,"Lễ",IF(IF(THAM_SO_CC!$B$12="T7+CN",WEEKDAY($D1361,2)&gt;=6,WEEKDAY($D1361,2)=7),"Nghỉ tuần","Ngày thường")))</f>
        <v/>
      </c>
      <c r="F1361" s="107" t="n"/>
      <c r="G1361" s="107" t="n"/>
      <c r="H1361" s="107" t="n"/>
      <c r="I1361" s="81" t="n"/>
      <c r="J1361" s="108">
        <f>IF($B1361="","",IF($E1361="Ngày thường",N($G1361),0))</f>
        <v/>
      </c>
      <c r="K1361" s="108">
        <f>IF($B1361="","",IF($E1361="Nghỉ tuần",N($G1361),0))</f>
        <v/>
      </c>
      <c r="L1361" s="108">
        <f>IF($B1361="","",IF($E1361="Lễ",N($G1361),0))</f>
        <v/>
      </c>
      <c r="M1361" s="108">
        <f>IF($B1361="","",IF($E1361="Ngày thường",N($H1361),0))</f>
        <v/>
      </c>
      <c r="N1361" s="108">
        <f>IF($B1361="","",IF($E1361="Nghỉ tuần",N($H1361),0))</f>
        <v/>
      </c>
      <c r="O1361" s="108">
        <f>IF($B1361="","",IF($E1361="Lễ",N($H1361),0))</f>
        <v/>
      </c>
    </row>
    <row r="1362" ht="15" customHeight="1" s="63">
      <c r="A1362" s="85">
        <f>IF($B1362="","",ROW()-5)</f>
        <v/>
      </c>
      <c r="B1362" s="97" t="n"/>
      <c r="C1362" s="96">
        <f>IF($B1362="","",IFERROR(INDEX(DM_NHAN_SU!$C$6:$C$155,MATCH($B1362,DM_NHAN_SU!$B$6:$B$155,0)),"SAI MÃ NV"))</f>
        <v/>
      </c>
      <c r="D1362" s="86" t="n"/>
      <c r="E1362" s="103">
        <f>IF(OR($B1362="",$D1362=""),"",IF(COUNTIF(THAM_SO_CC!$F$10:$F$40,$D1362)&gt;0,"Lễ",IF(IF(THAM_SO_CC!$B$12="T7+CN",WEEKDAY($D1362,2)&gt;=6,WEEKDAY($D1362,2)=7),"Nghỉ tuần","Ngày thường")))</f>
        <v/>
      </c>
      <c r="F1362" s="107" t="n"/>
      <c r="G1362" s="107" t="n"/>
      <c r="H1362" s="107" t="n"/>
      <c r="I1362" s="81" t="n"/>
      <c r="J1362" s="108">
        <f>IF($B1362="","",IF($E1362="Ngày thường",N($G1362),0))</f>
        <v/>
      </c>
      <c r="K1362" s="108">
        <f>IF($B1362="","",IF($E1362="Nghỉ tuần",N($G1362),0))</f>
        <v/>
      </c>
      <c r="L1362" s="108">
        <f>IF($B1362="","",IF($E1362="Lễ",N($G1362),0))</f>
        <v/>
      </c>
      <c r="M1362" s="108">
        <f>IF($B1362="","",IF($E1362="Ngày thường",N($H1362),0))</f>
        <v/>
      </c>
      <c r="N1362" s="108">
        <f>IF($B1362="","",IF($E1362="Nghỉ tuần",N($H1362),0))</f>
        <v/>
      </c>
      <c r="O1362" s="108">
        <f>IF($B1362="","",IF($E1362="Lễ",N($H1362),0))</f>
        <v/>
      </c>
    </row>
    <row r="1363" ht="15" customHeight="1" s="63">
      <c r="A1363" s="85">
        <f>IF($B1363="","",ROW()-5)</f>
        <v/>
      </c>
      <c r="B1363" s="97" t="n"/>
      <c r="C1363" s="96">
        <f>IF($B1363="","",IFERROR(INDEX(DM_NHAN_SU!$C$6:$C$155,MATCH($B1363,DM_NHAN_SU!$B$6:$B$155,0)),"SAI MÃ NV"))</f>
        <v/>
      </c>
      <c r="D1363" s="86" t="n"/>
      <c r="E1363" s="103">
        <f>IF(OR($B1363="",$D1363=""),"",IF(COUNTIF(THAM_SO_CC!$F$10:$F$40,$D1363)&gt;0,"Lễ",IF(IF(THAM_SO_CC!$B$12="T7+CN",WEEKDAY($D1363,2)&gt;=6,WEEKDAY($D1363,2)=7),"Nghỉ tuần","Ngày thường")))</f>
        <v/>
      </c>
      <c r="F1363" s="107" t="n"/>
      <c r="G1363" s="107" t="n"/>
      <c r="H1363" s="107" t="n"/>
      <c r="I1363" s="81" t="n"/>
      <c r="J1363" s="108">
        <f>IF($B1363="","",IF($E1363="Ngày thường",N($G1363),0))</f>
        <v/>
      </c>
      <c r="K1363" s="108">
        <f>IF($B1363="","",IF($E1363="Nghỉ tuần",N($G1363),0))</f>
        <v/>
      </c>
      <c r="L1363" s="108">
        <f>IF($B1363="","",IF($E1363="Lễ",N($G1363),0))</f>
        <v/>
      </c>
      <c r="M1363" s="108">
        <f>IF($B1363="","",IF($E1363="Ngày thường",N($H1363),0))</f>
        <v/>
      </c>
      <c r="N1363" s="108">
        <f>IF($B1363="","",IF($E1363="Nghỉ tuần",N($H1363),0))</f>
        <v/>
      </c>
      <c r="O1363" s="108">
        <f>IF($B1363="","",IF($E1363="Lễ",N($H1363),0))</f>
        <v/>
      </c>
    </row>
    <row r="1364" ht="15" customHeight="1" s="63">
      <c r="A1364" s="85">
        <f>IF($B1364="","",ROW()-5)</f>
        <v/>
      </c>
      <c r="B1364" s="97" t="n"/>
      <c r="C1364" s="96">
        <f>IF($B1364="","",IFERROR(INDEX(DM_NHAN_SU!$C$6:$C$155,MATCH($B1364,DM_NHAN_SU!$B$6:$B$155,0)),"SAI MÃ NV"))</f>
        <v/>
      </c>
      <c r="D1364" s="86" t="n"/>
      <c r="E1364" s="103">
        <f>IF(OR($B1364="",$D1364=""),"",IF(COUNTIF(THAM_SO_CC!$F$10:$F$40,$D1364)&gt;0,"Lễ",IF(IF(THAM_SO_CC!$B$12="T7+CN",WEEKDAY($D1364,2)&gt;=6,WEEKDAY($D1364,2)=7),"Nghỉ tuần","Ngày thường")))</f>
        <v/>
      </c>
      <c r="F1364" s="107" t="n"/>
      <c r="G1364" s="107" t="n"/>
      <c r="H1364" s="107" t="n"/>
      <c r="I1364" s="81" t="n"/>
      <c r="J1364" s="108">
        <f>IF($B1364="","",IF($E1364="Ngày thường",N($G1364),0))</f>
        <v/>
      </c>
      <c r="K1364" s="108">
        <f>IF($B1364="","",IF($E1364="Nghỉ tuần",N($G1364),0))</f>
        <v/>
      </c>
      <c r="L1364" s="108">
        <f>IF($B1364="","",IF($E1364="Lễ",N($G1364),0))</f>
        <v/>
      </c>
      <c r="M1364" s="108">
        <f>IF($B1364="","",IF($E1364="Ngày thường",N($H1364),0))</f>
        <v/>
      </c>
      <c r="N1364" s="108">
        <f>IF($B1364="","",IF($E1364="Nghỉ tuần",N($H1364),0))</f>
        <v/>
      </c>
      <c r="O1364" s="108">
        <f>IF($B1364="","",IF($E1364="Lễ",N($H1364),0))</f>
        <v/>
      </c>
    </row>
    <row r="1365" ht="15" customHeight="1" s="63">
      <c r="A1365" s="85">
        <f>IF($B1365="","",ROW()-5)</f>
        <v/>
      </c>
      <c r="B1365" s="97" t="n"/>
      <c r="C1365" s="96">
        <f>IF($B1365="","",IFERROR(INDEX(DM_NHAN_SU!$C$6:$C$155,MATCH($B1365,DM_NHAN_SU!$B$6:$B$155,0)),"SAI MÃ NV"))</f>
        <v/>
      </c>
      <c r="D1365" s="86" t="n"/>
      <c r="E1365" s="103">
        <f>IF(OR($B1365="",$D1365=""),"",IF(COUNTIF(THAM_SO_CC!$F$10:$F$40,$D1365)&gt;0,"Lễ",IF(IF(THAM_SO_CC!$B$12="T7+CN",WEEKDAY($D1365,2)&gt;=6,WEEKDAY($D1365,2)=7),"Nghỉ tuần","Ngày thường")))</f>
        <v/>
      </c>
      <c r="F1365" s="107" t="n"/>
      <c r="G1365" s="107" t="n"/>
      <c r="H1365" s="107" t="n"/>
      <c r="I1365" s="81" t="n"/>
      <c r="J1365" s="108">
        <f>IF($B1365="","",IF($E1365="Ngày thường",N($G1365),0))</f>
        <v/>
      </c>
      <c r="K1365" s="108">
        <f>IF($B1365="","",IF($E1365="Nghỉ tuần",N($G1365),0))</f>
        <v/>
      </c>
      <c r="L1365" s="108">
        <f>IF($B1365="","",IF($E1365="Lễ",N($G1365),0))</f>
        <v/>
      </c>
      <c r="M1365" s="108">
        <f>IF($B1365="","",IF($E1365="Ngày thường",N($H1365),0))</f>
        <v/>
      </c>
      <c r="N1365" s="108">
        <f>IF($B1365="","",IF($E1365="Nghỉ tuần",N($H1365),0))</f>
        <v/>
      </c>
      <c r="O1365" s="108">
        <f>IF($B1365="","",IF($E1365="Lễ",N($H1365),0))</f>
        <v/>
      </c>
    </row>
    <row r="1366" ht="15" customHeight="1" s="63">
      <c r="A1366" s="85">
        <f>IF($B1366="","",ROW()-5)</f>
        <v/>
      </c>
      <c r="B1366" s="97" t="n"/>
      <c r="C1366" s="96">
        <f>IF($B1366="","",IFERROR(INDEX(DM_NHAN_SU!$C$6:$C$155,MATCH($B1366,DM_NHAN_SU!$B$6:$B$155,0)),"SAI MÃ NV"))</f>
        <v/>
      </c>
      <c r="D1366" s="86" t="n"/>
      <c r="E1366" s="103">
        <f>IF(OR($B1366="",$D1366=""),"",IF(COUNTIF(THAM_SO_CC!$F$10:$F$40,$D1366)&gt;0,"Lễ",IF(IF(THAM_SO_CC!$B$12="T7+CN",WEEKDAY($D1366,2)&gt;=6,WEEKDAY($D1366,2)=7),"Nghỉ tuần","Ngày thường")))</f>
        <v/>
      </c>
      <c r="F1366" s="107" t="n"/>
      <c r="G1366" s="107" t="n"/>
      <c r="H1366" s="107" t="n"/>
      <c r="I1366" s="81" t="n"/>
      <c r="J1366" s="108">
        <f>IF($B1366="","",IF($E1366="Ngày thường",N($G1366),0))</f>
        <v/>
      </c>
      <c r="K1366" s="108">
        <f>IF($B1366="","",IF($E1366="Nghỉ tuần",N($G1366),0))</f>
        <v/>
      </c>
      <c r="L1366" s="108">
        <f>IF($B1366="","",IF($E1366="Lễ",N($G1366),0))</f>
        <v/>
      </c>
      <c r="M1366" s="108">
        <f>IF($B1366="","",IF($E1366="Ngày thường",N($H1366),0))</f>
        <v/>
      </c>
      <c r="N1366" s="108">
        <f>IF($B1366="","",IF($E1366="Nghỉ tuần",N($H1366),0))</f>
        <v/>
      </c>
      <c r="O1366" s="108">
        <f>IF($B1366="","",IF($E1366="Lễ",N($H1366),0))</f>
        <v/>
      </c>
    </row>
    <row r="1367" ht="15" customHeight="1" s="63">
      <c r="A1367" s="85">
        <f>IF($B1367="","",ROW()-5)</f>
        <v/>
      </c>
      <c r="B1367" s="97" t="n"/>
      <c r="C1367" s="96">
        <f>IF($B1367="","",IFERROR(INDEX(DM_NHAN_SU!$C$6:$C$155,MATCH($B1367,DM_NHAN_SU!$B$6:$B$155,0)),"SAI MÃ NV"))</f>
        <v/>
      </c>
      <c r="D1367" s="86" t="n"/>
      <c r="E1367" s="103">
        <f>IF(OR($B1367="",$D1367=""),"",IF(COUNTIF(THAM_SO_CC!$F$10:$F$40,$D1367)&gt;0,"Lễ",IF(IF(THAM_SO_CC!$B$12="T7+CN",WEEKDAY($D1367,2)&gt;=6,WEEKDAY($D1367,2)=7),"Nghỉ tuần","Ngày thường")))</f>
        <v/>
      </c>
      <c r="F1367" s="107" t="n"/>
      <c r="G1367" s="107" t="n"/>
      <c r="H1367" s="107" t="n"/>
      <c r="I1367" s="81" t="n"/>
      <c r="J1367" s="108">
        <f>IF($B1367="","",IF($E1367="Ngày thường",N($G1367),0))</f>
        <v/>
      </c>
      <c r="K1367" s="108">
        <f>IF($B1367="","",IF($E1367="Nghỉ tuần",N($G1367),0))</f>
        <v/>
      </c>
      <c r="L1367" s="108">
        <f>IF($B1367="","",IF($E1367="Lễ",N($G1367),0))</f>
        <v/>
      </c>
      <c r="M1367" s="108">
        <f>IF($B1367="","",IF($E1367="Ngày thường",N($H1367),0))</f>
        <v/>
      </c>
      <c r="N1367" s="108">
        <f>IF($B1367="","",IF($E1367="Nghỉ tuần",N($H1367),0))</f>
        <v/>
      </c>
      <c r="O1367" s="108">
        <f>IF($B1367="","",IF($E1367="Lễ",N($H1367),0))</f>
        <v/>
      </c>
    </row>
    <row r="1368" ht="15" customHeight="1" s="63">
      <c r="A1368" s="85">
        <f>IF($B1368="","",ROW()-5)</f>
        <v/>
      </c>
      <c r="B1368" s="97" t="n"/>
      <c r="C1368" s="96">
        <f>IF($B1368="","",IFERROR(INDEX(DM_NHAN_SU!$C$6:$C$155,MATCH($B1368,DM_NHAN_SU!$B$6:$B$155,0)),"SAI MÃ NV"))</f>
        <v/>
      </c>
      <c r="D1368" s="86" t="n"/>
      <c r="E1368" s="103">
        <f>IF(OR($B1368="",$D1368=""),"",IF(COUNTIF(THAM_SO_CC!$F$10:$F$40,$D1368)&gt;0,"Lễ",IF(IF(THAM_SO_CC!$B$12="T7+CN",WEEKDAY($D1368,2)&gt;=6,WEEKDAY($D1368,2)=7),"Nghỉ tuần","Ngày thường")))</f>
        <v/>
      </c>
      <c r="F1368" s="107" t="n"/>
      <c r="G1368" s="107" t="n"/>
      <c r="H1368" s="107" t="n"/>
      <c r="I1368" s="81" t="n"/>
      <c r="J1368" s="108">
        <f>IF($B1368="","",IF($E1368="Ngày thường",N($G1368),0))</f>
        <v/>
      </c>
      <c r="K1368" s="108">
        <f>IF($B1368="","",IF($E1368="Nghỉ tuần",N($G1368),0))</f>
        <v/>
      </c>
      <c r="L1368" s="108">
        <f>IF($B1368="","",IF($E1368="Lễ",N($G1368),0))</f>
        <v/>
      </c>
      <c r="M1368" s="108">
        <f>IF($B1368="","",IF($E1368="Ngày thường",N($H1368),0))</f>
        <v/>
      </c>
      <c r="N1368" s="108">
        <f>IF($B1368="","",IF($E1368="Nghỉ tuần",N($H1368),0))</f>
        <v/>
      </c>
      <c r="O1368" s="108">
        <f>IF($B1368="","",IF($E1368="Lễ",N($H1368),0))</f>
        <v/>
      </c>
    </row>
    <row r="1369" ht="15" customHeight="1" s="63">
      <c r="A1369" s="85">
        <f>IF($B1369="","",ROW()-5)</f>
        <v/>
      </c>
      <c r="B1369" s="97" t="n"/>
      <c r="C1369" s="96">
        <f>IF($B1369="","",IFERROR(INDEX(DM_NHAN_SU!$C$6:$C$155,MATCH($B1369,DM_NHAN_SU!$B$6:$B$155,0)),"SAI MÃ NV"))</f>
        <v/>
      </c>
      <c r="D1369" s="86" t="n"/>
      <c r="E1369" s="103">
        <f>IF(OR($B1369="",$D1369=""),"",IF(COUNTIF(THAM_SO_CC!$F$10:$F$40,$D1369)&gt;0,"Lễ",IF(IF(THAM_SO_CC!$B$12="T7+CN",WEEKDAY($D1369,2)&gt;=6,WEEKDAY($D1369,2)=7),"Nghỉ tuần","Ngày thường")))</f>
        <v/>
      </c>
      <c r="F1369" s="107" t="n"/>
      <c r="G1369" s="107" t="n"/>
      <c r="H1369" s="107" t="n"/>
      <c r="I1369" s="81" t="n"/>
      <c r="J1369" s="108">
        <f>IF($B1369="","",IF($E1369="Ngày thường",N($G1369),0))</f>
        <v/>
      </c>
      <c r="K1369" s="108">
        <f>IF($B1369="","",IF($E1369="Nghỉ tuần",N($G1369),0))</f>
        <v/>
      </c>
      <c r="L1369" s="108">
        <f>IF($B1369="","",IF($E1369="Lễ",N($G1369),0))</f>
        <v/>
      </c>
      <c r="M1369" s="108">
        <f>IF($B1369="","",IF($E1369="Ngày thường",N($H1369),0))</f>
        <v/>
      </c>
      <c r="N1369" s="108">
        <f>IF($B1369="","",IF($E1369="Nghỉ tuần",N($H1369),0))</f>
        <v/>
      </c>
      <c r="O1369" s="108">
        <f>IF($B1369="","",IF($E1369="Lễ",N($H1369),0))</f>
        <v/>
      </c>
    </row>
    <row r="1370" ht="15" customHeight="1" s="63">
      <c r="A1370" s="85">
        <f>IF($B1370="","",ROW()-5)</f>
        <v/>
      </c>
      <c r="B1370" s="97" t="n"/>
      <c r="C1370" s="96">
        <f>IF($B1370="","",IFERROR(INDEX(DM_NHAN_SU!$C$6:$C$155,MATCH($B1370,DM_NHAN_SU!$B$6:$B$155,0)),"SAI MÃ NV"))</f>
        <v/>
      </c>
      <c r="D1370" s="86" t="n"/>
      <c r="E1370" s="103">
        <f>IF(OR($B1370="",$D1370=""),"",IF(COUNTIF(THAM_SO_CC!$F$10:$F$40,$D1370)&gt;0,"Lễ",IF(IF(THAM_SO_CC!$B$12="T7+CN",WEEKDAY($D1370,2)&gt;=6,WEEKDAY($D1370,2)=7),"Nghỉ tuần","Ngày thường")))</f>
        <v/>
      </c>
      <c r="F1370" s="107" t="n"/>
      <c r="G1370" s="107" t="n"/>
      <c r="H1370" s="107" t="n"/>
      <c r="I1370" s="81" t="n"/>
      <c r="J1370" s="108">
        <f>IF($B1370="","",IF($E1370="Ngày thường",N($G1370),0))</f>
        <v/>
      </c>
      <c r="K1370" s="108">
        <f>IF($B1370="","",IF($E1370="Nghỉ tuần",N($G1370),0))</f>
        <v/>
      </c>
      <c r="L1370" s="108">
        <f>IF($B1370="","",IF($E1370="Lễ",N($G1370),0))</f>
        <v/>
      </c>
      <c r="M1370" s="108">
        <f>IF($B1370="","",IF($E1370="Ngày thường",N($H1370),0))</f>
        <v/>
      </c>
      <c r="N1370" s="108">
        <f>IF($B1370="","",IF($E1370="Nghỉ tuần",N($H1370),0))</f>
        <v/>
      </c>
      <c r="O1370" s="108">
        <f>IF($B1370="","",IF($E1370="Lễ",N($H1370),0))</f>
        <v/>
      </c>
    </row>
    <row r="1371" ht="15" customHeight="1" s="63">
      <c r="A1371" s="85">
        <f>IF($B1371="","",ROW()-5)</f>
        <v/>
      </c>
      <c r="B1371" s="97" t="n"/>
      <c r="C1371" s="96">
        <f>IF($B1371="","",IFERROR(INDEX(DM_NHAN_SU!$C$6:$C$155,MATCH($B1371,DM_NHAN_SU!$B$6:$B$155,0)),"SAI MÃ NV"))</f>
        <v/>
      </c>
      <c r="D1371" s="86" t="n"/>
      <c r="E1371" s="103">
        <f>IF(OR($B1371="",$D1371=""),"",IF(COUNTIF(THAM_SO_CC!$F$10:$F$40,$D1371)&gt;0,"Lễ",IF(IF(THAM_SO_CC!$B$12="T7+CN",WEEKDAY($D1371,2)&gt;=6,WEEKDAY($D1371,2)=7),"Nghỉ tuần","Ngày thường")))</f>
        <v/>
      </c>
      <c r="F1371" s="107" t="n"/>
      <c r="G1371" s="107" t="n"/>
      <c r="H1371" s="107" t="n"/>
      <c r="I1371" s="81" t="n"/>
      <c r="J1371" s="108">
        <f>IF($B1371="","",IF($E1371="Ngày thường",N($G1371),0))</f>
        <v/>
      </c>
      <c r="K1371" s="108">
        <f>IF($B1371="","",IF($E1371="Nghỉ tuần",N($G1371),0))</f>
        <v/>
      </c>
      <c r="L1371" s="108">
        <f>IF($B1371="","",IF($E1371="Lễ",N($G1371),0))</f>
        <v/>
      </c>
      <c r="M1371" s="108">
        <f>IF($B1371="","",IF($E1371="Ngày thường",N($H1371),0))</f>
        <v/>
      </c>
      <c r="N1371" s="108">
        <f>IF($B1371="","",IF($E1371="Nghỉ tuần",N($H1371),0))</f>
        <v/>
      </c>
      <c r="O1371" s="108">
        <f>IF($B1371="","",IF($E1371="Lễ",N($H1371),0))</f>
        <v/>
      </c>
    </row>
    <row r="1372" ht="15" customHeight="1" s="63">
      <c r="A1372" s="85">
        <f>IF($B1372="","",ROW()-5)</f>
        <v/>
      </c>
      <c r="B1372" s="97" t="n"/>
      <c r="C1372" s="96">
        <f>IF($B1372="","",IFERROR(INDEX(DM_NHAN_SU!$C$6:$C$155,MATCH($B1372,DM_NHAN_SU!$B$6:$B$155,0)),"SAI MÃ NV"))</f>
        <v/>
      </c>
      <c r="D1372" s="86" t="n"/>
      <c r="E1372" s="103">
        <f>IF(OR($B1372="",$D1372=""),"",IF(COUNTIF(THAM_SO_CC!$F$10:$F$40,$D1372)&gt;0,"Lễ",IF(IF(THAM_SO_CC!$B$12="T7+CN",WEEKDAY($D1372,2)&gt;=6,WEEKDAY($D1372,2)=7),"Nghỉ tuần","Ngày thường")))</f>
        <v/>
      </c>
      <c r="F1372" s="107" t="n"/>
      <c r="G1372" s="107" t="n"/>
      <c r="H1372" s="107" t="n"/>
      <c r="I1372" s="81" t="n"/>
      <c r="J1372" s="108">
        <f>IF($B1372="","",IF($E1372="Ngày thường",N($G1372),0))</f>
        <v/>
      </c>
      <c r="K1372" s="108">
        <f>IF($B1372="","",IF($E1372="Nghỉ tuần",N($G1372),0))</f>
        <v/>
      </c>
      <c r="L1372" s="108">
        <f>IF($B1372="","",IF($E1372="Lễ",N($G1372),0))</f>
        <v/>
      </c>
      <c r="M1372" s="108">
        <f>IF($B1372="","",IF($E1372="Ngày thường",N($H1372),0))</f>
        <v/>
      </c>
      <c r="N1372" s="108">
        <f>IF($B1372="","",IF($E1372="Nghỉ tuần",N($H1372),0))</f>
        <v/>
      </c>
      <c r="O1372" s="108">
        <f>IF($B1372="","",IF($E1372="Lễ",N($H1372),0))</f>
        <v/>
      </c>
    </row>
    <row r="1373" ht="15" customHeight="1" s="63">
      <c r="A1373" s="85">
        <f>IF($B1373="","",ROW()-5)</f>
        <v/>
      </c>
      <c r="B1373" s="97" t="n"/>
      <c r="C1373" s="96">
        <f>IF($B1373="","",IFERROR(INDEX(DM_NHAN_SU!$C$6:$C$155,MATCH($B1373,DM_NHAN_SU!$B$6:$B$155,0)),"SAI MÃ NV"))</f>
        <v/>
      </c>
      <c r="D1373" s="86" t="n"/>
      <c r="E1373" s="103">
        <f>IF(OR($B1373="",$D1373=""),"",IF(COUNTIF(THAM_SO_CC!$F$10:$F$40,$D1373)&gt;0,"Lễ",IF(IF(THAM_SO_CC!$B$12="T7+CN",WEEKDAY($D1373,2)&gt;=6,WEEKDAY($D1373,2)=7),"Nghỉ tuần","Ngày thường")))</f>
        <v/>
      </c>
      <c r="F1373" s="107" t="n"/>
      <c r="G1373" s="107" t="n"/>
      <c r="H1373" s="107" t="n"/>
      <c r="I1373" s="81" t="n"/>
      <c r="J1373" s="108">
        <f>IF($B1373="","",IF($E1373="Ngày thường",N($G1373),0))</f>
        <v/>
      </c>
      <c r="K1373" s="108">
        <f>IF($B1373="","",IF($E1373="Nghỉ tuần",N($G1373),0))</f>
        <v/>
      </c>
      <c r="L1373" s="108">
        <f>IF($B1373="","",IF($E1373="Lễ",N($G1373),0))</f>
        <v/>
      </c>
      <c r="M1373" s="108">
        <f>IF($B1373="","",IF($E1373="Ngày thường",N($H1373),0))</f>
        <v/>
      </c>
      <c r="N1373" s="108">
        <f>IF($B1373="","",IF($E1373="Nghỉ tuần",N($H1373),0))</f>
        <v/>
      </c>
      <c r="O1373" s="108">
        <f>IF($B1373="","",IF($E1373="Lễ",N($H1373),0))</f>
        <v/>
      </c>
    </row>
    <row r="1374" ht="15" customHeight="1" s="63">
      <c r="A1374" s="85">
        <f>IF($B1374="","",ROW()-5)</f>
        <v/>
      </c>
      <c r="B1374" s="97" t="n"/>
      <c r="C1374" s="96">
        <f>IF($B1374="","",IFERROR(INDEX(DM_NHAN_SU!$C$6:$C$155,MATCH($B1374,DM_NHAN_SU!$B$6:$B$155,0)),"SAI MÃ NV"))</f>
        <v/>
      </c>
      <c r="D1374" s="86" t="n"/>
      <c r="E1374" s="103">
        <f>IF(OR($B1374="",$D1374=""),"",IF(COUNTIF(THAM_SO_CC!$F$10:$F$40,$D1374)&gt;0,"Lễ",IF(IF(THAM_SO_CC!$B$12="T7+CN",WEEKDAY($D1374,2)&gt;=6,WEEKDAY($D1374,2)=7),"Nghỉ tuần","Ngày thường")))</f>
        <v/>
      </c>
      <c r="F1374" s="107" t="n"/>
      <c r="G1374" s="107" t="n"/>
      <c r="H1374" s="107" t="n"/>
      <c r="I1374" s="81" t="n"/>
      <c r="J1374" s="108">
        <f>IF($B1374="","",IF($E1374="Ngày thường",N($G1374),0))</f>
        <v/>
      </c>
      <c r="K1374" s="108">
        <f>IF($B1374="","",IF($E1374="Nghỉ tuần",N($G1374),0))</f>
        <v/>
      </c>
      <c r="L1374" s="108">
        <f>IF($B1374="","",IF($E1374="Lễ",N($G1374),0))</f>
        <v/>
      </c>
      <c r="M1374" s="108">
        <f>IF($B1374="","",IF($E1374="Ngày thường",N($H1374),0))</f>
        <v/>
      </c>
      <c r="N1374" s="108">
        <f>IF($B1374="","",IF($E1374="Nghỉ tuần",N($H1374),0))</f>
        <v/>
      </c>
      <c r="O1374" s="108">
        <f>IF($B1374="","",IF($E1374="Lễ",N($H1374),0))</f>
        <v/>
      </c>
    </row>
    <row r="1375" ht="15" customHeight="1" s="63">
      <c r="A1375" s="85">
        <f>IF($B1375="","",ROW()-5)</f>
        <v/>
      </c>
      <c r="B1375" s="97" t="n"/>
      <c r="C1375" s="96">
        <f>IF($B1375="","",IFERROR(INDEX(DM_NHAN_SU!$C$6:$C$155,MATCH($B1375,DM_NHAN_SU!$B$6:$B$155,0)),"SAI MÃ NV"))</f>
        <v/>
      </c>
      <c r="D1375" s="86" t="n"/>
      <c r="E1375" s="103">
        <f>IF(OR($B1375="",$D1375=""),"",IF(COUNTIF(THAM_SO_CC!$F$10:$F$40,$D1375)&gt;0,"Lễ",IF(IF(THAM_SO_CC!$B$12="T7+CN",WEEKDAY($D1375,2)&gt;=6,WEEKDAY($D1375,2)=7),"Nghỉ tuần","Ngày thường")))</f>
        <v/>
      </c>
      <c r="F1375" s="107" t="n"/>
      <c r="G1375" s="107" t="n"/>
      <c r="H1375" s="107" t="n"/>
      <c r="I1375" s="81" t="n"/>
      <c r="J1375" s="108">
        <f>IF($B1375="","",IF($E1375="Ngày thường",N($G1375),0))</f>
        <v/>
      </c>
      <c r="K1375" s="108">
        <f>IF($B1375="","",IF($E1375="Nghỉ tuần",N($G1375),0))</f>
        <v/>
      </c>
      <c r="L1375" s="108">
        <f>IF($B1375="","",IF($E1375="Lễ",N($G1375),0))</f>
        <v/>
      </c>
      <c r="M1375" s="108">
        <f>IF($B1375="","",IF($E1375="Ngày thường",N($H1375),0))</f>
        <v/>
      </c>
      <c r="N1375" s="108">
        <f>IF($B1375="","",IF($E1375="Nghỉ tuần",N($H1375),0))</f>
        <v/>
      </c>
      <c r="O1375" s="108">
        <f>IF($B1375="","",IF($E1375="Lễ",N($H1375),0))</f>
        <v/>
      </c>
    </row>
    <row r="1376" ht="15" customHeight="1" s="63">
      <c r="A1376" s="85">
        <f>IF($B1376="","",ROW()-5)</f>
        <v/>
      </c>
      <c r="B1376" s="97" t="n"/>
      <c r="C1376" s="96">
        <f>IF($B1376="","",IFERROR(INDEX(DM_NHAN_SU!$C$6:$C$155,MATCH($B1376,DM_NHAN_SU!$B$6:$B$155,0)),"SAI MÃ NV"))</f>
        <v/>
      </c>
      <c r="D1376" s="86" t="n"/>
      <c r="E1376" s="103">
        <f>IF(OR($B1376="",$D1376=""),"",IF(COUNTIF(THAM_SO_CC!$F$10:$F$40,$D1376)&gt;0,"Lễ",IF(IF(THAM_SO_CC!$B$12="T7+CN",WEEKDAY($D1376,2)&gt;=6,WEEKDAY($D1376,2)=7),"Nghỉ tuần","Ngày thường")))</f>
        <v/>
      </c>
      <c r="F1376" s="107" t="n"/>
      <c r="G1376" s="107" t="n"/>
      <c r="H1376" s="107" t="n"/>
      <c r="I1376" s="81" t="n"/>
      <c r="J1376" s="108">
        <f>IF($B1376="","",IF($E1376="Ngày thường",N($G1376),0))</f>
        <v/>
      </c>
      <c r="K1376" s="108">
        <f>IF($B1376="","",IF($E1376="Nghỉ tuần",N($G1376),0))</f>
        <v/>
      </c>
      <c r="L1376" s="108">
        <f>IF($B1376="","",IF($E1376="Lễ",N($G1376),0))</f>
        <v/>
      </c>
      <c r="M1376" s="108">
        <f>IF($B1376="","",IF($E1376="Ngày thường",N($H1376),0))</f>
        <v/>
      </c>
      <c r="N1376" s="108">
        <f>IF($B1376="","",IF($E1376="Nghỉ tuần",N($H1376),0))</f>
        <v/>
      </c>
      <c r="O1376" s="108">
        <f>IF($B1376="","",IF($E1376="Lễ",N($H1376),0))</f>
        <v/>
      </c>
    </row>
    <row r="1377" ht="15" customHeight="1" s="63">
      <c r="A1377" s="85">
        <f>IF($B1377="","",ROW()-5)</f>
        <v/>
      </c>
      <c r="B1377" s="97" t="n"/>
      <c r="C1377" s="96">
        <f>IF($B1377="","",IFERROR(INDEX(DM_NHAN_SU!$C$6:$C$155,MATCH($B1377,DM_NHAN_SU!$B$6:$B$155,0)),"SAI MÃ NV"))</f>
        <v/>
      </c>
      <c r="D1377" s="86" t="n"/>
      <c r="E1377" s="103">
        <f>IF(OR($B1377="",$D1377=""),"",IF(COUNTIF(THAM_SO_CC!$F$10:$F$40,$D1377)&gt;0,"Lễ",IF(IF(THAM_SO_CC!$B$12="T7+CN",WEEKDAY($D1377,2)&gt;=6,WEEKDAY($D1377,2)=7),"Nghỉ tuần","Ngày thường")))</f>
        <v/>
      </c>
      <c r="F1377" s="107" t="n"/>
      <c r="G1377" s="107" t="n"/>
      <c r="H1377" s="107" t="n"/>
      <c r="I1377" s="81" t="n"/>
      <c r="J1377" s="108">
        <f>IF($B1377="","",IF($E1377="Ngày thường",N($G1377),0))</f>
        <v/>
      </c>
      <c r="K1377" s="108">
        <f>IF($B1377="","",IF($E1377="Nghỉ tuần",N($G1377),0))</f>
        <v/>
      </c>
      <c r="L1377" s="108">
        <f>IF($B1377="","",IF($E1377="Lễ",N($G1377),0))</f>
        <v/>
      </c>
      <c r="M1377" s="108">
        <f>IF($B1377="","",IF($E1377="Ngày thường",N($H1377),0))</f>
        <v/>
      </c>
      <c r="N1377" s="108">
        <f>IF($B1377="","",IF($E1377="Nghỉ tuần",N($H1377),0))</f>
        <v/>
      </c>
      <c r="O1377" s="108">
        <f>IF($B1377="","",IF($E1377="Lễ",N($H1377),0))</f>
        <v/>
      </c>
    </row>
    <row r="1378" ht="15" customHeight="1" s="63">
      <c r="A1378" s="85">
        <f>IF($B1378="","",ROW()-5)</f>
        <v/>
      </c>
      <c r="B1378" s="97" t="n"/>
      <c r="C1378" s="96">
        <f>IF($B1378="","",IFERROR(INDEX(DM_NHAN_SU!$C$6:$C$155,MATCH($B1378,DM_NHAN_SU!$B$6:$B$155,0)),"SAI MÃ NV"))</f>
        <v/>
      </c>
      <c r="D1378" s="86" t="n"/>
      <c r="E1378" s="103">
        <f>IF(OR($B1378="",$D1378=""),"",IF(COUNTIF(THAM_SO_CC!$F$10:$F$40,$D1378)&gt;0,"Lễ",IF(IF(THAM_SO_CC!$B$12="T7+CN",WEEKDAY($D1378,2)&gt;=6,WEEKDAY($D1378,2)=7),"Nghỉ tuần","Ngày thường")))</f>
        <v/>
      </c>
      <c r="F1378" s="107" t="n"/>
      <c r="G1378" s="107" t="n"/>
      <c r="H1378" s="107" t="n"/>
      <c r="I1378" s="81" t="n"/>
      <c r="J1378" s="108">
        <f>IF($B1378="","",IF($E1378="Ngày thường",N($G1378),0))</f>
        <v/>
      </c>
      <c r="K1378" s="108">
        <f>IF($B1378="","",IF($E1378="Nghỉ tuần",N($G1378),0))</f>
        <v/>
      </c>
      <c r="L1378" s="108">
        <f>IF($B1378="","",IF($E1378="Lễ",N($G1378),0))</f>
        <v/>
      </c>
      <c r="M1378" s="108">
        <f>IF($B1378="","",IF($E1378="Ngày thường",N($H1378),0))</f>
        <v/>
      </c>
      <c r="N1378" s="108">
        <f>IF($B1378="","",IF($E1378="Nghỉ tuần",N($H1378),0))</f>
        <v/>
      </c>
      <c r="O1378" s="108">
        <f>IF($B1378="","",IF($E1378="Lễ",N($H1378),0))</f>
        <v/>
      </c>
    </row>
    <row r="1379" ht="15" customHeight="1" s="63">
      <c r="A1379" s="85">
        <f>IF($B1379="","",ROW()-5)</f>
        <v/>
      </c>
      <c r="B1379" s="97" t="n"/>
      <c r="C1379" s="96">
        <f>IF($B1379="","",IFERROR(INDEX(DM_NHAN_SU!$C$6:$C$155,MATCH($B1379,DM_NHAN_SU!$B$6:$B$155,0)),"SAI MÃ NV"))</f>
        <v/>
      </c>
      <c r="D1379" s="86" t="n"/>
      <c r="E1379" s="103">
        <f>IF(OR($B1379="",$D1379=""),"",IF(COUNTIF(THAM_SO_CC!$F$10:$F$40,$D1379)&gt;0,"Lễ",IF(IF(THAM_SO_CC!$B$12="T7+CN",WEEKDAY($D1379,2)&gt;=6,WEEKDAY($D1379,2)=7),"Nghỉ tuần","Ngày thường")))</f>
        <v/>
      </c>
      <c r="F1379" s="107" t="n"/>
      <c r="G1379" s="107" t="n"/>
      <c r="H1379" s="107" t="n"/>
      <c r="I1379" s="81" t="n"/>
      <c r="J1379" s="108">
        <f>IF($B1379="","",IF($E1379="Ngày thường",N($G1379),0))</f>
        <v/>
      </c>
      <c r="K1379" s="108">
        <f>IF($B1379="","",IF($E1379="Nghỉ tuần",N($G1379),0))</f>
        <v/>
      </c>
      <c r="L1379" s="108">
        <f>IF($B1379="","",IF($E1379="Lễ",N($G1379),0))</f>
        <v/>
      </c>
      <c r="M1379" s="108">
        <f>IF($B1379="","",IF($E1379="Ngày thường",N($H1379),0))</f>
        <v/>
      </c>
      <c r="N1379" s="108">
        <f>IF($B1379="","",IF($E1379="Nghỉ tuần",N($H1379),0))</f>
        <v/>
      </c>
      <c r="O1379" s="108">
        <f>IF($B1379="","",IF($E1379="Lễ",N($H1379),0))</f>
        <v/>
      </c>
    </row>
    <row r="1380" ht="15" customHeight="1" s="63">
      <c r="A1380" s="85">
        <f>IF($B1380="","",ROW()-5)</f>
        <v/>
      </c>
      <c r="B1380" s="97" t="n"/>
      <c r="C1380" s="96">
        <f>IF($B1380="","",IFERROR(INDEX(DM_NHAN_SU!$C$6:$C$155,MATCH($B1380,DM_NHAN_SU!$B$6:$B$155,0)),"SAI MÃ NV"))</f>
        <v/>
      </c>
      <c r="D1380" s="86" t="n"/>
      <c r="E1380" s="103">
        <f>IF(OR($B1380="",$D1380=""),"",IF(COUNTIF(THAM_SO_CC!$F$10:$F$40,$D1380)&gt;0,"Lễ",IF(IF(THAM_SO_CC!$B$12="T7+CN",WEEKDAY($D1380,2)&gt;=6,WEEKDAY($D1380,2)=7),"Nghỉ tuần","Ngày thường")))</f>
        <v/>
      </c>
      <c r="F1380" s="107" t="n"/>
      <c r="G1380" s="107" t="n"/>
      <c r="H1380" s="107" t="n"/>
      <c r="I1380" s="81" t="n"/>
      <c r="J1380" s="108">
        <f>IF($B1380="","",IF($E1380="Ngày thường",N($G1380),0))</f>
        <v/>
      </c>
      <c r="K1380" s="108">
        <f>IF($B1380="","",IF($E1380="Nghỉ tuần",N($G1380),0))</f>
        <v/>
      </c>
      <c r="L1380" s="108">
        <f>IF($B1380="","",IF($E1380="Lễ",N($G1380),0))</f>
        <v/>
      </c>
      <c r="M1380" s="108">
        <f>IF($B1380="","",IF($E1380="Ngày thường",N($H1380),0))</f>
        <v/>
      </c>
      <c r="N1380" s="108">
        <f>IF($B1380="","",IF($E1380="Nghỉ tuần",N($H1380),0))</f>
        <v/>
      </c>
      <c r="O1380" s="108">
        <f>IF($B1380="","",IF($E1380="Lễ",N($H1380),0))</f>
        <v/>
      </c>
    </row>
    <row r="1381" ht="15" customHeight="1" s="63">
      <c r="A1381" s="85">
        <f>IF($B1381="","",ROW()-5)</f>
        <v/>
      </c>
      <c r="B1381" s="97" t="n"/>
      <c r="C1381" s="96">
        <f>IF($B1381="","",IFERROR(INDEX(DM_NHAN_SU!$C$6:$C$155,MATCH($B1381,DM_NHAN_SU!$B$6:$B$155,0)),"SAI MÃ NV"))</f>
        <v/>
      </c>
      <c r="D1381" s="86" t="n"/>
      <c r="E1381" s="103">
        <f>IF(OR($B1381="",$D1381=""),"",IF(COUNTIF(THAM_SO_CC!$F$10:$F$40,$D1381)&gt;0,"Lễ",IF(IF(THAM_SO_CC!$B$12="T7+CN",WEEKDAY($D1381,2)&gt;=6,WEEKDAY($D1381,2)=7),"Nghỉ tuần","Ngày thường")))</f>
        <v/>
      </c>
      <c r="F1381" s="107" t="n"/>
      <c r="G1381" s="107" t="n"/>
      <c r="H1381" s="107" t="n"/>
      <c r="I1381" s="81" t="n"/>
      <c r="J1381" s="108">
        <f>IF($B1381="","",IF($E1381="Ngày thường",N($G1381),0))</f>
        <v/>
      </c>
      <c r="K1381" s="108">
        <f>IF($B1381="","",IF($E1381="Nghỉ tuần",N($G1381),0))</f>
        <v/>
      </c>
      <c r="L1381" s="108">
        <f>IF($B1381="","",IF($E1381="Lễ",N($G1381),0))</f>
        <v/>
      </c>
      <c r="M1381" s="108">
        <f>IF($B1381="","",IF($E1381="Ngày thường",N($H1381),0))</f>
        <v/>
      </c>
      <c r="N1381" s="108">
        <f>IF($B1381="","",IF($E1381="Nghỉ tuần",N($H1381),0))</f>
        <v/>
      </c>
      <c r="O1381" s="108">
        <f>IF($B1381="","",IF($E1381="Lễ",N($H1381),0))</f>
        <v/>
      </c>
    </row>
    <row r="1382" ht="15" customHeight="1" s="63">
      <c r="A1382" s="85">
        <f>IF($B1382="","",ROW()-5)</f>
        <v/>
      </c>
      <c r="B1382" s="97" t="n"/>
      <c r="C1382" s="96">
        <f>IF($B1382="","",IFERROR(INDEX(DM_NHAN_SU!$C$6:$C$155,MATCH($B1382,DM_NHAN_SU!$B$6:$B$155,0)),"SAI MÃ NV"))</f>
        <v/>
      </c>
      <c r="D1382" s="86" t="n"/>
      <c r="E1382" s="103">
        <f>IF(OR($B1382="",$D1382=""),"",IF(COUNTIF(THAM_SO_CC!$F$10:$F$40,$D1382)&gt;0,"Lễ",IF(IF(THAM_SO_CC!$B$12="T7+CN",WEEKDAY($D1382,2)&gt;=6,WEEKDAY($D1382,2)=7),"Nghỉ tuần","Ngày thường")))</f>
        <v/>
      </c>
      <c r="F1382" s="107" t="n"/>
      <c r="G1382" s="107" t="n"/>
      <c r="H1382" s="107" t="n"/>
      <c r="I1382" s="81" t="n"/>
      <c r="J1382" s="108">
        <f>IF($B1382="","",IF($E1382="Ngày thường",N($G1382),0))</f>
        <v/>
      </c>
      <c r="K1382" s="108">
        <f>IF($B1382="","",IF($E1382="Nghỉ tuần",N($G1382),0))</f>
        <v/>
      </c>
      <c r="L1382" s="108">
        <f>IF($B1382="","",IF($E1382="Lễ",N($G1382),0))</f>
        <v/>
      </c>
      <c r="M1382" s="108">
        <f>IF($B1382="","",IF($E1382="Ngày thường",N($H1382),0))</f>
        <v/>
      </c>
      <c r="N1382" s="108">
        <f>IF($B1382="","",IF($E1382="Nghỉ tuần",N($H1382),0))</f>
        <v/>
      </c>
      <c r="O1382" s="108">
        <f>IF($B1382="","",IF($E1382="Lễ",N($H1382),0))</f>
        <v/>
      </c>
    </row>
    <row r="1383" ht="15" customHeight="1" s="63">
      <c r="A1383" s="85">
        <f>IF($B1383="","",ROW()-5)</f>
        <v/>
      </c>
      <c r="B1383" s="97" t="n"/>
      <c r="C1383" s="96">
        <f>IF($B1383="","",IFERROR(INDEX(DM_NHAN_SU!$C$6:$C$155,MATCH($B1383,DM_NHAN_SU!$B$6:$B$155,0)),"SAI MÃ NV"))</f>
        <v/>
      </c>
      <c r="D1383" s="86" t="n"/>
      <c r="E1383" s="103">
        <f>IF(OR($B1383="",$D1383=""),"",IF(COUNTIF(THAM_SO_CC!$F$10:$F$40,$D1383)&gt;0,"Lễ",IF(IF(THAM_SO_CC!$B$12="T7+CN",WEEKDAY($D1383,2)&gt;=6,WEEKDAY($D1383,2)=7),"Nghỉ tuần","Ngày thường")))</f>
        <v/>
      </c>
      <c r="F1383" s="107" t="n"/>
      <c r="G1383" s="107" t="n"/>
      <c r="H1383" s="107" t="n"/>
      <c r="I1383" s="81" t="n"/>
      <c r="J1383" s="108">
        <f>IF($B1383="","",IF($E1383="Ngày thường",N($G1383),0))</f>
        <v/>
      </c>
      <c r="K1383" s="108">
        <f>IF($B1383="","",IF($E1383="Nghỉ tuần",N($G1383),0))</f>
        <v/>
      </c>
      <c r="L1383" s="108">
        <f>IF($B1383="","",IF($E1383="Lễ",N($G1383),0))</f>
        <v/>
      </c>
      <c r="M1383" s="108">
        <f>IF($B1383="","",IF($E1383="Ngày thường",N($H1383),0))</f>
        <v/>
      </c>
      <c r="N1383" s="108">
        <f>IF($B1383="","",IF($E1383="Nghỉ tuần",N($H1383),0))</f>
        <v/>
      </c>
      <c r="O1383" s="108">
        <f>IF($B1383="","",IF($E1383="Lễ",N($H1383),0))</f>
        <v/>
      </c>
    </row>
    <row r="1384" ht="15" customHeight="1" s="63">
      <c r="A1384" s="85">
        <f>IF($B1384="","",ROW()-5)</f>
        <v/>
      </c>
      <c r="B1384" s="97" t="n"/>
      <c r="C1384" s="96">
        <f>IF($B1384="","",IFERROR(INDEX(DM_NHAN_SU!$C$6:$C$155,MATCH($B1384,DM_NHAN_SU!$B$6:$B$155,0)),"SAI MÃ NV"))</f>
        <v/>
      </c>
      <c r="D1384" s="86" t="n"/>
      <c r="E1384" s="103">
        <f>IF(OR($B1384="",$D1384=""),"",IF(COUNTIF(THAM_SO_CC!$F$10:$F$40,$D1384)&gt;0,"Lễ",IF(IF(THAM_SO_CC!$B$12="T7+CN",WEEKDAY($D1384,2)&gt;=6,WEEKDAY($D1384,2)=7),"Nghỉ tuần","Ngày thường")))</f>
        <v/>
      </c>
      <c r="F1384" s="107" t="n"/>
      <c r="G1384" s="107" t="n"/>
      <c r="H1384" s="107" t="n"/>
      <c r="I1384" s="81" t="n"/>
      <c r="J1384" s="108">
        <f>IF($B1384="","",IF($E1384="Ngày thường",N($G1384),0))</f>
        <v/>
      </c>
      <c r="K1384" s="108">
        <f>IF($B1384="","",IF($E1384="Nghỉ tuần",N($G1384),0))</f>
        <v/>
      </c>
      <c r="L1384" s="108">
        <f>IF($B1384="","",IF($E1384="Lễ",N($G1384),0))</f>
        <v/>
      </c>
      <c r="M1384" s="108">
        <f>IF($B1384="","",IF($E1384="Ngày thường",N($H1384),0))</f>
        <v/>
      </c>
      <c r="N1384" s="108">
        <f>IF($B1384="","",IF($E1384="Nghỉ tuần",N($H1384),0))</f>
        <v/>
      </c>
      <c r="O1384" s="108">
        <f>IF($B1384="","",IF($E1384="Lễ",N($H1384),0))</f>
        <v/>
      </c>
    </row>
    <row r="1385" ht="15" customHeight="1" s="63">
      <c r="A1385" s="85">
        <f>IF($B1385="","",ROW()-5)</f>
        <v/>
      </c>
      <c r="B1385" s="97" t="n"/>
      <c r="C1385" s="96">
        <f>IF($B1385="","",IFERROR(INDEX(DM_NHAN_SU!$C$6:$C$155,MATCH($B1385,DM_NHAN_SU!$B$6:$B$155,0)),"SAI MÃ NV"))</f>
        <v/>
      </c>
      <c r="D1385" s="86" t="n"/>
      <c r="E1385" s="103">
        <f>IF(OR($B1385="",$D1385=""),"",IF(COUNTIF(THAM_SO_CC!$F$10:$F$40,$D1385)&gt;0,"Lễ",IF(IF(THAM_SO_CC!$B$12="T7+CN",WEEKDAY($D1385,2)&gt;=6,WEEKDAY($D1385,2)=7),"Nghỉ tuần","Ngày thường")))</f>
        <v/>
      </c>
      <c r="F1385" s="107" t="n"/>
      <c r="G1385" s="107" t="n"/>
      <c r="H1385" s="107" t="n"/>
      <c r="I1385" s="81" t="n"/>
      <c r="J1385" s="108">
        <f>IF($B1385="","",IF($E1385="Ngày thường",N($G1385),0))</f>
        <v/>
      </c>
      <c r="K1385" s="108">
        <f>IF($B1385="","",IF($E1385="Nghỉ tuần",N($G1385),0))</f>
        <v/>
      </c>
      <c r="L1385" s="108">
        <f>IF($B1385="","",IF($E1385="Lễ",N($G1385),0))</f>
        <v/>
      </c>
      <c r="M1385" s="108">
        <f>IF($B1385="","",IF($E1385="Ngày thường",N($H1385),0))</f>
        <v/>
      </c>
      <c r="N1385" s="108">
        <f>IF($B1385="","",IF($E1385="Nghỉ tuần",N($H1385),0))</f>
        <v/>
      </c>
      <c r="O1385" s="108">
        <f>IF($B1385="","",IF($E1385="Lễ",N($H1385),0))</f>
        <v/>
      </c>
    </row>
    <row r="1386" ht="15" customHeight="1" s="63">
      <c r="A1386" s="85">
        <f>IF($B1386="","",ROW()-5)</f>
        <v/>
      </c>
      <c r="B1386" s="97" t="n"/>
      <c r="C1386" s="96">
        <f>IF($B1386="","",IFERROR(INDEX(DM_NHAN_SU!$C$6:$C$155,MATCH($B1386,DM_NHAN_SU!$B$6:$B$155,0)),"SAI MÃ NV"))</f>
        <v/>
      </c>
      <c r="D1386" s="86" t="n"/>
      <c r="E1386" s="103">
        <f>IF(OR($B1386="",$D1386=""),"",IF(COUNTIF(THAM_SO_CC!$F$10:$F$40,$D1386)&gt;0,"Lễ",IF(IF(THAM_SO_CC!$B$12="T7+CN",WEEKDAY($D1386,2)&gt;=6,WEEKDAY($D1386,2)=7),"Nghỉ tuần","Ngày thường")))</f>
        <v/>
      </c>
      <c r="F1386" s="107" t="n"/>
      <c r="G1386" s="107" t="n"/>
      <c r="H1386" s="107" t="n"/>
      <c r="I1386" s="81" t="n"/>
      <c r="J1386" s="108">
        <f>IF($B1386="","",IF($E1386="Ngày thường",N($G1386),0))</f>
        <v/>
      </c>
      <c r="K1386" s="108">
        <f>IF($B1386="","",IF($E1386="Nghỉ tuần",N($G1386),0))</f>
        <v/>
      </c>
      <c r="L1386" s="108">
        <f>IF($B1386="","",IF($E1386="Lễ",N($G1386),0))</f>
        <v/>
      </c>
      <c r="M1386" s="108">
        <f>IF($B1386="","",IF($E1386="Ngày thường",N($H1386),0))</f>
        <v/>
      </c>
      <c r="N1386" s="108">
        <f>IF($B1386="","",IF($E1386="Nghỉ tuần",N($H1386),0))</f>
        <v/>
      </c>
      <c r="O1386" s="108">
        <f>IF($B1386="","",IF($E1386="Lễ",N($H1386),0))</f>
        <v/>
      </c>
    </row>
    <row r="1387" ht="15" customHeight="1" s="63">
      <c r="A1387" s="85">
        <f>IF($B1387="","",ROW()-5)</f>
        <v/>
      </c>
      <c r="B1387" s="97" t="n"/>
      <c r="C1387" s="96">
        <f>IF($B1387="","",IFERROR(INDEX(DM_NHAN_SU!$C$6:$C$155,MATCH($B1387,DM_NHAN_SU!$B$6:$B$155,0)),"SAI MÃ NV"))</f>
        <v/>
      </c>
      <c r="D1387" s="86" t="n"/>
      <c r="E1387" s="103">
        <f>IF(OR($B1387="",$D1387=""),"",IF(COUNTIF(THAM_SO_CC!$F$10:$F$40,$D1387)&gt;0,"Lễ",IF(IF(THAM_SO_CC!$B$12="T7+CN",WEEKDAY($D1387,2)&gt;=6,WEEKDAY($D1387,2)=7),"Nghỉ tuần","Ngày thường")))</f>
        <v/>
      </c>
      <c r="F1387" s="107" t="n"/>
      <c r="G1387" s="107" t="n"/>
      <c r="H1387" s="107" t="n"/>
      <c r="I1387" s="81" t="n"/>
      <c r="J1387" s="108">
        <f>IF($B1387="","",IF($E1387="Ngày thường",N($G1387),0))</f>
        <v/>
      </c>
      <c r="K1387" s="108">
        <f>IF($B1387="","",IF($E1387="Nghỉ tuần",N($G1387),0))</f>
        <v/>
      </c>
      <c r="L1387" s="108">
        <f>IF($B1387="","",IF($E1387="Lễ",N($G1387),0))</f>
        <v/>
      </c>
      <c r="M1387" s="108">
        <f>IF($B1387="","",IF($E1387="Ngày thường",N($H1387),0))</f>
        <v/>
      </c>
      <c r="N1387" s="108">
        <f>IF($B1387="","",IF($E1387="Nghỉ tuần",N($H1387),0))</f>
        <v/>
      </c>
      <c r="O1387" s="108">
        <f>IF($B1387="","",IF($E1387="Lễ",N($H1387),0))</f>
        <v/>
      </c>
    </row>
    <row r="1388" ht="15" customHeight="1" s="63">
      <c r="A1388" s="85">
        <f>IF($B1388="","",ROW()-5)</f>
        <v/>
      </c>
      <c r="B1388" s="97" t="n"/>
      <c r="C1388" s="96">
        <f>IF($B1388="","",IFERROR(INDEX(DM_NHAN_SU!$C$6:$C$155,MATCH($B1388,DM_NHAN_SU!$B$6:$B$155,0)),"SAI MÃ NV"))</f>
        <v/>
      </c>
      <c r="D1388" s="86" t="n"/>
      <c r="E1388" s="103">
        <f>IF(OR($B1388="",$D1388=""),"",IF(COUNTIF(THAM_SO_CC!$F$10:$F$40,$D1388)&gt;0,"Lễ",IF(IF(THAM_SO_CC!$B$12="T7+CN",WEEKDAY($D1388,2)&gt;=6,WEEKDAY($D1388,2)=7),"Nghỉ tuần","Ngày thường")))</f>
        <v/>
      </c>
      <c r="F1388" s="107" t="n"/>
      <c r="G1388" s="107" t="n"/>
      <c r="H1388" s="107" t="n"/>
      <c r="I1388" s="81" t="n"/>
      <c r="J1388" s="108">
        <f>IF($B1388="","",IF($E1388="Ngày thường",N($G1388),0))</f>
        <v/>
      </c>
      <c r="K1388" s="108">
        <f>IF($B1388="","",IF($E1388="Nghỉ tuần",N($G1388),0))</f>
        <v/>
      </c>
      <c r="L1388" s="108">
        <f>IF($B1388="","",IF($E1388="Lễ",N($G1388),0))</f>
        <v/>
      </c>
      <c r="M1388" s="108">
        <f>IF($B1388="","",IF($E1388="Ngày thường",N($H1388),0))</f>
        <v/>
      </c>
      <c r="N1388" s="108">
        <f>IF($B1388="","",IF($E1388="Nghỉ tuần",N($H1388),0))</f>
        <v/>
      </c>
      <c r="O1388" s="108">
        <f>IF($B1388="","",IF($E1388="Lễ",N($H1388),0))</f>
        <v/>
      </c>
    </row>
    <row r="1389" ht="15" customHeight="1" s="63">
      <c r="A1389" s="85">
        <f>IF($B1389="","",ROW()-5)</f>
        <v/>
      </c>
      <c r="B1389" s="97" t="n"/>
      <c r="C1389" s="96">
        <f>IF($B1389="","",IFERROR(INDEX(DM_NHAN_SU!$C$6:$C$155,MATCH($B1389,DM_NHAN_SU!$B$6:$B$155,0)),"SAI MÃ NV"))</f>
        <v/>
      </c>
      <c r="D1389" s="86" t="n"/>
      <c r="E1389" s="103">
        <f>IF(OR($B1389="",$D1389=""),"",IF(COUNTIF(THAM_SO_CC!$F$10:$F$40,$D1389)&gt;0,"Lễ",IF(IF(THAM_SO_CC!$B$12="T7+CN",WEEKDAY($D1389,2)&gt;=6,WEEKDAY($D1389,2)=7),"Nghỉ tuần","Ngày thường")))</f>
        <v/>
      </c>
      <c r="F1389" s="107" t="n"/>
      <c r="G1389" s="107" t="n"/>
      <c r="H1389" s="107" t="n"/>
      <c r="I1389" s="81" t="n"/>
      <c r="J1389" s="108">
        <f>IF($B1389="","",IF($E1389="Ngày thường",N($G1389),0))</f>
        <v/>
      </c>
      <c r="K1389" s="108">
        <f>IF($B1389="","",IF($E1389="Nghỉ tuần",N($G1389),0))</f>
        <v/>
      </c>
      <c r="L1389" s="108">
        <f>IF($B1389="","",IF($E1389="Lễ",N($G1389),0))</f>
        <v/>
      </c>
      <c r="M1389" s="108">
        <f>IF($B1389="","",IF($E1389="Ngày thường",N($H1389),0))</f>
        <v/>
      </c>
      <c r="N1389" s="108">
        <f>IF($B1389="","",IF($E1389="Nghỉ tuần",N($H1389),0))</f>
        <v/>
      </c>
      <c r="O1389" s="108">
        <f>IF($B1389="","",IF($E1389="Lễ",N($H1389),0))</f>
        <v/>
      </c>
    </row>
    <row r="1390" ht="15" customHeight="1" s="63">
      <c r="A1390" s="85">
        <f>IF($B1390="","",ROW()-5)</f>
        <v/>
      </c>
      <c r="B1390" s="97" t="n"/>
      <c r="C1390" s="96">
        <f>IF($B1390="","",IFERROR(INDEX(DM_NHAN_SU!$C$6:$C$155,MATCH($B1390,DM_NHAN_SU!$B$6:$B$155,0)),"SAI MÃ NV"))</f>
        <v/>
      </c>
      <c r="D1390" s="86" t="n"/>
      <c r="E1390" s="103">
        <f>IF(OR($B1390="",$D1390=""),"",IF(COUNTIF(THAM_SO_CC!$F$10:$F$40,$D1390)&gt;0,"Lễ",IF(IF(THAM_SO_CC!$B$12="T7+CN",WEEKDAY($D1390,2)&gt;=6,WEEKDAY($D1390,2)=7),"Nghỉ tuần","Ngày thường")))</f>
        <v/>
      </c>
      <c r="F1390" s="107" t="n"/>
      <c r="G1390" s="107" t="n"/>
      <c r="H1390" s="107" t="n"/>
      <c r="I1390" s="81" t="n"/>
      <c r="J1390" s="108">
        <f>IF($B1390="","",IF($E1390="Ngày thường",N($G1390),0))</f>
        <v/>
      </c>
      <c r="K1390" s="108">
        <f>IF($B1390="","",IF($E1390="Nghỉ tuần",N($G1390),0))</f>
        <v/>
      </c>
      <c r="L1390" s="108">
        <f>IF($B1390="","",IF($E1390="Lễ",N($G1390),0))</f>
        <v/>
      </c>
      <c r="M1390" s="108">
        <f>IF($B1390="","",IF($E1390="Ngày thường",N($H1390),0))</f>
        <v/>
      </c>
      <c r="N1390" s="108">
        <f>IF($B1390="","",IF($E1390="Nghỉ tuần",N($H1390),0))</f>
        <v/>
      </c>
      <c r="O1390" s="108">
        <f>IF($B1390="","",IF($E1390="Lễ",N($H1390),0))</f>
        <v/>
      </c>
    </row>
    <row r="1391" ht="15" customHeight="1" s="63">
      <c r="A1391" s="85">
        <f>IF($B1391="","",ROW()-5)</f>
        <v/>
      </c>
      <c r="B1391" s="97" t="n"/>
      <c r="C1391" s="96">
        <f>IF($B1391="","",IFERROR(INDEX(DM_NHAN_SU!$C$6:$C$155,MATCH($B1391,DM_NHAN_SU!$B$6:$B$155,0)),"SAI MÃ NV"))</f>
        <v/>
      </c>
      <c r="D1391" s="86" t="n"/>
      <c r="E1391" s="103">
        <f>IF(OR($B1391="",$D1391=""),"",IF(COUNTIF(THAM_SO_CC!$F$10:$F$40,$D1391)&gt;0,"Lễ",IF(IF(THAM_SO_CC!$B$12="T7+CN",WEEKDAY($D1391,2)&gt;=6,WEEKDAY($D1391,2)=7),"Nghỉ tuần","Ngày thường")))</f>
        <v/>
      </c>
      <c r="F1391" s="107" t="n"/>
      <c r="G1391" s="107" t="n"/>
      <c r="H1391" s="107" t="n"/>
      <c r="I1391" s="81" t="n"/>
      <c r="J1391" s="108">
        <f>IF($B1391="","",IF($E1391="Ngày thường",N($G1391),0))</f>
        <v/>
      </c>
      <c r="K1391" s="108">
        <f>IF($B1391="","",IF($E1391="Nghỉ tuần",N($G1391),0))</f>
        <v/>
      </c>
      <c r="L1391" s="108">
        <f>IF($B1391="","",IF($E1391="Lễ",N($G1391),0))</f>
        <v/>
      </c>
      <c r="M1391" s="108">
        <f>IF($B1391="","",IF($E1391="Ngày thường",N($H1391),0))</f>
        <v/>
      </c>
      <c r="N1391" s="108">
        <f>IF($B1391="","",IF($E1391="Nghỉ tuần",N($H1391),0))</f>
        <v/>
      </c>
      <c r="O1391" s="108">
        <f>IF($B1391="","",IF($E1391="Lễ",N($H1391),0))</f>
        <v/>
      </c>
    </row>
    <row r="1392" ht="15" customHeight="1" s="63">
      <c r="A1392" s="85">
        <f>IF($B1392="","",ROW()-5)</f>
        <v/>
      </c>
      <c r="B1392" s="97" t="n"/>
      <c r="C1392" s="96">
        <f>IF($B1392="","",IFERROR(INDEX(DM_NHAN_SU!$C$6:$C$155,MATCH($B1392,DM_NHAN_SU!$B$6:$B$155,0)),"SAI MÃ NV"))</f>
        <v/>
      </c>
      <c r="D1392" s="86" t="n"/>
      <c r="E1392" s="103">
        <f>IF(OR($B1392="",$D1392=""),"",IF(COUNTIF(THAM_SO_CC!$F$10:$F$40,$D1392)&gt;0,"Lễ",IF(IF(THAM_SO_CC!$B$12="T7+CN",WEEKDAY($D1392,2)&gt;=6,WEEKDAY($D1392,2)=7),"Nghỉ tuần","Ngày thường")))</f>
        <v/>
      </c>
      <c r="F1392" s="107" t="n"/>
      <c r="G1392" s="107" t="n"/>
      <c r="H1392" s="107" t="n"/>
      <c r="I1392" s="81" t="n"/>
      <c r="J1392" s="108">
        <f>IF($B1392="","",IF($E1392="Ngày thường",N($G1392),0))</f>
        <v/>
      </c>
      <c r="K1392" s="108">
        <f>IF($B1392="","",IF($E1392="Nghỉ tuần",N($G1392),0))</f>
        <v/>
      </c>
      <c r="L1392" s="108">
        <f>IF($B1392="","",IF($E1392="Lễ",N($G1392),0))</f>
        <v/>
      </c>
      <c r="M1392" s="108">
        <f>IF($B1392="","",IF($E1392="Ngày thường",N($H1392),0))</f>
        <v/>
      </c>
      <c r="N1392" s="108">
        <f>IF($B1392="","",IF($E1392="Nghỉ tuần",N($H1392),0))</f>
        <v/>
      </c>
      <c r="O1392" s="108">
        <f>IF($B1392="","",IF($E1392="Lễ",N($H1392),0))</f>
        <v/>
      </c>
    </row>
    <row r="1393" ht="15" customHeight="1" s="63">
      <c r="A1393" s="85">
        <f>IF($B1393="","",ROW()-5)</f>
        <v/>
      </c>
      <c r="B1393" s="97" t="n"/>
      <c r="C1393" s="96">
        <f>IF($B1393="","",IFERROR(INDEX(DM_NHAN_SU!$C$6:$C$155,MATCH($B1393,DM_NHAN_SU!$B$6:$B$155,0)),"SAI MÃ NV"))</f>
        <v/>
      </c>
      <c r="D1393" s="86" t="n"/>
      <c r="E1393" s="103">
        <f>IF(OR($B1393="",$D1393=""),"",IF(COUNTIF(THAM_SO_CC!$F$10:$F$40,$D1393)&gt;0,"Lễ",IF(IF(THAM_SO_CC!$B$12="T7+CN",WEEKDAY($D1393,2)&gt;=6,WEEKDAY($D1393,2)=7),"Nghỉ tuần","Ngày thường")))</f>
        <v/>
      </c>
      <c r="F1393" s="107" t="n"/>
      <c r="G1393" s="107" t="n"/>
      <c r="H1393" s="107" t="n"/>
      <c r="I1393" s="81" t="n"/>
      <c r="J1393" s="108">
        <f>IF($B1393="","",IF($E1393="Ngày thường",N($G1393),0))</f>
        <v/>
      </c>
      <c r="K1393" s="108">
        <f>IF($B1393="","",IF($E1393="Nghỉ tuần",N($G1393),0))</f>
        <v/>
      </c>
      <c r="L1393" s="108">
        <f>IF($B1393="","",IF($E1393="Lễ",N($G1393),0))</f>
        <v/>
      </c>
      <c r="M1393" s="108">
        <f>IF($B1393="","",IF($E1393="Ngày thường",N($H1393),0))</f>
        <v/>
      </c>
      <c r="N1393" s="108">
        <f>IF($B1393="","",IF($E1393="Nghỉ tuần",N($H1393),0))</f>
        <v/>
      </c>
      <c r="O1393" s="108">
        <f>IF($B1393="","",IF($E1393="Lễ",N($H1393),0))</f>
        <v/>
      </c>
    </row>
    <row r="1394" ht="15" customHeight="1" s="63">
      <c r="A1394" s="85">
        <f>IF($B1394="","",ROW()-5)</f>
        <v/>
      </c>
      <c r="B1394" s="97" t="n"/>
      <c r="C1394" s="96">
        <f>IF($B1394="","",IFERROR(INDEX(DM_NHAN_SU!$C$6:$C$155,MATCH($B1394,DM_NHAN_SU!$B$6:$B$155,0)),"SAI MÃ NV"))</f>
        <v/>
      </c>
      <c r="D1394" s="86" t="n"/>
      <c r="E1394" s="103">
        <f>IF(OR($B1394="",$D1394=""),"",IF(COUNTIF(THAM_SO_CC!$F$10:$F$40,$D1394)&gt;0,"Lễ",IF(IF(THAM_SO_CC!$B$12="T7+CN",WEEKDAY($D1394,2)&gt;=6,WEEKDAY($D1394,2)=7),"Nghỉ tuần","Ngày thường")))</f>
        <v/>
      </c>
      <c r="F1394" s="107" t="n"/>
      <c r="G1394" s="107" t="n"/>
      <c r="H1394" s="107" t="n"/>
      <c r="I1394" s="81" t="n"/>
      <c r="J1394" s="108">
        <f>IF($B1394="","",IF($E1394="Ngày thường",N($G1394),0))</f>
        <v/>
      </c>
      <c r="K1394" s="108">
        <f>IF($B1394="","",IF($E1394="Nghỉ tuần",N($G1394),0))</f>
        <v/>
      </c>
      <c r="L1394" s="108">
        <f>IF($B1394="","",IF($E1394="Lễ",N($G1394),0))</f>
        <v/>
      </c>
      <c r="M1394" s="108">
        <f>IF($B1394="","",IF($E1394="Ngày thường",N($H1394),0))</f>
        <v/>
      </c>
      <c r="N1394" s="108">
        <f>IF($B1394="","",IF($E1394="Nghỉ tuần",N($H1394),0))</f>
        <v/>
      </c>
      <c r="O1394" s="108">
        <f>IF($B1394="","",IF($E1394="Lễ",N($H1394),0))</f>
        <v/>
      </c>
    </row>
    <row r="1395" ht="15" customHeight="1" s="63">
      <c r="A1395" s="85">
        <f>IF($B1395="","",ROW()-5)</f>
        <v/>
      </c>
      <c r="B1395" s="97" t="n"/>
      <c r="C1395" s="96">
        <f>IF($B1395="","",IFERROR(INDEX(DM_NHAN_SU!$C$6:$C$155,MATCH($B1395,DM_NHAN_SU!$B$6:$B$155,0)),"SAI MÃ NV"))</f>
        <v/>
      </c>
      <c r="D1395" s="86" t="n"/>
      <c r="E1395" s="103">
        <f>IF(OR($B1395="",$D1395=""),"",IF(COUNTIF(THAM_SO_CC!$F$10:$F$40,$D1395)&gt;0,"Lễ",IF(IF(THAM_SO_CC!$B$12="T7+CN",WEEKDAY($D1395,2)&gt;=6,WEEKDAY($D1395,2)=7),"Nghỉ tuần","Ngày thường")))</f>
        <v/>
      </c>
      <c r="F1395" s="107" t="n"/>
      <c r="G1395" s="107" t="n"/>
      <c r="H1395" s="107" t="n"/>
      <c r="I1395" s="81" t="n"/>
      <c r="J1395" s="108">
        <f>IF($B1395="","",IF($E1395="Ngày thường",N($G1395),0))</f>
        <v/>
      </c>
      <c r="K1395" s="108">
        <f>IF($B1395="","",IF($E1395="Nghỉ tuần",N($G1395),0))</f>
        <v/>
      </c>
      <c r="L1395" s="108">
        <f>IF($B1395="","",IF($E1395="Lễ",N($G1395),0))</f>
        <v/>
      </c>
      <c r="M1395" s="108">
        <f>IF($B1395="","",IF($E1395="Ngày thường",N($H1395),0))</f>
        <v/>
      </c>
      <c r="N1395" s="108">
        <f>IF($B1395="","",IF($E1395="Nghỉ tuần",N($H1395),0))</f>
        <v/>
      </c>
      <c r="O1395" s="108">
        <f>IF($B1395="","",IF($E1395="Lễ",N($H1395),0))</f>
        <v/>
      </c>
    </row>
    <row r="1396" ht="15" customHeight="1" s="63">
      <c r="A1396" s="85">
        <f>IF($B1396="","",ROW()-5)</f>
        <v/>
      </c>
      <c r="B1396" s="97" t="n"/>
      <c r="C1396" s="96">
        <f>IF($B1396="","",IFERROR(INDEX(DM_NHAN_SU!$C$6:$C$155,MATCH($B1396,DM_NHAN_SU!$B$6:$B$155,0)),"SAI MÃ NV"))</f>
        <v/>
      </c>
      <c r="D1396" s="86" t="n"/>
      <c r="E1396" s="103">
        <f>IF(OR($B1396="",$D1396=""),"",IF(COUNTIF(THAM_SO_CC!$F$10:$F$40,$D1396)&gt;0,"Lễ",IF(IF(THAM_SO_CC!$B$12="T7+CN",WEEKDAY($D1396,2)&gt;=6,WEEKDAY($D1396,2)=7),"Nghỉ tuần","Ngày thường")))</f>
        <v/>
      </c>
      <c r="F1396" s="107" t="n"/>
      <c r="G1396" s="107" t="n"/>
      <c r="H1396" s="107" t="n"/>
      <c r="I1396" s="81" t="n"/>
      <c r="J1396" s="108">
        <f>IF($B1396="","",IF($E1396="Ngày thường",N($G1396),0))</f>
        <v/>
      </c>
      <c r="K1396" s="108">
        <f>IF($B1396="","",IF($E1396="Nghỉ tuần",N($G1396),0))</f>
        <v/>
      </c>
      <c r="L1396" s="108">
        <f>IF($B1396="","",IF($E1396="Lễ",N($G1396),0))</f>
        <v/>
      </c>
      <c r="M1396" s="108">
        <f>IF($B1396="","",IF($E1396="Ngày thường",N($H1396),0))</f>
        <v/>
      </c>
      <c r="N1396" s="108">
        <f>IF($B1396="","",IF($E1396="Nghỉ tuần",N($H1396),0))</f>
        <v/>
      </c>
      <c r="O1396" s="108">
        <f>IF($B1396="","",IF($E1396="Lễ",N($H1396),0))</f>
        <v/>
      </c>
    </row>
    <row r="1397" ht="15" customHeight="1" s="63">
      <c r="A1397" s="85">
        <f>IF($B1397="","",ROW()-5)</f>
        <v/>
      </c>
      <c r="B1397" s="97" t="n"/>
      <c r="C1397" s="96">
        <f>IF($B1397="","",IFERROR(INDEX(DM_NHAN_SU!$C$6:$C$155,MATCH($B1397,DM_NHAN_SU!$B$6:$B$155,0)),"SAI MÃ NV"))</f>
        <v/>
      </c>
      <c r="D1397" s="86" t="n"/>
      <c r="E1397" s="103">
        <f>IF(OR($B1397="",$D1397=""),"",IF(COUNTIF(THAM_SO_CC!$F$10:$F$40,$D1397)&gt;0,"Lễ",IF(IF(THAM_SO_CC!$B$12="T7+CN",WEEKDAY($D1397,2)&gt;=6,WEEKDAY($D1397,2)=7),"Nghỉ tuần","Ngày thường")))</f>
        <v/>
      </c>
      <c r="F1397" s="107" t="n"/>
      <c r="G1397" s="107" t="n"/>
      <c r="H1397" s="107" t="n"/>
      <c r="I1397" s="81" t="n"/>
      <c r="J1397" s="108">
        <f>IF($B1397="","",IF($E1397="Ngày thường",N($G1397),0))</f>
        <v/>
      </c>
      <c r="K1397" s="108">
        <f>IF($B1397="","",IF($E1397="Nghỉ tuần",N($G1397),0))</f>
        <v/>
      </c>
      <c r="L1397" s="108">
        <f>IF($B1397="","",IF($E1397="Lễ",N($G1397),0))</f>
        <v/>
      </c>
      <c r="M1397" s="108">
        <f>IF($B1397="","",IF($E1397="Ngày thường",N($H1397),0))</f>
        <v/>
      </c>
      <c r="N1397" s="108">
        <f>IF($B1397="","",IF($E1397="Nghỉ tuần",N($H1397),0))</f>
        <v/>
      </c>
      <c r="O1397" s="108">
        <f>IF($B1397="","",IF($E1397="Lễ",N($H1397),0))</f>
        <v/>
      </c>
    </row>
    <row r="1398" ht="15" customHeight="1" s="63">
      <c r="A1398" s="85">
        <f>IF($B1398="","",ROW()-5)</f>
        <v/>
      </c>
      <c r="B1398" s="97" t="n"/>
      <c r="C1398" s="96">
        <f>IF($B1398="","",IFERROR(INDEX(DM_NHAN_SU!$C$6:$C$155,MATCH($B1398,DM_NHAN_SU!$B$6:$B$155,0)),"SAI MÃ NV"))</f>
        <v/>
      </c>
      <c r="D1398" s="86" t="n"/>
      <c r="E1398" s="103">
        <f>IF(OR($B1398="",$D1398=""),"",IF(COUNTIF(THAM_SO_CC!$F$10:$F$40,$D1398)&gt;0,"Lễ",IF(IF(THAM_SO_CC!$B$12="T7+CN",WEEKDAY($D1398,2)&gt;=6,WEEKDAY($D1398,2)=7),"Nghỉ tuần","Ngày thường")))</f>
        <v/>
      </c>
      <c r="F1398" s="107" t="n"/>
      <c r="G1398" s="107" t="n"/>
      <c r="H1398" s="107" t="n"/>
      <c r="I1398" s="81" t="n"/>
      <c r="J1398" s="108">
        <f>IF($B1398="","",IF($E1398="Ngày thường",N($G1398),0))</f>
        <v/>
      </c>
      <c r="K1398" s="108">
        <f>IF($B1398="","",IF($E1398="Nghỉ tuần",N($G1398),0))</f>
        <v/>
      </c>
      <c r="L1398" s="108">
        <f>IF($B1398="","",IF($E1398="Lễ",N($G1398),0))</f>
        <v/>
      </c>
      <c r="M1398" s="108">
        <f>IF($B1398="","",IF($E1398="Ngày thường",N($H1398),0))</f>
        <v/>
      </c>
      <c r="N1398" s="108">
        <f>IF($B1398="","",IF($E1398="Nghỉ tuần",N($H1398),0))</f>
        <v/>
      </c>
      <c r="O1398" s="108">
        <f>IF($B1398="","",IF($E1398="Lễ",N($H1398),0))</f>
        <v/>
      </c>
    </row>
    <row r="1399" ht="15" customHeight="1" s="63">
      <c r="A1399" s="85">
        <f>IF($B1399="","",ROW()-5)</f>
        <v/>
      </c>
      <c r="B1399" s="97" t="n"/>
      <c r="C1399" s="96">
        <f>IF($B1399="","",IFERROR(INDEX(DM_NHAN_SU!$C$6:$C$155,MATCH($B1399,DM_NHAN_SU!$B$6:$B$155,0)),"SAI MÃ NV"))</f>
        <v/>
      </c>
      <c r="D1399" s="86" t="n"/>
      <c r="E1399" s="103">
        <f>IF(OR($B1399="",$D1399=""),"",IF(COUNTIF(THAM_SO_CC!$F$10:$F$40,$D1399)&gt;0,"Lễ",IF(IF(THAM_SO_CC!$B$12="T7+CN",WEEKDAY($D1399,2)&gt;=6,WEEKDAY($D1399,2)=7),"Nghỉ tuần","Ngày thường")))</f>
        <v/>
      </c>
      <c r="F1399" s="107" t="n"/>
      <c r="G1399" s="107" t="n"/>
      <c r="H1399" s="107" t="n"/>
      <c r="I1399" s="81" t="n"/>
      <c r="J1399" s="108">
        <f>IF($B1399="","",IF($E1399="Ngày thường",N($G1399),0))</f>
        <v/>
      </c>
      <c r="K1399" s="108">
        <f>IF($B1399="","",IF($E1399="Nghỉ tuần",N($G1399),0))</f>
        <v/>
      </c>
      <c r="L1399" s="108">
        <f>IF($B1399="","",IF($E1399="Lễ",N($G1399),0))</f>
        <v/>
      </c>
      <c r="M1399" s="108">
        <f>IF($B1399="","",IF($E1399="Ngày thường",N($H1399),0))</f>
        <v/>
      </c>
      <c r="N1399" s="108">
        <f>IF($B1399="","",IF($E1399="Nghỉ tuần",N($H1399),0))</f>
        <v/>
      </c>
      <c r="O1399" s="108">
        <f>IF($B1399="","",IF($E1399="Lễ",N($H1399),0))</f>
        <v/>
      </c>
    </row>
    <row r="1400" ht="15" customHeight="1" s="63">
      <c r="A1400" s="85">
        <f>IF($B1400="","",ROW()-5)</f>
        <v/>
      </c>
      <c r="B1400" s="97" t="n"/>
      <c r="C1400" s="96">
        <f>IF($B1400="","",IFERROR(INDEX(DM_NHAN_SU!$C$6:$C$155,MATCH($B1400,DM_NHAN_SU!$B$6:$B$155,0)),"SAI MÃ NV"))</f>
        <v/>
      </c>
      <c r="D1400" s="86" t="n"/>
      <c r="E1400" s="103">
        <f>IF(OR($B1400="",$D1400=""),"",IF(COUNTIF(THAM_SO_CC!$F$10:$F$40,$D1400)&gt;0,"Lễ",IF(IF(THAM_SO_CC!$B$12="T7+CN",WEEKDAY($D1400,2)&gt;=6,WEEKDAY($D1400,2)=7),"Nghỉ tuần","Ngày thường")))</f>
        <v/>
      </c>
      <c r="F1400" s="107" t="n"/>
      <c r="G1400" s="107" t="n"/>
      <c r="H1400" s="107" t="n"/>
      <c r="I1400" s="81" t="n"/>
      <c r="J1400" s="108">
        <f>IF($B1400="","",IF($E1400="Ngày thường",N($G1400),0))</f>
        <v/>
      </c>
      <c r="K1400" s="108">
        <f>IF($B1400="","",IF($E1400="Nghỉ tuần",N($G1400),0))</f>
        <v/>
      </c>
      <c r="L1400" s="108">
        <f>IF($B1400="","",IF($E1400="Lễ",N($G1400),0))</f>
        <v/>
      </c>
      <c r="M1400" s="108">
        <f>IF($B1400="","",IF($E1400="Ngày thường",N($H1400),0))</f>
        <v/>
      </c>
      <c r="N1400" s="108">
        <f>IF($B1400="","",IF($E1400="Nghỉ tuần",N($H1400),0))</f>
        <v/>
      </c>
      <c r="O1400" s="108">
        <f>IF($B1400="","",IF($E1400="Lễ",N($H1400),0))</f>
        <v/>
      </c>
    </row>
    <row r="1401" ht="15" customHeight="1" s="63">
      <c r="A1401" s="85">
        <f>IF($B1401="","",ROW()-5)</f>
        <v/>
      </c>
      <c r="B1401" s="97" t="n"/>
      <c r="C1401" s="96">
        <f>IF($B1401="","",IFERROR(INDEX(DM_NHAN_SU!$C$6:$C$155,MATCH($B1401,DM_NHAN_SU!$B$6:$B$155,0)),"SAI MÃ NV"))</f>
        <v/>
      </c>
      <c r="D1401" s="86" t="n"/>
      <c r="E1401" s="103">
        <f>IF(OR($B1401="",$D1401=""),"",IF(COUNTIF(THAM_SO_CC!$F$10:$F$40,$D1401)&gt;0,"Lễ",IF(IF(THAM_SO_CC!$B$12="T7+CN",WEEKDAY($D1401,2)&gt;=6,WEEKDAY($D1401,2)=7),"Nghỉ tuần","Ngày thường")))</f>
        <v/>
      </c>
      <c r="F1401" s="107" t="n"/>
      <c r="G1401" s="107" t="n"/>
      <c r="H1401" s="107" t="n"/>
      <c r="I1401" s="81" t="n"/>
      <c r="J1401" s="108">
        <f>IF($B1401="","",IF($E1401="Ngày thường",N($G1401),0))</f>
        <v/>
      </c>
      <c r="K1401" s="108">
        <f>IF($B1401="","",IF($E1401="Nghỉ tuần",N($G1401),0))</f>
        <v/>
      </c>
      <c r="L1401" s="108">
        <f>IF($B1401="","",IF($E1401="Lễ",N($G1401),0))</f>
        <v/>
      </c>
      <c r="M1401" s="108">
        <f>IF($B1401="","",IF($E1401="Ngày thường",N($H1401),0))</f>
        <v/>
      </c>
      <c r="N1401" s="108">
        <f>IF($B1401="","",IF($E1401="Nghỉ tuần",N($H1401),0))</f>
        <v/>
      </c>
      <c r="O1401" s="108">
        <f>IF($B1401="","",IF($E1401="Lễ",N($H1401),0))</f>
        <v/>
      </c>
    </row>
    <row r="1402" ht="15" customHeight="1" s="63">
      <c r="A1402" s="85">
        <f>IF($B1402="","",ROW()-5)</f>
        <v/>
      </c>
      <c r="B1402" s="97" t="n"/>
      <c r="C1402" s="96">
        <f>IF($B1402="","",IFERROR(INDEX(DM_NHAN_SU!$C$6:$C$155,MATCH($B1402,DM_NHAN_SU!$B$6:$B$155,0)),"SAI MÃ NV"))</f>
        <v/>
      </c>
      <c r="D1402" s="86" t="n"/>
      <c r="E1402" s="103">
        <f>IF(OR($B1402="",$D1402=""),"",IF(COUNTIF(THAM_SO_CC!$F$10:$F$40,$D1402)&gt;0,"Lễ",IF(IF(THAM_SO_CC!$B$12="T7+CN",WEEKDAY($D1402,2)&gt;=6,WEEKDAY($D1402,2)=7),"Nghỉ tuần","Ngày thường")))</f>
        <v/>
      </c>
      <c r="F1402" s="107" t="n"/>
      <c r="G1402" s="107" t="n"/>
      <c r="H1402" s="107" t="n"/>
      <c r="I1402" s="81" t="n"/>
      <c r="J1402" s="108">
        <f>IF($B1402="","",IF($E1402="Ngày thường",N($G1402),0))</f>
        <v/>
      </c>
      <c r="K1402" s="108">
        <f>IF($B1402="","",IF($E1402="Nghỉ tuần",N($G1402),0))</f>
        <v/>
      </c>
      <c r="L1402" s="108">
        <f>IF($B1402="","",IF($E1402="Lễ",N($G1402),0))</f>
        <v/>
      </c>
      <c r="M1402" s="108">
        <f>IF($B1402="","",IF($E1402="Ngày thường",N($H1402),0))</f>
        <v/>
      </c>
      <c r="N1402" s="108">
        <f>IF($B1402="","",IF($E1402="Nghỉ tuần",N($H1402),0))</f>
        <v/>
      </c>
      <c r="O1402" s="108">
        <f>IF($B1402="","",IF($E1402="Lễ",N($H1402),0))</f>
        <v/>
      </c>
    </row>
    <row r="1403" ht="15" customHeight="1" s="63">
      <c r="A1403" s="85">
        <f>IF($B1403="","",ROW()-5)</f>
        <v/>
      </c>
      <c r="B1403" s="97" t="n"/>
      <c r="C1403" s="96">
        <f>IF($B1403="","",IFERROR(INDEX(DM_NHAN_SU!$C$6:$C$155,MATCH($B1403,DM_NHAN_SU!$B$6:$B$155,0)),"SAI MÃ NV"))</f>
        <v/>
      </c>
      <c r="D1403" s="86" t="n"/>
      <c r="E1403" s="103">
        <f>IF(OR($B1403="",$D1403=""),"",IF(COUNTIF(THAM_SO_CC!$F$10:$F$40,$D1403)&gt;0,"Lễ",IF(IF(THAM_SO_CC!$B$12="T7+CN",WEEKDAY($D1403,2)&gt;=6,WEEKDAY($D1403,2)=7),"Nghỉ tuần","Ngày thường")))</f>
        <v/>
      </c>
      <c r="F1403" s="107" t="n"/>
      <c r="G1403" s="107" t="n"/>
      <c r="H1403" s="107" t="n"/>
      <c r="I1403" s="81" t="n"/>
      <c r="J1403" s="108">
        <f>IF($B1403="","",IF($E1403="Ngày thường",N($G1403),0))</f>
        <v/>
      </c>
      <c r="K1403" s="108">
        <f>IF($B1403="","",IF($E1403="Nghỉ tuần",N($G1403),0))</f>
        <v/>
      </c>
      <c r="L1403" s="108">
        <f>IF($B1403="","",IF($E1403="Lễ",N($G1403),0))</f>
        <v/>
      </c>
      <c r="M1403" s="108">
        <f>IF($B1403="","",IF($E1403="Ngày thường",N($H1403),0))</f>
        <v/>
      </c>
      <c r="N1403" s="108">
        <f>IF($B1403="","",IF($E1403="Nghỉ tuần",N($H1403),0))</f>
        <v/>
      </c>
      <c r="O1403" s="108">
        <f>IF($B1403="","",IF($E1403="Lễ",N($H1403),0))</f>
        <v/>
      </c>
    </row>
    <row r="1404" ht="15" customHeight="1" s="63">
      <c r="A1404" s="85">
        <f>IF($B1404="","",ROW()-5)</f>
        <v/>
      </c>
      <c r="B1404" s="97" t="n"/>
      <c r="C1404" s="96">
        <f>IF($B1404="","",IFERROR(INDEX(DM_NHAN_SU!$C$6:$C$155,MATCH($B1404,DM_NHAN_SU!$B$6:$B$155,0)),"SAI MÃ NV"))</f>
        <v/>
      </c>
      <c r="D1404" s="86" t="n"/>
      <c r="E1404" s="103">
        <f>IF(OR($B1404="",$D1404=""),"",IF(COUNTIF(THAM_SO_CC!$F$10:$F$40,$D1404)&gt;0,"Lễ",IF(IF(THAM_SO_CC!$B$12="T7+CN",WEEKDAY($D1404,2)&gt;=6,WEEKDAY($D1404,2)=7),"Nghỉ tuần","Ngày thường")))</f>
        <v/>
      </c>
      <c r="F1404" s="107" t="n"/>
      <c r="G1404" s="107" t="n"/>
      <c r="H1404" s="107" t="n"/>
      <c r="I1404" s="81" t="n"/>
      <c r="J1404" s="108">
        <f>IF($B1404="","",IF($E1404="Ngày thường",N($G1404),0))</f>
        <v/>
      </c>
      <c r="K1404" s="108">
        <f>IF($B1404="","",IF($E1404="Nghỉ tuần",N($G1404),0))</f>
        <v/>
      </c>
      <c r="L1404" s="108">
        <f>IF($B1404="","",IF($E1404="Lễ",N($G1404),0))</f>
        <v/>
      </c>
      <c r="M1404" s="108">
        <f>IF($B1404="","",IF($E1404="Ngày thường",N($H1404),0))</f>
        <v/>
      </c>
      <c r="N1404" s="108">
        <f>IF($B1404="","",IF($E1404="Nghỉ tuần",N($H1404),0))</f>
        <v/>
      </c>
      <c r="O1404" s="108">
        <f>IF($B1404="","",IF($E1404="Lễ",N($H1404),0))</f>
        <v/>
      </c>
    </row>
    <row r="1405" ht="15" customHeight="1" s="63">
      <c r="A1405" s="85">
        <f>IF($B1405="","",ROW()-5)</f>
        <v/>
      </c>
      <c r="B1405" s="97" t="n"/>
      <c r="C1405" s="96">
        <f>IF($B1405="","",IFERROR(INDEX(DM_NHAN_SU!$C$6:$C$155,MATCH($B1405,DM_NHAN_SU!$B$6:$B$155,0)),"SAI MÃ NV"))</f>
        <v/>
      </c>
      <c r="D1405" s="86" t="n"/>
      <c r="E1405" s="103">
        <f>IF(OR($B1405="",$D1405=""),"",IF(COUNTIF(THAM_SO_CC!$F$10:$F$40,$D1405)&gt;0,"Lễ",IF(IF(THAM_SO_CC!$B$12="T7+CN",WEEKDAY($D1405,2)&gt;=6,WEEKDAY($D1405,2)=7),"Nghỉ tuần","Ngày thường")))</f>
        <v/>
      </c>
      <c r="F1405" s="107" t="n"/>
      <c r="G1405" s="107" t="n"/>
      <c r="H1405" s="107" t="n"/>
      <c r="I1405" s="81" t="n"/>
      <c r="J1405" s="108">
        <f>IF($B1405="","",IF($E1405="Ngày thường",N($G1405),0))</f>
        <v/>
      </c>
      <c r="K1405" s="108">
        <f>IF($B1405="","",IF($E1405="Nghỉ tuần",N($G1405),0))</f>
        <v/>
      </c>
      <c r="L1405" s="108">
        <f>IF($B1405="","",IF($E1405="Lễ",N($G1405),0))</f>
        <v/>
      </c>
      <c r="M1405" s="108">
        <f>IF($B1405="","",IF($E1405="Ngày thường",N($H1405),0))</f>
        <v/>
      </c>
      <c r="N1405" s="108">
        <f>IF($B1405="","",IF($E1405="Nghỉ tuần",N($H1405),0))</f>
        <v/>
      </c>
      <c r="O1405" s="108">
        <f>IF($B1405="","",IF($E1405="Lễ",N($H1405),0))</f>
        <v/>
      </c>
    </row>
    <row r="1406" ht="15" customHeight="1" s="63">
      <c r="A1406" s="85">
        <f>IF($B1406="","",ROW()-5)</f>
        <v/>
      </c>
      <c r="B1406" s="97" t="n"/>
      <c r="C1406" s="96">
        <f>IF($B1406="","",IFERROR(INDEX(DM_NHAN_SU!$C$6:$C$155,MATCH($B1406,DM_NHAN_SU!$B$6:$B$155,0)),"SAI MÃ NV"))</f>
        <v/>
      </c>
      <c r="D1406" s="86" t="n"/>
      <c r="E1406" s="103">
        <f>IF(OR($B1406="",$D1406=""),"",IF(COUNTIF(THAM_SO_CC!$F$10:$F$40,$D1406)&gt;0,"Lễ",IF(IF(THAM_SO_CC!$B$12="T7+CN",WEEKDAY($D1406,2)&gt;=6,WEEKDAY($D1406,2)=7),"Nghỉ tuần","Ngày thường")))</f>
        <v/>
      </c>
      <c r="F1406" s="107" t="n"/>
      <c r="G1406" s="107" t="n"/>
      <c r="H1406" s="107" t="n"/>
      <c r="I1406" s="81" t="n"/>
      <c r="J1406" s="108">
        <f>IF($B1406="","",IF($E1406="Ngày thường",N($G1406),0))</f>
        <v/>
      </c>
      <c r="K1406" s="108">
        <f>IF($B1406="","",IF($E1406="Nghỉ tuần",N($G1406),0))</f>
        <v/>
      </c>
      <c r="L1406" s="108">
        <f>IF($B1406="","",IF($E1406="Lễ",N($G1406),0))</f>
        <v/>
      </c>
      <c r="M1406" s="108">
        <f>IF($B1406="","",IF($E1406="Ngày thường",N($H1406),0))</f>
        <v/>
      </c>
      <c r="N1406" s="108">
        <f>IF($B1406="","",IF($E1406="Nghỉ tuần",N($H1406),0))</f>
        <v/>
      </c>
      <c r="O1406" s="108">
        <f>IF($B1406="","",IF($E1406="Lễ",N($H1406),0))</f>
        <v/>
      </c>
    </row>
    <row r="1407" ht="15" customHeight="1" s="63">
      <c r="A1407" s="85">
        <f>IF($B1407="","",ROW()-5)</f>
        <v/>
      </c>
      <c r="B1407" s="97" t="n"/>
      <c r="C1407" s="96">
        <f>IF($B1407="","",IFERROR(INDEX(DM_NHAN_SU!$C$6:$C$155,MATCH($B1407,DM_NHAN_SU!$B$6:$B$155,0)),"SAI MÃ NV"))</f>
        <v/>
      </c>
      <c r="D1407" s="86" t="n"/>
      <c r="E1407" s="103">
        <f>IF(OR($B1407="",$D1407=""),"",IF(COUNTIF(THAM_SO_CC!$F$10:$F$40,$D1407)&gt;0,"Lễ",IF(IF(THAM_SO_CC!$B$12="T7+CN",WEEKDAY($D1407,2)&gt;=6,WEEKDAY($D1407,2)=7),"Nghỉ tuần","Ngày thường")))</f>
        <v/>
      </c>
      <c r="F1407" s="107" t="n"/>
      <c r="G1407" s="107" t="n"/>
      <c r="H1407" s="107" t="n"/>
      <c r="I1407" s="81" t="n"/>
      <c r="J1407" s="108">
        <f>IF($B1407="","",IF($E1407="Ngày thường",N($G1407),0))</f>
        <v/>
      </c>
      <c r="K1407" s="108">
        <f>IF($B1407="","",IF($E1407="Nghỉ tuần",N($G1407),0))</f>
        <v/>
      </c>
      <c r="L1407" s="108">
        <f>IF($B1407="","",IF($E1407="Lễ",N($G1407),0))</f>
        <v/>
      </c>
      <c r="M1407" s="108">
        <f>IF($B1407="","",IF($E1407="Ngày thường",N($H1407),0))</f>
        <v/>
      </c>
      <c r="N1407" s="108">
        <f>IF($B1407="","",IF($E1407="Nghỉ tuần",N($H1407),0))</f>
        <v/>
      </c>
      <c r="O1407" s="108">
        <f>IF($B1407="","",IF($E1407="Lễ",N($H1407),0))</f>
        <v/>
      </c>
    </row>
    <row r="1408" ht="15" customHeight="1" s="63">
      <c r="A1408" s="85">
        <f>IF($B1408="","",ROW()-5)</f>
        <v/>
      </c>
      <c r="B1408" s="97" t="n"/>
      <c r="C1408" s="96">
        <f>IF($B1408="","",IFERROR(INDEX(DM_NHAN_SU!$C$6:$C$155,MATCH($B1408,DM_NHAN_SU!$B$6:$B$155,0)),"SAI MÃ NV"))</f>
        <v/>
      </c>
      <c r="D1408" s="86" t="n"/>
      <c r="E1408" s="103">
        <f>IF(OR($B1408="",$D1408=""),"",IF(COUNTIF(THAM_SO_CC!$F$10:$F$40,$D1408)&gt;0,"Lễ",IF(IF(THAM_SO_CC!$B$12="T7+CN",WEEKDAY($D1408,2)&gt;=6,WEEKDAY($D1408,2)=7),"Nghỉ tuần","Ngày thường")))</f>
        <v/>
      </c>
      <c r="F1408" s="107" t="n"/>
      <c r="G1408" s="107" t="n"/>
      <c r="H1408" s="107" t="n"/>
      <c r="I1408" s="81" t="n"/>
      <c r="J1408" s="108">
        <f>IF($B1408="","",IF($E1408="Ngày thường",N($G1408),0))</f>
        <v/>
      </c>
      <c r="K1408" s="108">
        <f>IF($B1408="","",IF($E1408="Nghỉ tuần",N($G1408),0))</f>
        <v/>
      </c>
      <c r="L1408" s="108">
        <f>IF($B1408="","",IF($E1408="Lễ",N($G1408),0))</f>
        <v/>
      </c>
      <c r="M1408" s="108">
        <f>IF($B1408="","",IF($E1408="Ngày thường",N($H1408),0))</f>
        <v/>
      </c>
      <c r="N1408" s="108">
        <f>IF($B1408="","",IF($E1408="Nghỉ tuần",N($H1408),0))</f>
        <v/>
      </c>
      <c r="O1408" s="108">
        <f>IF($B1408="","",IF($E1408="Lễ",N($H1408),0))</f>
        <v/>
      </c>
    </row>
    <row r="1409" ht="15" customHeight="1" s="63">
      <c r="A1409" s="85">
        <f>IF($B1409="","",ROW()-5)</f>
        <v/>
      </c>
      <c r="B1409" s="97" t="n"/>
      <c r="C1409" s="96">
        <f>IF($B1409="","",IFERROR(INDEX(DM_NHAN_SU!$C$6:$C$155,MATCH($B1409,DM_NHAN_SU!$B$6:$B$155,0)),"SAI MÃ NV"))</f>
        <v/>
      </c>
      <c r="D1409" s="86" t="n"/>
      <c r="E1409" s="103">
        <f>IF(OR($B1409="",$D1409=""),"",IF(COUNTIF(THAM_SO_CC!$F$10:$F$40,$D1409)&gt;0,"Lễ",IF(IF(THAM_SO_CC!$B$12="T7+CN",WEEKDAY($D1409,2)&gt;=6,WEEKDAY($D1409,2)=7),"Nghỉ tuần","Ngày thường")))</f>
        <v/>
      </c>
      <c r="F1409" s="107" t="n"/>
      <c r="G1409" s="107" t="n"/>
      <c r="H1409" s="107" t="n"/>
      <c r="I1409" s="81" t="n"/>
      <c r="J1409" s="108">
        <f>IF($B1409="","",IF($E1409="Ngày thường",N($G1409),0))</f>
        <v/>
      </c>
      <c r="K1409" s="108">
        <f>IF($B1409="","",IF($E1409="Nghỉ tuần",N($G1409),0))</f>
        <v/>
      </c>
      <c r="L1409" s="108">
        <f>IF($B1409="","",IF($E1409="Lễ",N($G1409),0))</f>
        <v/>
      </c>
      <c r="M1409" s="108">
        <f>IF($B1409="","",IF($E1409="Ngày thường",N($H1409),0))</f>
        <v/>
      </c>
      <c r="N1409" s="108">
        <f>IF($B1409="","",IF($E1409="Nghỉ tuần",N($H1409),0))</f>
        <v/>
      </c>
      <c r="O1409" s="108">
        <f>IF($B1409="","",IF($E1409="Lễ",N($H1409),0))</f>
        <v/>
      </c>
    </row>
    <row r="1410" ht="15" customHeight="1" s="63">
      <c r="A1410" s="85">
        <f>IF($B1410="","",ROW()-5)</f>
        <v/>
      </c>
      <c r="B1410" s="97" t="n"/>
      <c r="C1410" s="96">
        <f>IF($B1410="","",IFERROR(INDEX(DM_NHAN_SU!$C$6:$C$155,MATCH($B1410,DM_NHAN_SU!$B$6:$B$155,0)),"SAI MÃ NV"))</f>
        <v/>
      </c>
      <c r="D1410" s="86" t="n"/>
      <c r="E1410" s="103">
        <f>IF(OR($B1410="",$D1410=""),"",IF(COUNTIF(THAM_SO_CC!$F$10:$F$40,$D1410)&gt;0,"Lễ",IF(IF(THAM_SO_CC!$B$12="T7+CN",WEEKDAY($D1410,2)&gt;=6,WEEKDAY($D1410,2)=7),"Nghỉ tuần","Ngày thường")))</f>
        <v/>
      </c>
      <c r="F1410" s="107" t="n"/>
      <c r="G1410" s="107" t="n"/>
      <c r="H1410" s="107" t="n"/>
      <c r="I1410" s="81" t="n"/>
      <c r="J1410" s="108">
        <f>IF($B1410="","",IF($E1410="Ngày thường",N($G1410),0))</f>
        <v/>
      </c>
      <c r="K1410" s="108">
        <f>IF($B1410="","",IF($E1410="Nghỉ tuần",N($G1410),0))</f>
        <v/>
      </c>
      <c r="L1410" s="108">
        <f>IF($B1410="","",IF($E1410="Lễ",N($G1410),0))</f>
        <v/>
      </c>
      <c r="M1410" s="108">
        <f>IF($B1410="","",IF($E1410="Ngày thường",N($H1410),0))</f>
        <v/>
      </c>
      <c r="N1410" s="108">
        <f>IF($B1410="","",IF($E1410="Nghỉ tuần",N($H1410),0))</f>
        <v/>
      </c>
      <c r="O1410" s="108">
        <f>IF($B1410="","",IF($E1410="Lễ",N($H1410),0))</f>
        <v/>
      </c>
    </row>
    <row r="1411" ht="15" customHeight="1" s="63">
      <c r="A1411" s="85">
        <f>IF($B1411="","",ROW()-5)</f>
        <v/>
      </c>
      <c r="B1411" s="97" t="n"/>
      <c r="C1411" s="96">
        <f>IF($B1411="","",IFERROR(INDEX(DM_NHAN_SU!$C$6:$C$155,MATCH($B1411,DM_NHAN_SU!$B$6:$B$155,0)),"SAI MÃ NV"))</f>
        <v/>
      </c>
      <c r="D1411" s="86" t="n"/>
      <c r="E1411" s="103">
        <f>IF(OR($B1411="",$D1411=""),"",IF(COUNTIF(THAM_SO_CC!$F$10:$F$40,$D1411)&gt;0,"Lễ",IF(IF(THAM_SO_CC!$B$12="T7+CN",WEEKDAY($D1411,2)&gt;=6,WEEKDAY($D1411,2)=7),"Nghỉ tuần","Ngày thường")))</f>
        <v/>
      </c>
      <c r="F1411" s="107" t="n"/>
      <c r="G1411" s="107" t="n"/>
      <c r="H1411" s="107" t="n"/>
      <c r="I1411" s="81" t="n"/>
      <c r="J1411" s="108">
        <f>IF($B1411="","",IF($E1411="Ngày thường",N($G1411),0))</f>
        <v/>
      </c>
      <c r="K1411" s="108">
        <f>IF($B1411="","",IF($E1411="Nghỉ tuần",N($G1411),0))</f>
        <v/>
      </c>
      <c r="L1411" s="108">
        <f>IF($B1411="","",IF($E1411="Lễ",N($G1411),0))</f>
        <v/>
      </c>
      <c r="M1411" s="108">
        <f>IF($B1411="","",IF($E1411="Ngày thường",N($H1411),0))</f>
        <v/>
      </c>
      <c r="N1411" s="108">
        <f>IF($B1411="","",IF($E1411="Nghỉ tuần",N($H1411),0))</f>
        <v/>
      </c>
      <c r="O1411" s="108">
        <f>IF($B1411="","",IF($E1411="Lễ",N($H1411),0))</f>
        <v/>
      </c>
    </row>
    <row r="1412" ht="15" customHeight="1" s="63">
      <c r="A1412" s="85">
        <f>IF($B1412="","",ROW()-5)</f>
        <v/>
      </c>
      <c r="B1412" s="97" t="n"/>
      <c r="C1412" s="96">
        <f>IF($B1412="","",IFERROR(INDEX(DM_NHAN_SU!$C$6:$C$155,MATCH($B1412,DM_NHAN_SU!$B$6:$B$155,0)),"SAI MÃ NV"))</f>
        <v/>
      </c>
      <c r="D1412" s="86" t="n"/>
      <c r="E1412" s="103">
        <f>IF(OR($B1412="",$D1412=""),"",IF(COUNTIF(THAM_SO_CC!$F$10:$F$40,$D1412)&gt;0,"Lễ",IF(IF(THAM_SO_CC!$B$12="T7+CN",WEEKDAY($D1412,2)&gt;=6,WEEKDAY($D1412,2)=7),"Nghỉ tuần","Ngày thường")))</f>
        <v/>
      </c>
      <c r="F1412" s="107" t="n"/>
      <c r="G1412" s="107" t="n"/>
      <c r="H1412" s="107" t="n"/>
      <c r="I1412" s="81" t="n"/>
      <c r="J1412" s="108">
        <f>IF($B1412="","",IF($E1412="Ngày thường",N($G1412),0))</f>
        <v/>
      </c>
      <c r="K1412" s="108">
        <f>IF($B1412="","",IF($E1412="Nghỉ tuần",N($G1412),0))</f>
        <v/>
      </c>
      <c r="L1412" s="108">
        <f>IF($B1412="","",IF($E1412="Lễ",N($G1412),0))</f>
        <v/>
      </c>
      <c r="M1412" s="108">
        <f>IF($B1412="","",IF($E1412="Ngày thường",N($H1412),0))</f>
        <v/>
      </c>
      <c r="N1412" s="108">
        <f>IF($B1412="","",IF($E1412="Nghỉ tuần",N($H1412),0))</f>
        <v/>
      </c>
      <c r="O1412" s="108">
        <f>IF($B1412="","",IF($E1412="Lễ",N($H1412),0))</f>
        <v/>
      </c>
    </row>
    <row r="1413" ht="15" customHeight="1" s="63">
      <c r="A1413" s="85">
        <f>IF($B1413="","",ROW()-5)</f>
        <v/>
      </c>
      <c r="B1413" s="97" t="n"/>
      <c r="C1413" s="96">
        <f>IF($B1413="","",IFERROR(INDEX(DM_NHAN_SU!$C$6:$C$155,MATCH($B1413,DM_NHAN_SU!$B$6:$B$155,0)),"SAI MÃ NV"))</f>
        <v/>
      </c>
      <c r="D1413" s="86" t="n"/>
      <c r="E1413" s="103">
        <f>IF(OR($B1413="",$D1413=""),"",IF(COUNTIF(THAM_SO_CC!$F$10:$F$40,$D1413)&gt;0,"Lễ",IF(IF(THAM_SO_CC!$B$12="T7+CN",WEEKDAY($D1413,2)&gt;=6,WEEKDAY($D1413,2)=7),"Nghỉ tuần","Ngày thường")))</f>
        <v/>
      </c>
      <c r="F1413" s="107" t="n"/>
      <c r="G1413" s="107" t="n"/>
      <c r="H1413" s="107" t="n"/>
      <c r="I1413" s="81" t="n"/>
      <c r="J1413" s="108">
        <f>IF($B1413="","",IF($E1413="Ngày thường",N($G1413),0))</f>
        <v/>
      </c>
      <c r="K1413" s="108">
        <f>IF($B1413="","",IF($E1413="Nghỉ tuần",N($G1413),0))</f>
        <v/>
      </c>
      <c r="L1413" s="108">
        <f>IF($B1413="","",IF($E1413="Lễ",N($G1413),0))</f>
        <v/>
      </c>
      <c r="M1413" s="108">
        <f>IF($B1413="","",IF($E1413="Ngày thường",N($H1413),0))</f>
        <v/>
      </c>
      <c r="N1413" s="108">
        <f>IF($B1413="","",IF($E1413="Nghỉ tuần",N($H1413),0))</f>
        <v/>
      </c>
      <c r="O1413" s="108">
        <f>IF($B1413="","",IF($E1413="Lễ",N($H1413),0))</f>
        <v/>
      </c>
    </row>
    <row r="1414" ht="15" customHeight="1" s="63">
      <c r="A1414" s="85">
        <f>IF($B1414="","",ROW()-5)</f>
        <v/>
      </c>
      <c r="B1414" s="97" t="n"/>
      <c r="C1414" s="96">
        <f>IF($B1414="","",IFERROR(INDEX(DM_NHAN_SU!$C$6:$C$155,MATCH($B1414,DM_NHAN_SU!$B$6:$B$155,0)),"SAI MÃ NV"))</f>
        <v/>
      </c>
      <c r="D1414" s="86" t="n"/>
      <c r="E1414" s="103">
        <f>IF(OR($B1414="",$D1414=""),"",IF(COUNTIF(THAM_SO_CC!$F$10:$F$40,$D1414)&gt;0,"Lễ",IF(IF(THAM_SO_CC!$B$12="T7+CN",WEEKDAY($D1414,2)&gt;=6,WEEKDAY($D1414,2)=7),"Nghỉ tuần","Ngày thường")))</f>
        <v/>
      </c>
      <c r="F1414" s="107" t="n"/>
      <c r="G1414" s="107" t="n"/>
      <c r="H1414" s="107" t="n"/>
      <c r="I1414" s="81" t="n"/>
      <c r="J1414" s="108">
        <f>IF($B1414="","",IF($E1414="Ngày thường",N($G1414),0))</f>
        <v/>
      </c>
      <c r="K1414" s="108">
        <f>IF($B1414="","",IF($E1414="Nghỉ tuần",N($G1414),0))</f>
        <v/>
      </c>
      <c r="L1414" s="108">
        <f>IF($B1414="","",IF($E1414="Lễ",N($G1414),0))</f>
        <v/>
      </c>
      <c r="M1414" s="108">
        <f>IF($B1414="","",IF($E1414="Ngày thường",N($H1414),0))</f>
        <v/>
      </c>
      <c r="N1414" s="108">
        <f>IF($B1414="","",IF($E1414="Nghỉ tuần",N($H1414),0))</f>
        <v/>
      </c>
      <c r="O1414" s="108">
        <f>IF($B1414="","",IF($E1414="Lễ",N($H1414),0))</f>
        <v/>
      </c>
    </row>
    <row r="1415" ht="15" customHeight="1" s="63">
      <c r="A1415" s="85">
        <f>IF($B1415="","",ROW()-5)</f>
        <v/>
      </c>
      <c r="B1415" s="97" t="n"/>
      <c r="C1415" s="96">
        <f>IF($B1415="","",IFERROR(INDEX(DM_NHAN_SU!$C$6:$C$155,MATCH($B1415,DM_NHAN_SU!$B$6:$B$155,0)),"SAI MÃ NV"))</f>
        <v/>
      </c>
      <c r="D1415" s="86" t="n"/>
      <c r="E1415" s="103">
        <f>IF(OR($B1415="",$D1415=""),"",IF(COUNTIF(THAM_SO_CC!$F$10:$F$40,$D1415)&gt;0,"Lễ",IF(IF(THAM_SO_CC!$B$12="T7+CN",WEEKDAY($D1415,2)&gt;=6,WEEKDAY($D1415,2)=7),"Nghỉ tuần","Ngày thường")))</f>
        <v/>
      </c>
      <c r="F1415" s="107" t="n"/>
      <c r="G1415" s="107" t="n"/>
      <c r="H1415" s="107" t="n"/>
      <c r="I1415" s="81" t="n"/>
      <c r="J1415" s="108">
        <f>IF($B1415="","",IF($E1415="Ngày thường",N($G1415),0))</f>
        <v/>
      </c>
      <c r="K1415" s="108">
        <f>IF($B1415="","",IF($E1415="Nghỉ tuần",N($G1415),0))</f>
        <v/>
      </c>
      <c r="L1415" s="108">
        <f>IF($B1415="","",IF($E1415="Lễ",N($G1415),0))</f>
        <v/>
      </c>
      <c r="M1415" s="108">
        <f>IF($B1415="","",IF($E1415="Ngày thường",N($H1415),0))</f>
        <v/>
      </c>
      <c r="N1415" s="108">
        <f>IF($B1415="","",IF($E1415="Nghỉ tuần",N($H1415),0))</f>
        <v/>
      </c>
      <c r="O1415" s="108">
        <f>IF($B1415="","",IF($E1415="Lễ",N($H1415),0))</f>
        <v/>
      </c>
    </row>
    <row r="1416" ht="15" customHeight="1" s="63">
      <c r="A1416" s="85">
        <f>IF($B1416="","",ROW()-5)</f>
        <v/>
      </c>
      <c r="B1416" s="97" t="n"/>
      <c r="C1416" s="96">
        <f>IF($B1416="","",IFERROR(INDEX(DM_NHAN_SU!$C$6:$C$155,MATCH($B1416,DM_NHAN_SU!$B$6:$B$155,0)),"SAI MÃ NV"))</f>
        <v/>
      </c>
      <c r="D1416" s="86" t="n"/>
      <c r="E1416" s="103">
        <f>IF(OR($B1416="",$D1416=""),"",IF(COUNTIF(THAM_SO_CC!$F$10:$F$40,$D1416)&gt;0,"Lễ",IF(IF(THAM_SO_CC!$B$12="T7+CN",WEEKDAY($D1416,2)&gt;=6,WEEKDAY($D1416,2)=7),"Nghỉ tuần","Ngày thường")))</f>
        <v/>
      </c>
      <c r="F1416" s="107" t="n"/>
      <c r="G1416" s="107" t="n"/>
      <c r="H1416" s="107" t="n"/>
      <c r="I1416" s="81" t="n"/>
      <c r="J1416" s="108">
        <f>IF($B1416="","",IF($E1416="Ngày thường",N($G1416),0))</f>
        <v/>
      </c>
      <c r="K1416" s="108">
        <f>IF($B1416="","",IF($E1416="Nghỉ tuần",N($G1416),0))</f>
        <v/>
      </c>
      <c r="L1416" s="108">
        <f>IF($B1416="","",IF($E1416="Lễ",N($G1416),0))</f>
        <v/>
      </c>
      <c r="M1416" s="108">
        <f>IF($B1416="","",IF($E1416="Ngày thường",N($H1416),0))</f>
        <v/>
      </c>
      <c r="N1416" s="108">
        <f>IF($B1416="","",IF($E1416="Nghỉ tuần",N($H1416),0))</f>
        <v/>
      </c>
      <c r="O1416" s="108">
        <f>IF($B1416="","",IF($E1416="Lễ",N($H1416),0))</f>
        <v/>
      </c>
    </row>
    <row r="1417" ht="15" customHeight="1" s="63">
      <c r="A1417" s="85">
        <f>IF($B1417="","",ROW()-5)</f>
        <v/>
      </c>
      <c r="B1417" s="97" t="n"/>
      <c r="C1417" s="96">
        <f>IF($B1417="","",IFERROR(INDEX(DM_NHAN_SU!$C$6:$C$155,MATCH($B1417,DM_NHAN_SU!$B$6:$B$155,0)),"SAI MÃ NV"))</f>
        <v/>
      </c>
      <c r="D1417" s="86" t="n"/>
      <c r="E1417" s="103">
        <f>IF(OR($B1417="",$D1417=""),"",IF(COUNTIF(THAM_SO_CC!$F$10:$F$40,$D1417)&gt;0,"Lễ",IF(IF(THAM_SO_CC!$B$12="T7+CN",WEEKDAY($D1417,2)&gt;=6,WEEKDAY($D1417,2)=7),"Nghỉ tuần","Ngày thường")))</f>
        <v/>
      </c>
      <c r="F1417" s="107" t="n"/>
      <c r="G1417" s="107" t="n"/>
      <c r="H1417" s="107" t="n"/>
      <c r="I1417" s="81" t="n"/>
      <c r="J1417" s="108">
        <f>IF($B1417="","",IF($E1417="Ngày thường",N($G1417),0))</f>
        <v/>
      </c>
      <c r="K1417" s="108">
        <f>IF($B1417="","",IF($E1417="Nghỉ tuần",N($G1417),0))</f>
        <v/>
      </c>
      <c r="L1417" s="108">
        <f>IF($B1417="","",IF($E1417="Lễ",N($G1417),0))</f>
        <v/>
      </c>
      <c r="M1417" s="108">
        <f>IF($B1417="","",IF($E1417="Ngày thường",N($H1417),0))</f>
        <v/>
      </c>
      <c r="N1417" s="108">
        <f>IF($B1417="","",IF($E1417="Nghỉ tuần",N($H1417),0))</f>
        <v/>
      </c>
      <c r="O1417" s="108">
        <f>IF($B1417="","",IF($E1417="Lễ",N($H1417),0))</f>
        <v/>
      </c>
    </row>
    <row r="1418" ht="15" customHeight="1" s="63">
      <c r="A1418" s="85">
        <f>IF($B1418="","",ROW()-5)</f>
        <v/>
      </c>
      <c r="B1418" s="97" t="n"/>
      <c r="C1418" s="96">
        <f>IF($B1418="","",IFERROR(INDEX(DM_NHAN_SU!$C$6:$C$155,MATCH($B1418,DM_NHAN_SU!$B$6:$B$155,0)),"SAI MÃ NV"))</f>
        <v/>
      </c>
      <c r="D1418" s="86" t="n"/>
      <c r="E1418" s="103">
        <f>IF(OR($B1418="",$D1418=""),"",IF(COUNTIF(THAM_SO_CC!$F$10:$F$40,$D1418)&gt;0,"Lễ",IF(IF(THAM_SO_CC!$B$12="T7+CN",WEEKDAY($D1418,2)&gt;=6,WEEKDAY($D1418,2)=7),"Nghỉ tuần","Ngày thường")))</f>
        <v/>
      </c>
      <c r="F1418" s="107" t="n"/>
      <c r="G1418" s="107" t="n"/>
      <c r="H1418" s="107" t="n"/>
      <c r="I1418" s="81" t="n"/>
      <c r="J1418" s="108">
        <f>IF($B1418="","",IF($E1418="Ngày thường",N($G1418),0))</f>
        <v/>
      </c>
      <c r="K1418" s="108">
        <f>IF($B1418="","",IF($E1418="Nghỉ tuần",N($G1418),0))</f>
        <v/>
      </c>
      <c r="L1418" s="108">
        <f>IF($B1418="","",IF($E1418="Lễ",N($G1418),0))</f>
        <v/>
      </c>
      <c r="M1418" s="108">
        <f>IF($B1418="","",IF($E1418="Ngày thường",N($H1418),0))</f>
        <v/>
      </c>
      <c r="N1418" s="108">
        <f>IF($B1418="","",IF($E1418="Nghỉ tuần",N($H1418),0))</f>
        <v/>
      </c>
      <c r="O1418" s="108">
        <f>IF($B1418="","",IF($E1418="Lễ",N($H1418),0))</f>
        <v/>
      </c>
    </row>
    <row r="1419" ht="15" customHeight="1" s="63">
      <c r="A1419" s="85">
        <f>IF($B1419="","",ROW()-5)</f>
        <v/>
      </c>
      <c r="B1419" s="97" t="n"/>
      <c r="C1419" s="96">
        <f>IF($B1419="","",IFERROR(INDEX(DM_NHAN_SU!$C$6:$C$155,MATCH($B1419,DM_NHAN_SU!$B$6:$B$155,0)),"SAI MÃ NV"))</f>
        <v/>
      </c>
      <c r="D1419" s="86" t="n"/>
      <c r="E1419" s="103">
        <f>IF(OR($B1419="",$D1419=""),"",IF(COUNTIF(THAM_SO_CC!$F$10:$F$40,$D1419)&gt;0,"Lễ",IF(IF(THAM_SO_CC!$B$12="T7+CN",WEEKDAY($D1419,2)&gt;=6,WEEKDAY($D1419,2)=7),"Nghỉ tuần","Ngày thường")))</f>
        <v/>
      </c>
      <c r="F1419" s="107" t="n"/>
      <c r="G1419" s="107" t="n"/>
      <c r="H1419" s="107" t="n"/>
      <c r="I1419" s="81" t="n"/>
      <c r="J1419" s="108">
        <f>IF($B1419="","",IF($E1419="Ngày thường",N($G1419),0))</f>
        <v/>
      </c>
      <c r="K1419" s="108">
        <f>IF($B1419="","",IF($E1419="Nghỉ tuần",N($G1419),0))</f>
        <v/>
      </c>
      <c r="L1419" s="108">
        <f>IF($B1419="","",IF($E1419="Lễ",N($G1419),0))</f>
        <v/>
      </c>
      <c r="M1419" s="108">
        <f>IF($B1419="","",IF($E1419="Ngày thường",N($H1419),0))</f>
        <v/>
      </c>
      <c r="N1419" s="108">
        <f>IF($B1419="","",IF($E1419="Nghỉ tuần",N($H1419),0))</f>
        <v/>
      </c>
      <c r="O1419" s="108">
        <f>IF($B1419="","",IF($E1419="Lễ",N($H1419),0))</f>
        <v/>
      </c>
    </row>
    <row r="1420" ht="15" customHeight="1" s="63">
      <c r="A1420" s="85">
        <f>IF($B1420="","",ROW()-5)</f>
        <v/>
      </c>
      <c r="B1420" s="97" t="n"/>
      <c r="C1420" s="96">
        <f>IF($B1420="","",IFERROR(INDEX(DM_NHAN_SU!$C$6:$C$155,MATCH($B1420,DM_NHAN_SU!$B$6:$B$155,0)),"SAI MÃ NV"))</f>
        <v/>
      </c>
      <c r="D1420" s="86" t="n"/>
      <c r="E1420" s="103">
        <f>IF(OR($B1420="",$D1420=""),"",IF(COUNTIF(THAM_SO_CC!$F$10:$F$40,$D1420)&gt;0,"Lễ",IF(IF(THAM_SO_CC!$B$12="T7+CN",WEEKDAY($D1420,2)&gt;=6,WEEKDAY($D1420,2)=7),"Nghỉ tuần","Ngày thường")))</f>
        <v/>
      </c>
      <c r="F1420" s="107" t="n"/>
      <c r="G1420" s="107" t="n"/>
      <c r="H1420" s="107" t="n"/>
      <c r="I1420" s="81" t="n"/>
      <c r="J1420" s="108">
        <f>IF($B1420="","",IF($E1420="Ngày thường",N($G1420),0))</f>
        <v/>
      </c>
      <c r="K1420" s="108">
        <f>IF($B1420="","",IF($E1420="Nghỉ tuần",N($G1420),0))</f>
        <v/>
      </c>
      <c r="L1420" s="108">
        <f>IF($B1420="","",IF($E1420="Lễ",N($G1420),0))</f>
        <v/>
      </c>
      <c r="M1420" s="108">
        <f>IF($B1420="","",IF($E1420="Ngày thường",N($H1420),0))</f>
        <v/>
      </c>
      <c r="N1420" s="108">
        <f>IF($B1420="","",IF($E1420="Nghỉ tuần",N($H1420),0))</f>
        <v/>
      </c>
      <c r="O1420" s="108">
        <f>IF($B1420="","",IF($E1420="Lễ",N($H1420),0))</f>
        <v/>
      </c>
    </row>
    <row r="1421" ht="15" customHeight="1" s="63">
      <c r="A1421" s="85">
        <f>IF($B1421="","",ROW()-5)</f>
        <v/>
      </c>
      <c r="B1421" s="97" t="n"/>
      <c r="C1421" s="96">
        <f>IF($B1421="","",IFERROR(INDEX(DM_NHAN_SU!$C$6:$C$155,MATCH($B1421,DM_NHAN_SU!$B$6:$B$155,0)),"SAI MÃ NV"))</f>
        <v/>
      </c>
      <c r="D1421" s="86" t="n"/>
      <c r="E1421" s="103">
        <f>IF(OR($B1421="",$D1421=""),"",IF(COUNTIF(THAM_SO_CC!$F$10:$F$40,$D1421)&gt;0,"Lễ",IF(IF(THAM_SO_CC!$B$12="T7+CN",WEEKDAY($D1421,2)&gt;=6,WEEKDAY($D1421,2)=7),"Nghỉ tuần","Ngày thường")))</f>
        <v/>
      </c>
      <c r="F1421" s="107" t="n"/>
      <c r="G1421" s="107" t="n"/>
      <c r="H1421" s="107" t="n"/>
      <c r="I1421" s="81" t="n"/>
      <c r="J1421" s="108">
        <f>IF($B1421="","",IF($E1421="Ngày thường",N($G1421),0))</f>
        <v/>
      </c>
      <c r="K1421" s="108">
        <f>IF($B1421="","",IF($E1421="Nghỉ tuần",N($G1421),0))</f>
        <v/>
      </c>
      <c r="L1421" s="108">
        <f>IF($B1421="","",IF($E1421="Lễ",N($G1421),0))</f>
        <v/>
      </c>
      <c r="M1421" s="108">
        <f>IF($B1421="","",IF($E1421="Ngày thường",N($H1421),0))</f>
        <v/>
      </c>
      <c r="N1421" s="108">
        <f>IF($B1421="","",IF($E1421="Nghỉ tuần",N($H1421),0))</f>
        <v/>
      </c>
      <c r="O1421" s="108">
        <f>IF($B1421="","",IF($E1421="Lễ",N($H1421),0))</f>
        <v/>
      </c>
    </row>
    <row r="1422" ht="15" customHeight="1" s="63">
      <c r="A1422" s="85">
        <f>IF($B1422="","",ROW()-5)</f>
        <v/>
      </c>
      <c r="B1422" s="97" t="n"/>
      <c r="C1422" s="96">
        <f>IF($B1422="","",IFERROR(INDEX(DM_NHAN_SU!$C$6:$C$155,MATCH($B1422,DM_NHAN_SU!$B$6:$B$155,0)),"SAI MÃ NV"))</f>
        <v/>
      </c>
      <c r="D1422" s="86" t="n"/>
      <c r="E1422" s="103">
        <f>IF(OR($B1422="",$D1422=""),"",IF(COUNTIF(THAM_SO_CC!$F$10:$F$40,$D1422)&gt;0,"Lễ",IF(IF(THAM_SO_CC!$B$12="T7+CN",WEEKDAY($D1422,2)&gt;=6,WEEKDAY($D1422,2)=7),"Nghỉ tuần","Ngày thường")))</f>
        <v/>
      </c>
      <c r="F1422" s="107" t="n"/>
      <c r="G1422" s="107" t="n"/>
      <c r="H1422" s="107" t="n"/>
      <c r="I1422" s="81" t="n"/>
      <c r="J1422" s="108">
        <f>IF($B1422="","",IF($E1422="Ngày thường",N($G1422),0))</f>
        <v/>
      </c>
      <c r="K1422" s="108">
        <f>IF($B1422="","",IF($E1422="Nghỉ tuần",N($G1422),0))</f>
        <v/>
      </c>
      <c r="L1422" s="108">
        <f>IF($B1422="","",IF($E1422="Lễ",N($G1422),0))</f>
        <v/>
      </c>
      <c r="M1422" s="108">
        <f>IF($B1422="","",IF($E1422="Ngày thường",N($H1422),0))</f>
        <v/>
      </c>
      <c r="N1422" s="108">
        <f>IF($B1422="","",IF($E1422="Nghỉ tuần",N($H1422),0))</f>
        <v/>
      </c>
      <c r="O1422" s="108">
        <f>IF($B1422="","",IF($E1422="Lễ",N($H1422),0))</f>
        <v/>
      </c>
    </row>
    <row r="1423" ht="15" customHeight="1" s="63">
      <c r="A1423" s="85">
        <f>IF($B1423="","",ROW()-5)</f>
        <v/>
      </c>
      <c r="B1423" s="97" t="n"/>
      <c r="C1423" s="96">
        <f>IF($B1423="","",IFERROR(INDEX(DM_NHAN_SU!$C$6:$C$155,MATCH($B1423,DM_NHAN_SU!$B$6:$B$155,0)),"SAI MÃ NV"))</f>
        <v/>
      </c>
      <c r="D1423" s="86" t="n"/>
      <c r="E1423" s="103">
        <f>IF(OR($B1423="",$D1423=""),"",IF(COUNTIF(THAM_SO_CC!$F$10:$F$40,$D1423)&gt;0,"Lễ",IF(IF(THAM_SO_CC!$B$12="T7+CN",WEEKDAY($D1423,2)&gt;=6,WEEKDAY($D1423,2)=7),"Nghỉ tuần","Ngày thường")))</f>
        <v/>
      </c>
      <c r="F1423" s="107" t="n"/>
      <c r="G1423" s="107" t="n"/>
      <c r="H1423" s="107" t="n"/>
      <c r="I1423" s="81" t="n"/>
      <c r="J1423" s="108">
        <f>IF($B1423="","",IF($E1423="Ngày thường",N($G1423),0))</f>
        <v/>
      </c>
      <c r="K1423" s="108">
        <f>IF($B1423="","",IF($E1423="Nghỉ tuần",N($G1423),0))</f>
        <v/>
      </c>
      <c r="L1423" s="108">
        <f>IF($B1423="","",IF($E1423="Lễ",N($G1423),0))</f>
        <v/>
      </c>
      <c r="M1423" s="108">
        <f>IF($B1423="","",IF($E1423="Ngày thường",N($H1423),0))</f>
        <v/>
      </c>
      <c r="N1423" s="108">
        <f>IF($B1423="","",IF($E1423="Nghỉ tuần",N($H1423),0))</f>
        <v/>
      </c>
      <c r="O1423" s="108">
        <f>IF($B1423="","",IF($E1423="Lễ",N($H1423),0))</f>
        <v/>
      </c>
    </row>
    <row r="1424" ht="15" customHeight="1" s="63">
      <c r="A1424" s="85">
        <f>IF($B1424="","",ROW()-5)</f>
        <v/>
      </c>
      <c r="B1424" s="97" t="n"/>
      <c r="C1424" s="96">
        <f>IF($B1424="","",IFERROR(INDEX(DM_NHAN_SU!$C$6:$C$155,MATCH($B1424,DM_NHAN_SU!$B$6:$B$155,0)),"SAI MÃ NV"))</f>
        <v/>
      </c>
      <c r="D1424" s="86" t="n"/>
      <c r="E1424" s="103">
        <f>IF(OR($B1424="",$D1424=""),"",IF(COUNTIF(THAM_SO_CC!$F$10:$F$40,$D1424)&gt;0,"Lễ",IF(IF(THAM_SO_CC!$B$12="T7+CN",WEEKDAY($D1424,2)&gt;=6,WEEKDAY($D1424,2)=7),"Nghỉ tuần","Ngày thường")))</f>
        <v/>
      </c>
      <c r="F1424" s="107" t="n"/>
      <c r="G1424" s="107" t="n"/>
      <c r="H1424" s="107" t="n"/>
      <c r="I1424" s="81" t="n"/>
      <c r="J1424" s="108">
        <f>IF($B1424="","",IF($E1424="Ngày thường",N($G1424),0))</f>
        <v/>
      </c>
      <c r="K1424" s="108">
        <f>IF($B1424="","",IF($E1424="Nghỉ tuần",N($G1424),0))</f>
        <v/>
      </c>
      <c r="L1424" s="108">
        <f>IF($B1424="","",IF($E1424="Lễ",N($G1424),0))</f>
        <v/>
      </c>
      <c r="M1424" s="108">
        <f>IF($B1424="","",IF($E1424="Ngày thường",N($H1424),0))</f>
        <v/>
      </c>
      <c r="N1424" s="108">
        <f>IF($B1424="","",IF($E1424="Nghỉ tuần",N($H1424),0))</f>
        <v/>
      </c>
      <c r="O1424" s="108">
        <f>IF($B1424="","",IF($E1424="Lễ",N($H1424),0))</f>
        <v/>
      </c>
    </row>
    <row r="1425" ht="15" customHeight="1" s="63">
      <c r="A1425" s="85">
        <f>IF($B1425="","",ROW()-5)</f>
        <v/>
      </c>
      <c r="B1425" s="97" t="n"/>
      <c r="C1425" s="96">
        <f>IF($B1425="","",IFERROR(INDEX(DM_NHAN_SU!$C$6:$C$155,MATCH($B1425,DM_NHAN_SU!$B$6:$B$155,0)),"SAI MÃ NV"))</f>
        <v/>
      </c>
      <c r="D1425" s="86" t="n"/>
      <c r="E1425" s="103">
        <f>IF(OR($B1425="",$D1425=""),"",IF(COUNTIF(THAM_SO_CC!$F$10:$F$40,$D1425)&gt;0,"Lễ",IF(IF(THAM_SO_CC!$B$12="T7+CN",WEEKDAY($D1425,2)&gt;=6,WEEKDAY($D1425,2)=7),"Nghỉ tuần","Ngày thường")))</f>
        <v/>
      </c>
      <c r="F1425" s="107" t="n"/>
      <c r="G1425" s="107" t="n"/>
      <c r="H1425" s="107" t="n"/>
      <c r="I1425" s="81" t="n"/>
      <c r="J1425" s="108">
        <f>IF($B1425="","",IF($E1425="Ngày thường",N($G1425),0))</f>
        <v/>
      </c>
      <c r="K1425" s="108">
        <f>IF($B1425="","",IF($E1425="Nghỉ tuần",N($G1425),0))</f>
        <v/>
      </c>
      <c r="L1425" s="108">
        <f>IF($B1425="","",IF($E1425="Lễ",N($G1425),0))</f>
        <v/>
      </c>
      <c r="M1425" s="108">
        <f>IF($B1425="","",IF($E1425="Ngày thường",N($H1425),0))</f>
        <v/>
      </c>
      <c r="N1425" s="108">
        <f>IF($B1425="","",IF($E1425="Nghỉ tuần",N($H1425),0))</f>
        <v/>
      </c>
      <c r="O1425" s="108">
        <f>IF($B1425="","",IF($E1425="Lễ",N($H1425),0))</f>
        <v/>
      </c>
    </row>
    <row r="1426" ht="15" customHeight="1" s="63">
      <c r="A1426" s="85">
        <f>IF($B1426="","",ROW()-5)</f>
        <v/>
      </c>
      <c r="B1426" s="97" t="n"/>
      <c r="C1426" s="96">
        <f>IF($B1426="","",IFERROR(INDEX(DM_NHAN_SU!$C$6:$C$155,MATCH($B1426,DM_NHAN_SU!$B$6:$B$155,0)),"SAI MÃ NV"))</f>
        <v/>
      </c>
      <c r="D1426" s="86" t="n"/>
      <c r="E1426" s="103">
        <f>IF(OR($B1426="",$D1426=""),"",IF(COUNTIF(THAM_SO_CC!$F$10:$F$40,$D1426)&gt;0,"Lễ",IF(IF(THAM_SO_CC!$B$12="T7+CN",WEEKDAY($D1426,2)&gt;=6,WEEKDAY($D1426,2)=7),"Nghỉ tuần","Ngày thường")))</f>
        <v/>
      </c>
      <c r="F1426" s="107" t="n"/>
      <c r="G1426" s="107" t="n"/>
      <c r="H1426" s="107" t="n"/>
      <c r="I1426" s="81" t="n"/>
      <c r="J1426" s="108">
        <f>IF($B1426="","",IF($E1426="Ngày thường",N($G1426),0))</f>
        <v/>
      </c>
      <c r="K1426" s="108">
        <f>IF($B1426="","",IF($E1426="Nghỉ tuần",N($G1426),0))</f>
        <v/>
      </c>
      <c r="L1426" s="108">
        <f>IF($B1426="","",IF($E1426="Lễ",N($G1426),0))</f>
        <v/>
      </c>
      <c r="M1426" s="108">
        <f>IF($B1426="","",IF($E1426="Ngày thường",N($H1426),0))</f>
        <v/>
      </c>
      <c r="N1426" s="108">
        <f>IF($B1426="","",IF($E1426="Nghỉ tuần",N($H1426),0))</f>
        <v/>
      </c>
      <c r="O1426" s="108">
        <f>IF($B1426="","",IF($E1426="Lễ",N($H1426),0))</f>
        <v/>
      </c>
    </row>
    <row r="1427" ht="15" customHeight="1" s="63">
      <c r="A1427" s="85">
        <f>IF($B1427="","",ROW()-5)</f>
        <v/>
      </c>
      <c r="B1427" s="97" t="n"/>
      <c r="C1427" s="96">
        <f>IF($B1427="","",IFERROR(INDEX(DM_NHAN_SU!$C$6:$C$155,MATCH($B1427,DM_NHAN_SU!$B$6:$B$155,0)),"SAI MÃ NV"))</f>
        <v/>
      </c>
      <c r="D1427" s="86" t="n"/>
      <c r="E1427" s="103">
        <f>IF(OR($B1427="",$D1427=""),"",IF(COUNTIF(THAM_SO_CC!$F$10:$F$40,$D1427)&gt;0,"Lễ",IF(IF(THAM_SO_CC!$B$12="T7+CN",WEEKDAY($D1427,2)&gt;=6,WEEKDAY($D1427,2)=7),"Nghỉ tuần","Ngày thường")))</f>
        <v/>
      </c>
      <c r="F1427" s="107" t="n"/>
      <c r="G1427" s="107" t="n"/>
      <c r="H1427" s="107" t="n"/>
      <c r="I1427" s="81" t="n"/>
      <c r="J1427" s="108">
        <f>IF($B1427="","",IF($E1427="Ngày thường",N($G1427),0))</f>
        <v/>
      </c>
      <c r="K1427" s="108">
        <f>IF($B1427="","",IF($E1427="Nghỉ tuần",N($G1427),0))</f>
        <v/>
      </c>
      <c r="L1427" s="108">
        <f>IF($B1427="","",IF($E1427="Lễ",N($G1427),0))</f>
        <v/>
      </c>
      <c r="M1427" s="108">
        <f>IF($B1427="","",IF($E1427="Ngày thường",N($H1427),0))</f>
        <v/>
      </c>
      <c r="N1427" s="108">
        <f>IF($B1427="","",IF($E1427="Nghỉ tuần",N($H1427),0))</f>
        <v/>
      </c>
      <c r="O1427" s="108">
        <f>IF($B1427="","",IF($E1427="Lễ",N($H1427),0))</f>
        <v/>
      </c>
    </row>
    <row r="1428" ht="15" customHeight="1" s="63">
      <c r="A1428" s="85">
        <f>IF($B1428="","",ROW()-5)</f>
        <v/>
      </c>
      <c r="B1428" s="97" t="n"/>
      <c r="C1428" s="96">
        <f>IF($B1428="","",IFERROR(INDEX(DM_NHAN_SU!$C$6:$C$155,MATCH($B1428,DM_NHAN_SU!$B$6:$B$155,0)),"SAI MÃ NV"))</f>
        <v/>
      </c>
      <c r="D1428" s="86" t="n"/>
      <c r="E1428" s="103">
        <f>IF(OR($B1428="",$D1428=""),"",IF(COUNTIF(THAM_SO_CC!$F$10:$F$40,$D1428)&gt;0,"Lễ",IF(IF(THAM_SO_CC!$B$12="T7+CN",WEEKDAY($D1428,2)&gt;=6,WEEKDAY($D1428,2)=7),"Nghỉ tuần","Ngày thường")))</f>
        <v/>
      </c>
      <c r="F1428" s="107" t="n"/>
      <c r="G1428" s="107" t="n"/>
      <c r="H1428" s="107" t="n"/>
      <c r="I1428" s="81" t="n"/>
      <c r="J1428" s="108">
        <f>IF($B1428="","",IF($E1428="Ngày thường",N($G1428),0))</f>
        <v/>
      </c>
      <c r="K1428" s="108">
        <f>IF($B1428="","",IF($E1428="Nghỉ tuần",N($G1428),0))</f>
        <v/>
      </c>
      <c r="L1428" s="108">
        <f>IF($B1428="","",IF($E1428="Lễ",N($G1428),0))</f>
        <v/>
      </c>
      <c r="M1428" s="108">
        <f>IF($B1428="","",IF($E1428="Ngày thường",N($H1428),0))</f>
        <v/>
      </c>
      <c r="N1428" s="108">
        <f>IF($B1428="","",IF($E1428="Nghỉ tuần",N($H1428),0))</f>
        <v/>
      </c>
      <c r="O1428" s="108">
        <f>IF($B1428="","",IF($E1428="Lễ",N($H1428),0))</f>
        <v/>
      </c>
    </row>
    <row r="1429" ht="15" customHeight="1" s="63">
      <c r="A1429" s="85">
        <f>IF($B1429="","",ROW()-5)</f>
        <v/>
      </c>
      <c r="B1429" s="97" t="n"/>
      <c r="C1429" s="96">
        <f>IF($B1429="","",IFERROR(INDEX(DM_NHAN_SU!$C$6:$C$155,MATCH($B1429,DM_NHAN_SU!$B$6:$B$155,0)),"SAI MÃ NV"))</f>
        <v/>
      </c>
      <c r="D1429" s="86" t="n"/>
      <c r="E1429" s="103">
        <f>IF(OR($B1429="",$D1429=""),"",IF(COUNTIF(THAM_SO_CC!$F$10:$F$40,$D1429)&gt;0,"Lễ",IF(IF(THAM_SO_CC!$B$12="T7+CN",WEEKDAY($D1429,2)&gt;=6,WEEKDAY($D1429,2)=7),"Nghỉ tuần","Ngày thường")))</f>
        <v/>
      </c>
      <c r="F1429" s="107" t="n"/>
      <c r="G1429" s="107" t="n"/>
      <c r="H1429" s="107" t="n"/>
      <c r="I1429" s="81" t="n"/>
      <c r="J1429" s="108">
        <f>IF($B1429="","",IF($E1429="Ngày thường",N($G1429),0))</f>
        <v/>
      </c>
      <c r="K1429" s="108">
        <f>IF($B1429="","",IF($E1429="Nghỉ tuần",N($G1429),0))</f>
        <v/>
      </c>
      <c r="L1429" s="108">
        <f>IF($B1429="","",IF($E1429="Lễ",N($G1429),0))</f>
        <v/>
      </c>
      <c r="M1429" s="108">
        <f>IF($B1429="","",IF($E1429="Ngày thường",N($H1429),0))</f>
        <v/>
      </c>
      <c r="N1429" s="108">
        <f>IF($B1429="","",IF($E1429="Nghỉ tuần",N($H1429),0))</f>
        <v/>
      </c>
      <c r="O1429" s="108">
        <f>IF($B1429="","",IF($E1429="Lễ",N($H1429),0))</f>
        <v/>
      </c>
    </row>
    <row r="1430" ht="15" customHeight="1" s="63">
      <c r="A1430" s="85">
        <f>IF($B1430="","",ROW()-5)</f>
        <v/>
      </c>
      <c r="B1430" s="97" t="n"/>
      <c r="C1430" s="96">
        <f>IF($B1430="","",IFERROR(INDEX(DM_NHAN_SU!$C$6:$C$155,MATCH($B1430,DM_NHAN_SU!$B$6:$B$155,0)),"SAI MÃ NV"))</f>
        <v/>
      </c>
      <c r="D1430" s="86" t="n"/>
      <c r="E1430" s="103">
        <f>IF(OR($B1430="",$D1430=""),"",IF(COUNTIF(THAM_SO_CC!$F$10:$F$40,$D1430)&gt;0,"Lễ",IF(IF(THAM_SO_CC!$B$12="T7+CN",WEEKDAY($D1430,2)&gt;=6,WEEKDAY($D1430,2)=7),"Nghỉ tuần","Ngày thường")))</f>
        <v/>
      </c>
      <c r="F1430" s="107" t="n"/>
      <c r="G1430" s="107" t="n"/>
      <c r="H1430" s="107" t="n"/>
      <c r="I1430" s="81" t="n"/>
      <c r="J1430" s="108">
        <f>IF($B1430="","",IF($E1430="Ngày thường",N($G1430),0))</f>
        <v/>
      </c>
      <c r="K1430" s="108">
        <f>IF($B1430="","",IF($E1430="Nghỉ tuần",N($G1430),0))</f>
        <v/>
      </c>
      <c r="L1430" s="108">
        <f>IF($B1430="","",IF($E1430="Lễ",N($G1430),0))</f>
        <v/>
      </c>
      <c r="M1430" s="108">
        <f>IF($B1430="","",IF($E1430="Ngày thường",N($H1430),0))</f>
        <v/>
      </c>
      <c r="N1430" s="108">
        <f>IF($B1430="","",IF($E1430="Nghỉ tuần",N($H1430),0))</f>
        <v/>
      </c>
      <c r="O1430" s="108">
        <f>IF($B1430="","",IF($E1430="Lễ",N($H1430),0))</f>
        <v/>
      </c>
    </row>
    <row r="1431" ht="15" customHeight="1" s="63">
      <c r="A1431" s="85">
        <f>IF($B1431="","",ROW()-5)</f>
        <v/>
      </c>
      <c r="B1431" s="97" t="n"/>
      <c r="C1431" s="96">
        <f>IF($B1431="","",IFERROR(INDEX(DM_NHAN_SU!$C$6:$C$155,MATCH($B1431,DM_NHAN_SU!$B$6:$B$155,0)),"SAI MÃ NV"))</f>
        <v/>
      </c>
      <c r="D1431" s="86" t="n"/>
      <c r="E1431" s="103">
        <f>IF(OR($B1431="",$D1431=""),"",IF(COUNTIF(THAM_SO_CC!$F$10:$F$40,$D1431)&gt;0,"Lễ",IF(IF(THAM_SO_CC!$B$12="T7+CN",WEEKDAY($D1431,2)&gt;=6,WEEKDAY($D1431,2)=7),"Nghỉ tuần","Ngày thường")))</f>
        <v/>
      </c>
      <c r="F1431" s="107" t="n"/>
      <c r="G1431" s="107" t="n"/>
      <c r="H1431" s="107" t="n"/>
      <c r="I1431" s="81" t="n"/>
      <c r="J1431" s="108">
        <f>IF($B1431="","",IF($E1431="Ngày thường",N($G1431),0))</f>
        <v/>
      </c>
      <c r="K1431" s="108">
        <f>IF($B1431="","",IF($E1431="Nghỉ tuần",N($G1431),0))</f>
        <v/>
      </c>
      <c r="L1431" s="108">
        <f>IF($B1431="","",IF($E1431="Lễ",N($G1431),0))</f>
        <v/>
      </c>
      <c r="M1431" s="108">
        <f>IF($B1431="","",IF($E1431="Ngày thường",N($H1431),0))</f>
        <v/>
      </c>
      <c r="N1431" s="108">
        <f>IF($B1431="","",IF($E1431="Nghỉ tuần",N($H1431),0))</f>
        <v/>
      </c>
      <c r="O1431" s="108">
        <f>IF($B1431="","",IF($E1431="Lễ",N($H1431),0))</f>
        <v/>
      </c>
    </row>
    <row r="1432" ht="15" customHeight="1" s="63">
      <c r="A1432" s="85">
        <f>IF($B1432="","",ROW()-5)</f>
        <v/>
      </c>
      <c r="B1432" s="97" t="n"/>
      <c r="C1432" s="96">
        <f>IF($B1432="","",IFERROR(INDEX(DM_NHAN_SU!$C$6:$C$155,MATCH($B1432,DM_NHAN_SU!$B$6:$B$155,0)),"SAI MÃ NV"))</f>
        <v/>
      </c>
      <c r="D1432" s="86" t="n"/>
      <c r="E1432" s="103">
        <f>IF(OR($B1432="",$D1432=""),"",IF(COUNTIF(THAM_SO_CC!$F$10:$F$40,$D1432)&gt;0,"Lễ",IF(IF(THAM_SO_CC!$B$12="T7+CN",WEEKDAY($D1432,2)&gt;=6,WEEKDAY($D1432,2)=7),"Nghỉ tuần","Ngày thường")))</f>
        <v/>
      </c>
      <c r="F1432" s="107" t="n"/>
      <c r="G1432" s="107" t="n"/>
      <c r="H1432" s="107" t="n"/>
      <c r="I1432" s="81" t="n"/>
      <c r="J1432" s="108">
        <f>IF($B1432="","",IF($E1432="Ngày thường",N($G1432),0))</f>
        <v/>
      </c>
      <c r="K1432" s="108">
        <f>IF($B1432="","",IF($E1432="Nghỉ tuần",N($G1432),0))</f>
        <v/>
      </c>
      <c r="L1432" s="108">
        <f>IF($B1432="","",IF($E1432="Lễ",N($G1432),0))</f>
        <v/>
      </c>
      <c r="M1432" s="108">
        <f>IF($B1432="","",IF($E1432="Ngày thường",N($H1432),0))</f>
        <v/>
      </c>
      <c r="N1432" s="108">
        <f>IF($B1432="","",IF($E1432="Nghỉ tuần",N($H1432),0))</f>
        <v/>
      </c>
      <c r="O1432" s="108">
        <f>IF($B1432="","",IF($E1432="Lễ",N($H1432),0))</f>
        <v/>
      </c>
    </row>
    <row r="1433" ht="15" customHeight="1" s="63">
      <c r="A1433" s="85">
        <f>IF($B1433="","",ROW()-5)</f>
        <v/>
      </c>
      <c r="B1433" s="97" t="n"/>
      <c r="C1433" s="96">
        <f>IF($B1433="","",IFERROR(INDEX(DM_NHAN_SU!$C$6:$C$155,MATCH($B1433,DM_NHAN_SU!$B$6:$B$155,0)),"SAI MÃ NV"))</f>
        <v/>
      </c>
      <c r="D1433" s="86" t="n"/>
      <c r="E1433" s="103">
        <f>IF(OR($B1433="",$D1433=""),"",IF(COUNTIF(THAM_SO_CC!$F$10:$F$40,$D1433)&gt;0,"Lễ",IF(IF(THAM_SO_CC!$B$12="T7+CN",WEEKDAY($D1433,2)&gt;=6,WEEKDAY($D1433,2)=7),"Nghỉ tuần","Ngày thường")))</f>
        <v/>
      </c>
      <c r="F1433" s="107" t="n"/>
      <c r="G1433" s="107" t="n"/>
      <c r="H1433" s="107" t="n"/>
      <c r="I1433" s="81" t="n"/>
      <c r="J1433" s="108">
        <f>IF($B1433="","",IF($E1433="Ngày thường",N($G1433),0))</f>
        <v/>
      </c>
      <c r="K1433" s="108">
        <f>IF($B1433="","",IF($E1433="Nghỉ tuần",N($G1433),0))</f>
        <v/>
      </c>
      <c r="L1433" s="108">
        <f>IF($B1433="","",IF($E1433="Lễ",N($G1433),0))</f>
        <v/>
      </c>
      <c r="M1433" s="108">
        <f>IF($B1433="","",IF($E1433="Ngày thường",N($H1433),0))</f>
        <v/>
      </c>
      <c r="N1433" s="108">
        <f>IF($B1433="","",IF($E1433="Nghỉ tuần",N($H1433),0))</f>
        <v/>
      </c>
      <c r="O1433" s="108">
        <f>IF($B1433="","",IF($E1433="Lễ",N($H1433),0))</f>
        <v/>
      </c>
    </row>
    <row r="1434" ht="15" customHeight="1" s="63">
      <c r="A1434" s="85">
        <f>IF($B1434="","",ROW()-5)</f>
        <v/>
      </c>
      <c r="B1434" s="97" t="n"/>
      <c r="C1434" s="96">
        <f>IF($B1434="","",IFERROR(INDEX(DM_NHAN_SU!$C$6:$C$155,MATCH($B1434,DM_NHAN_SU!$B$6:$B$155,0)),"SAI MÃ NV"))</f>
        <v/>
      </c>
      <c r="D1434" s="86" t="n"/>
      <c r="E1434" s="103">
        <f>IF(OR($B1434="",$D1434=""),"",IF(COUNTIF(THAM_SO_CC!$F$10:$F$40,$D1434)&gt;0,"Lễ",IF(IF(THAM_SO_CC!$B$12="T7+CN",WEEKDAY($D1434,2)&gt;=6,WEEKDAY($D1434,2)=7),"Nghỉ tuần","Ngày thường")))</f>
        <v/>
      </c>
      <c r="F1434" s="107" t="n"/>
      <c r="G1434" s="107" t="n"/>
      <c r="H1434" s="107" t="n"/>
      <c r="I1434" s="81" t="n"/>
      <c r="J1434" s="108">
        <f>IF($B1434="","",IF($E1434="Ngày thường",N($G1434),0))</f>
        <v/>
      </c>
      <c r="K1434" s="108">
        <f>IF($B1434="","",IF($E1434="Nghỉ tuần",N($G1434),0))</f>
        <v/>
      </c>
      <c r="L1434" s="108">
        <f>IF($B1434="","",IF($E1434="Lễ",N($G1434),0))</f>
        <v/>
      </c>
      <c r="M1434" s="108">
        <f>IF($B1434="","",IF($E1434="Ngày thường",N($H1434),0))</f>
        <v/>
      </c>
      <c r="N1434" s="108">
        <f>IF($B1434="","",IF($E1434="Nghỉ tuần",N($H1434),0))</f>
        <v/>
      </c>
      <c r="O1434" s="108">
        <f>IF($B1434="","",IF($E1434="Lễ",N($H1434),0))</f>
        <v/>
      </c>
    </row>
    <row r="1435" ht="15" customHeight="1" s="63">
      <c r="A1435" s="85">
        <f>IF($B1435="","",ROW()-5)</f>
        <v/>
      </c>
      <c r="B1435" s="97" t="n"/>
      <c r="C1435" s="96">
        <f>IF($B1435="","",IFERROR(INDEX(DM_NHAN_SU!$C$6:$C$155,MATCH($B1435,DM_NHAN_SU!$B$6:$B$155,0)),"SAI MÃ NV"))</f>
        <v/>
      </c>
      <c r="D1435" s="86" t="n"/>
      <c r="E1435" s="103">
        <f>IF(OR($B1435="",$D1435=""),"",IF(COUNTIF(THAM_SO_CC!$F$10:$F$40,$D1435)&gt;0,"Lễ",IF(IF(THAM_SO_CC!$B$12="T7+CN",WEEKDAY($D1435,2)&gt;=6,WEEKDAY($D1435,2)=7),"Nghỉ tuần","Ngày thường")))</f>
        <v/>
      </c>
      <c r="F1435" s="107" t="n"/>
      <c r="G1435" s="107" t="n"/>
      <c r="H1435" s="107" t="n"/>
      <c r="I1435" s="81" t="n"/>
      <c r="J1435" s="108">
        <f>IF($B1435="","",IF($E1435="Ngày thường",N($G1435),0))</f>
        <v/>
      </c>
      <c r="K1435" s="108">
        <f>IF($B1435="","",IF($E1435="Nghỉ tuần",N($G1435),0))</f>
        <v/>
      </c>
      <c r="L1435" s="108">
        <f>IF($B1435="","",IF($E1435="Lễ",N($G1435),0))</f>
        <v/>
      </c>
      <c r="M1435" s="108">
        <f>IF($B1435="","",IF($E1435="Ngày thường",N($H1435),0))</f>
        <v/>
      </c>
      <c r="N1435" s="108">
        <f>IF($B1435="","",IF($E1435="Nghỉ tuần",N($H1435),0))</f>
        <v/>
      </c>
      <c r="O1435" s="108">
        <f>IF($B1435="","",IF($E1435="Lễ",N($H1435),0))</f>
        <v/>
      </c>
    </row>
    <row r="1436" ht="15" customHeight="1" s="63">
      <c r="A1436" s="85">
        <f>IF($B1436="","",ROW()-5)</f>
        <v/>
      </c>
      <c r="B1436" s="97" t="n"/>
      <c r="C1436" s="96">
        <f>IF($B1436="","",IFERROR(INDEX(DM_NHAN_SU!$C$6:$C$155,MATCH($B1436,DM_NHAN_SU!$B$6:$B$155,0)),"SAI MÃ NV"))</f>
        <v/>
      </c>
      <c r="D1436" s="86" t="n"/>
      <c r="E1436" s="103">
        <f>IF(OR($B1436="",$D1436=""),"",IF(COUNTIF(THAM_SO_CC!$F$10:$F$40,$D1436)&gt;0,"Lễ",IF(IF(THAM_SO_CC!$B$12="T7+CN",WEEKDAY($D1436,2)&gt;=6,WEEKDAY($D1436,2)=7),"Nghỉ tuần","Ngày thường")))</f>
        <v/>
      </c>
      <c r="F1436" s="107" t="n"/>
      <c r="G1436" s="107" t="n"/>
      <c r="H1436" s="107" t="n"/>
      <c r="I1436" s="81" t="n"/>
      <c r="J1436" s="108">
        <f>IF($B1436="","",IF($E1436="Ngày thường",N($G1436),0))</f>
        <v/>
      </c>
      <c r="K1436" s="108">
        <f>IF($B1436="","",IF($E1436="Nghỉ tuần",N($G1436),0))</f>
        <v/>
      </c>
      <c r="L1436" s="108">
        <f>IF($B1436="","",IF($E1436="Lễ",N($G1436),0))</f>
        <v/>
      </c>
      <c r="M1436" s="108">
        <f>IF($B1436="","",IF($E1436="Ngày thường",N($H1436),0))</f>
        <v/>
      </c>
      <c r="N1436" s="108">
        <f>IF($B1436="","",IF($E1436="Nghỉ tuần",N($H1436),0))</f>
        <v/>
      </c>
      <c r="O1436" s="108">
        <f>IF($B1436="","",IF($E1436="Lễ",N($H1436),0))</f>
        <v/>
      </c>
    </row>
    <row r="1437" ht="15" customHeight="1" s="63">
      <c r="A1437" s="85">
        <f>IF($B1437="","",ROW()-5)</f>
        <v/>
      </c>
      <c r="B1437" s="97" t="n"/>
      <c r="C1437" s="96">
        <f>IF($B1437="","",IFERROR(INDEX(DM_NHAN_SU!$C$6:$C$155,MATCH($B1437,DM_NHAN_SU!$B$6:$B$155,0)),"SAI MÃ NV"))</f>
        <v/>
      </c>
      <c r="D1437" s="86" t="n"/>
      <c r="E1437" s="103">
        <f>IF(OR($B1437="",$D1437=""),"",IF(COUNTIF(THAM_SO_CC!$F$10:$F$40,$D1437)&gt;0,"Lễ",IF(IF(THAM_SO_CC!$B$12="T7+CN",WEEKDAY($D1437,2)&gt;=6,WEEKDAY($D1437,2)=7),"Nghỉ tuần","Ngày thường")))</f>
        <v/>
      </c>
      <c r="F1437" s="107" t="n"/>
      <c r="G1437" s="107" t="n"/>
      <c r="H1437" s="107" t="n"/>
      <c r="I1437" s="81" t="n"/>
      <c r="J1437" s="108">
        <f>IF($B1437="","",IF($E1437="Ngày thường",N($G1437),0))</f>
        <v/>
      </c>
      <c r="K1437" s="108">
        <f>IF($B1437="","",IF($E1437="Nghỉ tuần",N($G1437),0))</f>
        <v/>
      </c>
      <c r="L1437" s="108">
        <f>IF($B1437="","",IF($E1437="Lễ",N($G1437),0))</f>
        <v/>
      </c>
      <c r="M1437" s="108">
        <f>IF($B1437="","",IF($E1437="Ngày thường",N($H1437),0))</f>
        <v/>
      </c>
      <c r="N1437" s="108">
        <f>IF($B1437="","",IF($E1437="Nghỉ tuần",N($H1437),0))</f>
        <v/>
      </c>
      <c r="O1437" s="108">
        <f>IF($B1437="","",IF($E1437="Lễ",N($H1437),0))</f>
        <v/>
      </c>
    </row>
    <row r="1438" ht="15" customHeight="1" s="63">
      <c r="A1438" s="85">
        <f>IF($B1438="","",ROW()-5)</f>
        <v/>
      </c>
      <c r="B1438" s="97" t="n"/>
      <c r="C1438" s="96">
        <f>IF($B1438="","",IFERROR(INDEX(DM_NHAN_SU!$C$6:$C$155,MATCH($B1438,DM_NHAN_SU!$B$6:$B$155,0)),"SAI MÃ NV"))</f>
        <v/>
      </c>
      <c r="D1438" s="86" t="n"/>
      <c r="E1438" s="103">
        <f>IF(OR($B1438="",$D1438=""),"",IF(COUNTIF(THAM_SO_CC!$F$10:$F$40,$D1438)&gt;0,"Lễ",IF(IF(THAM_SO_CC!$B$12="T7+CN",WEEKDAY($D1438,2)&gt;=6,WEEKDAY($D1438,2)=7),"Nghỉ tuần","Ngày thường")))</f>
        <v/>
      </c>
      <c r="F1438" s="107" t="n"/>
      <c r="G1438" s="107" t="n"/>
      <c r="H1438" s="107" t="n"/>
      <c r="I1438" s="81" t="n"/>
      <c r="J1438" s="108">
        <f>IF($B1438="","",IF($E1438="Ngày thường",N($G1438),0))</f>
        <v/>
      </c>
      <c r="K1438" s="108">
        <f>IF($B1438="","",IF($E1438="Nghỉ tuần",N($G1438),0))</f>
        <v/>
      </c>
      <c r="L1438" s="108">
        <f>IF($B1438="","",IF($E1438="Lễ",N($G1438),0))</f>
        <v/>
      </c>
      <c r="M1438" s="108">
        <f>IF($B1438="","",IF($E1438="Ngày thường",N($H1438),0))</f>
        <v/>
      </c>
      <c r="N1438" s="108">
        <f>IF($B1438="","",IF($E1438="Nghỉ tuần",N($H1438),0))</f>
        <v/>
      </c>
      <c r="O1438" s="108">
        <f>IF($B1438="","",IF($E1438="Lễ",N($H1438),0))</f>
        <v/>
      </c>
    </row>
    <row r="1439" ht="15" customHeight="1" s="63">
      <c r="A1439" s="85">
        <f>IF($B1439="","",ROW()-5)</f>
        <v/>
      </c>
      <c r="B1439" s="97" t="n"/>
      <c r="C1439" s="96">
        <f>IF($B1439="","",IFERROR(INDEX(DM_NHAN_SU!$C$6:$C$155,MATCH($B1439,DM_NHAN_SU!$B$6:$B$155,0)),"SAI MÃ NV"))</f>
        <v/>
      </c>
      <c r="D1439" s="86" t="n"/>
      <c r="E1439" s="103">
        <f>IF(OR($B1439="",$D1439=""),"",IF(COUNTIF(THAM_SO_CC!$F$10:$F$40,$D1439)&gt;0,"Lễ",IF(IF(THAM_SO_CC!$B$12="T7+CN",WEEKDAY($D1439,2)&gt;=6,WEEKDAY($D1439,2)=7),"Nghỉ tuần","Ngày thường")))</f>
        <v/>
      </c>
      <c r="F1439" s="107" t="n"/>
      <c r="G1439" s="107" t="n"/>
      <c r="H1439" s="107" t="n"/>
      <c r="I1439" s="81" t="n"/>
      <c r="J1439" s="108">
        <f>IF($B1439="","",IF($E1439="Ngày thường",N($G1439),0))</f>
        <v/>
      </c>
      <c r="K1439" s="108">
        <f>IF($B1439="","",IF($E1439="Nghỉ tuần",N($G1439),0))</f>
        <v/>
      </c>
      <c r="L1439" s="108">
        <f>IF($B1439="","",IF($E1439="Lễ",N($G1439),0))</f>
        <v/>
      </c>
      <c r="M1439" s="108">
        <f>IF($B1439="","",IF($E1439="Ngày thường",N($H1439),0))</f>
        <v/>
      </c>
      <c r="N1439" s="108">
        <f>IF($B1439="","",IF($E1439="Nghỉ tuần",N($H1439),0))</f>
        <v/>
      </c>
      <c r="O1439" s="108">
        <f>IF($B1439="","",IF($E1439="Lễ",N($H1439),0))</f>
        <v/>
      </c>
    </row>
    <row r="1440" ht="15" customHeight="1" s="63">
      <c r="A1440" s="85">
        <f>IF($B1440="","",ROW()-5)</f>
        <v/>
      </c>
      <c r="B1440" s="97" t="n"/>
      <c r="C1440" s="96">
        <f>IF($B1440="","",IFERROR(INDEX(DM_NHAN_SU!$C$6:$C$155,MATCH($B1440,DM_NHAN_SU!$B$6:$B$155,0)),"SAI MÃ NV"))</f>
        <v/>
      </c>
      <c r="D1440" s="86" t="n"/>
      <c r="E1440" s="103">
        <f>IF(OR($B1440="",$D1440=""),"",IF(COUNTIF(THAM_SO_CC!$F$10:$F$40,$D1440)&gt;0,"Lễ",IF(IF(THAM_SO_CC!$B$12="T7+CN",WEEKDAY($D1440,2)&gt;=6,WEEKDAY($D1440,2)=7),"Nghỉ tuần","Ngày thường")))</f>
        <v/>
      </c>
      <c r="F1440" s="107" t="n"/>
      <c r="G1440" s="107" t="n"/>
      <c r="H1440" s="107" t="n"/>
      <c r="I1440" s="81" t="n"/>
      <c r="J1440" s="108">
        <f>IF($B1440="","",IF($E1440="Ngày thường",N($G1440),0))</f>
        <v/>
      </c>
      <c r="K1440" s="108">
        <f>IF($B1440="","",IF($E1440="Nghỉ tuần",N($G1440),0))</f>
        <v/>
      </c>
      <c r="L1440" s="108">
        <f>IF($B1440="","",IF($E1440="Lễ",N($G1440),0))</f>
        <v/>
      </c>
      <c r="M1440" s="108">
        <f>IF($B1440="","",IF($E1440="Ngày thường",N($H1440),0))</f>
        <v/>
      </c>
      <c r="N1440" s="108">
        <f>IF($B1440="","",IF($E1440="Nghỉ tuần",N($H1440),0))</f>
        <v/>
      </c>
      <c r="O1440" s="108">
        <f>IF($B1440="","",IF($E1440="Lễ",N($H1440),0))</f>
        <v/>
      </c>
    </row>
    <row r="1441" ht="15" customHeight="1" s="63">
      <c r="A1441" s="85">
        <f>IF($B1441="","",ROW()-5)</f>
        <v/>
      </c>
      <c r="B1441" s="97" t="n"/>
      <c r="C1441" s="96">
        <f>IF($B1441="","",IFERROR(INDEX(DM_NHAN_SU!$C$6:$C$155,MATCH($B1441,DM_NHAN_SU!$B$6:$B$155,0)),"SAI MÃ NV"))</f>
        <v/>
      </c>
      <c r="D1441" s="86" t="n"/>
      <c r="E1441" s="103">
        <f>IF(OR($B1441="",$D1441=""),"",IF(COUNTIF(THAM_SO_CC!$F$10:$F$40,$D1441)&gt;0,"Lễ",IF(IF(THAM_SO_CC!$B$12="T7+CN",WEEKDAY($D1441,2)&gt;=6,WEEKDAY($D1441,2)=7),"Nghỉ tuần","Ngày thường")))</f>
        <v/>
      </c>
      <c r="F1441" s="107" t="n"/>
      <c r="G1441" s="107" t="n"/>
      <c r="H1441" s="107" t="n"/>
      <c r="I1441" s="81" t="n"/>
      <c r="J1441" s="108">
        <f>IF($B1441="","",IF($E1441="Ngày thường",N($G1441),0))</f>
        <v/>
      </c>
      <c r="K1441" s="108">
        <f>IF($B1441="","",IF($E1441="Nghỉ tuần",N($G1441),0))</f>
        <v/>
      </c>
      <c r="L1441" s="108">
        <f>IF($B1441="","",IF($E1441="Lễ",N($G1441),0))</f>
        <v/>
      </c>
      <c r="M1441" s="108">
        <f>IF($B1441="","",IF($E1441="Ngày thường",N($H1441),0))</f>
        <v/>
      </c>
      <c r="N1441" s="108">
        <f>IF($B1441="","",IF($E1441="Nghỉ tuần",N($H1441),0))</f>
        <v/>
      </c>
      <c r="O1441" s="108">
        <f>IF($B1441="","",IF($E1441="Lễ",N($H1441),0))</f>
        <v/>
      </c>
    </row>
    <row r="1442" ht="15" customHeight="1" s="63">
      <c r="A1442" s="85">
        <f>IF($B1442="","",ROW()-5)</f>
        <v/>
      </c>
      <c r="B1442" s="97" t="n"/>
      <c r="C1442" s="96">
        <f>IF($B1442="","",IFERROR(INDEX(DM_NHAN_SU!$C$6:$C$155,MATCH($B1442,DM_NHAN_SU!$B$6:$B$155,0)),"SAI MÃ NV"))</f>
        <v/>
      </c>
      <c r="D1442" s="86" t="n"/>
      <c r="E1442" s="103">
        <f>IF(OR($B1442="",$D1442=""),"",IF(COUNTIF(THAM_SO_CC!$F$10:$F$40,$D1442)&gt;0,"Lễ",IF(IF(THAM_SO_CC!$B$12="T7+CN",WEEKDAY($D1442,2)&gt;=6,WEEKDAY($D1442,2)=7),"Nghỉ tuần","Ngày thường")))</f>
        <v/>
      </c>
      <c r="F1442" s="107" t="n"/>
      <c r="G1442" s="107" t="n"/>
      <c r="H1442" s="107" t="n"/>
      <c r="I1442" s="81" t="n"/>
      <c r="J1442" s="108">
        <f>IF($B1442="","",IF($E1442="Ngày thường",N($G1442),0))</f>
        <v/>
      </c>
      <c r="K1442" s="108">
        <f>IF($B1442="","",IF($E1442="Nghỉ tuần",N($G1442),0))</f>
        <v/>
      </c>
      <c r="L1442" s="108">
        <f>IF($B1442="","",IF($E1442="Lễ",N($G1442),0))</f>
        <v/>
      </c>
      <c r="M1442" s="108">
        <f>IF($B1442="","",IF($E1442="Ngày thường",N($H1442),0))</f>
        <v/>
      </c>
      <c r="N1442" s="108">
        <f>IF($B1442="","",IF($E1442="Nghỉ tuần",N($H1442),0))</f>
        <v/>
      </c>
      <c r="O1442" s="108">
        <f>IF($B1442="","",IF($E1442="Lễ",N($H1442),0))</f>
        <v/>
      </c>
    </row>
    <row r="1443" ht="15" customHeight="1" s="63">
      <c r="A1443" s="85">
        <f>IF($B1443="","",ROW()-5)</f>
        <v/>
      </c>
      <c r="B1443" s="97" t="n"/>
      <c r="C1443" s="96">
        <f>IF($B1443="","",IFERROR(INDEX(DM_NHAN_SU!$C$6:$C$155,MATCH($B1443,DM_NHAN_SU!$B$6:$B$155,0)),"SAI MÃ NV"))</f>
        <v/>
      </c>
      <c r="D1443" s="86" t="n"/>
      <c r="E1443" s="103">
        <f>IF(OR($B1443="",$D1443=""),"",IF(COUNTIF(THAM_SO_CC!$F$10:$F$40,$D1443)&gt;0,"Lễ",IF(IF(THAM_SO_CC!$B$12="T7+CN",WEEKDAY($D1443,2)&gt;=6,WEEKDAY($D1443,2)=7),"Nghỉ tuần","Ngày thường")))</f>
        <v/>
      </c>
      <c r="F1443" s="107" t="n"/>
      <c r="G1443" s="107" t="n"/>
      <c r="H1443" s="107" t="n"/>
      <c r="I1443" s="81" t="n"/>
      <c r="J1443" s="108">
        <f>IF($B1443="","",IF($E1443="Ngày thường",N($G1443),0))</f>
        <v/>
      </c>
      <c r="K1443" s="108">
        <f>IF($B1443="","",IF($E1443="Nghỉ tuần",N($G1443),0))</f>
        <v/>
      </c>
      <c r="L1443" s="108">
        <f>IF($B1443="","",IF($E1443="Lễ",N($G1443),0))</f>
        <v/>
      </c>
      <c r="M1443" s="108">
        <f>IF($B1443="","",IF($E1443="Ngày thường",N($H1443),0))</f>
        <v/>
      </c>
      <c r="N1443" s="108">
        <f>IF($B1443="","",IF($E1443="Nghỉ tuần",N($H1443),0))</f>
        <v/>
      </c>
      <c r="O1443" s="108">
        <f>IF($B1443="","",IF($E1443="Lễ",N($H1443),0))</f>
        <v/>
      </c>
    </row>
    <row r="1444" ht="15" customHeight="1" s="63">
      <c r="A1444" s="85">
        <f>IF($B1444="","",ROW()-5)</f>
        <v/>
      </c>
      <c r="B1444" s="97" t="n"/>
      <c r="C1444" s="96">
        <f>IF($B1444="","",IFERROR(INDEX(DM_NHAN_SU!$C$6:$C$155,MATCH($B1444,DM_NHAN_SU!$B$6:$B$155,0)),"SAI MÃ NV"))</f>
        <v/>
      </c>
      <c r="D1444" s="86" t="n"/>
      <c r="E1444" s="103">
        <f>IF(OR($B1444="",$D1444=""),"",IF(COUNTIF(THAM_SO_CC!$F$10:$F$40,$D1444)&gt;0,"Lễ",IF(IF(THAM_SO_CC!$B$12="T7+CN",WEEKDAY($D1444,2)&gt;=6,WEEKDAY($D1444,2)=7),"Nghỉ tuần","Ngày thường")))</f>
        <v/>
      </c>
      <c r="F1444" s="107" t="n"/>
      <c r="G1444" s="107" t="n"/>
      <c r="H1444" s="107" t="n"/>
      <c r="I1444" s="81" t="n"/>
      <c r="J1444" s="108">
        <f>IF($B1444="","",IF($E1444="Ngày thường",N($G1444),0))</f>
        <v/>
      </c>
      <c r="K1444" s="108">
        <f>IF($B1444="","",IF($E1444="Nghỉ tuần",N($G1444),0))</f>
        <v/>
      </c>
      <c r="L1444" s="108">
        <f>IF($B1444="","",IF($E1444="Lễ",N($G1444),0))</f>
        <v/>
      </c>
      <c r="M1444" s="108">
        <f>IF($B1444="","",IF($E1444="Ngày thường",N($H1444),0))</f>
        <v/>
      </c>
      <c r="N1444" s="108">
        <f>IF($B1444="","",IF($E1444="Nghỉ tuần",N($H1444),0))</f>
        <v/>
      </c>
      <c r="O1444" s="108">
        <f>IF($B1444="","",IF($E1444="Lễ",N($H1444),0))</f>
        <v/>
      </c>
    </row>
    <row r="1445" ht="15" customHeight="1" s="63">
      <c r="A1445" s="85">
        <f>IF($B1445="","",ROW()-5)</f>
        <v/>
      </c>
      <c r="B1445" s="97" t="n"/>
      <c r="C1445" s="96">
        <f>IF($B1445="","",IFERROR(INDEX(DM_NHAN_SU!$C$6:$C$155,MATCH($B1445,DM_NHAN_SU!$B$6:$B$155,0)),"SAI MÃ NV"))</f>
        <v/>
      </c>
      <c r="D1445" s="86" t="n"/>
      <c r="E1445" s="103">
        <f>IF(OR($B1445="",$D1445=""),"",IF(COUNTIF(THAM_SO_CC!$F$10:$F$40,$D1445)&gt;0,"Lễ",IF(IF(THAM_SO_CC!$B$12="T7+CN",WEEKDAY($D1445,2)&gt;=6,WEEKDAY($D1445,2)=7),"Nghỉ tuần","Ngày thường")))</f>
        <v/>
      </c>
      <c r="F1445" s="107" t="n"/>
      <c r="G1445" s="107" t="n"/>
      <c r="H1445" s="107" t="n"/>
      <c r="I1445" s="81" t="n"/>
      <c r="J1445" s="108">
        <f>IF($B1445="","",IF($E1445="Ngày thường",N($G1445),0))</f>
        <v/>
      </c>
      <c r="K1445" s="108">
        <f>IF($B1445="","",IF($E1445="Nghỉ tuần",N($G1445),0))</f>
        <v/>
      </c>
      <c r="L1445" s="108">
        <f>IF($B1445="","",IF($E1445="Lễ",N($G1445),0))</f>
        <v/>
      </c>
      <c r="M1445" s="108">
        <f>IF($B1445="","",IF($E1445="Ngày thường",N($H1445),0))</f>
        <v/>
      </c>
      <c r="N1445" s="108">
        <f>IF($B1445="","",IF($E1445="Nghỉ tuần",N($H1445),0))</f>
        <v/>
      </c>
      <c r="O1445" s="108">
        <f>IF($B1445="","",IF($E1445="Lễ",N($H1445),0))</f>
        <v/>
      </c>
    </row>
    <row r="1446" ht="15" customHeight="1" s="63">
      <c r="A1446" s="85">
        <f>IF($B1446="","",ROW()-5)</f>
        <v/>
      </c>
      <c r="B1446" s="97" t="n"/>
      <c r="C1446" s="96">
        <f>IF($B1446="","",IFERROR(INDEX(DM_NHAN_SU!$C$6:$C$155,MATCH($B1446,DM_NHAN_SU!$B$6:$B$155,0)),"SAI MÃ NV"))</f>
        <v/>
      </c>
      <c r="D1446" s="86" t="n"/>
      <c r="E1446" s="103">
        <f>IF(OR($B1446="",$D1446=""),"",IF(COUNTIF(THAM_SO_CC!$F$10:$F$40,$D1446)&gt;0,"Lễ",IF(IF(THAM_SO_CC!$B$12="T7+CN",WEEKDAY($D1446,2)&gt;=6,WEEKDAY($D1446,2)=7),"Nghỉ tuần","Ngày thường")))</f>
        <v/>
      </c>
      <c r="F1446" s="107" t="n"/>
      <c r="G1446" s="107" t="n"/>
      <c r="H1446" s="107" t="n"/>
      <c r="I1446" s="81" t="n"/>
      <c r="J1446" s="108">
        <f>IF($B1446="","",IF($E1446="Ngày thường",N($G1446),0))</f>
        <v/>
      </c>
      <c r="K1446" s="108">
        <f>IF($B1446="","",IF($E1446="Nghỉ tuần",N($G1446),0))</f>
        <v/>
      </c>
      <c r="L1446" s="108">
        <f>IF($B1446="","",IF($E1446="Lễ",N($G1446),0))</f>
        <v/>
      </c>
      <c r="M1446" s="108">
        <f>IF($B1446="","",IF($E1446="Ngày thường",N($H1446),0))</f>
        <v/>
      </c>
      <c r="N1446" s="108">
        <f>IF($B1446="","",IF($E1446="Nghỉ tuần",N($H1446),0))</f>
        <v/>
      </c>
      <c r="O1446" s="108">
        <f>IF($B1446="","",IF($E1446="Lễ",N($H1446),0))</f>
        <v/>
      </c>
    </row>
    <row r="1447" ht="15" customHeight="1" s="63">
      <c r="A1447" s="85">
        <f>IF($B1447="","",ROW()-5)</f>
        <v/>
      </c>
      <c r="B1447" s="97" t="n"/>
      <c r="C1447" s="96">
        <f>IF($B1447="","",IFERROR(INDEX(DM_NHAN_SU!$C$6:$C$155,MATCH($B1447,DM_NHAN_SU!$B$6:$B$155,0)),"SAI MÃ NV"))</f>
        <v/>
      </c>
      <c r="D1447" s="86" t="n"/>
      <c r="E1447" s="103">
        <f>IF(OR($B1447="",$D1447=""),"",IF(COUNTIF(THAM_SO_CC!$F$10:$F$40,$D1447)&gt;0,"Lễ",IF(IF(THAM_SO_CC!$B$12="T7+CN",WEEKDAY($D1447,2)&gt;=6,WEEKDAY($D1447,2)=7),"Nghỉ tuần","Ngày thường")))</f>
        <v/>
      </c>
      <c r="F1447" s="107" t="n"/>
      <c r="G1447" s="107" t="n"/>
      <c r="H1447" s="107" t="n"/>
      <c r="I1447" s="81" t="n"/>
      <c r="J1447" s="108">
        <f>IF($B1447="","",IF($E1447="Ngày thường",N($G1447),0))</f>
        <v/>
      </c>
      <c r="K1447" s="108">
        <f>IF($B1447="","",IF($E1447="Nghỉ tuần",N($G1447),0))</f>
        <v/>
      </c>
      <c r="L1447" s="108">
        <f>IF($B1447="","",IF($E1447="Lễ",N($G1447),0))</f>
        <v/>
      </c>
      <c r="M1447" s="108">
        <f>IF($B1447="","",IF($E1447="Ngày thường",N($H1447),0))</f>
        <v/>
      </c>
      <c r="N1447" s="108">
        <f>IF($B1447="","",IF($E1447="Nghỉ tuần",N($H1447),0))</f>
        <v/>
      </c>
      <c r="O1447" s="108">
        <f>IF($B1447="","",IF($E1447="Lễ",N($H1447),0))</f>
        <v/>
      </c>
    </row>
    <row r="1448" ht="15" customHeight="1" s="63">
      <c r="A1448" s="85">
        <f>IF($B1448="","",ROW()-5)</f>
        <v/>
      </c>
      <c r="B1448" s="97" t="n"/>
      <c r="C1448" s="96">
        <f>IF($B1448="","",IFERROR(INDEX(DM_NHAN_SU!$C$6:$C$155,MATCH($B1448,DM_NHAN_SU!$B$6:$B$155,0)),"SAI MÃ NV"))</f>
        <v/>
      </c>
      <c r="D1448" s="86" t="n"/>
      <c r="E1448" s="103">
        <f>IF(OR($B1448="",$D1448=""),"",IF(COUNTIF(THAM_SO_CC!$F$10:$F$40,$D1448)&gt;0,"Lễ",IF(IF(THAM_SO_CC!$B$12="T7+CN",WEEKDAY($D1448,2)&gt;=6,WEEKDAY($D1448,2)=7),"Nghỉ tuần","Ngày thường")))</f>
        <v/>
      </c>
      <c r="F1448" s="107" t="n"/>
      <c r="G1448" s="107" t="n"/>
      <c r="H1448" s="107" t="n"/>
      <c r="I1448" s="81" t="n"/>
      <c r="J1448" s="108">
        <f>IF($B1448="","",IF($E1448="Ngày thường",N($G1448),0))</f>
        <v/>
      </c>
      <c r="K1448" s="108">
        <f>IF($B1448="","",IF($E1448="Nghỉ tuần",N($G1448),0))</f>
        <v/>
      </c>
      <c r="L1448" s="108">
        <f>IF($B1448="","",IF($E1448="Lễ",N($G1448),0))</f>
        <v/>
      </c>
      <c r="M1448" s="108">
        <f>IF($B1448="","",IF($E1448="Ngày thường",N($H1448),0))</f>
        <v/>
      </c>
      <c r="N1448" s="108">
        <f>IF($B1448="","",IF($E1448="Nghỉ tuần",N($H1448),0))</f>
        <v/>
      </c>
      <c r="O1448" s="108">
        <f>IF($B1448="","",IF($E1448="Lễ",N($H1448),0))</f>
        <v/>
      </c>
    </row>
    <row r="1449" ht="15" customHeight="1" s="63">
      <c r="A1449" s="85">
        <f>IF($B1449="","",ROW()-5)</f>
        <v/>
      </c>
      <c r="B1449" s="97" t="n"/>
      <c r="C1449" s="96">
        <f>IF($B1449="","",IFERROR(INDEX(DM_NHAN_SU!$C$6:$C$155,MATCH($B1449,DM_NHAN_SU!$B$6:$B$155,0)),"SAI MÃ NV"))</f>
        <v/>
      </c>
      <c r="D1449" s="86" t="n"/>
      <c r="E1449" s="103">
        <f>IF(OR($B1449="",$D1449=""),"",IF(COUNTIF(THAM_SO_CC!$F$10:$F$40,$D1449)&gt;0,"Lễ",IF(IF(THAM_SO_CC!$B$12="T7+CN",WEEKDAY($D1449,2)&gt;=6,WEEKDAY($D1449,2)=7),"Nghỉ tuần","Ngày thường")))</f>
        <v/>
      </c>
      <c r="F1449" s="107" t="n"/>
      <c r="G1449" s="107" t="n"/>
      <c r="H1449" s="107" t="n"/>
      <c r="I1449" s="81" t="n"/>
      <c r="J1449" s="108">
        <f>IF($B1449="","",IF($E1449="Ngày thường",N($G1449),0))</f>
        <v/>
      </c>
      <c r="K1449" s="108">
        <f>IF($B1449="","",IF($E1449="Nghỉ tuần",N($G1449),0))</f>
        <v/>
      </c>
      <c r="L1449" s="108">
        <f>IF($B1449="","",IF($E1449="Lễ",N($G1449),0))</f>
        <v/>
      </c>
      <c r="M1449" s="108">
        <f>IF($B1449="","",IF($E1449="Ngày thường",N($H1449),0))</f>
        <v/>
      </c>
      <c r="N1449" s="108">
        <f>IF($B1449="","",IF($E1449="Nghỉ tuần",N($H1449),0))</f>
        <v/>
      </c>
      <c r="O1449" s="108">
        <f>IF($B1449="","",IF($E1449="Lễ",N($H1449),0))</f>
        <v/>
      </c>
    </row>
    <row r="1450" ht="15" customHeight="1" s="63">
      <c r="A1450" s="85">
        <f>IF($B1450="","",ROW()-5)</f>
        <v/>
      </c>
      <c r="B1450" s="97" t="n"/>
      <c r="C1450" s="96">
        <f>IF($B1450="","",IFERROR(INDEX(DM_NHAN_SU!$C$6:$C$155,MATCH($B1450,DM_NHAN_SU!$B$6:$B$155,0)),"SAI MÃ NV"))</f>
        <v/>
      </c>
      <c r="D1450" s="86" t="n"/>
      <c r="E1450" s="103">
        <f>IF(OR($B1450="",$D1450=""),"",IF(COUNTIF(THAM_SO_CC!$F$10:$F$40,$D1450)&gt;0,"Lễ",IF(IF(THAM_SO_CC!$B$12="T7+CN",WEEKDAY($D1450,2)&gt;=6,WEEKDAY($D1450,2)=7),"Nghỉ tuần","Ngày thường")))</f>
        <v/>
      </c>
      <c r="F1450" s="107" t="n"/>
      <c r="G1450" s="107" t="n"/>
      <c r="H1450" s="107" t="n"/>
      <c r="I1450" s="81" t="n"/>
      <c r="J1450" s="108">
        <f>IF($B1450="","",IF($E1450="Ngày thường",N($G1450),0))</f>
        <v/>
      </c>
      <c r="K1450" s="108">
        <f>IF($B1450="","",IF($E1450="Nghỉ tuần",N($G1450),0))</f>
        <v/>
      </c>
      <c r="L1450" s="108">
        <f>IF($B1450="","",IF($E1450="Lễ",N($G1450),0))</f>
        <v/>
      </c>
      <c r="M1450" s="108">
        <f>IF($B1450="","",IF($E1450="Ngày thường",N($H1450),0))</f>
        <v/>
      </c>
      <c r="N1450" s="108">
        <f>IF($B1450="","",IF($E1450="Nghỉ tuần",N($H1450),0))</f>
        <v/>
      </c>
      <c r="O1450" s="108">
        <f>IF($B1450="","",IF($E1450="Lễ",N($H1450),0))</f>
        <v/>
      </c>
    </row>
    <row r="1451" ht="15" customHeight="1" s="63">
      <c r="A1451" s="85">
        <f>IF($B1451="","",ROW()-5)</f>
        <v/>
      </c>
      <c r="B1451" s="97" t="n"/>
      <c r="C1451" s="96">
        <f>IF($B1451="","",IFERROR(INDEX(DM_NHAN_SU!$C$6:$C$155,MATCH($B1451,DM_NHAN_SU!$B$6:$B$155,0)),"SAI MÃ NV"))</f>
        <v/>
      </c>
      <c r="D1451" s="86" t="n"/>
      <c r="E1451" s="103">
        <f>IF(OR($B1451="",$D1451=""),"",IF(COUNTIF(THAM_SO_CC!$F$10:$F$40,$D1451)&gt;0,"Lễ",IF(IF(THAM_SO_CC!$B$12="T7+CN",WEEKDAY($D1451,2)&gt;=6,WEEKDAY($D1451,2)=7),"Nghỉ tuần","Ngày thường")))</f>
        <v/>
      </c>
      <c r="F1451" s="107" t="n"/>
      <c r="G1451" s="107" t="n"/>
      <c r="H1451" s="107" t="n"/>
      <c r="I1451" s="81" t="n"/>
      <c r="J1451" s="108">
        <f>IF($B1451="","",IF($E1451="Ngày thường",N($G1451),0))</f>
        <v/>
      </c>
      <c r="K1451" s="108">
        <f>IF($B1451="","",IF($E1451="Nghỉ tuần",N($G1451),0))</f>
        <v/>
      </c>
      <c r="L1451" s="108">
        <f>IF($B1451="","",IF($E1451="Lễ",N($G1451),0))</f>
        <v/>
      </c>
      <c r="M1451" s="108">
        <f>IF($B1451="","",IF($E1451="Ngày thường",N($H1451),0))</f>
        <v/>
      </c>
      <c r="N1451" s="108">
        <f>IF($B1451="","",IF($E1451="Nghỉ tuần",N($H1451),0))</f>
        <v/>
      </c>
      <c r="O1451" s="108">
        <f>IF($B1451="","",IF($E1451="Lễ",N($H1451),0))</f>
        <v/>
      </c>
    </row>
    <row r="1452" ht="15" customHeight="1" s="63">
      <c r="A1452" s="85">
        <f>IF($B1452="","",ROW()-5)</f>
        <v/>
      </c>
      <c r="B1452" s="97" t="n"/>
      <c r="C1452" s="96">
        <f>IF($B1452="","",IFERROR(INDEX(DM_NHAN_SU!$C$6:$C$155,MATCH($B1452,DM_NHAN_SU!$B$6:$B$155,0)),"SAI MÃ NV"))</f>
        <v/>
      </c>
      <c r="D1452" s="86" t="n"/>
      <c r="E1452" s="103">
        <f>IF(OR($B1452="",$D1452=""),"",IF(COUNTIF(THAM_SO_CC!$F$10:$F$40,$D1452)&gt;0,"Lễ",IF(IF(THAM_SO_CC!$B$12="T7+CN",WEEKDAY($D1452,2)&gt;=6,WEEKDAY($D1452,2)=7),"Nghỉ tuần","Ngày thường")))</f>
        <v/>
      </c>
      <c r="F1452" s="107" t="n"/>
      <c r="G1452" s="107" t="n"/>
      <c r="H1452" s="107" t="n"/>
      <c r="I1452" s="81" t="n"/>
      <c r="J1452" s="108">
        <f>IF($B1452="","",IF($E1452="Ngày thường",N($G1452),0))</f>
        <v/>
      </c>
      <c r="K1452" s="108">
        <f>IF($B1452="","",IF($E1452="Nghỉ tuần",N($G1452),0))</f>
        <v/>
      </c>
      <c r="L1452" s="108">
        <f>IF($B1452="","",IF($E1452="Lễ",N($G1452),0))</f>
        <v/>
      </c>
      <c r="M1452" s="108">
        <f>IF($B1452="","",IF($E1452="Ngày thường",N($H1452),0))</f>
        <v/>
      </c>
      <c r="N1452" s="108">
        <f>IF($B1452="","",IF($E1452="Nghỉ tuần",N($H1452),0))</f>
        <v/>
      </c>
      <c r="O1452" s="108">
        <f>IF($B1452="","",IF($E1452="Lễ",N($H1452),0))</f>
        <v/>
      </c>
    </row>
    <row r="1453" ht="15" customHeight="1" s="63">
      <c r="A1453" s="85">
        <f>IF($B1453="","",ROW()-5)</f>
        <v/>
      </c>
      <c r="B1453" s="97" t="n"/>
      <c r="C1453" s="96">
        <f>IF($B1453="","",IFERROR(INDEX(DM_NHAN_SU!$C$6:$C$155,MATCH($B1453,DM_NHAN_SU!$B$6:$B$155,0)),"SAI MÃ NV"))</f>
        <v/>
      </c>
      <c r="D1453" s="86" t="n"/>
      <c r="E1453" s="103">
        <f>IF(OR($B1453="",$D1453=""),"",IF(COUNTIF(THAM_SO_CC!$F$10:$F$40,$D1453)&gt;0,"Lễ",IF(IF(THAM_SO_CC!$B$12="T7+CN",WEEKDAY($D1453,2)&gt;=6,WEEKDAY($D1453,2)=7),"Nghỉ tuần","Ngày thường")))</f>
        <v/>
      </c>
      <c r="F1453" s="107" t="n"/>
      <c r="G1453" s="107" t="n"/>
      <c r="H1453" s="107" t="n"/>
      <c r="I1453" s="81" t="n"/>
      <c r="J1453" s="108">
        <f>IF($B1453="","",IF($E1453="Ngày thường",N($G1453),0))</f>
        <v/>
      </c>
      <c r="K1453" s="108">
        <f>IF($B1453="","",IF($E1453="Nghỉ tuần",N($G1453),0))</f>
        <v/>
      </c>
      <c r="L1453" s="108">
        <f>IF($B1453="","",IF($E1453="Lễ",N($G1453),0))</f>
        <v/>
      </c>
      <c r="M1453" s="108">
        <f>IF($B1453="","",IF($E1453="Ngày thường",N($H1453),0))</f>
        <v/>
      </c>
      <c r="N1453" s="108">
        <f>IF($B1453="","",IF($E1453="Nghỉ tuần",N($H1453),0))</f>
        <v/>
      </c>
      <c r="O1453" s="108">
        <f>IF($B1453="","",IF($E1453="Lễ",N($H1453),0))</f>
        <v/>
      </c>
    </row>
    <row r="1454" ht="15" customHeight="1" s="63">
      <c r="A1454" s="85">
        <f>IF($B1454="","",ROW()-5)</f>
        <v/>
      </c>
      <c r="B1454" s="97" t="n"/>
      <c r="C1454" s="96">
        <f>IF($B1454="","",IFERROR(INDEX(DM_NHAN_SU!$C$6:$C$155,MATCH($B1454,DM_NHAN_SU!$B$6:$B$155,0)),"SAI MÃ NV"))</f>
        <v/>
      </c>
      <c r="D1454" s="86" t="n"/>
      <c r="E1454" s="103">
        <f>IF(OR($B1454="",$D1454=""),"",IF(COUNTIF(THAM_SO_CC!$F$10:$F$40,$D1454)&gt;0,"Lễ",IF(IF(THAM_SO_CC!$B$12="T7+CN",WEEKDAY($D1454,2)&gt;=6,WEEKDAY($D1454,2)=7),"Nghỉ tuần","Ngày thường")))</f>
        <v/>
      </c>
      <c r="F1454" s="107" t="n"/>
      <c r="G1454" s="107" t="n"/>
      <c r="H1454" s="107" t="n"/>
      <c r="I1454" s="81" t="n"/>
      <c r="J1454" s="108">
        <f>IF($B1454="","",IF($E1454="Ngày thường",N($G1454),0))</f>
        <v/>
      </c>
      <c r="K1454" s="108">
        <f>IF($B1454="","",IF($E1454="Nghỉ tuần",N($G1454),0))</f>
        <v/>
      </c>
      <c r="L1454" s="108">
        <f>IF($B1454="","",IF($E1454="Lễ",N($G1454),0))</f>
        <v/>
      </c>
      <c r="M1454" s="108">
        <f>IF($B1454="","",IF($E1454="Ngày thường",N($H1454),0))</f>
        <v/>
      </c>
      <c r="N1454" s="108">
        <f>IF($B1454="","",IF($E1454="Nghỉ tuần",N($H1454),0))</f>
        <v/>
      </c>
      <c r="O1454" s="108">
        <f>IF($B1454="","",IF($E1454="Lễ",N($H1454),0))</f>
        <v/>
      </c>
    </row>
    <row r="1455" ht="15" customHeight="1" s="63">
      <c r="A1455" s="85">
        <f>IF($B1455="","",ROW()-5)</f>
        <v/>
      </c>
      <c r="B1455" s="97" t="n"/>
      <c r="C1455" s="96">
        <f>IF($B1455="","",IFERROR(INDEX(DM_NHAN_SU!$C$6:$C$155,MATCH($B1455,DM_NHAN_SU!$B$6:$B$155,0)),"SAI MÃ NV"))</f>
        <v/>
      </c>
      <c r="D1455" s="86" t="n"/>
      <c r="E1455" s="103">
        <f>IF(OR($B1455="",$D1455=""),"",IF(COUNTIF(THAM_SO_CC!$F$10:$F$40,$D1455)&gt;0,"Lễ",IF(IF(THAM_SO_CC!$B$12="T7+CN",WEEKDAY($D1455,2)&gt;=6,WEEKDAY($D1455,2)=7),"Nghỉ tuần","Ngày thường")))</f>
        <v/>
      </c>
      <c r="F1455" s="107" t="n"/>
      <c r="G1455" s="107" t="n"/>
      <c r="H1455" s="107" t="n"/>
      <c r="I1455" s="81" t="n"/>
      <c r="J1455" s="108">
        <f>IF($B1455="","",IF($E1455="Ngày thường",N($G1455),0))</f>
        <v/>
      </c>
      <c r="K1455" s="108">
        <f>IF($B1455="","",IF($E1455="Nghỉ tuần",N($G1455),0))</f>
        <v/>
      </c>
      <c r="L1455" s="108">
        <f>IF($B1455="","",IF($E1455="Lễ",N($G1455),0))</f>
        <v/>
      </c>
      <c r="M1455" s="108">
        <f>IF($B1455="","",IF($E1455="Ngày thường",N($H1455),0))</f>
        <v/>
      </c>
      <c r="N1455" s="108">
        <f>IF($B1455="","",IF($E1455="Nghỉ tuần",N($H1455),0))</f>
        <v/>
      </c>
      <c r="O1455" s="108">
        <f>IF($B1455="","",IF($E1455="Lễ",N($H1455),0))</f>
        <v/>
      </c>
    </row>
    <row r="1456" ht="15" customHeight="1" s="63">
      <c r="A1456" s="85">
        <f>IF($B1456="","",ROW()-5)</f>
        <v/>
      </c>
      <c r="B1456" s="97" t="n"/>
      <c r="C1456" s="96">
        <f>IF($B1456="","",IFERROR(INDEX(DM_NHAN_SU!$C$6:$C$155,MATCH($B1456,DM_NHAN_SU!$B$6:$B$155,0)),"SAI MÃ NV"))</f>
        <v/>
      </c>
      <c r="D1456" s="86" t="n"/>
      <c r="E1456" s="103">
        <f>IF(OR($B1456="",$D1456=""),"",IF(COUNTIF(THAM_SO_CC!$F$10:$F$40,$D1456)&gt;0,"Lễ",IF(IF(THAM_SO_CC!$B$12="T7+CN",WEEKDAY($D1456,2)&gt;=6,WEEKDAY($D1456,2)=7),"Nghỉ tuần","Ngày thường")))</f>
        <v/>
      </c>
      <c r="F1456" s="107" t="n"/>
      <c r="G1456" s="107" t="n"/>
      <c r="H1456" s="107" t="n"/>
      <c r="I1456" s="81" t="n"/>
      <c r="J1456" s="108">
        <f>IF($B1456="","",IF($E1456="Ngày thường",N($G1456),0))</f>
        <v/>
      </c>
      <c r="K1456" s="108">
        <f>IF($B1456="","",IF($E1456="Nghỉ tuần",N($G1456),0))</f>
        <v/>
      </c>
      <c r="L1456" s="108">
        <f>IF($B1456="","",IF($E1456="Lễ",N($G1456),0))</f>
        <v/>
      </c>
      <c r="M1456" s="108">
        <f>IF($B1456="","",IF($E1456="Ngày thường",N($H1456),0))</f>
        <v/>
      </c>
      <c r="N1456" s="108">
        <f>IF($B1456="","",IF($E1456="Nghỉ tuần",N($H1456),0))</f>
        <v/>
      </c>
      <c r="O1456" s="108">
        <f>IF($B1456="","",IF($E1456="Lễ",N($H1456),0))</f>
        <v/>
      </c>
    </row>
    <row r="1457" ht="15" customHeight="1" s="63">
      <c r="A1457" s="85">
        <f>IF($B1457="","",ROW()-5)</f>
        <v/>
      </c>
      <c r="B1457" s="97" t="n"/>
      <c r="C1457" s="96">
        <f>IF($B1457="","",IFERROR(INDEX(DM_NHAN_SU!$C$6:$C$155,MATCH($B1457,DM_NHAN_SU!$B$6:$B$155,0)),"SAI MÃ NV"))</f>
        <v/>
      </c>
      <c r="D1457" s="86" t="n"/>
      <c r="E1457" s="103">
        <f>IF(OR($B1457="",$D1457=""),"",IF(COUNTIF(THAM_SO_CC!$F$10:$F$40,$D1457)&gt;0,"Lễ",IF(IF(THAM_SO_CC!$B$12="T7+CN",WEEKDAY($D1457,2)&gt;=6,WEEKDAY($D1457,2)=7),"Nghỉ tuần","Ngày thường")))</f>
        <v/>
      </c>
      <c r="F1457" s="107" t="n"/>
      <c r="G1457" s="107" t="n"/>
      <c r="H1457" s="107" t="n"/>
      <c r="I1457" s="81" t="n"/>
      <c r="J1457" s="108">
        <f>IF($B1457="","",IF($E1457="Ngày thường",N($G1457),0))</f>
        <v/>
      </c>
      <c r="K1457" s="108">
        <f>IF($B1457="","",IF($E1457="Nghỉ tuần",N($G1457),0))</f>
        <v/>
      </c>
      <c r="L1457" s="108">
        <f>IF($B1457="","",IF($E1457="Lễ",N($G1457),0))</f>
        <v/>
      </c>
      <c r="M1457" s="108">
        <f>IF($B1457="","",IF($E1457="Ngày thường",N($H1457),0))</f>
        <v/>
      </c>
      <c r="N1457" s="108">
        <f>IF($B1457="","",IF($E1457="Nghỉ tuần",N($H1457),0))</f>
        <v/>
      </c>
      <c r="O1457" s="108">
        <f>IF($B1457="","",IF($E1457="Lễ",N($H1457),0))</f>
        <v/>
      </c>
    </row>
    <row r="1458" ht="15" customHeight="1" s="63">
      <c r="A1458" s="85">
        <f>IF($B1458="","",ROW()-5)</f>
        <v/>
      </c>
      <c r="B1458" s="97" t="n"/>
      <c r="C1458" s="96">
        <f>IF($B1458="","",IFERROR(INDEX(DM_NHAN_SU!$C$6:$C$155,MATCH($B1458,DM_NHAN_SU!$B$6:$B$155,0)),"SAI MÃ NV"))</f>
        <v/>
      </c>
      <c r="D1458" s="86" t="n"/>
      <c r="E1458" s="103">
        <f>IF(OR($B1458="",$D1458=""),"",IF(COUNTIF(THAM_SO_CC!$F$10:$F$40,$D1458)&gt;0,"Lễ",IF(IF(THAM_SO_CC!$B$12="T7+CN",WEEKDAY($D1458,2)&gt;=6,WEEKDAY($D1458,2)=7),"Nghỉ tuần","Ngày thường")))</f>
        <v/>
      </c>
      <c r="F1458" s="107" t="n"/>
      <c r="G1458" s="107" t="n"/>
      <c r="H1458" s="107" t="n"/>
      <c r="I1458" s="81" t="n"/>
      <c r="J1458" s="108">
        <f>IF($B1458="","",IF($E1458="Ngày thường",N($G1458),0))</f>
        <v/>
      </c>
      <c r="K1458" s="108">
        <f>IF($B1458="","",IF($E1458="Nghỉ tuần",N($G1458),0))</f>
        <v/>
      </c>
      <c r="L1458" s="108">
        <f>IF($B1458="","",IF($E1458="Lễ",N($G1458),0))</f>
        <v/>
      </c>
      <c r="M1458" s="108">
        <f>IF($B1458="","",IF($E1458="Ngày thường",N($H1458),0))</f>
        <v/>
      </c>
      <c r="N1458" s="108">
        <f>IF($B1458="","",IF($E1458="Nghỉ tuần",N($H1458),0))</f>
        <v/>
      </c>
      <c r="O1458" s="108">
        <f>IF($B1458="","",IF($E1458="Lễ",N($H1458),0))</f>
        <v/>
      </c>
    </row>
    <row r="1459" ht="15" customHeight="1" s="63">
      <c r="A1459" s="85">
        <f>IF($B1459="","",ROW()-5)</f>
        <v/>
      </c>
      <c r="B1459" s="97" t="n"/>
      <c r="C1459" s="96">
        <f>IF($B1459="","",IFERROR(INDEX(DM_NHAN_SU!$C$6:$C$155,MATCH($B1459,DM_NHAN_SU!$B$6:$B$155,0)),"SAI MÃ NV"))</f>
        <v/>
      </c>
      <c r="D1459" s="86" t="n"/>
      <c r="E1459" s="103">
        <f>IF(OR($B1459="",$D1459=""),"",IF(COUNTIF(THAM_SO_CC!$F$10:$F$40,$D1459)&gt;0,"Lễ",IF(IF(THAM_SO_CC!$B$12="T7+CN",WEEKDAY($D1459,2)&gt;=6,WEEKDAY($D1459,2)=7),"Nghỉ tuần","Ngày thường")))</f>
        <v/>
      </c>
      <c r="F1459" s="107" t="n"/>
      <c r="G1459" s="107" t="n"/>
      <c r="H1459" s="107" t="n"/>
      <c r="I1459" s="81" t="n"/>
      <c r="J1459" s="108">
        <f>IF($B1459="","",IF($E1459="Ngày thường",N($G1459),0))</f>
        <v/>
      </c>
      <c r="K1459" s="108">
        <f>IF($B1459="","",IF($E1459="Nghỉ tuần",N($G1459),0))</f>
        <v/>
      </c>
      <c r="L1459" s="108">
        <f>IF($B1459="","",IF($E1459="Lễ",N($G1459),0))</f>
        <v/>
      </c>
      <c r="M1459" s="108">
        <f>IF($B1459="","",IF($E1459="Ngày thường",N($H1459),0))</f>
        <v/>
      </c>
      <c r="N1459" s="108">
        <f>IF($B1459="","",IF($E1459="Nghỉ tuần",N($H1459),0))</f>
        <v/>
      </c>
      <c r="O1459" s="108">
        <f>IF($B1459="","",IF($E1459="Lễ",N($H1459),0))</f>
        <v/>
      </c>
    </row>
    <row r="1460" ht="15" customHeight="1" s="63">
      <c r="A1460" s="85">
        <f>IF($B1460="","",ROW()-5)</f>
        <v/>
      </c>
      <c r="B1460" s="97" t="n"/>
      <c r="C1460" s="96">
        <f>IF($B1460="","",IFERROR(INDEX(DM_NHAN_SU!$C$6:$C$155,MATCH($B1460,DM_NHAN_SU!$B$6:$B$155,0)),"SAI MÃ NV"))</f>
        <v/>
      </c>
      <c r="D1460" s="86" t="n"/>
      <c r="E1460" s="103">
        <f>IF(OR($B1460="",$D1460=""),"",IF(COUNTIF(THAM_SO_CC!$F$10:$F$40,$D1460)&gt;0,"Lễ",IF(IF(THAM_SO_CC!$B$12="T7+CN",WEEKDAY($D1460,2)&gt;=6,WEEKDAY($D1460,2)=7),"Nghỉ tuần","Ngày thường")))</f>
        <v/>
      </c>
      <c r="F1460" s="107" t="n"/>
      <c r="G1460" s="107" t="n"/>
      <c r="H1460" s="107" t="n"/>
      <c r="I1460" s="81" t="n"/>
      <c r="J1460" s="108">
        <f>IF($B1460="","",IF($E1460="Ngày thường",N($G1460),0))</f>
        <v/>
      </c>
      <c r="K1460" s="108">
        <f>IF($B1460="","",IF($E1460="Nghỉ tuần",N($G1460),0))</f>
        <v/>
      </c>
      <c r="L1460" s="108">
        <f>IF($B1460="","",IF($E1460="Lễ",N($G1460),0))</f>
        <v/>
      </c>
      <c r="M1460" s="108">
        <f>IF($B1460="","",IF($E1460="Ngày thường",N($H1460),0))</f>
        <v/>
      </c>
      <c r="N1460" s="108">
        <f>IF($B1460="","",IF($E1460="Nghỉ tuần",N($H1460),0))</f>
        <v/>
      </c>
      <c r="O1460" s="108">
        <f>IF($B1460="","",IF($E1460="Lễ",N($H1460),0))</f>
        <v/>
      </c>
    </row>
    <row r="1461" ht="15" customHeight="1" s="63">
      <c r="A1461" s="85">
        <f>IF($B1461="","",ROW()-5)</f>
        <v/>
      </c>
      <c r="B1461" s="97" t="n"/>
      <c r="C1461" s="96">
        <f>IF($B1461="","",IFERROR(INDEX(DM_NHAN_SU!$C$6:$C$155,MATCH($B1461,DM_NHAN_SU!$B$6:$B$155,0)),"SAI MÃ NV"))</f>
        <v/>
      </c>
      <c r="D1461" s="86" t="n"/>
      <c r="E1461" s="103">
        <f>IF(OR($B1461="",$D1461=""),"",IF(COUNTIF(THAM_SO_CC!$F$10:$F$40,$D1461)&gt;0,"Lễ",IF(IF(THAM_SO_CC!$B$12="T7+CN",WEEKDAY($D1461,2)&gt;=6,WEEKDAY($D1461,2)=7),"Nghỉ tuần","Ngày thường")))</f>
        <v/>
      </c>
      <c r="F1461" s="107" t="n"/>
      <c r="G1461" s="107" t="n"/>
      <c r="H1461" s="107" t="n"/>
      <c r="I1461" s="81" t="n"/>
      <c r="J1461" s="108">
        <f>IF($B1461="","",IF($E1461="Ngày thường",N($G1461),0))</f>
        <v/>
      </c>
      <c r="K1461" s="108">
        <f>IF($B1461="","",IF($E1461="Nghỉ tuần",N($G1461),0))</f>
        <v/>
      </c>
      <c r="L1461" s="108">
        <f>IF($B1461="","",IF($E1461="Lễ",N($G1461),0))</f>
        <v/>
      </c>
      <c r="M1461" s="108">
        <f>IF($B1461="","",IF($E1461="Ngày thường",N($H1461),0))</f>
        <v/>
      </c>
      <c r="N1461" s="108">
        <f>IF($B1461="","",IF($E1461="Nghỉ tuần",N($H1461),0))</f>
        <v/>
      </c>
      <c r="O1461" s="108">
        <f>IF($B1461="","",IF($E1461="Lễ",N($H1461),0))</f>
        <v/>
      </c>
    </row>
    <row r="1462" ht="15" customHeight="1" s="63">
      <c r="A1462" s="85">
        <f>IF($B1462="","",ROW()-5)</f>
        <v/>
      </c>
      <c r="B1462" s="97" t="n"/>
      <c r="C1462" s="96">
        <f>IF($B1462="","",IFERROR(INDEX(DM_NHAN_SU!$C$6:$C$155,MATCH($B1462,DM_NHAN_SU!$B$6:$B$155,0)),"SAI MÃ NV"))</f>
        <v/>
      </c>
      <c r="D1462" s="86" t="n"/>
      <c r="E1462" s="103">
        <f>IF(OR($B1462="",$D1462=""),"",IF(COUNTIF(THAM_SO_CC!$F$10:$F$40,$D1462)&gt;0,"Lễ",IF(IF(THAM_SO_CC!$B$12="T7+CN",WEEKDAY($D1462,2)&gt;=6,WEEKDAY($D1462,2)=7),"Nghỉ tuần","Ngày thường")))</f>
        <v/>
      </c>
      <c r="F1462" s="107" t="n"/>
      <c r="G1462" s="107" t="n"/>
      <c r="H1462" s="107" t="n"/>
      <c r="I1462" s="81" t="n"/>
      <c r="J1462" s="108">
        <f>IF($B1462="","",IF($E1462="Ngày thường",N($G1462),0))</f>
        <v/>
      </c>
      <c r="K1462" s="108">
        <f>IF($B1462="","",IF($E1462="Nghỉ tuần",N($G1462),0))</f>
        <v/>
      </c>
      <c r="L1462" s="108">
        <f>IF($B1462="","",IF($E1462="Lễ",N($G1462),0))</f>
        <v/>
      </c>
      <c r="M1462" s="108">
        <f>IF($B1462="","",IF($E1462="Ngày thường",N($H1462),0))</f>
        <v/>
      </c>
      <c r="N1462" s="108">
        <f>IF($B1462="","",IF($E1462="Nghỉ tuần",N($H1462),0))</f>
        <v/>
      </c>
      <c r="O1462" s="108">
        <f>IF($B1462="","",IF($E1462="Lễ",N($H1462),0))</f>
        <v/>
      </c>
    </row>
    <row r="1463" ht="15" customHeight="1" s="63">
      <c r="A1463" s="85">
        <f>IF($B1463="","",ROW()-5)</f>
        <v/>
      </c>
      <c r="B1463" s="97" t="n"/>
      <c r="C1463" s="96">
        <f>IF($B1463="","",IFERROR(INDEX(DM_NHAN_SU!$C$6:$C$155,MATCH($B1463,DM_NHAN_SU!$B$6:$B$155,0)),"SAI MÃ NV"))</f>
        <v/>
      </c>
      <c r="D1463" s="86" t="n"/>
      <c r="E1463" s="103">
        <f>IF(OR($B1463="",$D1463=""),"",IF(COUNTIF(THAM_SO_CC!$F$10:$F$40,$D1463)&gt;0,"Lễ",IF(IF(THAM_SO_CC!$B$12="T7+CN",WEEKDAY($D1463,2)&gt;=6,WEEKDAY($D1463,2)=7),"Nghỉ tuần","Ngày thường")))</f>
        <v/>
      </c>
      <c r="F1463" s="107" t="n"/>
      <c r="G1463" s="107" t="n"/>
      <c r="H1463" s="107" t="n"/>
      <c r="I1463" s="81" t="n"/>
      <c r="J1463" s="108">
        <f>IF($B1463="","",IF($E1463="Ngày thường",N($G1463),0))</f>
        <v/>
      </c>
      <c r="K1463" s="108">
        <f>IF($B1463="","",IF($E1463="Nghỉ tuần",N($G1463),0))</f>
        <v/>
      </c>
      <c r="L1463" s="108">
        <f>IF($B1463="","",IF($E1463="Lễ",N($G1463),0))</f>
        <v/>
      </c>
      <c r="M1463" s="108">
        <f>IF($B1463="","",IF($E1463="Ngày thường",N($H1463),0))</f>
        <v/>
      </c>
      <c r="N1463" s="108">
        <f>IF($B1463="","",IF($E1463="Nghỉ tuần",N($H1463),0))</f>
        <v/>
      </c>
      <c r="O1463" s="108">
        <f>IF($B1463="","",IF($E1463="Lễ",N($H1463),0))</f>
        <v/>
      </c>
    </row>
    <row r="1464" ht="15" customHeight="1" s="63">
      <c r="A1464" s="85">
        <f>IF($B1464="","",ROW()-5)</f>
        <v/>
      </c>
      <c r="B1464" s="97" t="n"/>
      <c r="C1464" s="96">
        <f>IF($B1464="","",IFERROR(INDEX(DM_NHAN_SU!$C$6:$C$155,MATCH($B1464,DM_NHAN_SU!$B$6:$B$155,0)),"SAI MÃ NV"))</f>
        <v/>
      </c>
      <c r="D1464" s="86" t="n"/>
      <c r="E1464" s="103">
        <f>IF(OR($B1464="",$D1464=""),"",IF(COUNTIF(THAM_SO_CC!$F$10:$F$40,$D1464)&gt;0,"Lễ",IF(IF(THAM_SO_CC!$B$12="T7+CN",WEEKDAY($D1464,2)&gt;=6,WEEKDAY($D1464,2)=7),"Nghỉ tuần","Ngày thường")))</f>
        <v/>
      </c>
      <c r="F1464" s="107" t="n"/>
      <c r="G1464" s="107" t="n"/>
      <c r="H1464" s="107" t="n"/>
      <c r="I1464" s="81" t="n"/>
      <c r="J1464" s="108">
        <f>IF($B1464="","",IF($E1464="Ngày thường",N($G1464),0))</f>
        <v/>
      </c>
      <c r="K1464" s="108">
        <f>IF($B1464="","",IF($E1464="Nghỉ tuần",N($G1464),0))</f>
        <v/>
      </c>
      <c r="L1464" s="108">
        <f>IF($B1464="","",IF($E1464="Lễ",N($G1464),0))</f>
        <v/>
      </c>
      <c r="M1464" s="108">
        <f>IF($B1464="","",IF($E1464="Ngày thường",N($H1464),0))</f>
        <v/>
      </c>
      <c r="N1464" s="108">
        <f>IF($B1464="","",IF($E1464="Nghỉ tuần",N($H1464),0))</f>
        <v/>
      </c>
      <c r="O1464" s="108">
        <f>IF($B1464="","",IF($E1464="Lễ",N($H1464),0))</f>
        <v/>
      </c>
    </row>
    <row r="1465" ht="15" customHeight="1" s="63">
      <c r="A1465" s="85">
        <f>IF($B1465="","",ROW()-5)</f>
        <v/>
      </c>
      <c r="B1465" s="97" t="n"/>
      <c r="C1465" s="96">
        <f>IF($B1465="","",IFERROR(INDEX(DM_NHAN_SU!$C$6:$C$155,MATCH($B1465,DM_NHAN_SU!$B$6:$B$155,0)),"SAI MÃ NV"))</f>
        <v/>
      </c>
      <c r="D1465" s="86" t="n"/>
      <c r="E1465" s="103">
        <f>IF(OR($B1465="",$D1465=""),"",IF(COUNTIF(THAM_SO_CC!$F$10:$F$40,$D1465)&gt;0,"Lễ",IF(IF(THAM_SO_CC!$B$12="T7+CN",WEEKDAY($D1465,2)&gt;=6,WEEKDAY($D1465,2)=7),"Nghỉ tuần","Ngày thường")))</f>
        <v/>
      </c>
      <c r="F1465" s="107" t="n"/>
      <c r="G1465" s="107" t="n"/>
      <c r="H1465" s="107" t="n"/>
      <c r="I1465" s="81" t="n"/>
      <c r="J1465" s="108">
        <f>IF($B1465="","",IF($E1465="Ngày thường",N($G1465),0))</f>
        <v/>
      </c>
      <c r="K1465" s="108">
        <f>IF($B1465="","",IF($E1465="Nghỉ tuần",N($G1465),0))</f>
        <v/>
      </c>
      <c r="L1465" s="108">
        <f>IF($B1465="","",IF($E1465="Lễ",N($G1465),0))</f>
        <v/>
      </c>
      <c r="M1465" s="108">
        <f>IF($B1465="","",IF($E1465="Ngày thường",N($H1465),0))</f>
        <v/>
      </c>
      <c r="N1465" s="108">
        <f>IF($B1465="","",IF($E1465="Nghỉ tuần",N($H1465),0))</f>
        <v/>
      </c>
      <c r="O1465" s="108">
        <f>IF($B1465="","",IF($E1465="Lễ",N($H1465),0))</f>
        <v/>
      </c>
    </row>
    <row r="1466" ht="15" customHeight="1" s="63">
      <c r="A1466" s="85">
        <f>IF($B1466="","",ROW()-5)</f>
        <v/>
      </c>
      <c r="B1466" s="97" t="n"/>
      <c r="C1466" s="96">
        <f>IF($B1466="","",IFERROR(INDEX(DM_NHAN_SU!$C$6:$C$155,MATCH($B1466,DM_NHAN_SU!$B$6:$B$155,0)),"SAI MÃ NV"))</f>
        <v/>
      </c>
      <c r="D1466" s="86" t="n"/>
      <c r="E1466" s="103">
        <f>IF(OR($B1466="",$D1466=""),"",IF(COUNTIF(THAM_SO_CC!$F$10:$F$40,$D1466)&gt;0,"Lễ",IF(IF(THAM_SO_CC!$B$12="T7+CN",WEEKDAY($D1466,2)&gt;=6,WEEKDAY($D1466,2)=7),"Nghỉ tuần","Ngày thường")))</f>
        <v/>
      </c>
      <c r="F1466" s="107" t="n"/>
      <c r="G1466" s="107" t="n"/>
      <c r="H1466" s="107" t="n"/>
      <c r="I1466" s="81" t="n"/>
      <c r="J1466" s="108">
        <f>IF($B1466="","",IF($E1466="Ngày thường",N($G1466),0))</f>
        <v/>
      </c>
      <c r="K1466" s="108">
        <f>IF($B1466="","",IF($E1466="Nghỉ tuần",N($G1466),0))</f>
        <v/>
      </c>
      <c r="L1466" s="108">
        <f>IF($B1466="","",IF($E1466="Lễ",N($G1466),0))</f>
        <v/>
      </c>
      <c r="M1466" s="108">
        <f>IF($B1466="","",IF($E1466="Ngày thường",N($H1466),0))</f>
        <v/>
      </c>
      <c r="N1466" s="108">
        <f>IF($B1466="","",IF($E1466="Nghỉ tuần",N($H1466),0))</f>
        <v/>
      </c>
      <c r="O1466" s="108">
        <f>IF($B1466="","",IF($E1466="Lễ",N($H1466),0))</f>
        <v/>
      </c>
    </row>
    <row r="1467" ht="15" customHeight="1" s="63">
      <c r="A1467" s="85">
        <f>IF($B1467="","",ROW()-5)</f>
        <v/>
      </c>
      <c r="B1467" s="97" t="n"/>
      <c r="C1467" s="96">
        <f>IF($B1467="","",IFERROR(INDEX(DM_NHAN_SU!$C$6:$C$155,MATCH($B1467,DM_NHAN_SU!$B$6:$B$155,0)),"SAI MÃ NV"))</f>
        <v/>
      </c>
      <c r="D1467" s="86" t="n"/>
      <c r="E1467" s="103">
        <f>IF(OR($B1467="",$D1467=""),"",IF(COUNTIF(THAM_SO_CC!$F$10:$F$40,$D1467)&gt;0,"Lễ",IF(IF(THAM_SO_CC!$B$12="T7+CN",WEEKDAY($D1467,2)&gt;=6,WEEKDAY($D1467,2)=7),"Nghỉ tuần","Ngày thường")))</f>
        <v/>
      </c>
      <c r="F1467" s="107" t="n"/>
      <c r="G1467" s="107" t="n"/>
      <c r="H1467" s="107" t="n"/>
      <c r="I1467" s="81" t="n"/>
      <c r="J1467" s="108">
        <f>IF($B1467="","",IF($E1467="Ngày thường",N($G1467),0))</f>
        <v/>
      </c>
      <c r="K1467" s="108">
        <f>IF($B1467="","",IF($E1467="Nghỉ tuần",N($G1467),0))</f>
        <v/>
      </c>
      <c r="L1467" s="108">
        <f>IF($B1467="","",IF($E1467="Lễ",N($G1467),0))</f>
        <v/>
      </c>
      <c r="M1467" s="108">
        <f>IF($B1467="","",IF($E1467="Ngày thường",N($H1467),0))</f>
        <v/>
      </c>
      <c r="N1467" s="108">
        <f>IF($B1467="","",IF($E1467="Nghỉ tuần",N($H1467),0))</f>
        <v/>
      </c>
      <c r="O1467" s="108">
        <f>IF($B1467="","",IF($E1467="Lễ",N($H1467),0))</f>
        <v/>
      </c>
    </row>
    <row r="1468" ht="15" customHeight="1" s="63">
      <c r="A1468" s="85">
        <f>IF($B1468="","",ROW()-5)</f>
        <v/>
      </c>
      <c r="B1468" s="97" t="n"/>
      <c r="C1468" s="96">
        <f>IF($B1468="","",IFERROR(INDEX(DM_NHAN_SU!$C$6:$C$155,MATCH($B1468,DM_NHAN_SU!$B$6:$B$155,0)),"SAI MÃ NV"))</f>
        <v/>
      </c>
      <c r="D1468" s="86" t="n"/>
      <c r="E1468" s="103">
        <f>IF(OR($B1468="",$D1468=""),"",IF(COUNTIF(THAM_SO_CC!$F$10:$F$40,$D1468)&gt;0,"Lễ",IF(IF(THAM_SO_CC!$B$12="T7+CN",WEEKDAY($D1468,2)&gt;=6,WEEKDAY($D1468,2)=7),"Nghỉ tuần","Ngày thường")))</f>
        <v/>
      </c>
      <c r="F1468" s="107" t="n"/>
      <c r="G1468" s="107" t="n"/>
      <c r="H1468" s="107" t="n"/>
      <c r="I1468" s="81" t="n"/>
      <c r="J1468" s="108">
        <f>IF($B1468="","",IF($E1468="Ngày thường",N($G1468),0))</f>
        <v/>
      </c>
      <c r="K1468" s="108">
        <f>IF($B1468="","",IF($E1468="Nghỉ tuần",N($G1468),0))</f>
        <v/>
      </c>
      <c r="L1468" s="108">
        <f>IF($B1468="","",IF($E1468="Lễ",N($G1468),0))</f>
        <v/>
      </c>
      <c r="M1468" s="108">
        <f>IF($B1468="","",IF($E1468="Ngày thường",N($H1468),0))</f>
        <v/>
      </c>
      <c r="N1468" s="108">
        <f>IF($B1468="","",IF($E1468="Nghỉ tuần",N($H1468),0))</f>
        <v/>
      </c>
      <c r="O1468" s="108">
        <f>IF($B1468="","",IF($E1468="Lễ",N($H1468),0))</f>
        <v/>
      </c>
    </row>
    <row r="1469" ht="15" customHeight="1" s="63">
      <c r="A1469" s="85">
        <f>IF($B1469="","",ROW()-5)</f>
        <v/>
      </c>
      <c r="B1469" s="97" t="n"/>
      <c r="C1469" s="96">
        <f>IF($B1469="","",IFERROR(INDEX(DM_NHAN_SU!$C$6:$C$155,MATCH($B1469,DM_NHAN_SU!$B$6:$B$155,0)),"SAI MÃ NV"))</f>
        <v/>
      </c>
      <c r="D1469" s="86" t="n"/>
      <c r="E1469" s="103">
        <f>IF(OR($B1469="",$D1469=""),"",IF(COUNTIF(THAM_SO_CC!$F$10:$F$40,$D1469)&gt;0,"Lễ",IF(IF(THAM_SO_CC!$B$12="T7+CN",WEEKDAY($D1469,2)&gt;=6,WEEKDAY($D1469,2)=7),"Nghỉ tuần","Ngày thường")))</f>
        <v/>
      </c>
      <c r="F1469" s="107" t="n"/>
      <c r="G1469" s="107" t="n"/>
      <c r="H1469" s="107" t="n"/>
      <c r="I1469" s="81" t="n"/>
      <c r="J1469" s="108">
        <f>IF($B1469="","",IF($E1469="Ngày thường",N($G1469),0))</f>
        <v/>
      </c>
      <c r="K1469" s="108">
        <f>IF($B1469="","",IF($E1469="Nghỉ tuần",N($G1469),0))</f>
        <v/>
      </c>
      <c r="L1469" s="108">
        <f>IF($B1469="","",IF($E1469="Lễ",N($G1469),0))</f>
        <v/>
      </c>
      <c r="M1469" s="108">
        <f>IF($B1469="","",IF($E1469="Ngày thường",N($H1469),0))</f>
        <v/>
      </c>
      <c r="N1469" s="108">
        <f>IF($B1469="","",IF($E1469="Nghỉ tuần",N($H1469),0))</f>
        <v/>
      </c>
      <c r="O1469" s="108">
        <f>IF($B1469="","",IF($E1469="Lễ",N($H1469),0))</f>
        <v/>
      </c>
    </row>
    <row r="1470" ht="15" customHeight="1" s="63">
      <c r="A1470" s="85">
        <f>IF($B1470="","",ROW()-5)</f>
        <v/>
      </c>
      <c r="B1470" s="97" t="n"/>
      <c r="C1470" s="96">
        <f>IF($B1470="","",IFERROR(INDEX(DM_NHAN_SU!$C$6:$C$155,MATCH($B1470,DM_NHAN_SU!$B$6:$B$155,0)),"SAI MÃ NV"))</f>
        <v/>
      </c>
      <c r="D1470" s="86" t="n"/>
      <c r="E1470" s="103">
        <f>IF(OR($B1470="",$D1470=""),"",IF(COUNTIF(THAM_SO_CC!$F$10:$F$40,$D1470)&gt;0,"Lễ",IF(IF(THAM_SO_CC!$B$12="T7+CN",WEEKDAY($D1470,2)&gt;=6,WEEKDAY($D1470,2)=7),"Nghỉ tuần","Ngày thường")))</f>
        <v/>
      </c>
      <c r="F1470" s="107" t="n"/>
      <c r="G1470" s="107" t="n"/>
      <c r="H1470" s="107" t="n"/>
      <c r="I1470" s="81" t="n"/>
      <c r="J1470" s="108">
        <f>IF($B1470="","",IF($E1470="Ngày thường",N($G1470),0))</f>
        <v/>
      </c>
      <c r="K1470" s="108">
        <f>IF($B1470="","",IF($E1470="Nghỉ tuần",N($G1470),0))</f>
        <v/>
      </c>
      <c r="L1470" s="108">
        <f>IF($B1470="","",IF($E1470="Lễ",N($G1470),0))</f>
        <v/>
      </c>
      <c r="M1470" s="108">
        <f>IF($B1470="","",IF($E1470="Ngày thường",N($H1470),0))</f>
        <v/>
      </c>
      <c r="N1470" s="108">
        <f>IF($B1470="","",IF($E1470="Nghỉ tuần",N($H1470),0))</f>
        <v/>
      </c>
      <c r="O1470" s="108">
        <f>IF($B1470="","",IF($E1470="Lễ",N($H1470),0))</f>
        <v/>
      </c>
    </row>
    <row r="1471" ht="15" customHeight="1" s="63">
      <c r="A1471" s="85">
        <f>IF($B1471="","",ROW()-5)</f>
        <v/>
      </c>
      <c r="B1471" s="97" t="n"/>
      <c r="C1471" s="96">
        <f>IF($B1471="","",IFERROR(INDEX(DM_NHAN_SU!$C$6:$C$155,MATCH($B1471,DM_NHAN_SU!$B$6:$B$155,0)),"SAI MÃ NV"))</f>
        <v/>
      </c>
      <c r="D1471" s="86" t="n"/>
      <c r="E1471" s="103">
        <f>IF(OR($B1471="",$D1471=""),"",IF(COUNTIF(THAM_SO_CC!$F$10:$F$40,$D1471)&gt;0,"Lễ",IF(IF(THAM_SO_CC!$B$12="T7+CN",WEEKDAY($D1471,2)&gt;=6,WEEKDAY($D1471,2)=7),"Nghỉ tuần","Ngày thường")))</f>
        <v/>
      </c>
      <c r="F1471" s="107" t="n"/>
      <c r="G1471" s="107" t="n"/>
      <c r="H1471" s="107" t="n"/>
      <c r="I1471" s="81" t="n"/>
      <c r="J1471" s="108">
        <f>IF($B1471="","",IF($E1471="Ngày thường",N($G1471),0))</f>
        <v/>
      </c>
      <c r="K1471" s="108">
        <f>IF($B1471="","",IF($E1471="Nghỉ tuần",N($G1471),0))</f>
        <v/>
      </c>
      <c r="L1471" s="108">
        <f>IF($B1471="","",IF($E1471="Lễ",N($G1471),0))</f>
        <v/>
      </c>
      <c r="M1471" s="108">
        <f>IF($B1471="","",IF($E1471="Ngày thường",N($H1471),0))</f>
        <v/>
      </c>
      <c r="N1471" s="108">
        <f>IF($B1471="","",IF($E1471="Nghỉ tuần",N($H1471),0))</f>
        <v/>
      </c>
      <c r="O1471" s="108">
        <f>IF($B1471="","",IF($E1471="Lễ",N($H1471),0))</f>
        <v/>
      </c>
    </row>
    <row r="1472" ht="15" customHeight="1" s="63">
      <c r="A1472" s="85">
        <f>IF($B1472="","",ROW()-5)</f>
        <v/>
      </c>
      <c r="B1472" s="97" t="n"/>
      <c r="C1472" s="96">
        <f>IF($B1472="","",IFERROR(INDEX(DM_NHAN_SU!$C$6:$C$155,MATCH($B1472,DM_NHAN_SU!$B$6:$B$155,0)),"SAI MÃ NV"))</f>
        <v/>
      </c>
      <c r="D1472" s="86" t="n"/>
      <c r="E1472" s="103">
        <f>IF(OR($B1472="",$D1472=""),"",IF(COUNTIF(THAM_SO_CC!$F$10:$F$40,$D1472)&gt;0,"Lễ",IF(IF(THAM_SO_CC!$B$12="T7+CN",WEEKDAY($D1472,2)&gt;=6,WEEKDAY($D1472,2)=7),"Nghỉ tuần","Ngày thường")))</f>
        <v/>
      </c>
      <c r="F1472" s="107" t="n"/>
      <c r="G1472" s="107" t="n"/>
      <c r="H1472" s="107" t="n"/>
      <c r="I1472" s="81" t="n"/>
      <c r="J1472" s="108">
        <f>IF($B1472="","",IF($E1472="Ngày thường",N($G1472),0))</f>
        <v/>
      </c>
      <c r="K1472" s="108">
        <f>IF($B1472="","",IF($E1472="Nghỉ tuần",N($G1472),0))</f>
        <v/>
      </c>
      <c r="L1472" s="108">
        <f>IF($B1472="","",IF($E1472="Lễ",N($G1472),0))</f>
        <v/>
      </c>
      <c r="M1472" s="108">
        <f>IF($B1472="","",IF($E1472="Ngày thường",N($H1472),0))</f>
        <v/>
      </c>
      <c r="N1472" s="108">
        <f>IF($B1472="","",IF($E1472="Nghỉ tuần",N($H1472),0))</f>
        <v/>
      </c>
      <c r="O1472" s="108">
        <f>IF($B1472="","",IF($E1472="Lễ",N($H1472),0))</f>
        <v/>
      </c>
    </row>
    <row r="1473" ht="15" customHeight="1" s="63">
      <c r="A1473" s="85">
        <f>IF($B1473="","",ROW()-5)</f>
        <v/>
      </c>
      <c r="B1473" s="97" t="n"/>
      <c r="C1473" s="96">
        <f>IF($B1473="","",IFERROR(INDEX(DM_NHAN_SU!$C$6:$C$155,MATCH($B1473,DM_NHAN_SU!$B$6:$B$155,0)),"SAI MÃ NV"))</f>
        <v/>
      </c>
      <c r="D1473" s="86" t="n"/>
      <c r="E1473" s="103">
        <f>IF(OR($B1473="",$D1473=""),"",IF(COUNTIF(THAM_SO_CC!$F$10:$F$40,$D1473)&gt;0,"Lễ",IF(IF(THAM_SO_CC!$B$12="T7+CN",WEEKDAY($D1473,2)&gt;=6,WEEKDAY($D1473,2)=7),"Nghỉ tuần","Ngày thường")))</f>
        <v/>
      </c>
      <c r="F1473" s="107" t="n"/>
      <c r="G1473" s="107" t="n"/>
      <c r="H1473" s="107" t="n"/>
      <c r="I1473" s="81" t="n"/>
      <c r="J1473" s="108">
        <f>IF($B1473="","",IF($E1473="Ngày thường",N($G1473),0))</f>
        <v/>
      </c>
      <c r="K1473" s="108">
        <f>IF($B1473="","",IF($E1473="Nghỉ tuần",N($G1473),0))</f>
        <v/>
      </c>
      <c r="L1473" s="108">
        <f>IF($B1473="","",IF($E1473="Lễ",N($G1473),0))</f>
        <v/>
      </c>
      <c r="M1473" s="108">
        <f>IF($B1473="","",IF($E1473="Ngày thường",N($H1473),0))</f>
        <v/>
      </c>
      <c r="N1473" s="108">
        <f>IF($B1473="","",IF($E1473="Nghỉ tuần",N($H1473),0))</f>
        <v/>
      </c>
      <c r="O1473" s="108">
        <f>IF($B1473="","",IF($E1473="Lễ",N($H1473),0))</f>
        <v/>
      </c>
    </row>
    <row r="1474" ht="15" customHeight="1" s="63">
      <c r="A1474" s="85">
        <f>IF($B1474="","",ROW()-5)</f>
        <v/>
      </c>
      <c r="B1474" s="97" t="n"/>
      <c r="C1474" s="96">
        <f>IF($B1474="","",IFERROR(INDEX(DM_NHAN_SU!$C$6:$C$155,MATCH($B1474,DM_NHAN_SU!$B$6:$B$155,0)),"SAI MÃ NV"))</f>
        <v/>
      </c>
      <c r="D1474" s="86" t="n"/>
      <c r="E1474" s="103">
        <f>IF(OR($B1474="",$D1474=""),"",IF(COUNTIF(THAM_SO_CC!$F$10:$F$40,$D1474)&gt;0,"Lễ",IF(IF(THAM_SO_CC!$B$12="T7+CN",WEEKDAY($D1474,2)&gt;=6,WEEKDAY($D1474,2)=7),"Nghỉ tuần","Ngày thường")))</f>
        <v/>
      </c>
      <c r="F1474" s="107" t="n"/>
      <c r="G1474" s="107" t="n"/>
      <c r="H1474" s="107" t="n"/>
      <c r="I1474" s="81" t="n"/>
      <c r="J1474" s="108">
        <f>IF($B1474="","",IF($E1474="Ngày thường",N($G1474),0))</f>
        <v/>
      </c>
      <c r="K1474" s="108">
        <f>IF($B1474="","",IF($E1474="Nghỉ tuần",N($G1474),0))</f>
        <v/>
      </c>
      <c r="L1474" s="108">
        <f>IF($B1474="","",IF($E1474="Lễ",N($G1474),0))</f>
        <v/>
      </c>
      <c r="M1474" s="108">
        <f>IF($B1474="","",IF($E1474="Ngày thường",N($H1474),0))</f>
        <v/>
      </c>
      <c r="N1474" s="108">
        <f>IF($B1474="","",IF($E1474="Nghỉ tuần",N($H1474),0))</f>
        <v/>
      </c>
      <c r="O1474" s="108">
        <f>IF($B1474="","",IF($E1474="Lễ",N($H1474),0))</f>
        <v/>
      </c>
    </row>
    <row r="1475" ht="15" customHeight="1" s="63">
      <c r="A1475" s="85">
        <f>IF($B1475="","",ROW()-5)</f>
        <v/>
      </c>
      <c r="B1475" s="97" t="n"/>
      <c r="C1475" s="96">
        <f>IF($B1475="","",IFERROR(INDEX(DM_NHAN_SU!$C$6:$C$155,MATCH($B1475,DM_NHAN_SU!$B$6:$B$155,0)),"SAI MÃ NV"))</f>
        <v/>
      </c>
      <c r="D1475" s="86" t="n"/>
      <c r="E1475" s="103">
        <f>IF(OR($B1475="",$D1475=""),"",IF(COUNTIF(THAM_SO_CC!$F$10:$F$40,$D1475)&gt;0,"Lễ",IF(IF(THAM_SO_CC!$B$12="T7+CN",WEEKDAY($D1475,2)&gt;=6,WEEKDAY($D1475,2)=7),"Nghỉ tuần","Ngày thường")))</f>
        <v/>
      </c>
      <c r="F1475" s="107" t="n"/>
      <c r="G1475" s="107" t="n"/>
      <c r="H1475" s="107" t="n"/>
      <c r="I1475" s="81" t="n"/>
      <c r="J1475" s="108">
        <f>IF($B1475="","",IF($E1475="Ngày thường",N($G1475),0))</f>
        <v/>
      </c>
      <c r="K1475" s="108">
        <f>IF($B1475="","",IF($E1475="Nghỉ tuần",N($G1475),0))</f>
        <v/>
      </c>
      <c r="L1475" s="108">
        <f>IF($B1475="","",IF($E1475="Lễ",N($G1475),0))</f>
        <v/>
      </c>
      <c r="M1475" s="108">
        <f>IF($B1475="","",IF($E1475="Ngày thường",N($H1475),0))</f>
        <v/>
      </c>
      <c r="N1475" s="108">
        <f>IF($B1475="","",IF($E1475="Nghỉ tuần",N($H1475),0))</f>
        <v/>
      </c>
      <c r="O1475" s="108">
        <f>IF($B1475="","",IF($E1475="Lễ",N($H1475),0))</f>
        <v/>
      </c>
    </row>
    <row r="1476" ht="15" customHeight="1" s="63">
      <c r="A1476" s="85">
        <f>IF($B1476="","",ROW()-5)</f>
        <v/>
      </c>
      <c r="B1476" s="97" t="n"/>
      <c r="C1476" s="96">
        <f>IF($B1476="","",IFERROR(INDEX(DM_NHAN_SU!$C$6:$C$155,MATCH($B1476,DM_NHAN_SU!$B$6:$B$155,0)),"SAI MÃ NV"))</f>
        <v/>
      </c>
      <c r="D1476" s="86" t="n"/>
      <c r="E1476" s="103">
        <f>IF(OR($B1476="",$D1476=""),"",IF(COUNTIF(THAM_SO_CC!$F$10:$F$40,$D1476)&gt;0,"Lễ",IF(IF(THAM_SO_CC!$B$12="T7+CN",WEEKDAY($D1476,2)&gt;=6,WEEKDAY($D1476,2)=7),"Nghỉ tuần","Ngày thường")))</f>
        <v/>
      </c>
      <c r="F1476" s="107" t="n"/>
      <c r="G1476" s="107" t="n"/>
      <c r="H1476" s="107" t="n"/>
      <c r="I1476" s="81" t="n"/>
      <c r="J1476" s="108">
        <f>IF($B1476="","",IF($E1476="Ngày thường",N($G1476),0))</f>
        <v/>
      </c>
      <c r="K1476" s="108">
        <f>IF($B1476="","",IF($E1476="Nghỉ tuần",N($G1476),0))</f>
        <v/>
      </c>
      <c r="L1476" s="108">
        <f>IF($B1476="","",IF($E1476="Lễ",N($G1476),0))</f>
        <v/>
      </c>
      <c r="M1476" s="108">
        <f>IF($B1476="","",IF($E1476="Ngày thường",N($H1476),0))</f>
        <v/>
      </c>
      <c r="N1476" s="108">
        <f>IF($B1476="","",IF($E1476="Nghỉ tuần",N($H1476),0))</f>
        <v/>
      </c>
      <c r="O1476" s="108">
        <f>IF($B1476="","",IF($E1476="Lễ",N($H1476),0))</f>
        <v/>
      </c>
    </row>
    <row r="1477" ht="15" customHeight="1" s="63">
      <c r="A1477" s="85">
        <f>IF($B1477="","",ROW()-5)</f>
        <v/>
      </c>
      <c r="B1477" s="97" t="n"/>
      <c r="C1477" s="96">
        <f>IF($B1477="","",IFERROR(INDEX(DM_NHAN_SU!$C$6:$C$155,MATCH($B1477,DM_NHAN_SU!$B$6:$B$155,0)),"SAI MÃ NV"))</f>
        <v/>
      </c>
      <c r="D1477" s="86" t="n"/>
      <c r="E1477" s="103">
        <f>IF(OR($B1477="",$D1477=""),"",IF(COUNTIF(THAM_SO_CC!$F$10:$F$40,$D1477)&gt;0,"Lễ",IF(IF(THAM_SO_CC!$B$12="T7+CN",WEEKDAY($D1477,2)&gt;=6,WEEKDAY($D1477,2)=7),"Nghỉ tuần","Ngày thường")))</f>
        <v/>
      </c>
      <c r="F1477" s="107" t="n"/>
      <c r="G1477" s="107" t="n"/>
      <c r="H1477" s="107" t="n"/>
      <c r="I1477" s="81" t="n"/>
      <c r="J1477" s="108">
        <f>IF($B1477="","",IF($E1477="Ngày thường",N($G1477),0))</f>
        <v/>
      </c>
      <c r="K1477" s="108">
        <f>IF($B1477="","",IF($E1477="Nghỉ tuần",N($G1477),0))</f>
        <v/>
      </c>
      <c r="L1477" s="108">
        <f>IF($B1477="","",IF($E1477="Lễ",N($G1477),0))</f>
        <v/>
      </c>
      <c r="M1477" s="108">
        <f>IF($B1477="","",IF($E1477="Ngày thường",N($H1477),0))</f>
        <v/>
      </c>
      <c r="N1477" s="108">
        <f>IF($B1477="","",IF($E1477="Nghỉ tuần",N($H1477),0))</f>
        <v/>
      </c>
      <c r="O1477" s="108">
        <f>IF($B1477="","",IF($E1477="Lễ",N($H1477),0))</f>
        <v/>
      </c>
    </row>
    <row r="1478" ht="15" customHeight="1" s="63">
      <c r="A1478" s="85">
        <f>IF($B1478="","",ROW()-5)</f>
        <v/>
      </c>
      <c r="B1478" s="97" t="n"/>
      <c r="C1478" s="96">
        <f>IF($B1478="","",IFERROR(INDEX(DM_NHAN_SU!$C$6:$C$155,MATCH($B1478,DM_NHAN_SU!$B$6:$B$155,0)),"SAI MÃ NV"))</f>
        <v/>
      </c>
      <c r="D1478" s="86" t="n"/>
      <c r="E1478" s="103">
        <f>IF(OR($B1478="",$D1478=""),"",IF(COUNTIF(THAM_SO_CC!$F$10:$F$40,$D1478)&gt;0,"Lễ",IF(IF(THAM_SO_CC!$B$12="T7+CN",WEEKDAY($D1478,2)&gt;=6,WEEKDAY($D1478,2)=7),"Nghỉ tuần","Ngày thường")))</f>
        <v/>
      </c>
      <c r="F1478" s="107" t="n"/>
      <c r="G1478" s="107" t="n"/>
      <c r="H1478" s="107" t="n"/>
      <c r="I1478" s="81" t="n"/>
      <c r="J1478" s="108">
        <f>IF($B1478="","",IF($E1478="Ngày thường",N($G1478),0))</f>
        <v/>
      </c>
      <c r="K1478" s="108">
        <f>IF($B1478="","",IF($E1478="Nghỉ tuần",N($G1478),0))</f>
        <v/>
      </c>
      <c r="L1478" s="108">
        <f>IF($B1478="","",IF($E1478="Lễ",N($G1478),0))</f>
        <v/>
      </c>
      <c r="M1478" s="108">
        <f>IF($B1478="","",IF($E1478="Ngày thường",N($H1478),0))</f>
        <v/>
      </c>
      <c r="N1478" s="108">
        <f>IF($B1478="","",IF($E1478="Nghỉ tuần",N($H1478),0))</f>
        <v/>
      </c>
      <c r="O1478" s="108">
        <f>IF($B1478="","",IF($E1478="Lễ",N($H1478),0))</f>
        <v/>
      </c>
    </row>
    <row r="1479" ht="15" customHeight="1" s="63">
      <c r="A1479" s="85">
        <f>IF($B1479="","",ROW()-5)</f>
        <v/>
      </c>
      <c r="B1479" s="97" t="n"/>
      <c r="C1479" s="96">
        <f>IF($B1479="","",IFERROR(INDEX(DM_NHAN_SU!$C$6:$C$155,MATCH($B1479,DM_NHAN_SU!$B$6:$B$155,0)),"SAI MÃ NV"))</f>
        <v/>
      </c>
      <c r="D1479" s="86" t="n"/>
      <c r="E1479" s="103">
        <f>IF(OR($B1479="",$D1479=""),"",IF(COUNTIF(THAM_SO_CC!$F$10:$F$40,$D1479)&gt;0,"Lễ",IF(IF(THAM_SO_CC!$B$12="T7+CN",WEEKDAY($D1479,2)&gt;=6,WEEKDAY($D1479,2)=7),"Nghỉ tuần","Ngày thường")))</f>
        <v/>
      </c>
      <c r="F1479" s="107" t="n"/>
      <c r="G1479" s="107" t="n"/>
      <c r="H1479" s="107" t="n"/>
      <c r="I1479" s="81" t="n"/>
      <c r="J1479" s="108">
        <f>IF($B1479="","",IF($E1479="Ngày thường",N($G1479),0))</f>
        <v/>
      </c>
      <c r="K1479" s="108">
        <f>IF($B1479="","",IF($E1479="Nghỉ tuần",N($G1479),0))</f>
        <v/>
      </c>
      <c r="L1479" s="108">
        <f>IF($B1479="","",IF($E1479="Lễ",N($G1479),0))</f>
        <v/>
      </c>
      <c r="M1479" s="108">
        <f>IF($B1479="","",IF($E1479="Ngày thường",N($H1479),0))</f>
        <v/>
      </c>
      <c r="N1479" s="108">
        <f>IF($B1479="","",IF($E1479="Nghỉ tuần",N($H1479),0))</f>
        <v/>
      </c>
      <c r="O1479" s="108">
        <f>IF($B1479="","",IF($E1479="Lễ",N($H1479),0))</f>
        <v/>
      </c>
    </row>
    <row r="1480" ht="15" customHeight="1" s="63">
      <c r="A1480" s="85">
        <f>IF($B1480="","",ROW()-5)</f>
        <v/>
      </c>
      <c r="B1480" s="97" t="n"/>
      <c r="C1480" s="96">
        <f>IF($B1480="","",IFERROR(INDEX(DM_NHAN_SU!$C$6:$C$155,MATCH($B1480,DM_NHAN_SU!$B$6:$B$155,0)),"SAI MÃ NV"))</f>
        <v/>
      </c>
      <c r="D1480" s="86" t="n"/>
      <c r="E1480" s="103">
        <f>IF(OR($B1480="",$D1480=""),"",IF(COUNTIF(THAM_SO_CC!$F$10:$F$40,$D1480)&gt;0,"Lễ",IF(IF(THAM_SO_CC!$B$12="T7+CN",WEEKDAY($D1480,2)&gt;=6,WEEKDAY($D1480,2)=7),"Nghỉ tuần","Ngày thường")))</f>
        <v/>
      </c>
      <c r="F1480" s="107" t="n"/>
      <c r="G1480" s="107" t="n"/>
      <c r="H1480" s="107" t="n"/>
      <c r="I1480" s="81" t="n"/>
      <c r="J1480" s="108">
        <f>IF($B1480="","",IF($E1480="Ngày thường",N($G1480),0))</f>
        <v/>
      </c>
      <c r="K1480" s="108">
        <f>IF($B1480="","",IF($E1480="Nghỉ tuần",N($G1480),0))</f>
        <v/>
      </c>
      <c r="L1480" s="108">
        <f>IF($B1480="","",IF($E1480="Lễ",N($G1480),0))</f>
        <v/>
      </c>
      <c r="M1480" s="108">
        <f>IF($B1480="","",IF($E1480="Ngày thường",N($H1480),0))</f>
        <v/>
      </c>
      <c r="N1480" s="108">
        <f>IF($B1480="","",IF($E1480="Nghỉ tuần",N($H1480),0))</f>
        <v/>
      </c>
      <c r="O1480" s="108">
        <f>IF($B1480="","",IF($E1480="Lễ",N($H1480),0))</f>
        <v/>
      </c>
    </row>
    <row r="1481" ht="15" customHeight="1" s="63">
      <c r="A1481" s="85">
        <f>IF($B1481="","",ROW()-5)</f>
        <v/>
      </c>
      <c r="B1481" s="97" t="n"/>
      <c r="C1481" s="96">
        <f>IF($B1481="","",IFERROR(INDEX(DM_NHAN_SU!$C$6:$C$155,MATCH($B1481,DM_NHAN_SU!$B$6:$B$155,0)),"SAI MÃ NV"))</f>
        <v/>
      </c>
      <c r="D1481" s="86" t="n"/>
      <c r="E1481" s="103">
        <f>IF(OR($B1481="",$D1481=""),"",IF(COUNTIF(THAM_SO_CC!$F$10:$F$40,$D1481)&gt;0,"Lễ",IF(IF(THAM_SO_CC!$B$12="T7+CN",WEEKDAY($D1481,2)&gt;=6,WEEKDAY($D1481,2)=7),"Nghỉ tuần","Ngày thường")))</f>
        <v/>
      </c>
      <c r="F1481" s="107" t="n"/>
      <c r="G1481" s="107" t="n"/>
      <c r="H1481" s="107" t="n"/>
      <c r="I1481" s="81" t="n"/>
      <c r="J1481" s="108">
        <f>IF($B1481="","",IF($E1481="Ngày thường",N($G1481),0))</f>
        <v/>
      </c>
      <c r="K1481" s="108">
        <f>IF($B1481="","",IF($E1481="Nghỉ tuần",N($G1481),0))</f>
        <v/>
      </c>
      <c r="L1481" s="108">
        <f>IF($B1481="","",IF($E1481="Lễ",N($G1481),0))</f>
        <v/>
      </c>
      <c r="M1481" s="108">
        <f>IF($B1481="","",IF($E1481="Ngày thường",N($H1481),0))</f>
        <v/>
      </c>
      <c r="N1481" s="108">
        <f>IF($B1481="","",IF($E1481="Nghỉ tuần",N($H1481),0))</f>
        <v/>
      </c>
      <c r="O1481" s="108">
        <f>IF($B1481="","",IF($E1481="Lễ",N($H1481),0))</f>
        <v/>
      </c>
    </row>
    <row r="1482" ht="15" customHeight="1" s="63">
      <c r="A1482" s="85">
        <f>IF($B1482="","",ROW()-5)</f>
        <v/>
      </c>
      <c r="B1482" s="97" t="n"/>
      <c r="C1482" s="96">
        <f>IF($B1482="","",IFERROR(INDEX(DM_NHAN_SU!$C$6:$C$155,MATCH($B1482,DM_NHAN_SU!$B$6:$B$155,0)),"SAI MÃ NV"))</f>
        <v/>
      </c>
      <c r="D1482" s="86" t="n"/>
      <c r="E1482" s="103">
        <f>IF(OR($B1482="",$D1482=""),"",IF(COUNTIF(THAM_SO_CC!$F$10:$F$40,$D1482)&gt;0,"Lễ",IF(IF(THAM_SO_CC!$B$12="T7+CN",WEEKDAY($D1482,2)&gt;=6,WEEKDAY($D1482,2)=7),"Nghỉ tuần","Ngày thường")))</f>
        <v/>
      </c>
      <c r="F1482" s="107" t="n"/>
      <c r="G1482" s="107" t="n"/>
      <c r="H1482" s="107" t="n"/>
      <c r="I1482" s="81" t="n"/>
      <c r="J1482" s="108">
        <f>IF($B1482="","",IF($E1482="Ngày thường",N($G1482),0))</f>
        <v/>
      </c>
      <c r="K1482" s="108">
        <f>IF($B1482="","",IF($E1482="Nghỉ tuần",N($G1482),0))</f>
        <v/>
      </c>
      <c r="L1482" s="108">
        <f>IF($B1482="","",IF($E1482="Lễ",N($G1482),0))</f>
        <v/>
      </c>
      <c r="M1482" s="108">
        <f>IF($B1482="","",IF($E1482="Ngày thường",N($H1482),0))</f>
        <v/>
      </c>
      <c r="N1482" s="108">
        <f>IF($B1482="","",IF($E1482="Nghỉ tuần",N($H1482),0))</f>
        <v/>
      </c>
      <c r="O1482" s="108">
        <f>IF($B1482="","",IF($E1482="Lễ",N($H1482),0))</f>
        <v/>
      </c>
    </row>
    <row r="1483" ht="15" customHeight="1" s="63">
      <c r="A1483" s="85">
        <f>IF($B1483="","",ROW()-5)</f>
        <v/>
      </c>
      <c r="B1483" s="97" t="n"/>
      <c r="C1483" s="96">
        <f>IF($B1483="","",IFERROR(INDEX(DM_NHAN_SU!$C$6:$C$155,MATCH($B1483,DM_NHAN_SU!$B$6:$B$155,0)),"SAI MÃ NV"))</f>
        <v/>
      </c>
      <c r="D1483" s="86" t="n"/>
      <c r="E1483" s="103">
        <f>IF(OR($B1483="",$D1483=""),"",IF(COUNTIF(THAM_SO_CC!$F$10:$F$40,$D1483)&gt;0,"Lễ",IF(IF(THAM_SO_CC!$B$12="T7+CN",WEEKDAY($D1483,2)&gt;=6,WEEKDAY($D1483,2)=7),"Nghỉ tuần","Ngày thường")))</f>
        <v/>
      </c>
      <c r="F1483" s="107" t="n"/>
      <c r="G1483" s="107" t="n"/>
      <c r="H1483" s="107" t="n"/>
      <c r="I1483" s="81" t="n"/>
      <c r="J1483" s="108">
        <f>IF($B1483="","",IF($E1483="Ngày thường",N($G1483),0))</f>
        <v/>
      </c>
      <c r="K1483" s="108">
        <f>IF($B1483="","",IF($E1483="Nghỉ tuần",N($G1483),0))</f>
        <v/>
      </c>
      <c r="L1483" s="108">
        <f>IF($B1483="","",IF($E1483="Lễ",N($G1483),0))</f>
        <v/>
      </c>
      <c r="M1483" s="108">
        <f>IF($B1483="","",IF($E1483="Ngày thường",N($H1483),0))</f>
        <v/>
      </c>
      <c r="N1483" s="108">
        <f>IF($B1483="","",IF($E1483="Nghỉ tuần",N($H1483),0))</f>
        <v/>
      </c>
      <c r="O1483" s="108">
        <f>IF($B1483="","",IF($E1483="Lễ",N($H1483),0))</f>
        <v/>
      </c>
    </row>
    <row r="1484" ht="15" customHeight="1" s="63">
      <c r="A1484" s="85">
        <f>IF($B1484="","",ROW()-5)</f>
        <v/>
      </c>
      <c r="B1484" s="97" t="n"/>
      <c r="C1484" s="96">
        <f>IF($B1484="","",IFERROR(INDEX(DM_NHAN_SU!$C$6:$C$155,MATCH($B1484,DM_NHAN_SU!$B$6:$B$155,0)),"SAI MÃ NV"))</f>
        <v/>
      </c>
      <c r="D1484" s="86" t="n"/>
      <c r="E1484" s="103">
        <f>IF(OR($B1484="",$D1484=""),"",IF(COUNTIF(THAM_SO_CC!$F$10:$F$40,$D1484)&gt;0,"Lễ",IF(IF(THAM_SO_CC!$B$12="T7+CN",WEEKDAY($D1484,2)&gt;=6,WEEKDAY($D1484,2)=7),"Nghỉ tuần","Ngày thường")))</f>
        <v/>
      </c>
      <c r="F1484" s="107" t="n"/>
      <c r="G1484" s="107" t="n"/>
      <c r="H1484" s="107" t="n"/>
      <c r="I1484" s="81" t="n"/>
      <c r="J1484" s="108">
        <f>IF($B1484="","",IF($E1484="Ngày thường",N($G1484),0))</f>
        <v/>
      </c>
      <c r="K1484" s="108">
        <f>IF($B1484="","",IF($E1484="Nghỉ tuần",N($G1484),0))</f>
        <v/>
      </c>
      <c r="L1484" s="108">
        <f>IF($B1484="","",IF($E1484="Lễ",N($G1484),0))</f>
        <v/>
      </c>
      <c r="M1484" s="108">
        <f>IF($B1484="","",IF($E1484="Ngày thường",N($H1484),0))</f>
        <v/>
      </c>
      <c r="N1484" s="108">
        <f>IF($B1484="","",IF($E1484="Nghỉ tuần",N($H1484),0))</f>
        <v/>
      </c>
      <c r="O1484" s="108">
        <f>IF($B1484="","",IF($E1484="Lễ",N($H1484),0))</f>
        <v/>
      </c>
    </row>
    <row r="1485" ht="15" customHeight="1" s="63">
      <c r="A1485" s="85">
        <f>IF($B1485="","",ROW()-5)</f>
        <v/>
      </c>
      <c r="B1485" s="97" t="n"/>
      <c r="C1485" s="96">
        <f>IF($B1485="","",IFERROR(INDEX(DM_NHAN_SU!$C$6:$C$155,MATCH($B1485,DM_NHAN_SU!$B$6:$B$155,0)),"SAI MÃ NV"))</f>
        <v/>
      </c>
      <c r="D1485" s="86" t="n"/>
      <c r="E1485" s="103">
        <f>IF(OR($B1485="",$D1485=""),"",IF(COUNTIF(THAM_SO_CC!$F$10:$F$40,$D1485)&gt;0,"Lễ",IF(IF(THAM_SO_CC!$B$12="T7+CN",WEEKDAY($D1485,2)&gt;=6,WEEKDAY($D1485,2)=7),"Nghỉ tuần","Ngày thường")))</f>
        <v/>
      </c>
      <c r="F1485" s="107" t="n"/>
      <c r="G1485" s="107" t="n"/>
      <c r="H1485" s="107" t="n"/>
      <c r="I1485" s="81" t="n"/>
      <c r="J1485" s="108">
        <f>IF($B1485="","",IF($E1485="Ngày thường",N($G1485),0))</f>
        <v/>
      </c>
      <c r="K1485" s="108">
        <f>IF($B1485="","",IF($E1485="Nghỉ tuần",N($G1485),0))</f>
        <v/>
      </c>
      <c r="L1485" s="108">
        <f>IF($B1485="","",IF($E1485="Lễ",N($G1485),0))</f>
        <v/>
      </c>
      <c r="M1485" s="108">
        <f>IF($B1485="","",IF($E1485="Ngày thường",N($H1485),0))</f>
        <v/>
      </c>
      <c r="N1485" s="108">
        <f>IF($B1485="","",IF($E1485="Nghỉ tuần",N($H1485),0))</f>
        <v/>
      </c>
      <c r="O1485" s="108">
        <f>IF($B1485="","",IF($E1485="Lễ",N($H1485),0))</f>
        <v/>
      </c>
    </row>
    <row r="1486" ht="15" customHeight="1" s="63">
      <c r="A1486" s="85">
        <f>IF($B1486="","",ROW()-5)</f>
        <v/>
      </c>
      <c r="B1486" s="97" t="n"/>
      <c r="C1486" s="96">
        <f>IF($B1486="","",IFERROR(INDEX(DM_NHAN_SU!$C$6:$C$155,MATCH($B1486,DM_NHAN_SU!$B$6:$B$155,0)),"SAI MÃ NV"))</f>
        <v/>
      </c>
      <c r="D1486" s="86" t="n"/>
      <c r="E1486" s="103">
        <f>IF(OR($B1486="",$D1486=""),"",IF(COUNTIF(THAM_SO_CC!$F$10:$F$40,$D1486)&gt;0,"Lễ",IF(IF(THAM_SO_CC!$B$12="T7+CN",WEEKDAY($D1486,2)&gt;=6,WEEKDAY($D1486,2)=7),"Nghỉ tuần","Ngày thường")))</f>
        <v/>
      </c>
      <c r="F1486" s="107" t="n"/>
      <c r="G1486" s="107" t="n"/>
      <c r="H1486" s="107" t="n"/>
      <c r="I1486" s="81" t="n"/>
      <c r="J1486" s="108">
        <f>IF($B1486="","",IF($E1486="Ngày thường",N($G1486),0))</f>
        <v/>
      </c>
      <c r="K1486" s="108">
        <f>IF($B1486="","",IF($E1486="Nghỉ tuần",N($G1486),0))</f>
        <v/>
      </c>
      <c r="L1486" s="108">
        <f>IF($B1486="","",IF($E1486="Lễ",N($G1486),0))</f>
        <v/>
      </c>
      <c r="M1486" s="108">
        <f>IF($B1486="","",IF($E1486="Ngày thường",N($H1486),0))</f>
        <v/>
      </c>
      <c r="N1486" s="108">
        <f>IF($B1486="","",IF($E1486="Nghỉ tuần",N($H1486),0))</f>
        <v/>
      </c>
      <c r="O1486" s="108">
        <f>IF($B1486="","",IF($E1486="Lễ",N($H1486),0))</f>
        <v/>
      </c>
    </row>
    <row r="1487" ht="15" customHeight="1" s="63">
      <c r="A1487" s="85">
        <f>IF($B1487="","",ROW()-5)</f>
        <v/>
      </c>
      <c r="B1487" s="97" t="n"/>
      <c r="C1487" s="96">
        <f>IF($B1487="","",IFERROR(INDEX(DM_NHAN_SU!$C$6:$C$155,MATCH($B1487,DM_NHAN_SU!$B$6:$B$155,0)),"SAI MÃ NV"))</f>
        <v/>
      </c>
      <c r="D1487" s="86" t="n"/>
      <c r="E1487" s="103">
        <f>IF(OR($B1487="",$D1487=""),"",IF(COUNTIF(THAM_SO_CC!$F$10:$F$40,$D1487)&gt;0,"Lễ",IF(IF(THAM_SO_CC!$B$12="T7+CN",WEEKDAY($D1487,2)&gt;=6,WEEKDAY($D1487,2)=7),"Nghỉ tuần","Ngày thường")))</f>
        <v/>
      </c>
      <c r="F1487" s="107" t="n"/>
      <c r="G1487" s="107" t="n"/>
      <c r="H1487" s="107" t="n"/>
      <c r="I1487" s="81" t="n"/>
      <c r="J1487" s="108">
        <f>IF($B1487="","",IF($E1487="Ngày thường",N($G1487),0))</f>
        <v/>
      </c>
      <c r="K1487" s="108">
        <f>IF($B1487="","",IF($E1487="Nghỉ tuần",N($G1487),0))</f>
        <v/>
      </c>
      <c r="L1487" s="108">
        <f>IF($B1487="","",IF($E1487="Lễ",N($G1487),0))</f>
        <v/>
      </c>
      <c r="M1487" s="108">
        <f>IF($B1487="","",IF($E1487="Ngày thường",N($H1487),0))</f>
        <v/>
      </c>
      <c r="N1487" s="108">
        <f>IF($B1487="","",IF($E1487="Nghỉ tuần",N($H1487),0))</f>
        <v/>
      </c>
      <c r="O1487" s="108">
        <f>IF($B1487="","",IF($E1487="Lễ",N($H1487),0))</f>
        <v/>
      </c>
    </row>
    <row r="1488" ht="15" customHeight="1" s="63">
      <c r="A1488" s="85">
        <f>IF($B1488="","",ROW()-5)</f>
        <v/>
      </c>
      <c r="B1488" s="97" t="n"/>
      <c r="C1488" s="96">
        <f>IF($B1488="","",IFERROR(INDEX(DM_NHAN_SU!$C$6:$C$155,MATCH($B1488,DM_NHAN_SU!$B$6:$B$155,0)),"SAI MÃ NV"))</f>
        <v/>
      </c>
      <c r="D1488" s="86" t="n"/>
      <c r="E1488" s="103">
        <f>IF(OR($B1488="",$D1488=""),"",IF(COUNTIF(THAM_SO_CC!$F$10:$F$40,$D1488)&gt;0,"Lễ",IF(IF(THAM_SO_CC!$B$12="T7+CN",WEEKDAY($D1488,2)&gt;=6,WEEKDAY($D1488,2)=7),"Nghỉ tuần","Ngày thường")))</f>
        <v/>
      </c>
      <c r="F1488" s="107" t="n"/>
      <c r="G1488" s="107" t="n"/>
      <c r="H1488" s="107" t="n"/>
      <c r="I1488" s="81" t="n"/>
      <c r="J1488" s="108">
        <f>IF($B1488="","",IF($E1488="Ngày thường",N($G1488),0))</f>
        <v/>
      </c>
      <c r="K1488" s="108">
        <f>IF($B1488="","",IF($E1488="Nghỉ tuần",N($G1488),0))</f>
        <v/>
      </c>
      <c r="L1488" s="108">
        <f>IF($B1488="","",IF($E1488="Lễ",N($G1488),0))</f>
        <v/>
      </c>
      <c r="M1488" s="108">
        <f>IF($B1488="","",IF($E1488="Ngày thường",N($H1488),0))</f>
        <v/>
      </c>
      <c r="N1488" s="108">
        <f>IF($B1488="","",IF($E1488="Nghỉ tuần",N($H1488),0))</f>
        <v/>
      </c>
      <c r="O1488" s="108">
        <f>IF($B1488="","",IF($E1488="Lễ",N($H1488),0))</f>
        <v/>
      </c>
    </row>
    <row r="1489" ht="15" customHeight="1" s="63">
      <c r="A1489" s="85">
        <f>IF($B1489="","",ROW()-5)</f>
        <v/>
      </c>
      <c r="B1489" s="97" t="n"/>
      <c r="C1489" s="96">
        <f>IF($B1489="","",IFERROR(INDEX(DM_NHAN_SU!$C$6:$C$155,MATCH($B1489,DM_NHAN_SU!$B$6:$B$155,0)),"SAI MÃ NV"))</f>
        <v/>
      </c>
      <c r="D1489" s="86" t="n"/>
      <c r="E1489" s="103">
        <f>IF(OR($B1489="",$D1489=""),"",IF(COUNTIF(THAM_SO_CC!$F$10:$F$40,$D1489)&gt;0,"Lễ",IF(IF(THAM_SO_CC!$B$12="T7+CN",WEEKDAY($D1489,2)&gt;=6,WEEKDAY($D1489,2)=7),"Nghỉ tuần","Ngày thường")))</f>
        <v/>
      </c>
      <c r="F1489" s="107" t="n"/>
      <c r="G1489" s="107" t="n"/>
      <c r="H1489" s="107" t="n"/>
      <c r="I1489" s="81" t="n"/>
      <c r="J1489" s="108">
        <f>IF($B1489="","",IF($E1489="Ngày thường",N($G1489),0))</f>
        <v/>
      </c>
      <c r="K1489" s="108">
        <f>IF($B1489="","",IF($E1489="Nghỉ tuần",N($G1489),0))</f>
        <v/>
      </c>
      <c r="L1489" s="108">
        <f>IF($B1489="","",IF($E1489="Lễ",N($G1489),0))</f>
        <v/>
      </c>
      <c r="M1489" s="108">
        <f>IF($B1489="","",IF($E1489="Ngày thường",N($H1489),0))</f>
        <v/>
      </c>
      <c r="N1489" s="108">
        <f>IF($B1489="","",IF($E1489="Nghỉ tuần",N($H1489),0))</f>
        <v/>
      </c>
      <c r="O1489" s="108">
        <f>IF($B1489="","",IF($E1489="Lễ",N($H1489),0))</f>
        <v/>
      </c>
    </row>
    <row r="1490" ht="15" customHeight="1" s="63">
      <c r="A1490" s="85">
        <f>IF($B1490="","",ROW()-5)</f>
        <v/>
      </c>
      <c r="B1490" s="97" t="n"/>
      <c r="C1490" s="96">
        <f>IF($B1490="","",IFERROR(INDEX(DM_NHAN_SU!$C$6:$C$155,MATCH($B1490,DM_NHAN_SU!$B$6:$B$155,0)),"SAI MÃ NV"))</f>
        <v/>
      </c>
      <c r="D1490" s="86" t="n"/>
      <c r="E1490" s="103">
        <f>IF(OR($B1490="",$D1490=""),"",IF(COUNTIF(THAM_SO_CC!$F$10:$F$40,$D1490)&gt;0,"Lễ",IF(IF(THAM_SO_CC!$B$12="T7+CN",WEEKDAY($D1490,2)&gt;=6,WEEKDAY($D1490,2)=7),"Nghỉ tuần","Ngày thường")))</f>
        <v/>
      </c>
      <c r="F1490" s="107" t="n"/>
      <c r="G1490" s="107" t="n"/>
      <c r="H1490" s="107" t="n"/>
      <c r="I1490" s="81" t="n"/>
      <c r="J1490" s="108">
        <f>IF($B1490="","",IF($E1490="Ngày thường",N($G1490),0))</f>
        <v/>
      </c>
      <c r="K1490" s="108">
        <f>IF($B1490="","",IF($E1490="Nghỉ tuần",N($G1490),0))</f>
        <v/>
      </c>
      <c r="L1490" s="108">
        <f>IF($B1490="","",IF($E1490="Lễ",N($G1490),0))</f>
        <v/>
      </c>
      <c r="M1490" s="108">
        <f>IF($B1490="","",IF($E1490="Ngày thường",N($H1490),0))</f>
        <v/>
      </c>
      <c r="N1490" s="108">
        <f>IF($B1490="","",IF($E1490="Nghỉ tuần",N($H1490),0))</f>
        <v/>
      </c>
      <c r="O1490" s="108">
        <f>IF($B1490="","",IF($E1490="Lễ",N($H1490),0))</f>
        <v/>
      </c>
    </row>
    <row r="1491" ht="15" customHeight="1" s="63">
      <c r="A1491" s="85">
        <f>IF($B1491="","",ROW()-5)</f>
        <v/>
      </c>
      <c r="B1491" s="97" t="n"/>
      <c r="C1491" s="96">
        <f>IF($B1491="","",IFERROR(INDEX(DM_NHAN_SU!$C$6:$C$155,MATCH($B1491,DM_NHAN_SU!$B$6:$B$155,0)),"SAI MÃ NV"))</f>
        <v/>
      </c>
      <c r="D1491" s="86" t="n"/>
      <c r="E1491" s="103">
        <f>IF(OR($B1491="",$D1491=""),"",IF(COUNTIF(THAM_SO_CC!$F$10:$F$40,$D1491)&gt;0,"Lễ",IF(IF(THAM_SO_CC!$B$12="T7+CN",WEEKDAY($D1491,2)&gt;=6,WEEKDAY($D1491,2)=7),"Nghỉ tuần","Ngày thường")))</f>
        <v/>
      </c>
      <c r="F1491" s="107" t="n"/>
      <c r="G1491" s="107" t="n"/>
      <c r="H1491" s="107" t="n"/>
      <c r="I1491" s="81" t="n"/>
      <c r="J1491" s="108">
        <f>IF($B1491="","",IF($E1491="Ngày thường",N($G1491),0))</f>
        <v/>
      </c>
      <c r="K1491" s="108">
        <f>IF($B1491="","",IF($E1491="Nghỉ tuần",N($G1491),0))</f>
        <v/>
      </c>
      <c r="L1491" s="108">
        <f>IF($B1491="","",IF($E1491="Lễ",N($G1491),0))</f>
        <v/>
      </c>
      <c r="M1491" s="108">
        <f>IF($B1491="","",IF($E1491="Ngày thường",N($H1491),0))</f>
        <v/>
      </c>
      <c r="N1491" s="108">
        <f>IF($B1491="","",IF($E1491="Nghỉ tuần",N($H1491),0))</f>
        <v/>
      </c>
      <c r="O1491" s="108">
        <f>IF($B1491="","",IF($E1491="Lễ",N($H1491),0))</f>
        <v/>
      </c>
    </row>
    <row r="1492" ht="15" customHeight="1" s="63">
      <c r="A1492" s="85">
        <f>IF($B1492="","",ROW()-5)</f>
        <v/>
      </c>
      <c r="B1492" s="97" t="n"/>
      <c r="C1492" s="96">
        <f>IF($B1492="","",IFERROR(INDEX(DM_NHAN_SU!$C$6:$C$155,MATCH($B1492,DM_NHAN_SU!$B$6:$B$155,0)),"SAI MÃ NV"))</f>
        <v/>
      </c>
      <c r="D1492" s="86" t="n"/>
      <c r="E1492" s="103">
        <f>IF(OR($B1492="",$D1492=""),"",IF(COUNTIF(THAM_SO_CC!$F$10:$F$40,$D1492)&gt;0,"Lễ",IF(IF(THAM_SO_CC!$B$12="T7+CN",WEEKDAY($D1492,2)&gt;=6,WEEKDAY($D1492,2)=7),"Nghỉ tuần","Ngày thường")))</f>
        <v/>
      </c>
      <c r="F1492" s="107" t="n"/>
      <c r="G1492" s="107" t="n"/>
      <c r="H1492" s="107" t="n"/>
      <c r="I1492" s="81" t="n"/>
      <c r="J1492" s="108">
        <f>IF($B1492="","",IF($E1492="Ngày thường",N($G1492),0))</f>
        <v/>
      </c>
      <c r="K1492" s="108">
        <f>IF($B1492="","",IF($E1492="Nghỉ tuần",N($G1492),0))</f>
        <v/>
      </c>
      <c r="L1492" s="108">
        <f>IF($B1492="","",IF($E1492="Lễ",N($G1492),0))</f>
        <v/>
      </c>
      <c r="M1492" s="108">
        <f>IF($B1492="","",IF($E1492="Ngày thường",N($H1492),0))</f>
        <v/>
      </c>
      <c r="N1492" s="108">
        <f>IF($B1492="","",IF($E1492="Nghỉ tuần",N($H1492),0))</f>
        <v/>
      </c>
      <c r="O1492" s="108">
        <f>IF($B1492="","",IF($E1492="Lễ",N($H1492),0))</f>
        <v/>
      </c>
    </row>
    <row r="1493" ht="15" customHeight="1" s="63">
      <c r="A1493" s="85">
        <f>IF($B1493="","",ROW()-5)</f>
        <v/>
      </c>
      <c r="B1493" s="97" t="n"/>
      <c r="C1493" s="96">
        <f>IF($B1493="","",IFERROR(INDEX(DM_NHAN_SU!$C$6:$C$155,MATCH($B1493,DM_NHAN_SU!$B$6:$B$155,0)),"SAI MÃ NV"))</f>
        <v/>
      </c>
      <c r="D1493" s="86" t="n"/>
      <c r="E1493" s="103">
        <f>IF(OR($B1493="",$D1493=""),"",IF(COUNTIF(THAM_SO_CC!$F$10:$F$40,$D1493)&gt;0,"Lễ",IF(IF(THAM_SO_CC!$B$12="T7+CN",WEEKDAY($D1493,2)&gt;=6,WEEKDAY($D1493,2)=7),"Nghỉ tuần","Ngày thường")))</f>
        <v/>
      </c>
      <c r="F1493" s="107" t="n"/>
      <c r="G1493" s="107" t="n"/>
      <c r="H1493" s="107" t="n"/>
      <c r="I1493" s="81" t="n"/>
      <c r="J1493" s="108">
        <f>IF($B1493="","",IF($E1493="Ngày thường",N($G1493),0))</f>
        <v/>
      </c>
      <c r="K1493" s="108">
        <f>IF($B1493="","",IF($E1493="Nghỉ tuần",N($G1493),0))</f>
        <v/>
      </c>
      <c r="L1493" s="108">
        <f>IF($B1493="","",IF($E1493="Lễ",N($G1493),0))</f>
        <v/>
      </c>
      <c r="M1493" s="108">
        <f>IF($B1493="","",IF($E1493="Ngày thường",N($H1493),0))</f>
        <v/>
      </c>
      <c r="N1493" s="108">
        <f>IF($B1493="","",IF($E1493="Nghỉ tuần",N($H1493),0))</f>
        <v/>
      </c>
      <c r="O1493" s="108">
        <f>IF($B1493="","",IF($E1493="Lễ",N($H1493),0))</f>
        <v/>
      </c>
    </row>
    <row r="1494" ht="15" customHeight="1" s="63">
      <c r="A1494" s="85">
        <f>IF($B1494="","",ROW()-5)</f>
        <v/>
      </c>
      <c r="B1494" s="97" t="n"/>
      <c r="C1494" s="96">
        <f>IF($B1494="","",IFERROR(INDEX(DM_NHAN_SU!$C$6:$C$155,MATCH($B1494,DM_NHAN_SU!$B$6:$B$155,0)),"SAI MÃ NV"))</f>
        <v/>
      </c>
      <c r="D1494" s="86" t="n"/>
      <c r="E1494" s="103">
        <f>IF(OR($B1494="",$D1494=""),"",IF(COUNTIF(THAM_SO_CC!$F$10:$F$40,$D1494)&gt;0,"Lễ",IF(IF(THAM_SO_CC!$B$12="T7+CN",WEEKDAY($D1494,2)&gt;=6,WEEKDAY($D1494,2)=7),"Nghỉ tuần","Ngày thường")))</f>
        <v/>
      </c>
      <c r="F1494" s="107" t="n"/>
      <c r="G1494" s="107" t="n"/>
      <c r="H1494" s="107" t="n"/>
      <c r="I1494" s="81" t="n"/>
      <c r="J1494" s="108">
        <f>IF($B1494="","",IF($E1494="Ngày thường",N($G1494),0))</f>
        <v/>
      </c>
      <c r="K1494" s="108">
        <f>IF($B1494="","",IF($E1494="Nghỉ tuần",N($G1494),0))</f>
        <v/>
      </c>
      <c r="L1494" s="108">
        <f>IF($B1494="","",IF($E1494="Lễ",N($G1494),0))</f>
        <v/>
      </c>
      <c r="M1494" s="108">
        <f>IF($B1494="","",IF($E1494="Ngày thường",N($H1494),0))</f>
        <v/>
      </c>
      <c r="N1494" s="108">
        <f>IF($B1494="","",IF($E1494="Nghỉ tuần",N($H1494),0))</f>
        <v/>
      </c>
      <c r="O1494" s="108">
        <f>IF($B1494="","",IF($E1494="Lễ",N($H1494),0))</f>
        <v/>
      </c>
    </row>
    <row r="1495" ht="15" customHeight="1" s="63">
      <c r="A1495" s="85">
        <f>IF($B1495="","",ROW()-5)</f>
        <v/>
      </c>
      <c r="B1495" s="97" t="n"/>
      <c r="C1495" s="96">
        <f>IF($B1495="","",IFERROR(INDEX(DM_NHAN_SU!$C$6:$C$155,MATCH($B1495,DM_NHAN_SU!$B$6:$B$155,0)),"SAI MÃ NV"))</f>
        <v/>
      </c>
      <c r="D1495" s="86" t="n"/>
      <c r="E1495" s="103">
        <f>IF(OR($B1495="",$D1495=""),"",IF(COUNTIF(THAM_SO_CC!$F$10:$F$40,$D1495)&gt;0,"Lễ",IF(IF(THAM_SO_CC!$B$12="T7+CN",WEEKDAY($D1495,2)&gt;=6,WEEKDAY($D1495,2)=7),"Nghỉ tuần","Ngày thường")))</f>
        <v/>
      </c>
      <c r="F1495" s="107" t="n"/>
      <c r="G1495" s="107" t="n"/>
      <c r="H1495" s="107" t="n"/>
      <c r="I1495" s="81" t="n"/>
      <c r="J1495" s="108">
        <f>IF($B1495="","",IF($E1495="Ngày thường",N($G1495),0))</f>
        <v/>
      </c>
      <c r="K1495" s="108">
        <f>IF($B1495="","",IF($E1495="Nghỉ tuần",N($G1495),0))</f>
        <v/>
      </c>
      <c r="L1495" s="108">
        <f>IF($B1495="","",IF($E1495="Lễ",N($G1495),0))</f>
        <v/>
      </c>
      <c r="M1495" s="108">
        <f>IF($B1495="","",IF($E1495="Ngày thường",N($H1495),0))</f>
        <v/>
      </c>
      <c r="N1495" s="108">
        <f>IF($B1495="","",IF($E1495="Nghỉ tuần",N($H1495),0))</f>
        <v/>
      </c>
      <c r="O1495" s="108">
        <f>IF($B1495="","",IF($E1495="Lễ",N($H1495),0))</f>
        <v/>
      </c>
    </row>
    <row r="1496" ht="15" customHeight="1" s="63">
      <c r="A1496" s="85">
        <f>IF($B1496="","",ROW()-5)</f>
        <v/>
      </c>
      <c r="B1496" s="97" t="n"/>
      <c r="C1496" s="96">
        <f>IF($B1496="","",IFERROR(INDEX(DM_NHAN_SU!$C$6:$C$155,MATCH($B1496,DM_NHAN_SU!$B$6:$B$155,0)),"SAI MÃ NV"))</f>
        <v/>
      </c>
      <c r="D1496" s="86" t="n"/>
      <c r="E1496" s="103">
        <f>IF(OR($B1496="",$D1496=""),"",IF(COUNTIF(THAM_SO_CC!$F$10:$F$40,$D1496)&gt;0,"Lễ",IF(IF(THAM_SO_CC!$B$12="T7+CN",WEEKDAY($D1496,2)&gt;=6,WEEKDAY($D1496,2)=7),"Nghỉ tuần","Ngày thường")))</f>
        <v/>
      </c>
      <c r="F1496" s="107" t="n"/>
      <c r="G1496" s="107" t="n"/>
      <c r="H1496" s="107" t="n"/>
      <c r="I1496" s="81" t="n"/>
      <c r="J1496" s="108">
        <f>IF($B1496="","",IF($E1496="Ngày thường",N($G1496),0))</f>
        <v/>
      </c>
      <c r="K1496" s="108">
        <f>IF($B1496="","",IF($E1496="Nghỉ tuần",N($G1496),0))</f>
        <v/>
      </c>
      <c r="L1496" s="108">
        <f>IF($B1496="","",IF($E1496="Lễ",N($G1496),0))</f>
        <v/>
      </c>
      <c r="M1496" s="108">
        <f>IF($B1496="","",IF($E1496="Ngày thường",N($H1496),0))</f>
        <v/>
      </c>
      <c r="N1496" s="108">
        <f>IF($B1496="","",IF($E1496="Nghỉ tuần",N($H1496),0))</f>
        <v/>
      </c>
      <c r="O1496" s="108">
        <f>IF($B1496="","",IF($E1496="Lễ",N($H1496),0))</f>
        <v/>
      </c>
    </row>
    <row r="1497" ht="15" customHeight="1" s="63">
      <c r="A1497" s="85">
        <f>IF($B1497="","",ROW()-5)</f>
        <v/>
      </c>
      <c r="B1497" s="97" t="n"/>
      <c r="C1497" s="96">
        <f>IF($B1497="","",IFERROR(INDEX(DM_NHAN_SU!$C$6:$C$155,MATCH($B1497,DM_NHAN_SU!$B$6:$B$155,0)),"SAI MÃ NV"))</f>
        <v/>
      </c>
      <c r="D1497" s="86" t="n"/>
      <c r="E1497" s="103">
        <f>IF(OR($B1497="",$D1497=""),"",IF(COUNTIF(THAM_SO_CC!$F$10:$F$40,$D1497)&gt;0,"Lễ",IF(IF(THAM_SO_CC!$B$12="T7+CN",WEEKDAY($D1497,2)&gt;=6,WEEKDAY($D1497,2)=7),"Nghỉ tuần","Ngày thường")))</f>
        <v/>
      </c>
      <c r="F1497" s="107" t="n"/>
      <c r="G1497" s="107" t="n"/>
      <c r="H1497" s="107" t="n"/>
      <c r="I1497" s="81" t="n"/>
      <c r="J1497" s="108">
        <f>IF($B1497="","",IF($E1497="Ngày thường",N($G1497),0))</f>
        <v/>
      </c>
      <c r="K1497" s="108">
        <f>IF($B1497="","",IF($E1497="Nghỉ tuần",N($G1497),0))</f>
        <v/>
      </c>
      <c r="L1497" s="108">
        <f>IF($B1497="","",IF($E1497="Lễ",N($G1497),0))</f>
        <v/>
      </c>
      <c r="M1497" s="108">
        <f>IF($B1497="","",IF($E1497="Ngày thường",N($H1497),0))</f>
        <v/>
      </c>
      <c r="N1497" s="108">
        <f>IF($B1497="","",IF($E1497="Nghỉ tuần",N($H1497),0))</f>
        <v/>
      </c>
      <c r="O1497" s="108">
        <f>IF($B1497="","",IF($E1497="Lễ",N($H1497),0))</f>
        <v/>
      </c>
    </row>
    <row r="1498" ht="15" customHeight="1" s="63">
      <c r="A1498" s="85">
        <f>IF($B1498="","",ROW()-5)</f>
        <v/>
      </c>
      <c r="B1498" s="97" t="n"/>
      <c r="C1498" s="96">
        <f>IF($B1498="","",IFERROR(INDEX(DM_NHAN_SU!$C$6:$C$155,MATCH($B1498,DM_NHAN_SU!$B$6:$B$155,0)),"SAI MÃ NV"))</f>
        <v/>
      </c>
      <c r="D1498" s="86" t="n"/>
      <c r="E1498" s="103">
        <f>IF(OR($B1498="",$D1498=""),"",IF(COUNTIF(THAM_SO_CC!$F$10:$F$40,$D1498)&gt;0,"Lễ",IF(IF(THAM_SO_CC!$B$12="T7+CN",WEEKDAY($D1498,2)&gt;=6,WEEKDAY($D1498,2)=7),"Nghỉ tuần","Ngày thường")))</f>
        <v/>
      </c>
      <c r="F1498" s="107" t="n"/>
      <c r="G1498" s="107" t="n"/>
      <c r="H1498" s="107" t="n"/>
      <c r="I1498" s="81" t="n"/>
      <c r="J1498" s="108">
        <f>IF($B1498="","",IF($E1498="Ngày thường",N($G1498),0))</f>
        <v/>
      </c>
      <c r="K1498" s="108">
        <f>IF($B1498="","",IF($E1498="Nghỉ tuần",N($G1498),0))</f>
        <v/>
      </c>
      <c r="L1498" s="108">
        <f>IF($B1498="","",IF($E1498="Lễ",N($G1498),0))</f>
        <v/>
      </c>
      <c r="M1498" s="108">
        <f>IF($B1498="","",IF($E1498="Ngày thường",N($H1498),0))</f>
        <v/>
      </c>
      <c r="N1498" s="108">
        <f>IF($B1498="","",IF($E1498="Nghỉ tuần",N($H1498),0))</f>
        <v/>
      </c>
      <c r="O1498" s="108">
        <f>IF($B1498="","",IF($E1498="Lễ",N($H1498),0))</f>
        <v/>
      </c>
    </row>
    <row r="1499" ht="15" customHeight="1" s="63">
      <c r="A1499" s="85">
        <f>IF($B1499="","",ROW()-5)</f>
        <v/>
      </c>
      <c r="B1499" s="97" t="n"/>
      <c r="C1499" s="96">
        <f>IF($B1499="","",IFERROR(INDEX(DM_NHAN_SU!$C$6:$C$155,MATCH($B1499,DM_NHAN_SU!$B$6:$B$155,0)),"SAI MÃ NV"))</f>
        <v/>
      </c>
      <c r="D1499" s="86" t="n"/>
      <c r="E1499" s="103">
        <f>IF(OR($B1499="",$D1499=""),"",IF(COUNTIF(THAM_SO_CC!$F$10:$F$40,$D1499)&gt;0,"Lễ",IF(IF(THAM_SO_CC!$B$12="T7+CN",WEEKDAY($D1499,2)&gt;=6,WEEKDAY($D1499,2)=7),"Nghỉ tuần","Ngày thường")))</f>
        <v/>
      </c>
      <c r="F1499" s="107" t="n"/>
      <c r="G1499" s="107" t="n"/>
      <c r="H1499" s="107" t="n"/>
      <c r="I1499" s="81" t="n"/>
      <c r="J1499" s="108">
        <f>IF($B1499="","",IF($E1499="Ngày thường",N($G1499),0))</f>
        <v/>
      </c>
      <c r="K1499" s="108">
        <f>IF($B1499="","",IF($E1499="Nghỉ tuần",N($G1499),0))</f>
        <v/>
      </c>
      <c r="L1499" s="108">
        <f>IF($B1499="","",IF($E1499="Lễ",N($G1499),0))</f>
        <v/>
      </c>
      <c r="M1499" s="108">
        <f>IF($B1499="","",IF($E1499="Ngày thường",N($H1499),0))</f>
        <v/>
      </c>
      <c r="N1499" s="108">
        <f>IF($B1499="","",IF($E1499="Nghỉ tuần",N($H1499),0))</f>
        <v/>
      </c>
      <c r="O1499" s="108">
        <f>IF($B1499="","",IF($E1499="Lễ",N($H1499),0))</f>
        <v/>
      </c>
    </row>
    <row r="1500" ht="15" customHeight="1" s="63">
      <c r="A1500" s="85">
        <f>IF($B1500="","",ROW()-5)</f>
        <v/>
      </c>
      <c r="B1500" s="97" t="n"/>
      <c r="C1500" s="96">
        <f>IF($B1500="","",IFERROR(INDEX(DM_NHAN_SU!$C$6:$C$155,MATCH($B1500,DM_NHAN_SU!$B$6:$B$155,0)),"SAI MÃ NV"))</f>
        <v/>
      </c>
      <c r="D1500" s="86" t="n"/>
      <c r="E1500" s="103">
        <f>IF(OR($B1500="",$D1500=""),"",IF(COUNTIF(THAM_SO_CC!$F$10:$F$40,$D1500)&gt;0,"Lễ",IF(IF(THAM_SO_CC!$B$12="T7+CN",WEEKDAY($D1500,2)&gt;=6,WEEKDAY($D1500,2)=7),"Nghỉ tuần","Ngày thường")))</f>
        <v/>
      </c>
      <c r="F1500" s="107" t="n"/>
      <c r="G1500" s="107" t="n"/>
      <c r="H1500" s="107" t="n"/>
      <c r="I1500" s="81" t="n"/>
      <c r="J1500" s="108">
        <f>IF($B1500="","",IF($E1500="Ngày thường",N($G1500),0))</f>
        <v/>
      </c>
      <c r="K1500" s="108">
        <f>IF($B1500="","",IF($E1500="Nghỉ tuần",N($G1500),0))</f>
        <v/>
      </c>
      <c r="L1500" s="108">
        <f>IF($B1500="","",IF($E1500="Lễ",N($G1500),0))</f>
        <v/>
      </c>
      <c r="M1500" s="108">
        <f>IF($B1500="","",IF($E1500="Ngày thường",N($H1500),0))</f>
        <v/>
      </c>
      <c r="N1500" s="108">
        <f>IF($B1500="","",IF($E1500="Nghỉ tuần",N($H1500),0))</f>
        <v/>
      </c>
      <c r="O1500" s="108">
        <f>IF($B1500="","",IF($E1500="Lễ",N($H1500),0))</f>
        <v/>
      </c>
    </row>
    <row r="1501" ht="15" customHeight="1" s="63">
      <c r="A1501" s="85">
        <f>IF($B1501="","",ROW()-5)</f>
        <v/>
      </c>
      <c r="B1501" s="97" t="n"/>
      <c r="C1501" s="96">
        <f>IF($B1501="","",IFERROR(INDEX(DM_NHAN_SU!$C$6:$C$155,MATCH($B1501,DM_NHAN_SU!$B$6:$B$155,0)),"SAI MÃ NV"))</f>
        <v/>
      </c>
      <c r="D1501" s="86" t="n"/>
      <c r="E1501" s="103">
        <f>IF(OR($B1501="",$D1501=""),"",IF(COUNTIF(THAM_SO_CC!$F$10:$F$40,$D1501)&gt;0,"Lễ",IF(IF(THAM_SO_CC!$B$12="T7+CN",WEEKDAY($D1501,2)&gt;=6,WEEKDAY($D1501,2)=7),"Nghỉ tuần","Ngày thường")))</f>
        <v/>
      </c>
      <c r="F1501" s="107" t="n"/>
      <c r="G1501" s="107" t="n"/>
      <c r="H1501" s="107" t="n"/>
      <c r="I1501" s="81" t="n"/>
      <c r="J1501" s="108">
        <f>IF($B1501="","",IF($E1501="Ngày thường",N($G1501),0))</f>
        <v/>
      </c>
      <c r="K1501" s="108">
        <f>IF($B1501="","",IF($E1501="Nghỉ tuần",N($G1501),0))</f>
        <v/>
      </c>
      <c r="L1501" s="108">
        <f>IF($B1501="","",IF($E1501="Lễ",N($G1501),0))</f>
        <v/>
      </c>
      <c r="M1501" s="108">
        <f>IF($B1501="","",IF($E1501="Ngày thường",N($H1501),0))</f>
        <v/>
      </c>
      <c r="N1501" s="108">
        <f>IF($B1501="","",IF($E1501="Nghỉ tuần",N($H1501),0))</f>
        <v/>
      </c>
      <c r="O1501" s="108">
        <f>IF($B1501="","",IF($E1501="Lễ",N($H1501),0))</f>
        <v/>
      </c>
    </row>
    <row r="1502" ht="15" customHeight="1" s="63">
      <c r="A1502" s="85">
        <f>IF($B1502="","",ROW()-5)</f>
        <v/>
      </c>
      <c r="B1502" s="97" t="n"/>
      <c r="C1502" s="96">
        <f>IF($B1502="","",IFERROR(INDEX(DM_NHAN_SU!$C$6:$C$155,MATCH($B1502,DM_NHAN_SU!$B$6:$B$155,0)),"SAI MÃ NV"))</f>
        <v/>
      </c>
      <c r="D1502" s="86" t="n"/>
      <c r="E1502" s="103">
        <f>IF(OR($B1502="",$D1502=""),"",IF(COUNTIF(THAM_SO_CC!$F$10:$F$40,$D1502)&gt;0,"Lễ",IF(IF(THAM_SO_CC!$B$12="T7+CN",WEEKDAY($D1502,2)&gt;=6,WEEKDAY($D1502,2)=7),"Nghỉ tuần","Ngày thường")))</f>
        <v/>
      </c>
      <c r="F1502" s="107" t="n"/>
      <c r="G1502" s="107" t="n"/>
      <c r="H1502" s="107" t="n"/>
      <c r="I1502" s="81" t="n"/>
      <c r="J1502" s="108">
        <f>IF($B1502="","",IF($E1502="Ngày thường",N($G1502),0))</f>
        <v/>
      </c>
      <c r="K1502" s="108">
        <f>IF($B1502="","",IF($E1502="Nghỉ tuần",N($G1502),0))</f>
        <v/>
      </c>
      <c r="L1502" s="108">
        <f>IF($B1502="","",IF($E1502="Lễ",N($G1502),0))</f>
        <v/>
      </c>
      <c r="M1502" s="108">
        <f>IF($B1502="","",IF($E1502="Ngày thường",N($H1502),0))</f>
        <v/>
      </c>
      <c r="N1502" s="108">
        <f>IF($B1502="","",IF($E1502="Nghỉ tuần",N($H1502),0))</f>
        <v/>
      </c>
      <c r="O1502" s="108">
        <f>IF($B1502="","",IF($E1502="Lễ",N($H1502),0))</f>
        <v/>
      </c>
    </row>
    <row r="1503" ht="15" customHeight="1" s="63">
      <c r="A1503" s="85">
        <f>IF($B1503="","",ROW()-5)</f>
        <v/>
      </c>
      <c r="B1503" s="97" t="n"/>
      <c r="C1503" s="96">
        <f>IF($B1503="","",IFERROR(INDEX(DM_NHAN_SU!$C$6:$C$155,MATCH($B1503,DM_NHAN_SU!$B$6:$B$155,0)),"SAI MÃ NV"))</f>
        <v/>
      </c>
      <c r="D1503" s="86" t="n"/>
      <c r="E1503" s="103">
        <f>IF(OR($B1503="",$D1503=""),"",IF(COUNTIF(THAM_SO_CC!$F$10:$F$40,$D1503)&gt;0,"Lễ",IF(IF(THAM_SO_CC!$B$12="T7+CN",WEEKDAY($D1503,2)&gt;=6,WEEKDAY($D1503,2)=7),"Nghỉ tuần","Ngày thường")))</f>
        <v/>
      </c>
      <c r="F1503" s="107" t="n"/>
      <c r="G1503" s="107" t="n"/>
      <c r="H1503" s="107" t="n"/>
      <c r="I1503" s="81" t="n"/>
      <c r="J1503" s="108">
        <f>IF($B1503="","",IF($E1503="Ngày thường",N($G1503),0))</f>
        <v/>
      </c>
      <c r="K1503" s="108">
        <f>IF($B1503="","",IF($E1503="Nghỉ tuần",N($G1503),0))</f>
        <v/>
      </c>
      <c r="L1503" s="108">
        <f>IF($B1503="","",IF($E1503="Lễ",N($G1503),0))</f>
        <v/>
      </c>
      <c r="M1503" s="108">
        <f>IF($B1503="","",IF($E1503="Ngày thường",N($H1503),0))</f>
        <v/>
      </c>
      <c r="N1503" s="108">
        <f>IF($B1503="","",IF($E1503="Nghỉ tuần",N($H1503),0))</f>
        <v/>
      </c>
      <c r="O1503" s="108">
        <f>IF($B1503="","",IF($E1503="Lễ",N($H1503),0))</f>
        <v/>
      </c>
    </row>
    <row r="1504" ht="15" customHeight="1" s="63">
      <c r="A1504" s="85">
        <f>IF($B1504="","",ROW()-5)</f>
        <v/>
      </c>
      <c r="B1504" s="97" t="n"/>
      <c r="C1504" s="96">
        <f>IF($B1504="","",IFERROR(INDEX(DM_NHAN_SU!$C$6:$C$155,MATCH($B1504,DM_NHAN_SU!$B$6:$B$155,0)),"SAI MÃ NV"))</f>
        <v/>
      </c>
      <c r="D1504" s="86" t="n"/>
      <c r="E1504" s="103">
        <f>IF(OR($B1504="",$D1504=""),"",IF(COUNTIF(THAM_SO_CC!$F$10:$F$40,$D1504)&gt;0,"Lễ",IF(IF(THAM_SO_CC!$B$12="T7+CN",WEEKDAY($D1504,2)&gt;=6,WEEKDAY($D1504,2)=7),"Nghỉ tuần","Ngày thường")))</f>
        <v/>
      </c>
      <c r="F1504" s="107" t="n"/>
      <c r="G1504" s="107" t="n"/>
      <c r="H1504" s="107" t="n"/>
      <c r="I1504" s="81" t="n"/>
      <c r="J1504" s="108">
        <f>IF($B1504="","",IF($E1504="Ngày thường",N($G1504),0))</f>
        <v/>
      </c>
      <c r="K1504" s="108">
        <f>IF($B1504="","",IF($E1504="Nghỉ tuần",N($G1504),0))</f>
        <v/>
      </c>
      <c r="L1504" s="108">
        <f>IF($B1504="","",IF($E1504="Lễ",N($G1504),0))</f>
        <v/>
      </c>
      <c r="M1504" s="108">
        <f>IF($B1504="","",IF($E1504="Ngày thường",N($H1504),0))</f>
        <v/>
      </c>
      <c r="N1504" s="108">
        <f>IF($B1504="","",IF($E1504="Nghỉ tuần",N($H1504),0))</f>
        <v/>
      </c>
      <c r="O1504" s="108">
        <f>IF($B1504="","",IF($E1504="Lễ",N($H1504),0))</f>
        <v/>
      </c>
    </row>
    <row r="1505" ht="15" customHeight="1" s="63">
      <c r="A1505" s="85">
        <f>IF($B1505="","",ROW()-5)</f>
        <v/>
      </c>
      <c r="B1505" s="97" t="n"/>
      <c r="C1505" s="96">
        <f>IF($B1505="","",IFERROR(INDEX(DM_NHAN_SU!$C$6:$C$155,MATCH($B1505,DM_NHAN_SU!$B$6:$B$155,0)),"SAI MÃ NV"))</f>
        <v/>
      </c>
      <c r="D1505" s="86" t="n"/>
      <c r="E1505" s="103">
        <f>IF(OR($B1505="",$D1505=""),"",IF(COUNTIF(THAM_SO_CC!$F$10:$F$40,$D1505)&gt;0,"Lễ",IF(IF(THAM_SO_CC!$B$12="T7+CN",WEEKDAY($D1505,2)&gt;=6,WEEKDAY($D1505,2)=7),"Nghỉ tuần","Ngày thường")))</f>
        <v/>
      </c>
      <c r="F1505" s="107" t="n"/>
      <c r="G1505" s="107" t="n"/>
      <c r="H1505" s="107" t="n"/>
      <c r="I1505" s="81" t="n"/>
      <c r="J1505" s="108">
        <f>IF($B1505="","",IF($E1505="Ngày thường",N($G1505),0))</f>
        <v/>
      </c>
      <c r="K1505" s="108">
        <f>IF($B1505="","",IF($E1505="Nghỉ tuần",N($G1505),0))</f>
        <v/>
      </c>
      <c r="L1505" s="108">
        <f>IF($B1505="","",IF($E1505="Lễ",N($G1505),0))</f>
        <v/>
      </c>
      <c r="M1505" s="108">
        <f>IF($B1505="","",IF($E1505="Ngày thường",N($H1505),0))</f>
        <v/>
      </c>
      <c r="N1505" s="108">
        <f>IF($B1505="","",IF($E1505="Nghỉ tuần",N($H1505),0))</f>
        <v/>
      </c>
      <c r="O1505" s="108">
        <f>IF($B1505="","",IF($E1505="Lễ",N($H1505),0))</f>
        <v/>
      </c>
    </row>
    <row r="1506" ht="15" customHeight="1" s="63">
      <c r="A1506" s="85">
        <f>IF($B1506="","",ROW()-5)</f>
        <v/>
      </c>
      <c r="B1506" s="97" t="n"/>
      <c r="C1506" s="96">
        <f>IF($B1506="","",IFERROR(INDEX(DM_NHAN_SU!$C$6:$C$155,MATCH($B1506,DM_NHAN_SU!$B$6:$B$155,0)),"SAI MÃ NV"))</f>
        <v/>
      </c>
      <c r="D1506" s="86" t="n"/>
      <c r="E1506" s="103">
        <f>IF(OR($B1506="",$D1506=""),"",IF(COUNTIF(THAM_SO_CC!$F$10:$F$40,$D1506)&gt;0,"Lễ",IF(IF(THAM_SO_CC!$B$12="T7+CN",WEEKDAY($D1506,2)&gt;=6,WEEKDAY($D1506,2)=7),"Nghỉ tuần","Ngày thường")))</f>
        <v/>
      </c>
      <c r="F1506" s="107" t="n"/>
      <c r="G1506" s="107" t="n"/>
      <c r="H1506" s="107" t="n"/>
      <c r="I1506" s="81" t="n"/>
      <c r="J1506" s="108">
        <f>IF($B1506="","",IF($E1506="Ngày thường",N($G1506),0))</f>
        <v/>
      </c>
      <c r="K1506" s="108">
        <f>IF($B1506="","",IF($E1506="Nghỉ tuần",N($G1506),0))</f>
        <v/>
      </c>
      <c r="L1506" s="108">
        <f>IF($B1506="","",IF($E1506="Lễ",N($G1506),0))</f>
        <v/>
      </c>
      <c r="M1506" s="108">
        <f>IF($B1506="","",IF($E1506="Ngày thường",N($H1506),0))</f>
        <v/>
      </c>
      <c r="N1506" s="108">
        <f>IF($B1506="","",IF($E1506="Nghỉ tuần",N($H1506),0))</f>
        <v/>
      </c>
      <c r="O1506" s="108">
        <f>IF($B1506="","",IF($E1506="Lễ",N($H1506),0))</f>
        <v/>
      </c>
    </row>
    <row r="1507" ht="15" customHeight="1" s="63">
      <c r="A1507" s="85">
        <f>IF($B1507="","",ROW()-5)</f>
        <v/>
      </c>
      <c r="B1507" s="97" t="n"/>
      <c r="C1507" s="96">
        <f>IF($B1507="","",IFERROR(INDEX(DM_NHAN_SU!$C$6:$C$155,MATCH($B1507,DM_NHAN_SU!$B$6:$B$155,0)),"SAI MÃ NV"))</f>
        <v/>
      </c>
      <c r="D1507" s="86" t="n"/>
      <c r="E1507" s="103">
        <f>IF(OR($B1507="",$D1507=""),"",IF(COUNTIF(THAM_SO_CC!$F$10:$F$40,$D1507)&gt;0,"Lễ",IF(IF(THAM_SO_CC!$B$12="T7+CN",WEEKDAY($D1507,2)&gt;=6,WEEKDAY($D1507,2)=7),"Nghỉ tuần","Ngày thường")))</f>
        <v/>
      </c>
      <c r="F1507" s="107" t="n"/>
      <c r="G1507" s="107" t="n"/>
      <c r="H1507" s="107" t="n"/>
      <c r="I1507" s="81" t="n"/>
      <c r="J1507" s="108">
        <f>IF($B1507="","",IF($E1507="Ngày thường",N($G1507),0))</f>
        <v/>
      </c>
      <c r="K1507" s="108">
        <f>IF($B1507="","",IF($E1507="Nghỉ tuần",N($G1507),0))</f>
        <v/>
      </c>
      <c r="L1507" s="108">
        <f>IF($B1507="","",IF($E1507="Lễ",N($G1507),0))</f>
        <v/>
      </c>
      <c r="M1507" s="108">
        <f>IF($B1507="","",IF($E1507="Ngày thường",N($H1507),0))</f>
        <v/>
      </c>
      <c r="N1507" s="108">
        <f>IF($B1507="","",IF($E1507="Nghỉ tuần",N($H1507),0))</f>
        <v/>
      </c>
      <c r="O1507" s="108">
        <f>IF($B1507="","",IF($E1507="Lễ",N($H1507),0))</f>
        <v/>
      </c>
    </row>
    <row r="1508" ht="15" customHeight="1" s="63">
      <c r="A1508" s="85">
        <f>IF($B1508="","",ROW()-5)</f>
        <v/>
      </c>
      <c r="B1508" s="97" t="n"/>
      <c r="C1508" s="96">
        <f>IF($B1508="","",IFERROR(INDEX(DM_NHAN_SU!$C$6:$C$155,MATCH($B1508,DM_NHAN_SU!$B$6:$B$155,0)),"SAI MÃ NV"))</f>
        <v/>
      </c>
      <c r="D1508" s="86" t="n"/>
      <c r="E1508" s="103">
        <f>IF(OR($B1508="",$D1508=""),"",IF(COUNTIF(THAM_SO_CC!$F$10:$F$40,$D1508)&gt;0,"Lễ",IF(IF(THAM_SO_CC!$B$12="T7+CN",WEEKDAY($D1508,2)&gt;=6,WEEKDAY($D1508,2)=7),"Nghỉ tuần","Ngày thường")))</f>
        <v/>
      </c>
      <c r="F1508" s="107" t="n"/>
      <c r="G1508" s="107" t="n"/>
      <c r="H1508" s="107" t="n"/>
      <c r="I1508" s="81" t="n"/>
      <c r="J1508" s="108">
        <f>IF($B1508="","",IF($E1508="Ngày thường",N($G1508),0))</f>
        <v/>
      </c>
      <c r="K1508" s="108">
        <f>IF($B1508="","",IF($E1508="Nghỉ tuần",N($G1508),0))</f>
        <v/>
      </c>
      <c r="L1508" s="108">
        <f>IF($B1508="","",IF($E1508="Lễ",N($G1508),0))</f>
        <v/>
      </c>
      <c r="M1508" s="108">
        <f>IF($B1508="","",IF($E1508="Ngày thường",N($H1508),0))</f>
        <v/>
      </c>
      <c r="N1508" s="108">
        <f>IF($B1508="","",IF($E1508="Nghỉ tuần",N($H1508),0))</f>
        <v/>
      </c>
      <c r="O1508" s="108">
        <f>IF($B1508="","",IF($E1508="Lễ",N($H1508),0))</f>
        <v/>
      </c>
    </row>
    <row r="1509" ht="15" customHeight="1" s="63">
      <c r="A1509" s="85">
        <f>IF($B1509="","",ROW()-5)</f>
        <v/>
      </c>
      <c r="B1509" s="97" t="n"/>
      <c r="C1509" s="96">
        <f>IF($B1509="","",IFERROR(INDEX(DM_NHAN_SU!$C$6:$C$155,MATCH($B1509,DM_NHAN_SU!$B$6:$B$155,0)),"SAI MÃ NV"))</f>
        <v/>
      </c>
      <c r="D1509" s="86" t="n"/>
      <c r="E1509" s="103">
        <f>IF(OR($B1509="",$D1509=""),"",IF(COUNTIF(THAM_SO_CC!$F$10:$F$40,$D1509)&gt;0,"Lễ",IF(IF(THAM_SO_CC!$B$12="T7+CN",WEEKDAY($D1509,2)&gt;=6,WEEKDAY($D1509,2)=7),"Nghỉ tuần","Ngày thường")))</f>
        <v/>
      </c>
      <c r="F1509" s="107" t="n"/>
      <c r="G1509" s="107" t="n"/>
      <c r="H1509" s="107" t="n"/>
      <c r="I1509" s="81" t="n"/>
      <c r="J1509" s="108">
        <f>IF($B1509="","",IF($E1509="Ngày thường",N($G1509),0))</f>
        <v/>
      </c>
      <c r="K1509" s="108">
        <f>IF($B1509="","",IF($E1509="Nghỉ tuần",N($G1509),0))</f>
        <v/>
      </c>
      <c r="L1509" s="108">
        <f>IF($B1509="","",IF($E1509="Lễ",N($G1509),0))</f>
        <v/>
      </c>
      <c r="M1509" s="108">
        <f>IF($B1509="","",IF($E1509="Ngày thường",N($H1509),0))</f>
        <v/>
      </c>
      <c r="N1509" s="108">
        <f>IF($B1509="","",IF($E1509="Nghỉ tuần",N($H1509),0))</f>
        <v/>
      </c>
      <c r="O1509" s="108">
        <f>IF($B1509="","",IF($E1509="Lễ",N($H1509),0))</f>
        <v/>
      </c>
    </row>
    <row r="1510" ht="15" customHeight="1" s="63">
      <c r="A1510" s="85">
        <f>IF($B1510="","",ROW()-5)</f>
        <v/>
      </c>
      <c r="B1510" s="97" t="n"/>
      <c r="C1510" s="96">
        <f>IF($B1510="","",IFERROR(INDEX(DM_NHAN_SU!$C$6:$C$155,MATCH($B1510,DM_NHAN_SU!$B$6:$B$155,0)),"SAI MÃ NV"))</f>
        <v/>
      </c>
      <c r="D1510" s="86" t="n"/>
      <c r="E1510" s="103">
        <f>IF(OR($B1510="",$D1510=""),"",IF(COUNTIF(THAM_SO_CC!$F$10:$F$40,$D1510)&gt;0,"Lễ",IF(IF(THAM_SO_CC!$B$12="T7+CN",WEEKDAY($D1510,2)&gt;=6,WEEKDAY($D1510,2)=7),"Nghỉ tuần","Ngày thường")))</f>
        <v/>
      </c>
      <c r="F1510" s="107" t="n"/>
      <c r="G1510" s="107" t="n"/>
      <c r="H1510" s="107" t="n"/>
      <c r="I1510" s="81" t="n"/>
      <c r="J1510" s="108">
        <f>IF($B1510="","",IF($E1510="Ngày thường",N($G1510),0))</f>
        <v/>
      </c>
      <c r="K1510" s="108">
        <f>IF($B1510="","",IF($E1510="Nghỉ tuần",N($G1510),0))</f>
        <v/>
      </c>
      <c r="L1510" s="108">
        <f>IF($B1510="","",IF($E1510="Lễ",N($G1510),0))</f>
        <v/>
      </c>
      <c r="M1510" s="108">
        <f>IF($B1510="","",IF($E1510="Ngày thường",N($H1510),0))</f>
        <v/>
      </c>
      <c r="N1510" s="108">
        <f>IF($B1510="","",IF($E1510="Nghỉ tuần",N($H1510),0))</f>
        <v/>
      </c>
      <c r="O1510" s="108">
        <f>IF($B1510="","",IF($E1510="Lễ",N($H1510),0))</f>
        <v/>
      </c>
    </row>
    <row r="1511" ht="15" customHeight="1" s="63">
      <c r="A1511" s="85">
        <f>IF($B1511="","",ROW()-5)</f>
        <v/>
      </c>
      <c r="B1511" s="97" t="n"/>
      <c r="C1511" s="96">
        <f>IF($B1511="","",IFERROR(INDEX(DM_NHAN_SU!$C$6:$C$155,MATCH($B1511,DM_NHAN_SU!$B$6:$B$155,0)),"SAI MÃ NV"))</f>
        <v/>
      </c>
      <c r="D1511" s="86" t="n"/>
      <c r="E1511" s="103">
        <f>IF(OR($B1511="",$D1511=""),"",IF(COUNTIF(THAM_SO_CC!$F$10:$F$40,$D1511)&gt;0,"Lễ",IF(IF(THAM_SO_CC!$B$12="T7+CN",WEEKDAY($D1511,2)&gt;=6,WEEKDAY($D1511,2)=7),"Nghỉ tuần","Ngày thường")))</f>
        <v/>
      </c>
      <c r="F1511" s="107" t="n"/>
      <c r="G1511" s="107" t="n"/>
      <c r="H1511" s="107" t="n"/>
      <c r="I1511" s="81" t="n"/>
      <c r="J1511" s="108">
        <f>IF($B1511="","",IF($E1511="Ngày thường",N($G1511),0))</f>
        <v/>
      </c>
      <c r="K1511" s="108">
        <f>IF($B1511="","",IF($E1511="Nghỉ tuần",N($G1511),0))</f>
        <v/>
      </c>
      <c r="L1511" s="108">
        <f>IF($B1511="","",IF($E1511="Lễ",N($G1511),0))</f>
        <v/>
      </c>
      <c r="M1511" s="108">
        <f>IF($B1511="","",IF($E1511="Ngày thường",N($H1511),0))</f>
        <v/>
      </c>
      <c r="N1511" s="108">
        <f>IF($B1511="","",IF($E1511="Nghỉ tuần",N($H1511),0))</f>
        <v/>
      </c>
      <c r="O1511" s="108">
        <f>IF($B1511="","",IF($E1511="Lễ",N($H1511),0))</f>
        <v/>
      </c>
    </row>
    <row r="1512" ht="15" customHeight="1" s="63">
      <c r="A1512" s="85">
        <f>IF($B1512="","",ROW()-5)</f>
        <v/>
      </c>
      <c r="B1512" s="97" t="n"/>
      <c r="C1512" s="96">
        <f>IF($B1512="","",IFERROR(INDEX(DM_NHAN_SU!$C$6:$C$155,MATCH($B1512,DM_NHAN_SU!$B$6:$B$155,0)),"SAI MÃ NV"))</f>
        <v/>
      </c>
      <c r="D1512" s="86" t="n"/>
      <c r="E1512" s="103">
        <f>IF(OR($B1512="",$D1512=""),"",IF(COUNTIF(THAM_SO_CC!$F$10:$F$40,$D1512)&gt;0,"Lễ",IF(IF(THAM_SO_CC!$B$12="T7+CN",WEEKDAY($D1512,2)&gt;=6,WEEKDAY($D1512,2)=7),"Nghỉ tuần","Ngày thường")))</f>
        <v/>
      </c>
      <c r="F1512" s="107" t="n"/>
      <c r="G1512" s="107" t="n"/>
      <c r="H1512" s="107" t="n"/>
      <c r="I1512" s="81" t="n"/>
      <c r="J1512" s="108">
        <f>IF($B1512="","",IF($E1512="Ngày thường",N($G1512),0))</f>
        <v/>
      </c>
      <c r="K1512" s="108">
        <f>IF($B1512="","",IF($E1512="Nghỉ tuần",N($G1512),0))</f>
        <v/>
      </c>
      <c r="L1512" s="108">
        <f>IF($B1512="","",IF($E1512="Lễ",N($G1512),0))</f>
        <v/>
      </c>
      <c r="M1512" s="108">
        <f>IF($B1512="","",IF($E1512="Ngày thường",N($H1512),0))</f>
        <v/>
      </c>
      <c r="N1512" s="108">
        <f>IF($B1512="","",IF($E1512="Nghỉ tuần",N($H1512),0))</f>
        <v/>
      </c>
      <c r="O1512" s="108">
        <f>IF($B1512="","",IF($E1512="Lễ",N($H1512),0))</f>
        <v/>
      </c>
    </row>
    <row r="1513" ht="15" customHeight="1" s="63">
      <c r="A1513" s="85">
        <f>IF($B1513="","",ROW()-5)</f>
        <v/>
      </c>
      <c r="B1513" s="97" t="n"/>
      <c r="C1513" s="96">
        <f>IF($B1513="","",IFERROR(INDEX(DM_NHAN_SU!$C$6:$C$155,MATCH($B1513,DM_NHAN_SU!$B$6:$B$155,0)),"SAI MÃ NV"))</f>
        <v/>
      </c>
      <c r="D1513" s="86" t="n"/>
      <c r="E1513" s="103">
        <f>IF(OR($B1513="",$D1513=""),"",IF(COUNTIF(THAM_SO_CC!$F$10:$F$40,$D1513)&gt;0,"Lễ",IF(IF(THAM_SO_CC!$B$12="T7+CN",WEEKDAY($D1513,2)&gt;=6,WEEKDAY($D1513,2)=7),"Nghỉ tuần","Ngày thường")))</f>
        <v/>
      </c>
      <c r="F1513" s="107" t="n"/>
      <c r="G1513" s="107" t="n"/>
      <c r="H1513" s="107" t="n"/>
      <c r="I1513" s="81" t="n"/>
      <c r="J1513" s="108">
        <f>IF($B1513="","",IF($E1513="Ngày thường",N($G1513),0))</f>
        <v/>
      </c>
      <c r="K1513" s="108">
        <f>IF($B1513="","",IF($E1513="Nghỉ tuần",N($G1513),0))</f>
        <v/>
      </c>
      <c r="L1513" s="108">
        <f>IF($B1513="","",IF($E1513="Lễ",N($G1513),0))</f>
        <v/>
      </c>
      <c r="M1513" s="108">
        <f>IF($B1513="","",IF($E1513="Ngày thường",N($H1513),0))</f>
        <v/>
      </c>
      <c r="N1513" s="108">
        <f>IF($B1513="","",IF($E1513="Nghỉ tuần",N($H1513),0))</f>
        <v/>
      </c>
      <c r="O1513" s="108">
        <f>IF($B1513="","",IF($E1513="Lễ",N($H1513),0))</f>
        <v/>
      </c>
    </row>
    <row r="1514" ht="15" customHeight="1" s="63">
      <c r="A1514" s="85">
        <f>IF($B1514="","",ROW()-5)</f>
        <v/>
      </c>
      <c r="B1514" s="97" t="n"/>
      <c r="C1514" s="96">
        <f>IF($B1514="","",IFERROR(INDEX(DM_NHAN_SU!$C$6:$C$155,MATCH($B1514,DM_NHAN_SU!$B$6:$B$155,0)),"SAI MÃ NV"))</f>
        <v/>
      </c>
      <c r="D1514" s="86" t="n"/>
      <c r="E1514" s="103">
        <f>IF(OR($B1514="",$D1514=""),"",IF(COUNTIF(THAM_SO_CC!$F$10:$F$40,$D1514)&gt;0,"Lễ",IF(IF(THAM_SO_CC!$B$12="T7+CN",WEEKDAY($D1514,2)&gt;=6,WEEKDAY($D1514,2)=7),"Nghỉ tuần","Ngày thường")))</f>
        <v/>
      </c>
      <c r="F1514" s="107" t="n"/>
      <c r="G1514" s="107" t="n"/>
      <c r="H1514" s="107" t="n"/>
      <c r="I1514" s="81" t="n"/>
      <c r="J1514" s="108">
        <f>IF($B1514="","",IF($E1514="Ngày thường",N($G1514),0))</f>
        <v/>
      </c>
      <c r="K1514" s="108">
        <f>IF($B1514="","",IF($E1514="Nghỉ tuần",N($G1514),0))</f>
        <v/>
      </c>
      <c r="L1514" s="108">
        <f>IF($B1514="","",IF($E1514="Lễ",N($G1514),0))</f>
        <v/>
      </c>
      <c r="M1514" s="108">
        <f>IF($B1514="","",IF($E1514="Ngày thường",N($H1514),0))</f>
        <v/>
      </c>
      <c r="N1514" s="108">
        <f>IF($B1514="","",IF($E1514="Nghỉ tuần",N($H1514),0))</f>
        <v/>
      </c>
      <c r="O1514" s="108">
        <f>IF($B1514="","",IF($E1514="Lễ",N($H1514),0))</f>
        <v/>
      </c>
    </row>
    <row r="1515" ht="15" customHeight="1" s="63">
      <c r="A1515" s="85">
        <f>IF($B1515="","",ROW()-5)</f>
        <v/>
      </c>
      <c r="B1515" s="97" t="n"/>
      <c r="C1515" s="96">
        <f>IF($B1515="","",IFERROR(INDEX(DM_NHAN_SU!$C$6:$C$155,MATCH($B1515,DM_NHAN_SU!$B$6:$B$155,0)),"SAI MÃ NV"))</f>
        <v/>
      </c>
      <c r="D1515" s="86" t="n"/>
      <c r="E1515" s="103">
        <f>IF(OR($B1515="",$D1515=""),"",IF(COUNTIF(THAM_SO_CC!$F$10:$F$40,$D1515)&gt;0,"Lễ",IF(IF(THAM_SO_CC!$B$12="T7+CN",WEEKDAY($D1515,2)&gt;=6,WEEKDAY($D1515,2)=7),"Nghỉ tuần","Ngày thường")))</f>
        <v/>
      </c>
      <c r="F1515" s="107" t="n"/>
      <c r="G1515" s="107" t="n"/>
      <c r="H1515" s="107" t="n"/>
      <c r="I1515" s="81" t="n"/>
      <c r="J1515" s="108">
        <f>IF($B1515="","",IF($E1515="Ngày thường",N($G1515),0))</f>
        <v/>
      </c>
      <c r="K1515" s="108">
        <f>IF($B1515="","",IF($E1515="Nghỉ tuần",N($G1515),0))</f>
        <v/>
      </c>
      <c r="L1515" s="108">
        <f>IF($B1515="","",IF($E1515="Lễ",N($G1515),0))</f>
        <v/>
      </c>
      <c r="M1515" s="108">
        <f>IF($B1515="","",IF($E1515="Ngày thường",N($H1515),0))</f>
        <v/>
      </c>
      <c r="N1515" s="108">
        <f>IF($B1515="","",IF($E1515="Nghỉ tuần",N($H1515),0))</f>
        <v/>
      </c>
      <c r="O1515" s="108">
        <f>IF($B1515="","",IF($E1515="Lễ",N($H1515),0))</f>
        <v/>
      </c>
    </row>
    <row r="1516" ht="15" customHeight="1" s="63">
      <c r="A1516" s="85">
        <f>IF($B1516="","",ROW()-5)</f>
        <v/>
      </c>
      <c r="B1516" s="97" t="n"/>
      <c r="C1516" s="96">
        <f>IF($B1516="","",IFERROR(INDEX(DM_NHAN_SU!$C$6:$C$155,MATCH($B1516,DM_NHAN_SU!$B$6:$B$155,0)),"SAI MÃ NV"))</f>
        <v/>
      </c>
      <c r="D1516" s="86" t="n"/>
      <c r="E1516" s="103">
        <f>IF(OR($B1516="",$D1516=""),"",IF(COUNTIF(THAM_SO_CC!$F$10:$F$40,$D1516)&gt;0,"Lễ",IF(IF(THAM_SO_CC!$B$12="T7+CN",WEEKDAY($D1516,2)&gt;=6,WEEKDAY($D1516,2)=7),"Nghỉ tuần","Ngày thường")))</f>
        <v/>
      </c>
      <c r="F1516" s="107" t="n"/>
      <c r="G1516" s="107" t="n"/>
      <c r="H1516" s="107" t="n"/>
      <c r="I1516" s="81" t="n"/>
      <c r="J1516" s="108">
        <f>IF($B1516="","",IF($E1516="Ngày thường",N($G1516),0))</f>
        <v/>
      </c>
      <c r="K1516" s="108">
        <f>IF($B1516="","",IF($E1516="Nghỉ tuần",N($G1516),0))</f>
        <v/>
      </c>
      <c r="L1516" s="108">
        <f>IF($B1516="","",IF($E1516="Lễ",N($G1516),0))</f>
        <v/>
      </c>
      <c r="M1516" s="108">
        <f>IF($B1516="","",IF($E1516="Ngày thường",N($H1516),0))</f>
        <v/>
      </c>
      <c r="N1516" s="108">
        <f>IF($B1516="","",IF($E1516="Nghỉ tuần",N($H1516),0))</f>
        <v/>
      </c>
      <c r="O1516" s="108">
        <f>IF($B1516="","",IF($E1516="Lễ",N($H1516),0))</f>
        <v/>
      </c>
    </row>
    <row r="1517" ht="15" customHeight="1" s="63">
      <c r="A1517" s="85">
        <f>IF($B1517="","",ROW()-5)</f>
        <v/>
      </c>
      <c r="B1517" s="97" t="n"/>
      <c r="C1517" s="96">
        <f>IF($B1517="","",IFERROR(INDEX(DM_NHAN_SU!$C$6:$C$155,MATCH($B1517,DM_NHAN_SU!$B$6:$B$155,0)),"SAI MÃ NV"))</f>
        <v/>
      </c>
      <c r="D1517" s="86" t="n"/>
      <c r="E1517" s="103">
        <f>IF(OR($B1517="",$D1517=""),"",IF(COUNTIF(THAM_SO_CC!$F$10:$F$40,$D1517)&gt;0,"Lễ",IF(IF(THAM_SO_CC!$B$12="T7+CN",WEEKDAY($D1517,2)&gt;=6,WEEKDAY($D1517,2)=7),"Nghỉ tuần","Ngày thường")))</f>
        <v/>
      </c>
      <c r="F1517" s="107" t="n"/>
      <c r="G1517" s="107" t="n"/>
      <c r="H1517" s="107" t="n"/>
      <c r="I1517" s="81" t="n"/>
      <c r="J1517" s="108">
        <f>IF($B1517="","",IF($E1517="Ngày thường",N($G1517),0))</f>
        <v/>
      </c>
      <c r="K1517" s="108">
        <f>IF($B1517="","",IF($E1517="Nghỉ tuần",N($G1517),0))</f>
        <v/>
      </c>
      <c r="L1517" s="108">
        <f>IF($B1517="","",IF($E1517="Lễ",N($G1517),0))</f>
        <v/>
      </c>
      <c r="M1517" s="108">
        <f>IF($B1517="","",IF($E1517="Ngày thường",N($H1517),0))</f>
        <v/>
      </c>
      <c r="N1517" s="108">
        <f>IF($B1517="","",IF($E1517="Nghỉ tuần",N($H1517),0))</f>
        <v/>
      </c>
      <c r="O1517" s="108">
        <f>IF($B1517="","",IF($E1517="Lễ",N($H1517),0))</f>
        <v/>
      </c>
    </row>
    <row r="1518" ht="15" customHeight="1" s="63">
      <c r="A1518" s="85">
        <f>IF($B1518="","",ROW()-5)</f>
        <v/>
      </c>
      <c r="B1518" s="97" t="n"/>
      <c r="C1518" s="96">
        <f>IF($B1518="","",IFERROR(INDEX(DM_NHAN_SU!$C$6:$C$155,MATCH($B1518,DM_NHAN_SU!$B$6:$B$155,0)),"SAI MÃ NV"))</f>
        <v/>
      </c>
      <c r="D1518" s="86" t="n"/>
      <c r="E1518" s="103">
        <f>IF(OR($B1518="",$D1518=""),"",IF(COUNTIF(THAM_SO_CC!$F$10:$F$40,$D1518)&gt;0,"Lễ",IF(IF(THAM_SO_CC!$B$12="T7+CN",WEEKDAY($D1518,2)&gt;=6,WEEKDAY($D1518,2)=7),"Nghỉ tuần","Ngày thường")))</f>
        <v/>
      </c>
      <c r="F1518" s="107" t="n"/>
      <c r="G1518" s="107" t="n"/>
      <c r="H1518" s="107" t="n"/>
      <c r="I1518" s="81" t="n"/>
      <c r="J1518" s="108">
        <f>IF($B1518="","",IF($E1518="Ngày thường",N($G1518),0))</f>
        <v/>
      </c>
      <c r="K1518" s="108">
        <f>IF($B1518="","",IF($E1518="Nghỉ tuần",N($G1518),0))</f>
        <v/>
      </c>
      <c r="L1518" s="108">
        <f>IF($B1518="","",IF($E1518="Lễ",N($G1518),0))</f>
        <v/>
      </c>
      <c r="M1518" s="108">
        <f>IF($B1518="","",IF($E1518="Ngày thường",N($H1518),0))</f>
        <v/>
      </c>
      <c r="N1518" s="108">
        <f>IF($B1518="","",IF($E1518="Nghỉ tuần",N($H1518),0))</f>
        <v/>
      </c>
      <c r="O1518" s="108">
        <f>IF($B1518="","",IF($E1518="Lễ",N($H1518),0))</f>
        <v/>
      </c>
    </row>
    <row r="1519" ht="15" customHeight="1" s="63">
      <c r="A1519" s="85">
        <f>IF($B1519="","",ROW()-5)</f>
        <v/>
      </c>
      <c r="B1519" s="97" t="n"/>
      <c r="C1519" s="96">
        <f>IF($B1519="","",IFERROR(INDEX(DM_NHAN_SU!$C$6:$C$155,MATCH($B1519,DM_NHAN_SU!$B$6:$B$155,0)),"SAI MÃ NV"))</f>
        <v/>
      </c>
      <c r="D1519" s="86" t="n"/>
      <c r="E1519" s="103">
        <f>IF(OR($B1519="",$D1519=""),"",IF(COUNTIF(THAM_SO_CC!$F$10:$F$40,$D1519)&gt;0,"Lễ",IF(IF(THAM_SO_CC!$B$12="T7+CN",WEEKDAY($D1519,2)&gt;=6,WEEKDAY($D1519,2)=7),"Nghỉ tuần","Ngày thường")))</f>
        <v/>
      </c>
      <c r="F1519" s="107" t="n"/>
      <c r="G1519" s="107" t="n"/>
      <c r="H1519" s="107" t="n"/>
      <c r="I1519" s="81" t="n"/>
      <c r="J1519" s="108">
        <f>IF($B1519="","",IF($E1519="Ngày thường",N($G1519),0))</f>
        <v/>
      </c>
      <c r="K1519" s="108">
        <f>IF($B1519="","",IF($E1519="Nghỉ tuần",N($G1519),0))</f>
        <v/>
      </c>
      <c r="L1519" s="108">
        <f>IF($B1519="","",IF($E1519="Lễ",N($G1519),0))</f>
        <v/>
      </c>
      <c r="M1519" s="108">
        <f>IF($B1519="","",IF($E1519="Ngày thường",N($H1519),0))</f>
        <v/>
      </c>
      <c r="N1519" s="108">
        <f>IF($B1519="","",IF($E1519="Nghỉ tuần",N($H1519),0))</f>
        <v/>
      </c>
      <c r="O1519" s="108">
        <f>IF($B1519="","",IF($E1519="Lễ",N($H1519),0))</f>
        <v/>
      </c>
    </row>
    <row r="1520" ht="15" customHeight="1" s="63">
      <c r="A1520" s="85">
        <f>IF($B1520="","",ROW()-5)</f>
        <v/>
      </c>
      <c r="B1520" s="97" t="n"/>
      <c r="C1520" s="96">
        <f>IF($B1520="","",IFERROR(INDEX(DM_NHAN_SU!$C$6:$C$155,MATCH($B1520,DM_NHAN_SU!$B$6:$B$155,0)),"SAI MÃ NV"))</f>
        <v/>
      </c>
      <c r="D1520" s="86" t="n"/>
      <c r="E1520" s="103">
        <f>IF(OR($B1520="",$D1520=""),"",IF(COUNTIF(THAM_SO_CC!$F$10:$F$40,$D1520)&gt;0,"Lễ",IF(IF(THAM_SO_CC!$B$12="T7+CN",WEEKDAY($D1520,2)&gt;=6,WEEKDAY($D1520,2)=7),"Nghỉ tuần","Ngày thường")))</f>
        <v/>
      </c>
      <c r="F1520" s="107" t="n"/>
      <c r="G1520" s="107" t="n"/>
      <c r="H1520" s="107" t="n"/>
      <c r="I1520" s="81" t="n"/>
      <c r="J1520" s="108">
        <f>IF($B1520="","",IF($E1520="Ngày thường",N($G1520),0))</f>
        <v/>
      </c>
      <c r="K1520" s="108">
        <f>IF($B1520="","",IF($E1520="Nghỉ tuần",N($G1520),0))</f>
        <v/>
      </c>
      <c r="L1520" s="108">
        <f>IF($B1520="","",IF($E1520="Lễ",N($G1520),0))</f>
        <v/>
      </c>
      <c r="M1520" s="108">
        <f>IF($B1520="","",IF($E1520="Ngày thường",N($H1520),0))</f>
        <v/>
      </c>
      <c r="N1520" s="108">
        <f>IF($B1520="","",IF($E1520="Nghỉ tuần",N($H1520),0))</f>
        <v/>
      </c>
      <c r="O1520" s="108">
        <f>IF($B1520="","",IF($E1520="Lễ",N($H1520),0))</f>
        <v/>
      </c>
    </row>
    <row r="1521" ht="15" customHeight="1" s="63">
      <c r="A1521" s="85">
        <f>IF($B1521="","",ROW()-5)</f>
        <v/>
      </c>
      <c r="B1521" s="97" t="n"/>
      <c r="C1521" s="96">
        <f>IF($B1521="","",IFERROR(INDEX(DM_NHAN_SU!$C$6:$C$155,MATCH($B1521,DM_NHAN_SU!$B$6:$B$155,0)),"SAI MÃ NV"))</f>
        <v/>
      </c>
      <c r="D1521" s="86" t="n"/>
      <c r="E1521" s="103">
        <f>IF(OR($B1521="",$D1521=""),"",IF(COUNTIF(THAM_SO_CC!$F$10:$F$40,$D1521)&gt;0,"Lễ",IF(IF(THAM_SO_CC!$B$12="T7+CN",WEEKDAY($D1521,2)&gt;=6,WEEKDAY($D1521,2)=7),"Nghỉ tuần","Ngày thường")))</f>
        <v/>
      </c>
      <c r="F1521" s="107" t="n"/>
      <c r="G1521" s="107" t="n"/>
      <c r="H1521" s="107" t="n"/>
      <c r="I1521" s="81" t="n"/>
      <c r="J1521" s="108">
        <f>IF($B1521="","",IF($E1521="Ngày thường",N($G1521),0))</f>
        <v/>
      </c>
      <c r="K1521" s="108">
        <f>IF($B1521="","",IF($E1521="Nghỉ tuần",N($G1521),0))</f>
        <v/>
      </c>
      <c r="L1521" s="108">
        <f>IF($B1521="","",IF($E1521="Lễ",N($G1521),0))</f>
        <v/>
      </c>
      <c r="M1521" s="108">
        <f>IF($B1521="","",IF($E1521="Ngày thường",N($H1521),0))</f>
        <v/>
      </c>
      <c r="N1521" s="108">
        <f>IF($B1521="","",IF($E1521="Nghỉ tuần",N($H1521),0))</f>
        <v/>
      </c>
      <c r="O1521" s="108">
        <f>IF($B1521="","",IF($E1521="Lễ",N($H1521),0))</f>
        <v/>
      </c>
    </row>
    <row r="1522" ht="15" customHeight="1" s="63">
      <c r="A1522" s="85">
        <f>IF($B1522="","",ROW()-5)</f>
        <v/>
      </c>
      <c r="B1522" s="97" t="n"/>
      <c r="C1522" s="96">
        <f>IF($B1522="","",IFERROR(INDEX(DM_NHAN_SU!$C$6:$C$155,MATCH($B1522,DM_NHAN_SU!$B$6:$B$155,0)),"SAI MÃ NV"))</f>
        <v/>
      </c>
      <c r="D1522" s="86" t="n"/>
      <c r="E1522" s="103">
        <f>IF(OR($B1522="",$D1522=""),"",IF(COUNTIF(THAM_SO_CC!$F$10:$F$40,$D1522)&gt;0,"Lễ",IF(IF(THAM_SO_CC!$B$12="T7+CN",WEEKDAY($D1522,2)&gt;=6,WEEKDAY($D1522,2)=7),"Nghỉ tuần","Ngày thường")))</f>
        <v/>
      </c>
      <c r="F1522" s="107" t="n"/>
      <c r="G1522" s="107" t="n"/>
      <c r="H1522" s="107" t="n"/>
      <c r="I1522" s="81" t="n"/>
      <c r="J1522" s="108">
        <f>IF($B1522="","",IF($E1522="Ngày thường",N($G1522),0))</f>
        <v/>
      </c>
      <c r="K1522" s="108">
        <f>IF($B1522="","",IF($E1522="Nghỉ tuần",N($G1522),0))</f>
        <v/>
      </c>
      <c r="L1522" s="108">
        <f>IF($B1522="","",IF($E1522="Lễ",N($G1522),0))</f>
        <v/>
      </c>
      <c r="M1522" s="108">
        <f>IF($B1522="","",IF($E1522="Ngày thường",N($H1522),0))</f>
        <v/>
      </c>
      <c r="N1522" s="108">
        <f>IF($B1522="","",IF($E1522="Nghỉ tuần",N($H1522),0))</f>
        <v/>
      </c>
      <c r="O1522" s="108">
        <f>IF($B1522="","",IF($E1522="Lễ",N($H1522),0))</f>
        <v/>
      </c>
    </row>
    <row r="1523" ht="15" customHeight="1" s="63">
      <c r="A1523" s="85">
        <f>IF($B1523="","",ROW()-5)</f>
        <v/>
      </c>
      <c r="B1523" s="97" t="n"/>
      <c r="C1523" s="96">
        <f>IF($B1523="","",IFERROR(INDEX(DM_NHAN_SU!$C$6:$C$155,MATCH($B1523,DM_NHAN_SU!$B$6:$B$155,0)),"SAI MÃ NV"))</f>
        <v/>
      </c>
      <c r="D1523" s="86" t="n"/>
      <c r="E1523" s="103">
        <f>IF(OR($B1523="",$D1523=""),"",IF(COUNTIF(THAM_SO_CC!$F$10:$F$40,$D1523)&gt;0,"Lễ",IF(IF(THAM_SO_CC!$B$12="T7+CN",WEEKDAY($D1523,2)&gt;=6,WEEKDAY($D1523,2)=7),"Nghỉ tuần","Ngày thường")))</f>
        <v/>
      </c>
      <c r="F1523" s="107" t="n"/>
      <c r="G1523" s="107" t="n"/>
      <c r="H1523" s="107" t="n"/>
      <c r="I1523" s="81" t="n"/>
      <c r="J1523" s="108">
        <f>IF($B1523="","",IF($E1523="Ngày thường",N($G1523),0))</f>
        <v/>
      </c>
      <c r="K1523" s="108">
        <f>IF($B1523="","",IF($E1523="Nghỉ tuần",N($G1523),0))</f>
        <v/>
      </c>
      <c r="L1523" s="108">
        <f>IF($B1523="","",IF($E1523="Lễ",N($G1523),0))</f>
        <v/>
      </c>
      <c r="M1523" s="108">
        <f>IF($B1523="","",IF($E1523="Ngày thường",N($H1523),0))</f>
        <v/>
      </c>
      <c r="N1523" s="108">
        <f>IF($B1523="","",IF($E1523="Nghỉ tuần",N($H1523),0))</f>
        <v/>
      </c>
      <c r="O1523" s="108">
        <f>IF($B1523="","",IF($E1523="Lễ",N($H1523),0))</f>
        <v/>
      </c>
    </row>
    <row r="1524" ht="15" customHeight="1" s="63">
      <c r="A1524" s="85">
        <f>IF($B1524="","",ROW()-5)</f>
        <v/>
      </c>
      <c r="B1524" s="97" t="n"/>
      <c r="C1524" s="96">
        <f>IF($B1524="","",IFERROR(INDEX(DM_NHAN_SU!$C$6:$C$155,MATCH($B1524,DM_NHAN_SU!$B$6:$B$155,0)),"SAI MÃ NV"))</f>
        <v/>
      </c>
      <c r="D1524" s="86" t="n"/>
      <c r="E1524" s="103">
        <f>IF(OR($B1524="",$D1524=""),"",IF(COUNTIF(THAM_SO_CC!$F$10:$F$40,$D1524)&gt;0,"Lễ",IF(IF(THAM_SO_CC!$B$12="T7+CN",WEEKDAY($D1524,2)&gt;=6,WEEKDAY($D1524,2)=7),"Nghỉ tuần","Ngày thường")))</f>
        <v/>
      </c>
      <c r="F1524" s="107" t="n"/>
      <c r="G1524" s="107" t="n"/>
      <c r="H1524" s="107" t="n"/>
      <c r="I1524" s="81" t="n"/>
      <c r="J1524" s="108">
        <f>IF($B1524="","",IF($E1524="Ngày thường",N($G1524),0))</f>
        <v/>
      </c>
      <c r="K1524" s="108">
        <f>IF($B1524="","",IF($E1524="Nghỉ tuần",N($G1524),0))</f>
        <v/>
      </c>
      <c r="L1524" s="108">
        <f>IF($B1524="","",IF($E1524="Lễ",N($G1524),0))</f>
        <v/>
      </c>
      <c r="M1524" s="108">
        <f>IF($B1524="","",IF($E1524="Ngày thường",N($H1524),0))</f>
        <v/>
      </c>
      <c r="N1524" s="108">
        <f>IF($B1524="","",IF($E1524="Nghỉ tuần",N($H1524),0))</f>
        <v/>
      </c>
      <c r="O1524" s="108">
        <f>IF($B1524="","",IF($E1524="Lễ",N($H1524),0))</f>
        <v/>
      </c>
    </row>
    <row r="1525" ht="15" customHeight="1" s="63">
      <c r="A1525" s="85">
        <f>IF($B1525="","",ROW()-5)</f>
        <v/>
      </c>
      <c r="B1525" s="97" t="n"/>
      <c r="C1525" s="96">
        <f>IF($B1525="","",IFERROR(INDEX(DM_NHAN_SU!$C$6:$C$155,MATCH($B1525,DM_NHAN_SU!$B$6:$B$155,0)),"SAI MÃ NV"))</f>
        <v/>
      </c>
      <c r="D1525" s="86" t="n"/>
      <c r="E1525" s="103">
        <f>IF(OR($B1525="",$D1525=""),"",IF(COUNTIF(THAM_SO_CC!$F$10:$F$40,$D1525)&gt;0,"Lễ",IF(IF(THAM_SO_CC!$B$12="T7+CN",WEEKDAY($D1525,2)&gt;=6,WEEKDAY($D1525,2)=7),"Nghỉ tuần","Ngày thường")))</f>
        <v/>
      </c>
      <c r="F1525" s="107" t="n"/>
      <c r="G1525" s="107" t="n"/>
      <c r="H1525" s="107" t="n"/>
      <c r="I1525" s="81" t="n"/>
      <c r="J1525" s="108">
        <f>IF($B1525="","",IF($E1525="Ngày thường",N($G1525),0))</f>
        <v/>
      </c>
      <c r="K1525" s="108">
        <f>IF($B1525="","",IF($E1525="Nghỉ tuần",N($G1525),0))</f>
        <v/>
      </c>
      <c r="L1525" s="108">
        <f>IF($B1525="","",IF($E1525="Lễ",N($G1525),0))</f>
        <v/>
      </c>
      <c r="M1525" s="108">
        <f>IF($B1525="","",IF($E1525="Ngày thường",N($H1525),0))</f>
        <v/>
      </c>
      <c r="N1525" s="108">
        <f>IF($B1525="","",IF($E1525="Nghỉ tuần",N($H1525),0))</f>
        <v/>
      </c>
      <c r="O1525" s="108">
        <f>IF($B1525="","",IF($E1525="Lễ",N($H1525),0))</f>
        <v/>
      </c>
    </row>
    <row r="1526" ht="15" customHeight="1" s="63">
      <c r="A1526" s="85">
        <f>IF($B1526="","",ROW()-5)</f>
        <v/>
      </c>
      <c r="B1526" s="97" t="n"/>
      <c r="C1526" s="96">
        <f>IF($B1526="","",IFERROR(INDEX(DM_NHAN_SU!$C$6:$C$155,MATCH($B1526,DM_NHAN_SU!$B$6:$B$155,0)),"SAI MÃ NV"))</f>
        <v/>
      </c>
      <c r="D1526" s="86" t="n"/>
      <c r="E1526" s="103">
        <f>IF(OR($B1526="",$D1526=""),"",IF(COUNTIF(THAM_SO_CC!$F$10:$F$40,$D1526)&gt;0,"Lễ",IF(IF(THAM_SO_CC!$B$12="T7+CN",WEEKDAY($D1526,2)&gt;=6,WEEKDAY($D1526,2)=7),"Nghỉ tuần","Ngày thường")))</f>
        <v/>
      </c>
      <c r="F1526" s="107" t="n"/>
      <c r="G1526" s="107" t="n"/>
      <c r="H1526" s="107" t="n"/>
      <c r="I1526" s="81" t="n"/>
      <c r="J1526" s="108">
        <f>IF($B1526="","",IF($E1526="Ngày thường",N($G1526),0))</f>
        <v/>
      </c>
      <c r="K1526" s="108">
        <f>IF($B1526="","",IF($E1526="Nghỉ tuần",N($G1526),0))</f>
        <v/>
      </c>
      <c r="L1526" s="108">
        <f>IF($B1526="","",IF($E1526="Lễ",N($G1526),0))</f>
        <v/>
      </c>
      <c r="M1526" s="108">
        <f>IF($B1526="","",IF($E1526="Ngày thường",N($H1526),0))</f>
        <v/>
      </c>
      <c r="N1526" s="108">
        <f>IF($B1526="","",IF($E1526="Nghỉ tuần",N($H1526),0))</f>
        <v/>
      </c>
      <c r="O1526" s="108">
        <f>IF($B1526="","",IF($E1526="Lễ",N($H1526),0))</f>
        <v/>
      </c>
    </row>
    <row r="1527" ht="15" customHeight="1" s="63">
      <c r="A1527" s="85">
        <f>IF($B1527="","",ROW()-5)</f>
        <v/>
      </c>
      <c r="B1527" s="97" t="n"/>
      <c r="C1527" s="96">
        <f>IF($B1527="","",IFERROR(INDEX(DM_NHAN_SU!$C$6:$C$155,MATCH($B1527,DM_NHAN_SU!$B$6:$B$155,0)),"SAI MÃ NV"))</f>
        <v/>
      </c>
      <c r="D1527" s="86" t="n"/>
      <c r="E1527" s="103">
        <f>IF(OR($B1527="",$D1527=""),"",IF(COUNTIF(THAM_SO_CC!$F$10:$F$40,$D1527)&gt;0,"Lễ",IF(IF(THAM_SO_CC!$B$12="T7+CN",WEEKDAY($D1527,2)&gt;=6,WEEKDAY($D1527,2)=7),"Nghỉ tuần","Ngày thường")))</f>
        <v/>
      </c>
      <c r="F1527" s="107" t="n"/>
      <c r="G1527" s="107" t="n"/>
      <c r="H1527" s="107" t="n"/>
      <c r="I1527" s="81" t="n"/>
      <c r="J1527" s="108">
        <f>IF($B1527="","",IF($E1527="Ngày thường",N($G1527),0))</f>
        <v/>
      </c>
      <c r="K1527" s="108">
        <f>IF($B1527="","",IF($E1527="Nghỉ tuần",N($G1527),0))</f>
        <v/>
      </c>
      <c r="L1527" s="108">
        <f>IF($B1527="","",IF($E1527="Lễ",N($G1527),0))</f>
        <v/>
      </c>
      <c r="M1527" s="108">
        <f>IF($B1527="","",IF($E1527="Ngày thường",N($H1527),0))</f>
        <v/>
      </c>
      <c r="N1527" s="108">
        <f>IF($B1527="","",IF($E1527="Nghỉ tuần",N($H1527),0))</f>
        <v/>
      </c>
      <c r="O1527" s="108">
        <f>IF($B1527="","",IF($E1527="Lễ",N($H1527),0))</f>
        <v/>
      </c>
    </row>
    <row r="1528" ht="15" customHeight="1" s="63">
      <c r="A1528" s="85">
        <f>IF($B1528="","",ROW()-5)</f>
        <v/>
      </c>
      <c r="B1528" s="97" t="n"/>
      <c r="C1528" s="96">
        <f>IF($B1528="","",IFERROR(INDEX(DM_NHAN_SU!$C$6:$C$155,MATCH($B1528,DM_NHAN_SU!$B$6:$B$155,0)),"SAI MÃ NV"))</f>
        <v/>
      </c>
      <c r="D1528" s="86" t="n"/>
      <c r="E1528" s="103">
        <f>IF(OR($B1528="",$D1528=""),"",IF(COUNTIF(THAM_SO_CC!$F$10:$F$40,$D1528)&gt;0,"Lễ",IF(IF(THAM_SO_CC!$B$12="T7+CN",WEEKDAY($D1528,2)&gt;=6,WEEKDAY($D1528,2)=7),"Nghỉ tuần","Ngày thường")))</f>
        <v/>
      </c>
      <c r="F1528" s="107" t="n"/>
      <c r="G1528" s="107" t="n"/>
      <c r="H1528" s="107" t="n"/>
      <c r="I1528" s="81" t="n"/>
      <c r="J1528" s="108">
        <f>IF($B1528="","",IF($E1528="Ngày thường",N($G1528),0))</f>
        <v/>
      </c>
      <c r="K1528" s="108">
        <f>IF($B1528="","",IF($E1528="Nghỉ tuần",N($G1528),0))</f>
        <v/>
      </c>
      <c r="L1528" s="108">
        <f>IF($B1528="","",IF($E1528="Lễ",N($G1528),0))</f>
        <v/>
      </c>
      <c r="M1528" s="108">
        <f>IF($B1528="","",IF($E1528="Ngày thường",N($H1528),0))</f>
        <v/>
      </c>
      <c r="N1528" s="108">
        <f>IF($B1528="","",IF($E1528="Nghỉ tuần",N($H1528),0))</f>
        <v/>
      </c>
      <c r="O1528" s="108">
        <f>IF($B1528="","",IF($E1528="Lễ",N($H1528),0))</f>
        <v/>
      </c>
    </row>
    <row r="1529" ht="15" customHeight="1" s="63">
      <c r="A1529" s="85">
        <f>IF($B1529="","",ROW()-5)</f>
        <v/>
      </c>
      <c r="B1529" s="97" t="n"/>
      <c r="C1529" s="96">
        <f>IF($B1529="","",IFERROR(INDEX(DM_NHAN_SU!$C$6:$C$155,MATCH($B1529,DM_NHAN_SU!$B$6:$B$155,0)),"SAI MÃ NV"))</f>
        <v/>
      </c>
      <c r="D1529" s="86" t="n"/>
      <c r="E1529" s="103">
        <f>IF(OR($B1529="",$D1529=""),"",IF(COUNTIF(THAM_SO_CC!$F$10:$F$40,$D1529)&gt;0,"Lễ",IF(IF(THAM_SO_CC!$B$12="T7+CN",WEEKDAY($D1529,2)&gt;=6,WEEKDAY($D1529,2)=7),"Nghỉ tuần","Ngày thường")))</f>
        <v/>
      </c>
      <c r="F1529" s="107" t="n"/>
      <c r="G1529" s="107" t="n"/>
      <c r="H1529" s="107" t="n"/>
      <c r="I1529" s="81" t="n"/>
      <c r="J1529" s="108">
        <f>IF($B1529="","",IF($E1529="Ngày thường",N($G1529),0))</f>
        <v/>
      </c>
      <c r="K1529" s="108">
        <f>IF($B1529="","",IF($E1529="Nghỉ tuần",N($G1529),0))</f>
        <v/>
      </c>
      <c r="L1529" s="108">
        <f>IF($B1529="","",IF($E1529="Lễ",N($G1529),0))</f>
        <v/>
      </c>
      <c r="M1529" s="108">
        <f>IF($B1529="","",IF($E1529="Ngày thường",N($H1529),0))</f>
        <v/>
      </c>
      <c r="N1529" s="108">
        <f>IF($B1529="","",IF($E1529="Nghỉ tuần",N($H1529),0))</f>
        <v/>
      </c>
      <c r="O1529" s="108">
        <f>IF($B1529="","",IF($E1529="Lễ",N($H1529),0))</f>
        <v/>
      </c>
    </row>
    <row r="1530" ht="15" customHeight="1" s="63">
      <c r="A1530" s="85">
        <f>IF($B1530="","",ROW()-5)</f>
        <v/>
      </c>
      <c r="B1530" s="97" t="n"/>
      <c r="C1530" s="96">
        <f>IF($B1530="","",IFERROR(INDEX(DM_NHAN_SU!$C$6:$C$155,MATCH($B1530,DM_NHAN_SU!$B$6:$B$155,0)),"SAI MÃ NV"))</f>
        <v/>
      </c>
      <c r="D1530" s="86" t="n"/>
      <c r="E1530" s="103">
        <f>IF(OR($B1530="",$D1530=""),"",IF(COUNTIF(THAM_SO_CC!$F$10:$F$40,$D1530)&gt;0,"Lễ",IF(IF(THAM_SO_CC!$B$12="T7+CN",WEEKDAY($D1530,2)&gt;=6,WEEKDAY($D1530,2)=7),"Nghỉ tuần","Ngày thường")))</f>
        <v/>
      </c>
      <c r="F1530" s="107" t="n"/>
      <c r="G1530" s="107" t="n"/>
      <c r="H1530" s="107" t="n"/>
      <c r="I1530" s="81" t="n"/>
      <c r="J1530" s="108">
        <f>IF($B1530="","",IF($E1530="Ngày thường",N($G1530),0))</f>
        <v/>
      </c>
      <c r="K1530" s="108">
        <f>IF($B1530="","",IF($E1530="Nghỉ tuần",N($G1530),0))</f>
        <v/>
      </c>
      <c r="L1530" s="108">
        <f>IF($B1530="","",IF($E1530="Lễ",N($G1530),0))</f>
        <v/>
      </c>
      <c r="M1530" s="108">
        <f>IF($B1530="","",IF($E1530="Ngày thường",N($H1530),0))</f>
        <v/>
      </c>
      <c r="N1530" s="108">
        <f>IF($B1530="","",IF($E1530="Nghỉ tuần",N($H1530),0))</f>
        <v/>
      </c>
      <c r="O1530" s="108">
        <f>IF($B1530="","",IF($E1530="Lễ",N($H1530),0))</f>
        <v/>
      </c>
    </row>
    <row r="1531" ht="15" customHeight="1" s="63">
      <c r="A1531" s="85">
        <f>IF($B1531="","",ROW()-5)</f>
        <v/>
      </c>
      <c r="B1531" s="97" t="n"/>
      <c r="C1531" s="96">
        <f>IF($B1531="","",IFERROR(INDEX(DM_NHAN_SU!$C$6:$C$155,MATCH($B1531,DM_NHAN_SU!$B$6:$B$155,0)),"SAI MÃ NV"))</f>
        <v/>
      </c>
      <c r="D1531" s="86" t="n"/>
      <c r="E1531" s="103">
        <f>IF(OR($B1531="",$D1531=""),"",IF(COUNTIF(THAM_SO_CC!$F$10:$F$40,$D1531)&gt;0,"Lễ",IF(IF(THAM_SO_CC!$B$12="T7+CN",WEEKDAY($D1531,2)&gt;=6,WEEKDAY($D1531,2)=7),"Nghỉ tuần","Ngày thường")))</f>
        <v/>
      </c>
      <c r="F1531" s="107" t="n"/>
      <c r="G1531" s="107" t="n"/>
      <c r="H1531" s="107" t="n"/>
      <c r="I1531" s="81" t="n"/>
      <c r="J1531" s="108">
        <f>IF($B1531="","",IF($E1531="Ngày thường",N($G1531),0))</f>
        <v/>
      </c>
      <c r="K1531" s="108">
        <f>IF($B1531="","",IF($E1531="Nghỉ tuần",N($G1531),0))</f>
        <v/>
      </c>
      <c r="L1531" s="108">
        <f>IF($B1531="","",IF($E1531="Lễ",N($G1531),0))</f>
        <v/>
      </c>
      <c r="M1531" s="108">
        <f>IF($B1531="","",IF($E1531="Ngày thường",N($H1531),0))</f>
        <v/>
      </c>
      <c r="N1531" s="108">
        <f>IF($B1531="","",IF($E1531="Nghỉ tuần",N($H1531),0))</f>
        <v/>
      </c>
      <c r="O1531" s="108">
        <f>IF($B1531="","",IF($E1531="Lễ",N($H1531),0))</f>
        <v/>
      </c>
    </row>
    <row r="1532" ht="15" customHeight="1" s="63">
      <c r="A1532" s="85">
        <f>IF($B1532="","",ROW()-5)</f>
        <v/>
      </c>
      <c r="B1532" s="97" t="n"/>
      <c r="C1532" s="96">
        <f>IF($B1532="","",IFERROR(INDEX(DM_NHAN_SU!$C$6:$C$155,MATCH($B1532,DM_NHAN_SU!$B$6:$B$155,0)),"SAI MÃ NV"))</f>
        <v/>
      </c>
      <c r="D1532" s="86" t="n"/>
      <c r="E1532" s="103">
        <f>IF(OR($B1532="",$D1532=""),"",IF(COUNTIF(THAM_SO_CC!$F$10:$F$40,$D1532)&gt;0,"Lễ",IF(IF(THAM_SO_CC!$B$12="T7+CN",WEEKDAY($D1532,2)&gt;=6,WEEKDAY($D1532,2)=7),"Nghỉ tuần","Ngày thường")))</f>
        <v/>
      </c>
      <c r="F1532" s="107" t="n"/>
      <c r="G1532" s="107" t="n"/>
      <c r="H1532" s="107" t="n"/>
      <c r="I1532" s="81" t="n"/>
      <c r="J1532" s="108">
        <f>IF($B1532="","",IF($E1532="Ngày thường",N($G1532),0))</f>
        <v/>
      </c>
      <c r="K1532" s="108">
        <f>IF($B1532="","",IF($E1532="Nghỉ tuần",N($G1532),0))</f>
        <v/>
      </c>
      <c r="L1532" s="108">
        <f>IF($B1532="","",IF($E1532="Lễ",N($G1532),0))</f>
        <v/>
      </c>
      <c r="M1532" s="108">
        <f>IF($B1532="","",IF($E1532="Ngày thường",N($H1532),0))</f>
        <v/>
      </c>
      <c r="N1532" s="108">
        <f>IF($B1532="","",IF($E1532="Nghỉ tuần",N($H1532),0))</f>
        <v/>
      </c>
      <c r="O1532" s="108">
        <f>IF($B1532="","",IF($E1532="Lễ",N($H1532),0))</f>
        <v/>
      </c>
    </row>
    <row r="1533" ht="15" customHeight="1" s="63">
      <c r="A1533" s="85">
        <f>IF($B1533="","",ROW()-5)</f>
        <v/>
      </c>
      <c r="B1533" s="97" t="n"/>
      <c r="C1533" s="96">
        <f>IF($B1533="","",IFERROR(INDEX(DM_NHAN_SU!$C$6:$C$155,MATCH($B1533,DM_NHAN_SU!$B$6:$B$155,0)),"SAI MÃ NV"))</f>
        <v/>
      </c>
      <c r="D1533" s="86" t="n"/>
      <c r="E1533" s="103">
        <f>IF(OR($B1533="",$D1533=""),"",IF(COUNTIF(THAM_SO_CC!$F$10:$F$40,$D1533)&gt;0,"Lễ",IF(IF(THAM_SO_CC!$B$12="T7+CN",WEEKDAY($D1533,2)&gt;=6,WEEKDAY($D1533,2)=7),"Nghỉ tuần","Ngày thường")))</f>
        <v/>
      </c>
      <c r="F1533" s="107" t="n"/>
      <c r="G1533" s="107" t="n"/>
      <c r="H1533" s="107" t="n"/>
      <c r="I1533" s="81" t="n"/>
      <c r="J1533" s="108">
        <f>IF($B1533="","",IF($E1533="Ngày thường",N($G1533),0))</f>
        <v/>
      </c>
      <c r="K1533" s="108">
        <f>IF($B1533="","",IF($E1533="Nghỉ tuần",N($G1533),0))</f>
        <v/>
      </c>
      <c r="L1533" s="108">
        <f>IF($B1533="","",IF($E1533="Lễ",N($G1533),0))</f>
        <v/>
      </c>
      <c r="M1533" s="108">
        <f>IF($B1533="","",IF($E1533="Ngày thường",N($H1533),0))</f>
        <v/>
      </c>
      <c r="N1533" s="108">
        <f>IF($B1533="","",IF($E1533="Nghỉ tuần",N($H1533),0))</f>
        <v/>
      </c>
      <c r="O1533" s="108">
        <f>IF($B1533="","",IF($E1533="Lễ",N($H1533),0))</f>
        <v/>
      </c>
    </row>
    <row r="1534" ht="15" customHeight="1" s="63">
      <c r="A1534" s="85">
        <f>IF($B1534="","",ROW()-5)</f>
        <v/>
      </c>
      <c r="B1534" s="97" t="n"/>
      <c r="C1534" s="96">
        <f>IF($B1534="","",IFERROR(INDEX(DM_NHAN_SU!$C$6:$C$155,MATCH($B1534,DM_NHAN_SU!$B$6:$B$155,0)),"SAI MÃ NV"))</f>
        <v/>
      </c>
      <c r="D1534" s="86" t="n"/>
      <c r="E1534" s="103">
        <f>IF(OR($B1534="",$D1534=""),"",IF(COUNTIF(THAM_SO_CC!$F$10:$F$40,$D1534)&gt;0,"Lễ",IF(IF(THAM_SO_CC!$B$12="T7+CN",WEEKDAY($D1534,2)&gt;=6,WEEKDAY($D1534,2)=7),"Nghỉ tuần","Ngày thường")))</f>
        <v/>
      </c>
      <c r="F1534" s="107" t="n"/>
      <c r="G1534" s="107" t="n"/>
      <c r="H1534" s="107" t="n"/>
      <c r="I1534" s="81" t="n"/>
      <c r="J1534" s="108">
        <f>IF($B1534="","",IF($E1534="Ngày thường",N($G1534),0))</f>
        <v/>
      </c>
      <c r="K1534" s="108">
        <f>IF($B1534="","",IF($E1534="Nghỉ tuần",N($G1534),0))</f>
        <v/>
      </c>
      <c r="L1534" s="108">
        <f>IF($B1534="","",IF($E1534="Lễ",N($G1534),0))</f>
        <v/>
      </c>
      <c r="M1534" s="108">
        <f>IF($B1534="","",IF($E1534="Ngày thường",N($H1534),0))</f>
        <v/>
      </c>
      <c r="N1534" s="108">
        <f>IF($B1534="","",IF($E1534="Nghỉ tuần",N($H1534),0))</f>
        <v/>
      </c>
      <c r="O1534" s="108">
        <f>IF($B1534="","",IF($E1534="Lễ",N($H1534),0))</f>
        <v/>
      </c>
    </row>
    <row r="1535" ht="15" customHeight="1" s="63">
      <c r="A1535" s="85">
        <f>IF($B1535="","",ROW()-5)</f>
        <v/>
      </c>
      <c r="B1535" s="97" t="n"/>
      <c r="C1535" s="96">
        <f>IF($B1535="","",IFERROR(INDEX(DM_NHAN_SU!$C$6:$C$155,MATCH($B1535,DM_NHAN_SU!$B$6:$B$155,0)),"SAI MÃ NV"))</f>
        <v/>
      </c>
      <c r="D1535" s="86" t="n"/>
      <c r="E1535" s="103">
        <f>IF(OR($B1535="",$D1535=""),"",IF(COUNTIF(THAM_SO_CC!$F$10:$F$40,$D1535)&gt;0,"Lễ",IF(IF(THAM_SO_CC!$B$12="T7+CN",WEEKDAY($D1535,2)&gt;=6,WEEKDAY($D1535,2)=7),"Nghỉ tuần","Ngày thường")))</f>
        <v/>
      </c>
      <c r="F1535" s="107" t="n"/>
      <c r="G1535" s="107" t="n"/>
      <c r="H1535" s="107" t="n"/>
      <c r="I1535" s="81" t="n"/>
      <c r="J1535" s="108">
        <f>IF($B1535="","",IF($E1535="Ngày thường",N($G1535),0))</f>
        <v/>
      </c>
      <c r="K1535" s="108">
        <f>IF($B1535="","",IF($E1535="Nghỉ tuần",N($G1535),0))</f>
        <v/>
      </c>
      <c r="L1535" s="108">
        <f>IF($B1535="","",IF($E1535="Lễ",N($G1535),0))</f>
        <v/>
      </c>
      <c r="M1535" s="108">
        <f>IF($B1535="","",IF($E1535="Ngày thường",N($H1535),0))</f>
        <v/>
      </c>
      <c r="N1535" s="108">
        <f>IF($B1535="","",IF($E1535="Nghỉ tuần",N($H1535),0))</f>
        <v/>
      </c>
      <c r="O1535" s="108">
        <f>IF($B1535="","",IF($E1535="Lễ",N($H1535),0))</f>
        <v/>
      </c>
    </row>
    <row r="1536" ht="15" customHeight="1" s="63">
      <c r="A1536" s="85">
        <f>IF($B1536="","",ROW()-5)</f>
        <v/>
      </c>
      <c r="B1536" s="97" t="n"/>
      <c r="C1536" s="96">
        <f>IF($B1536="","",IFERROR(INDEX(DM_NHAN_SU!$C$6:$C$155,MATCH($B1536,DM_NHAN_SU!$B$6:$B$155,0)),"SAI MÃ NV"))</f>
        <v/>
      </c>
      <c r="D1536" s="86" t="n"/>
      <c r="E1536" s="103">
        <f>IF(OR($B1536="",$D1536=""),"",IF(COUNTIF(THAM_SO_CC!$F$10:$F$40,$D1536)&gt;0,"Lễ",IF(IF(THAM_SO_CC!$B$12="T7+CN",WEEKDAY($D1536,2)&gt;=6,WEEKDAY($D1536,2)=7),"Nghỉ tuần","Ngày thường")))</f>
        <v/>
      </c>
      <c r="F1536" s="107" t="n"/>
      <c r="G1536" s="107" t="n"/>
      <c r="H1536" s="107" t="n"/>
      <c r="I1536" s="81" t="n"/>
      <c r="J1536" s="108">
        <f>IF($B1536="","",IF($E1536="Ngày thường",N($G1536),0))</f>
        <v/>
      </c>
      <c r="K1536" s="108">
        <f>IF($B1536="","",IF($E1536="Nghỉ tuần",N($G1536),0))</f>
        <v/>
      </c>
      <c r="L1536" s="108">
        <f>IF($B1536="","",IF($E1536="Lễ",N($G1536),0))</f>
        <v/>
      </c>
      <c r="M1536" s="108">
        <f>IF($B1536="","",IF($E1536="Ngày thường",N($H1536),0))</f>
        <v/>
      </c>
      <c r="N1536" s="108">
        <f>IF($B1536="","",IF($E1536="Nghỉ tuần",N($H1536),0))</f>
        <v/>
      </c>
      <c r="O1536" s="108">
        <f>IF($B1536="","",IF($E1536="Lễ",N($H1536),0))</f>
        <v/>
      </c>
    </row>
    <row r="1537" ht="15" customHeight="1" s="63">
      <c r="A1537" s="85">
        <f>IF($B1537="","",ROW()-5)</f>
        <v/>
      </c>
      <c r="B1537" s="97" t="n"/>
      <c r="C1537" s="96">
        <f>IF($B1537="","",IFERROR(INDEX(DM_NHAN_SU!$C$6:$C$155,MATCH($B1537,DM_NHAN_SU!$B$6:$B$155,0)),"SAI MÃ NV"))</f>
        <v/>
      </c>
      <c r="D1537" s="86" t="n"/>
      <c r="E1537" s="103">
        <f>IF(OR($B1537="",$D1537=""),"",IF(COUNTIF(THAM_SO_CC!$F$10:$F$40,$D1537)&gt;0,"Lễ",IF(IF(THAM_SO_CC!$B$12="T7+CN",WEEKDAY($D1537,2)&gt;=6,WEEKDAY($D1537,2)=7),"Nghỉ tuần","Ngày thường")))</f>
        <v/>
      </c>
      <c r="F1537" s="107" t="n"/>
      <c r="G1537" s="107" t="n"/>
      <c r="H1537" s="107" t="n"/>
      <c r="I1537" s="81" t="n"/>
      <c r="J1537" s="108">
        <f>IF($B1537="","",IF($E1537="Ngày thường",N($G1537),0))</f>
        <v/>
      </c>
      <c r="K1537" s="108">
        <f>IF($B1537="","",IF($E1537="Nghỉ tuần",N($G1537),0))</f>
        <v/>
      </c>
      <c r="L1537" s="108">
        <f>IF($B1537="","",IF($E1537="Lễ",N($G1537),0))</f>
        <v/>
      </c>
      <c r="M1537" s="108">
        <f>IF($B1537="","",IF($E1537="Ngày thường",N($H1537),0))</f>
        <v/>
      </c>
      <c r="N1537" s="108">
        <f>IF($B1537="","",IF($E1537="Nghỉ tuần",N($H1537),0))</f>
        <v/>
      </c>
      <c r="O1537" s="108">
        <f>IF($B1537="","",IF($E1537="Lễ",N($H1537),0))</f>
        <v/>
      </c>
    </row>
    <row r="1538" ht="15" customHeight="1" s="63">
      <c r="A1538" s="85">
        <f>IF($B1538="","",ROW()-5)</f>
        <v/>
      </c>
      <c r="B1538" s="97" t="n"/>
      <c r="C1538" s="96">
        <f>IF($B1538="","",IFERROR(INDEX(DM_NHAN_SU!$C$6:$C$155,MATCH($B1538,DM_NHAN_SU!$B$6:$B$155,0)),"SAI MÃ NV"))</f>
        <v/>
      </c>
      <c r="D1538" s="86" t="n"/>
      <c r="E1538" s="103">
        <f>IF(OR($B1538="",$D1538=""),"",IF(COUNTIF(THAM_SO_CC!$F$10:$F$40,$D1538)&gt;0,"Lễ",IF(IF(THAM_SO_CC!$B$12="T7+CN",WEEKDAY($D1538,2)&gt;=6,WEEKDAY($D1538,2)=7),"Nghỉ tuần","Ngày thường")))</f>
        <v/>
      </c>
      <c r="F1538" s="107" t="n"/>
      <c r="G1538" s="107" t="n"/>
      <c r="H1538" s="107" t="n"/>
      <c r="I1538" s="81" t="n"/>
      <c r="J1538" s="108">
        <f>IF($B1538="","",IF($E1538="Ngày thường",N($G1538),0))</f>
        <v/>
      </c>
      <c r="K1538" s="108">
        <f>IF($B1538="","",IF($E1538="Nghỉ tuần",N($G1538),0))</f>
        <v/>
      </c>
      <c r="L1538" s="108">
        <f>IF($B1538="","",IF($E1538="Lễ",N($G1538),0))</f>
        <v/>
      </c>
      <c r="M1538" s="108">
        <f>IF($B1538="","",IF($E1538="Ngày thường",N($H1538),0))</f>
        <v/>
      </c>
      <c r="N1538" s="108">
        <f>IF($B1538="","",IF($E1538="Nghỉ tuần",N($H1538),0))</f>
        <v/>
      </c>
      <c r="O1538" s="108">
        <f>IF($B1538="","",IF($E1538="Lễ",N($H1538),0))</f>
        <v/>
      </c>
    </row>
    <row r="1539" ht="15" customHeight="1" s="63">
      <c r="A1539" s="85">
        <f>IF($B1539="","",ROW()-5)</f>
        <v/>
      </c>
      <c r="B1539" s="97" t="n"/>
      <c r="C1539" s="96">
        <f>IF($B1539="","",IFERROR(INDEX(DM_NHAN_SU!$C$6:$C$155,MATCH($B1539,DM_NHAN_SU!$B$6:$B$155,0)),"SAI MÃ NV"))</f>
        <v/>
      </c>
      <c r="D1539" s="86" t="n"/>
      <c r="E1539" s="103">
        <f>IF(OR($B1539="",$D1539=""),"",IF(COUNTIF(THAM_SO_CC!$F$10:$F$40,$D1539)&gt;0,"Lễ",IF(IF(THAM_SO_CC!$B$12="T7+CN",WEEKDAY($D1539,2)&gt;=6,WEEKDAY($D1539,2)=7),"Nghỉ tuần","Ngày thường")))</f>
        <v/>
      </c>
      <c r="F1539" s="107" t="n"/>
      <c r="G1539" s="107" t="n"/>
      <c r="H1539" s="107" t="n"/>
      <c r="I1539" s="81" t="n"/>
      <c r="J1539" s="108">
        <f>IF($B1539="","",IF($E1539="Ngày thường",N($G1539),0))</f>
        <v/>
      </c>
      <c r="K1539" s="108">
        <f>IF($B1539="","",IF($E1539="Nghỉ tuần",N($G1539),0))</f>
        <v/>
      </c>
      <c r="L1539" s="108">
        <f>IF($B1539="","",IF($E1539="Lễ",N($G1539),0))</f>
        <v/>
      </c>
      <c r="M1539" s="108">
        <f>IF($B1539="","",IF($E1539="Ngày thường",N($H1539),0))</f>
        <v/>
      </c>
      <c r="N1539" s="108">
        <f>IF($B1539="","",IF($E1539="Nghỉ tuần",N($H1539),0))</f>
        <v/>
      </c>
      <c r="O1539" s="108">
        <f>IF($B1539="","",IF($E1539="Lễ",N($H1539),0))</f>
        <v/>
      </c>
    </row>
    <row r="1540" ht="15" customHeight="1" s="63">
      <c r="A1540" s="85">
        <f>IF($B1540="","",ROW()-5)</f>
        <v/>
      </c>
      <c r="B1540" s="97" t="n"/>
      <c r="C1540" s="96">
        <f>IF($B1540="","",IFERROR(INDEX(DM_NHAN_SU!$C$6:$C$155,MATCH($B1540,DM_NHAN_SU!$B$6:$B$155,0)),"SAI MÃ NV"))</f>
        <v/>
      </c>
      <c r="D1540" s="86" t="n"/>
      <c r="E1540" s="103">
        <f>IF(OR($B1540="",$D1540=""),"",IF(COUNTIF(THAM_SO_CC!$F$10:$F$40,$D1540)&gt;0,"Lễ",IF(IF(THAM_SO_CC!$B$12="T7+CN",WEEKDAY($D1540,2)&gt;=6,WEEKDAY($D1540,2)=7),"Nghỉ tuần","Ngày thường")))</f>
        <v/>
      </c>
      <c r="F1540" s="107" t="n"/>
      <c r="G1540" s="107" t="n"/>
      <c r="H1540" s="107" t="n"/>
      <c r="I1540" s="81" t="n"/>
      <c r="J1540" s="108">
        <f>IF($B1540="","",IF($E1540="Ngày thường",N($G1540),0))</f>
        <v/>
      </c>
      <c r="K1540" s="108">
        <f>IF($B1540="","",IF($E1540="Nghỉ tuần",N($G1540),0))</f>
        <v/>
      </c>
      <c r="L1540" s="108">
        <f>IF($B1540="","",IF($E1540="Lễ",N($G1540),0))</f>
        <v/>
      </c>
      <c r="M1540" s="108">
        <f>IF($B1540="","",IF($E1540="Ngày thường",N($H1540),0))</f>
        <v/>
      </c>
      <c r="N1540" s="108">
        <f>IF($B1540="","",IF($E1540="Nghỉ tuần",N($H1540),0))</f>
        <v/>
      </c>
      <c r="O1540" s="108">
        <f>IF($B1540="","",IF($E1540="Lễ",N($H1540),0))</f>
        <v/>
      </c>
    </row>
    <row r="1541" ht="15" customHeight="1" s="63">
      <c r="A1541" s="85">
        <f>IF($B1541="","",ROW()-5)</f>
        <v/>
      </c>
      <c r="B1541" s="97" t="n"/>
      <c r="C1541" s="96">
        <f>IF($B1541="","",IFERROR(INDEX(DM_NHAN_SU!$C$6:$C$155,MATCH($B1541,DM_NHAN_SU!$B$6:$B$155,0)),"SAI MÃ NV"))</f>
        <v/>
      </c>
      <c r="D1541" s="86" t="n"/>
      <c r="E1541" s="103">
        <f>IF(OR($B1541="",$D1541=""),"",IF(COUNTIF(THAM_SO_CC!$F$10:$F$40,$D1541)&gt;0,"Lễ",IF(IF(THAM_SO_CC!$B$12="T7+CN",WEEKDAY($D1541,2)&gt;=6,WEEKDAY($D1541,2)=7),"Nghỉ tuần","Ngày thường")))</f>
        <v/>
      </c>
      <c r="F1541" s="107" t="n"/>
      <c r="G1541" s="107" t="n"/>
      <c r="H1541" s="107" t="n"/>
      <c r="I1541" s="81" t="n"/>
      <c r="J1541" s="108">
        <f>IF($B1541="","",IF($E1541="Ngày thường",N($G1541),0))</f>
        <v/>
      </c>
      <c r="K1541" s="108">
        <f>IF($B1541="","",IF($E1541="Nghỉ tuần",N($G1541),0))</f>
        <v/>
      </c>
      <c r="L1541" s="108">
        <f>IF($B1541="","",IF($E1541="Lễ",N($G1541),0))</f>
        <v/>
      </c>
      <c r="M1541" s="108">
        <f>IF($B1541="","",IF($E1541="Ngày thường",N($H1541),0))</f>
        <v/>
      </c>
      <c r="N1541" s="108">
        <f>IF($B1541="","",IF($E1541="Nghỉ tuần",N($H1541),0))</f>
        <v/>
      </c>
      <c r="O1541" s="108">
        <f>IF($B1541="","",IF($E1541="Lễ",N($H1541),0))</f>
        <v/>
      </c>
    </row>
    <row r="1542" ht="15" customHeight="1" s="63">
      <c r="A1542" s="85">
        <f>IF($B1542="","",ROW()-5)</f>
        <v/>
      </c>
      <c r="B1542" s="97" t="n"/>
      <c r="C1542" s="96">
        <f>IF($B1542="","",IFERROR(INDEX(DM_NHAN_SU!$C$6:$C$155,MATCH($B1542,DM_NHAN_SU!$B$6:$B$155,0)),"SAI MÃ NV"))</f>
        <v/>
      </c>
      <c r="D1542" s="86" t="n"/>
      <c r="E1542" s="103">
        <f>IF(OR($B1542="",$D1542=""),"",IF(COUNTIF(THAM_SO_CC!$F$10:$F$40,$D1542)&gt;0,"Lễ",IF(IF(THAM_SO_CC!$B$12="T7+CN",WEEKDAY($D1542,2)&gt;=6,WEEKDAY($D1542,2)=7),"Nghỉ tuần","Ngày thường")))</f>
        <v/>
      </c>
      <c r="F1542" s="107" t="n"/>
      <c r="G1542" s="107" t="n"/>
      <c r="H1542" s="107" t="n"/>
      <c r="I1542" s="81" t="n"/>
      <c r="J1542" s="108">
        <f>IF($B1542="","",IF($E1542="Ngày thường",N($G1542),0))</f>
        <v/>
      </c>
      <c r="K1542" s="108">
        <f>IF($B1542="","",IF($E1542="Nghỉ tuần",N($G1542),0))</f>
        <v/>
      </c>
      <c r="L1542" s="108">
        <f>IF($B1542="","",IF($E1542="Lễ",N($G1542),0))</f>
        <v/>
      </c>
      <c r="M1542" s="108">
        <f>IF($B1542="","",IF($E1542="Ngày thường",N($H1542),0))</f>
        <v/>
      </c>
      <c r="N1542" s="108">
        <f>IF($B1542="","",IF($E1542="Nghỉ tuần",N($H1542),0))</f>
        <v/>
      </c>
      <c r="O1542" s="108">
        <f>IF($B1542="","",IF($E1542="Lễ",N($H1542),0))</f>
        <v/>
      </c>
    </row>
    <row r="1543" ht="15" customHeight="1" s="63">
      <c r="A1543" s="85">
        <f>IF($B1543="","",ROW()-5)</f>
        <v/>
      </c>
      <c r="B1543" s="97" t="n"/>
      <c r="C1543" s="96">
        <f>IF($B1543="","",IFERROR(INDEX(DM_NHAN_SU!$C$6:$C$155,MATCH($B1543,DM_NHAN_SU!$B$6:$B$155,0)),"SAI MÃ NV"))</f>
        <v/>
      </c>
      <c r="D1543" s="86" t="n"/>
      <c r="E1543" s="103">
        <f>IF(OR($B1543="",$D1543=""),"",IF(COUNTIF(THAM_SO_CC!$F$10:$F$40,$D1543)&gt;0,"Lễ",IF(IF(THAM_SO_CC!$B$12="T7+CN",WEEKDAY($D1543,2)&gt;=6,WEEKDAY($D1543,2)=7),"Nghỉ tuần","Ngày thường")))</f>
        <v/>
      </c>
      <c r="F1543" s="107" t="n"/>
      <c r="G1543" s="107" t="n"/>
      <c r="H1543" s="107" t="n"/>
      <c r="I1543" s="81" t="n"/>
      <c r="J1543" s="108">
        <f>IF($B1543="","",IF($E1543="Ngày thường",N($G1543),0))</f>
        <v/>
      </c>
      <c r="K1543" s="108">
        <f>IF($B1543="","",IF($E1543="Nghỉ tuần",N($G1543),0))</f>
        <v/>
      </c>
      <c r="L1543" s="108">
        <f>IF($B1543="","",IF($E1543="Lễ",N($G1543),0))</f>
        <v/>
      </c>
      <c r="M1543" s="108">
        <f>IF($B1543="","",IF($E1543="Ngày thường",N($H1543),0))</f>
        <v/>
      </c>
      <c r="N1543" s="108">
        <f>IF($B1543="","",IF($E1543="Nghỉ tuần",N($H1543),0))</f>
        <v/>
      </c>
      <c r="O1543" s="108">
        <f>IF($B1543="","",IF($E1543="Lễ",N($H1543),0))</f>
        <v/>
      </c>
    </row>
    <row r="1544" ht="15" customHeight="1" s="63">
      <c r="A1544" s="85">
        <f>IF($B1544="","",ROW()-5)</f>
        <v/>
      </c>
      <c r="B1544" s="97" t="n"/>
      <c r="C1544" s="96">
        <f>IF($B1544="","",IFERROR(INDEX(DM_NHAN_SU!$C$6:$C$155,MATCH($B1544,DM_NHAN_SU!$B$6:$B$155,0)),"SAI MÃ NV"))</f>
        <v/>
      </c>
      <c r="D1544" s="86" t="n"/>
      <c r="E1544" s="103">
        <f>IF(OR($B1544="",$D1544=""),"",IF(COUNTIF(THAM_SO_CC!$F$10:$F$40,$D1544)&gt;0,"Lễ",IF(IF(THAM_SO_CC!$B$12="T7+CN",WEEKDAY($D1544,2)&gt;=6,WEEKDAY($D1544,2)=7),"Nghỉ tuần","Ngày thường")))</f>
        <v/>
      </c>
      <c r="F1544" s="107" t="n"/>
      <c r="G1544" s="107" t="n"/>
      <c r="H1544" s="107" t="n"/>
      <c r="I1544" s="81" t="n"/>
      <c r="J1544" s="108">
        <f>IF($B1544="","",IF($E1544="Ngày thường",N($G1544),0))</f>
        <v/>
      </c>
      <c r="K1544" s="108">
        <f>IF($B1544="","",IF($E1544="Nghỉ tuần",N($G1544),0))</f>
        <v/>
      </c>
      <c r="L1544" s="108">
        <f>IF($B1544="","",IF($E1544="Lễ",N($G1544),0))</f>
        <v/>
      </c>
      <c r="M1544" s="108">
        <f>IF($B1544="","",IF($E1544="Ngày thường",N($H1544),0))</f>
        <v/>
      </c>
      <c r="N1544" s="108">
        <f>IF($B1544="","",IF($E1544="Nghỉ tuần",N($H1544),0))</f>
        <v/>
      </c>
      <c r="O1544" s="108">
        <f>IF($B1544="","",IF($E1544="Lễ",N($H1544),0))</f>
        <v/>
      </c>
    </row>
    <row r="1545" ht="15" customHeight="1" s="63">
      <c r="A1545" s="85">
        <f>IF($B1545="","",ROW()-5)</f>
        <v/>
      </c>
      <c r="B1545" s="97" t="n"/>
      <c r="C1545" s="96">
        <f>IF($B1545="","",IFERROR(INDEX(DM_NHAN_SU!$C$6:$C$155,MATCH($B1545,DM_NHAN_SU!$B$6:$B$155,0)),"SAI MÃ NV"))</f>
        <v/>
      </c>
      <c r="D1545" s="86" t="n"/>
      <c r="E1545" s="103">
        <f>IF(OR($B1545="",$D1545=""),"",IF(COUNTIF(THAM_SO_CC!$F$10:$F$40,$D1545)&gt;0,"Lễ",IF(IF(THAM_SO_CC!$B$12="T7+CN",WEEKDAY($D1545,2)&gt;=6,WEEKDAY($D1545,2)=7),"Nghỉ tuần","Ngày thường")))</f>
        <v/>
      </c>
      <c r="F1545" s="107" t="n"/>
      <c r="G1545" s="107" t="n"/>
      <c r="H1545" s="107" t="n"/>
      <c r="I1545" s="81" t="n"/>
      <c r="J1545" s="108">
        <f>IF($B1545="","",IF($E1545="Ngày thường",N($G1545),0))</f>
        <v/>
      </c>
      <c r="K1545" s="108">
        <f>IF($B1545="","",IF($E1545="Nghỉ tuần",N($G1545),0))</f>
        <v/>
      </c>
      <c r="L1545" s="108">
        <f>IF($B1545="","",IF($E1545="Lễ",N($G1545),0))</f>
        <v/>
      </c>
      <c r="M1545" s="108">
        <f>IF($B1545="","",IF($E1545="Ngày thường",N($H1545),0))</f>
        <v/>
      </c>
      <c r="N1545" s="108">
        <f>IF($B1545="","",IF($E1545="Nghỉ tuần",N($H1545),0))</f>
        <v/>
      </c>
      <c r="O1545" s="108">
        <f>IF($B1545="","",IF($E1545="Lễ",N($H1545),0))</f>
        <v/>
      </c>
    </row>
    <row r="1546" ht="15" customHeight="1" s="63">
      <c r="A1546" s="85">
        <f>IF($B1546="","",ROW()-5)</f>
        <v/>
      </c>
      <c r="B1546" s="97" t="n"/>
      <c r="C1546" s="96">
        <f>IF($B1546="","",IFERROR(INDEX(DM_NHAN_SU!$C$6:$C$155,MATCH($B1546,DM_NHAN_SU!$B$6:$B$155,0)),"SAI MÃ NV"))</f>
        <v/>
      </c>
      <c r="D1546" s="86" t="n"/>
      <c r="E1546" s="103">
        <f>IF(OR($B1546="",$D1546=""),"",IF(COUNTIF(THAM_SO_CC!$F$10:$F$40,$D1546)&gt;0,"Lễ",IF(IF(THAM_SO_CC!$B$12="T7+CN",WEEKDAY($D1546,2)&gt;=6,WEEKDAY($D1546,2)=7),"Nghỉ tuần","Ngày thường")))</f>
        <v/>
      </c>
      <c r="F1546" s="107" t="n"/>
      <c r="G1546" s="107" t="n"/>
      <c r="H1546" s="107" t="n"/>
      <c r="I1546" s="81" t="n"/>
      <c r="J1546" s="108">
        <f>IF($B1546="","",IF($E1546="Ngày thường",N($G1546),0))</f>
        <v/>
      </c>
      <c r="K1546" s="108">
        <f>IF($B1546="","",IF($E1546="Nghỉ tuần",N($G1546),0))</f>
        <v/>
      </c>
      <c r="L1546" s="108">
        <f>IF($B1546="","",IF($E1546="Lễ",N($G1546),0))</f>
        <v/>
      </c>
      <c r="M1546" s="108">
        <f>IF($B1546="","",IF($E1546="Ngày thường",N($H1546),0))</f>
        <v/>
      </c>
      <c r="N1546" s="108">
        <f>IF($B1546="","",IF($E1546="Nghỉ tuần",N($H1546),0))</f>
        <v/>
      </c>
      <c r="O1546" s="108">
        <f>IF($B1546="","",IF($E1546="Lễ",N($H1546),0))</f>
        <v/>
      </c>
    </row>
    <row r="1547" ht="15" customHeight="1" s="63">
      <c r="A1547" s="85">
        <f>IF($B1547="","",ROW()-5)</f>
        <v/>
      </c>
      <c r="B1547" s="97" t="n"/>
      <c r="C1547" s="96">
        <f>IF($B1547="","",IFERROR(INDEX(DM_NHAN_SU!$C$6:$C$155,MATCH($B1547,DM_NHAN_SU!$B$6:$B$155,0)),"SAI MÃ NV"))</f>
        <v/>
      </c>
      <c r="D1547" s="86" t="n"/>
      <c r="E1547" s="103">
        <f>IF(OR($B1547="",$D1547=""),"",IF(COUNTIF(THAM_SO_CC!$F$10:$F$40,$D1547)&gt;0,"Lễ",IF(IF(THAM_SO_CC!$B$12="T7+CN",WEEKDAY($D1547,2)&gt;=6,WEEKDAY($D1547,2)=7),"Nghỉ tuần","Ngày thường")))</f>
        <v/>
      </c>
      <c r="F1547" s="107" t="n"/>
      <c r="G1547" s="107" t="n"/>
      <c r="H1547" s="107" t="n"/>
      <c r="I1547" s="81" t="n"/>
      <c r="J1547" s="108">
        <f>IF($B1547="","",IF($E1547="Ngày thường",N($G1547),0))</f>
        <v/>
      </c>
      <c r="K1547" s="108">
        <f>IF($B1547="","",IF($E1547="Nghỉ tuần",N($G1547),0))</f>
        <v/>
      </c>
      <c r="L1547" s="108">
        <f>IF($B1547="","",IF($E1547="Lễ",N($G1547),0))</f>
        <v/>
      </c>
      <c r="M1547" s="108">
        <f>IF($B1547="","",IF($E1547="Ngày thường",N($H1547),0))</f>
        <v/>
      </c>
      <c r="N1547" s="108">
        <f>IF($B1547="","",IF($E1547="Nghỉ tuần",N($H1547),0))</f>
        <v/>
      </c>
      <c r="O1547" s="108">
        <f>IF($B1547="","",IF($E1547="Lễ",N($H1547),0))</f>
        <v/>
      </c>
    </row>
    <row r="1548" ht="15" customHeight="1" s="63">
      <c r="A1548" s="85">
        <f>IF($B1548="","",ROW()-5)</f>
        <v/>
      </c>
      <c r="B1548" s="97" t="n"/>
      <c r="C1548" s="96">
        <f>IF($B1548="","",IFERROR(INDEX(DM_NHAN_SU!$C$6:$C$155,MATCH($B1548,DM_NHAN_SU!$B$6:$B$155,0)),"SAI MÃ NV"))</f>
        <v/>
      </c>
      <c r="D1548" s="86" t="n"/>
      <c r="E1548" s="103">
        <f>IF(OR($B1548="",$D1548=""),"",IF(COUNTIF(THAM_SO_CC!$F$10:$F$40,$D1548)&gt;0,"Lễ",IF(IF(THAM_SO_CC!$B$12="T7+CN",WEEKDAY($D1548,2)&gt;=6,WEEKDAY($D1548,2)=7),"Nghỉ tuần","Ngày thường")))</f>
        <v/>
      </c>
      <c r="F1548" s="107" t="n"/>
      <c r="G1548" s="107" t="n"/>
      <c r="H1548" s="107" t="n"/>
      <c r="I1548" s="81" t="n"/>
      <c r="J1548" s="108">
        <f>IF($B1548="","",IF($E1548="Ngày thường",N($G1548),0))</f>
        <v/>
      </c>
      <c r="K1548" s="108">
        <f>IF($B1548="","",IF($E1548="Nghỉ tuần",N($G1548),0))</f>
        <v/>
      </c>
      <c r="L1548" s="108">
        <f>IF($B1548="","",IF($E1548="Lễ",N($G1548),0))</f>
        <v/>
      </c>
      <c r="M1548" s="108">
        <f>IF($B1548="","",IF($E1548="Ngày thường",N($H1548),0))</f>
        <v/>
      </c>
      <c r="N1548" s="108">
        <f>IF($B1548="","",IF($E1548="Nghỉ tuần",N($H1548),0))</f>
        <v/>
      </c>
      <c r="O1548" s="108">
        <f>IF($B1548="","",IF($E1548="Lễ",N($H1548),0))</f>
        <v/>
      </c>
    </row>
    <row r="1549" ht="15" customHeight="1" s="63">
      <c r="A1549" s="85">
        <f>IF($B1549="","",ROW()-5)</f>
        <v/>
      </c>
      <c r="B1549" s="97" t="n"/>
      <c r="C1549" s="96">
        <f>IF($B1549="","",IFERROR(INDEX(DM_NHAN_SU!$C$6:$C$155,MATCH($B1549,DM_NHAN_SU!$B$6:$B$155,0)),"SAI MÃ NV"))</f>
        <v/>
      </c>
      <c r="D1549" s="86" t="n"/>
      <c r="E1549" s="103">
        <f>IF(OR($B1549="",$D1549=""),"",IF(COUNTIF(THAM_SO_CC!$F$10:$F$40,$D1549)&gt;0,"Lễ",IF(IF(THAM_SO_CC!$B$12="T7+CN",WEEKDAY($D1549,2)&gt;=6,WEEKDAY($D1549,2)=7),"Nghỉ tuần","Ngày thường")))</f>
        <v/>
      </c>
      <c r="F1549" s="107" t="n"/>
      <c r="G1549" s="107" t="n"/>
      <c r="H1549" s="107" t="n"/>
      <c r="I1549" s="81" t="n"/>
      <c r="J1549" s="108">
        <f>IF($B1549="","",IF($E1549="Ngày thường",N($G1549),0))</f>
        <v/>
      </c>
      <c r="K1549" s="108">
        <f>IF($B1549="","",IF($E1549="Nghỉ tuần",N($G1549),0))</f>
        <v/>
      </c>
      <c r="L1549" s="108">
        <f>IF($B1549="","",IF($E1549="Lễ",N($G1549),0))</f>
        <v/>
      </c>
      <c r="M1549" s="108">
        <f>IF($B1549="","",IF($E1549="Ngày thường",N($H1549),0))</f>
        <v/>
      </c>
      <c r="N1549" s="108">
        <f>IF($B1549="","",IF($E1549="Nghỉ tuần",N($H1549),0))</f>
        <v/>
      </c>
      <c r="O1549" s="108">
        <f>IF($B1549="","",IF($E1549="Lễ",N($H1549),0))</f>
        <v/>
      </c>
    </row>
    <row r="1550" ht="15" customHeight="1" s="63">
      <c r="A1550" s="85">
        <f>IF($B1550="","",ROW()-5)</f>
        <v/>
      </c>
      <c r="B1550" s="97" t="n"/>
      <c r="C1550" s="96">
        <f>IF($B1550="","",IFERROR(INDEX(DM_NHAN_SU!$C$6:$C$155,MATCH($B1550,DM_NHAN_SU!$B$6:$B$155,0)),"SAI MÃ NV"))</f>
        <v/>
      </c>
      <c r="D1550" s="86" t="n"/>
      <c r="E1550" s="103">
        <f>IF(OR($B1550="",$D1550=""),"",IF(COUNTIF(THAM_SO_CC!$F$10:$F$40,$D1550)&gt;0,"Lễ",IF(IF(THAM_SO_CC!$B$12="T7+CN",WEEKDAY($D1550,2)&gt;=6,WEEKDAY($D1550,2)=7),"Nghỉ tuần","Ngày thường")))</f>
        <v/>
      </c>
      <c r="F1550" s="107" t="n"/>
      <c r="G1550" s="107" t="n"/>
      <c r="H1550" s="107" t="n"/>
      <c r="I1550" s="81" t="n"/>
      <c r="J1550" s="108">
        <f>IF($B1550="","",IF($E1550="Ngày thường",N($G1550),0))</f>
        <v/>
      </c>
      <c r="K1550" s="108">
        <f>IF($B1550="","",IF($E1550="Nghỉ tuần",N($G1550),0))</f>
        <v/>
      </c>
      <c r="L1550" s="108">
        <f>IF($B1550="","",IF($E1550="Lễ",N($G1550),0))</f>
        <v/>
      </c>
      <c r="M1550" s="108">
        <f>IF($B1550="","",IF($E1550="Ngày thường",N($H1550),0))</f>
        <v/>
      </c>
      <c r="N1550" s="108">
        <f>IF($B1550="","",IF($E1550="Nghỉ tuần",N($H1550),0))</f>
        <v/>
      </c>
      <c r="O1550" s="108">
        <f>IF($B1550="","",IF($E1550="Lễ",N($H1550),0))</f>
        <v/>
      </c>
    </row>
    <row r="1551" ht="15" customHeight="1" s="63">
      <c r="A1551" s="85">
        <f>IF($B1551="","",ROW()-5)</f>
        <v/>
      </c>
      <c r="B1551" s="97" t="n"/>
      <c r="C1551" s="96">
        <f>IF($B1551="","",IFERROR(INDEX(DM_NHAN_SU!$C$6:$C$155,MATCH($B1551,DM_NHAN_SU!$B$6:$B$155,0)),"SAI MÃ NV"))</f>
        <v/>
      </c>
      <c r="D1551" s="86" t="n"/>
      <c r="E1551" s="103">
        <f>IF(OR($B1551="",$D1551=""),"",IF(COUNTIF(THAM_SO_CC!$F$10:$F$40,$D1551)&gt;0,"Lễ",IF(IF(THAM_SO_CC!$B$12="T7+CN",WEEKDAY($D1551,2)&gt;=6,WEEKDAY($D1551,2)=7),"Nghỉ tuần","Ngày thường")))</f>
        <v/>
      </c>
      <c r="F1551" s="107" t="n"/>
      <c r="G1551" s="107" t="n"/>
      <c r="H1551" s="107" t="n"/>
      <c r="I1551" s="81" t="n"/>
      <c r="J1551" s="108">
        <f>IF($B1551="","",IF($E1551="Ngày thường",N($G1551),0))</f>
        <v/>
      </c>
      <c r="K1551" s="108">
        <f>IF($B1551="","",IF($E1551="Nghỉ tuần",N($G1551),0))</f>
        <v/>
      </c>
      <c r="L1551" s="108">
        <f>IF($B1551="","",IF($E1551="Lễ",N($G1551),0))</f>
        <v/>
      </c>
      <c r="M1551" s="108">
        <f>IF($B1551="","",IF($E1551="Ngày thường",N($H1551),0))</f>
        <v/>
      </c>
      <c r="N1551" s="108">
        <f>IF($B1551="","",IF($E1551="Nghỉ tuần",N($H1551),0))</f>
        <v/>
      </c>
      <c r="O1551" s="108">
        <f>IF($B1551="","",IF($E1551="Lễ",N($H1551),0))</f>
        <v/>
      </c>
    </row>
    <row r="1552" ht="15" customHeight="1" s="63">
      <c r="A1552" s="85">
        <f>IF($B1552="","",ROW()-5)</f>
        <v/>
      </c>
      <c r="B1552" s="97" t="n"/>
      <c r="C1552" s="96">
        <f>IF($B1552="","",IFERROR(INDEX(DM_NHAN_SU!$C$6:$C$155,MATCH($B1552,DM_NHAN_SU!$B$6:$B$155,0)),"SAI MÃ NV"))</f>
        <v/>
      </c>
      <c r="D1552" s="86" t="n"/>
      <c r="E1552" s="103">
        <f>IF(OR($B1552="",$D1552=""),"",IF(COUNTIF(THAM_SO_CC!$F$10:$F$40,$D1552)&gt;0,"Lễ",IF(IF(THAM_SO_CC!$B$12="T7+CN",WEEKDAY($D1552,2)&gt;=6,WEEKDAY($D1552,2)=7),"Nghỉ tuần","Ngày thường")))</f>
        <v/>
      </c>
      <c r="F1552" s="107" t="n"/>
      <c r="G1552" s="107" t="n"/>
      <c r="H1552" s="107" t="n"/>
      <c r="I1552" s="81" t="n"/>
      <c r="J1552" s="108">
        <f>IF($B1552="","",IF($E1552="Ngày thường",N($G1552),0))</f>
        <v/>
      </c>
      <c r="K1552" s="108">
        <f>IF($B1552="","",IF($E1552="Nghỉ tuần",N($G1552),0))</f>
        <v/>
      </c>
      <c r="L1552" s="108">
        <f>IF($B1552="","",IF($E1552="Lễ",N($G1552),0))</f>
        <v/>
      </c>
      <c r="M1552" s="108">
        <f>IF($B1552="","",IF($E1552="Ngày thường",N($H1552),0))</f>
        <v/>
      </c>
      <c r="N1552" s="108">
        <f>IF($B1552="","",IF($E1552="Nghỉ tuần",N($H1552),0))</f>
        <v/>
      </c>
      <c r="O1552" s="108">
        <f>IF($B1552="","",IF($E1552="Lễ",N($H1552),0))</f>
        <v/>
      </c>
    </row>
    <row r="1553" ht="15" customHeight="1" s="63">
      <c r="A1553" s="85">
        <f>IF($B1553="","",ROW()-5)</f>
        <v/>
      </c>
      <c r="B1553" s="97" t="n"/>
      <c r="C1553" s="96">
        <f>IF($B1553="","",IFERROR(INDEX(DM_NHAN_SU!$C$6:$C$155,MATCH($B1553,DM_NHAN_SU!$B$6:$B$155,0)),"SAI MÃ NV"))</f>
        <v/>
      </c>
      <c r="D1553" s="86" t="n"/>
      <c r="E1553" s="103">
        <f>IF(OR($B1553="",$D1553=""),"",IF(COUNTIF(THAM_SO_CC!$F$10:$F$40,$D1553)&gt;0,"Lễ",IF(IF(THAM_SO_CC!$B$12="T7+CN",WEEKDAY($D1553,2)&gt;=6,WEEKDAY($D1553,2)=7),"Nghỉ tuần","Ngày thường")))</f>
        <v/>
      </c>
      <c r="F1553" s="107" t="n"/>
      <c r="G1553" s="107" t="n"/>
      <c r="H1553" s="107" t="n"/>
      <c r="I1553" s="81" t="n"/>
      <c r="J1553" s="108">
        <f>IF($B1553="","",IF($E1553="Ngày thường",N($G1553),0))</f>
        <v/>
      </c>
      <c r="K1553" s="108">
        <f>IF($B1553="","",IF($E1553="Nghỉ tuần",N($G1553),0))</f>
        <v/>
      </c>
      <c r="L1553" s="108">
        <f>IF($B1553="","",IF($E1553="Lễ",N($G1553),0))</f>
        <v/>
      </c>
      <c r="M1553" s="108">
        <f>IF($B1553="","",IF($E1553="Ngày thường",N($H1553),0))</f>
        <v/>
      </c>
      <c r="N1553" s="108">
        <f>IF($B1553="","",IF($E1553="Nghỉ tuần",N($H1553),0))</f>
        <v/>
      </c>
      <c r="O1553" s="108">
        <f>IF($B1553="","",IF($E1553="Lễ",N($H1553),0))</f>
        <v/>
      </c>
    </row>
    <row r="1554" ht="15" customHeight="1" s="63">
      <c r="A1554" s="85">
        <f>IF($B1554="","",ROW()-5)</f>
        <v/>
      </c>
      <c r="B1554" s="97" t="n"/>
      <c r="C1554" s="96">
        <f>IF($B1554="","",IFERROR(INDEX(DM_NHAN_SU!$C$6:$C$155,MATCH($B1554,DM_NHAN_SU!$B$6:$B$155,0)),"SAI MÃ NV"))</f>
        <v/>
      </c>
      <c r="D1554" s="86" t="n"/>
      <c r="E1554" s="103">
        <f>IF(OR($B1554="",$D1554=""),"",IF(COUNTIF(THAM_SO_CC!$F$10:$F$40,$D1554)&gt;0,"Lễ",IF(IF(THAM_SO_CC!$B$12="T7+CN",WEEKDAY($D1554,2)&gt;=6,WEEKDAY($D1554,2)=7),"Nghỉ tuần","Ngày thường")))</f>
        <v/>
      </c>
      <c r="F1554" s="107" t="n"/>
      <c r="G1554" s="107" t="n"/>
      <c r="H1554" s="107" t="n"/>
      <c r="I1554" s="81" t="n"/>
      <c r="J1554" s="108">
        <f>IF($B1554="","",IF($E1554="Ngày thường",N($G1554),0))</f>
        <v/>
      </c>
      <c r="K1554" s="108">
        <f>IF($B1554="","",IF($E1554="Nghỉ tuần",N($G1554),0))</f>
        <v/>
      </c>
      <c r="L1554" s="108">
        <f>IF($B1554="","",IF($E1554="Lễ",N($G1554),0))</f>
        <v/>
      </c>
      <c r="M1554" s="108">
        <f>IF($B1554="","",IF($E1554="Ngày thường",N($H1554),0))</f>
        <v/>
      </c>
      <c r="N1554" s="108">
        <f>IF($B1554="","",IF($E1554="Nghỉ tuần",N($H1554),0))</f>
        <v/>
      </c>
      <c r="O1554" s="108">
        <f>IF($B1554="","",IF($E1554="Lễ",N($H1554),0))</f>
        <v/>
      </c>
    </row>
    <row r="1555" ht="15" customHeight="1" s="63">
      <c r="A1555" s="85">
        <f>IF($B1555="","",ROW()-5)</f>
        <v/>
      </c>
      <c r="B1555" s="97" t="n"/>
      <c r="C1555" s="96">
        <f>IF($B1555="","",IFERROR(INDEX(DM_NHAN_SU!$C$6:$C$155,MATCH($B1555,DM_NHAN_SU!$B$6:$B$155,0)),"SAI MÃ NV"))</f>
        <v/>
      </c>
      <c r="D1555" s="86" t="n"/>
      <c r="E1555" s="103">
        <f>IF(OR($B1555="",$D1555=""),"",IF(COUNTIF(THAM_SO_CC!$F$10:$F$40,$D1555)&gt;0,"Lễ",IF(IF(THAM_SO_CC!$B$12="T7+CN",WEEKDAY($D1555,2)&gt;=6,WEEKDAY($D1555,2)=7),"Nghỉ tuần","Ngày thường")))</f>
        <v/>
      </c>
      <c r="F1555" s="107" t="n"/>
      <c r="G1555" s="107" t="n"/>
      <c r="H1555" s="107" t="n"/>
      <c r="I1555" s="81" t="n"/>
      <c r="J1555" s="108">
        <f>IF($B1555="","",IF($E1555="Ngày thường",N($G1555),0))</f>
        <v/>
      </c>
      <c r="K1555" s="108">
        <f>IF($B1555="","",IF($E1555="Nghỉ tuần",N($G1555),0))</f>
        <v/>
      </c>
      <c r="L1555" s="108">
        <f>IF($B1555="","",IF($E1555="Lễ",N($G1555),0))</f>
        <v/>
      </c>
      <c r="M1555" s="108">
        <f>IF($B1555="","",IF($E1555="Ngày thường",N($H1555),0))</f>
        <v/>
      </c>
      <c r="N1555" s="108">
        <f>IF($B1555="","",IF($E1555="Nghỉ tuần",N($H1555),0))</f>
        <v/>
      </c>
      <c r="O1555" s="108">
        <f>IF($B1555="","",IF($E1555="Lễ",N($H1555),0))</f>
        <v/>
      </c>
    </row>
    <row r="1556" ht="15" customHeight="1" s="63">
      <c r="A1556" s="85">
        <f>IF($B1556="","",ROW()-5)</f>
        <v/>
      </c>
      <c r="B1556" s="97" t="n"/>
      <c r="C1556" s="96">
        <f>IF($B1556="","",IFERROR(INDEX(DM_NHAN_SU!$C$6:$C$155,MATCH($B1556,DM_NHAN_SU!$B$6:$B$155,0)),"SAI MÃ NV"))</f>
        <v/>
      </c>
      <c r="D1556" s="86" t="n"/>
      <c r="E1556" s="103">
        <f>IF(OR($B1556="",$D1556=""),"",IF(COUNTIF(THAM_SO_CC!$F$10:$F$40,$D1556)&gt;0,"Lễ",IF(IF(THAM_SO_CC!$B$12="T7+CN",WEEKDAY($D1556,2)&gt;=6,WEEKDAY($D1556,2)=7),"Nghỉ tuần","Ngày thường")))</f>
        <v/>
      </c>
      <c r="F1556" s="107" t="n"/>
      <c r="G1556" s="107" t="n"/>
      <c r="H1556" s="107" t="n"/>
      <c r="I1556" s="81" t="n"/>
      <c r="J1556" s="108">
        <f>IF($B1556="","",IF($E1556="Ngày thường",N($G1556),0))</f>
        <v/>
      </c>
      <c r="K1556" s="108">
        <f>IF($B1556="","",IF($E1556="Nghỉ tuần",N($G1556),0))</f>
        <v/>
      </c>
      <c r="L1556" s="108">
        <f>IF($B1556="","",IF($E1556="Lễ",N($G1556),0))</f>
        <v/>
      </c>
      <c r="M1556" s="108">
        <f>IF($B1556="","",IF($E1556="Ngày thường",N($H1556),0))</f>
        <v/>
      </c>
      <c r="N1556" s="108">
        <f>IF($B1556="","",IF($E1556="Nghỉ tuần",N($H1556),0))</f>
        <v/>
      </c>
      <c r="O1556" s="108">
        <f>IF($B1556="","",IF($E1556="Lễ",N($H1556),0))</f>
        <v/>
      </c>
    </row>
    <row r="1557" ht="15" customHeight="1" s="63">
      <c r="A1557" s="85">
        <f>IF($B1557="","",ROW()-5)</f>
        <v/>
      </c>
      <c r="B1557" s="97" t="n"/>
      <c r="C1557" s="96">
        <f>IF($B1557="","",IFERROR(INDEX(DM_NHAN_SU!$C$6:$C$155,MATCH($B1557,DM_NHAN_SU!$B$6:$B$155,0)),"SAI MÃ NV"))</f>
        <v/>
      </c>
      <c r="D1557" s="86" t="n"/>
      <c r="E1557" s="103">
        <f>IF(OR($B1557="",$D1557=""),"",IF(COUNTIF(THAM_SO_CC!$F$10:$F$40,$D1557)&gt;0,"Lễ",IF(IF(THAM_SO_CC!$B$12="T7+CN",WEEKDAY($D1557,2)&gt;=6,WEEKDAY($D1557,2)=7),"Nghỉ tuần","Ngày thường")))</f>
        <v/>
      </c>
      <c r="F1557" s="107" t="n"/>
      <c r="G1557" s="107" t="n"/>
      <c r="H1557" s="107" t="n"/>
      <c r="I1557" s="81" t="n"/>
      <c r="J1557" s="108">
        <f>IF($B1557="","",IF($E1557="Ngày thường",N($G1557),0))</f>
        <v/>
      </c>
      <c r="K1557" s="108">
        <f>IF($B1557="","",IF($E1557="Nghỉ tuần",N($G1557),0))</f>
        <v/>
      </c>
      <c r="L1557" s="108">
        <f>IF($B1557="","",IF($E1557="Lễ",N($G1557),0))</f>
        <v/>
      </c>
      <c r="M1557" s="108">
        <f>IF($B1557="","",IF($E1557="Ngày thường",N($H1557),0))</f>
        <v/>
      </c>
      <c r="N1557" s="108">
        <f>IF($B1557="","",IF($E1557="Nghỉ tuần",N($H1557),0))</f>
        <v/>
      </c>
      <c r="O1557" s="108">
        <f>IF($B1557="","",IF($E1557="Lễ",N($H1557),0))</f>
        <v/>
      </c>
    </row>
    <row r="1558" ht="15" customHeight="1" s="63">
      <c r="A1558" s="85">
        <f>IF($B1558="","",ROW()-5)</f>
        <v/>
      </c>
      <c r="B1558" s="97" t="n"/>
      <c r="C1558" s="96">
        <f>IF($B1558="","",IFERROR(INDEX(DM_NHAN_SU!$C$6:$C$155,MATCH($B1558,DM_NHAN_SU!$B$6:$B$155,0)),"SAI MÃ NV"))</f>
        <v/>
      </c>
      <c r="D1558" s="86" t="n"/>
      <c r="E1558" s="103">
        <f>IF(OR($B1558="",$D1558=""),"",IF(COUNTIF(THAM_SO_CC!$F$10:$F$40,$D1558)&gt;0,"Lễ",IF(IF(THAM_SO_CC!$B$12="T7+CN",WEEKDAY($D1558,2)&gt;=6,WEEKDAY($D1558,2)=7),"Nghỉ tuần","Ngày thường")))</f>
        <v/>
      </c>
      <c r="F1558" s="107" t="n"/>
      <c r="G1558" s="107" t="n"/>
      <c r="H1558" s="107" t="n"/>
      <c r="I1558" s="81" t="n"/>
      <c r="J1558" s="108">
        <f>IF($B1558="","",IF($E1558="Ngày thường",N($G1558),0))</f>
        <v/>
      </c>
      <c r="K1558" s="108">
        <f>IF($B1558="","",IF($E1558="Nghỉ tuần",N($G1558),0))</f>
        <v/>
      </c>
      <c r="L1558" s="108">
        <f>IF($B1558="","",IF($E1558="Lễ",N($G1558),0))</f>
        <v/>
      </c>
      <c r="M1558" s="108">
        <f>IF($B1558="","",IF($E1558="Ngày thường",N($H1558),0))</f>
        <v/>
      </c>
      <c r="N1558" s="108">
        <f>IF($B1558="","",IF($E1558="Nghỉ tuần",N($H1558),0))</f>
        <v/>
      </c>
      <c r="O1558" s="108">
        <f>IF($B1558="","",IF($E1558="Lễ",N($H1558),0))</f>
        <v/>
      </c>
    </row>
    <row r="1559" ht="15" customHeight="1" s="63">
      <c r="A1559" s="85">
        <f>IF($B1559="","",ROW()-5)</f>
        <v/>
      </c>
      <c r="B1559" s="97" t="n"/>
      <c r="C1559" s="96">
        <f>IF($B1559="","",IFERROR(INDEX(DM_NHAN_SU!$C$6:$C$155,MATCH($B1559,DM_NHAN_SU!$B$6:$B$155,0)),"SAI MÃ NV"))</f>
        <v/>
      </c>
      <c r="D1559" s="86" t="n"/>
      <c r="E1559" s="103">
        <f>IF(OR($B1559="",$D1559=""),"",IF(COUNTIF(THAM_SO_CC!$F$10:$F$40,$D1559)&gt;0,"Lễ",IF(IF(THAM_SO_CC!$B$12="T7+CN",WEEKDAY($D1559,2)&gt;=6,WEEKDAY($D1559,2)=7),"Nghỉ tuần","Ngày thường")))</f>
        <v/>
      </c>
      <c r="F1559" s="107" t="n"/>
      <c r="G1559" s="107" t="n"/>
      <c r="H1559" s="107" t="n"/>
      <c r="I1559" s="81" t="n"/>
      <c r="J1559" s="108">
        <f>IF($B1559="","",IF($E1559="Ngày thường",N($G1559),0))</f>
        <v/>
      </c>
      <c r="K1559" s="108">
        <f>IF($B1559="","",IF($E1559="Nghỉ tuần",N($G1559),0))</f>
        <v/>
      </c>
      <c r="L1559" s="108">
        <f>IF($B1559="","",IF($E1559="Lễ",N($G1559),0))</f>
        <v/>
      </c>
      <c r="M1559" s="108">
        <f>IF($B1559="","",IF($E1559="Ngày thường",N($H1559),0))</f>
        <v/>
      </c>
      <c r="N1559" s="108">
        <f>IF($B1559="","",IF($E1559="Nghỉ tuần",N($H1559),0))</f>
        <v/>
      </c>
      <c r="O1559" s="108">
        <f>IF($B1559="","",IF($E1559="Lễ",N($H1559),0))</f>
        <v/>
      </c>
    </row>
    <row r="1560" ht="15" customHeight="1" s="63">
      <c r="A1560" s="85">
        <f>IF($B1560="","",ROW()-5)</f>
        <v/>
      </c>
      <c r="B1560" s="97" t="n"/>
      <c r="C1560" s="96">
        <f>IF($B1560="","",IFERROR(INDEX(DM_NHAN_SU!$C$6:$C$155,MATCH($B1560,DM_NHAN_SU!$B$6:$B$155,0)),"SAI MÃ NV"))</f>
        <v/>
      </c>
      <c r="D1560" s="86" t="n"/>
      <c r="E1560" s="103">
        <f>IF(OR($B1560="",$D1560=""),"",IF(COUNTIF(THAM_SO_CC!$F$10:$F$40,$D1560)&gt;0,"Lễ",IF(IF(THAM_SO_CC!$B$12="T7+CN",WEEKDAY($D1560,2)&gt;=6,WEEKDAY($D1560,2)=7),"Nghỉ tuần","Ngày thường")))</f>
        <v/>
      </c>
      <c r="F1560" s="107" t="n"/>
      <c r="G1560" s="107" t="n"/>
      <c r="H1560" s="107" t="n"/>
      <c r="I1560" s="81" t="n"/>
      <c r="J1560" s="108">
        <f>IF($B1560="","",IF($E1560="Ngày thường",N($G1560),0))</f>
        <v/>
      </c>
      <c r="K1560" s="108">
        <f>IF($B1560="","",IF($E1560="Nghỉ tuần",N($G1560),0))</f>
        <v/>
      </c>
      <c r="L1560" s="108">
        <f>IF($B1560="","",IF($E1560="Lễ",N($G1560),0))</f>
        <v/>
      </c>
      <c r="M1560" s="108">
        <f>IF($B1560="","",IF($E1560="Ngày thường",N($H1560),0))</f>
        <v/>
      </c>
      <c r="N1560" s="108">
        <f>IF($B1560="","",IF($E1560="Nghỉ tuần",N($H1560),0))</f>
        <v/>
      </c>
      <c r="O1560" s="108">
        <f>IF($B1560="","",IF($E1560="Lễ",N($H1560),0))</f>
        <v/>
      </c>
    </row>
    <row r="1561" ht="15" customHeight="1" s="63">
      <c r="A1561" s="85">
        <f>IF($B1561="","",ROW()-5)</f>
        <v/>
      </c>
      <c r="B1561" s="97" t="n"/>
      <c r="C1561" s="96">
        <f>IF($B1561="","",IFERROR(INDEX(DM_NHAN_SU!$C$6:$C$155,MATCH($B1561,DM_NHAN_SU!$B$6:$B$155,0)),"SAI MÃ NV"))</f>
        <v/>
      </c>
      <c r="D1561" s="86" t="n"/>
      <c r="E1561" s="103">
        <f>IF(OR($B1561="",$D1561=""),"",IF(COUNTIF(THAM_SO_CC!$F$10:$F$40,$D1561)&gt;0,"Lễ",IF(IF(THAM_SO_CC!$B$12="T7+CN",WEEKDAY($D1561,2)&gt;=6,WEEKDAY($D1561,2)=7),"Nghỉ tuần","Ngày thường")))</f>
        <v/>
      </c>
      <c r="F1561" s="107" t="n"/>
      <c r="G1561" s="107" t="n"/>
      <c r="H1561" s="107" t="n"/>
      <c r="I1561" s="81" t="n"/>
      <c r="J1561" s="108">
        <f>IF($B1561="","",IF($E1561="Ngày thường",N($G1561),0))</f>
        <v/>
      </c>
      <c r="K1561" s="108">
        <f>IF($B1561="","",IF($E1561="Nghỉ tuần",N($G1561),0))</f>
        <v/>
      </c>
      <c r="L1561" s="108">
        <f>IF($B1561="","",IF($E1561="Lễ",N($G1561),0))</f>
        <v/>
      </c>
      <c r="M1561" s="108">
        <f>IF($B1561="","",IF($E1561="Ngày thường",N($H1561),0))</f>
        <v/>
      </c>
      <c r="N1561" s="108">
        <f>IF($B1561="","",IF($E1561="Nghỉ tuần",N($H1561),0))</f>
        <v/>
      </c>
      <c r="O1561" s="108">
        <f>IF($B1561="","",IF($E1561="Lễ",N($H1561),0))</f>
        <v/>
      </c>
    </row>
    <row r="1562" ht="15" customHeight="1" s="63">
      <c r="A1562" s="85">
        <f>IF($B1562="","",ROW()-5)</f>
        <v/>
      </c>
      <c r="B1562" s="97" t="n"/>
      <c r="C1562" s="96">
        <f>IF($B1562="","",IFERROR(INDEX(DM_NHAN_SU!$C$6:$C$155,MATCH($B1562,DM_NHAN_SU!$B$6:$B$155,0)),"SAI MÃ NV"))</f>
        <v/>
      </c>
      <c r="D1562" s="86" t="n"/>
      <c r="E1562" s="103">
        <f>IF(OR($B1562="",$D1562=""),"",IF(COUNTIF(THAM_SO_CC!$F$10:$F$40,$D1562)&gt;0,"Lễ",IF(IF(THAM_SO_CC!$B$12="T7+CN",WEEKDAY($D1562,2)&gt;=6,WEEKDAY($D1562,2)=7),"Nghỉ tuần","Ngày thường")))</f>
        <v/>
      </c>
      <c r="F1562" s="107" t="n"/>
      <c r="G1562" s="107" t="n"/>
      <c r="H1562" s="107" t="n"/>
      <c r="I1562" s="81" t="n"/>
      <c r="J1562" s="108">
        <f>IF($B1562="","",IF($E1562="Ngày thường",N($G1562),0))</f>
        <v/>
      </c>
      <c r="K1562" s="108">
        <f>IF($B1562="","",IF($E1562="Nghỉ tuần",N($G1562),0))</f>
        <v/>
      </c>
      <c r="L1562" s="108">
        <f>IF($B1562="","",IF($E1562="Lễ",N($G1562),0))</f>
        <v/>
      </c>
      <c r="M1562" s="108">
        <f>IF($B1562="","",IF($E1562="Ngày thường",N($H1562),0))</f>
        <v/>
      </c>
      <c r="N1562" s="108">
        <f>IF($B1562="","",IF($E1562="Nghỉ tuần",N($H1562),0))</f>
        <v/>
      </c>
      <c r="O1562" s="108">
        <f>IF($B1562="","",IF($E1562="Lễ",N($H1562),0))</f>
        <v/>
      </c>
    </row>
    <row r="1563" ht="15" customHeight="1" s="63">
      <c r="A1563" s="85">
        <f>IF($B1563="","",ROW()-5)</f>
        <v/>
      </c>
      <c r="B1563" s="97" t="n"/>
      <c r="C1563" s="96">
        <f>IF($B1563="","",IFERROR(INDEX(DM_NHAN_SU!$C$6:$C$155,MATCH($B1563,DM_NHAN_SU!$B$6:$B$155,0)),"SAI MÃ NV"))</f>
        <v/>
      </c>
      <c r="D1563" s="86" t="n"/>
      <c r="E1563" s="103">
        <f>IF(OR($B1563="",$D1563=""),"",IF(COUNTIF(THAM_SO_CC!$F$10:$F$40,$D1563)&gt;0,"Lễ",IF(IF(THAM_SO_CC!$B$12="T7+CN",WEEKDAY($D1563,2)&gt;=6,WEEKDAY($D1563,2)=7),"Nghỉ tuần","Ngày thường")))</f>
        <v/>
      </c>
      <c r="F1563" s="107" t="n"/>
      <c r="G1563" s="107" t="n"/>
      <c r="H1563" s="107" t="n"/>
      <c r="I1563" s="81" t="n"/>
      <c r="J1563" s="108">
        <f>IF($B1563="","",IF($E1563="Ngày thường",N($G1563),0))</f>
        <v/>
      </c>
      <c r="K1563" s="108">
        <f>IF($B1563="","",IF($E1563="Nghỉ tuần",N($G1563),0))</f>
        <v/>
      </c>
      <c r="L1563" s="108">
        <f>IF($B1563="","",IF($E1563="Lễ",N($G1563),0))</f>
        <v/>
      </c>
      <c r="M1563" s="108">
        <f>IF($B1563="","",IF($E1563="Ngày thường",N($H1563),0))</f>
        <v/>
      </c>
      <c r="N1563" s="108">
        <f>IF($B1563="","",IF($E1563="Nghỉ tuần",N($H1563),0))</f>
        <v/>
      </c>
      <c r="O1563" s="108">
        <f>IF($B1563="","",IF($E1563="Lễ",N($H1563),0))</f>
        <v/>
      </c>
    </row>
    <row r="1564" ht="15" customHeight="1" s="63">
      <c r="A1564" s="85">
        <f>IF($B1564="","",ROW()-5)</f>
        <v/>
      </c>
      <c r="B1564" s="97" t="n"/>
      <c r="C1564" s="96">
        <f>IF($B1564="","",IFERROR(INDEX(DM_NHAN_SU!$C$6:$C$155,MATCH($B1564,DM_NHAN_SU!$B$6:$B$155,0)),"SAI MÃ NV"))</f>
        <v/>
      </c>
      <c r="D1564" s="86" t="n"/>
      <c r="E1564" s="103">
        <f>IF(OR($B1564="",$D1564=""),"",IF(COUNTIF(THAM_SO_CC!$F$10:$F$40,$D1564)&gt;0,"Lễ",IF(IF(THAM_SO_CC!$B$12="T7+CN",WEEKDAY($D1564,2)&gt;=6,WEEKDAY($D1564,2)=7),"Nghỉ tuần","Ngày thường")))</f>
        <v/>
      </c>
      <c r="F1564" s="107" t="n"/>
      <c r="G1564" s="107" t="n"/>
      <c r="H1564" s="107" t="n"/>
      <c r="I1564" s="81" t="n"/>
      <c r="J1564" s="108">
        <f>IF($B1564="","",IF($E1564="Ngày thường",N($G1564),0))</f>
        <v/>
      </c>
      <c r="K1564" s="108">
        <f>IF($B1564="","",IF($E1564="Nghỉ tuần",N($G1564),0))</f>
        <v/>
      </c>
      <c r="L1564" s="108">
        <f>IF($B1564="","",IF($E1564="Lễ",N($G1564),0))</f>
        <v/>
      </c>
      <c r="M1564" s="108">
        <f>IF($B1564="","",IF($E1564="Ngày thường",N($H1564),0))</f>
        <v/>
      </c>
      <c r="N1564" s="108">
        <f>IF($B1564="","",IF($E1564="Nghỉ tuần",N($H1564),0))</f>
        <v/>
      </c>
      <c r="O1564" s="108">
        <f>IF($B1564="","",IF($E1564="Lễ",N($H1564),0))</f>
        <v/>
      </c>
    </row>
    <row r="1565" ht="15" customHeight="1" s="63">
      <c r="A1565" s="85">
        <f>IF($B1565="","",ROW()-5)</f>
        <v/>
      </c>
      <c r="B1565" s="97" t="n"/>
      <c r="C1565" s="96">
        <f>IF($B1565="","",IFERROR(INDEX(DM_NHAN_SU!$C$6:$C$155,MATCH($B1565,DM_NHAN_SU!$B$6:$B$155,0)),"SAI MÃ NV"))</f>
        <v/>
      </c>
      <c r="D1565" s="86" t="n"/>
      <c r="E1565" s="103">
        <f>IF(OR($B1565="",$D1565=""),"",IF(COUNTIF(THAM_SO_CC!$F$10:$F$40,$D1565)&gt;0,"Lễ",IF(IF(THAM_SO_CC!$B$12="T7+CN",WEEKDAY($D1565,2)&gt;=6,WEEKDAY($D1565,2)=7),"Nghỉ tuần","Ngày thường")))</f>
        <v/>
      </c>
      <c r="F1565" s="107" t="n"/>
      <c r="G1565" s="107" t="n"/>
      <c r="H1565" s="107" t="n"/>
      <c r="I1565" s="81" t="n"/>
      <c r="J1565" s="108">
        <f>IF($B1565="","",IF($E1565="Ngày thường",N($G1565),0))</f>
        <v/>
      </c>
      <c r="K1565" s="108">
        <f>IF($B1565="","",IF($E1565="Nghỉ tuần",N($G1565),0))</f>
        <v/>
      </c>
      <c r="L1565" s="108">
        <f>IF($B1565="","",IF($E1565="Lễ",N($G1565),0))</f>
        <v/>
      </c>
      <c r="M1565" s="108">
        <f>IF($B1565="","",IF($E1565="Ngày thường",N($H1565),0))</f>
        <v/>
      </c>
      <c r="N1565" s="108">
        <f>IF($B1565="","",IF($E1565="Nghỉ tuần",N($H1565),0))</f>
        <v/>
      </c>
      <c r="O1565" s="108">
        <f>IF($B1565="","",IF($E1565="Lễ",N($H1565),0))</f>
        <v/>
      </c>
    </row>
    <row r="1566" ht="15" customHeight="1" s="63">
      <c r="A1566" s="85">
        <f>IF($B1566="","",ROW()-5)</f>
        <v/>
      </c>
      <c r="B1566" s="97" t="n"/>
      <c r="C1566" s="96">
        <f>IF($B1566="","",IFERROR(INDEX(DM_NHAN_SU!$C$6:$C$155,MATCH($B1566,DM_NHAN_SU!$B$6:$B$155,0)),"SAI MÃ NV"))</f>
        <v/>
      </c>
      <c r="D1566" s="86" t="n"/>
      <c r="E1566" s="103">
        <f>IF(OR($B1566="",$D1566=""),"",IF(COUNTIF(THAM_SO_CC!$F$10:$F$40,$D1566)&gt;0,"Lễ",IF(IF(THAM_SO_CC!$B$12="T7+CN",WEEKDAY($D1566,2)&gt;=6,WEEKDAY($D1566,2)=7),"Nghỉ tuần","Ngày thường")))</f>
        <v/>
      </c>
      <c r="F1566" s="107" t="n"/>
      <c r="G1566" s="107" t="n"/>
      <c r="H1566" s="107" t="n"/>
      <c r="I1566" s="81" t="n"/>
      <c r="J1566" s="108">
        <f>IF($B1566="","",IF($E1566="Ngày thường",N($G1566),0))</f>
        <v/>
      </c>
      <c r="K1566" s="108">
        <f>IF($B1566="","",IF($E1566="Nghỉ tuần",N($G1566),0))</f>
        <v/>
      </c>
      <c r="L1566" s="108">
        <f>IF($B1566="","",IF($E1566="Lễ",N($G1566),0))</f>
        <v/>
      </c>
      <c r="M1566" s="108">
        <f>IF($B1566="","",IF($E1566="Ngày thường",N($H1566),0))</f>
        <v/>
      </c>
      <c r="N1566" s="108">
        <f>IF($B1566="","",IF($E1566="Nghỉ tuần",N($H1566),0))</f>
        <v/>
      </c>
      <c r="O1566" s="108">
        <f>IF($B1566="","",IF($E1566="Lễ",N($H1566),0))</f>
        <v/>
      </c>
    </row>
    <row r="1567" ht="15" customHeight="1" s="63">
      <c r="A1567" s="85">
        <f>IF($B1567="","",ROW()-5)</f>
        <v/>
      </c>
      <c r="B1567" s="97" t="n"/>
      <c r="C1567" s="96">
        <f>IF($B1567="","",IFERROR(INDEX(DM_NHAN_SU!$C$6:$C$155,MATCH($B1567,DM_NHAN_SU!$B$6:$B$155,0)),"SAI MÃ NV"))</f>
        <v/>
      </c>
      <c r="D1567" s="86" t="n"/>
      <c r="E1567" s="103">
        <f>IF(OR($B1567="",$D1567=""),"",IF(COUNTIF(THAM_SO_CC!$F$10:$F$40,$D1567)&gt;0,"Lễ",IF(IF(THAM_SO_CC!$B$12="T7+CN",WEEKDAY($D1567,2)&gt;=6,WEEKDAY($D1567,2)=7),"Nghỉ tuần","Ngày thường")))</f>
        <v/>
      </c>
      <c r="F1567" s="107" t="n"/>
      <c r="G1567" s="107" t="n"/>
      <c r="H1567" s="107" t="n"/>
      <c r="I1567" s="81" t="n"/>
      <c r="J1567" s="108">
        <f>IF($B1567="","",IF($E1567="Ngày thường",N($G1567),0))</f>
        <v/>
      </c>
      <c r="K1567" s="108">
        <f>IF($B1567="","",IF($E1567="Nghỉ tuần",N($G1567),0))</f>
        <v/>
      </c>
      <c r="L1567" s="108">
        <f>IF($B1567="","",IF($E1567="Lễ",N($G1567),0))</f>
        <v/>
      </c>
      <c r="M1567" s="108">
        <f>IF($B1567="","",IF($E1567="Ngày thường",N($H1567),0))</f>
        <v/>
      </c>
      <c r="N1567" s="108">
        <f>IF($B1567="","",IF($E1567="Nghỉ tuần",N($H1567),0))</f>
        <v/>
      </c>
      <c r="O1567" s="108">
        <f>IF($B1567="","",IF($E1567="Lễ",N($H1567),0))</f>
        <v/>
      </c>
    </row>
    <row r="1568" ht="15" customHeight="1" s="63">
      <c r="A1568" s="85">
        <f>IF($B1568="","",ROW()-5)</f>
        <v/>
      </c>
      <c r="B1568" s="97" t="n"/>
      <c r="C1568" s="96">
        <f>IF($B1568="","",IFERROR(INDEX(DM_NHAN_SU!$C$6:$C$155,MATCH($B1568,DM_NHAN_SU!$B$6:$B$155,0)),"SAI MÃ NV"))</f>
        <v/>
      </c>
      <c r="D1568" s="86" t="n"/>
      <c r="E1568" s="103">
        <f>IF(OR($B1568="",$D1568=""),"",IF(COUNTIF(THAM_SO_CC!$F$10:$F$40,$D1568)&gt;0,"Lễ",IF(IF(THAM_SO_CC!$B$12="T7+CN",WEEKDAY($D1568,2)&gt;=6,WEEKDAY($D1568,2)=7),"Nghỉ tuần","Ngày thường")))</f>
        <v/>
      </c>
      <c r="F1568" s="107" t="n"/>
      <c r="G1568" s="107" t="n"/>
      <c r="H1568" s="107" t="n"/>
      <c r="I1568" s="81" t="n"/>
      <c r="J1568" s="108">
        <f>IF($B1568="","",IF($E1568="Ngày thường",N($G1568),0))</f>
        <v/>
      </c>
      <c r="K1568" s="108">
        <f>IF($B1568="","",IF($E1568="Nghỉ tuần",N($G1568),0))</f>
        <v/>
      </c>
      <c r="L1568" s="108">
        <f>IF($B1568="","",IF($E1568="Lễ",N($G1568),0))</f>
        <v/>
      </c>
      <c r="M1568" s="108">
        <f>IF($B1568="","",IF($E1568="Ngày thường",N($H1568),0))</f>
        <v/>
      </c>
      <c r="N1568" s="108">
        <f>IF($B1568="","",IF($E1568="Nghỉ tuần",N($H1568),0))</f>
        <v/>
      </c>
      <c r="O1568" s="108">
        <f>IF($B1568="","",IF($E1568="Lễ",N($H1568),0))</f>
        <v/>
      </c>
    </row>
    <row r="1569" ht="15" customHeight="1" s="63">
      <c r="A1569" s="85">
        <f>IF($B1569="","",ROW()-5)</f>
        <v/>
      </c>
      <c r="B1569" s="97" t="n"/>
      <c r="C1569" s="96">
        <f>IF($B1569="","",IFERROR(INDEX(DM_NHAN_SU!$C$6:$C$155,MATCH($B1569,DM_NHAN_SU!$B$6:$B$155,0)),"SAI MÃ NV"))</f>
        <v/>
      </c>
      <c r="D1569" s="86" t="n"/>
      <c r="E1569" s="103">
        <f>IF(OR($B1569="",$D1569=""),"",IF(COUNTIF(THAM_SO_CC!$F$10:$F$40,$D1569)&gt;0,"Lễ",IF(IF(THAM_SO_CC!$B$12="T7+CN",WEEKDAY($D1569,2)&gt;=6,WEEKDAY($D1569,2)=7),"Nghỉ tuần","Ngày thường")))</f>
        <v/>
      </c>
      <c r="F1569" s="107" t="n"/>
      <c r="G1569" s="107" t="n"/>
      <c r="H1569" s="107" t="n"/>
      <c r="I1569" s="81" t="n"/>
      <c r="J1569" s="108">
        <f>IF($B1569="","",IF($E1569="Ngày thường",N($G1569),0))</f>
        <v/>
      </c>
      <c r="K1569" s="108">
        <f>IF($B1569="","",IF($E1569="Nghỉ tuần",N($G1569),0))</f>
        <v/>
      </c>
      <c r="L1569" s="108">
        <f>IF($B1569="","",IF($E1569="Lễ",N($G1569),0))</f>
        <v/>
      </c>
      <c r="M1569" s="108">
        <f>IF($B1569="","",IF($E1569="Ngày thường",N($H1569),0))</f>
        <v/>
      </c>
      <c r="N1569" s="108">
        <f>IF($B1569="","",IF($E1569="Nghỉ tuần",N($H1569),0))</f>
        <v/>
      </c>
      <c r="O1569" s="108">
        <f>IF($B1569="","",IF($E1569="Lễ",N($H1569),0))</f>
        <v/>
      </c>
    </row>
    <row r="1570" ht="15" customHeight="1" s="63">
      <c r="A1570" s="85">
        <f>IF($B1570="","",ROW()-5)</f>
        <v/>
      </c>
      <c r="B1570" s="97" t="n"/>
      <c r="C1570" s="96">
        <f>IF($B1570="","",IFERROR(INDEX(DM_NHAN_SU!$C$6:$C$155,MATCH($B1570,DM_NHAN_SU!$B$6:$B$155,0)),"SAI MÃ NV"))</f>
        <v/>
      </c>
      <c r="D1570" s="86" t="n"/>
      <c r="E1570" s="103">
        <f>IF(OR($B1570="",$D1570=""),"",IF(COUNTIF(THAM_SO_CC!$F$10:$F$40,$D1570)&gt;0,"Lễ",IF(IF(THAM_SO_CC!$B$12="T7+CN",WEEKDAY($D1570,2)&gt;=6,WEEKDAY($D1570,2)=7),"Nghỉ tuần","Ngày thường")))</f>
        <v/>
      </c>
      <c r="F1570" s="107" t="n"/>
      <c r="G1570" s="107" t="n"/>
      <c r="H1570" s="107" t="n"/>
      <c r="I1570" s="81" t="n"/>
      <c r="J1570" s="108">
        <f>IF($B1570="","",IF($E1570="Ngày thường",N($G1570),0))</f>
        <v/>
      </c>
      <c r="K1570" s="108">
        <f>IF($B1570="","",IF($E1570="Nghỉ tuần",N($G1570),0))</f>
        <v/>
      </c>
      <c r="L1570" s="108">
        <f>IF($B1570="","",IF($E1570="Lễ",N($G1570),0))</f>
        <v/>
      </c>
      <c r="M1570" s="108">
        <f>IF($B1570="","",IF($E1570="Ngày thường",N($H1570),0))</f>
        <v/>
      </c>
      <c r="N1570" s="108">
        <f>IF($B1570="","",IF($E1570="Nghỉ tuần",N($H1570),0))</f>
        <v/>
      </c>
      <c r="O1570" s="108">
        <f>IF($B1570="","",IF($E1570="Lễ",N($H1570),0))</f>
        <v/>
      </c>
    </row>
    <row r="1571" ht="15" customHeight="1" s="63">
      <c r="A1571" s="85">
        <f>IF($B1571="","",ROW()-5)</f>
        <v/>
      </c>
      <c r="B1571" s="97" t="n"/>
      <c r="C1571" s="96">
        <f>IF($B1571="","",IFERROR(INDEX(DM_NHAN_SU!$C$6:$C$155,MATCH($B1571,DM_NHAN_SU!$B$6:$B$155,0)),"SAI MÃ NV"))</f>
        <v/>
      </c>
      <c r="D1571" s="86" t="n"/>
      <c r="E1571" s="103">
        <f>IF(OR($B1571="",$D1571=""),"",IF(COUNTIF(THAM_SO_CC!$F$10:$F$40,$D1571)&gt;0,"Lễ",IF(IF(THAM_SO_CC!$B$12="T7+CN",WEEKDAY($D1571,2)&gt;=6,WEEKDAY($D1571,2)=7),"Nghỉ tuần","Ngày thường")))</f>
        <v/>
      </c>
      <c r="F1571" s="107" t="n"/>
      <c r="G1571" s="107" t="n"/>
      <c r="H1571" s="107" t="n"/>
      <c r="I1571" s="81" t="n"/>
      <c r="J1571" s="108">
        <f>IF($B1571="","",IF($E1571="Ngày thường",N($G1571),0))</f>
        <v/>
      </c>
      <c r="K1571" s="108">
        <f>IF($B1571="","",IF($E1571="Nghỉ tuần",N($G1571),0))</f>
        <v/>
      </c>
      <c r="L1571" s="108">
        <f>IF($B1571="","",IF($E1571="Lễ",N($G1571),0))</f>
        <v/>
      </c>
      <c r="M1571" s="108">
        <f>IF($B1571="","",IF($E1571="Ngày thường",N($H1571),0))</f>
        <v/>
      </c>
      <c r="N1571" s="108">
        <f>IF($B1571="","",IF($E1571="Nghỉ tuần",N($H1571),0))</f>
        <v/>
      </c>
      <c r="O1571" s="108">
        <f>IF($B1571="","",IF($E1571="Lễ",N($H1571),0))</f>
        <v/>
      </c>
    </row>
    <row r="1572" ht="15" customHeight="1" s="63">
      <c r="A1572" s="85">
        <f>IF($B1572="","",ROW()-5)</f>
        <v/>
      </c>
      <c r="B1572" s="97" t="n"/>
      <c r="C1572" s="96">
        <f>IF($B1572="","",IFERROR(INDEX(DM_NHAN_SU!$C$6:$C$155,MATCH($B1572,DM_NHAN_SU!$B$6:$B$155,0)),"SAI MÃ NV"))</f>
        <v/>
      </c>
      <c r="D1572" s="86" t="n"/>
      <c r="E1572" s="103">
        <f>IF(OR($B1572="",$D1572=""),"",IF(COUNTIF(THAM_SO_CC!$F$10:$F$40,$D1572)&gt;0,"Lễ",IF(IF(THAM_SO_CC!$B$12="T7+CN",WEEKDAY($D1572,2)&gt;=6,WEEKDAY($D1572,2)=7),"Nghỉ tuần","Ngày thường")))</f>
        <v/>
      </c>
      <c r="F1572" s="107" t="n"/>
      <c r="G1572" s="107" t="n"/>
      <c r="H1572" s="107" t="n"/>
      <c r="I1572" s="81" t="n"/>
      <c r="J1572" s="108">
        <f>IF($B1572="","",IF($E1572="Ngày thường",N($G1572),0))</f>
        <v/>
      </c>
      <c r="K1572" s="108">
        <f>IF($B1572="","",IF($E1572="Nghỉ tuần",N($G1572),0))</f>
        <v/>
      </c>
      <c r="L1572" s="108">
        <f>IF($B1572="","",IF($E1572="Lễ",N($G1572),0))</f>
        <v/>
      </c>
      <c r="M1572" s="108">
        <f>IF($B1572="","",IF($E1572="Ngày thường",N($H1572),0))</f>
        <v/>
      </c>
      <c r="N1572" s="108">
        <f>IF($B1572="","",IF($E1572="Nghỉ tuần",N($H1572),0))</f>
        <v/>
      </c>
      <c r="O1572" s="108">
        <f>IF($B1572="","",IF($E1572="Lễ",N($H1572),0))</f>
        <v/>
      </c>
    </row>
    <row r="1573" ht="15" customHeight="1" s="63">
      <c r="A1573" s="85">
        <f>IF($B1573="","",ROW()-5)</f>
        <v/>
      </c>
      <c r="B1573" s="97" t="n"/>
      <c r="C1573" s="96">
        <f>IF($B1573="","",IFERROR(INDEX(DM_NHAN_SU!$C$6:$C$155,MATCH($B1573,DM_NHAN_SU!$B$6:$B$155,0)),"SAI MÃ NV"))</f>
        <v/>
      </c>
      <c r="D1573" s="86" t="n"/>
      <c r="E1573" s="103">
        <f>IF(OR($B1573="",$D1573=""),"",IF(COUNTIF(THAM_SO_CC!$F$10:$F$40,$D1573)&gt;0,"Lễ",IF(IF(THAM_SO_CC!$B$12="T7+CN",WEEKDAY($D1573,2)&gt;=6,WEEKDAY($D1573,2)=7),"Nghỉ tuần","Ngày thường")))</f>
        <v/>
      </c>
      <c r="F1573" s="107" t="n"/>
      <c r="G1573" s="107" t="n"/>
      <c r="H1573" s="107" t="n"/>
      <c r="I1573" s="81" t="n"/>
      <c r="J1573" s="108">
        <f>IF($B1573="","",IF($E1573="Ngày thường",N($G1573),0))</f>
        <v/>
      </c>
      <c r="K1573" s="108">
        <f>IF($B1573="","",IF($E1573="Nghỉ tuần",N($G1573),0))</f>
        <v/>
      </c>
      <c r="L1573" s="108">
        <f>IF($B1573="","",IF($E1573="Lễ",N($G1573),0))</f>
        <v/>
      </c>
      <c r="M1573" s="108">
        <f>IF($B1573="","",IF($E1573="Ngày thường",N($H1573),0))</f>
        <v/>
      </c>
      <c r="N1573" s="108">
        <f>IF($B1573="","",IF($E1573="Nghỉ tuần",N($H1573),0))</f>
        <v/>
      </c>
      <c r="O1573" s="108">
        <f>IF($B1573="","",IF($E1573="Lễ",N($H1573),0))</f>
        <v/>
      </c>
    </row>
    <row r="1574" ht="15" customHeight="1" s="63">
      <c r="A1574" s="85">
        <f>IF($B1574="","",ROW()-5)</f>
        <v/>
      </c>
      <c r="B1574" s="97" t="n"/>
      <c r="C1574" s="96">
        <f>IF($B1574="","",IFERROR(INDEX(DM_NHAN_SU!$C$6:$C$155,MATCH($B1574,DM_NHAN_SU!$B$6:$B$155,0)),"SAI MÃ NV"))</f>
        <v/>
      </c>
      <c r="D1574" s="86" t="n"/>
      <c r="E1574" s="103">
        <f>IF(OR($B1574="",$D1574=""),"",IF(COUNTIF(THAM_SO_CC!$F$10:$F$40,$D1574)&gt;0,"Lễ",IF(IF(THAM_SO_CC!$B$12="T7+CN",WEEKDAY($D1574,2)&gt;=6,WEEKDAY($D1574,2)=7),"Nghỉ tuần","Ngày thường")))</f>
        <v/>
      </c>
      <c r="F1574" s="107" t="n"/>
      <c r="G1574" s="107" t="n"/>
      <c r="H1574" s="107" t="n"/>
      <c r="I1574" s="81" t="n"/>
      <c r="J1574" s="108">
        <f>IF($B1574="","",IF($E1574="Ngày thường",N($G1574),0))</f>
        <v/>
      </c>
      <c r="K1574" s="108">
        <f>IF($B1574="","",IF($E1574="Nghỉ tuần",N($G1574),0))</f>
        <v/>
      </c>
      <c r="L1574" s="108">
        <f>IF($B1574="","",IF($E1574="Lễ",N($G1574),0))</f>
        <v/>
      </c>
      <c r="M1574" s="108">
        <f>IF($B1574="","",IF($E1574="Ngày thường",N($H1574),0))</f>
        <v/>
      </c>
      <c r="N1574" s="108">
        <f>IF($B1574="","",IF($E1574="Nghỉ tuần",N($H1574),0))</f>
        <v/>
      </c>
      <c r="O1574" s="108">
        <f>IF($B1574="","",IF($E1574="Lễ",N($H1574),0))</f>
        <v/>
      </c>
    </row>
    <row r="1575" ht="15" customHeight="1" s="63">
      <c r="A1575" s="85">
        <f>IF($B1575="","",ROW()-5)</f>
        <v/>
      </c>
      <c r="B1575" s="97" t="n"/>
      <c r="C1575" s="96">
        <f>IF($B1575="","",IFERROR(INDEX(DM_NHAN_SU!$C$6:$C$155,MATCH($B1575,DM_NHAN_SU!$B$6:$B$155,0)),"SAI MÃ NV"))</f>
        <v/>
      </c>
      <c r="D1575" s="86" t="n"/>
      <c r="E1575" s="103">
        <f>IF(OR($B1575="",$D1575=""),"",IF(COUNTIF(THAM_SO_CC!$F$10:$F$40,$D1575)&gt;0,"Lễ",IF(IF(THAM_SO_CC!$B$12="T7+CN",WEEKDAY($D1575,2)&gt;=6,WEEKDAY($D1575,2)=7),"Nghỉ tuần","Ngày thường")))</f>
        <v/>
      </c>
      <c r="F1575" s="107" t="n"/>
      <c r="G1575" s="107" t="n"/>
      <c r="H1575" s="107" t="n"/>
      <c r="I1575" s="81" t="n"/>
      <c r="J1575" s="108">
        <f>IF($B1575="","",IF($E1575="Ngày thường",N($G1575),0))</f>
        <v/>
      </c>
      <c r="K1575" s="108">
        <f>IF($B1575="","",IF($E1575="Nghỉ tuần",N($G1575),0))</f>
        <v/>
      </c>
      <c r="L1575" s="108">
        <f>IF($B1575="","",IF($E1575="Lễ",N($G1575),0))</f>
        <v/>
      </c>
      <c r="M1575" s="108">
        <f>IF($B1575="","",IF($E1575="Ngày thường",N($H1575),0))</f>
        <v/>
      </c>
      <c r="N1575" s="108">
        <f>IF($B1575="","",IF($E1575="Nghỉ tuần",N($H1575),0))</f>
        <v/>
      </c>
      <c r="O1575" s="108">
        <f>IF($B1575="","",IF($E1575="Lễ",N($H1575),0))</f>
        <v/>
      </c>
    </row>
    <row r="1576" ht="15" customHeight="1" s="63">
      <c r="A1576" s="85">
        <f>IF($B1576="","",ROW()-5)</f>
        <v/>
      </c>
      <c r="B1576" s="97" t="n"/>
      <c r="C1576" s="96">
        <f>IF($B1576="","",IFERROR(INDEX(DM_NHAN_SU!$C$6:$C$155,MATCH($B1576,DM_NHAN_SU!$B$6:$B$155,0)),"SAI MÃ NV"))</f>
        <v/>
      </c>
      <c r="D1576" s="86" t="n"/>
      <c r="E1576" s="103">
        <f>IF(OR($B1576="",$D1576=""),"",IF(COUNTIF(THAM_SO_CC!$F$10:$F$40,$D1576)&gt;0,"Lễ",IF(IF(THAM_SO_CC!$B$12="T7+CN",WEEKDAY($D1576,2)&gt;=6,WEEKDAY($D1576,2)=7),"Nghỉ tuần","Ngày thường")))</f>
        <v/>
      </c>
      <c r="F1576" s="107" t="n"/>
      <c r="G1576" s="107" t="n"/>
      <c r="H1576" s="107" t="n"/>
      <c r="I1576" s="81" t="n"/>
      <c r="J1576" s="108">
        <f>IF($B1576="","",IF($E1576="Ngày thường",N($G1576),0))</f>
        <v/>
      </c>
      <c r="K1576" s="108">
        <f>IF($B1576="","",IF($E1576="Nghỉ tuần",N($G1576),0))</f>
        <v/>
      </c>
      <c r="L1576" s="108">
        <f>IF($B1576="","",IF($E1576="Lễ",N($G1576),0))</f>
        <v/>
      </c>
      <c r="M1576" s="108">
        <f>IF($B1576="","",IF($E1576="Ngày thường",N($H1576),0))</f>
        <v/>
      </c>
      <c r="N1576" s="108">
        <f>IF($B1576="","",IF($E1576="Nghỉ tuần",N($H1576),0))</f>
        <v/>
      </c>
      <c r="O1576" s="108">
        <f>IF($B1576="","",IF($E1576="Lễ",N($H1576),0))</f>
        <v/>
      </c>
    </row>
    <row r="1577" ht="15" customHeight="1" s="63">
      <c r="A1577" s="85">
        <f>IF($B1577="","",ROW()-5)</f>
        <v/>
      </c>
      <c r="B1577" s="97" t="n"/>
      <c r="C1577" s="96">
        <f>IF($B1577="","",IFERROR(INDEX(DM_NHAN_SU!$C$6:$C$155,MATCH($B1577,DM_NHAN_SU!$B$6:$B$155,0)),"SAI MÃ NV"))</f>
        <v/>
      </c>
      <c r="D1577" s="86" t="n"/>
      <c r="E1577" s="103">
        <f>IF(OR($B1577="",$D1577=""),"",IF(COUNTIF(THAM_SO_CC!$F$10:$F$40,$D1577)&gt;0,"Lễ",IF(IF(THAM_SO_CC!$B$12="T7+CN",WEEKDAY($D1577,2)&gt;=6,WEEKDAY($D1577,2)=7),"Nghỉ tuần","Ngày thường")))</f>
        <v/>
      </c>
      <c r="F1577" s="107" t="n"/>
      <c r="G1577" s="107" t="n"/>
      <c r="H1577" s="107" t="n"/>
      <c r="I1577" s="81" t="n"/>
      <c r="J1577" s="108">
        <f>IF($B1577="","",IF($E1577="Ngày thường",N($G1577),0))</f>
        <v/>
      </c>
      <c r="K1577" s="108">
        <f>IF($B1577="","",IF($E1577="Nghỉ tuần",N($G1577),0))</f>
        <v/>
      </c>
      <c r="L1577" s="108">
        <f>IF($B1577="","",IF($E1577="Lễ",N($G1577),0))</f>
        <v/>
      </c>
      <c r="M1577" s="108">
        <f>IF($B1577="","",IF($E1577="Ngày thường",N($H1577),0))</f>
        <v/>
      </c>
      <c r="N1577" s="108">
        <f>IF($B1577="","",IF($E1577="Nghỉ tuần",N($H1577),0))</f>
        <v/>
      </c>
      <c r="O1577" s="108">
        <f>IF($B1577="","",IF($E1577="Lễ",N($H1577),0))</f>
        <v/>
      </c>
    </row>
    <row r="1578" ht="15" customHeight="1" s="63">
      <c r="A1578" s="85">
        <f>IF($B1578="","",ROW()-5)</f>
        <v/>
      </c>
      <c r="B1578" s="97" t="n"/>
      <c r="C1578" s="96">
        <f>IF($B1578="","",IFERROR(INDEX(DM_NHAN_SU!$C$6:$C$155,MATCH($B1578,DM_NHAN_SU!$B$6:$B$155,0)),"SAI MÃ NV"))</f>
        <v/>
      </c>
      <c r="D1578" s="86" t="n"/>
      <c r="E1578" s="103">
        <f>IF(OR($B1578="",$D1578=""),"",IF(COUNTIF(THAM_SO_CC!$F$10:$F$40,$D1578)&gt;0,"Lễ",IF(IF(THAM_SO_CC!$B$12="T7+CN",WEEKDAY($D1578,2)&gt;=6,WEEKDAY($D1578,2)=7),"Nghỉ tuần","Ngày thường")))</f>
        <v/>
      </c>
      <c r="F1578" s="107" t="n"/>
      <c r="G1578" s="107" t="n"/>
      <c r="H1578" s="107" t="n"/>
      <c r="I1578" s="81" t="n"/>
      <c r="J1578" s="108">
        <f>IF($B1578="","",IF($E1578="Ngày thường",N($G1578),0))</f>
        <v/>
      </c>
      <c r="K1578" s="108">
        <f>IF($B1578="","",IF($E1578="Nghỉ tuần",N($G1578),0))</f>
        <v/>
      </c>
      <c r="L1578" s="108">
        <f>IF($B1578="","",IF($E1578="Lễ",N($G1578),0))</f>
        <v/>
      </c>
      <c r="M1578" s="108">
        <f>IF($B1578="","",IF($E1578="Ngày thường",N($H1578),0))</f>
        <v/>
      </c>
      <c r="N1578" s="108">
        <f>IF($B1578="","",IF($E1578="Nghỉ tuần",N($H1578),0))</f>
        <v/>
      </c>
      <c r="O1578" s="108">
        <f>IF($B1578="","",IF($E1578="Lễ",N($H1578),0))</f>
        <v/>
      </c>
    </row>
    <row r="1579" ht="15" customHeight="1" s="63">
      <c r="A1579" s="85">
        <f>IF($B1579="","",ROW()-5)</f>
        <v/>
      </c>
      <c r="B1579" s="97" t="n"/>
      <c r="C1579" s="96">
        <f>IF($B1579="","",IFERROR(INDEX(DM_NHAN_SU!$C$6:$C$155,MATCH($B1579,DM_NHAN_SU!$B$6:$B$155,0)),"SAI MÃ NV"))</f>
        <v/>
      </c>
      <c r="D1579" s="86" t="n"/>
      <c r="E1579" s="103">
        <f>IF(OR($B1579="",$D1579=""),"",IF(COUNTIF(THAM_SO_CC!$F$10:$F$40,$D1579)&gt;0,"Lễ",IF(IF(THAM_SO_CC!$B$12="T7+CN",WEEKDAY($D1579,2)&gt;=6,WEEKDAY($D1579,2)=7),"Nghỉ tuần","Ngày thường")))</f>
        <v/>
      </c>
      <c r="F1579" s="107" t="n"/>
      <c r="G1579" s="107" t="n"/>
      <c r="H1579" s="107" t="n"/>
      <c r="I1579" s="81" t="n"/>
      <c r="J1579" s="108">
        <f>IF($B1579="","",IF($E1579="Ngày thường",N($G1579),0))</f>
        <v/>
      </c>
      <c r="K1579" s="108">
        <f>IF($B1579="","",IF($E1579="Nghỉ tuần",N($G1579),0))</f>
        <v/>
      </c>
      <c r="L1579" s="108">
        <f>IF($B1579="","",IF($E1579="Lễ",N($G1579),0))</f>
        <v/>
      </c>
      <c r="M1579" s="108">
        <f>IF($B1579="","",IF($E1579="Ngày thường",N($H1579),0))</f>
        <v/>
      </c>
      <c r="N1579" s="108">
        <f>IF($B1579="","",IF($E1579="Nghỉ tuần",N($H1579),0))</f>
        <v/>
      </c>
      <c r="O1579" s="108">
        <f>IF($B1579="","",IF($E1579="Lễ",N($H1579),0))</f>
        <v/>
      </c>
    </row>
    <row r="1580" ht="15" customHeight="1" s="63">
      <c r="A1580" s="85">
        <f>IF($B1580="","",ROW()-5)</f>
        <v/>
      </c>
      <c r="B1580" s="97" t="n"/>
      <c r="C1580" s="96">
        <f>IF($B1580="","",IFERROR(INDEX(DM_NHAN_SU!$C$6:$C$155,MATCH($B1580,DM_NHAN_SU!$B$6:$B$155,0)),"SAI MÃ NV"))</f>
        <v/>
      </c>
      <c r="D1580" s="86" t="n"/>
      <c r="E1580" s="103">
        <f>IF(OR($B1580="",$D1580=""),"",IF(COUNTIF(THAM_SO_CC!$F$10:$F$40,$D1580)&gt;0,"Lễ",IF(IF(THAM_SO_CC!$B$12="T7+CN",WEEKDAY($D1580,2)&gt;=6,WEEKDAY($D1580,2)=7),"Nghỉ tuần","Ngày thường")))</f>
        <v/>
      </c>
      <c r="F1580" s="107" t="n"/>
      <c r="G1580" s="107" t="n"/>
      <c r="H1580" s="107" t="n"/>
      <c r="I1580" s="81" t="n"/>
      <c r="J1580" s="108">
        <f>IF($B1580="","",IF($E1580="Ngày thường",N($G1580),0))</f>
        <v/>
      </c>
      <c r="K1580" s="108">
        <f>IF($B1580="","",IF($E1580="Nghỉ tuần",N($G1580),0))</f>
        <v/>
      </c>
      <c r="L1580" s="108">
        <f>IF($B1580="","",IF($E1580="Lễ",N($G1580),0))</f>
        <v/>
      </c>
      <c r="M1580" s="108">
        <f>IF($B1580="","",IF($E1580="Ngày thường",N($H1580),0))</f>
        <v/>
      </c>
      <c r="N1580" s="108">
        <f>IF($B1580="","",IF($E1580="Nghỉ tuần",N($H1580),0))</f>
        <v/>
      </c>
      <c r="O1580" s="108">
        <f>IF($B1580="","",IF($E1580="Lễ",N($H1580),0))</f>
        <v/>
      </c>
    </row>
    <row r="1581" ht="15" customHeight="1" s="63">
      <c r="A1581" s="85">
        <f>IF($B1581="","",ROW()-5)</f>
        <v/>
      </c>
      <c r="B1581" s="97" t="n"/>
      <c r="C1581" s="96">
        <f>IF($B1581="","",IFERROR(INDEX(DM_NHAN_SU!$C$6:$C$155,MATCH($B1581,DM_NHAN_SU!$B$6:$B$155,0)),"SAI MÃ NV"))</f>
        <v/>
      </c>
      <c r="D1581" s="86" t="n"/>
      <c r="E1581" s="103">
        <f>IF(OR($B1581="",$D1581=""),"",IF(COUNTIF(THAM_SO_CC!$F$10:$F$40,$D1581)&gt;0,"Lễ",IF(IF(THAM_SO_CC!$B$12="T7+CN",WEEKDAY($D1581,2)&gt;=6,WEEKDAY($D1581,2)=7),"Nghỉ tuần","Ngày thường")))</f>
        <v/>
      </c>
      <c r="F1581" s="107" t="n"/>
      <c r="G1581" s="107" t="n"/>
      <c r="H1581" s="107" t="n"/>
      <c r="I1581" s="81" t="n"/>
      <c r="J1581" s="108">
        <f>IF($B1581="","",IF($E1581="Ngày thường",N($G1581),0))</f>
        <v/>
      </c>
      <c r="K1581" s="108">
        <f>IF($B1581="","",IF($E1581="Nghỉ tuần",N($G1581),0))</f>
        <v/>
      </c>
      <c r="L1581" s="108">
        <f>IF($B1581="","",IF($E1581="Lễ",N($G1581),0))</f>
        <v/>
      </c>
      <c r="M1581" s="108">
        <f>IF($B1581="","",IF($E1581="Ngày thường",N($H1581),0))</f>
        <v/>
      </c>
      <c r="N1581" s="108">
        <f>IF($B1581="","",IF($E1581="Nghỉ tuần",N($H1581),0))</f>
        <v/>
      </c>
      <c r="O1581" s="108">
        <f>IF($B1581="","",IF($E1581="Lễ",N($H1581),0))</f>
        <v/>
      </c>
    </row>
    <row r="1582" ht="15" customHeight="1" s="63">
      <c r="A1582" s="85">
        <f>IF($B1582="","",ROW()-5)</f>
        <v/>
      </c>
      <c r="B1582" s="97" t="n"/>
      <c r="C1582" s="96">
        <f>IF($B1582="","",IFERROR(INDEX(DM_NHAN_SU!$C$6:$C$155,MATCH($B1582,DM_NHAN_SU!$B$6:$B$155,0)),"SAI MÃ NV"))</f>
        <v/>
      </c>
      <c r="D1582" s="86" t="n"/>
      <c r="E1582" s="103">
        <f>IF(OR($B1582="",$D1582=""),"",IF(COUNTIF(THAM_SO_CC!$F$10:$F$40,$D1582)&gt;0,"Lễ",IF(IF(THAM_SO_CC!$B$12="T7+CN",WEEKDAY($D1582,2)&gt;=6,WEEKDAY($D1582,2)=7),"Nghỉ tuần","Ngày thường")))</f>
        <v/>
      </c>
      <c r="F1582" s="107" t="n"/>
      <c r="G1582" s="107" t="n"/>
      <c r="H1582" s="107" t="n"/>
      <c r="I1582" s="81" t="n"/>
      <c r="J1582" s="108">
        <f>IF($B1582="","",IF($E1582="Ngày thường",N($G1582),0))</f>
        <v/>
      </c>
      <c r="K1582" s="108">
        <f>IF($B1582="","",IF($E1582="Nghỉ tuần",N($G1582),0))</f>
        <v/>
      </c>
      <c r="L1582" s="108">
        <f>IF($B1582="","",IF($E1582="Lễ",N($G1582),0))</f>
        <v/>
      </c>
      <c r="M1582" s="108">
        <f>IF($B1582="","",IF($E1582="Ngày thường",N($H1582),0))</f>
        <v/>
      </c>
      <c r="N1582" s="108">
        <f>IF($B1582="","",IF($E1582="Nghỉ tuần",N($H1582),0))</f>
        <v/>
      </c>
      <c r="O1582" s="108">
        <f>IF($B1582="","",IF($E1582="Lễ",N($H1582),0))</f>
        <v/>
      </c>
    </row>
    <row r="1583" ht="15" customHeight="1" s="63">
      <c r="A1583" s="85">
        <f>IF($B1583="","",ROW()-5)</f>
        <v/>
      </c>
      <c r="B1583" s="97" t="n"/>
      <c r="C1583" s="96">
        <f>IF($B1583="","",IFERROR(INDEX(DM_NHAN_SU!$C$6:$C$155,MATCH($B1583,DM_NHAN_SU!$B$6:$B$155,0)),"SAI MÃ NV"))</f>
        <v/>
      </c>
      <c r="D1583" s="86" t="n"/>
      <c r="E1583" s="103">
        <f>IF(OR($B1583="",$D1583=""),"",IF(COUNTIF(THAM_SO_CC!$F$10:$F$40,$D1583)&gt;0,"Lễ",IF(IF(THAM_SO_CC!$B$12="T7+CN",WEEKDAY($D1583,2)&gt;=6,WEEKDAY($D1583,2)=7),"Nghỉ tuần","Ngày thường")))</f>
        <v/>
      </c>
      <c r="F1583" s="107" t="n"/>
      <c r="G1583" s="107" t="n"/>
      <c r="H1583" s="107" t="n"/>
      <c r="I1583" s="81" t="n"/>
      <c r="J1583" s="108">
        <f>IF($B1583="","",IF($E1583="Ngày thường",N($G1583),0))</f>
        <v/>
      </c>
      <c r="K1583" s="108">
        <f>IF($B1583="","",IF($E1583="Nghỉ tuần",N($G1583),0))</f>
        <v/>
      </c>
      <c r="L1583" s="108">
        <f>IF($B1583="","",IF($E1583="Lễ",N($G1583),0))</f>
        <v/>
      </c>
      <c r="M1583" s="108">
        <f>IF($B1583="","",IF($E1583="Ngày thường",N($H1583),0))</f>
        <v/>
      </c>
      <c r="N1583" s="108">
        <f>IF($B1583="","",IF($E1583="Nghỉ tuần",N($H1583),0))</f>
        <v/>
      </c>
      <c r="O1583" s="108">
        <f>IF($B1583="","",IF($E1583="Lễ",N($H1583),0))</f>
        <v/>
      </c>
    </row>
    <row r="1584" ht="15" customHeight="1" s="63">
      <c r="A1584" s="85">
        <f>IF($B1584="","",ROW()-5)</f>
        <v/>
      </c>
      <c r="B1584" s="97" t="n"/>
      <c r="C1584" s="96">
        <f>IF($B1584="","",IFERROR(INDEX(DM_NHAN_SU!$C$6:$C$155,MATCH($B1584,DM_NHAN_SU!$B$6:$B$155,0)),"SAI MÃ NV"))</f>
        <v/>
      </c>
      <c r="D1584" s="86" t="n"/>
      <c r="E1584" s="103">
        <f>IF(OR($B1584="",$D1584=""),"",IF(COUNTIF(THAM_SO_CC!$F$10:$F$40,$D1584)&gt;0,"Lễ",IF(IF(THAM_SO_CC!$B$12="T7+CN",WEEKDAY($D1584,2)&gt;=6,WEEKDAY($D1584,2)=7),"Nghỉ tuần","Ngày thường")))</f>
        <v/>
      </c>
      <c r="F1584" s="107" t="n"/>
      <c r="G1584" s="107" t="n"/>
      <c r="H1584" s="107" t="n"/>
      <c r="I1584" s="81" t="n"/>
      <c r="J1584" s="108">
        <f>IF($B1584="","",IF($E1584="Ngày thường",N($G1584),0))</f>
        <v/>
      </c>
      <c r="K1584" s="108">
        <f>IF($B1584="","",IF($E1584="Nghỉ tuần",N($G1584),0))</f>
        <v/>
      </c>
      <c r="L1584" s="108">
        <f>IF($B1584="","",IF($E1584="Lễ",N($G1584),0))</f>
        <v/>
      </c>
      <c r="M1584" s="108">
        <f>IF($B1584="","",IF($E1584="Ngày thường",N($H1584),0))</f>
        <v/>
      </c>
      <c r="N1584" s="108">
        <f>IF($B1584="","",IF($E1584="Nghỉ tuần",N($H1584),0))</f>
        <v/>
      </c>
      <c r="O1584" s="108">
        <f>IF($B1584="","",IF($E1584="Lễ",N($H1584),0))</f>
        <v/>
      </c>
    </row>
    <row r="1585" ht="15" customHeight="1" s="63">
      <c r="A1585" s="85">
        <f>IF($B1585="","",ROW()-5)</f>
        <v/>
      </c>
      <c r="B1585" s="97" t="n"/>
      <c r="C1585" s="96">
        <f>IF($B1585="","",IFERROR(INDEX(DM_NHAN_SU!$C$6:$C$155,MATCH($B1585,DM_NHAN_SU!$B$6:$B$155,0)),"SAI MÃ NV"))</f>
        <v/>
      </c>
      <c r="D1585" s="86" t="n"/>
      <c r="E1585" s="103">
        <f>IF(OR($B1585="",$D1585=""),"",IF(COUNTIF(THAM_SO_CC!$F$10:$F$40,$D1585)&gt;0,"Lễ",IF(IF(THAM_SO_CC!$B$12="T7+CN",WEEKDAY($D1585,2)&gt;=6,WEEKDAY($D1585,2)=7),"Nghỉ tuần","Ngày thường")))</f>
        <v/>
      </c>
      <c r="F1585" s="107" t="n"/>
      <c r="G1585" s="107" t="n"/>
      <c r="H1585" s="107" t="n"/>
      <c r="I1585" s="81" t="n"/>
      <c r="J1585" s="108">
        <f>IF($B1585="","",IF($E1585="Ngày thường",N($G1585),0))</f>
        <v/>
      </c>
      <c r="K1585" s="108">
        <f>IF($B1585="","",IF($E1585="Nghỉ tuần",N($G1585),0))</f>
        <v/>
      </c>
      <c r="L1585" s="108">
        <f>IF($B1585="","",IF($E1585="Lễ",N($G1585),0))</f>
        <v/>
      </c>
      <c r="M1585" s="108">
        <f>IF($B1585="","",IF($E1585="Ngày thường",N($H1585),0))</f>
        <v/>
      </c>
      <c r="N1585" s="108">
        <f>IF($B1585="","",IF($E1585="Nghỉ tuần",N($H1585),0))</f>
        <v/>
      </c>
      <c r="O1585" s="108">
        <f>IF($B1585="","",IF($E1585="Lễ",N($H1585),0))</f>
        <v/>
      </c>
    </row>
    <row r="1586" ht="15" customHeight="1" s="63">
      <c r="A1586" s="85">
        <f>IF($B1586="","",ROW()-5)</f>
        <v/>
      </c>
      <c r="B1586" s="97" t="n"/>
      <c r="C1586" s="96">
        <f>IF($B1586="","",IFERROR(INDEX(DM_NHAN_SU!$C$6:$C$155,MATCH($B1586,DM_NHAN_SU!$B$6:$B$155,0)),"SAI MÃ NV"))</f>
        <v/>
      </c>
      <c r="D1586" s="86" t="n"/>
      <c r="E1586" s="103">
        <f>IF(OR($B1586="",$D1586=""),"",IF(COUNTIF(THAM_SO_CC!$F$10:$F$40,$D1586)&gt;0,"Lễ",IF(IF(THAM_SO_CC!$B$12="T7+CN",WEEKDAY($D1586,2)&gt;=6,WEEKDAY($D1586,2)=7),"Nghỉ tuần","Ngày thường")))</f>
        <v/>
      </c>
      <c r="F1586" s="107" t="n"/>
      <c r="G1586" s="107" t="n"/>
      <c r="H1586" s="107" t="n"/>
      <c r="I1586" s="81" t="n"/>
      <c r="J1586" s="108">
        <f>IF($B1586="","",IF($E1586="Ngày thường",N($G1586),0))</f>
        <v/>
      </c>
      <c r="K1586" s="108">
        <f>IF($B1586="","",IF($E1586="Nghỉ tuần",N($G1586),0))</f>
        <v/>
      </c>
      <c r="L1586" s="108">
        <f>IF($B1586="","",IF($E1586="Lễ",N($G1586),0))</f>
        <v/>
      </c>
      <c r="M1586" s="108">
        <f>IF($B1586="","",IF($E1586="Ngày thường",N($H1586),0))</f>
        <v/>
      </c>
      <c r="N1586" s="108">
        <f>IF($B1586="","",IF($E1586="Nghỉ tuần",N($H1586),0))</f>
        <v/>
      </c>
      <c r="O1586" s="108">
        <f>IF($B1586="","",IF($E1586="Lễ",N($H1586),0))</f>
        <v/>
      </c>
    </row>
    <row r="1587" ht="15" customHeight="1" s="63">
      <c r="A1587" s="85">
        <f>IF($B1587="","",ROW()-5)</f>
        <v/>
      </c>
      <c r="B1587" s="97" t="n"/>
      <c r="C1587" s="96">
        <f>IF($B1587="","",IFERROR(INDEX(DM_NHAN_SU!$C$6:$C$155,MATCH($B1587,DM_NHAN_SU!$B$6:$B$155,0)),"SAI MÃ NV"))</f>
        <v/>
      </c>
      <c r="D1587" s="86" t="n"/>
      <c r="E1587" s="103">
        <f>IF(OR($B1587="",$D1587=""),"",IF(COUNTIF(THAM_SO_CC!$F$10:$F$40,$D1587)&gt;0,"Lễ",IF(IF(THAM_SO_CC!$B$12="T7+CN",WEEKDAY($D1587,2)&gt;=6,WEEKDAY($D1587,2)=7),"Nghỉ tuần","Ngày thường")))</f>
        <v/>
      </c>
      <c r="F1587" s="107" t="n"/>
      <c r="G1587" s="107" t="n"/>
      <c r="H1587" s="107" t="n"/>
      <c r="I1587" s="81" t="n"/>
      <c r="J1587" s="108">
        <f>IF($B1587="","",IF($E1587="Ngày thường",N($G1587),0))</f>
        <v/>
      </c>
      <c r="K1587" s="108">
        <f>IF($B1587="","",IF($E1587="Nghỉ tuần",N($G1587),0))</f>
        <v/>
      </c>
      <c r="L1587" s="108">
        <f>IF($B1587="","",IF($E1587="Lễ",N($G1587),0))</f>
        <v/>
      </c>
      <c r="M1587" s="108">
        <f>IF($B1587="","",IF($E1587="Ngày thường",N($H1587),0))</f>
        <v/>
      </c>
      <c r="N1587" s="108">
        <f>IF($B1587="","",IF($E1587="Nghỉ tuần",N($H1587),0))</f>
        <v/>
      </c>
      <c r="O1587" s="108">
        <f>IF($B1587="","",IF($E1587="Lễ",N($H1587),0))</f>
        <v/>
      </c>
    </row>
    <row r="1588" ht="15" customHeight="1" s="63">
      <c r="A1588" s="85">
        <f>IF($B1588="","",ROW()-5)</f>
        <v/>
      </c>
      <c r="B1588" s="97" t="n"/>
      <c r="C1588" s="96">
        <f>IF($B1588="","",IFERROR(INDEX(DM_NHAN_SU!$C$6:$C$155,MATCH($B1588,DM_NHAN_SU!$B$6:$B$155,0)),"SAI MÃ NV"))</f>
        <v/>
      </c>
      <c r="D1588" s="86" t="n"/>
      <c r="E1588" s="103">
        <f>IF(OR($B1588="",$D1588=""),"",IF(COUNTIF(THAM_SO_CC!$F$10:$F$40,$D1588)&gt;0,"Lễ",IF(IF(THAM_SO_CC!$B$12="T7+CN",WEEKDAY($D1588,2)&gt;=6,WEEKDAY($D1588,2)=7),"Nghỉ tuần","Ngày thường")))</f>
        <v/>
      </c>
      <c r="F1588" s="107" t="n"/>
      <c r="G1588" s="107" t="n"/>
      <c r="H1588" s="107" t="n"/>
      <c r="I1588" s="81" t="n"/>
      <c r="J1588" s="108">
        <f>IF($B1588="","",IF($E1588="Ngày thường",N($G1588),0))</f>
        <v/>
      </c>
      <c r="K1588" s="108">
        <f>IF($B1588="","",IF($E1588="Nghỉ tuần",N($G1588),0))</f>
        <v/>
      </c>
      <c r="L1588" s="108">
        <f>IF($B1588="","",IF($E1588="Lễ",N($G1588),0))</f>
        <v/>
      </c>
      <c r="M1588" s="108">
        <f>IF($B1588="","",IF($E1588="Ngày thường",N($H1588),0))</f>
        <v/>
      </c>
      <c r="N1588" s="108">
        <f>IF($B1588="","",IF($E1588="Nghỉ tuần",N($H1588),0))</f>
        <v/>
      </c>
      <c r="O1588" s="108">
        <f>IF($B1588="","",IF($E1588="Lễ",N($H1588),0))</f>
        <v/>
      </c>
    </row>
    <row r="1589" ht="15" customHeight="1" s="63">
      <c r="A1589" s="85">
        <f>IF($B1589="","",ROW()-5)</f>
        <v/>
      </c>
      <c r="B1589" s="97" t="n"/>
      <c r="C1589" s="96">
        <f>IF($B1589="","",IFERROR(INDEX(DM_NHAN_SU!$C$6:$C$155,MATCH($B1589,DM_NHAN_SU!$B$6:$B$155,0)),"SAI MÃ NV"))</f>
        <v/>
      </c>
      <c r="D1589" s="86" t="n"/>
      <c r="E1589" s="103">
        <f>IF(OR($B1589="",$D1589=""),"",IF(COUNTIF(THAM_SO_CC!$F$10:$F$40,$D1589)&gt;0,"Lễ",IF(IF(THAM_SO_CC!$B$12="T7+CN",WEEKDAY($D1589,2)&gt;=6,WEEKDAY($D1589,2)=7),"Nghỉ tuần","Ngày thường")))</f>
        <v/>
      </c>
      <c r="F1589" s="107" t="n"/>
      <c r="G1589" s="107" t="n"/>
      <c r="H1589" s="107" t="n"/>
      <c r="I1589" s="81" t="n"/>
      <c r="J1589" s="108">
        <f>IF($B1589="","",IF($E1589="Ngày thường",N($G1589),0))</f>
        <v/>
      </c>
      <c r="K1589" s="108">
        <f>IF($B1589="","",IF($E1589="Nghỉ tuần",N($G1589),0))</f>
        <v/>
      </c>
      <c r="L1589" s="108">
        <f>IF($B1589="","",IF($E1589="Lễ",N($G1589),0))</f>
        <v/>
      </c>
      <c r="M1589" s="108">
        <f>IF($B1589="","",IF($E1589="Ngày thường",N($H1589),0))</f>
        <v/>
      </c>
      <c r="N1589" s="108">
        <f>IF($B1589="","",IF($E1589="Nghỉ tuần",N($H1589),0))</f>
        <v/>
      </c>
      <c r="O1589" s="108">
        <f>IF($B1589="","",IF($E1589="Lễ",N($H1589),0))</f>
        <v/>
      </c>
    </row>
    <row r="1590" ht="15" customHeight="1" s="63">
      <c r="A1590" s="85">
        <f>IF($B1590="","",ROW()-5)</f>
        <v/>
      </c>
      <c r="B1590" s="97" t="n"/>
      <c r="C1590" s="96">
        <f>IF($B1590="","",IFERROR(INDEX(DM_NHAN_SU!$C$6:$C$155,MATCH($B1590,DM_NHAN_SU!$B$6:$B$155,0)),"SAI MÃ NV"))</f>
        <v/>
      </c>
      <c r="D1590" s="86" t="n"/>
      <c r="E1590" s="103">
        <f>IF(OR($B1590="",$D1590=""),"",IF(COUNTIF(THAM_SO_CC!$F$10:$F$40,$D1590)&gt;0,"Lễ",IF(IF(THAM_SO_CC!$B$12="T7+CN",WEEKDAY($D1590,2)&gt;=6,WEEKDAY($D1590,2)=7),"Nghỉ tuần","Ngày thường")))</f>
        <v/>
      </c>
      <c r="F1590" s="107" t="n"/>
      <c r="G1590" s="107" t="n"/>
      <c r="H1590" s="107" t="n"/>
      <c r="I1590" s="81" t="n"/>
      <c r="J1590" s="108">
        <f>IF($B1590="","",IF($E1590="Ngày thường",N($G1590),0))</f>
        <v/>
      </c>
      <c r="K1590" s="108">
        <f>IF($B1590="","",IF($E1590="Nghỉ tuần",N($G1590),0))</f>
        <v/>
      </c>
      <c r="L1590" s="108">
        <f>IF($B1590="","",IF($E1590="Lễ",N($G1590),0))</f>
        <v/>
      </c>
      <c r="M1590" s="108">
        <f>IF($B1590="","",IF($E1590="Ngày thường",N($H1590),0))</f>
        <v/>
      </c>
      <c r="N1590" s="108">
        <f>IF($B1590="","",IF($E1590="Nghỉ tuần",N($H1590),0))</f>
        <v/>
      </c>
      <c r="O1590" s="108">
        <f>IF($B1590="","",IF($E1590="Lễ",N($H1590),0))</f>
        <v/>
      </c>
    </row>
    <row r="1591" ht="15" customHeight="1" s="63">
      <c r="A1591" s="85">
        <f>IF($B1591="","",ROW()-5)</f>
        <v/>
      </c>
      <c r="B1591" s="97" t="n"/>
      <c r="C1591" s="96">
        <f>IF($B1591="","",IFERROR(INDEX(DM_NHAN_SU!$C$6:$C$155,MATCH($B1591,DM_NHAN_SU!$B$6:$B$155,0)),"SAI MÃ NV"))</f>
        <v/>
      </c>
      <c r="D1591" s="86" t="n"/>
      <c r="E1591" s="103">
        <f>IF(OR($B1591="",$D1591=""),"",IF(COUNTIF(THAM_SO_CC!$F$10:$F$40,$D1591)&gt;0,"Lễ",IF(IF(THAM_SO_CC!$B$12="T7+CN",WEEKDAY($D1591,2)&gt;=6,WEEKDAY($D1591,2)=7),"Nghỉ tuần","Ngày thường")))</f>
        <v/>
      </c>
      <c r="F1591" s="107" t="n"/>
      <c r="G1591" s="107" t="n"/>
      <c r="H1591" s="107" t="n"/>
      <c r="I1591" s="81" t="n"/>
      <c r="J1591" s="108">
        <f>IF($B1591="","",IF($E1591="Ngày thường",N($G1591),0))</f>
        <v/>
      </c>
      <c r="K1591" s="108">
        <f>IF($B1591="","",IF($E1591="Nghỉ tuần",N($G1591),0))</f>
        <v/>
      </c>
      <c r="L1591" s="108">
        <f>IF($B1591="","",IF($E1591="Lễ",N($G1591),0))</f>
        <v/>
      </c>
      <c r="M1591" s="108">
        <f>IF($B1591="","",IF($E1591="Ngày thường",N($H1591),0))</f>
        <v/>
      </c>
      <c r="N1591" s="108">
        <f>IF($B1591="","",IF($E1591="Nghỉ tuần",N($H1591),0))</f>
        <v/>
      </c>
      <c r="O1591" s="108">
        <f>IF($B1591="","",IF($E1591="Lễ",N($H1591),0))</f>
        <v/>
      </c>
    </row>
    <row r="1592" ht="15" customHeight="1" s="63">
      <c r="A1592" s="85">
        <f>IF($B1592="","",ROW()-5)</f>
        <v/>
      </c>
      <c r="B1592" s="97" t="n"/>
      <c r="C1592" s="96">
        <f>IF($B1592="","",IFERROR(INDEX(DM_NHAN_SU!$C$6:$C$155,MATCH($B1592,DM_NHAN_SU!$B$6:$B$155,0)),"SAI MÃ NV"))</f>
        <v/>
      </c>
      <c r="D1592" s="86" t="n"/>
      <c r="E1592" s="103">
        <f>IF(OR($B1592="",$D1592=""),"",IF(COUNTIF(THAM_SO_CC!$F$10:$F$40,$D1592)&gt;0,"Lễ",IF(IF(THAM_SO_CC!$B$12="T7+CN",WEEKDAY($D1592,2)&gt;=6,WEEKDAY($D1592,2)=7),"Nghỉ tuần","Ngày thường")))</f>
        <v/>
      </c>
      <c r="F1592" s="107" t="n"/>
      <c r="G1592" s="107" t="n"/>
      <c r="H1592" s="107" t="n"/>
      <c r="I1592" s="81" t="n"/>
      <c r="J1592" s="108">
        <f>IF($B1592="","",IF($E1592="Ngày thường",N($G1592),0))</f>
        <v/>
      </c>
      <c r="K1592" s="108">
        <f>IF($B1592="","",IF($E1592="Nghỉ tuần",N($G1592),0))</f>
        <v/>
      </c>
      <c r="L1592" s="108">
        <f>IF($B1592="","",IF($E1592="Lễ",N($G1592),0))</f>
        <v/>
      </c>
      <c r="M1592" s="108">
        <f>IF($B1592="","",IF($E1592="Ngày thường",N($H1592),0))</f>
        <v/>
      </c>
      <c r="N1592" s="108">
        <f>IF($B1592="","",IF($E1592="Nghỉ tuần",N($H1592),0))</f>
        <v/>
      </c>
      <c r="O1592" s="108">
        <f>IF($B1592="","",IF($E1592="Lễ",N($H1592),0))</f>
        <v/>
      </c>
    </row>
    <row r="1593" ht="15" customHeight="1" s="63">
      <c r="A1593" s="85">
        <f>IF($B1593="","",ROW()-5)</f>
        <v/>
      </c>
      <c r="B1593" s="97" t="n"/>
      <c r="C1593" s="96">
        <f>IF($B1593="","",IFERROR(INDEX(DM_NHAN_SU!$C$6:$C$155,MATCH($B1593,DM_NHAN_SU!$B$6:$B$155,0)),"SAI MÃ NV"))</f>
        <v/>
      </c>
      <c r="D1593" s="86" t="n"/>
      <c r="E1593" s="103">
        <f>IF(OR($B1593="",$D1593=""),"",IF(COUNTIF(THAM_SO_CC!$F$10:$F$40,$D1593)&gt;0,"Lễ",IF(IF(THAM_SO_CC!$B$12="T7+CN",WEEKDAY($D1593,2)&gt;=6,WEEKDAY($D1593,2)=7),"Nghỉ tuần","Ngày thường")))</f>
        <v/>
      </c>
      <c r="F1593" s="107" t="n"/>
      <c r="G1593" s="107" t="n"/>
      <c r="H1593" s="107" t="n"/>
      <c r="I1593" s="81" t="n"/>
      <c r="J1593" s="108">
        <f>IF($B1593="","",IF($E1593="Ngày thường",N($G1593),0))</f>
        <v/>
      </c>
      <c r="K1593" s="108">
        <f>IF($B1593="","",IF($E1593="Nghỉ tuần",N($G1593),0))</f>
        <v/>
      </c>
      <c r="L1593" s="108">
        <f>IF($B1593="","",IF($E1593="Lễ",N($G1593),0))</f>
        <v/>
      </c>
      <c r="M1593" s="108">
        <f>IF($B1593="","",IF($E1593="Ngày thường",N($H1593),0))</f>
        <v/>
      </c>
      <c r="N1593" s="108">
        <f>IF($B1593="","",IF($E1593="Nghỉ tuần",N($H1593),0))</f>
        <v/>
      </c>
      <c r="O1593" s="108">
        <f>IF($B1593="","",IF($E1593="Lễ",N($H1593),0))</f>
        <v/>
      </c>
    </row>
    <row r="1594" ht="15" customHeight="1" s="63">
      <c r="A1594" s="85">
        <f>IF($B1594="","",ROW()-5)</f>
        <v/>
      </c>
      <c r="B1594" s="97" t="n"/>
      <c r="C1594" s="96">
        <f>IF($B1594="","",IFERROR(INDEX(DM_NHAN_SU!$C$6:$C$155,MATCH($B1594,DM_NHAN_SU!$B$6:$B$155,0)),"SAI MÃ NV"))</f>
        <v/>
      </c>
      <c r="D1594" s="86" t="n"/>
      <c r="E1594" s="103">
        <f>IF(OR($B1594="",$D1594=""),"",IF(COUNTIF(THAM_SO_CC!$F$10:$F$40,$D1594)&gt;0,"Lễ",IF(IF(THAM_SO_CC!$B$12="T7+CN",WEEKDAY($D1594,2)&gt;=6,WEEKDAY($D1594,2)=7),"Nghỉ tuần","Ngày thường")))</f>
        <v/>
      </c>
      <c r="F1594" s="107" t="n"/>
      <c r="G1594" s="107" t="n"/>
      <c r="H1594" s="107" t="n"/>
      <c r="I1594" s="81" t="n"/>
      <c r="J1594" s="108">
        <f>IF($B1594="","",IF($E1594="Ngày thường",N($G1594),0))</f>
        <v/>
      </c>
      <c r="K1594" s="108">
        <f>IF($B1594="","",IF($E1594="Nghỉ tuần",N($G1594),0))</f>
        <v/>
      </c>
      <c r="L1594" s="108">
        <f>IF($B1594="","",IF($E1594="Lễ",N($G1594),0))</f>
        <v/>
      </c>
      <c r="M1594" s="108">
        <f>IF($B1594="","",IF($E1594="Ngày thường",N($H1594),0))</f>
        <v/>
      </c>
      <c r="N1594" s="108">
        <f>IF($B1594="","",IF($E1594="Nghỉ tuần",N($H1594),0))</f>
        <v/>
      </c>
      <c r="O1594" s="108">
        <f>IF($B1594="","",IF($E1594="Lễ",N($H1594),0))</f>
        <v/>
      </c>
    </row>
    <row r="1595" ht="15" customHeight="1" s="63">
      <c r="A1595" s="85">
        <f>IF($B1595="","",ROW()-5)</f>
        <v/>
      </c>
      <c r="B1595" s="97" t="n"/>
      <c r="C1595" s="96">
        <f>IF($B1595="","",IFERROR(INDEX(DM_NHAN_SU!$C$6:$C$155,MATCH($B1595,DM_NHAN_SU!$B$6:$B$155,0)),"SAI MÃ NV"))</f>
        <v/>
      </c>
      <c r="D1595" s="86" t="n"/>
      <c r="E1595" s="103">
        <f>IF(OR($B1595="",$D1595=""),"",IF(COUNTIF(THAM_SO_CC!$F$10:$F$40,$D1595)&gt;0,"Lễ",IF(IF(THAM_SO_CC!$B$12="T7+CN",WEEKDAY($D1595,2)&gt;=6,WEEKDAY($D1595,2)=7),"Nghỉ tuần","Ngày thường")))</f>
        <v/>
      </c>
      <c r="F1595" s="107" t="n"/>
      <c r="G1595" s="107" t="n"/>
      <c r="H1595" s="107" t="n"/>
      <c r="I1595" s="81" t="n"/>
      <c r="J1595" s="108">
        <f>IF($B1595="","",IF($E1595="Ngày thường",N($G1595),0))</f>
        <v/>
      </c>
      <c r="K1595" s="108">
        <f>IF($B1595="","",IF($E1595="Nghỉ tuần",N($G1595),0))</f>
        <v/>
      </c>
      <c r="L1595" s="108">
        <f>IF($B1595="","",IF($E1595="Lễ",N($G1595),0))</f>
        <v/>
      </c>
      <c r="M1595" s="108">
        <f>IF($B1595="","",IF($E1595="Ngày thường",N($H1595),0))</f>
        <v/>
      </c>
      <c r="N1595" s="108">
        <f>IF($B1595="","",IF($E1595="Nghỉ tuần",N($H1595),0))</f>
        <v/>
      </c>
      <c r="O1595" s="108">
        <f>IF($B1595="","",IF($E1595="Lễ",N($H1595),0))</f>
        <v/>
      </c>
    </row>
    <row r="1596" ht="15" customHeight="1" s="63">
      <c r="A1596" s="85">
        <f>IF($B1596="","",ROW()-5)</f>
        <v/>
      </c>
      <c r="B1596" s="97" t="n"/>
      <c r="C1596" s="96">
        <f>IF($B1596="","",IFERROR(INDEX(DM_NHAN_SU!$C$6:$C$155,MATCH($B1596,DM_NHAN_SU!$B$6:$B$155,0)),"SAI MÃ NV"))</f>
        <v/>
      </c>
      <c r="D1596" s="86" t="n"/>
      <c r="E1596" s="103">
        <f>IF(OR($B1596="",$D1596=""),"",IF(COUNTIF(THAM_SO_CC!$F$10:$F$40,$D1596)&gt;0,"Lễ",IF(IF(THAM_SO_CC!$B$12="T7+CN",WEEKDAY($D1596,2)&gt;=6,WEEKDAY($D1596,2)=7),"Nghỉ tuần","Ngày thường")))</f>
        <v/>
      </c>
      <c r="F1596" s="107" t="n"/>
      <c r="G1596" s="107" t="n"/>
      <c r="H1596" s="107" t="n"/>
      <c r="I1596" s="81" t="n"/>
      <c r="J1596" s="108">
        <f>IF($B1596="","",IF($E1596="Ngày thường",N($G1596),0))</f>
        <v/>
      </c>
      <c r="K1596" s="108">
        <f>IF($B1596="","",IF($E1596="Nghỉ tuần",N($G1596),0))</f>
        <v/>
      </c>
      <c r="L1596" s="108">
        <f>IF($B1596="","",IF($E1596="Lễ",N($G1596),0))</f>
        <v/>
      </c>
      <c r="M1596" s="108">
        <f>IF($B1596="","",IF($E1596="Ngày thường",N($H1596),0))</f>
        <v/>
      </c>
      <c r="N1596" s="108">
        <f>IF($B1596="","",IF($E1596="Nghỉ tuần",N($H1596),0))</f>
        <v/>
      </c>
      <c r="O1596" s="108">
        <f>IF($B1596="","",IF($E1596="Lễ",N($H1596),0))</f>
        <v/>
      </c>
    </row>
    <row r="1597" ht="15" customHeight="1" s="63">
      <c r="A1597" s="85">
        <f>IF($B1597="","",ROW()-5)</f>
        <v/>
      </c>
      <c r="B1597" s="97" t="n"/>
      <c r="C1597" s="96">
        <f>IF($B1597="","",IFERROR(INDEX(DM_NHAN_SU!$C$6:$C$155,MATCH($B1597,DM_NHAN_SU!$B$6:$B$155,0)),"SAI MÃ NV"))</f>
        <v/>
      </c>
      <c r="D1597" s="86" t="n"/>
      <c r="E1597" s="103">
        <f>IF(OR($B1597="",$D1597=""),"",IF(COUNTIF(THAM_SO_CC!$F$10:$F$40,$D1597)&gt;0,"Lễ",IF(IF(THAM_SO_CC!$B$12="T7+CN",WEEKDAY($D1597,2)&gt;=6,WEEKDAY($D1597,2)=7),"Nghỉ tuần","Ngày thường")))</f>
        <v/>
      </c>
      <c r="F1597" s="107" t="n"/>
      <c r="G1597" s="107" t="n"/>
      <c r="H1597" s="107" t="n"/>
      <c r="I1597" s="81" t="n"/>
      <c r="J1597" s="108">
        <f>IF($B1597="","",IF($E1597="Ngày thường",N($G1597),0))</f>
        <v/>
      </c>
      <c r="K1597" s="108">
        <f>IF($B1597="","",IF($E1597="Nghỉ tuần",N($G1597),0))</f>
        <v/>
      </c>
      <c r="L1597" s="108">
        <f>IF($B1597="","",IF($E1597="Lễ",N($G1597),0))</f>
        <v/>
      </c>
      <c r="M1597" s="108">
        <f>IF($B1597="","",IF($E1597="Ngày thường",N($H1597),0))</f>
        <v/>
      </c>
      <c r="N1597" s="108">
        <f>IF($B1597="","",IF($E1597="Nghỉ tuần",N($H1597),0))</f>
        <v/>
      </c>
      <c r="O1597" s="108">
        <f>IF($B1597="","",IF($E1597="Lễ",N($H1597),0))</f>
        <v/>
      </c>
    </row>
    <row r="1598" ht="15" customHeight="1" s="63">
      <c r="A1598" s="85">
        <f>IF($B1598="","",ROW()-5)</f>
        <v/>
      </c>
      <c r="B1598" s="97" t="n"/>
      <c r="C1598" s="96">
        <f>IF($B1598="","",IFERROR(INDEX(DM_NHAN_SU!$C$6:$C$155,MATCH($B1598,DM_NHAN_SU!$B$6:$B$155,0)),"SAI MÃ NV"))</f>
        <v/>
      </c>
      <c r="D1598" s="86" t="n"/>
      <c r="E1598" s="103">
        <f>IF(OR($B1598="",$D1598=""),"",IF(COUNTIF(THAM_SO_CC!$F$10:$F$40,$D1598)&gt;0,"Lễ",IF(IF(THAM_SO_CC!$B$12="T7+CN",WEEKDAY($D1598,2)&gt;=6,WEEKDAY($D1598,2)=7),"Nghỉ tuần","Ngày thường")))</f>
        <v/>
      </c>
      <c r="F1598" s="107" t="n"/>
      <c r="G1598" s="107" t="n"/>
      <c r="H1598" s="107" t="n"/>
      <c r="I1598" s="81" t="n"/>
      <c r="J1598" s="108">
        <f>IF($B1598="","",IF($E1598="Ngày thường",N($G1598),0))</f>
        <v/>
      </c>
      <c r="K1598" s="108">
        <f>IF($B1598="","",IF($E1598="Nghỉ tuần",N($G1598),0))</f>
        <v/>
      </c>
      <c r="L1598" s="108">
        <f>IF($B1598="","",IF($E1598="Lễ",N($G1598),0))</f>
        <v/>
      </c>
      <c r="M1598" s="108">
        <f>IF($B1598="","",IF($E1598="Ngày thường",N($H1598),0))</f>
        <v/>
      </c>
      <c r="N1598" s="108">
        <f>IF($B1598="","",IF($E1598="Nghỉ tuần",N($H1598),0))</f>
        <v/>
      </c>
      <c r="O1598" s="108">
        <f>IF($B1598="","",IF($E1598="Lễ",N($H1598),0))</f>
        <v/>
      </c>
    </row>
    <row r="1599" ht="15" customHeight="1" s="63">
      <c r="A1599" s="85">
        <f>IF($B1599="","",ROW()-5)</f>
        <v/>
      </c>
      <c r="B1599" s="97" t="n"/>
      <c r="C1599" s="96">
        <f>IF($B1599="","",IFERROR(INDEX(DM_NHAN_SU!$C$6:$C$155,MATCH($B1599,DM_NHAN_SU!$B$6:$B$155,0)),"SAI MÃ NV"))</f>
        <v/>
      </c>
      <c r="D1599" s="86" t="n"/>
      <c r="E1599" s="103">
        <f>IF(OR($B1599="",$D1599=""),"",IF(COUNTIF(THAM_SO_CC!$F$10:$F$40,$D1599)&gt;0,"Lễ",IF(IF(THAM_SO_CC!$B$12="T7+CN",WEEKDAY($D1599,2)&gt;=6,WEEKDAY($D1599,2)=7),"Nghỉ tuần","Ngày thường")))</f>
        <v/>
      </c>
      <c r="F1599" s="107" t="n"/>
      <c r="G1599" s="107" t="n"/>
      <c r="H1599" s="107" t="n"/>
      <c r="I1599" s="81" t="n"/>
      <c r="J1599" s="108">
        <f>IF($B1599="","",IF($E1599="Ngày thường",N($G1599),0))</f>
        <v/>
      </c>
      <c r="K1599" s="108">
        <f>IF($B1599="","",IF($E1599="Nghỉ tuần",N($G1599),0))</f>
        <v/>
      </c>
      <c r="L1599" s="108">
        <f>IF($B1599="","",IF($E1599="Lễ",N($G1599),0))</f>
        <v/>
      </c>
      <c r="M1599" s="108">
        <f>IF($B1599="","",IF($E1599="Ngày thường",N($H1599),0))</f>
        <v/>
      </c>
      <c r="N1599" s="108">
        <f>IF($B1599="","",IF($E1599="Nghỉ tuần",N($H1599),0))</f>
        <v/>
      </c>
      <c r="O1599" s="108">
        <f>IF($B1599="","",IF($E1599="Lễ",N($H1599),0))</f>
        <v/>
      </c>
    </row>
    <row r="1600" ht="15" customHeight="1" s="63">
      <c r="A1600" s="85">
        <f>IF($B1600="","",ROW()-5)</f>
        <v/>
      </c>
      <c r="B1600" s="97" t="n"/>
      <c r="C1600" s="96">
        <f>IF($B1600="","",IFERROR(INDEX(DM_NHAN_SU!$C$6:$C$155,MATCH($B1600,DM_NHAN_SU!$B$6:$B$155,0)),"SAI MÃ NV"))</f>
        <v/>
      </c>
      <c r="D1600" s="86" t="n"/>
      <c r="E1600" s="103">
        <f>IF(OR($B1600="",$D1600=""),"",IF(COUNTIF(THAM_SO_CC!$F$10:$F$40,$D1600)&gt;0,"Lễ",IF(IF(THAM_SO_CC!$B$12="T7+CN",WEEKDAY($D1600,2)&gt;=6,WEEKDAY($D1600,2)=7),"Nghỉ tuần","Ngày thường")))</f>
        <v/>
      </c>
      <c r="F1600" s="107" t="n"/>
      <c r="G1600" s="107" t="n"/>
      <c r="H1600" s="107" t="n"/>
      <c r="I1600" s="81" t="n"/>
      <c r="J1600" s="108">
        <f>IF($B1600="","",IF($E1600="Ngày thường",N($G1600),0))</f>
        <v/>
      </c>
      <c r="K1600" s="108">
        <f>IF($B1600="","",IF($E1600="Nghỉ tuần",N($G1600),0))</f>
        <v/>
      </c>
      <c r="L1600" s="108">
        <f>IF($B1600="","",IF($E1600="Lễ",N($G1600),0))</f>
        <v/>
      </c>
      <c r="M1600" s="108">
        <f>IF($B1600="","",IF($E1600="Ngày thường",N($H1600),0))</f>
        <v/>
      </c>
      <c r="N1600" s="108">
        <f>IF($B1600="","",IF($E1600="Nghỉ tuần",N($H1600),0))</f>
        <v/>
      </c>
      <c r="O1600" s="108">
        <f>IF($B1600="","",IF($E1600="Lễ",N($H1600),0))</f>
        <v/>
      </c>
    </row>
    <row r="1601" ht="15" customHeight="1" s="63">
      <c r="A1601" s="85">
        <f>IF($B1601="","",ROW()-5)</f>
        <v/>
      </c>
      <c r="B1601" s="97" t="n"/>
      <c r="C1601" s="96">
        <f>IF($B1601="","",IFERROR(INDEX(DM_NHAN_SU!$C$6:$C$155,MATCH($B1601,DM_NHAN_SU!$B$6:$B$155,0)),"SAI MÃ NV"))</f>
        <v/>
      </c>
      <c r="D1601" s="86" t="n"/>
      <c r="E1601" s="103">
        <f>IF(OR($B1601="",$D1601=""),"",IF(COUNTIF(THAM_SO_CC!$F$10:$F$40,$D1601)&gt;0,"Lễ",IF(IF(THAM_SO_CC!$B$12="T7+CN",WEEKDAY($D1601,2)&gt;=6,WEEKDAY($D1601,2)=7),"Nghỉ tuần","Ngày thường")))</f>
        <v/>
      </c>
      <c r="F1601" s="107" t="n"/>
      <c r="G1601" s="107" t="n"/>
      <c r="H1601" s="107" t="n"/>
      <c r="I1601" s="81" t="n"/>
      <c r="J1601" s="108">
        <f>IF($B1601="","",IF($E1601="Ngày thường",N($G1601),0))</f>
        <v/>
      </c>
      <c r="K1601" s="108">
        <f>IF($B1601="","",IF($E1601="Nghỉ tuần",N($G1601),0))</f>
        <v/>
      </c>
      <c r="L1601" s="108">
        <f>IF($B1601="","",IF($E1601="Lễ",N($G1601),0))</f>
        <v/>
      </c>
      <c r="M1601" s="108">
        <f>IF($B1601="","",IF($E1601="Ngày thường",N($H1601),0))</f>
        <v/>
      </c>
      <c r="N1601" s="108">
        <f>IF($B1601="","",IF($E1601="Nghỉ tuần",N($H1601),0))</f>
        <v/>
      </c>
      <c r="O1601" s="108">
        <f>IF($B1601="","",IF($E1601="Lễ",N($H1601),0))</f>
        <v/>
      </c>
    </row>
    <row r="1602" ht="15" customHeight="1" s="63">
      <c r="A1602" s="85">
        <f>IF($B1602="","",ROW()-5)</f>
        <v/>
      </c>
      <c r="B1602" s="97" t="n"/>
      <c r="C1602" s="96">
        <f>IF($B1602="","",IFERROR(INDEX(DM_NHAN_SU!$C$6:$C$155,MATCH($B1602,DM_NHAN_SU!$B$6:$B$155,0)),"SAI MÃ NV"))</f>
        <v/>
      </c>
      <c r="D1602" s="86" t="n"/>
      <c r="E1602" s="103">
        <f>IF(OR($B1602="",$D1602=""),"",IF(COUNTIF(THAM_SO_CC!$F$10:$F$40,$D1602)&gt;0,"Lễ",IF(IF(THAM_SO_CC!$B$12="T7+CN",WEEKDAY($D1602,2)&gt;=6,WEEKDAY($D1602,2)=7),"Nghỉ tuần","Ngày thường")))</f>
        <v/>
      </c>
      <c r="F1602" s="107" t="n"/>
      <c r="G1602" s="107" t="n"/>
      <c r="H1602" s="107" t="n"/>
      <c r="I1602" s="81" t="n"/>
      <c r="J1602" s="108">
        <f>IF($B1602="","",IF($E1602="Ngày thường",N($G1602),0))</f>
        <v/>
      </c>
      <c r="K1602" s="108">
        <f>IF($B1602="","",IF($E1602="Nghỉ tuần",N($G1602),0))</f>
        <v/>
      </c>
      <c r="L1602" s="108">
        <f>IF($B1602="","",IF($E1602="Lễ",N($G1602),0))</f>
        <v/>
      </c>
      <c r="M1602" s="108">
        <f>IF($B1602="","",IF($E1602="Ngày thường",N($H1602),0))</f>
        <v/>
      </c>
      <c r="N1602" s="108">
        <f>IF($B1602="","",IF($E1602="Nghỉ tuần",N($H1602),0))</f>
        <v/>
      </c>
      <c r="O1602" s="108">
        <f>IF($B1602="","",IF($E1602="Lễ",N($H1602),0))</f>
        <v/>
      </c>
    </row>
    <row r="1603" ht="15" customHeight="1" s="63">
      <c r="A1603" s="85">
        <f>IF($B1603="","",ROW()-5)</f>
        <v/>
      </c>
      <c r="B1603" s="97" t="n"/>
      <c r="C1603" s="96">
        <f>IF($B1603="","",IFERROR(INDEX(DM_NHAN_SU!$C$6:$C$155,MATCH($B1603,DM_NHAN_SU!$B$6:$B$155,0)),"SAI MÃ NV"))</f>
        <v/>
      </c>
      <c r="D1603" s="86" t="n"/>
      <c r="E1603" s="103">
        <f>IF(OR($B1603="",$D1603=""),"",IF(COUNTIF(THAM_SO_CC!$F$10:$F$40,$D1603)&gt;0,"Lễ",IF(IF(THAM_SO_CC!$B$12="T7+CN",WEEKDAY($D1603,2)&gt;=6,WEEKDAY($D1603,2)=7),"Nghỉ tuần","Ngày thường")))</f>
        <v/>
      </c>
      <c r="F1603" s="107" t="n"/>
      <c r="G1603" s="107" t="n"/>
      <c r="H1603" s="107" t="n"/>
      <c r="I1603" s="81" t="n"/>
      <c r="J1603" s="108">
        <f>IF($B1603="","",IF($E1603="Ngày thường",N($G1603),0))</f>
        <v/>
      </c>
      <c r="K1603" s="108">
        <f>IF($B1603="","",IF($E1603="Nghỉ tuần",N($G1603),0))</f>
        <v/>
      </c>
      <c r="L1603" s="108">
        <f>IF($B1603="","",IF($E1603="Lễ",N($G1603),0))</f>
        <v/>
      </c>
      <c r="M1603" s="108">
        <f>IF($B1603="","",IF($E1603="Ngày thường",N($H1603),0))</f>
        <v/>
      </c>
      <c r="N1603" s="108">
        <f>IF($B1603="","",IF($E1603="Nghỉ tuần",N($H1603),0))</f>
        <v/>
      </c>
      <c r="O1603" s="108">
        <f>IF($B1603="","",IF($E1603="Lễ",N($H1603),0))</f>
        <v/>
      </c>
    </row>
    <row r="1604" ht="15" customHeight="1" s="63">
      <c r="A1604" s="85">
        <f>IF($B1604="","",ROW()-5)</f>
        <v/>
      </c>
      <c r="B1604" s="97" t="n"/>
      <c r="C1604" s="96">
        <f>IF($B1604="","",IFERROR(INDEX(DM_NHAN_SU!$C$6:$C$155,MATCH($B1604,DM_NHAN_SU!$B$6:$B$155,0)),"SAI MÃ NV"))</f>
        <v/>
      </c>
      <c r="D1604" s="86" t="n"/>
      <c r="E1604" s="103">
        <f>IF(OR($B1604="",$D1604=""),"",IF(COUNTIF(THAM_SO_CC!$F$10:$F$40,$D1604)&gt;0,"Lễ",IF(IF(THAM_SO_CC!$B$12="T7+CN",WEEKDAY($D1604,2)&gt;=6,WEEKDAY($D1604,2)=7),"Nghỉ tuần","Ngày thường")))</f>
        <v/>
      </c>
      <c r="F1604" s="107" t="n"/>
      <c r="G1604" s="107" t="n"/>
      <c r="H1604" s="107" t="n"/>
      <c r="I1604" s="81" t="n"/>
      <c r="J1604" s="108">
        <f>IF($B1604="","",IF($E1604="Ngày thường",N($G1604),0))</f>
        <v/>
      </c>
      <c r="K1604" s="108">
        <f>IF($B1604="","",IF($E1604="Nghỉ tuần",N($G1604),0))</f>
        <v/>
      </c>
      <c r="L1604" s="108">
        <f>IF($B1604="","",IF($E1604="Lễ",N($G1604),0))</f>
        <v/>
      </c>
      <c r="M1604" s="108">
        <f>IF($B1604="","",IF($E1604="Ngày thường",N($H1604),0))</f>
        <v/>
      </c>
      <c r="N1604" s="108">
        <f>IF($B1604="","",IF($E1604="Nghỉ tuần",N($H1604),0))</f>
        <v/>
      </c>
      <c r="O1604" s="108">
        <f>IF($B1604="","",IF($E1604="Lễ",N($H1604),0))</f>
        <v/>
      </c>
    </row>
    <row r="1605" ht="15" customHeight="1" s="63">
      <c r="A1605" s="85">
        <f>IF($B1605="","",ROW()-5)</f>
        <v/>
      </c>
      <c r="B1605" s="97" t="n"/>
      <c r="C1605" s="96">
        <f>IF($B1605="","",IFERROR(INDEX(DM_NHAN_SU!$C$6:$C$155,MATCH($B1605,DM_NHAN_SU!$B$6:$B$155,0)),"SAI MÃ NV"))</f>
        <v/>
      </c>
      <c r="D1605" s="86" t="n"/>
      <c r="E1605" s="103">
        <f>IF(OR($B1605="",$D1605=""),"",IF(COUNTIF(THAM_SO_CC!$F$10:$F$40,$D1605)&gt;0,"Lễ",IF(IF(THAM_SO_CC!$B$12="T7+CN",WEEKDAY($D1605,2)&gt;=6,WEEKDAY($D1605,2)=7),"Nghỉ tuần","Ngày thường")))</f>
        <v/>
      </c>
      <c r="F1605" s="107" t="n"/>
      <c r="G1605" s="107" t="n"/>
      <c r="H1605" s="107" t="n"/>
      <c r="I1605" s="81" t="n"/>
      <c r="J1605" s="108">
        <f>IF($B1605="","",IF($E1605="Ngày thường",N($G1605),0))</f>
        <v/>
      </c>
      <c r="K1605" s="108">
        <f>IF($B1605="","",IF($E1605="Nghỉ tuần",N($G1605),0))</f>
        <v/>
      </c>
      <c r="L1605" s="108">
        <f>IF($B1605="","",IF($E1605="Lễ",N($G1605),0))</f>
        <v/>
      </c>
      <c r="M1605" s="108">
        <f>IF($B1605="","",IF($E1605="Ngày thường",N($H1605),0))</f>
        <v/>
      </c>
      <c r="N1605" s="108">
        <f>IF($B1605="","",IF($E1605="Nghỉ tuần",N($H1605),0))</f>
        <v/>
      </c>
      <c r="O1605" s="108">
        <f>IF($B1605="","",IF($E1605="Lễ",N($H1605),0))</f>
        <v/>
      </c>
    </row>
    <row r="1606" ht="15" customHeight="1" s="63">
      <c r="A1606" s="85">
        <f>IF($B1606="","",ROW()-5)</f>
        <v/>
      </c>
      <c r="B1606" s="97" t="n"/>
      <c r="C1606" s="96">
        <f>IF($B1606="","",IFERROR(INDEX(DM_NHAN_SU!$C$6:$C$155,MATCH($B1606,DM_NHAN_SU!$B$6:$B$155,0)),"SAI MÃ NV"))</f>
        <v/>
      </c>
      <c r="D1606" s="86" t="n"/>
      <c r="E1606" s="103">
        <f>IF(OR($B1606="",$D1606=""),"",IF(COUNTIF(THAM_SO_CC!$F$10:$F$40,$D1606)&gt;0,"Lễ",IF(IF(THAM_SO_CC!$B$12="T7+CN",WEEKDAY($D1606,2)&gt;=6,WEEKDAY($D1606,2)=7),"Nghỉ tuần","Ngày thường")))</f>
        <v/>
      </c>
      <c r="F1606" s="107" t="n"/>
      <c r="G1606" s="107" t="n"/>
      <c r="H1606" s="107" t="n"/>
      <c r="I1606" s="81" t="n"/>
      <c r="J1606" s="108">
        <f>IF($B1606="","",IF($E1606="Ngày thường",N($G1606),0))</f>
        <v/>
      </c>
      <c r="K1606" s="108">
        <f>IF($B1606="","",IF($E1606="Nghỉ tuần",N($G1606),0))</f>
        <v/>
      </c>
      <c r="L1606" s="108">
        <f>IF($B1606="","",IF($E1606="Lễ",N($G1606),0))</f>
        <v/>
      </c>
      <c r="M1606" s="108">
        <f>IF($B1606="","",IF($E1606="Ngày thường",N($H1606),0))</f>
        <v/>
      </c>
      <c r="N1606" s="108">
        <f>IF($B1606="","",IF($E1606="Nghỉ tuần",N($H1606),0))</f>
        <v/>
      </c>
      <c r="O1606" s="108">
        <f>IF($B1606="","",IF($E1606="Lễ",N($H1606),0))</f>
        <v/>
      </c>
    </row>
    <row r="1607" ht="15" customHeight="1" s="63">
      <c r="A1607" s="85">
        <f>IF($B1607="","",ROW()-5)</f>
        <v/>
      </c>
      <c r="B1607" s="97" t="n"/>
      <c r="C1607" s="96">
        <f>IF($B1607="","",IFERROR(INDEX(DM_NHAN_SU!$C$6:$C$155,MATCH($B1607,DM_NHAN_SU!$B$6:$B$155,0)),"SAI MÃ NV"))</f>
        <v/>
      </c>
      <c r="D1607" s="86" t="n"/>
      <c r="E1607" s="103">
        <f>IF(OR($B1607="",$D1607=""),"",IF(COUNTIF(THAM_SO_CC!$F$10:$F$40,$D1607)&gt;0,"Lễ",IF(IF(THAM_SO_CC!$B$12="T7+CN",WEEKDAY($D1607,2)&gt;=6,WEEKDAY($D1607,2)=7),"Nghỉ tuần","Ngày thường")))</f>
        <v/>
      </c>
      <c r="F1607" s="107" t="n"/>
      <c r="G1607" s="107" t="n"/>
      <c r="H1607" s="107" t="n"/>
      <c r="I1607" s="81" t="n"/>
      <c r="J1607" s="108">
        <f>IF($B1607="","",IF($E1607="Ngày thường",N($G1607),0))</f>
        <v/>
      </c>
      <c r="K1607" s="108">
        <f>IF($B1607="","",IF($E1607="Nghỉ tuần",N($G1607),0))</f>
        <v/>
      </c>
      <c r="L1607" s="108">
        <f>IF($B1607="","",IF($E1607="Lễ",N($G1607),0))</f>
        <v/>
      </c>
      <c r="M1607" s="108">
        <f>IF($B1607="","",IF($E1607="Ngày thường",N($H1607),0))</f>
        <v/>
      </c>
      <c r="N1607" s="108">
        <f>IF($B1607="","",IF($E1607="Nghỉ tuần",N($H1607),0))</f>
        <v/>
      </c>
      <c r="O1607" s="108">
        <f>IF($B1607="","",IF($E1607="Lễ",N($H1607),0))</f>
        <v/>
      </c>
    </row>
    <row r="1608" ht="15" customHeight="1" s="63">
      <c r="A1608" s="85">
        <f>IF($B1608="","",ROW()-5)</f>
        <v/>
      </c>
      <c r="B1608" s="97" t="n"/>
      <c r="C1608" s="96">
        <f>IF($B1608="","",IFERROR(INDEX(DM_NHAN_SU!$C$6:$C$155,MATCH($B1608,DM_NHAN_SU!$B$6:$B$155,0)),"SAI MÃ NV"))</f>
        <v/>
      </c>
      <c r="D1608" s="86" t="n"/>
      <c r="E1608" s="103">
        <f>IF(OR($B1608="",$D1608=""),"",IF(COUNTIF(THAM_SO_CC!$F$10:$F$40,$D1608)&gt;0,"Lễ",IF(IF(THAM_SO_CC!$B$12="T7+CN",WEEKDAY($D1608,2)&gt;=6,WEEKDAY($D1608,2)=7),"Nghỉ tuần","Ngày thường")))</f>
        <v/>
      </c>
      <c r="F1608" s="107" t="n"/>
      <c r="G1608" s="107" t="n"/>
      <c r="H1608" s="107" t="n"/>
      <c r="I1608" s="81" t="n"/>
      <c r="J1608" s="108">
        <f>IF($B1608="","",IF($E1608="Ngày thường",N($G1608),0))</f>
        <v/>
      </c>
      <c r="K1608" s="108">
        <f>IF($B1608="","",IF($E1608="Nghỉ tuần",N($G1608),0))</f>
        <v/>
      </c>
      <c r="L1608" s="108">
        <f>IF($B1608="","",IF($E1608="Lễ",N($G1608),0))</f>
        <v/>
      </c>
      <c r="M1608" s="108">
        <f>IF($B1608="","",IF($E1608="Ngày thường",N($H1608),0))</f>
        <v/>
      </c>
      <c r="N1608" s="108">
        <f>IF($B1608="","",IF($E1608="Nghỉ tuần",N($H1608),0))</f>
        <v/>
      </c>
      <c r="O1608" s="108">
        <f>IF($B1608="","",IF($E1608="Lễ",N($H1608),0))</f>
        <v/>
      </c>
    </row>
    <row r="1609" ht="15" customHeight="1" s="63">
      <c r="A1609" s="85">
        <f>IF($B1609="","",ROW()-5)</f>
        <v/>
      </c>
      <c r="B1609" s="97" t="n"/>
      <c r="C1609" s="96">
        <f>IF($B1609="","",IFERROR(INDEX(DM_NHAN_SU!$C$6:$C$155,MATCH($B1609,DM_NHAN_SU!$B$6:$B$155,0)),"SAI MÃ NV"))</f>
        <v/>
      </c>
      <c r="D1609" s="86" t="n"/>
      <c r="E1609" s="103">
        <f>IF(OR($B1609="",$D1609=""),"",IF(COUNTIF(THAM_SO_CC!$F$10:$F$40,$D1609)&gt;0,"Lễ",IF(IF(THAM_SO_CC!$B$12="T7+CN",WEEKDAY($D1609,2)&gt;=6,WEEKDAY($D1609,2)=7),"Nghỉ tuần","Ngày thường")))</f>
        <v/>
      </c>
      <c r="F1609" s="107" t="n"/>
      <c r="G1609" s="107" t="n"/>
      <c r="H1609" s="107" t="n"/>
      <c r="I1609" s="81" t="n"/>
      <c r="J1609" s="108">
        <f>IF($B1609="","",IF($E1609="Ngày thường",N($G1609),0))</f>
        <v/>
      </c>
      <c r="K1609" s="108">
        <f>IF($B1609="","",IF($E1609="Nghỉ tuần",N($G1609),0))</f>
        <v/>
      </c>
      <c r="L1609" s="108">
        <f>IF($B1609="","",IF($E1609="Lễ",N($G1609),0))</f>
        <v/>
      </c>
      <c r="M1609" s="108">
        <f>IF($B1609="","",IF($E1609="Ngày thường",N($H1609),0))</f>
        <v/>
      </c>
      <c r="N1609" s="108">
        <f>IF($B1609="","",IF($E1609="Nghỉ tuần",N($H1609),0))</f>
        <v/>
      </c>
      <c r="O1609" s="108">
        <f>IF($B1609="","",IF($E1609="Lễ",N($H1609),0))</f>
        <v/>
      </c>
    </row>
    <row r="1610" ht="15" customHeight="1" s="63">
      <c r="A1610" s="85">
        <f>IF($B1610="","",ROW()-5)</f>
        <v/>
      </c>
      <c r="B1610" s="97" t="n"/>
      <c r="C1610" s="96">
        <f>IF($B1610="","",IFERROR(INDEX(DM_NHAN_SU!$C$6:$C$155,MATCH($B1610,DM_NHAN_SU!$B$6:$B$155,0)),"SAI MÃ NV"))</f>
        <v/>
      </c>
      <c r="D1610" s="86" t="n"/>
      <c r="E1610" s="103">
        <f>IF(OR($B1610="",$D1610=""),"",IF(COUNTIF(THAM_SO_CC!$F$10:$F$40,$D1610)&gt;0,"Lễ",IF(IF(THAM_SO_CC!$B$12="T7+CN",WEEKDAY($D1610,2)&gt;=6,WEEKDAY($D1610,2)=7),"Nghỉ tuần","Ngày thường")))</f>
        <v/>
      </c>
      <c r="F1610" s="107" t="n"/>
      <c r="G1610" s="107" t="n"/>
      <c r="H1610" s="107" t="n"/>
      <c r="I1610" s="81" t="n"/>
      <c r="J1610" s="108">
        <f>IF($B1610="","",IF($E1610="Ngày thường",N($G1610),0))</f>
        <v/>
      </c>
      <c r="K1610" s="108">
        <f>IF($B1610="","",IF($E1610="Nghỉ tuần",N($G1610),0))</f>
        <v/>
      </c>
      <c r="L1610" s="108">
        <f>IF($B1610="","",IF($E1610="Lễ",N($G1610),0))</f>
        <v/>
      </c>
      <c r="M1610" s="108">
        <f>IF($B1610="","",IF($E1610="Ngày thường",N($H1610),0))</f>
        <v/>
      </c>
      <c r="N1610" s="108">
        <f>IF($B1610="","",IF($E1610="Nghỉ tuần",N($H1610),0))</f>
        <v/>
      </c>
      <c r="O1610" s="108">
        <f>IF($B1610="","",IF($E1610="Lễ",N($H1610),0))</f>
        <v/>
      </c>
    </row>
    <row r="1611" ht="15" customHeight="1" s="63">
      <c r="A1611" s="85">
        <f>IF($B1611="","",ROW()-5)</f>
        <v/>
      </c>
      <c r="B1611" s="97" t="n"/>
      <c r="C1611" s="96">
        <f>IF($B1611="","",IFERROR(INDEX(DM_NHAN_SU!$C$6:$C$155,MATCH($B1611,DM_NHAN_SU!$B$6:$B$155,0)),"SAI MÃ NV"))</f>
        <v/>
      </c>
      <c r="D1611" s="86" t="n"/>
      <c r="E1611" s="103">
        <f>IF(OR($B1611="",$D1611=""),"",IF(COUNTIF(THAM_SO_CC!$F$10:$F$40,$D1611)&gt;0,"Lễ",IF(IF(THAM_SO_CC!$B$12="T7+CN",WEEKDAY($D1611,2)&gt;=6,WEEKDAY($D1611,2)=7),"Nghỉ tuần","Ngày thường")))</f>
        <v/>
      </c>
      <c r="F1611" s="107" t="n"/>
      <c r="G1611" s="107" t="n"/>
      <c r="H1611" s="107" t="n"/>
      <c r="I1611" s="81" t="n"/>
      <c r="J1611" s="108">
        <f>IF($B1611="","",IF($E1611="Ngày thường",N($G1611),0))</f>
        <v/>
      </c>
      <c r="K1611" s="108">
        <f>IF($B1611="","",IF($E1611="Nghỉ tuần",N($G1611),0))</f>
        <v/>
      </c>
      <c r="L1611" s="108">
        <f>IF($B1611="","",IF($E1611="Lễ",N($G1611),0))</f>
        <v/>
      </c>
      <c r="M1611" s="108">
        <f>IF($B1611="","",IF($E1611="Ngày thường",N($H1611),0))</f>
        <v/>
      </c>
      <c r="N1611" s="108">
        <f>IF($B1611="","",IF($E1611="Nghỉ tuần",N($H1611),0))</f>
        <v/>
      </c>
      <c r="O1611" s="108">
        <f>IF($B1611="","",IF($E1611="Lễ",N($H1611),0))</f>
        <v/>
      </c>
    </row>
    <row r="1612" ht="15" customHeight="1" s="63">
      <c r="A1612" s="85">
        <f>IF($B1612="","",ROW()-5)</f>
        <v/>
      </c>
      <c r="B1612" s="97" t="n"/>
      <c r="C1612" s="96">
        <f>IF($B1612="","",IFERROR(INDEX(DM_NHAN_SU!$C$6:$C$155,MATCH($B1612,DM_NHAN_SU!$B$6:$B$155,0)),"SAI MÃ NV"))</f>
        <v/>
      </c>
      <c r="D1612" s="86" t="n"/>
      <c r="E1612" s="103">
        <f>IF(OR($B1612="",$D1612=""),"",IF(COUNTIF(THAM_SO_CC!$F$10:$F$40,$D1612)&gt;0,"Lễ",IF(IF(THAM_SO_CC!$B$12="T7+CN",WEEKDAY($D1612,2)&gt;=6,WEEKDAY($D1612,2)=7),"Nghỉ tuần","Ngày thường")))</f>
        <v/>
      </c>
      <c r="F1612" s="107" t="n"/>
      <c r="G1612" s="107" t="n"/>
      <c r="H1612" s="107" t="n"/>
      <c r="I1612" s="81" t="n"/>
      <c r="J1612" s="108">
        <f>IF($B1612="","",IF($E1612="Ngày thường",N($G1612),0))</f>
        <v/>
      </c>
      <c r="K1612" s="108">
        <f>IF($B1612="","",IF($E1612="Nghỉ tuần",N($G1612),0))</f>
        <v/>
      </c>
      <c r="L1612" s="108">
        <f>IF($B1612="","",IF($E1612="Lễ",N($G1612),0))</f>
        <v/>
      </c>
      <c r="M1612" s="108">
        <f>IF($B1612="","",IF($E1612="Ngày thường",N($H1612),0))</f>
        <v/>
      </c>
      <c r="N1612" s="108">
        <f>IF($B1612="","",IF($E1612="Nghỉ tuần",N($H1612),0))</f>
        <v/>
      </c>
      <c r="O1612" s="108">
        <f>IF($B1612="","",IF($E1612="Lễ",N($H1612),0))</f>
        <v/>
      </c>
    </row>
    <row r="1613" ht="15" customHeight="1" s="63">
      <c r="A1613" s="85">
        <f>IF($B1613="","",ROW()-5)</f>
        <v/>
      </c>
      <c r="B1613" s="97" t="n"/>
      <c r="C1613" s="96">
        <f>IF($B1613="","",IFERROR(INDEX(DM_NHAN_SU!$C$6:$C$155,MATCH($B1613,DM_NHAN_SU!$B$6:$B$155,0)),"SAI MÃ NV"))</f>
        <v/>
      </c>
      <c r="D1613" s="86" t="n"/>
      <c r="E1613" s="103">
        <f>IF(OR($B1613="",$D1613=""),"",IF(COUNTIF(THAM_SO_CC!$F$10:$F$40,$D1613)&gt;0,"Lễ",IF(IF(THAM_SO_CC!$B$12="T7+CN",WEEKDAY($D1613,2)&gt;=6,WEEKDAY($D1613,2)=7),"Nghỉ tuần","Ngày thường")))</f>
        <v/>
      </c>
      <c r="F1613" s="107" t="n"/>
      <c r="G1613" s="107" t="n"/>
      <c r="H1613" s="107" t="n"/>
      <c r="I1613" s="81" t="n"/>
      <c r="J1613" s="108">
        <f>IF($B1613="","",IF($E1613="Ngày thường",N($G1613),0))</f>
        <v/>
      </c>
      <c r="K1613" s="108">
        <f>IF($B1613="","",IF($E1613="Nghỉ tuần",N($G1613),0))</f>
        <v/>
      </c>
      <c r="L1613" s="108">
        <f>IF($B1613="","",IF($E1613="Lễ",N($G1613),0))</f>
        <v/>
      </c>
      <c r="M1613" s="108">
        <f>IF($B1613="","",IF($E1613="Ngày thường",N($H1613),0))</f>
        <v/>
      </c>
      <c r="N1613" s="108">
        <f>IF($B1613="","",IF($E1613="Nghỉ tuần",N($H1613),0))</f>
        <v/>
      </c>
      <c r="O1613" s="108">
        <f>IF($B1613="","",IF($E1613="Lễ",N($H1613),0))</f>
        <v/>
      </c>
    </row>
    <row r="1614" ht="15" customHeight="1" s="63">
      <c r="A1614" s="85">
        <f>IF($B1614="","",ROW()-5)</f>
        <v/>
      </c>
      <c r="B1614" s="97" t="n"/>
      <c r="C1614" s="96">
        <f>IF($B1614="","",IFERROR(INDEX(DM_NHAN_SU!$C$6:$C$155,MATCH($B1614,DM_NHAN_SU!$B$6:$B$155,0)),"SAI MÃ NV"))</f>
        <v/>
      </c>
      <c r="D1614" s="86" t="n"/>
      <c r="E1614" s="103">
        <f>IF(OR($B1614="",$D1614=""),"",IF(COUNTIF(THAM_SO_CC!$F$10:$F$40,$D1614)&gt;0,"Lễ",IF(IF(THAM_SO_CC!$B$12="T7+CN",WEEKDAY($D1614,2)&gt;=6,WEEKDAY($D1614,2)=7),"Nghỉ tuần","Ngày thường")))</f>
        <v/>
      </c>
      <c r="F1614" s="107" t="n"/>
      <c r="G1614" s="107" t="n"/>
      <c r="H1614" s="107" t="n"/>
      <c r="I1614" s="81" t="n"/>
      <c r="J1614" s="108">
        <f>IF($B1614="","",IF($E1614="Ngày thường",N($G1614),0))</f>
        <v/>
      </c>
      <c r="K1614" s="108">
        <f>IF($B1614="","",IF($E1614="Nghỉ tuần",N($G1614),0))</f>
        <v/>
      </c>
      <c r="L1614" s="108">
        <f>IF($B1614="","",IF($E1614="Lễ",N($G1614),0))</f>
        <v/>
      </c>
      <c r="M1614" s="108">
        <f>IF($B1614="","",IF($E1614="Ngày thường",N($H1614),0))</f>
        <v/>
      </c>
      <c r="N1614" s="108">
        <f>IF($B1614="","",IF($E1614="Nghỉ tuần",N($H1614),0))</f>
        <v/>
      </c>
      <c r="O1614" s="108">
        <f>IF($B1614="","",IF($E1614="Lễ",N($H1614),0))</f>
        <v/>
      </c>
    </row>
    <row r="1615" ht="15" customHeight="1" s="63">
      <c r="A1615" s="85">
        <f>IF($B1615="","",ROW()-5)</f>
        <v/>
      </c>
      <c r="B1615" s="97" t="n"/>
      <c r="C1615" s="96">
        <f>IF($B1615="","",IFERROR(INDEX(DM_NHAN_SU!$C$6:$C$155,MATCH($B1615,DM_NHAN_SU!$B$6:$B$155,0)),"SAI MÃ NV"))</f>
        <v/>
      </c>
      <c r="D1615" s="86" t="n"/>
      <c r="E1615" s="103">
        <f>IF(OR($B1615="",$D1615=""),"",IF(COUNTIF(THAM_SO_CC!$F$10:$F$40,$D1615)&gt;0,"Lễ",IF(IF(THAM_SO_CC!$B$12="T7+CN",WEEKDAY($D1615,2)&gt;=6,WEEKDAY($D1615,2)=7),"Nghỉ tuần","Ngày thường")))</f>
        <v/>
      </c>
      <c r="F1615" s="107" t="n"/>
      <c r="G1615" s="107" t="n"/>
      <c r="H1615" s="107" t="n"/>
      <c r="I1615" s="81" t="n"/>
      <c r="J1615" s="108">
        <f>IF($B1615="","",IF($E1615="Ngày thường",N($G1615),0))</f>
        <v/>
      </c>
      <c r="K1615" s="108">
        <f>IF($B1615="","",IF($E1615="Nghỉ tuần",N($G1615),0))</f>
        <v/>
      </c>
      <c r="L1615" s="108">
        <f>IF($B1615="","",IF($E1615="Lễ",N($G1615),0))</f>
        <v/>
      </c>
      <c r="M1615" s="108">
        <f>IF($B1615="","",IF($E1615="Ngày thường",N($H1615),0))</f>
        <v/>
      </c>
      <c r="N1615" s="108">
        <f>IF($B1615="","",IF($E1615="Nghỉ tuần",N($H1615),0))</f>
        <v/>
      </c>
      <c r="O1615" s="108">
        <f>IF($B1615="","",IF($E1615="Lễ",N($H1615),0))</f>
        <v/>
      </c>
    </row>
    <row r="1616" ht="15" customHeight="1" s="63">
      <c r="A1616" s="85">
        <f>IF($B1616="","",ROW()-5)</f>
        <v/>
      </c>
      <c r="B1616" s="97" t="n"/>
      <c r="C1616" s="96">
        <f>IF($B1616="","",IFERROR(INDEX(DM_NHAN_SU!$C$6:$C$155,MATCH($B1616,DM_NHAN_SU!$B$6:$B$155,0)),"SAI MÃ NV"))</f>
        <v/>
      </c>
      <c r="D1616" s="86" t="n"/>
      <c r="E1616" s="103">
        <f>IF(OR($B1616="",$D1616=""),"",IF(COUNTIF(THAM_SO_CC!$F$10:$F$40,$D1616)&gt;0,"Lễ",IF(IF(THAM_SO_CC!$B$12="T7+CN",WEEKDAY($D1616,2)&gt;=6,WEEKDAY($D1616,2)=7),"Nghỉ tuần","Ngày thường")))</f>
        <v/>
      </c>
      <c r="F1616" s="107" t="n"/>
      <c r="G1616" s="107" t="n"/>
      <c r="H1616" s="107" t="n"/>
      <c r="I1616" s="81" t="n"/>
      <c r="J1616" s="108">
        <f>IF($B1616="","",IF($E1616="Ngày thường",N($G1616),0))</f>
        <v/>
      </c>
      <c r="K1616" s="108">
        <f>IF($B1616="","",IF($E1616="Nghỉ tuần",N($G1616),0))</f>
        <v/>
      </c>
      <c r="L1616" s="108">
        <f>IF($B1616="","",IF($E1616="Lễ",N($G1616),0))</f>
        <v/>
      </c>
      <c r="M1616" s="108">
        <f>IF($B1616="","",IF($E1616="Ngày thường",N($H1616),0))</f>
        <v/>
      </c>
      <c r="N1616" s="108">
        <f>IF($B1616="","",IF($E1616="Nghỉ tuần",N($H1616),0))</f>
        <v/>
      </c>
      <c r="O1616" s="108">
        <f>IF($B1616="","",IF($E1616="Lễ",N($H1616),0))</f>
        <v/>
      </c>
    </row>
    <row r="1617" ht="15" customHeight="1" s="63">
      <c r="A1617" s="85">
        <f>IF($B1617="","",ROW()-5)</f>
        <v/>
      </c>
      <c r="B1617" s="97" t="n"/>
      <c r="C1617" s="96">
        <f>IF($B1617="","",IFERROR(INDEX(DM_NHAN_SU!$C$6:$C$155,MATCH($B1617,DM_NHAN_SU!$B$6:$B$155,0)),"SAI MÃ NV"))</f>
        <v/>
      </c>
      <c r="D1617" s="86" t="n"/>
      <c r="E1617" s="103">
        <f>IF(OR($B1617="",$D1617=""),"",IF(COUNTIF(THAM_SO_CC!$F$10:$F$40,$D1617)&gt;0,"Lễ",IF(IF(THAM_SO_CC!$B$12="T7+CN",WEEKDAY($D1617,2)&gt;=6,WEEKDAY($D1617,2)=7),"Nghỉ tuần","Ngày thường")))</f>
        <v/>
      </c>
      <c r="F1617" s="107" t="n"/>
      <c r="G1617" s="107" t="n"/>
      <c r="H1617" s="107" t="n"/>
      <c r="I1617" s="81" t="n"/>
      <c r="J1617" s="108">
        <f>IF($B1617="","",IF($E1617="Ngày thường",N($G1617),0))</f>
        <v/>
      </c>
      <c r="K1617" s="108">
        <f>IF($B1617="","",IF($E1617="Nghỉ tuần",N($G1617),0))</f>
        <v/>
      </c>
      <c r="L1617" s="108">
        <f>IF($B1617="","",IF($E1617="Lễ",N($G1617),0))</f>
        <v/>
      </c>
      <c r="M1617" s="108">
        <f>IF($B1617="","",IF($E1617="Ngày thường",N($H1617),0))</f>
        <v/>
      </c>
      <c r="N1617" s="108">
        <f>IF($B1617="","",IF($E1617="Nghỉ tuần",N($H1617),0))</f>
        <v/>
      </c>
      <c r="O1617" s="108">
        <f>IF($B1617="","",IF($E1617="Lễ",N($H1617),0))</f>
        <v/>
      </c>
    </row>
    <row r="1618" ht="15" customHeight="1" s="63">
      <c r="A1618" s="85">
        <f>IF($B1618="","",ROW()-5)</f>
        <v/>
      </c>
      <c r="B1618" s="97" t="n"/>
      <c r="C1618" s="96">
        <f>IF($B1618="","",IFERROR(INDEX(DM_NHAN_SU!$C$6:$C$155,MATCH($B1618,DM_NHAN_SU!$B$6:$B$155,0)),"SAI MÃ NV"))</f>
        <v/>
      </c>
      <c r="D1618" s="86" t="n"/>
      <c r="E1618" s="103">
        <f>IF(OR($B1618="",$D1618=""),"",IF(COUNTIF(THAM_SO_CC!$F$10:$F$40,$D1618)&gt;0,"Lễ",IF(IF(THAM_SO_CC!$B$12="T7+CN",WEEKDAY($D1618,2)&gt;=6,WEEKDAY($D1618,2)=7),"Nghỉ tuần","Ngày thường")))</f>
        <v/>
      </c>
      <c r="F1618" s="107" t="n"/>
      <c r="G1618" s="107" t="n"/>
      <c r="H1618" s="107" t="n"/>
      <c r="I1618" s="81" t="n"/>
      <c r="J1618" s="108">
        <f>IF($B1618="","",IF($E1618="Ngày thường",N($G1618),0))</f>
        <v/>
      </c>
      <c r="K1618" s="108">
        <f>IF($B1618="","",IF($E1618="Nghỉ tuần",N($G1618),0))</f>
        <v/>
      </c>
      <c r="L1618" s="108">
        <f>IF($B1618="","",IF($E1618="Lễ",N($G1618),0))</f>
        <v/>
      </c>
      <c r="M1618" s="108">
        <f>IF($B1618="","",IF($E1618="Ngày thường",N($H1618),0))</f>
        <v/>
      </c>
      <c r="N1618" s="108">
        <f>IF($B1618="","",IF($E1618="Nghỉ tuần",N($H1618),0))</f>
        <v/>
      </c>
      <c r="O1618" s="108">
        <f>IF($B1618="","",IF($E1618="Lễ",N($H1618),0))</f>
        <v/>
      </c>
    </row>
    <row r="1619" ht="15" customHeight="1" s="63">
      <c r="A1619" s="85">
        <f>IF($B1619="","",ROW()-5)</f>
        <v/>
      </c>
      <c r="B1619" s="97" t="n"/>
      <c r="C1619" s="96">
        <f>IF($B1619="","",IFERROR(INDEX(DM_NHAN_SU!$C$6:$C$155,MATCH($B1619,DM_NHAN_SU!$B$6:$B$155,0)),"SAI MÃ NV"))</f>
        <v/>
      </c>
      <c r="D1619" s="86" t="n"/>
      <c r="E1619" s="103">
        <f>IF(OR($B1619="",$D1619=""),"",IF(COUNTIF(THAM_SO_CC!$F$10:$F$40,$D1619)&gt;0,"Lễ",IF(IF(THAM_SO_CC!$B$12="T7+CN",WEEKDAY($D1619,2)&gt;=6,WEEKDAY($D1619,2)=7),"Nghỉ tuần","Ngày thường")))</f>
        <v/>
      </c>
      <c r="F1619" s="107" t="n"/>
      <c r="G1619" s="107" t="n"/>
      <c r="H1619" s="107" t="n"/>
      <c r="I1619" s="81" t="n"/>
      <c r="J1619" s="108">
        <f>IF($B1619="","",IF($E1619="Ngày thường",N($G1619),0))</f>
        <v/>
      </c>
      <c r="K1619" s="108">
        <f>IF($B1619="","",IF($E1619="Nghỉ tuần",N($G1619),0))</f>
        <v/>
      </c>
      <c r="L1619" s="108">
        <f>IF($B1619="","",IF($E1619="Lễ",N($G1619),0))</f>
        <v/>
      </c>
      <c r="M1619" s="108">
        <f>IF($B1619="","",IF($E1619="Ngày thường",N($H1619),0))</f>
        <v/>
      </c>
      <c r="N1619" s="108">
        <f>IF($B1619="","",IF($E1619="Nghỉ tuần",N($H1619),0))</f>
        <v/>
      </c>
      <c r="O1619" s="108">
        <f>IF($B1619="","",IF($E1619="Lễ",N($H1619),0))</f>
        <v/>
      </c>
    </row>
    <row r="1620" ht="15" customHeight="1" s="63">
      <c r="A1620" s="85">
        <f>IF($B1620="","",ROW()-5)</f>
        <v/>
      </c>
      <c r="B1620" s="97" t="n"/>
      <c r="C1620" s="96">
        <f>IF($B1620="","",IFERROR(INDEX(DM_NHAN_SU!$C$6:$C$155,MATCH($B1620,DM_NHAN_SU!$B$6:$B$155,0)),"SAI MÃ NV"))</f>
        <v/>
      </c>
      <c r="D1620" s="86" t="n"/>
      <c r="E1620" s="103">
        <f>IF(OR($B1620="",$D1620=""),"",IF(COUNTIF(THAM_SO_CC!$F$10:$F$40,$D1620)&gt;0,"Lễ",IF(IF(THAM_SO_CC!$B$12="T7+CN",WEEKDAY($D1620,2)&gt;=6,WEEKDAY($D1620,2)=7),"Nghỉ tuần","Ngày thường")))</f>
        <v/>
      </c>
      <c r="F1620" s="107" t="n"/>
      <c r="G1620" s="107" t="n"/>
      <c r="H1620" s="107" t="n"/>
      <c r="I1620" s="81" t="n"/>
      <c r="J1620" s="108">
        <f>IF($B1620="","",IF($E1620="Ngày thường",N($G1620),0))</f>
        <v/>
      </c>
      <c r="K1620" s="108">
        <f>IF($B1620="","",IF($E1620="Nghỉ tuần",N($G1620),0))</f>
        <v/>
      </c>
      <c r="L1620" s="108">
        <f>IF($B1620="","",IF($E1620="Lễ",N($G1620),0))</f>
        <v/>
      </c>
      <c r="M1620" s="108">
        <f>IF($B1620="","",IF($E1620="Ngày thường",N($H1620),0))</f>
        <v/>
      </c>
      <c r="N1620" s="108">
        <f>IF($B1620="","",IF($E1620="Nghỉ tuần",N($H1620),0))</f>
        <v/>
      </c>
      <c r="O1620" s="108">
        <f>IF($B1620="","",IF($E1620="Lễ",N($H1620),0))</f>
        <v/>
      </c>
    </row>
    <row r="1621" ht="15" customHeight="1" s="63">
      <c r="A1621" s="85">
        <f>IF($B1621="","",ROW()-5)</f>
        <v/>
      </c>
      <c r="B1621" s="97" t="n"/>
      <c r="C1621" s="96">
        <f>IF($B1621="","",IFERROR(INDEX(DM_NHAN_SU!$C$6:$C$155,MATCH($B1621,DM_NHAN_SU!$B$6:$B$155,0)),"SAI MÃ NV"))</f>
        <v/>
      </c>
      <c r="D1621" s="86" t="n"/>
      <c r="E1621" s="103">
        <f>IF(OR($B1621="",$D1621=""),"",IF(COUNTIF(THAM_SO_CC!$F$10:$F$40,$D1621)&gt;0,"Lễ",IF(IF(THAM_SO_CC!$B$12="T7+CN",WEEKDAY($D1621,2)&gt;=6,WEEKDAY($D1621,2)=7),"Nghỉ tuần","Ngày thường")))</f>
        <v/>
      </c>
      <c r="F1621" s="107" t="n"/>
      <c r="G1621" s="107" t="n"/>
      <c r="H1621" s="107" t="n"/>
      <c r="I1621" s="81" t="n"/>
      <c r="J1621" s="108">
        <f>IF($B1621="","",IF($E1621="Ngày thường",N($G1621),0))</f>
        <v/>
      </c>
      <c r="K1621" s="108">
        <f>IF($B1621="","",IF($E1621="Nghỉ tuần",N($G1621),0))</f>
        <v/>
      </c>
      <c r="L1621" s="108">
        <f>IF($B1621="","",IF($E1621="Lễ",N($G1621),0))</f>
        <v/>
      </c>
      <c r="M1621" s="108">
        <f>IF($B1621="","",IF($E1621="Ngày thường",N($H1621),0))</f>
        <v/>
      </c>
      <c r="N1621" s="108">
        <f>IF($B1621="","",IF($E1621="Nghỉ tuần",N($H1621),0))</f>
        <v/>
      </c>
      <c r="O1621" s="108">
        <f>IF($B1621="","",IF($E1621="Lễ",N($H1621),0))</f>
        <v/>
      </c>
    </row>
    <row r="1622" ht="15" customHeight="1" s="63">
      <c r="A1622" s="85">
        <f>IF($B1622="","",ROW()-5)</f>
        <v/>
      </c>
      <c r="B1622" s="97" t="n"/>
      <c r="C1622" s="96">
        <f>IF($B1622="","",IFERROR(INDEX(DM_NHAN_SU!$C$6:$C$155,MATCH($B1622,DM_NHAN_SU!$B$6:$B$155,0)),"SAI MÃ NV"))</f>
        <v/>
      </c>
      <c r="D1622" s="86" t="n"/>
      <c r="E1622" s="103">
        <f>IF(OR($B1622="",$D1622=""),"",IF(COUNTIF(THAM_SO_CC!$F$10:$F$40,$D1622)&gt;0,"Lễ",IF(IF(THAM_SO_CC!$B$12="T7+CN",WEEKDAY($D1622,2)&gt;=6,WEEKDAY($D1622,2)=7),"Nghỉ tuần","Ngày thường")))</f>
        <v/>
      </c>
      <c r="F1622" s="107" t="n"/>
      <c r="G1622" s="107" t="n"/>
      <c r="H1622" s="107" t="n"/>
      <c r="I1622" s="81" t="n"/>
      <c r="J1622" s="108">
        <f>IF($B1622="","",IF($E1622="Ngày thường",N($G1622),0))</f>
        <v/>
      </c>
      <c r="K1622" s="108">
        <f>IF($B1622="","",IF($E1622="Nghỉ tuần",N($G1622),0))</f>
        <v/>
      </c>
      <c r="L1622" s="108">
        <f>IF($B1622="","",IF($E1622="Lễ",N($G1622),0))</f>
        <v/>
      </c>
      <c r="M1622" s="108">
        <f>IF($B1622="","",IF($E1622="Ngày thường",N($H1622),0))</f>
        <v/>
      </c>
      <c r="N1622" s="108">
        <f>IF($B1622="","",IF($E1622="Nghỉ tuần",N($H1622),0))</f>
        <v/>
      </c>
      <c r="O1622" s="108">
        <f>IF($B1622="","",IF($E1622="Lễ",N($H1622),0))</f>
        <v/>
      </c>
    </row>
    <row r="1623" ht="15" customHeight="1" s="63">
      <c r="A1623" s="85">
        <f>IF($B1623="","",ROW()-5)</f>
        <v/>
      </c>
      <c r="B1623" s="97" t="n"/>
      <c r="C1623" s="96">
        <f>IF($B1623="","",IFERROR(INDEX(DM_NHAN_SU!$C$6:$C$155,MATCH($B1623,DM_NHAN_SU!$B$6:$B$155,0)),"SAI MÃ NV"))</f>
        <v/>
      </c>
      <c r="D1623" s="86" t="n"/>
      <c r="E1623" s="103">
        <f>IF(OR($B1623="",$D1623=""),"",IF(COUNTIF(THAM_SO_CC!$F$10:$F$40,$D1623)&gt;0,"Lễ",IF(IF(THAM_SO_CC!$B$12="T7+CN",WEEKDAY($D1623,2)&gt;=6,WEEKDAY($D1623,2)=7),"Nghỉ tuần","Ngày thường")))</f>
        <v/>
      </c>
      <c r="F1623" s="107" t="n"/>
      <c r="G1623" s="107" t="n"/>
      <c r="H1623" s="107" t="n"/>
      <c r="I1623" s="81" t="n"/>
      <c r="J1623" s="108">
        <f>IF($B1623="","",IF($E1623="Ngày thường",N($G1623),0))</f>
        <v/>
      </c>
      <c r="K1623" s="108">
        <f>IF($B1623="","",IF($E1623="Nghỉ tuần",N($G1623),0))</f>
        <v/>
      </c>
      <c r="L1623" s="108">
        <f>IF($B1623="","",IF($E1623="Lễ",N($G1623),0))</f>
        <v/>
      </c>
      <c r="M1623" s="108">
        <f>IF($B1623="","",IF($E1623="Ngày thường",N($H1623),0))</f>
        <v/>
      </c>
      <c r="N1623" s="108">
        <f>IF($B1623="","",IF($E1623="Nghỉ tuần",N($H1623),0))</f>
        <v/>
      </c>
      <c r="O1623" s="108">
        <f>IF($B1623="","",IF($E1623="Lễ",N($H1623),0))</f>
        <v/>
      </c>
    </row>
    <row r="1624" ht="15" customHeight="1" s="63">
      <c r="A1624" s="85">
        <f>IF($B1624="","",ROW()-5)</f>
        <v/>
      </c>
      <c r="B1624" s="97" t="n"/>
      <c r="C1624" s="96">
        <f>IF($B1624="","",IFERROR(INDEX(DM_NHAN_SU!$C$6:$C$155,MATCH($B1624,DM_NHAN_SU!$B$6:$B$155,0)),"SAI MÃ NV"))</f>
        <v/>
      </c>
      <c r="D1624" s="86" t="n"/>
      <c r="E1624" s="103">
        <f>IF(OR($B1624="",$D1624=""),"",IF(COUNTIF(THAM_SO_CC!$F$10:$F$40,$D1624)&gt;0,"Lễ",IF(IF(THAM_SO_CC!$B$12="T7+CN",WEEKDAY($D1624,2)&gt;=6,WEEKDAY($D1624,2)=7),"Nghỉ tuần","Ngày thường")))</f>
        <v/>
      </c>
      <c r="F1624" s="107" t="n"/>
      <c r="G1624" s="107" t="n"/>
      <c r="H1624" s="107" t="n"/>
      <c r="I1624" s="81" t="n"/>
      <c r="J1624" s="108">
        <f>IF($B1624="","",IF($E1624="Ngày thường",N($G1624),0))</f>
        <v/>
      </c>
      <c r="K1624" s="108">
        <f>IF($B1624="","",IF($E1624="Nghỉ tuần",N($G1624),0))</f>
        <v/>
      </c>
      <c r="L1624" s="108">
        <f>IF($B1624="","",IF($E1624="Lễ",N($G1624),0))</f>
        <v/>
      </c>
      <c r="M1624" s="108">
        <f>IF($B1624="","",IF($E1624="Ngày thường",N($H1624),0))</f>
        <v/>
      </c>
      <c r="N1624" s="108">
        <f>IF($B1624="","",IF($E1624="Nghỉ tuần",N($H1624),0))</f>
        <v/>
      </c>
      <c r="O1624" s="108">
        <f>IF($B1624="","",IF($E1624="Lễ",N($H1624),0))</f>
        <v/>
      </c>
    </row>
    <row r="1625" ht="15" customHeight="1" s="63">
      <c r="A1625" s="85">
        <f>IF($B1625="","",ROW()-5)</f>
        <v/>
      </c>
      <c r="B1625" s="97" t="n"/>
      <c r="C1625" s="96">
        <f>IF($B1625="","",IFERROR(INDEX(DM_NHAN_SU!$C$6:$C$155,MATCH($B1625,DM_NHAN_SU!$B$6:$B$155,0)),"SAI MÃ NV"))</f>
        <v/>
      </c>
      <c r="D1625" s="86" t="n"/>
      <c r="E1625" s="103">
        <f>IF(OR($B1625="",$D1625=""),"",IF(COUNTIF(THAM_SO_CC!$F$10:$F$40,$D1625)&gt;0,"Lễ",IF(IF(THAM_SO_CC!$B$12="T7+CN",WEEKDAY($D1625,2)&gt;=6,WEEKDAY($D1625,2)=7),"Nghỉ tuần","Ngày thường")))</f>
        <v/>
      </c>
      <c r="F1625" s="107" t="n"/>
      <c r="G1625" s="107" t="n"/>
      <c r="H1625" s="107" t="n"/>
      <c r="I1625" s="81" t="n"/>
      <c r="J1625" s="108">
        <f>IF($B1625="","",IF($E1625="Ngày thường",N($G1625),0))</f>
        <v/>
      </c>
      <c r="K1625" s="108">
        <f>IF($B1625="","",IF($E1625="Nghỉ tuần",N($G1625),0))</f>
        <v/>
      </c>
      <c r="L1625" s="108">
        <f>IF($B1625="","",IF($E1625="Lễ",N($G1625),0))</f>
        <v/>
      </c>
      <c r="M1625" s="108">
        <f>IF($B1625="","",IF($E1625="Ngày thường",N($H1625),0))</f>
        <v/>
      </c>
      <c r="N1625" s="108">
        <f>IF($B1625="","",IF($E1625="Nghỉ tuần",N($H1625),0))</f>
        <v/>
      </c>
      <c r="O1625" s="108">
        <f>IF($B1625="","",IF($E1625="Lễ",N($H1625),0))</f>
        <v/>
      </c>
    </row>
    <row r="1626" ht="15" customHeight="1" s="63">
      <c r="A1626" s="85">
        <f>IF($B1626="","",ROW()-5)</f>
        <v/>
      </c>
      <c r="B1626" s="97" t="n"/>
      <c r="C1626" s="96">
        <f>IF($B1626="","",IFERROR(INDEX(DM_NHAN_SU!$C$6:$C$155,MATCH($B1626,DM_NHAN_SU!$B$6:$B$155,0)),"SAI MÃ NV"))</f>
        <v/>
      </c>
      <c r="D1626" s="86" t="n"/>
      <c r="E1626" s="103">
        <f>IF(OR($B1626="",$D1626=""),"",IF(COUNTIF(THAM_SO_CC!$F$10:$F$40,$D1626)&gt;0,"Lễ",IF(IF(THAM_SO_CC!$B$12="T7+CN",WEEKDAY($D1626,2)&gt;=6,WEEKDAY($D1626,2)=7),"Nghỉ tuần","Ngày thường")))</f>
        <v/>
      </c>
      <c r="F1626" s="107" t="n"/>
      <c r="G1626" s="107" t="n"/>
      <c r="H1626" s="107" t="n"/>
      <c r="I1626" s="81" t="n"/>
      <c r="J1626" s="108">
        <f>IF($B1626="","",IF($E1626="Ngày thường",N($G1626),0))</f>
        <v/>
      </c>
      <c r="K1626" s="108">
        <f>IF($B1626="","",IF($E1626="Nghỉ tuần",N($G1626),0))</f>
        <v/>
      </c>
      <c r="L1626" s="108">
        <f>IF($B1626="","",IF($E1626="Lễ",N($G1626),0))</f>
        <v/>
      </c>
      <c r="M1626" s="108">
        <f>IF($B1626="","",IF($E1626="Ngày thường",N($H1626),0))</f>
        <v/>
      </c>
      <c r="N1626" s="108">
        <f>IF($B1626="","",IF($E1626="Nghỉ tuần",N($H1626),0))</f>
        <v/>
      </c>
      <c r="O1626" s="108">
        <f>IF($B1626="","",IF($E1626="Lễ",N($H1626),0))</f>
        <v/>
      </c>
    </row>
    <row r="1627" ht="15" customHeight="1" s="63">
      <c r="A1627" s="85">
        <f>IF($B1627="","",ROW()-5)</f>
        <v/>
      </c>
      <c r="B1627" s="97" t="n"/>
      <c r="C1627" s="96">
        <f>IF($B1627="","",IFERROR(INDEX(DM_NHAN_SU!$C$6:$C$155,MATCH($B1627,DM_NHAN_SU!$B$6:$B$155,0)),"SAI MÃ NV"))</f>
        <v/>
      </c>
      <c r="D1627" s="86" t="n"/>
      <c r="E1627" s="103">
        <f>IF(OR($B1627="",$D1627=""),"",IF(COUNTIF(THAM_SO_CC!$F$10:$F$40,$D1627)&gt;0,"Lễ",IF(IF(THAM_SO_CC!$B$12="T7+CN",WEEKDAY($D1627,2)&gt;=6,WEEKDAY($D1627,2)=7),"Nghỉ tuần","Ngày thường")))</f>
        <v/>
      </c>
      <c r="F1627" s="107" t="n"/>
      <c r="G1627" s="107" t="n"/>
      <c r="H1627" s="107" t="n"/>
      <c r="I1627" s="81" t="n"/>
      <c r="J1627" s="108">
        <f>IF($B1627="","",IF($E1627="Ngày thường",N($G1627),0))</f>
        <v/>
      </c>
      <c r="K1627" s="108">
        <f>IF($B1627="","",IF($E1627="Nghỉ tuần",N($G1627),0))</f>
        <v/>
      </c>
      <c r="L1627" s="108">
        <f>IF($B1627="","",IF($E1627="Lễ",N($G1627),0))</f>
        <v/>
      </c>
      <c r="M1627" s="108">
        <f>IF($B1627="","",IF($E1627="Ngày thường",N($H1627),0))</f>
        <v/>
      </c>
      <c r="N1627" s="108">
        <f>IF($B1627="","",IF($E1627="Nghỉ tuần",N($H1627),0))</f>
        <v/>
      </c>
      <c r="O1627" s="108">
        <f>IF($B1627="","",IF($E1627="Lễ",N($H1627),0))</f>
        <v/>
      </c>
    </row>
    <row r="1628" ht="15" customHeight="1" s="63">
      <c r="A1628" s="85">
        <f>IF($B1628="","",ROW()-5)</f>
        <v/>
      </c>
      <c r="B1628" s="97" t="n"/>
      <c r="C1628" s="96">
        <f>IF($B1628="","",IFERROR(INDEX(DM_NHAN_SU!$C$6:$C$155,MATCH($B1628,DM_NHAN_SU!$B$6:$B$155,0)),"SAI MÃ NV"))</f>
        <v/>
      </c>
      <c r="D1628" s="86" t="n"/>
      <c r="E1628" s="103">
        <f>IF(OR($B1628="",$D1628=""),"",IF(COUNTIF(THAM_SO_CC!$F$10:$F$40,$D1628)&gt;0,"Lễ",IF(IF(THAM_SO_CC!$B$12="T7+CN",WEEKDAY($D1628,2)&gt;=6,WEEKDAY($D1628,2)=7),"Nghỉ tuần","Ngày thường")))</f>
        <v/>
      </c>
      <c r="F1628" s="107" t="n"/>
      <c r="G1628" s="107" t="n"/>
      <c r="H1628" s="107" t="n"/>
      <c r="I1628" s="81" t="n"/>
      <c r="J1628" s="108">
        <f>IF($B1628="","",IF($E1628="Ngày thường",N($G1628),0))</f>
        <v/>
      </c>
      <c r="K1628" s="108">
        <f>IF($B1628="","",IF($E1628="Nghỉ tuần",N($G1628),0))</f>
        <v/>
      </c>
      <c r="L1628" s="108">
        <f>IF($B1628="","",IF($E1628="Lễ",N($G1628),0))</f>
        <v/>
      </c>
      <c r="M1628" s="108">
        <f>IF($B1628="","",IF($E1628="Ngày thường",N($H1628),0))</f>
        <v/>
      </c>
      <c r="N1628" s="108">
        <f>IF($B1628="","",IF($E1628="Nghỉ tuần",N($H1628),0))</f>
        <v/>
      </c>
      <c r="O1628" s="108">
        <f>IF($B1628="","",IF($E1628="Lễ",N($H1628),0))</f>
        <v/>
      </c>
    </row>
    <row r="1629" ht="15" customHeight="1" s="63">
      <c r="A1629" s="85">
        <f>IF($B1629="","",ROW()-5)</f>
        <v/>
      </c>
      <c r="B1629" s="97" t="n"/>
      <c r="C1629" s="96">
        <f>IF($B1629="","",IFERROR(INDEX(DM_NHAN_SU!$C$6:$C$155,MATCH($B1629,DM_NHAN_SU!$B$6:$B$155,0)),"SAI MÃ NV"))</f>
        <v/>
      </c>
      <c r="D1629" s="86" t="n"/>
      <c r="E1629" s="103">
        <f>IF(OR($B1629="",$D1629=""),"",IF(COUNTIF(THAM_SO_CC!$F$10:$F$40,$D1629)&gt;0,"Lễ",IF(IF(THAM_SO_CC!$B$12="T7+CN",WEEKDAY($D1629,2)&gt;=6,WEEKDAY($D1629,2)=7),"Nghỉ tuần","Ngày thường")))</f>
        <v/>
      </c>
      <c r="F1629" s="107" t="n"/>
      <c r="G1629" s="107" t="n"/>
      <c r="H1629" s="107" t="n"/>
      <c r="I1629" s="81" t="n"/>
      <c r="J1629" s="108">
        <f>IF($B1629="","",IF($E1629="Ngày thường",N($G1629),0))</f>
        <v/>
      </c>
      <c r="K1629" s="108">
        <f>IF($B1629="","",IF($E1629="Nghỉ tuần",N($G1629),0))</f>
        <v/>
      </c>
      <c r="L1629" s="108">
        <f>IF($B1629="","",IF($E1629="Lễ",N($G1629),0))</f>
        <v/>
      </c>
      <c r="M1629" s="108">
        <f>IF($B1629="","",IF($E1629="Ngày thường",N($H1629),0))</f>
        <v/>
      </c>
      <c r="N1629" s="108">
        <f>IF($B1629="","",IF($E1629="Nghỉ tuần",N($H1629),0))</f>
        <v/>
      </c>
      <c r="O1629" s="108">
        <f>IF($B1629="","",IF($E1629="Lễ",N($H1629),0))</f>
        <v/>
      </c>
    </row>
    <row r="1630" ht="15" customHeight="1" s="63">
      <c r="A1630" s="85">
        <f>IF($B1630="","",ROW()-5)</f>
        <v/>
      </c>
      <c r="B1630" s="97" t="n"/>
      <c r="C1630" s="96">
        <f>IF($B1630="","",IFERROR(INDEX(DM_NHAN_SU!$C$6:$C$155,MATCH($B1630,DM_NHAN_SU!$B$6:$B$155,0)),"SAI MÃ NV"))</f>
        <v/>
      </c>
      <c r="D1630" s="86" t="n"/>
      <c r="E1630" s="103">
        <f>IF(OR($B1630="",$D1630=""),"",IF(COUNTIF(THAM_SO_CC!$F$10:$F$40,$D1630)&gt;0,"Lễ",IF(IF(THAM_SO_CC!$B$12="T7+CN",WEEKDAY($D1630,2)&gt;=6,WEEKDAY($D1630,2)=7),"Nghỉ tuần","Ngày thường")))</f>
        <v/>
      </c>
      <c r="F1630" s="107" t="n"/>
      <c r="G1630" s="107" t="n"/>
      <c r="H1630" s="107" t="n"/>
      <c r="I1630" s="81" t="n"/>
      <c r="J1630" s="108">
        <f>IF($B1630="","",IF($E1630="Ngày thường",N($G1630),0))</f>
        <v/>
      </c>
      <c r="K1630" s="108">
        <f>IF($B1630="","",IF($E1630="Nghỉ tuần",N($G1630),0))</f>
        <v/>
      </c>
      <c r="L1630" s="108">
        <f>IF($B1630="","",IF($E1630="Lễ",N($G1630),0))</f>
        <v/>
      </c>
      <c r="M1630" s="108">
        <f>IF($B1630="","",IF($E1630="Ngày thường",N($H1630),0))</f>
        <v/>
      </c>
      <c r="N1630" s="108">
        <f>IF($B1630="","",IF($E1630="Nghỉ tuần",N($H1630),0))</f>
        <v/>
      </c>
      <c r="O1630" s="108">
        <f>IF($B1630="","",IF($E1630="Lễ",N($H1630),0))</f>
        <v/>
      </c>
    </row>
    <row r="1631" ht="15" customHeight="1" s="63">
      <c r="A1631" s="85">
        <f>IF($B1631="","",ROW()-5)</f>
        <v/>
      </c>
      <c r="B1631" s="97" t="n"/>
      <c r="C1631" s="96">
        <f>IF($B1631="","",IFERROR(INDEX(DM_NHAN_SU!$C$6:$C$155,MATCH($B1631,DM_NHAN_SU!$B$6:$B$155,0)),"SAI MÃ NV"))</f>
        <v/>
      </c>
      <c r="D1631" s="86" t="n"/>
      <c r="E1631" s="103">
        <f>IF(OR($B1631="",$D1631=""),"",IF(COUNTIF(THAM_SO_CC!$F$10:$F$40,$D1631)&gt;0,"Lễ",IF(IF(THAM_SO_CC!$B$12="T7+CN",WEEKDAY($D1631,2)&gt;=6,WEEKDAY($D1631,2)=7),"Nghỉ tuần","Ngày thường")))</f>
        <v/>
      </c>
      <c r="F1631" s="107" t="n"/>
      <c r="G1631" s="107" t="n"/>
      <c r="H1631" s="107" t="n"/>
      <c r="I1631" s="81" t="n"/>
      <c r="J1631" s="108">
        <f>IF($B1631="","",IF($E1631="Ngày thường",N($G1631),0))</f>
        <v/>
      </c>
      <c r="K1631" s="108">
        <f>IF($B1631="","",IF($E1631="Nghỉ tuần",N($G1631),0))</f>
        <v/>
      </c>
      <c r="L1631" s="108">
        <f>IF($B1631="","",IF($E1631="Lễ",N($G1631),0))</f>
        <v/>
      </c>
      <c r="M1631" s="108">
        <f>IF($B1631="","",IF($E1631="Ngày thường",N($H1631),0))</f>
        <v/>
      </c>
      <c r="N1631" s="108">
        <f>IF($B1631="","",IF($E1631="Nghỉ tuần",N($H1631),0))</f>
        <v/>
      </c>
      <c r="O1631" s="108">
        <f>IF($B1631="","",IF($E1631="Lễ",N($H1631),0))</f>
        <v/>
      </c>
    </row>
    <row r="1632" ht="15" customHeight="1" s="63">
      <c r="A1632" s="85">
        <f>IF($B1632="","",ROW()-5)</f>
        <v/>
      </c>
      <c r="B1632" s="97" t="n"/>
      <c r="C1632" s="96">
        <f>IF($B1632="","",IFERROR(INDEX(DM_NHAN_SU!$C$6:$C$155,MATCH($B1632,DM_NHAN_SU!$B$6:$B$155,0)),"SAI MÃ NV"))</f>
        <v/>
      </c>
      <c r="D1632" s="86" t="n"/>
      <c r="E1632" s="103">
        <f>IF(OR($B1632="",$D1632=""),"",IF(COUNTIF(THAM_SO_CC!$F$10:$F$40,$D1632)&gt;0,"Lễ",IF(IF(THAM_SO_CC!$B$12="T7+CN",WEEKDAY($D1632,2)&gt;=6,WEEKDAY($D1632,2)=7),"Nghỉ tuần","Ngày thường")))</f>
        <v/>
      </c>
      <c r="F1632" s="107" t="n"/>
      <c r="G1632" s="107" t="n"/>
      <c r="H1632" s="107" t="n"/>
      <c r="I1632" s="81" t="n"/>
      <c r="J1632" s="108">
        <f>IF($B1632="","",IF($E1632="Ngày thường",N($G1632),0))</f>
        <v/>
      </c>
      <c r="K1632" s="108">
        <f>IF($B1632="","",IF($E1632="Nghỉ tuần",N($G1632),0))</f>
        <v/>
      </c>
      <c r="L1632" s="108">
        <f>IF($B1632="","",IF($E1632="Lễ",N($G1632),0))</f>
        <v/>
      </c>
      <c r="M1632" s="108">
        <f>IF($B1632="","",IF($E1632="Ngày thường",N($H1632),0))</f>
        <v/>
      </c>
      <c r="N1632" s="108">
        <f>IF($B1632="","",IF($E1632="Nghỉ tuần",N($H1632),0))</f>
        <v/>
      </c>
      <c r="O1632" s="108">
        <f>IF($B1632="","",IF($E1632="Lễ",N($H1632),0))</f>
        <v/>
      </c>
    </row>
    <row r="1633" ht="15" customHeight="1" s="63">
      <c r="A1633" s="85">
        <f>IF($B1633="","",ROW()-5)</f>
        <v/>
      </c>
      <c r="B1633" s="97" t="n"/>
      <c r="C1633" s="96">
        <f>IF($B1633="","",IFERROR(INDEX(DM_NHAN_SU!$C$6:$C$155,MATCH($B1633,DM_NHAN_SU!$B$6:$B$155,0)),"SAI MÃ NV"))</f>
        <v/>
      </c>
      <c r="D1633" s="86" t="n"/>
      <c r="E1633" s="103">
        <f>IF(OR($B1633="",$D1633=""),"",IF(COUNTIF(THAM_SO_CC!$F$10:$F$40,$D1633)&gt;0,"Lễ",IF(IF(THAM_SO_CC!$B$12="T7+CN",WEEKDAY($D1633,2)&gt;=6,WEEKDAY($D1633,2)=7),"Nghỉ tuần","Ngày thường")))</f>
        <v/>
      </c>
      <c r="F1633" s="107" t="n"/>
      <c r="G1633" s="107" t="n"/>
      <c r="H1633" s="107" t="n"/>
      <c r="I1633" s="81" t="n"/>
      <c r="J1633" s="108">
        <f>IF($B1633="","",IF($E1633="Ngày thường",N($G1633),0))</f>
        <v/>
      </c>
      <c r="K1633" s="108">
        <f>IF($B1633="","",IF($E1633="Nghỉ tuần",N($G1633),0))</f>
        <v/>
      </c>
      <c r="L1633" s="108">
        <f>IF($B1633="","",IF($E1633="Lễ",N($G1633),0))</f>
        <v/>
      </c>
      <c r="M1633" s="108">
        <f>IF($B1633="","",IF($E1633="Ngày thường",N($H1633),0))</f>
        <v/>
      </c>
      <c r="N1633" s="108">
        <f>IF($B1633="","",IF($E1633="Nghỉ tuần",N($H1633),0))</f>
        <v/>
      </c>
      <c r="O1633" s="108">
        <f>IF($B1633="","",IF($E1633="Lễ",N($H1633),0))</f>
        <v/>
      </c>
    </row>
    <row r="1634" ht="15" customHeight="1" s="63">
      <c r="A1634" s="85">
        <f>IF($B1634="","",ROW()-5)</f>
        <v/>
      </c>
      <c r="B1634" s="97" t="n"/>
      <c r="C1634" s="96">
        <f>IF($B1634="","",IFERROR(INDEX(DM_NHAN_SU!$C$6:$C$155,MATCH($B1634,DM_NHAN_SU!$B$6:$B$155,0)),"SAI MÃ NV"))</f>
        <v/>
      </c>
      <c r="D1634" s="86" t="n"/>
      <c r="E1634" s="103">
        <f>IF(OR($B1634="",$D1634=""),"",IF(COUNTIF(THAM_SO_CC!$F$10:$F$40,$D1634)&gt;0,"Lễ",IF(IF(THAM_SO_CC!$B$12="T7+CN",WEEKDAY($D1634,2)&gt;=6,WEEKDAY($D1634,2)=7),"Nghỉ tuần","Ngày thường")))</f>
        <v/>
      </c>
      <c r="F1634" s="107" t="n"/>
      <c r="G1634" s="107" t="n"/>
      <c r="H1634" s="107" t="n"/>
      <c r="I1634" s="81" t="n"/>
      <c r="J1634" s="108">
        <f>IF($B1634="","",IF($E1634="Ngày thường",N($G1634),0))</f>
        <v/>
      </c>
      <c r="K1634" s="108">
        <f>IF($B1634="","",IF($E1634="Nghỉ tuần",N($G1634),0))</f>
        <v/>
      </c>
      <c r="L1634" s="108">
        <f>IF($B1634="","",IF($E1634="Lễ",N($G1634),0))</f>
        <v/>
      </c>
      <c r="M1634" s="108">
        <f>IF($B1634="","",IF($E1634="Ngày thường",N($H1634),0))</f>
        <v/>
      </c>
      <c r="N1634" s="108">
        <f>IF($B1634="","",IF($E1634="Nghỉ tuần",N($H1634),0))</f>
        <v/>
      </c>
      <c r="O1634" s="108">
        <f>IF($B1634="","",IF($E1634="Lễ",N($H1634),0))</f>
        <v/>
      </c>
    </row>
    <row r="1635" ht="15" customHeight="1" s="63">
      <c r="A1635" s="85">
        <f>IF($B1635="","",ROW()-5)</f>
        <v/>
      </c>
      <c r="B1635" s="97" t="n"/>
      <c r="C1635" s="96">
        <f>IF($B1635="","",IFERROR(INDEX(DM_NHAN_SU!$C$6:$C$155,MATCH($B1635,DM_NHAN_SU!$B$6:$B$155,0)),"SAI MÃ NV"))</f>
        <v/>
      </c>
      <c r="D1635" s="86" t="n"/>
      <c r="E1635" s="103">
        <f>IF(OR($B1635="",$D1635=""),"",IF(COUNTIF(THAM_SO_CC!$F$10:$F$40,$D1635)&gt;0,"Lễ",IF(IF(THAM_SO_CC!$B$12="T7+CN",WEEKDAY($D1635,2)&gt;=6,WEEKDAY($D1635,2)=7),"Nghỉ tuần","Ngày thường")))</f>
        <v/>
      </c>
      <c r="F1635" s="107" t="n"/>
      <c r="G1635" s="107" t="n"/>
      <c r="H1635" s="107" t="n"/>
      <c r="I1635" s="81" t="n"/>
      <c r="J1635" s="108">
        <f>IF($B1635="","",IF($E1635="Ngày thường",N($G1635),0))</f>
        <v/>
      </c>
      <c r="K1635" s="108">
        <f>IF($B1635="","",IF($E1635="Nghỉ tuần",N($G1635),0))</f>
        <v/>
      </c>
      <c r="L1635" s="108">
        <f>IF($B1635="","",IF($E1635="Lễ",N($G1635),0))</f>
        <v/>
      </c>
      <c r="M1635" s="108">
        <f>IF($B1635="","",IF($E1635="Ngày thường",N($H1635),0))</f>
        <v/>
      </c>
      <c r="N1635" s="108">
        <f>IF($B1635="","",IF($E1635="Nghỉ tuần",N($H1635),0))</f>
        <v/>
      </c>
      <c r="O1635" s="108">
        <f>IF($B1635="","",IF($E1635="Lễ",N($H1635),0))</f>
        <v/>
      </c>
    </row>
    <row r="1636" ht="15" customHeight="1" s="63">
      <c r="A1636" s="85">
        <f>IF($B1636="","",ROW()-5)</f>
        <v/>
      </c>
      <c r="B1636" s="97" t="n"/>
      <c r="C1636" s="96">
        <f>IF($B1636="","",IFERROR(INDEX(DM_NHAN_SU!$C$6:$C$155,MATCH($B1636,DM_NHAN_SU!$B$6:$B$155,0)),"SAI MÃ NV"))</f>
        <v/>
      </c>
      <c r="D1636" s="86" t="n"/>
      <c r="E1636" s="103">
        <f>IF(OR($B1636="",$D1636=""),"",IF(COUNTIF(THAM_SO_CC!$F$10:$F$40,$D1636)&gt;0,"Lễ",IF(IF(THAM_SO_CC!$B$12="T7+CN",WEEKDAY($D1636,2)&gt;=6,WEEKDAY($D1636,2)=7),"Nghỉ tuần","Ngày thường")))</f>
        <v/>
      </c>
      <c r="F1636" s="107" t="n"/>
      <c r="G1636" s="107" t="n"/>
      <c r="H1636" s="107" t="n"/>
      <c r="I1636" s="81" t="n"/>
      <c r="J1636" s="108">
        <f>IF($B1636="","",IF($E1636="Ngày thường",N($G1636),0))</f>
        <v/>
      </c>
      <c r="K1636" s="108">
        <f>IF($B1636="","",IF($E1636="Nghỉ tuần",N($G1636),0))</f>
        <v/>
      </c>
      <c r="L1636" s="108">
        <f>IF($B1636="","",IF($E1636="Lễ",N($G1636),0))</f>
        <v/>
      </c>
      <c r="M1636" s="108">
        <f>IF($B1636="","",IF($E1636="Ngày thường",N($H1636),0))</f>
        <v/>
      </c>
      <c r="N1636" s="108">
        <f>IF($B1636="","",IF($E1636="Nghỉ tuần",N($H1636),0))</f>
        <v/>
      </c>
      <c r="O1636" s="108">
        <f>IF($B1636="","",IF($E1636="Lễ",N($H1636),0))</f>
        <v/>
      </c>
    </row>
    <row r="1637" ht="15" customHeight="1" s="63">
      <c r="A1637" s="85">
        <f>IF($B1637="","",ROW()-5)</f>
        <v/>
      </c>
      <c r="B1637" s="97" t="n"/>
      <c r="C1637" s="96">
        <f>IF($B1637="","",IFERROR(INDEX(DM_NHAN_SU!$C$6:$C$155,MATCH($B1637,DM_NHAN_SU!$B$6:$B$155,0)),"SAI MÃ NV"))</f>
        <v/>
      </c>
      <c r="D1637" s="86" t="n"/>
      <c r="E1637" s="103">
        <f>IF(OR($B1637="",$D1637=""),"",IF(COUNTIF(THAM_SO_CC!$F$10:$F$40,$D1637)&gt;0,"Lễ",IF(IF(THAM_SO_CC!$B$12="T7+CN",WEEKDAY($D1637,2)&gt;=6,WEEKDAY($D1637,2)=7),"Nghỉ tuần","Ngày thường")))</f>
        <v/>
      </c>
      <c r="F1637" s="107" t="n"/>
      <c r="G1637" s="107" t="n"/>
      <c r="H1637" s="107" t="n"/>
      <c r="I1637" s="81" t="n"/>
      <c r="J1637" s="108">
        <f>IF($B1637="","",IF($E1637="Ngày thường",N($G1637),0))</f>
        <v/>
      </c>
      <c r="K1637" s="108">
        <f>IF($B1637="","",IF($E1637="Nghỉ tuần",N($G1637),0))</f>
        <v/>
      </c>
      <c r="L1637" s="108">
        <f>IF($B1637="","",IF($E1637="Lễ",N($G1637),0))</f>
        <v/>
      </c>
      <c r="M1637" s="108">
        <f>IF($B1637="","",IF($E1637="Ngày thường",N($H1637),0))</f>
        <v/>
      </c>
      <c r="N1637" s="108">
        <f>IF($B1637="","",IF($E1637="Nghỉ tuần",N($H1637),0))</f>
        <v/>
      </c>
      <c r="O1637" s="108">
        <f>IF($B1637="","",IF($E1637="Lễ",N($H1637),0))</f>
        <v/>
      </c>
    </row>
    <row r="1638" ht="15" customHeight="1" s="63">
      <c r="A1638" s="85">
        <f>IF($B1638="","",ROW()-5)</f>
        <v/>
      </c>
      <c r="B1638" s="97" t="n"/>
      <c r="C1638" s="96">
        <f>IF($B1638="","",IFERROR(INDEX(DM_NHAN_SU!$C$6:$C$155,MATCH($B1638,DM_NHAN_SU!$B$6:$B$155,0)),"SAI MÃ NV"))</f>
        <v/>
      </c>
      <c r="D1638" s="86" t="n"/>
      <c r="E1638" s="103">
        <f>IF(OR($B1638="",$D1638=""),"",IF(COUNTIF(THAM_SO_CC!$F$10:$F$40,$D1638)&gt;0,"Lễ",IF(IF(THAM_SO_CC!$B$12="T7+CN",WEEKDAY($D1638,2)&gt;=6,WEEKDAY($D1638,2)=7),"Nghỉ tuần","Ngày thường")))</f>
        <v/>
      </c>
      <c r="F1638" s="107" t="n"/>
      <c r="G1638" s="107" t="n"/>
      <c r="H1638" s="107" t="n"/>
      <c r="I1638" s="81" t="n"/>
      <c r="J1638" s="108">
        <f>IF($B1638="","",IF($E1638="Ngày thường",N($G1638),0))</f>
        <v/>
      </c>
      <c r="K1638" s="108">
        <f>IF($B1638="","",IF($E1638="Nghỉ tuần",N($G1638),0))</f>
        <v/>
      </c>
      <c r="L1638" s="108">
        <f>IF($B1638="","",IF($E1638="Lễ",N($G1638),0))</f>
        <v/>
      </c>
      <c r="M1638" s="108">
        <f>IF($B1638="","",IF($E1638="Ngày thường",N($H1638),0))</f>
        <v/>
      </c>
      <c r="N1638" s="108">
        <f>IF($B1638="","",IF($E1638="Nghỉ tuần",N($H1638),0))</f>
        <v/>
      </c>
      <c r="O1638" s="108">
        <f>IF($B1638="","",IF($E1638="Lễ",N($H1638),0))</f>
        <v/>
      </c>
    </row>
    <row r="1639" ht="15" customHeight="1" s="63">
      <c r="A1639" s="85">
        <f>IF($B1639="","",ROW()-5)</f>
        <v/>
      </c>
      <c r="B1639" s="97" t="n"/>
      <c r="C1639" s="96">
        <f>IF($B1639="","",IFERROR(INDEX(DM_NHAN_SU!$C$6:$C$155,MATCH($B1639,DM_NHAN_SU!$B$6:$B$155,0)),"SAI MÃ NV"))</f>
        <v/>
      </c>
      <c r="D1639" s="86" t="n"/>
      <c r="E1639" s="103">
        <f>IF(OR($B1639="",$D1639=""),"",IF(COUNTIF(THAM_SO_CC!$F$10:$F$40,$D1639)&gt;0,"Lễ",IF(IF(THAM_SO_CC!$B$12="T7+CN",WEEKDAY($D1639,2)&gt;=6,WEEKDAY($D1639,2)=7),"Nghỉ tuần","Ngày thường")))</f>
        <v/>
      </c>
      <c r="F1639" s="107" t="n"/>
      <c r="G1639" s="107" t="n"/>
      <c r="H1639" s="107" t="n"/>
      <c r="I1639" s="81" t="n"/>
      <c r="J1639" s="108">
        <f>IF($B1639="","",IF($E1639="Ngày thường",N($G1639),0))</f>
        <v/>
      </c>
      <c r="K1639" s="108">
        <f>IF($B1639="","",IF($E1639="Nghỉ tuần",N($G1639),0))</f>
        <v/>
      </c>
      <c r="L1639" s="108">
        <f>IF($B1639="","",IF($E1639="Lễ",N($G1639),0))</f>
        <v/>
      </c>
      <c r="M1639" s="108">
        <f>IF($B1639="","",IF($E1639="Ngày thường",N($H1639),0))</f>
        <v/>
      </c>
      <c r="N1639" s="108">
        <f>IF($B1639="","",IF($E1639="Nghỉ tuần",N($H1639),0))</f>
        <v/>
      </c>
      <c r="O1639" s="108">
        <f>IF($B1639="","",IF($E1639="Lễ",N($H1639),0))</f>
        <v/>
      </c>
    </row>
    <row r="1640" ht="15" customHeight="1" s="63">
      <c r="A1640" s="85">
        <f>IF($B1640="","",ROW()-5)</f>
        <v/>
      </c>
      <c r="B1640" s="97" t="n"/>
      <c r="C1640" s="96">
        <f>IF($B1640="","",IFERROR(INDEX(DM_NHAN_SU!$C$6:$C$155,MATCH($B1640,DM_NHAN_SU!$B$6:$B$155,0)),"SAI MÃ NV"))</f>
        <v/>
      </c>
      <c r="D1640" s="86" t="n"/>
      <c r="E1640" s="103">
        <f>IF(OR($B1640="",$D1640=""),"",IF(COUNTIF(THAM_SO_CC!$F$10:$F$40,$D1640)&gt;0,"Lễ",IF(IF(THAM_SO_CC!$B$12="T7+CN",WEEKDAY($D1640,2)&gt;=6,WEEKDAY($D1640,2)=7),"Nghỉ tuần","Ngày thường")))</f>
        <v/>
      </c>
      <c r="F1640" s="107" t="n"/>
      <c r="G1640" s="107" t="n"/>
      <c r="H1640" s="107" t="n"/>
      <c r="I1640" s="81" t="n"/>
      <c r="J1640" s="108">
        <f>IF($B1640="","",IF($E1640="Ngày thường",N($G1640),0))</f>
        <v/>
      </c>
      <c r="K1640" s="108">
        <f>IF($B1640="","",IF($E1640="Nghỉ tuần",N($G1640),0))</f>
        <v/>
      </c>
      <c r="L1640" s="108">
        <f>IF($B1640="","",IF($E1640="Lễ",N($G1640),0))</f>
        <v/>
      </c>
      <c r="M1640" s="108">
        <f>IF($B1640="","",IF($E1640="Ngày thường",N($H1640),0))</f>
        <v/>
      </c>
      <c r="N1640" s="108">
        <f>IF($B1640="","",IF($E1640="Nghỉ tuần",N($H1640),0))</f>
        <v/>
      </c>
      <c r="O1640" s="108">
        <f>IF($B1640="","",IF($E1640="Lễ",N($H1640),0))</f>
        <v/>
      </c>
    </row>
    <row r="1641" ht="15" customHeight="1" s="63">
      <c r="A1641" s="85">
        <f>IF($B1641="","",ROW()-5)</f>
        <v/>
      </c>
      <c r="B1641" s="97" t="n"/>
      <c r="C1641" s="96">
        <f>IF($B1641="","",IFERROR(INDEX(DM_NHAN_SU!$C$6:$C$155,MATCH($B1641,DM_NHAN_SU!$B$6:$B$155,0)),"SAI MÃ NV"))</f>
        <v/>
      </c>
      <c r="D1641" s="86" t="n"/>
      <c r="E1641" s="103">
        <f>IF(OR($B1641="",$D1641=""),"",IF(COUNTIF(THAM_SO_CC!$F$10:$F$40,$D1641)&gt;0,"Lễ",IF(IF(THAM_SO_CC!$B$12="T7+CN",WEEKDAY($D1641,2)&gt;=6,WEEKDAY($D1641,2)=7),"Nghỉ tuần","Ngày thường")))</f>
        <v/>
      </c>
      <c r="F1641" s="107" t="n"/>
      <c r="G1641" s="107" t="n"/>
      <c r="H1641" s="107" t="n"/>
      <c r="I1641" s="81" t="n"/>
      <c r="J1641" s="108">
        <f>IF($B1641="","",IF($E1641="Ngày thường",N($G1641),0))</f>
        <v/>
      </c>
      <c r="K1641" s="108">
        <f>IF($B1641="","",IF($E1641="Nghỉ tuần",N($G1641),0))</f>
        <v/>
      </c>
      <c r="L1641" s="108">
        <f>IF($B1641="","",IF($E1641="Lễ",N($G1641),0))</f>
        <v/>
      </c>
      <c r="M1641" s="108">
        <f>IF($B1641="","",IF($E1641="Ngày thường",N($H1641),0))</f>
        <v/>
      </c>
      <c r="N1641" s="108">
        <f>IF($B1641="","",IF($E1641="Nghỉ tuần",N($H1641),0))</f>
        <v/>
      </c>
      <c r="O1641" s="108">
        <f>IF($B1641="","",IF($E1641="Lễ",N($H1641),0))</f>
        <v/>
      </c>
    </row>
    <row r="1642" ht="15" customHeight="1" s="63">
      <c r="A1642" s="85">
        <f>IF($B1642="","",ROW()-5)</f>
        <v/>
      </c>
      <c r="B1642" s="97" t="n"/>
      <c r="C1642" s="96">
        <f>IF($B1642="","",IFERROR(INDEX(DM_NHAN_SU!$C$6:$C$155,MATCH($B1642,DM_NHAN_SU!$B$6:$B$155,0)),"SAI MÃ NV"))</f>
        <v/>
      </c>
      <c r="D1642" s="86" t="n"/>
      <c r="E1642" s="103">
        <f>IF(OR($B1642="",$D1642=""),"",IF(COUNTIF(THAM_SO_CC!$F$10:$F$40,$D1642)&gt;0,"Lễ",IF(IF(THAM_SO_CC!$B$12="T7+CN",WEEKDAY($D1642,2)&gt;=6,WEEKDAY($D1642,2)=7),"Nghỉ tuần","Ngày thường")))</f>
        <v/>
      </c>
      <c r="F1642" s="107" t="n"/>
      <c r="G1642" s="107" t="n"/>
      <c r="H1642" s="107" t="n"/>
      <c r="I1642" s="81" t="n"/>
      <c r="J1642" s="108">
        <f>IF($B1642="","",IF($E1642="Ngày thường",N($G1642),0))</f>
        <v/>
      </c>
      <c r="K1642" s="108">
        <f>IF($B1642="","",IF($E1642="Nghỉ tuần",N($G1642),0))</f>
        <v/>
      </c>
      <c r="L1642" s="108">
        <f>IF($B1642="","",IF($E1642="Lễ",N($G1642),0))</f>
        <v/>
      </c>
      <c r="M1642" s="108">
        <f>IF($B1642="","",IF($E1642="Ngày thường",N($H1642),0))</f>
        <v/>
      </c>
      <c r="N1642" s="108">
        <f>IF($B1642="","",IF($E1642="Nghỉ tuần",N($H1642),0))</f>
        <v/>
      </c>
      <c r="O1642" s="108">
        <f>IF($B1642="","",IF($E1642="Lễ",N($H1642),0))</f>
        <v/>
      </c>
    </row>
    <row r="1643" ht="15" customHeight="1" s="63">
      <c r="A1643" s="85">
        <f>IF($B1643="","",ROW()-5)</f>
        <v/>
      </c>
      <c r="B1643" s="97" t="n"/>
      <c r="C1643" s="96">
        <f>IF($B1643="","",IFERROR(INDEX(DM_NHAN_SU!$C$6:$C$155,MATCH($B1643,DM_NHAN_SU!$B$6:$B$155,0)),"SAI MÃ NV"))</f>
        <v/>
      </c>
      <c r="D1643" s="86" t="n"/>
      <c r="E1643" s="103">
        <f>IF(OR($B1643="",$D1643=""),"",IF(COUNTIF(THAM_SO_CC!$F$10:$F$40,$D1643)&gt;0,"Lễ",IF(IF(THAM_SO_CC!$B$12="T7+CN",WEEKDAY($D1643,2)&gt;=6,WEEKDAY($D1643,2)=7),"Nghỉ tuần","Ngày thường")))</f>
        <v/>
      </c>
      <c r="F1643" s="107" t="n"/>
      <c r="G1643" s="107" t="n"/>
      <c r="H1643" s="107" t="n"/>
      <c r="I1643" s="81" t="n"/>
      <c r="J1643" s="108">
        <f>IF($B1643="","",IF($E1643="Ngày thường",N($G1643),0))</f>
        <v/>
      </c>
      <c r="K1643" s="108">
        <f>IF($B1643="","",IF($E1643="Nghỉ tuần",N($G1643),0))</f>
        <v/>
      </c>
      <c r="L1643" s="108">
        <f>IF($B1643="","",IF($E1643="Lễ",N($G1643),0))</f>
        <v/>
      </c>
      <c r="M1643" s="108">
        <f>IF($B1643="","",IF($E1643="Ngày thường",N($H1643),0))</f>
        <v/>
      </c>
      <c r="N1643" s="108">
        <f>IF($B1643="","",IF($E1643="Nghỉ tuần",N($H1643),0))</f>
        <v/>
      </c>
      <c r="O1643" s="108">
        <f>IF($B1643="","",IF($E1643="Lễ",N($H1643),0))</f>
        <v/>
      </c>
    </row>
    <row r="1644" ht="15" customHeight="1" s="63">
      <c r="A1644" s="85">
        <f>IF($B1644="","",ROW()-5)</f>
        <v/>
      </c>
      <c r="B1644" s="97" t="n"/>
      <c r="C1644" s="96">
        <f>IF($B1644="","",IFERROR(INDEX(DM_NHAN_SU!$C$6:$C$155,MATCH($B1644,DM_NHAN_SU!$B$6:$B$155,0)),"SAI MÃ NV"))</f>
        <v/>
      </c>
      <c r="D1644" s="86" t="n"/>
      <c r="E1644" s="103">
        <f>IF(OR($B1644="",$D1644=""),"",IF(COUNTIF(THAM_SO_CC!$F$10:$F$40,$D1644)&gt;0,"Lễ",IF(IF(THAM_SO_CC!$B$12="T7+CN",WEEKDAY($D1644,2)&gt;=6,WEEKDAY($D1644,2)=7),"Nghỉ tuần","Ngày thường")))</f>
        <v/>
      </c>
      <c r="F1644" s="107" t="n"/>
      <c r="G1644" s="107" t="n"/>
      <c r="H1644" s="107" t="n"/>
      <c r="I1644" s="81" t="n"/>
      <c r="J1644" s="108">
        <f>IF($B1644="","",IF($E1644="Ngày thường",N($G1644),0))</f>
        <v/>
      </c>
      <c r="K1644" s="108">
        <f>IF($B1644="","",IF($E1644="Nghỉ tuần",N($G1644),0))</f>
        <v/>
      </c>
      <c r="L1644" s="108">
        <f>IF($B1644="","",IF($E1644="Lễ",N($G1644),0))</f>
        <v/>
      </c>
      <c r="M1644" s="108">
        <f>IF($B1644="","",IF($E1644="Ngày thường",N($H1644),0))</f>
        <v/>
      </c>
      <c r="N1644" s="108">
        <f>IF($B1644="","",IF($E1644="Nghỉ tuần",N($H1644),0))</f>
        <v/>
      </c>
      <c r="O1644" s="108">
        <f>IF($B1644="","",IF($E1644="Lễ",N($H1644),0))</f>
        <v/>
      </c>
    </row>
    <row r="1645" ht="15" customHeight="1" s="63">
      <c r="A1645" s="85">
        <f>IF($B1645="","",ROW()-5)</f>
        <v/>
      </c>
      <c r="B1645" s="97" t="n"/>
      <c r="C1645" s="96">
        <f>IF($B1645="","",IFERROR(INDEX(DM_NHAN_SU!$C$6:$C$155,MATCH($B1645,DM_NHAN_SU!$B$6:$B$155,0)),"SAI MÃ NV"))</f>
        <v/>
      </c>
      <c r="D1645" s="86" t="n"/>
      <c r="E1645" s="103">
        <f>IF(OR($B1645="",$D1645=""),"",IF(COUNTIF(THAM_SO_CC!$F$10:$F$40,$D1645)&gt;0,"Lễ",IF(IF(THAM_SO_CC!$B$12="T7+CN",WEEKDAY($D1645,2)&gt;=6,WEEKDAY($D1645,2)=7),"Nghỉ tuần","Ngày thường")))</f>
        <v/>
      </c>
      <c r="F1645" s="107" t="n"/>
      <c r="G1645" s="107" t="n"/>
      <c r="H1645" s="107" t="n"/>
      <c r="I1645" s="81" t="n"/>
      <c r="J1645" s="108">
        <f>IF($B1645="","",IF($E1645="Ngày thường",N($G1645),0))</f>
        <v/>
      </c>
      <c r="K1645" s="108">
        <f>IF($B1645="","",IF($E1645="Nghỉ tuần",N($G1645),0))</f>
        <v/>
      </c>
      <c r="L1645" s="108">
        <f>IF($B1645="","",IF($E1645="Lễ",N($G1645),0))</f>
        <v/>
      </c>
      <c r="M1645" s="108">
        <f>IF($B1645="","",IF($E1645="Ngày thường",N($H1645),0))</f>
        <v/>
      </c>
      <c r="N1645" s="108">
        <f>IF($B1645="","",IF($E1645="Nghỉ tuần",N($H1645),0))</f>
        <v/>
      </c>
      <c r="O1645" s="108">
        <f>IF($B1645="","",IF($E1645="Lễ",N($H1645),0))</f>
        <v/>
      </c>
    </row>
    <row r="1646" ht="15" customHeight="1" s="63">
      <c r="A1646" s="85">
        <f>IF($B1646="","",ROW()-5)</f>
        <v/>
      </c>
      <c r="B1646" s="97" t="n"/>
      <c r="C1646" s="96">
        <f>IF($B1646="","",IFERROR(INDEX(DM_NHAN_SU!$C$6:$C$155,MATCH($B1646,DM_NHAN_SU!$B$6:$B$155,0)),"SAI MÃ NV"))</f>
        <v/>
      </c>
      <c r="D1646" s="86" t="n"/>
      <c r="E1646" s="103">
        <f>IF(OR($B1646="",$D1646=""),"",IF(COUNTIF(THAM_SO_CC!$F$10:$F$40,$D1646)&gt;0,"Lễ",IF(IF(THAM_SO_CC!$B$12="T7+CN",WEEKDAY($D1646,2)&gt;=6,WEEKDAY($D1646,2)=7),"Nghỉ tuần","Ngày thường")))</f>
        <v/>
      </c>
      <c r="F1646" s="107" t="n"/>
      <c r="G1646" s="107" t="n"/>
      <c r="H1646" s="107" t="n"/>
      <c r="I1646" s="81" t="n"/>
      <c r="J1646" s="108">
        <f>IF($B1646="","",IF($E1646="Ngày thường",N($G1646),0))</f>
        <v/>
      </c>
      <c r="K1646" s="108">
        <f>IF($B1646="","",IF($E1646="Nghỉ tuần",N($G1646),0))</f>
        <v/>
      </c>
      <c r="L1646" s="108">
        <f>IF($B1646="","",IF($E1646="Lễ",N($G1646),0))</f>
        <v/>
      </c>
      <c r="M1646" s="108">
        <f>IF($B1646="","",IF($E1646="Ngày thường",N($H1646),0))</f>
        <v/>
      </c>
      <c r="N1646" s="108">
        <f>IF($B1646="","",IF($E1646="Nghỉ tuần",N($H1646),0))</f>
        <v/>
      </c>
      <c r="O1646" s="108">
        <f>IF($B1646="","",IF($E1646="Lễ",N($H1646),0))</f>
        <v/>
      </c>
    </row>
    <row r="1647" ht="15" customHeight="1" s="63">
      <c r="A1647" s="85">
        <f>IF($B1647="","",ROW()-5)</f>
        <v/>
      </c>
      <c r="B1647" s="97" t="n"/>
      <c r="C1647" s="96">
        <f>IF($B1647="","",IFERROR(INDEX(DM_NHAN_SU!$C$6:$C$155,MATCH($B1647,DM_NHAN_SU!$B$6:$B$155,0)),"SAI MÃ NV"))</f>
        <v/>
      </c>
      <c r="D1647" s="86" t="n"/>
      <c r="E1647" s="103">
        <f>IF(OR($B1647="",$D1647=""),"",IF(COUNTIF(THAM_SO_CC!$F$10:$F$40,$D1647)&gt;0,"Lễ",IF(IF(THAM_SO_CC!$B$12="T7+CN",WEEKDAY($D1647,2)&gt;=6,WEEKDAY($D1647,2)=7),"Nghỉ tuần","Ngày thường")))</f>
        <v/>
      </c>
      <c r="F1647" s="107" t="n"/>
      <c r="G1647" s="107" t="n"/>
      <c r="H1647" s="107" t="n"/>
      <c r="I1647" s="81" t="n"/>
      <c r="J1647" s="108">
        <f>IF($B1647="","",IF($E1647="Ngày thường",N($G1647),0))</f>
        <v/>
      </c>
      <c r="K1647" s="108">
        <f>IF($B1647="","",IF($E1647="Nghỉ tuần",N($G1647),0))</f>
        <v/>
      </c>
      <c r="L1647" s="108">
        <f>IF($B1647="","",IF($E1647="Lễ",N($G1647),0))</f>
        <v/>
      </c>
      <c r="M1647" s="108">
        <f>IF($B1647="","",IF($E1647="Ngày thường",N($H1647),0))</f>
        <v/>
      </c>
      <c r="N1647" s="108">
        <f>IF($B1647="","",IF($E1647="Nghỉ tuần",N($H1647),0))</f>
        <v/>
      </c>
      <c r="O1647" s="108">
        <f>IF($B1647="","",IF($E1647="Lễ",N($H1647),0))</f>
        <v/>
      </c>
    </row>
    <row r="1648" ht="15" customHeight="1" s="63">
      <c r="A1648" s="85">
        <f>IF($B1648="","",ROW()-5)</f>
        <v/>
      </c>
      <c r="B1648" s="97" t="n"/>
      <c r="C1648" s="96">
        <f>IF($B1648="","",IFERROR(INDEX(DM_NHAN_SU!$C$6:$C$155,MATCH($B1648,DM_NHAN_SU!$B$6:$B$155,0)),"SAI MÃ NV"))</f>
        <v/>
      </c>
      <c r="D1648" s="86" t="n"/>
      <c r="E1648" s="103">
        <f>IF(OR($B1648="",$D1648=""),"",IF(COUNTIF(THAM_SO_CC!$F$10:$F$40,$D1648)&gt;0,"Lễ",IF(IF(THAM_SO_CC!$B$12="T7+CN",WEEKDAY($D1648,2)&gt;=6,WEEKDAY($D1648,2)=7),"Nghỉ tuần","Ngày thường")))</f>
        <v/>
      </c>
      <c r="F1648" s="107" t="n"/>
      <c r="G1648" s="107" t="n"/>
      <c r="H1648" s="107" t="n"/>
      <c r="I1648" s="81" t="n"/>
      <c r="J1648" s="108">
        <f>IF($B1648="","",IF($E1648="Ngày thường",N($G1648),0))</f>
        <v/>
      </c>
      <c r="K1648" s="108">
        <f>IF($B1648="","",IF($E1648="Nghỉ tuần",N($G1648),0))</f>
        <v/>
      </c>
      <c r="L1648" s="108">
        <f>IF($B1648="","",IF($E1648="Lễ",N($G1648),0))</f>
        <v/>
      </c>
      <c r="M1648" s="108">
        <f>IF($B1648="","",IF($E1648="Ngày thường",N($H1648),0))</f>
        <v/>
      </c>
      <c r="N1648" s="108">
        <f>IF($B1648="","",IF($E1648="Nghỉ tuần",N($H1648),0))</f>
        <v/>
      </c>
      <c r="O1648" s="108">
        <f>IF($B1648="","",IF($E1648="Lễ",N($H1648),0))</f>
        <v/>
      </c>
    </row>
    <row r="1649" ht="15" customHeight="1" s="63">
      <c r="A1649" s="85">
        <f>IF($B1649="","",ROW()-5)</f>
        <v/>
      </c>
      <c r="B1649" s="97" t="n"/>
      <c r="C1649" s="96">
        <f>IF($B1649="","",IFERROR(INDEX(DM_NHAN_SU!$C$6:$C$155,MATCH($B1649,DM_NHAN_SU!$B$6:$B$155,0)),"SAI MÃ NV"))</f>
        <v/>
      </c>
      <c r="D1649" s="86" t="n"/>
      <c r="E1649" s="103">
        <f>IF(OR($B1649="",$D1649=""),"",IF(COUNTIF(THAM_SO_CC!$F$10:$F$40,$D1649)&gt;0,"Lễ",IF(IF(THAM_SO_CC!$B$12="T7+CN",WEEKDAY($D1649,2)&gt;=6,WEEKDAY($D1649,2)=7),"Nghỉ tuần","Ngày thường")))</f>
        <v/>
      </c>
      <c r="F1649" s="107" t="n"/>
      <c r="G1649" s="107" t="n"/>
      <c r="H1649" s="107" t="n"/>
      <c r="I1649" s="81" t="n"/>
      <c r="J1649" s="108">
        <f>IF($B1649="","",IF($E1649="Ngày thường",N($G1649),0))</f>
        <v/>
      </c>
      <c r="K1649" s="108">
        <f>IF($B1649="","",IF($E1649="Nghỉ tuần",N($G1649),0))</f>
        <v/>
      </c>
      <c r="L1649" s="108">
        <f>IF($B1649="","",IF($E1649="Lễ",N($G1649),0))</f>
        <v/>
      </c>
      <c r="M1649" s="108">
        <f>IF($B1649="","",IF($E1649="Ngày thường",N($H1649),0))</f>
        <v/>
      </c>
      <c r="N1649" s="108">
        <f>IF($B1649="","",IF($E1649="Nghỉ tuần",N($H1649),0))</f>
        <v/>
      </c>
      <c r="O1649" s="108">
        <f>IF($B1649="","",IF($E1649="Lễ",N($H1649),0))</f>
        <v/>
      </c>
    </row>
    <row r="1650" ht="15" customHeight="1" s="63">
      <c r="A1650" s="85">
        <f>IF($B1650="","",ROW()-5)</f>
        <v/>
      </c>
      <c r="B1650" s="97" t="n"/>
      <c r="C1650" s="96">
        <f>IF($B1650="","",IFERROR(INDEX(DM_NHAN_SU!$C$6:$C$155,MATCH($B1650,DM_NHAN_SU!$B$6:$B$155,0)),"SAI MÃ NV"))</f>
        <v/>
      </c>
      <c r="D1650" s="86" t="n"/>
      <c r="E1650" s="103">
        <f>IF(OR($B1650="",$D1650=""),"",IF(COUNTIF(THAM_SO_CC!$F$10:$F$40,$D1650)&gt;0,"Lễ",IF(IF(THAM_SO_CC!$B$12="T7+CN",WEEKDAY($D1650,2)&gt;=6,WEEKDAY($D1650,2)=7),"Nghỉ tuần","Ngày thường")))</f>
        <v/>
      </c>
      <c r="F1650" s="107" t="n"/>
      <c r="G1650" s="107" t="n"/>
      <c r="H1650" s="107" t="n"/>
      <c r="I1650" s="81" t="n"/>
      <c r="J1650" s="108">
        <f>IF($B1650="","",IF($E1650="Ngày thường",N($G1650),0))</f>
        <v/>
      </c>
      <c r="K1650" s="108">
        <f>IF($B1650="","",IF($E1650="Nghỉ tuần",N($G1650),0))</f>
        <v/>
      </c>
      <c r="L1650" s="108">
        <f>IF($B1650="","",IF($E1650="Lễ",N($G1650),0))</f>
        <v/>
      </c>
      <c r="M1650" s="108">
        <f>IF($B1650="","",IF($E1650="Ngày thường",N($H1650),0))</f>
        <v/>
      </c>
      <c r="N1650" s="108">
        <f>IF($B1650="","",IF($E1650="Nghỉ tuần",N($H1650),0))</f>
        <v/>
      </c>
      <c r="O1650" s="108">
        <f>IF($B1650="","",IF($E1650="Lễ",N($H1650),0))</f>
        <v/>
      </c>
    </row>
    <row r="1651" ht="15" customHeight="1" s="63">
      <c r="A1651" s="85">
        <f>IF($B1651="","",ROW()-5)</f>
        <v/>
      </c>
      <c r="B1651" s="97" t="n"/>
      <c r="C1651" s="96">
        <f>IF($B1651="","",IFERROR(INDEX(DM_NHAN_SU!$C$6:$C$155,MATCH($B1651,DM_NHAN_SU!$B$6:$B$155,0)),"SAI MÃ NV"))</f>
        <v/>
      </c>
      <c r="D1651" s="86" t="n"/>
      <c r="E1651" s="103">
        <f>IF(OR($B1651="",$D1651=""),"",IF(COUNTIF(THAM_SO_CC!$F$10:$F$40,$D1651)&gt;0,"Lễ",IF(IF(THAM_SO_CC!$B$12="T7+CN",WEEKDAY($D1651,2)&gt;=6,WEEKDAY($D1651,2)=7),"Nghỉ tuần","Ngày thường")))</f>
        <v/>
      </c>
      <c r="F1651" s="107" t="n"/>
      <c r="G1651" s="107" t="n"/>
      <c r="H1651" s="107" t="n"/>
      <c r="I1651" s="81" t="n"/>
      <c r="J1651" s="108">
        <f>IF($B1651="","",IF($E1651="Ngày thường",N($G1651),0))</f>
        <v/>
      </c>
      <c r="K1651" s="108">
        <f>IF($B1651="","",IF($E1651="Nghỉ tuần",N($G1651),0))</f>
        <v/>
      </c>
      <c r="L1651" s="108">
        <f>IF($B1651="","",IF($E1651="Lễ",N($G1651),0))</f>
        <v/>
      </c>
      <c r="M1651" s="108">
        <f>IF($B1651="","",IF($E1651="Ngày thường",N($H1651),0))</f>
        <v/>
      </c>
      <c r="N1651" s="108">
        <f>IF($B1651="","",IF($E1651="Nghỉ tuần",N($H1651),0))</f>
        <v/>
      </c>
      <c r="O1651" s="108">
        <f>IF($B1651="","",IF($E1651="Lễ",N($H1651),0))</f>
        <v/>
      </c>
    </row>
    <row r="1652" ht="15" customHeight="1" s="63">
      <c r="A1652" s="85">
        <f>IF($B1652="","",ROW()-5)</f>
        <v/>
      </c>
      <c r="B1652" s="97" t="n"/>
      <c r="C1652" s="96">
        <f>IF($B1652="","",IFERROR(INDEX(DM_NHAN_SU!$C$6:$C$155,MATCH($B1652,DM_NHAN_SU!$B$6:$B$155,0)),"SAI MÃ NV"))</f>
        <v/>
      </c>
      <c r="D1652" s="86" t="n"/>
      <c r="E1652" s="103">
        <f>IF(OR($B1652="",$D1652=""),"",IF(COUNTIF(THAM_SO_CC!$F$10:$F$40,$D1652)&gt;0,"Lễ",IF(IF(THAM_SO_CC!$B$12="T7+CN",WEEKDAY($D1652,2)&gt;=6,WEEKDAY($D1652,2)=7),"Nghỉ tuần","Ngày thường")))</f>
        <v/>
      </c>
      <c r="F1652" s="107" t="n"/>
      <c r="G1652" s="107" t="n"/>
      <c r="H1652" s="107" t="n"/>
      <c r="I1652" s="81" t="n"/>
      <c r="J1652" s="108">
        <f>IF($B1652="","",IF($E1652="Ngày thường",N($G1652),0))</f>
        <v/>
      </c>
      <c r="K1652" s="108">
        <f>IF($B1652="","",IF($E1652="Nghỉ tuần",N($G1652),0))</f>
        <v/>
      </c>
      <c r="L1652" s="108">
        <f>IF($B1652="","",IF($E1652="Lễ",N($G1652),0))</f>
        <v/>
      </c>
      <c r="M1652" s="108">
        <f>IF($B1652="","",IF($E1652="Ngày thường",N($H1652),0))</f>
        <v/>
      </c>
      <c r="N1652" s="108">
        <f>IF($B1652="","",IF($E1652="Nghỉ tuần",N($H1652),0))</f>
        <v/>
      </c>
      <c r="O1652" s="108">
        <f>IF($B1652="","",IF($E1652="Lễ",N($H1652),0))</f>
        <v/>
      </c>
    </row>
    <row r="1653" ht="15" customHeight="1" s="63">
      <c r="A1653" s="85">
        <f>IF($B1653="","",ROW()-5)</f>
        <v/>
      </c>
      <c r="B1653" s="97" t="n"/>
      <c r="C1653" s="96">
        <f>IF($B1653="","",IFERROR(INDEX(DM_NHAN_SU!$C$6:$C$155,MATCH($B1653,DM_NHAN_SU!$B$6:$B$155,0)),"SAI MÃ NV"))</f>
        <v/>
      </c>
      <c r="D1653" s="86" t="n"/>
      <c r="E1653" s="103">
        <f>IF(OR($B1653="",$D1653=""),"",IF(COUNTIF(THAM_SO_CC!$F$10:$F$40,$D1653)&gt;0,"Lễ",IF(IF(THAM_SO_CC!$B$12="T7+CN",WEEKDAY($D1653,2)&gt;=6,WEEKDAY($D1653,2)=7),"Nghỉ tuần","Ngày thường")))</f>
        <v/>
      </c>
      <c r="F1653" s="107" t="n"/>
      <c r="G1653" s="107" t="n"/>
      <c r="H1653" s="107" t="n"/>
      <c r="I1653" s="81" t="n"/>
      <c r="J1653" s="108">
        <f>IF($B1653="","",IF($E1653="Ngày thường",N($G1653),0))</f>
        <v/>
      </c>
      <c r="K1653" s="108">
        <f>IF($B1653="","",IF($E1653="Nghỉ tuần",N($G1653),0))</f>
        <v/>
      </c>
      <c r="L1653" s="108">
        <f>IF($B1653="","",IF($E1653="Lễ",N($G1653),0))</f>
        <v/>
      </c>
      <c r="M1653" s="108">
        <f>IF($B1653="","",IF($E1653="Ngày thường",N($H1653),0))</f>
        <v/>
      </c>
      <c r="N1653" s="108">
        <f>IF($B1653="","",IF($E1653="Nghỉ tuần",N($H1653),0))</f>
        <v/>
      </c>
      <c r="O1653" s="108">
        <f>IF($B1653="","",IF($E1653="Lễ",N($H1653),0))</f>
        <v/>
      </c>
    </row>
    <row r="1654" ht="15" customHeight="1" s="63">
      <c r="A1654" s="85">
        <f>IF($B1654="","",ROW()-5)</f>
        <v/>
      </c>
      <c r="B1654" s="97" t="n"/>
      <c r="C1654" s="96">
        <f>IF($B1654="","",IFERROR(INDEX(DM_NHAN_SU!$C$6:$C$155,MATCH($B1654,DM_NHAN_SU!$B$6:$B$155,0)),"SAI MÃ NV"))</f>
        <v/>
      </c>
      <c r="D1654" s="86" t="n"/>
      <c r="E1654" s="103">
        <f>IF(OR($B1654="",$D1654=""),"",IF(COUNTIF(THAM_SO_CC!$F$10:$F$40,$D1654)&gt;0,"Lễ",IF(IF(THAM_SO_CC!$B$12="T7+CN",WEEKDAY($D1654,2)&gt;=6,WEEKDAY($D1654,2)=7),"Nghỉ tuần","Ngày thường")))</f>
        <v/>
      </c>
      <c r="F1654" s="107" t="n"/>
      <c r="G1654" s="107" t="n"/>
      <c r="H1654" s="107" t="n"/>
      <c r="I1654" s="81" t="n"/>
      <c r="J1654" s="108">
        <f>IF($B1654="","",IF($E1654="Ngày thường",N($G1654),0))</f>
        <v/>
      </c>
      <c r="K1654" s="108">
        <f>IF($B1654="","",IF($E1654="Nghỉ tuần",N($G1654),0))</f>
        <v/>
      </c>
      <c r="L1654" s="108">
        <f>IF($B1654="","",IF($E1654="Lễ",N($G1654),0))</f>
        <v/>
      </c>
      <c r="M1654" s="108">
        <f>IF($B1654="","",IF($E1654="Ngày thường",N($H1654),0))</f>
        <v/>
      </c>
      <c r="N1654" s="108">
        <f>IF($B1654="","",IF($E1654="Nghỉ tuần",N($H1654),0))</f>
        <v/>
      </c>
      <c r="O1654" s="108">
        <f>IF($B1654="","",IF($E1654="Lễ",N($H1654),0))</f>
        <v/>
      </c>
    </row>
    <row r="1655" ht="15" customHeight="1" s="63">
      <c r="A1655" s="85">
        <f>IF($B1655="","",ROW()-5)</f>
        <v/>
      </c>
      <c r="B1655" s="97" t="n"/>
      <c r="C1655" s="96">
        <f>IF($B1655="","",IFERROR(INDEX(DM_NHAN_SU!$C$6:$C$155,MATCH($B1655,DM_NHAN_SU!$B$6:$B$155,0)),"SAI MÃ NV"))</f>
        <v/>
      </c>
      <c r="D1655" s="86" t="n"/>
      <c r="E1655" s="103">
        <f>IF(OR($B1655="",$D1655=""),"",IF(COUNTIF(THAM_SO_CC!$F$10:$F$40,$D1655)&gt;0,"Lễ",IF(IF(THAM_SO_CC!$B$12="T7+CN",WEEKDAY($D1655,2)&gt;=6,WEEKDAY($D1655,2)=7),"Nghỉ tuần","Ngày thường")))</f>
        <v/>
      </c>
      <c r="F1655" s="107" t="n"/>
      <c r="G1655" s="107" t="n"/>
      <c r="H1655" s="107" t="n"/>
      <c r="I1655" s="81" t="n"/>
      <c r="J1655" s="108">
        <f>IF($B1655="","",IF($E1655="Ngày thường",N($G1655),0))</f>
        <v/>
      </c>
      <c r="K1655" s="108">
        <f>IF($B1655="","",IF($E1655="Nghỉ tuần",N($G1655),0))</f>
        <v/>
      </c>
      <c r="L1655" s="108">
        <f>IF($B1655="","",IF($E1655="Lễ",N($G1655),0))</f>
        <v/>
      </c>
      <c r="M1655" s="108">
        <f>IF($B1655="","",IF($E1655="Ngày thường",N($H1655),0))</f>
        <v/>
      </c>
      <c r="N1655" s="108">
        <f>IF($B1655="","",IF($E1655="Nghỉ tuần",N($H1655),0))</f>
        <v/>
      </c>
      <c r="O1655" s="108">
        <f>IF($B1655="","",IF($E1655="Lễ",N($H1655),0))</f>
        <v/>
      </c>
    </row>
    <row r="1656" ht="15" customHeight="1" s="63">
      <c r="A1656" s="85">
        <f>IF($B1656="","",ROW()-5)</f>
        <v/>
      </c>
      <c r="B1656" s="97" t="n"/>
      <c r="C1656" s="96">
        <f>IF($B1656="","",IFERROR(INDEX(DM_NHAN_SU!$C$6:$C$155,MATCH($B1656,DM_NHAN_SU!$B$6:$B$155,0)),"SAI MÃ NV"))</f>
        <v/>
      </c>
      <c r="D1656" s="86" t="n"/>
      <c r="E1656" s="103">
        <f>IF(OR($B1656="",$D1656=""),"",IF(COUNTIF(THAM_SO_CC!$F$10:$F$40,$D1656)&gt;0,"Lễ",IF(IF(THAM_SO_CC!$B$12="T7+CN",WEEKDAY($D1656,2)&gt;=6,WEEKDAY($D1656,2)=7),"Nghỉ tuần","Ngày thường")))</f>
        <v/>
      </c>
      <c r="F1656" s="107" t="n"/>
      <c r="G1656" s="107" t="n"/>
      <c r="H1656" s="107" t="n"/>
      <c r="I1656" s="81" t="n"/>
      <c r="J1656" s="108">
        <f>IF($B1656="","",IF($E1656="Ngày thường",N($G1656),0))</f>
        <v/>
      </c>
      <c r="K1656" s="108">
        <f>IF($B1656="","",IF($E1656="Nghỉ tuần",N($G1656),0))</f>
        <v/>
      </c>
      <c r="L1656" s="108">
        <f>IF($B1656="","",IF($E1656="Lễ",N($G1656),0))</f>
        <v/>
      </c>
      <c r="M1656" s="108">
        <f>IF($B1656="","",IF($E1656="Ngày thường",N($H1656),0))</f>
        <v/>
      </c>
      <c r="N1656" s="108">
        <f>IF($B1656="","",IF($E1656="Nghỉ tuần",N($H1656),0))</f>
        <v/>
      </c>
      <c r="O1656" s="108">
        <f>IF($B1656="","",IF($E1656="Lễ",N($H1656),0))</f>
        <v/>
      </c>
    </row>
    <row r="1657" ht="15" customHeight="1" s="63">
      <c r="A1657" s="85">
        <f>IF($B1657="","",ROW()-5)</f>
        <v/>
      </c>
      <c r="B1657" s="97" t="n"/>
      <c r="C1657" s="96">
        <f>IF($B1657="","",IFERROR(INDEX(DM_NHAN_SU!$C$6:$C$155,MATCH($B1657,DM_NHAN_SU!$B$6:$B$155,0)),"SAI MÃ NV"))</f>
        <v/>
      </c>
      <c r="D1657" s="86" t="n"/>
      <c r="E1657" s="103">
        <f>IF(OR($B1657="",$D1657=""),"",IF(COUNTIF(THAM_SO_CC!$F$10:$F$40,$D1657)&gt;0,"Lễ",IF(IF(THAM_SO_CC!$B$12="T7+CN",WEEKDAY($D1657,2)&gt;=6,WEEKDAY($D1657,2)=7),"Nghỉ tuần","Ngày thường")))</f>
        <v/>
      </c>
      <c r="F1657" s="107" t="n"/>
      <c r="G1657" s="107" t="n"/>
      <c r="H1657" s="107" t="n"/>
      <c r="I1657" s="81" t="n"/>
      <c r="J1657" s="108">
        <f>IF($B1657="","",IF($E1657="Ngày thường",N($G1657),0))</f>
        <v/>
      </c>
      <c r="K1657" s="108">
        <f>IF($B1657="","",IF($E1657="Nghỉ tuần",N($G1657),0))</f>
        <v/>
      </c>
      <c r="L1657" s="108">
        <f>IF($B1657="","",IF($E1657="Lễ",N($G1657),0))</f>
        <v/>
      </c>
      <c r="M1657" s="108">
        <f>IF($B1657="","",IF($E1657="Ngày thường",N($H1657),0))</f>
        <v/>
      </c>
      <c r="N1657" s="108">
        <f>IF($B1657="","",IF($E1657="Nghỉ tuần",N($H1657),0))</f>
        <v/>
      </c>
      <c r="O1657" s="108">
        <f>IF($B1657="","",IF($E1657="Lễ",N($H1657),0))</f>
        <v/>
      </c>
    </row>
    <row r="1658" ht="15" customHeight="1" s="63">
      <c r="A1658" s="85">
        <f>IF($B1658="","",ROW()-5)</f>
        <v/>
      </c>
      <c r="B1658" s="97" t="n"/>
      <c r="C1658" s="96">
        <f>IF($B1658="","",IFERROR(INDEX(DM_NHAN_SU!$C$6:$C$155,MATCH($B1658,DM_NHAN_SU!$B$6:$B$155,0)),"SAI MÃ NV"))</f>
        <v/>
      </c>
      <c r="D1658" s="86" t="n"/>
      <c r="E1658" s="103">
        <f>IF(OR($B1658="",$D1658=""),"",IF(COUNTIF(THAM_SO_CC!$F$10:$F$40,$D1658)&gt;0,"Lễ",IF(IF(THAM_SO_CC!$B$12="T7+CN",WEEKDAY($D1658,2)&gt;=6,WEEKDAY($D1658,2)=7),"Nghỉ tuần","Ngày thường")))</f>
        <v/>
      </c>
      <c r="F1658" s="107" t="n"/>
      <c r="G1658" s="107" t="n"/>
      <c r="H1658" s="107" t="n"/>
      <c r="I1658" s="81" t="n"/>
      <c r="J1658" s="108">
        <f>IF($B1658="","",IF($E1658="Ngày thường",N($G1658),0))</f>
        <v/>
      </c>
      <c r="K1658" s="108">
        <f>IF($B1658="","",IF($E1658="Nghỉ tuần",N($G1658),0))</f>
        <v/>
      </c>
      <c r="L1658" s="108">
        <f>IF($B1658="","",IF($E1658="Lễ",N($G1658),0))</f>
        <v/>
      </c>
      <c r="M1658" s="108">
        <f>IF($B1658="","",IF($E1658="Ngày thường",N($H1658),0))</f>
        <v/>
      </c>
      <c r="N1658" s="108">
        <f>IF($B1658="","",IF($E1658="Nghỉ tuần",N($H1658),0))</f>
        <v/>
      </c>
      <c r="O1658" s="108">
        <f>IF($B1658="","",IF($E1658="Lễ",N($H1658),0))</f>
        <v/>
      </c>
    </row>
    <row r="1659" ht="15" customHeight="1" s="63">
      <c r="A1659" s="85">
        <f>IF($B1659="","",ROW()-5)</f>
        <v/>
      </c>
      <c r="B1659" s="97" t="n"/>
      <c r="C1659" s="96">
        <f>IF($B1659="","",IFERROR(INDEX(DM_NHAN_SU!$C$6:$C$155,MATCH($B1659,DM_NHAN_SU!$B$6:$B$155,0)),"SAI MÃ NV"))</f>
        <v/>
      </c>
      <c r="D1659" s="86" t="n"/>
      <c r="E1659" s="103">
        <f>IF(OR($B1659="",$D1659=""),"",IF(COUNTIF(THAM_SO_CC!$F$10:$F$40,$D1659)&gt;0,"Lễ",IF(IF(THAM_SO_CC!$B$12="T7+CN",WEEKDAY($D1659,2)&gt;=6,WEEKDAY($D1659,2)=7),"Nghỉ tuần","Ngày thường")))</f>
        <v/>
      </c>
      <c r="F1659" s="107" t="n"/>
      <c r="G1659" s="107" t="n"/>
      <c r="H1659" s="107" t="n"/>
      <c r="I1659" s="81" t="n"/>
      <c r="J1659" s="108">
        <f>IF($B1659="","",IF($E1659="Ngày thường",N($G1659),0))</f>
        <v/>
      </c>
      <c r="K1659" s="108">
        <f>IF($B1659="","",IF($E1659="Nghỉ tuần",N($G1659),0))</f>
        <v/>
      </c>
      <c r="L1659" s="108">
        <f>IF($B1659="","",IF($E1659="Lễ",N($G1659),0))</f>
        <v/>
      </c>
      <c r="M1659" s="108">
        <f>IF($B1659="","",IF($E1659="Ngày thường",N($H1659),0))</f>
        <v/>
      </c>
      <c r="N1659" s="108">
        <f>IF($B1659="","",IF($E1659="Nghỉ tuần",N($H1659),0))</f>
        <v/>
      </c>
      <c r="O1659" s="108">
        <f>IF($B1659="","",IF($E1659="Lễ",N($H1659),0))</f>
        <v/>
      </c>
    </row>
    <row r="1660" ht="15" customHeight="1" s="63">
      <c r="A1660" s="85">
        <f>IF($B1660="","",ROW()-5)</f>
        <v/>
      </c>
      <c r="B1660" s="97" t="n"/>
      <c r="C1660" s="96">
        <f>IF($B1660="","",IFERROR(INDEX(DM_NHAN_SU!$C$6:$C$155,MATCH($B1660,DM_NHAN_SU!$B$6:$B$155,0)),"SAI MÃ NV"))</f>
        <v/>
      </c>
      <c r="D1660" s="86" t="n"/>
      <c r="E1660" s="103">
        <f>IF(OR($B1660="",$D1660=""),"",IF(COUNTIF(THAM_SO_CC!$F$10:$F$40,$D1660)&gt;0,"Lễ",IF(IF(THAM_SO_CC!$B$12="T7+CN",WEEKDAY($D1660,2)&gt;=6,WEEKDAY($D1660,2)=7),"Nghỉ tuần","Ngày thường")))</f>
        <v/>
      </c>
      <c r="F1660" s="107" t="n"/>
      <c r="G1660" s="107" t="n"/>
      <c r="H1660" s="107" t="n"/>
      <c r="I1660" s="81" t="n"/>
      <c r="J1660" s="108">
        <f>IF($B1660="","",IF($E1660="Ngày thường",N($G1660),0))</f>
        <v/>
      </c>
      <c r="K1660" s="108">
        <f>IF($B1660="","",IF($E1660="Nghỉ tuần",N($G1660),0))</f>
        <v/>
      </c>
      <c r="L1660" s="108">
        <f>IF($B1660="","",IF($E1660="Lễ",N($G1660),0))</f>
        <v/>
      </c>
      <c r="M1660" s="108">
        <f>IF($B1660="","",IF($E1660="Ngày thường",N($H1660),0))</f>
        <v/>
      </c>
      <c r="N1660" s="108">
        <f>IF($B1660="","",IF($E1660="Nghỉ tuần",N($H1660),0))</f>
        <v/>
      </c>
      <c r="O1660" s="108">
        <f>IF($B1660="","",IF($E1660="Lễ",N($H1660),0))</f>
        <v/>
      </c>
    </row>
    <row r="1661" ht="15" customHeight="1" s="63">
      <c r="A1661" s="85">
        <f>IF($B1661="","",ROW()-5)</f>
        <v/>
      </c>
      <c r="B1661" s="97" t="n"/>
      <c r="C1661" s="96">
        <f>IF($B1661="","",IFERROR(INDEX(DM_NHAN_SU!$C$6:$C$155,MATCH($B1661,DM_NHAN_SU!$B$6:$B$155,0)),"SAI MÃ NV"))</f>
        <v/>
      </c>
      <c r="D1661" s="86" t="n"/>
      <c r="E1661" s="103">
        <f>IF(OR($B1661="",$D1661=""),"",IF(COUNTIF(THAM_SO_CC!$F$10:$F$40,$D1661)&gt;0,"Lễ",IF(IF(THAM_SO_CC!$B$12="T7+CN",WEEKDAY($D1661,2)&gt;=6,WEEKDAY($D1661,2)=7),"Nghỉ tuần","Ngày thường")))</f>
        <v/>
      </c>
      <c r="F1661" s="107" t="n"/>
      <c r="G1661" s="107" t="n"/>
      <c r="H1661" s="107" t="n"/>
      <c r="I1661" s="81" t="n"/>
      <c r="J1661" s="108">
        <f>IF($B1661="","",IF($E1661="Ngày thường",N($G1661),0))</f>
        <v/>
      </c>
      <c r="K1661" s="108">
        <f>IF($B1661="","",IF($E1661="Nghỉ tuần",N($G1661),0))</f>
        <v/>
      </c>
      <c r="L1661" s="108">
        <f>IF($B1661="","",IF($E1661="Lễ",N($G1661),0))</f>
        <v/>
      </c>
      <c r="M1661" s="108">
        <f>IF($B1661="","",IF($E1661="Ngày thường",N($H1661),0))</f>
        <v/>
      </c>
      <c r="N1661" s="108">
        <f>IF($B1661="","",IF($E1661="Nghỉ tuần",N($H1661),0))</f>
        <v/>
      </c>
      <c r="O1661" s="108">
        <f>IF($B1661="","",IF($E1661="Lễ",N($H1661),0))</f>
        <v/>
      </c>
    </row>
    <row r="1662" ht="15" customHeight="1" s="63">
      <c r="A1662" s="85">
        <f>IF($B1662="","",ROW()-5)</f>
        <v/>
      </c>
      <c r="B1662" s="97" t="n"/>
      <c r="C1662" s="96">
        <f>IF($B1662="","",IFERROR(INDEX(DM_NHAN_SU!$C$6:$C$155,MATCH($B1662,DM_NHAN_SU!$B$6:$B$155,0)),"SAI MÃ NV"))</f>
        <v/>
      </c>
      <c r="D1662" s="86" t="n"/>
      <c r="E1662" s="103">
        <f>IF(OR($B1662="",$D1662=""),"",IF(COUNTIF(THAM_SO_CC!$F$10:$F$40,$D1662)&gt;0,"Lễ",IF(IF(THAM_SO_CC!$B$12="T7+CN",WEEKDAY($D1662,2)&gt;=6,WEEKDAY($D1662,2)=7),"Nghỉ tuần","Ngày thường")))</f>
        <v/>
      </c>
      <c r="F1662" s="107" t="n"/>
      <c r="G1662" s="107" t="n"/>
      <c r="H1662" s="107" t="n"/>
      <c r="I1662" s="81" t="n"/>
      <c r="J1662" s="108">
        <f>IF($B1662="","",IF($E1662="Ngày thường",N($G1662),0))</f>
        <v/>
      </c>
      <c r="K1662" s="108">
        <f>IF($B1662="","",IF($E1662="Nghỉ tuần",N($G1662),0))</f>
        <v/>
      </c>
      <c r="L1662" s="108">
        <f>IF($B1662="","",IF($E1662="Lễ",N($G1662),0))</f>
        <v/>
      </c>
      <c r="M1662" s="108">
        <f>IF($B1662="","",IF($E1662="Ngày thường",N($H1662),0))</f>
        <v/>
      </c>
      <c r="N1662" s="108">
        <f>IF($B1662="","",IF($E1662="Nghỉ tuần",N($H1662),0))</f>
        <v/>
      </c>
      <c r="O1662" s="108">
        <f>IF($B1662="","",IF($E1662="Lễ",N($H1662),0))</f>
        <v/>
      </c>
    </row>
    <row r="1663" ht="15" customHeight="1" s="63">
      <c r="A1663" s="85">
        <f>IF($B1663="","",ROW()-5)</f>
        <v/>
      </c>
      <c r="B1663" s="97" t="n"/>
      <c r="C1663" s="96">
        <f>IF($B1663="","",IFERROR(INDEX(DM_NHAN_SU!$C$6:$C$155,MATCH($B1663,DM_NHAN_SU!$B$6:$B$155,0)),"SAI MÃ NV"))</f>
        <v/>
      </c>
      <c r="D1663" s="86" t="n"/>
      <c r="E1663" s="103">
        <f>IF(OR($B1663="",$D1663=""),"",IF(COUNTIF(THAM_SO_CC!$F$10:$F$40,$D1663)&gt;0,"Lễ",IF(IF(THAM_SO_CC!$B$12="T7+CN",WEEKDAY($D1663,2)&gt;=6,WEEKDAY($D1663,2)=7),"Nghỉ tuần","Ngày thường")))</f>
        <v/>
      </c>
      <c r="F1663" s="107" t="n"/>
      <c r="G1663" s="107" t="n"/>
      <c r="H1663" s="107" t="n"/>
      <c r="I1663" s="81" t="n"/>
      <c r="J1663" s="108">
        <f>IF($B1663="","",IF($E1663="Ngày thường",N($G1663),0))</f>
        <v/>
      </c>
      <c r="K1663" s="108">
        <f>IF($B1663="","",IF($E1663="Nghỉ tuần",N($G1663),0))</f>
        <v/>
      </c>
      <c r="L1663" s="108">
        <f>IF($B1663="","",IF($E1663="Lễ",N($G1663),0))</f>
        <v/>
      </c>
      <c r="M1663" s="108">
        <f>IF($B1663="","",IF($E1663="Ngày thường",N($H1663),0))</f>
        <v/>
      </c>
      <c r="N1663" s="108">
        <f>IF($B1663="","",IF($E1663="Nghỉ tuần",N($H1663),0))</f>
        <v/>
      </c>
      <c r="O1663" s="108">
        <f>IF($B1663="","",IF($E1663="Lễ",N($H1663),0))</f>
        <v/>
      </c>
    </row>
    <row r="1664" ht="15" customHeight="1" s="63">
      <c r="A1664" s="85">
        <f>IF($B1664="","",ROW()-5)</f>
        <v/>
      </c>
      <c r="B1664" s="97" t="n"/>
      <c r="C1664" s="96">
        <f>IF($B1664="","",IFERROR(INDEX(DM_NHAN_SU!$C$6:$C$155,MATCH($B1664,DM_NHAN_SU!$B$6:$B$155,0)),"SAI MÃ NV"))</f>
        <v/>
      </c>
      <c r="D1664" s="86" t="n"/>
      <c r="E1664" s="103">
        <f>IF(OR($B1664="",$D1664=""),"",IF(COUNTIF(THAM_SO_CC!$F$10:$F$40,$D1664)&gt;0,"Lễ",IF(IF(THAM_SO_CC!$B$12="T7+CN",WEEKDAY($D1664,2)&gt;=6,WEEKDAY($D1664,2)=7),"Nghỉ tuần","Ngày thường")))</f>
        <v/>
      </c>
      <c r="F1664" s="107" t="n"/>
      <c r="G1664" s="107" t="n"/>
      <c r="H1664" s="107" t="n"/>
      <c r="I1664" s="81" t="n"/>
      <c r="J1664" s="108">
        <f>IF($B1664="","",IF($E1664="Ngày thường",N($G1664),0))</f>
        <v/>
      </c>
      <c r="K1664" s="108">
        <f>IF($B1664="","",IF($E1664="Nghỉ tuần",N($G1664),0))</f>
        <v/>
      </c>
      <c r="L1664" s="108">
        <f>IF($B1664="","",IF($E1664="Lễ",N($G1664),0))</f>
        <v/>
      </c>
      <c r="M1664" s="108">
        <f>IF($B1664="","",IF($E1664="Ngày thường",N($H1664),0))</f>
        <v/>
      </c>
      <c r="N1664" s="108">
        <f>IF($B1664="","",IF($E1664="Nghỉ tuần",N($H1664),0))</f>
        <v/>
      </c>
      <c r="O1664" s="108">
        <f>IF($B1664="","",IF($E1664="Lễ",N($H1664),0))</f>
        <v/>
      </c>
    </row>
    <row r="1665" ht="15" customHeight="1" s="63">
      <c r="A1665" s="85">
        <f>IF($B1665="","",ROW()-5)</f>
        <v/>
      </c>
      <c r="B1665" s="97" t="n"/>
      <c r="C1665" s="96">
        <f>IF($B1665="","",IFERROR(INDEX(DM_NHAN_SU!$C$6:$C$155,MATCH($B1665,DM_NHAN_SU!$B$6:$B$155,0)),"SAI MÃ NV"))</f>
        <v/>
      </c>
      <c r="D1665" s="86" t="n"/>
      <c r="E1665" s="103">
        <f>IF(OR($B1665="",$D1665=""),"",IF(COUNTIF(THAM_SO_CC!$F$10:$F$40,$D1665)&gt;0,"Lễ",IF(IF(THAM_SO_CC!$B$12="T7+CN",WEEKDAY($D1665,2)&gt;=6,WEEKDAY($D1665,2)=7),"Nghỉ tuần","Ngày thường")))</f>
        <v/>
      </c>
      <c r="F1665" s="107" t="n"/>
      <c r="G1665" s="107" t="n"/>
      <c r="H1665" s="107" t="n"/>
      <c r="I1665" s="81" t="n"/>
      <c r="J1665" s="108">
        <f>IF($B1665="","",IF($E1665="Ngày thường",N($G1665),0))</f>
        <v/>
      </c>
      <c r="K1665" s="108">
        <f>IF($B1665="","",IF($E1665="Nghỉ tuần",N($G1665),0))</f>
        <v/>
      </c>
      <c r="L1665" s="108">
        <f>IF($B1665="","",IF($E1665="Lễ",N($G1665),0))</f>
        <v/>
      </c>
      <c r="M1665" s="108">
        <f>IF($B1665="","",IF($E1665="Ngày thường",N($H1665),0))</f>
        <v/>
      </c>
      <c r="N1665" s="108">
        <f>IF($B1665="","",IF($E1665="Nghỉ tuần",N($H1665),0))</f>
        <v/>
      </c>
      <c r="O1665" s="108">
        <f>IF($B1665="","",IF($E1665="Lễ",N($H1665),0))</f>
        <v/>
      </c>
    </row>
    <row r="1666" ht="15" customHeight="1" s="63">
      <c r="A1666" s="85">
        <f>IF($B1666="","",ROW()-5)</f>
        <v/>
      </c>
      <c r="B1666" s="97" t="n"/>
      <c r="C1666" s="96">
        <f>IF($B1666="","",IFERROR(INDEX(DM_NHAN_SU!$C$6:$C$155,MATCH($B1666,DM_NHAN_SU!$B$6:$B$155,0)),"SAI MÃ NV"))</f>
        <v/>
      </c>
      <c r="D1666" s="86" t="n"/>
      <c r="E1666" s="103">
        <f>IF(OR($B1666="",$D1666=""),"",IF(COUNTIF(THAM_SO_CC!$F$10:$F$40,$D1666)&gt;0,"Lễ",IF(IF(THAM_SO_CC!$B$12="T7+CN",WEEKDAY($D1666,2)&gt;=6,WEEKDAY($D1666,2)=7),"Nghỉ tuần","Ngày thường")))</f>
        <v/>
      </c>
      <c r="F1666" s="107" t="n"/>
      <c r="G1666" s="107" t="n"/>
      <c r="H1666" s="107" t="n"/>
      <c r="I1666" s="81" t="n"/>
      <c r="J1666" s="108">
        <f>IF($B1666="","",IF($E1666="Ngày thường",N($G1666),0))</f>
        <v/>
      </c>
      <c r="K1666" s="108">
        <f>IF($B1666="","",IF($E1666="Nghỉ tuần",N($G1666),0))</f>
        <v/>
      </c>
      <c r="L1666" s="108">
        <f>IF($B1666="","",IF($E1666="Lễ",N($G1666),0))</f>
        <v/>
      </c>
      <c r="M1666" s="108">
        <f>IF($B1666="","",IF($E1666="Ngày thường",N($H1666),0))</f>
        <v/>
      </c>
      <c r="N1666" s="108">
        <f>IF($B1666="","",IF($E1666="Nghỉ tuần",N($H1666),0))</f>
        <v/>
      </c>
      <c r="O1666" s="108">
        <f>IF($B1666="","",IF($E1666="Lễ",N($H1666),0))</f>
        <v/>
      </c>
    </row>
    <row r="1667" ht="15" customHeight="1" s="63">
      <c r="A1667" s="85">
        <f>IF($B1667="","",ROW()-5)</f>
        <v/>
      </c>
      <c r="B1667" s="97" t="n"/>
      <c r="C1667" s="96">
        <f>IF($B1667="","",IFERROR(INDEX(DM_NHAN_SU!$C$6:$C$155,MATCH($B1667,DM_NHAN_SU!$B$6:$B$155,0)),"SAI MÃ NV"))</f>
        <v/>
      </c>
      <c r="D1667" s="86" t="n"/>
      <c r="E1667" s="103">
        <f>IF(OR($B1667="",$D1667=""),"",IF(COUNTIF(THAM_SO_CC!$F$10:$F$40,$D1667)&gt;0,"Lễ",IF(IF(THAM_SO_CC!$B$12="T7+CN",WEEKDAY($D1667,2)&gt;=6,WEEKDAY($D1667,2)=7),"Nghỉ tuần","Ngày thường")))</f>
        <v/>
      </c>
      <c r="F1667" s="107" t="n"/>
      <c r="G1667" s="107" t="n"/>
      <c r="H1667" s="107" t="n"/>
      <c r="I1667" s="81" t="n"/>
      <c r="J1667" s="108">
        <f>IF($B1667="","",IF($E1667="Ngày thường",N($G1667),0))</f>
        <v/>
      </c>
      <c r="K1667" s="108">
        <f>IF($B1667="","",IF($E1667="Nghỉ tuần",N($G1667),0))</f>
        <v/>
      </c>
      <c r="L1667" s="108">
        <f>IF($B1667="","",IF($E1667="Lễ",N($G1667),0))</f>
        <v/>
      </c>
      <c r="M1667" s="108">
        <f>IF($B1667="","",IF($E1667="Ngày thường",N($H1667),0))</f>
        <v/>
      </c>
      <c r="N1667" s="108">
        <f>IF($B1667="","",IF($E1667="Nghỉ tuần",N($H1667),0))</f>
        <v/>
      </c>
      <c r="O1667" s="108">
        <f>IF($B1667="","",IF($E1667="Lễ",N($H1667),0))</f>
        <v/>
      </c>
    </row>
    <row r="1668" ht="15" customHeight="1" s="63">
      <c r="A1668" s="85">
        <f>IF($B1668="","",ROW()-5)</f>
        <v/>
      </c>
      <c r="B1668" s="97" t="n"/>
      <c r="C1668" s="96">
        <f>IF($B1668="","",IFERROR(INDEX(DM_NHAN_SU!$C$6:$C$155,MATCH($B1668,DM_NHAN_SU!$B$6:$B$155,0)),"SAI MÃ NV"))</f>
        <v/>
      </c>
      <c r="D1668" s="86" t="n"/>
      <c r="E1668" s="103">
        <f>IF(OR($B1668="",$D1668=""),"",IF(COUNTIF(THAM_SO_CC!$F$10:$F$40,$D1668)&gt;0,"Lễ",IF(IF(THAM_SO_CC!$B$12="T7+CN",WEEKDAY($D1668,2)&gt;=6,WEEKDAY($D1668,2)=7),"Nghỉ tuần","Ngày thường")))</f>
        <v/>
      </c>
      <c r="F1668" s="107" t="n"/>
      <c r="G1668" s="107" t="n"/>
      <c r="H1668" s="107" t="n"/>
      <c r="I1668" s="81" t="n"/>
      <c r="J1668" s="108">
        <f>IF($B1668="","",IF($E1668="Ngày thường",N($G1668),0))</f>
        <v/>
      </c>
      <c r="K1668" s="108">
        <f>IF($B1668="","",IF($E1668="Nghỉ tuần",N($G1668),0))</f>
        <v/>
      </c>
      <c r="L1668" s="108">
        <f>IF($B1668="","",IF($E1668="Lễ",N($G1668),0))</f>
        <v/>
      </c>
      <c r="M1668" s="108">
        <f>IF($B1668="","",IF($E1668="Ngày thường",N($H1668),0))</f>
        <v/>
      </c>
      <c r="N1668" s="108">
        <f>IF($B1668="","",IF($E1668="Nghỉ tuần",N($H1668),0))</f>
        <v/>
      </c>
      <c r="O1668" s="108">
        <f>IF($B1668="","",IF($E1668="Lễ",N($H1668),0))</f>
        <v/>
      </c>
    </row>
    <row r="1669" ht="15" customHeight="1" s="63">
      <c r="A1669" s="85">
        <f>IF($B1669="","",ROW()-5)</f>
        <v/>
      </c>
      <c r="B1669" s="97" t="n"/>
      <c r="C1669" s="96">
        <f>IF($B1669="","",IFERROR(INDEX(DM_NHAN_SU!$C$6:$C$155,MATCH($B1669,DM_NHAN_SU!$B$6:$B$155,0)),"SAI MÃ NV"))</f>
        <v/>
      </c>
      <c r="D1669" s="86" t="n"/>
      <c r="E1669" s="103">
        <f>IF(OR($B1669="",$D1669=""),"",IF(COUNTIF(THAM_SO_CC!$F$10:$F$40,$D1669)&gt;0,"Lễ",IF(IF(THAM_SO_CC!$B$12="T7+CN",WEEKDAY($D1669,2)&gt;=6,WEEKDAY($D1669,2)=7),"Nghỉ tuần","Ngày thường")))</f>
        <v/>
      </c>
      <c r="F1669" s="107" t="n"/>
      <c r="G1669" s="107" t="n"/>
      <c r="H1669" s="107" t="n"/>
      <c r="I1669" s="81" t="n"/>
      <c r="J1669" s="108">
        <f>IF($B1669="","",IF($E1669="Ngày thường",N($G1669),0))</f>
        <v/>
      </c>
      <c r="K1669" s="108">
        <f>IF($B1669="","",IF($E1669="Nghỉ tuần",N($G1669),0))</f>
        <v/>
      </c>
      <c r="L1669" s="108">
        <f>IF($B1669="","",IF($E1669="Lễ",N($G1669),0))</f>
        <v/>
      </c>
      <c r="M1669" s="108">
        <f>IF($B1669="","",IF($E1669="Ngày thường",N($H1669),0))</f>
        <v/>
      </c>
      <c r="N1669" s="108">
        <f>IF($B1669="","",IF($E1669="Nghỉ tuần",N($H1669),0))</f>
        <v/>
      </c>
      <c r="O1669" s="108">
        <f>IF($B1669="","",IF($E1669="Lễ",N($H1669),0))</f>
        <v/>
      </c>
    </row>
    <row r="1670" ht="15" customHeight="1" s="63">
      <c r="A1670" s="85">
        <f>IF($B1670="","",ROW()-5)</f>
        <v/>
      </c>
      <c r="B1670" s="97" t="n"/>
      <c r="C1670" s="96">
        <f>IF($B1670="","",IFERROR(INDEX(DM_NHAN_SU!$C$6:$C$155,MATCH($B1670,DM_NHAN_SU!$B$6:$B$155,0)),"SAI MÃ NV"))</f>
        <v/>
      </c>
      <c r="D1670" s="86" t="n"/>
      <c r="E1670" s="103">
        <f>IF(OR($B1670="",$D1670=""),"",IF(COUNTIF(THAM_SO_CC!$F$10:$F$40,$D1670)&gt;0,"Lễ",IF(IF(THAM_SO_CC!$B$12="T7+CN",WEEKDAY($D1670,2)&gt;=6,WEEKDAY($D1670,2)=7),"Nghỉ tuần","Ngày thường")))</f>
        <v/>
      </c>
      <c r="F1670" s="107" t="n"/>
      <c r="G1670" s="107" t="n"/>
      <c r="H1670" s="107" t="n"/>
      <c r="I1670" s="81" t="n"/>
      <c r="J1670" s="108">
        <f>IF($B1670="","",IF($E1670="Ngày thường",N($G1670),0))</f>
        <v/>
      </c>
      <c r="K1670" s="108">
        <f>IF($B1670="","",IF($E1670="Nghỉ tuần",N($G1670),0))</f>
        <v/>
      </c>
      <c r="L1670" s="108">
        <f>IF($B1670="","",IF($E1670="Lễ",N($G1670),0))</f>
        <v/>
      </c>
      <c r="M1670" s="108">
        <f>IF($B1670="","",IF($E1670="Ngày thường",N($H1670),0))</f>
        <v/>
      </c>
      <c r="N1670" s="108">
        <f>IF($B1670="","",IF($E1670="Nghỉ tuần",N($H1670),0))</f>
        <v/>
      </c>
      <c r="O1670" s="108">
        <f>IF($B1670="","",IF($E1670="Lễ",N($H1670),0))</f>
        <v/>
      </c>
    </row>
    <row r="1671" ht="15" customHeight="1" s="63">
      <c r="A1671" s="85">
        <f>IF($B1671="","",ROW()-5)</f>
        <v/>
      </c>
      <c r="B1671" s="97" t="n"/>
      <c r="C1671" s="96">
        <f>IF($B1671="","",IFERROR(INDEX(DM_NHAN_SU!$C$6:$C$155,MATCH($B1671,DM_NHAN_SU!$B$6:$B$155,0)),"SAI MÃ NV"))</f>
        <v/>
      </c>
      <c r="D1671" s="86" t="n"/>
      <c r="E1671" s="103">
        <f>IF(OR($B1671="",$D1671=""),"",IF(COUNTIF(THAM_SO_CC!$F$10:$F$40,$D1671)&gt;0,"Lễ",IF(IF(THAM_SO_CC!$B$12="T7+CN",WEEKDAY($D1671,2)&gt;=6,WEEKDAY($D1671,2)=7),"Nghỉ tuần","Ngày thường")))</f>
        <v/>
      </c>
      <c r="F1671" s="107" t="n"/>
      <c r="G1671" s="107" t="n"/>
      <c r="H1671" s="107" t="n"/>
      <c r="I1671" s="81" t="n"/>
      <c r="J1671" s="108">
        <f>IF($B1671="","",IF($E1671="Ngày thường",N($G1671),0))</f>
        <v/>
      </c>
      <c r="K1671" s="108">
        <f>IF($B1671="","",IF($E1671="Nghỉ tuần",N($G1671),0))</f>
        <v/>
      </c>
      <c r="L1671" s="108">
        <f>IF($B1671="","",IF($E1671="Lễ",N($G1671),0))</f>
        <v/>
      </c>
      <c r="M1671" s="108">
        <f>IF($B1671="","",IF($E1671="Ngày thường",N($H1671),0))</f>
        <v/>
      </c>
      <c r="N1671" s="108">
        <f>IF($B1671="","",IF($E1671="Nghỉ tuần",N($H1671),0))</f>
        <v/>
      </c>
      <c r="O1671" s="108">
        <f>IF($B1671="","",IF($E1671="Lễ",N($H1671),0))</f>
        <v/>
      </c>
    </row>
    <row r="1672" ht="15" customHeight="1" s="63">
      <c r="A1672" s="85">
        <f>IF($B1672="","",ROW()-5)</f>
        <v/>
      </c>
      <c r="B1672" s="97" t="n"/>
      <c r="C1672" s="96">
        <f>IF($B1672="","",IFERROR(INDEX(DM_NHAN_SU!$C$6:$C$155,MATCH($B1672,DM_NHAN_SU!$B$6:$B$155,0)),"SAI MÃ NV"))</f>
        <v/>
      </c>
      <c r="D1672" s="86" t="n"/>
      <c r="E1672" s="103">
        <f>IF(OR($B1672="",$D1672=""),"",IF(COUNTIF(THAM_SO_CC!$F$10:$F$40,$D1672)&gt;0,"Lễ",IF(IF(THAM_SO_CC!$B$12="T7+CN",WEEKDAY($D1672,2)&gt;=6,WEEKDAY($D1672,2)=7),"Nghỉ tuần","Ngày thường")))</f>
        <v/>
      </c>
      <c r="F1672" s="107" t="n"/>
      <c r="G1672" s="107" t="n"/>
      <c r="H1672" s="107" t="n"/>
      <c r="I1672" s="81" t="n"/>
      <c r="J1672" s="108">
        <f>IF($B1672="","",IF($E1672="Ngày thường",N($G1672),0))</f>
        <v/>
      </c>
      <c r="K1672" s="108">
        <f>IF($B1672="","",IF($E1672="Nghỉ tuần",N($G1672),0))</f>
        <v/>
      </c>
      <c r="L1672" s="108">
        <f>IF($B1672="","",IF($E1672="Lễ",N($G1672),0))</f>
        <v/>
      </c>
      <c r="M1672" s="108">
        <f>IF($B1672="","",IF($E1672="Ngày thường",N($H1672),0))</f>
        <v/>
      </c>
      <c r="N1672" s="108">
        <f>IF($B1672="","",IF($E1672="Nghỉ tuần",N($H1672),0))</f>
        <v/>
      </c>
      <c r="O1672" s="108">
        <f>IF($B1672="","",IF($E1672="Lễ",N($H1672),0))</f>
        <v/>
      </c>
    </row>
    <row r="1673" ht="15" customHeight="1" s="63">
      <c r="A1673" s="85">
        <f>IF($B1673="","",ROW()-5)</f>
        <v/>
      </c>
      <c r="B1673" s="97" t="n"/>
      <c r="C1673" s="96">
        <f>IF($B1673="","",IFERROR(INDEX(DM_NHAN_SU!$C$6:$C$155,MATCH($B1673,DM_NHAN_SU!$B$6:$B$155,0)),"SAI MÃ NV"))</f>
        <v/>
      </c>
      <c r="D1673" s="86" t="n"/>
      <c r="E1673" s="103">
        <f>IF(OR($B1673="",$D1673=""),"",IF(COUNTIF(THAM_SO_CC!$F$10:$F$40,$D1673)&gt;0,"Lễ",IF(IF(THAM_SO_CC!$B$12="T7+CN",WEEKDAY($D1673,2)&gt;=6,WEEKDAY($D1673,2)=7),"Nghỉ tuần","Ngày thường")))</f>
        <v/>
      </c>
      <c r="F1673" s="107" t="n"/>
      <c r="G1673" s="107" t="n"/>
      <c r="H1673" s="107" t="n"/>
      <c r="I1673" s="81" t="n"/>
      <c r="J1673" s="108">
        <f>IF($B1673="","",IF($E1673="Ngày thường",N($G1673),0))</f>
        <v/>
      </c>
      <c r="K1673" s="108">
        <f>IF($B1673="","",IF($E1673="Nghỉ tuần",N($G1673),0))</f>
        <v/>
      </c>
      <c r="L1673" s="108">
        <f>IF($B1673="","",IF($E1673="Lễ",N($G1673),0))</f>
        <v/>
      </c>
      <c r="M1673" s="108">
        <f>IF($B1673="","",IF($E1673="Ngày thường",N($H1673),0))</f>
        <v/>
      </c>
      <c r="N1673" s="108">
        <f>IF($B1673="","",IF($E1673="Nghỉ tuần",N($H1673),0))</f>
        <v/>
      </c>
      <c r="O1673" s="108">
        <f>IF($B1673="","",IF($E1673="Lễ",N($H1673),0))</f>
        <v/>
      </c>
    </row>
    <row r="1674" ht="15" customHeight="1" s="63">
      <c r="A1674" s="85">
        <f>IF($B1674="","",ROW()-5)</f>
        <v/>
      </c>
      <c r="B1674" s="97" t="n"/>
      <c r="C1674" s="96">
        <f>IF($B1674="","",IFERROR(INDEX(DM_NHAN_SU!$C$6:$C$155,MATCH($B1674,DM_NHAN_SU!$B$6:$B$155,0)),"SAI MÃ NV"))</f>
        <v/>
      </c>
      <c r="D1674" s="86" t="n"/>
      <c r="E1674" s="103">
        <f>IF(OR($B1674="",$D1674=""),"",IF(COUNTIF(THAM_SO_CC!$F$10:$F$40,$D1674)&gt;0,"Lễ",IF(IF(THAM_SO_CC!$B$12="T7+CN",WEEKDAY($D1674,2)&gt;=6,WEEKDAY($D1674,2)=7),"Nghỉ tuần","Ngày thường")))</f>
        <v/>
      </c>
      <c r="F1674" s="107" t="n"/>
      <c r="G1674" s="107" t="n"/>
      <c r="H1674" s="107" t="n"/>
      <c r="I1674" s="81" t="n"/>
      <c r="J1674" s="108">
        <f>IF($B1674="","",IF($E1674="Ngày thường",N($G1674),0))</f>
        <v/>
      </c>
      <c r="K1674" s="108">
        <f>IF($B1674="","",IF($E1674="Nghỉ tuần",N($G1674),0))</f>
        <v/>
      </c>
      <c r="L1674" s="108">
        <f>IF($B1674="","",IF($E1674="Lễ",N($G1674),0))</f>
        <v/>
      </c>
      <c r="M1674" s="108">
        <f>IF($B1674="","",IF($E1674="Ngày thường",N($H1674),0))</f>
        <v/>
      </c>
      <c r="N1674" s="108">
        <f>IF($B1674="","",IF($E1674="Nghỉ tuần",N($H1674),0))</f>
        <v/>
      </c>
      <c r="O1674" s="108">
        <f>IF($B1674="","",IF($E1674="Lễ",N($H1674),0))</f>
        <v/>
      </c>
    </row>
    <row r="1675" ht="15" customHeight="1" s="63">
      <c r="A1675" s="85">
        <f>IF($B1675="","",ROW()-5)</f>
        <v/>
      </c>
      <c r="B1675" s="97" t="n"/>
      <c r="C1675" s="96">
        <f>IF($B1675="","",IFERROR(INDEX(DM_NHAN_SU!$C$6:$C$155,MATCH($B1675,DM_NHAN_SU!$B$6:$B$155,0)),"SAI MÃ NV"))</f>
        <v/>
      </c>
      <c r="D1675" s="86" t="n"/>
      <c r="E1675" s="103">
        <f>IF(OR($B1675="",$D1675=""),"",IF(COUNTIF(THAM_SO_CC!$F$10:$F$40,$D1675)&gt;0,"Lễ",IF(IF(THAM_SO_CC!$B$12="T7+CN",WEEKDAY($D1675,2)&gt;=6,WEEKDAY($D1675,2)=7),"Nghỉ tuần","Ngày thường")))</f>
        <v/>
      </c>
      <c r="F1675" s="107" t="n"/>
      <c r="G1675" s="107" t="n"/>
      <c r="H1675" s="107" t="n"/>
      <c r="I1675" s="81" t="n"/>
      <c r="J1675" s="108">
        <f>IF($B1675="","",IF($E1675="Ngày thường",N($G1675),0))</f>
        <v/>
      </c>
      <c r="K1675" s="108">
        <f>IF($B1675="","",IF($E1675="Nghỉ tuần",N($G1675),0))</f>
        <v/>
      </c>
      <c r="L1675" s="108">
        <f>IF($B1675="","",IF($E1675="Lễ",N($G1675),0))</f>
        <v/>
      </c>
      <c r="M1675" s="108">
        <f>IF($B1675="","",IF($E1675="Ngày thường",N($H1675),0))</f>
        <v/>
      </c>
      <c r="N1675" s="108">
        <f>IF($B1675="","",IF($E1675="Nghỉ tuần",N($H1675),0))</f>
        <v/>
      </c>
      <c r="O1675" s="108">
        <f>IF($B1675="","",IF($E1675="Lễ",N($H1675),0))</f>
        <v/>
      </c>
    </row>
    <row r="1676" ht="15" customHeight="1" s="63">
      <c r="A1676" s="85">
        <f>IF($B1676="","",ROW()-5)</f>
        <v/>
      </c>
      <c r="B1676" s="97" t="n"/>
      <c r="C1676" s="96">
        <f>IF($B1676="","",IFERROR(INDEX(DM_NHAN_SU!$C$6:$C$155,MATCH($B1676,DM_NHAN_SU!$B$6:$B$155,0)),"SAI MÃ NV"))</f>
        <v/>
      </c>
      <c r="D1676" s="86" t="n"/>
      <c r="E1676" s="103">
        <f>IF(OR($B1676="",$D1676=""),"",IF(COUNTIF(THAM_SO_CC!$F$10:$F$40,$D1676)&gt;0,"Lễ",IF(IF(THAM_SO_CC!$B$12="T7+CN",WEEKDAY($D1676,2)&gt;=6,WEEKDAY($D1676,2)=7),"Nghỉ tuần","Ngày thường")))</f>
        <v/>
      </c>
      <c r="F1676" s="107" t="n"/>
      <c r="G1676" s="107" t="n"/>
      <c r="H1676" s="107" t="n"/>
      <c r="I1676" s="81" t="n"/>
      <c r="J1676" s="108">
        <f>IF($B1676="","",IF($E1676="Ngày thường",N($G1676),0))</f>
        <v/>
      </c>
      <c r="K1676" s="108">
        <f>IF($B1676="","",IF($E1676="Nghỉ tuần",N($G1676),0))</f>
        <v/>
      </c>
      <c r="L1676" s="108">
        <f>IF($B1676="","",IF($E1676="Lễ",N($G1676),0))</f>
        <v/>
      </c>
      <c r="M1676" s="108">
        <f>IF($B1676="","",IF($E1676="Ngày thường",N($H1676),0))</f>
        <v/>
      </c>
      <c r="N1676" s="108">
        <f>IF($B1676="","",IF($E1676="Nghỉ tuần",N($H1676),0))</f>
        <v/>
      </c>
      <c r="O1676" s="108">
        <f>IF($B1676="","",IF($E1676="Lễ",N($H1676),0))</f>
        <v/>
      </c>
    </row>
    <row r="1677" ht="15" customHeight="1" s="63">
      <c r="A1677" s="85">
        <f>IF($B1677="","",ROW()-5)</f>
        <v/>
      </c>
      <c r="B1677" s="97" t="n"/>
      <c r="C1677" s="96">
        <f>IF($B1677="","",IFERROR(INDEX(DM_NHAN_SU!$C$6:$C$155,MATCH($B1677,DM_NHAN_SU!$B$6:$B$155,0)),"SAI MÃ NV"))</f>
        <v/>
      </c>
      <c r="D1677" s="86" t="n"/>
      <c r="E1677" s="103">
        <f>IF(OR($B1677="",$D1677=""),"",IF(COUNTIF(THAM_SO_CC!$F$10:$F$40,$D1677)&gt;0,"Lễ",IF(IF(THAM_SO_CC!$B$12="T7+CN",WEEKDAY($D1677,2)&gt;=6,WEEKDAY($D1677,2)=7),"Nghỉ tuần","Ngày thường")))</f>
        <v/>
      </c>
      <c r="F1677" s="107" t="n"/>
      <c r="G1677" s="107" t="n"/>
      <c r="H1677" s="107" t="n"/>
      <c r="I1677" s="81" t="n"/>
      <c r="J1677" s="108">
        <f>IF($B1677="","",IF($E1677="Ngày thường",N($G1677),0))</f>
        <v/>
      </c>
      <c r="K1677" s="108">
        <f>IF($B1677="","",IF($E1677="Nghỉ tuần",N($G1677),0))</f>
        <v/>
      </c>
      <c r="L1677" s="108">
        <f>IF($B1677="","",IF($E1677="Lễ",N($G1677),0))</f>
        <v/>
      </c>
      <c r="M1677" s="108">
        <f>IF($B1677="","",IF($E1677="Ngày thường",N($H1677),0))</f>
        <v/>
      </c>
      <c r="N1677" s="108">
        <f>IF($B1677="","",IF($E1677="Nghỉ tuần",N($H1677),0))</f>
        <v/>
      </c>
      <c r="O1677" s="108">
        <f>IF($B1677="","",IF($E1677="Lễ",N($H1677),0))</f>
        <v/>
      </c>
    </row>
    <row r="1678" ht="15" customHeight="1" s="63">
      <c r="A1678" s="85">
        <f>IF($B1678="","",ROW()-5)</f>
        <v/>
      </c>
      <c r="B1678" s="97" t="n"/>
      <c r="C1678" s="96">
        <f>IF($B1678="","",IFERROR(INDEX(DM_NHAN_SU!$C$6:$C$155,MATCH($B1678,DM_NHAN_SU!$B$6:$B$155,0)),"SAI MÃ NV"))</f>
        <v/>
      </c>
      <c r="D1678" s="86" t="n"/>
      <c r="E1678" s="103">
        <f>IF(OR($B1678="",$D1678=""),"",IF(COUNTIF(THAM_SO_CC!$F$10:$F$40,$D1678)&gt;0,"Lễ",IF(IF(THAM_SO_CC!$B$12="T7+CN",WEEKDAY($D1678,2)&gt;=6,WEEKDAY($D1678,2)=7),"Nghỉ tuần","Ngày thường")))</f>
        <v/>
      </c>
      <c r="F1678" s="107" t="n"/>
      <c r="G1678" s="107" t="n"/>
      <c r="H1678" s="107" t="n"/>
      <c r="I1678" s="81" t="n"/>
      <c r="J1678" s="108">
        <f>IF($B1678="","",IF($E1678="Ngày thường",N($G1678),0))</f>
        <v/>
      </c>
      <c r="K1678" s="108">
        <f>IF($B1678="","",IF($E1678="Nghỉ tuần",N($G1678),0))</f>
        <v/>
      </c>
      <c r="L1678" s="108">
        <f>IF($B1678="","",IF($E1678="Lễ",N($G1678),0))</f>
        <v/>
      </c>
      <c r="M1678" s="108">
        <f>IF($B1678="","",IF($E1678="Ngày thường",N($H1678),0))</f>
        <v/>
      </c>
      <c r="N1678" s="108">
        <f>IF($B1678="","",IF($E1678="Nghỉ tuần",N($H1678),0))</f>
        <v/>
      </c>
      <c r="O1678" s="108">
        <f>IF($B1678="","",IF($E1678="Lễ",N($H1678),0))</f>
        <v/>
      </c>
    </row>
    <row r="1679" ht="15" customHeight="1" s="63">
      <c r="A1679" s="85">
        <f>IF($B1679="","",ROW()-5)</f>
        <v/>
      </c>
      <c r="B1679" s="97" t="n"/>
      <c r="C1679" s="96">
        <f>IF($B1679="","",IFERROR(INDEX(DM_NHAN_SU!$C$6:$C$155,MATCH($B1679,DM_NHAN_SU!$B$6:$B$155,0)),"SAI MÃ NV"))</f>
        <v/>
      </c>
      <c r="D1679" s="86" t="n"/>
      <c r="E1679" s="103">
        <f>IF(OR($B1679="",$D1679=""),"",IF(COUNTIF(THAM_SO_CC!$F$10:$F$40,$D1679)&gt;0,"Lễ",IF(IF(THAM_SO_CC!$B$12="T7+CN",WEEKDAY($D1679,2)&gt;=6,WEEKDAY($D1679,2)=7),"Nghỉ tuần","Ngày thường")))</f>
        <v/>
      </c>
      <c r="F1679" s="107" t="n"/>
      <c r="G1679" s="107" t="n"/>
      <c r="H1679" s="107" t="n"/>
      <c r="I1679" s="81" t="n"/>
      <c r="J1679" s="108">
        <f>IF($B1679="","",IF($E1679="Ngày thường",N($G1679),0))</f>
        <v/>
      </c>
      <c r="K1679" s="108">
        <f>IF($B1679="","",IF($E1679="Nghỉ tuần",N($G1679),0))</f>
        <v/>
      </c>
      <c r="L1679" s="108">
        <f>IF($B1679="","",IF($E1679="Lễ",N($G1679),0))</f>
        <v/>
      </c>
      <c r="M1679" s="108">
        <f>IF($B1679="","",IF($E1679="Ngày thường",N($H1679),0))</f>
        <v/>
      </c>
      <c r="N1679" s="108">
        <f>IF($B1679="","",IF($E1679="Nghỉ tuần",N($H1679),0))</f>
        <v/>
      </c>
      <c r="O1679" s="108">
        <f>IF($B1679="","",IF($E1679="Lễ",N($H1679),0))</f>
        <v/>
      </c>
    </row>
    <row r="1680" ht="15" customHeight="1" s="63">
      <c r="A1680" s="85">
        <f>IF($B1680="","",ROW()-5)</f>
        <v/>
      </c>
      <c r="B1680" s="97" t="n"/>
      <c r="C1680" s="96">
        <f>IF($B1680="","",IFERROR(INDEX(DM_NHAN_SU!$C$6:$C$155,MATCH($B1680,DM_NHAN_SU!$B$6:$B$155,0)),"SAI MÃ NV"))</f>
        <v/>
      </c>
      <c r="D1680" s="86" t="n"/>
      <c r="E1680" s="103">
        <f>IF(OR($B1680="",$D1680=""),"",IF(COUNTIF(THAM_SO_CC!$F$10:$F$40,$D1680)&gt;0,"Lễ",IF(IF(THAM_SO_CC!$B$12="T7+CN",WEEKDAY($D1680,2)&gt;=6,WEEKDAY($D1680,2)=7),"Nghỉ tuần","Ngày thường")))</f>
        <v/>
      </c>
      <c r="F1680" s="107" t="n"/>
      <c r="G1680" s="107" t="n"/>
      <c r="H1680" s="107" t="n"/>
      <c r="I1680" s="81" t="n"/>
      <c r="J1680" s="108">
        <f>IF($B1680="","",IF($E1680="Ngày thường",N($G1680),0))</f>
        <v/>
      </c>
      <c r="K1680" s="108">
        <f>IF($B1680="","",IF($E1680="Nghỉ tuần",N($G1680),0))</f>
        <v/>
      </c>
      <c r="L1680" s="108">
        <f>IF($B1680="","",IF($E1680="Lễ",N($G1680),0))</f>
        <v/>
      </c>
      <c r="M1680" s="108">
        <f>IF($B1680="","",IF($E1680="Ngày thường",N($H1680),0))</f>
        <v/>
      </c>
      <c r="N1680" s="108">
        <f>IF($B1680="","",IF($E1680="Nghỉ tuần",N($H1680),0))</f>
        <v/>
      </c>
      <c r="O1680" s="108">
        <f>IF($B1680="","",IF($E1680="Lễ",N($H1680),0))</f>
        <v/>
      </c>
    </row>
    <row r="1681" ht="15" customHeight="1" s="63">
      <c r="A1681" s="85">
        <f>IF($B1681="","",ROW()-5)</f>
        <v/>
      </c>
      <c r="B1681" s="97" t="n"/>
      <c r="C1681" s="96">
        <f>IF($B1681="","",IFERROR(INDEX(DM_NHAN_SU!$C$6:$C$155,MATCH($B1681,DM_NHAN_SU!$B$6:$B$155,0)),"SAI MÃ NV"))</f>
        <v/>
      </c>
      <c r="D1681" s="86" t="n"/>
      <c r="E1681" s="103">
        <f>IF(OR($B1681="",$D1681=""),"",IF(COUNTIF(THAM_SO_CC!$F$10:$F$40,$D1681)&gt;0,"Lễ",IF(IF(THAM_SO_CC!$B$12="T7+CN",WEEKDAY($D1681,2)&gt;=6,WEEKDAY($D1681,2)=7),"Nghỉ tuần","Ngày thường")))</f>
        <v/>
      </c>
      <c r="F1681" s="107" t="n"/>
      <c r="G1681" s="107" t="n"/>
      <c r="H1681" s="107" t="n"/>
      <c r="I1681" s="81" t="n"/>
      <c r="J1681" s="108">
        <f>IF($B1681="","",IF($E1681="Ngày thường",N($G1681),0))</f>
        <v/>
      </c>
      <c r="K1681" s="108">
        <f>IF($B1681="","",IF($E1681="Nghỉ tuần",N($G1681),0))</f>
        <v/>
      </c>
      <c r="L1681" s="108">
        <f>IF($B1681="","",IF($E1681="Lễ",N($G1681),0))</f>
        <v/>
      </c>
      <c r="M1681" s="108">
        <f>IF($B1681="","",IF($E1681="Ngày thường",N($H1681),0))</f>
        <v/>
      </c>
      <c r="N1681" s="108">
        <f>IF($B1681="","",IF($E1681="Nghỉ tuần",N($H1681),0))</f>
        <v/>
      </c>
      <c r="O1681" s="108">
        <f>IF($B1681="","",IF($E1681="Lễ",N($H1681),0))</f>
        <v/>
      </c>
    </row>
    <row r="1682" ht="15" customHeight="1" s="63">
      <c r="A1682" s="85">
        <f>IF($B1682="","",ROW()-5)</f>
        <v/>
      </c>
      <c r="B1682" s="97" t="n"/>
      <c r="C1682" s="96">
        <f>IF($B1682="","",IFERROR(INDEX(DM_NHAN_SU!$C$6:$C$155,MATCH($B1682,DM_NHAN_SU!$B$6:$B$155,0)),"SAI MÃ NV"))</f>
        <v/>
      </c>
      <c r="D1682" s="86" t="n"/>
      <c r="E1682" s="103">
        <f>IF(OR($B1682="",$D1682=""),"",IF(COUNTIF(THAM_SO_CC!$F$10:$F$40,$D1682)&gt;0,"Lễ",IF(IF(THAM_SO_CC!$B$12="T7+CN",WEEKDAY($D1682,2)&gt;=6,WEEKDAY($D1682,2)=7),"Nghỉ tuần","Ngày thường")))</f>
        <v/>
      </c>
      <c r="F1682" s="107" t="n"/>
      <c r="G1682" s="107" t="n"/>
      <c r="H1682" s="107" t="n"/>
      <c r="I1682" s="81" t="n"/>
      <c r="J1682" s="108">
        <f>IF($B1682="","",IF($E1682="Ngày thường",N($G1682),0))</f>
        <v/>
      </c>
      <c r="K1682" s="108">
        <f>IF($B1682="","",IF($E1682="Nghỉ tuần",N($G1682),0))</f>
        <v/>
      </c>
      <c r="L1682" s="108">
        <f>IF($B1682="","",IF($E1682="Lễ",N($G1682),0))</f>
        <v/>
      </c>
      <c r="M1682" s="108">
        <f>IF($B1682="","",IF($E1682="Ngày thường",N($H1682),0))</f>
        <v/>
      </c>
      <c r="N1682" s="108">
        <f>IF($B1682="","",IF($E1682="Nghỉ tuần",N($H1682),0))</f>
        <v/>
      </c>
      <c r="O1682" s="108">
        <f>IF($B1682="","",IF($E1682="Lễ",N($H1682),0))</f>
        <v/>
      </c>
    </row>
    <row r="1683" ht="15" customHeight="1" s="63">
      <c r="A1683" s="85">
        <f>IF($B1683="","",ROW()-5)</f>
        <v/>
      </c>
      <c r="B1683" s="97" t="n"/>
      <c r="C1683" s="96">
        <f>IF($B1683="","",IFERROR(INDEX(DM_NHAN_SU!$C$6:$C$155,MATCH($B1683,DM_NHAN_SU!$B$6:$B$155,0)),"SAI MÃ NV"))</f>
        <v/>
      </c>
      <c r="D1683" s="86" t="n"/>
      <c r="E1683" s="103">
        <f>IF(OR($B1683="",$D1683=""),"",IF(COUNTIF(THAM_SO_CC!$F$10:$F$40,$D1683)&gt;0,"Lễ",IF(IF(THAM_SO_CC!$B$12="T7+CN",WEEKDAY($D1683,2)&gt;=6,WEEKDAY($D1683,2)=7),"Nghỉ tuần","Ngày thường")))</f>
        <v/>
      </c>
      <c r="F1683" s="107" t="n"/>
      <c r="G1683" s="107" t="n"/>
      <c r="H1683" s="107" t="n"/>
      <c r="I1683" s="81" t="n"/>
      <c r="J1683" s="108">
        <f>IF($B1683="","",IF($E1683="Ngày thường",N($G1683),0))</f>
        <v/>
      </c>
      <c r="K1683" s="108">
        <f>IF($B1683="","",IF($E1683="Nghỉ tuần",N($G1683),0))</f>
        <v/>
      </c>
      <c r="L1683" s="108">
        <f>IF($B1683="","",IF($E1683="Lễ",N($G1683),0))</f>
        <v/>
      </c>
      <c r="M1683" s="108">
        <f>IF($B1683="","",IF($E1683="Ngày thường",N($H1683),0))</f>
        <v/>
      </c>
      <c r="N1683" s="108">
        <f>IF($B1683="","",IF($E1683="Nghỉ tuần",N($H1683),0))</f>
        <v/>
      </c>
      <c r="O1683" s="108">
        <f>IF($B1683="","",IF($E1683="Lễ",N($H1683),0))</f>
        <v/>
      </c>
    </row>
    <row r="1684" ht="15" customHeight="1" s="63">
      <c r="A1684" s="85">
        <f>IF($B1684="","",ROW()-5)</f>
        <v/>
      </c>
      <c r="B1684" s="97" t="n"/>
      <c r="C1684" s="96">
        <f>IF($B1684="","",IFERROR(INDEX(DM_NHAN_SU!$C$6:$C$155,MATCH($B1684,DM_NHAN_SU!$B$6:$B$155,0)),"SAI MÃ NV"))</f>
        <v/>
      </c>
      <c r="D1684" s="86" t="n"/>
      <c r="E1684" s="103">
        <f>IF(OR($B1684="",$D1684=""),"",IF(COUNTIF(THAM_SO_CC!$F$10:$F$40,$D1684)&gt;0,"Lễ",IF(IF(THAM_SO_CC!$B$12="T7+CN",WEEKDAY($D1684,2)&gt;=6,WEEKDAY($D1684,2)=7),"Nghỉ tuần","Ngày thường")))</f>
        <v/>
      </c>
      <c r="F1684" s="107" t="n"/>
      <c r="G1684" s="107" t="n"/>
      <c r="H1684" s="107" t="n"/>
      <c r="I1684" s="81" t="n"/>
      <c r="J1684" s="108">
        <f>IF($B1684="","",IF($E1684="Ngày thường",N($G1684),0))</f>
        <v/>
      </c>
      <c r="K1684" s="108">
        <f>IF($B1684="","",IF($E1684="Nghỉ tuần",N($G1684),0))</f>
        <v/>
      </c>
      <c r="L1684" s="108">
        <f>IF($B1684="","",IF($E1684="Lễ",N($G1684),0))</f>
        <v/>
      </c>
      <c r="M1684" s="108">
        <f>IF($B1684="","",IF($E1684="Ngày thường",N($H1684),0))</f>
        <v/>
      </c>
      <c r="N1684" s="108">
        <f>IF($B1684="","",IF($E1684="Nghỉ tuần",N($H1684),0))</f>
        <v/>
      </c>
      <c r="O1684" s="108">
        <f>IF($B1684="","",IF($E1684="Lễ",N($H1684),0))</f>
        <v/>
      </c>
    </row>
    <row r="1685" ht="15" customHeight="1" s="63">
      <c r="A1685" s="85">
        <f>IF($B1685="","",ROW()-5)</f>
        <v/>
      </c>
      <c r="B1685" s="97" t="n"/>
      <c r="C1685" s="96">
        <f>IF($B1685="","",IFERROR(INDEX(DM_NHAN_SU!$C$6:$C$155,MATCH($B1685,DM_NHAN_SU!$B$6:$B$155,0)),"SAI MÃ NV"))</f>
        <v/>
      </c>
      <c r="D1685" s="86" t="n"/>
      <c r="E1685" s="103">
        <f>IF(OR($B1685="",$D1685=""),"",IF(COUNTIF(THAM_SO_CC!$F$10:$F$40,$D1685)&gt;0,"Lễ",IF(IF(THAM_SO_CC!$B$12="T7+CN",WEEKDAY($D1685,2)&gt;=6,WEEKDAY($D1685,2)=7),"Nghỉ tuần","Ngày thường")))</f>
        <v/>
      </c>
      <c r="F1685" s="107" t="n"/>
      <c r="G1685" s="107" t="n"/>
      <c r="H1685" s="107" t="n"/>
      <c r="I1685" s="81" t="n"/>
      <c r="J1685" s="108">
        <f>IF($B1685="","",IF($E1685="Ngày thường",N($G1685),0))</f>
        <v/>
      </c>
      <c r="K1685" s="108">
        <f>IF($B1685="","",IF($E1685="Nghỉ tuần",N($G1685),0))</f>
        <v/>
      </c>
      <c r="L1685" s="108">
        <f>IF($B1685="","",IF($E1685="Lễ",N($G1685),0))</f>
        <v/>
      </c>
      <c r="M1685" s="108">
        <f>IF($B1685="","",IF($E1685="Ngày thường",N($H1685),0))</f>
        <v/>
      </c>
      <c r="N1685" s="108">
        <f>IF($B1685="","",IF($E1685="Nghỉ tuần",N($H1685),0))</f>
        <v/>
      </c>
      <c r="O1685" s="108">
        <f>IF($B1685="","",IF($E1685="Lễ",N($H1685),0))</f>
        <v/>
      </c>
    </row>
    <row r="1686" ht="15" customHeight="1" s="63">
      <c r="A1686" s="85">
        <f>IF($B1686="","",ROW()-5)</f>
        <v/>
      </c>
      <c r="B1686" s="97" t="n"/>
      <c r="C1686" s="96">
        <f>IF($B1686="","",IFERROR(INDEX(DM_NHAN_SU!$C$6:$C$155,MATCH($B1686,DM_NHAN_SU!$B$6:$B$155,0)),"SAI MÃ NV"))</f>
        <v/>
      </c>
      <c r="D1686" s="86" t="n"/>
      <c r="E1686" s="103">
        <f>IF(OR($B1686="",$D1686=""),"",IF(COUNTIF(THAM_SO_CC!$F$10:$F$40,$D1686)&gt;0,"Lễ",IF(IF(THAM_SO_CC!$B$12="T7+CN",WEEKDAY($D1686,2)&gt;=6,WEEKDAY($D1686,2)=7),"Nghỉ tuần","Ngày thường")))</f>
        <v/>
      </c>
      <c r="F1686" s="107" t="n"/>
      <c r="G1686" s="107" t="n"/>
      <c r="H1686" s="107" t="n"/>
      <c r="I1686" s="81" t="n"/>
      <c r="J1686" s="108">
        <f>IF($B1686="","",IF($E1686="Ngày thường",N($G1686),0))</f>
        <v/>
      </c>
      <c r="K1686" s="108">
        <f>IF($B1686="","",IF($E1686="Nghỉ tuần",N($G1686),0))</f>
        <v/>
      </c>
      <c r="L1686" s="108">
        <f>IF($B1686="","",IF($E1686="Lễ",N($G1686),0))</f>
        <v/>
      </c>
      <c r="M1686" s="108">
        <f>IF($B1686="","",IF($E1686="Ngày thường",N($H1686),0))</f>
        <v/>
      </c>
      <c r="N1686" s="108">
        <f>IF($B1686="","",IF($E1686="Nghỉ tuần",N($H1686),0))</f>
        <v/>
      </c>
      <c r="O1686" s="108">
        <f>IF($B1686="","",IF($E1686="Lễ",N($H1686),0))</f>
        <v/>
      </c>
    </row>
    <row r="1687" ht="15" customHeight="1" s="63">
      <c r="A1687" s="85">
        <f>IF($B1687="","",ROW()-5)</f>
        <v/>
      </c>
      <c r="B1687" s="97" t="n"/>
      <c r="C1687" s="96">
        <f>IF($B1687="","",IFERROR(INDEX(DM_NHAN_SU!$C$6:$C$155,MATCH($B1687,DM_NHAN_SU!$B$6:$B$155,0)),"SAI MÃ NV"))</f>
        <v/>
      </c>
      <c r="D1687" s="86" t="n"/>
      <c r="E1687" s="103">
        <f>IF(OR($B1687="",$D1687=""),"",IF(COUNTIF(THAM_SO_CC!$F$10:$F$40,$D1687)&gt;0,"Lễ",IF(IF(THAM_SO_CC!$B$12="T7+CN",WEEKDAY($D1687,2)&gt;=6,WEEKDAY($D1687,2)=7),"Nghỉ tuần","Ngày thường")))</f>
        <v/>
      </c>
      <c r="F1687" s="107" t="n"/>
      <c r="G1687" s="107" t="n"/>
      <c r="H1687" s="107" t="n"/>
      <c r="I1687" s="81" t="n"/>
      <c r="J1687" s="108">
        <f>IF($B1687="","",IF($E1687="Ngày thường",N($G1687),0))</f>
        <v/>
      </c>
      <c r="K1687" s="108">
        <f>IF($B1687="","",IF($E1687="Nghỉ tuần",N($G1687),0))</f>
        <v/>
      </c>
      <c r="L1687" s="108">
        <f>IF($B1687="","",IF($E1687="Lễ",N($G1687),0))</f>
        <v/>
      </c>
      <c r="M1687" s="108">
        <f>IF($B1687="","",IF($E1687="Ngày thường",N($H1687),0))</f>
        <v/>
      </c>
      <c r="N1687" s="108">
        <f>IF($B1687="","",IF($E1687="Nghỉ tuần",N($H1687),0))</f>
        <v/>
      </c>
      <c r="O1687" s="108">
        <f>IF($B1687="","",IF($E1687="Lễ",N($H1687),0))</f>
        <v/>
      </c>
    </row>
    <row r="1688" ht="15" customHeight="1" s="63">
      <c r="A1688" s="85">
        <f>IF($B1688="","",ROW()-5)</f>
        <v/>
      </c>
      <c r="B1688" s="97" t="n"/>
      <c r="C1688" s="96">
        <f>IF($B1688="","",IFERROR(INDEX(DM_NHAN_SU!$C$6:$C$155,MATCH($B1688,DM_NHAN_SU!$B$6:$B$155,0)),"SAI MÃ NV"))</f>
        <v/>
      </c>
      <c r="D1688" s="86" t="n"/>
      <c r="E1688" s="103">
        <f>IF(OR($B1688="",$D1688=""),"",IF(COUNTIF(THAM_SO_CC!$F$10:$F$40,$D1688)&gt;0,"Lễ",IF(IF(THAM_SO_CC!$B$12="T7+CN",WEEKDAY($D1688,2)&gt;=6,WEEKDAY($D1688,2)=7),"Nghỉ tuần","Ngày thường")))</f>
        <v/>
      </c>
      <c r="F1688" s="107" t="n"/>
      <c r="G1688" s="107" t="n"/>
      <c r="H1688" s="107" t="n"/>
      <c r="I1688" s="81" t="n"/>
      <c r="J1688" s="108">
        <f>IF($B1688="","",IF($E1688="Ngày thường",N($G1688),0))</f>
        <v/>
      </c>
      <c r="K1688" s="108">
        <f>IF($B1688="","",IF($E1688="Nghỉ tuần",N($G1688),0))</f>
        <v/>
      </c>
      <c r="L1688" s="108">
        <f>IF($B1688="","",IF($E1688="Lễ",N($G1688),0))</f>
        <v/>
      </c>
      <c r="M1688" s="108">
        <f>IF($B1688="","",IF($E1688="Ngày thường",N($H1688),0))</f>
        <v/>
      </c>
      <c r="N1688" s="108">
        <f>IF($B1688="","",IF($E1688="Nghỉ tuần",N($H1688),0))</f>
        <v/>
      </c>
      <c r="O1688" s="108">
        <f>IF($B1688="","",IF($E1688="Lễ",N($H1688),0))</f>
        <v/>
      </c>
    </row>
    <row r="1689" ht="15" customHeight="1" s="63">
      <c r="A1689" s="85">
        <f>IF($B1689="","",ROW()-5)</f>
        <v/>
      </c>
      <c r="B1689" s="97" t="n"/>
      <c r="C1689" s="96">
        <f>IF($B1689="","",IFERROR(INDEX(DM_NHAN_SU!$C$6:$C$155,MATCH($B1689,DM_NHAN_SU!$B$6:$B$155,0)),"SAI MÃ NV"))</f>
        <v/>
      </c>
      <c r="D1689" s="86" t="n"/>
      <c r="E1689" s="103">
        <f>IF(OR($B1689="",$D1689=""),"",IF(COUNTIF(THAM_SO_CC!$F$10:$F$40,$D1689)&gt;0,"Lễ",IF(IF(THAM_SO_CC!$B$12="T7+CN",WEEKDAY($D1689,2)&gt;=6,WEEKDAY($D1689,2)=7),"Nghỉ tuần","Ngày thường")))</f>
        <v/>
      </c>
      <c r="F1689" s="107" t="n"/>
      <c r="G1689" s="107" t="n"/>
      <c r="H1689" s="107" t="n"/>
      <c r="I1689" s="81" t="n"/>
      <c r="J1689" s="108">
        <f>IF($B1689="","",IF($E1689="Ngày thường",N($G1689),0))</f>
        <v/>
      </c>
      <c r="K1689" s="108">
        <f>IF($B1689="","",IF($E1689="Nghỉ tuần",N($G1689),0))</f>
        <v/>
      </c>
      <c r="L1689" s="108">
        <f>IF($B1689="","",IF($E1689="Lễ",N($G1689),0))</f>
        <v/>
      </c>
      <c r="M1689" s="108">
        <f>IF($B1689="","",IF($E1689="Ngày thường",N($H1689),0))</f>
        <v/>
      </c>
      <c r="N1689" s="108">
        <f>IF($B1689="","",IF($E1689="Nghỉ tuần",N($H1689),0))</f>
        <v/>
      </c>
      <c r="O1689" s="108">
        <f>IF($B1689="","",IF($E1689="Lễ",N($H1689),0))</f>
        <v/>
      </c>
    </row>
    <row r="1690" ht="15" customHeight="1" s="63">
      <c r="A1690" s="85">
        <f>IF($B1690="","",ROW()-5)</f>
        <v/>
      </c>
      <c r="B1690" s="97" t="n"/>
      <c r="C1690" s="96">
        <f>IF($B1690="","",IFERROR(INDEX(DM_NHAN_SU!$C$6:$C$155,MATCH($B1690,DM_NHAN_SU!$B$6:$B$155,0)),"SAI MÃ NV"))</f>
        <v/>
      </c>
      <c r="D1690" s="86" t="n"/>
      <c r="E1690" s="103">
        <f>IF(OR($B1690="",$D1690=""),"",IF(COUNTIF(THAM_SO_CC!$F$10:$F$40,$D1690)&gt;0,"Lễ",IF(IF(THAM_SO_CC!$B$12="T7+CN",WEEKDAY($D1690,2)&gt;=6,WEEKDAY($D1690,2)=7),"Nghỉ tuần","Ngày thường")))</f>
        <v/>
      </c>
      <c r="F1690" s="107" t="n"/>
      <c r="G1690" s="107" t="n"/>
      <c r="H1690" s="107" t="n"/>
      <c r="I1690" s="81" t="n"/>
      <c r="J1690" s="108">
        <f>IF($B1690="","",IF($E1690="Ngày thường",N($G1690),0))</f>
        <v/>
      </c>
      <c r="K1690" s="108">
        <f>IF($B1690="","",IF($E1690="Nghỉ tuần",N($G1690),0))</f>
        <v/>
      </c>
      <c r="L1690" s="108">
        <f>IF($B1690="","",IF($E1690="Lễ",N($G1690),0))</f>
        <v/>
      </c>
      <c r="M1690" s="108">
        <f>IF($B1690="","",IF($E1690="Ngày thường",N($H1690),0))</f>
        <v/>
      </c>
      <c r="N1690" s="108">
        <f>IF($B1690="","",IF($E1690="Nghỉ tuần",N($H1690),0))</f>
        <v/>
      </c>
      <c r="O1690" s="108">
        <f>IF($B1690="","",IF($E1690="Lễ",N($H1690),0))</f>
        <v/>
      </c>
    </row>
    <row r="1691" ht="15" customHeight="1" s="63">
      <c r="A1691" s="85">
        <f>IF($B1691="","",ROW()-5)</f>
        <v/>
      </c>
      <c r="B1691" s="97" t="n"/>
      <c r="C1691" s="96">
        <f>IF($B1691="","",IFERROR(INDEX(DM_NHAN_SU!$C$6:$C$155,MATCH($B1691,DM_NHAN_SU!$B$6:$B$155,0)),"SAI MÃ NV"))</f>
        <v/>
      </c>
      <c r="D1691" s="86" t="n"/>
      <c r="E1691" s="103">
        <f>IF(OR($B1691="",$D1691=""),"",IF(COUNTIF(THAM_SO_CC!$F$10:$F$40,$D1691)&gt;0,"Lễ",IF(IF(THAM_SO_CC!$B$12="T7+CN",WEEKDAY($D1691,2)&gt;=6,WEEKDAY($D1691,2)=7),"Nghỉ tuần","Ngày thường")))</f>
        <v/>
      </c>
      <c r="F1691" s="107" t="n"/>
      <c r="G1691" s="107" t="n"/>
      <c r="H1691" s="107" t="n"/>
      <c r="I1691" s="81" t="n"/>
      <c r="J1691" s="108">
        <f>IF($B1691="","",IF($E1691="Ngày thường",N($G1691),0))</f>
        <v/>
      </c>
      <c r="K1691" s="108">
        <f>IF($B1691="","",IF($E1691="Nghỉ tuần",N($G1691),0))</f>
        <v/>
      </c>
      <c r="L1691" s="108">
        <f>IF($B1691="","",IF($E1691="Lễ",N($G1691),0))</f>
        <v/>
      </c>
      <c r="M1691" s="108">
        <f>IF($B1691="","",IF($E1691="Ngày thường",N($H1691),0))</f>
        <v/>
      </c>
      <c r="N1691" s="108">
        <f>IF($B1691="","",IF($E1691="Nghỉ tuần",N($H1691),0))</f>
        <v/>
      </c>
      <c r="O1691" s="108">
        <f>IF($B1691="","",IF($E1691="Lễ",N($H1691),0))</f>
        <v/>
      </c>
    </row>
    <row r="1692" ht="15" customHeight="1" s="63">
      <c r="A1692" s="85">
        <f>IF($B1692="","",ROW()-5)</f>
        <v/>
      </c>
      <c r="B1692" s="97" t="n"/>
      <c r="C1692" s="96">
        <f>IF($B1692="","",IFERROR(INDEX(DM_NHAN_SU!$C$6:$C$155,MATCH($B1692,DM_NHAN_SU!$B$6:$B$155,0)),"SAI MÃ NV"))</f>
        <v/>
      </c>
      <c r="D1692" s="86" t="n"/>
      <c r="E1692" s="103">
        <f>IF(OR($B1692="",$D1692=""),"",IF(COUNTIF(THAM_SO_CC!$F$10:$F$40,$D1692)&gt;0,"Lễ",IF(IF(THAM_SO_CC!$B$12="T7+CN",WEEKDAY($D1692,2)&gt;=6,WEEKDAY($D1692,2)=7),"Nghỉ tuần","Ngày thường")))</f>
        <v/>
      </c>
      <c r="F1692" s="107" t="n"/>
      <c r="G1692" s="107" t="n"/>
      <c r="H1692" s="107" t="n"/>
      <c r="I1692" s="81" t="n"/>
      <c r="J1692" s="108">
        <f>IF($B1692="","",IF($E1692="Ngày thường",N($G1692),0))</f>
        <v/>
      </c>
      <c r="K1692" s="108">
        <f>IF($B1692="","",IF($E1692="Nghỉ tuần",N($G1692),0))</f>
        <v/>
      </c>
      <c r="L1692" s="108">
        <f>IF($B1692="","",IF($E1692="Lễ",N($G1692),0))</f>
        <v/>
      </c>
      <c r="M1692" s="108">
        <f>IF($B1692="","",IF($E1692="Ngày thường",N($H1692),0))</f>
        <v/>
      </c>
      <c r="N1692" s="108">
        <f>IF($B1692="","",IF($E1692="Nghỉ tuần",N($H1692),0))</f>
        <v/>
      </c>
      <c r="O1692" s="108">
        <f>IF($B1692="","",IF($E1692="Lễ",N($H1692),0))</f>
        <v/>
      </c>
    </row>
    <row r="1693" ht="15" customHeight="1" s="63">
      <c r="A1693" s="85">
        <f>IF($B1693="","",ROW()-5)</f>
        <v/>
      </c>
      <c r="B1693" s="97" t="n"/>
      <c r="C1693" s="96">
        <f>IF($B1693="","",IFERROR(INDEX(DM_NHAN_SU!$C$6:$C$155,MATCH($B1693,DM_NHAN_SU!$B$6:$B$155,0)),"SAI MÃ NV"))</f>
        <v/>
      </c>
      <c r="D1693" s="86" t="n"/>
      <c r="E1693" s="103">
        <f>IF(OR($B1693="",$D1693=""),"",IF(COUNTIF(THAM_SO_CC!$F$10:$F$40,$D1693)&gt;0,"Lễ",IF(IF(THAM_SO_CC!$B$12="T7+CN",WEEKDAY($D1693,2)&gt;=6,WEEKDAY($D1693,2)=7),"Nghỉ tuần","Ngày thường")))</f>
        <v/>
      </c>
      <c r="F1693" s="107" t="n"/>
      <c r="G1693" s="107" t="n"/>
      <c r="H1693" s="107" t="n"/>
      <c r="I1693" s="81" t="n"/>
      <c r="J1693" s="108">
        <f>IF($B1693="","",IF($E1693="Ngày thường",N($G1693),0))</f>
        <v/>
      </c>
      <c r="K1693" s="108">
        <f>IF($B1693="","",IF($E1693="Nghỉ tuần",N($G1693),0))</f>
        <v/>
      </c>
      <c r="L1693" s="108">
        <f>IF($B1693="","",IF($E1693="Lễ",N($G1693),0))</f>
        <v/>
      </c>
      <c r="M1693" s="108">
        <f>IF($B1693="","",IF($E1693="Ngày thường",N($H1693),0))</f>
        <v/>
      </c>
      <c r="N1693" s="108">
        <f>IF($B1693="","",IF($E1693="Nghỉ tuần",N($H1693),0))</f>
        <v/>
      </c>
      <c r="O1693" s="108">
        <f>IF($B1693="","",IF($E1693="Lễ",N($H1693),0))</f>
        <v/>
      </c>
    </row>
    <row r="1694" ht="15" customHeight="1" s="63">
      <c r="A1694" s="85">
        <f>IF($B1694="","",ROW()-5)</f>
        <v/>
      </c>
      <c r="B1694" s="97" t="n"/>
      <c r="C1694" s="96">
        <f>IF($B1694="","",IFERROR(INDEX(DM_NHAN_SU!$C$6:$C$155,MATCH($B1694,DM_NHAN_SU!$B$6:$B$155,0)),"SAI MÃ NV"))</f>
        <v/>
      </c>
      <c r="D1694" s="86" t="n"/>
      <c r="E1694" s="103">
        <f>IF(OR($B1694="",$D1694=""),"",IF(COUNTIF(THAM_SO_CC!$F$10:$F$40,$D1694)&gt;0,"Lễ",IF(IF(THAM_SO_CC!$B$12="T7+CN",WEEKDAY($D1694,2)&gt;=6,WEEKDAY($D1694,2)=7),"Nghỉ tuần","Ngày thường")))</f>
        <v/>
      </c>
      <c r="F1694" s="107" t="n"/>
      <c r="G1694" s="107" t="n"/>
      <c r="H1694" s="107" t="n"/>
      <c r="I1694" s="81" t="n"/>
      <c r="J1694" s="108">
        <f>IF($B1694="","",IF($E1694="Ngày thường",N($G1694),0))</f>
        <v/>
      </c>
      <c r="K1694" s="108">
        <f>IF($B1694="","",IF($E1694="Nghỉ tuần",N($G1694),0))</f>
        <v/>
      </c>
      <c r="L1694" s="108">
        <f>IF($B1694="","",IF($E1694="Lễ",N($G1694),0))</f>
        <v/>
      </c>
      <c r="M1694" s="108">
        <f>IF($B1694="","",IF($E1694="Ngày thường",N($H1694),0))</f>
        <v/>
      </c>
      <c r="N1694" s="108">
        <f>IF($B1694="","",IF($E1694="Nghỉ tuần",N($H1694),0))</f>
        <v/>
      </c>
      <c r="O1694" s="108">
        <f>IF($B1694="","",IF($E1694="Lễ",N($H1694),0))</f>
        <v/>
      </c>
    </row>
    <row r="1695" ht="15" customHeight="1" s="63">
      <c r="A1695" s="85">
        <f>IF($B1695="","",ROW()-5)</f>
        <v/>
      </c>
      <c r="B1695" s="97" t="n"/>
      <c r="C1695" s="96">
        <f>IF($B1695="","",IFERROR(INDEX(DM_NHAN_SU!$C$6:$C$155,MATCH($B1695,DM_NHAN_SU!$B$6:$B$155,0)),"SAI MÃ NV"))</f>
        <v/>
      </c>
      <c r="D1695" s="86" t="n"/>
      <c r="E1695" s="103">
        <f>IF(OR($B1695="",$D1695=""),"",IF(COUNTIF(THAM_SO_CC!$F$10:$F$40,$D1695)&gt;0,"Lễ",IF(IF(THAM_SO_CC!$B$12="T7+CN",WEEKDAY($D1695,2)&gt;=6,WEEKDAY($D1695,2)=7),"Nghỉ tuần","Ngày thường")))</f>
        <v/>
      </c>
      <c r="F1695" s="107" t="n"/>
      <c r="G1695" s="107" t="n"/>
      <c r="H1695" s="107" t="n"/>
      <c r="I1695" s="81" t="n"/>
      <c r="J1695" s="108">
        <f>IF($B1695="","",IF($E1695="Ngày thường",N($G1695),0))</f>
        <v/>
      </c>
      <c r="K1695" s="108">
        <f>IF($B1695="","",IF($E1695="Nghỉ tuần",N($G1695),0))</f>
        <v/>
      </c>
      <c r="L1695" s="108">
        <f>IF($B1695="","",IF($E1695="Lễ",N($G1695),0))</f>
        <v/>
      </c>
      <c r="M1695" s="108">
        <f>IF($B1695="","",IF($E1695="Ngày thường",N($H1695),0))</f>
        <v/>
      </c>
      <c r="N1695" s="108">
        <f>IF($B1695="","",IF($E1695="Nghỉ tuần",N($H1695),0))</f>
        <v/>
      </c>
      <c r="O1695" s="108">
        <f>IF($B1695="","",IF($E1695="Lễ",N($H1695),0))</f>
        <v/>
      </c>
    </row>
    <row r="1696" ht="15" customHeight="1" s="63">
      <c r="A1696" s="85">
        <f>IF($B1696="","",ROW()-5)</f>
        <v/>
      </c>
      <c r="B1696" s="97" t="n"/>
      <c r="C1696" s="96">
        <f>IF($B1696="","",IFERROR(INDEX(DM_NHAN_SU!$C$6:$C$155,MATCH($B1696,DM_NHAN_SU!$B$6:$B$155,0)),"SAI MÃ NV"))</f>
        <v/>
      </c>
      <c r="D1696" s="86" t="n"/>
      <c r="E1696" s="103">
        <f>IF(OR($B1696="",$D1696=""),"",IF(COUNTIF(THAM_SO_CC!$F$10:$F$40,$D1696)&gt;0,"Lễ",IF(IF(THAM_SO_CC!$B$12="T7+CN",WEEKDAY($D1696,2)&gt;=6,WEEKDAY($D1696,2)=7),"Nghỉ tuần","Ngày thường")))</f>
        <v/>
      </c>
      <c r="F1696" s="107" t="n"/>
      <c r="G1696" s="107" t="n"/>
      <c r="H1696" s="107" t="n"/>
      <c r="I1696" s="81" t="n"/>
      <c r="J1696" s="108">
        <f>IF($B1696="","",IF($E1696="Ngày thường",N($G1696),0))</f>
        <v/>
      </c>
      <c r="K1696" s="108">
        <f>IF($B1696="","",IF($E1696="Nghỉ tuần",N($G1696),0))</f>
        <v/>
      </c>
      <c r="L1696" s="108">
        <f>IF($B1696="","",IF($E1696="Lễ",N($G1696),0))</f>
        <v/>
      </c>
      <c r="M1696" s="108">
        <f>IF($B1696="","",IF($E1696="Ngày thường",N($H1696),0))</f>
        <v/>
      </c>
      <c r="N1696" s="108">
        <f>IF($B1696="","",IF($E1696="Nghỉ tuần",N($H1696),0))</f>
        <v/>
      </c>
      <c r="O1696" s="108">
        <f>IF($B1696="","",IF($E1696="Lễ",N($H1696),0))</f>
        <v/>
      </c>
    </row>
    <row r="1697" ht="15" customHeight="1" s="63">
      <c r="A1697" s="85">
        <f>IF($B1697="","",ROW()-5)</f>
        <v/>
      </c>
      <c r="B1697" s="97" t="n"/>
      <c r="C1697" s="96">
        <f>IF($B1697="","",IFERROR(INDEX(DM_NHAN_SU!$C$6:$C$155,MATCH($B1697,DM_NHAN_SU!$B$6:$B$155,0)),"SAI MÃ NV"))</f>
        <v/>
      </c>
      <c r="D1697" s="86" t="n"/>
      <c r="E1697" s="103">
        <f>IF(OR($B1697="",$D1697=""),"",IF(COUNTIF(THAM_SO_CC!$F$10:$F$40,$D1697)&gt;0,"Lễ",IF(IF(THAM_SO_CC!$B$12="T7+CN",WEEKDAY($D1697,2)&gt;=6,WEEKDAY($D1697,2)=7),"Nghỉ tuần","Ngày thường")))</f>
        <v/>
      </c>
      <c r="F1697" s="107" t="n"/>
      <c r="G1697" s="107" t="n"/>
      <c r="H1697" s="107" t="n"/>
      <c r="I1697" s="81" t="n"/>
      <c r="J1697" s="108">
        <f>IF($B1697="","",IF($E1697="Ngày thường",N($G1697),0))</f>
        <v/>
      </c>
      <c r="K1697" s="108">
        <f>IF($B1697="","",IF($E1697="Nghỉ tuần",N($G1697),0))</f>
        <v/>
      </c>
      <c r="L1697" s="108">
        <f>IF($B1697="","",IF($E1697="Lễ",N($G1697),0))</f>
        <v/>
      </c>
      <c r="M1697" s="108">
        <f>IF($B1697="","",IF($E1697="Ngày thường",N($H1697),0))</f>
        <v/>
      </c>
      <c r="N1697" s="108">
        <f>IF($B1697="","",IF($E1697="Nghỉ tuần",N($H1697),0))</f>
        <v/>
      </c>
      <c r="O1697" s="108">
        <f>IF($B1697="","",IF($E1697="Lễ",N($H1697),0))</f>
        <v/>
      </c>
    </row>
    <row r="1698" ht="15" customHeight="1" s="63">
      <c r="A1698" s="85">
        <f>IF($B1698="","",ROW()-5)</f>
        <v/>
      </c>
      <c r="B1698" s="97" t="n"/>
      <c r="C1698" s="96">
        <f>IF($B1698="","",IFERROR(INDEX(DM_NHAN_SU!$C$6:$C$155,MATCH($B1698,DM_NHAN_SU!$B$6:$B$155,0)),"SAI MÃ NV"))</f>
        <v/>
      </c>
      <c r="D1698" s="86" t="n"/>
      <c r="E1698" s="103">
        <f>IF(OR($B1698="",$D1698=""),"",IF(COUNTIF(THAM_SO_CC!$F$10:$F$40,$D1698)&gt;0,"Lễ",IF(IF(THAM_SO_CC!$B$12="T7+CN",WEEKDAY($D1698,2)&gt;=6,WEEKDAY($D1698,2)=7),"Nghỉ tuần","Ngày thường")))</f>
        <v/>
      </c>
      <c r="F1698" s="107" t="n"/>
      <c r="G1698" s="107" t="n"/>
      <c r="H1698" s="107" t="n"/>
      <c r="I1698" s="81" t="n"/>
      <c r="J1698" s="108">
        <f>IF($B1698="","",IF($E1698="Ngày thường",N($G1698),0))</f>
        <v/>
      </c>
      <c r="K1698" s="108">
        <f>IF($B1698="","",IF($E1698="Nghỉ tuần",N($G1698),0))</f>
        <v/>
      </c>
      <c r="L1698" s="108">
        <f>IF($B1698="","",IF($E1698="Lễ",N($G1698),0))</f>
        <v/>
      </c>
      <c r="M1698" s="108">
        <f>IF($B1698="","",IF($E1698="Ngày thường",N($H1698),0))</f>
        <v/>
      </c>
      <c r="N1698" s="108">
        <f>IF($B1698="","",IF($E1698="Nghỉ tuần",N($H1698),0))</f>
        <v/>
      </c>
      <c r="O1698" s="108">
        <f>IF($B1698="","",IF($E1698="Lễ",N($H1698),0))</f>
        <v/>
      </c>
    </row>
    <row r="1699" ht="15" customHeight="1" s="63">
      <c r="A1699" s="85">
        <f>IF($B1699="","",ROW()-5)</f>
        <v/>
      </c>
      <c r="B1699" s="97" t="n"/>
      <c r="C1699" s="96">
        <f>IF($B1699="","",IFERROR(INDEX(DM_NHAN_SU!$C$6:$C$155,MATCH($B1699,DM_NHAN_SU!$B$6:$B$155,0)),"SAI MÃ NV"))</f>
        <v/>
      </c>
      <c r="D1699" s="86" t="n"/>
      <c r="E1699" s="103">
        <f>IF(OR($B1699="",$D1699=""),"",IF(COUNTIF(THAM_SO_CC!$F$10:$F$40,$D1699)&gt;0,"Lễ",IF(IF(THAM_SO_CC!$B$12="T7+CN",WEEKDAY($D1699,2)&gt;=6,WEEKDAY($D1699,2)=7),"Nghỉ tuần","Ngày thường")))</f>
        <v/>
      </c>
      <c r="F1699" s="107" t="n"/>
      <c r="G1699" s="107" t="n"/>
      <c r="H1699" s="107" t="n"/>
      <c r="I1699" s="81" t="n"/>
      <c r="J1699" s="108">
        <f>IF($B1699="","",IF($E1699="Ngày thường",N($G1699),0))</f>
        <v/>
      </c>
      <c r="K1699" s="108">
        <f>IF($B1699="","",IF($E1699="Nghỉ tuần",N($G1699),0))</f>
        <v/>
      </c>
      <c r="L1699" s="108">
        <f>IF($B1699="","",IF($E1699="Lễ",N($G1699),0))</f>
        <v/>
      </c>
      <c r="M1699" s="108">
        <f>IF($B1699="","",IF($E1699="Ngày thường",N($H1699),0))</f>
        <v/>
      </c>
      <c r="N1699" s="108">
        <f>IF($B1699="","",IF($E1699="Nghỉ tuần",N($H1699),0))</f>
        <v/>
      </c>
      <c r="O1699" s="108">
        <f>IF($B1699="","",IF($E1699="Lễ",N($H1699),0))</f>
        <v/>
      </c>
    </row>
    <row r="1700" ht="15" customHeight="1" s="63">
      <c r="A1700" s="85">
        <f>IF($B1700="","",ROW()-5)</f>
        <v/>
      </c>
      <c r="B1700" s="97" t="n"/>
      <c r="C1700" s="96">
        <f>IF($B1700="","",IFERROR(INDEX(DM_NHAN_SU!$C$6:$C$155,MATCH($B1700,DM_NHAN_SU!$B$6:$B$155,0)),"SAI MÃ NV"))</f>
        <v/>
      </c>
      <c r="D1700" s="86" t="n"/>
      <c r="E1700" s="103">
        <f>IF(OR($B1700="",$D1700=""),"",IF(COUNTIF(THAM_SO_CC!$F$10:$F$40,$D1700)&gt;0,"Lễ",IF(IF(THAM_SO_CC!$B$12="T7+CN",WEEKDAY($D1700,2)&gt;=6,WEEKDAY($D1700,2)=7),"Nghỉ tuần","Ngày thường")))</f>
        <v/>
      </c>
      <c r="F1700" s="107" t="n"/>
      <c r="G1700" s="107" t="n"/>
      <c r="H1700" s="107" t="n"/>
      <c r="I1700" s="81" t="n"/>
      <c r="J1700" s="108">
        <f>IF($B1700="","",IF($E1700="Ngày thường",N($G1700),0))</f>
        <v/>
      </c>
      <c r="K1700" s="108">
        <f>IF($B1700="","",IF($E1700="Nghỉ tuần",N($G1700),0))</f>
        <v/>
      </c>
      <c r="L1700" s="108">
        <f>IF($B1700="","",IF($E1700="Lễ",N($G1700),0))</f>
        <v/>
      </c>
      <c r="M1700" s="108">
        <f>IF($B1700="","",IF($E1700="Ngày thường",N($H1700),0))</f>
        <v/>
      </c>
      <c r="N1700" s="108">
        <f>IF($B1700="","",IF($E1700="Nghỉ tuần",N($H1700),0))</f>
        <v/>
      </c>
      <c r="O1700" s="108">
        <f>IF($B1700="","",IF($E1700="Lễ",N($H1700),0))</f>
        <v/>
      </c>
    </row>
    <row r="1701" ht="15" customHeight="1" s="63">
      <c r="A1701" s="85">
        <f>IF($B1701="","",ROW()-5)</f>
        <v/>
      </c>
      <c r="B1701" s="97" t="n"/>
      <c r="C1701" s="96">
        <f>IF($B1701="","",IFERROR(INDEX(DM_NHAN_SU!$C$6:$C$155,MATCH($B1701,DM_NHAN_SU!$B$6:$B$155,0)),"SAI MÃ NV"))</f>
        <v/>
      </c>
      <c r="D1701" s="86" t="n"/>
      <c r="E1701" s="103">
        <f>IF(OR($B1701="",$D1701=""),"",IF(COUNTIF(THAM_SO_CC!$F$10:$F$40,$D1701)&gt;0,"Lễ",IF(IF(THAM_SO_CC!$B$12="T7+CN",WEEKDAY($D1701,2)&gt;=6,WEEKDAY($D1701,2)=7),"Nghỉ tuần","Ngày thường")))</f>
        <v/>
      </c>
      <c r="F1701" s="107" t="n"/>
      <c r="G1701" s="107" t="n"/>
      <c r="H1701" s="107" t="n"/>
      <c r="I1701" s="81" t="n"/>
      <c r="J1701" s="108">
        <f>IF($B1701="","",IF($E1701="Ngày thường",N($G1701),0))</f>
        <v/>
      </c>
      <c r="K1701" s="108">
        <f>IF($B1701="","",IF($E1701="Nghỉ tuần",N($G1701),0))</f>
        <v/>
      </c>
      <c r="L1701" s="108">
        <f>IF($B1701="","",IF($E1701="Lễ",N($G1701),0))</f>
        <v/>
      </c>
      <c r="M1701" s="108">
        <f>IF($B1701="","",IF($E1701="Ngày thường",N($H1701),0))</f>
        <v/>
      </c>
      <c r="N1701" s="108">
        <f>IF($B1701="","",IF($E1701="Nghỉ tuần",N($H1701),0))</f>
        <v/>
      </c>
      <c r="O1701" s="108">
        <f>IF($B1701="","",IF($E1701="Lễ",N($H1701),0))</f>
        <v/>
      </c>
    </row>
    <row r="1702" ht="15" customHeight="1" s="63">
      <c r="A1702" s="85">
        <f>IF($B1702="","",ROW()-5)</f>
        <v/>
      </c>
      <c r="B1702" s="97" t="n"/>
      <c r="C1702" s="96">
        <f>IF($B1702="","",IFERROR(INDEX(DM_NHAN_SU!$C$6:$C$155,MATCH($B1702,DM_NHAN_SU!$B$6:$B$155,0)),"SAI MÃ NV"))</f>
        <v/>
      </c>
      <c r="D1702" s="86" t="n"/>
      <c r="E1702" s="103">
        <f>IF(OR($B1702="",$D1702=""),"",IF(COUNTIF(THAM_SO_CC!$F$10:$F$40,$D1702)&gt;0,"Lễ",IF(IF(THAM_SO_CC!$B$12="T7+CN",WEEKDAY($D1702,2)&gt;=6,WEEKDAY($D1702,2)=7),"Nghỉ tuần","Ngày thường")))</f>
        <v/>
      </c>
      <c r="F1702" s="107" t="n"/>
      <c r="G1702" s="107" t="n"/>
      <c r="H1702" s="107" t="n"/>
      <c r="I1702" s="81" t="n"/>
      <c r="J1702" s="108">
        <f>IF($B1702="","",IF($E1702="Ngày thường",N($G1702),0))</f>
        <v/>
      </c>
      <c r="K1702" s="108">
        <f>IF($B1702="","",IF($E1702="Nghỉ tuần",N($G1702),0))</f>
        <v/>
      </c>
      <c r="L1702" s="108">
        <f>IF($B1702="","",IF($E1702="Lễ",N($G1702),0))</f>
        <v/>
      </c>
      <c r="M1702" s="108">
        <f>IF($B1702="","",IF($E1702="Ngày thường",N($H1702),0))</f>
        <v/>
      </c>
      <c r="N1702" s="108">
        <f>IF($B1702="","",IF($E1702="Nghỉ tuần",N($H1702),0))</f>
        <v/>
      </c>
      <c r="O1702" s="108">
        <f>IF($B1702="","",IF($E1702="Lễ",N($H1702),0))</f>
        <v/>
      </c>
    </row>
    <row r="1703" ht="15" customHeight="1" s="63">
      <c r="A1703" s="85">
        <f>IF($B1703="","",ROW()-5)</f>
        <v/>
      </c>
      <c r="B1703" s="97" t="n"/>
      <c r="C1703" s="96">
        <f>IF($B1703="","",IFERROR(INDEX(DM_NHAN_SU!$C$6:$C$155,MATCH($B1703,DM_NHAN_SU!$B$6:$B$155,0)),"SAI MÃ NV"))</f>
        <v/>
      </c>
      <c r="D1703" s="86" t="n"/>
      <c r="E1703" s="103">
        <f>IF(OR($B1703="",$D1703=""),"",IF(COUNTIF(THAM_SO_CC!$F$10:$F$40,$D1703)&gt;0,"Lễ",IF(IF(THAM_SO_CC!$B$12="T7+CN",WEEKDAY($D1703,2)&gt;=6,WEEKDAY($D1703,2)=7),"Nghỉ tuần","Ngày thường")))</f>
        <v/>
      </c>
      <c r="F1703" s="107" t="n"/>
      <c r="G1703" s="107" t="n"/>
      <c r="H1703" s="107" t="n"/>
      <c r="I1703" s="81" t="n"/>
      <c r="J1703" s="108">
        <f>IF($B1703="","",IF($E1703="Ngày thường",N($G1703),0))</f>
        <v/>
      </c>
      <c r="K1703" s="108">
        <f>IF($B1703="","",IF($E1703="Nghỉ tuần",N($G1703),0))</f>
        <v/>
      </c>
      <c r="L1703" s="108">
        <f>IF($B1703="","",IF($E1703="Lễ",N($G1703),0))</f>
        <v/>
      </c>
      <c r="M1703" s="108">
        <f>IF($B1703="","",IF($E1703="Ngày thường",N($H1703),0))</f>
        <v/>
      </c>
      <c r="N1703" s="108">
        <f>IF($B1703="","",IF($E1703="Nghỉ tuần",N($H1703),0))</f>
        <v/>
      </c>
      <c r="O1703" s="108">
        <f>IF($B1703="","",IF($E1703="Lễ",N($H1703),0))</f>
        <v/>
      </c>
    </row>
    <row r="1704" ht="15" customHeight="1" s="63">
      <c r="A1704" s="85">
        <f>IF($B1704="","",ROW()-5)</f>
        <v/>
      </c>
      <c r="B1704" s="97" t="n"/>
      <c r="C1704" s="96">
        <f>IF($B1704="","",IFERROR(INDEX(DM_NHAN_SU!$C$6:$C$155,MATCH($B1704,DM_NHAN_SU!$B$6:$B$155,0)),"SAI MÃ NV"))</f>
        <v/>
      </c>
      <c r="D1704" s="86" t="n"/>
      <c r="E1704" s="103">
        <f>IF(OR($B1704="",$D1704=""),"",IF(COUNTIF(THAM_SO_CC!$F$10:$F$40,$D1704)&gt;0,"Lễ",IF(IF(THAM_SO_CC!$B$12="T7+CN",WEEKDAY($D1704,2)&gt;=6,WEEKDAY($D1704,2)=7),"Nghỉ tuần","Ngày thường")))</f>
        <v/>
      </c>
      <c r="F1704" s="107" t="n"/>
      <c r="G1704" s="107" t="n"/>
      <c r="H1704" s="107" t="n"/>
      <c r="I1704" s="81" t="n"/>
      <c r="J1704" s="108">
        <f>IF($B1704="","",IF($E1704="Ngày thường",N($G1704),0))</f>
        <v/>
      </c>
      <c r="K1704" s="108">
        <f>IF($B1704="","",IF($E1704="Nghỉ tuần",N($G1704),0))</f>
        <v/>
      </c>
      <c r="L1704" s="108">
        <f>IF($B1704="","",IF($E1704="Lễ",N($G1704),0))</f>
        <v/>
      </c>
      <c r="M1704" s="108">
        <f>IF($B1704="","",IF($E1704="Ngày thường",N($H1704),0))</f>
        <v/>
      </c>
      <c r="N1704" s="108">
        <f>IF($B1704="","",IF($E1704="Nghỉ tuần",N($H1704),0))</f>
        <v/>
      </c>
      <c r="O1704" s="108">
        <f>IF($B1704="","",IF($E1704="Lễ",N($H1704),0))</f>
        <v/>
      </c>
    </row>
    <row r="1705" ht="15" customHeight="1" s="63">
      <c r="A1705" s="85">
        <f>IF($B1705="","",ROW()-5)</f>
        <v/>
      </c>
      <c r="B1705" s="97" t="n"/>
      <c r="C1705" s="96">
        <f>IF($B1705="","",IFERROR(INDEX(DM_NHAN_SU!$C$6:$C$155,MATCH($B1705,DM_NHAN_SU!$B$6:$B$155,0)),"SAI MÃ NV"))</f>
        <v/>
      </c>
      <c r="D1705" s="86" t="n"/>
      <c r="E1705" s="103">
        <f>IF(OR($B1705="",$D1705=""),"",IF(COUNTIF(THAM_SO_CC!$F$10:$F$40,$D1705)&gt;0,"Lễ",IF(IF(THAM_SO_CC!$B$12="T7+CN",WEEKDAY($D1705,2)&gt;=6,WEEKDAY($D1705,2)=7),"Nghỉ tuần","Ngày thường")))</f>
        <v/>
      </c>
      <c r="F1705" s="107" t="n"/>
      <c r="G1705" s="107" t="n"/>
      <c r="H1705" s="107" t="n"/>
      <c r="I1705" s="81" t="n"/>
      <c r="J1705" s="108">
        <f>IF($B1705="","",IF($E1705="Ngày thường",N($G1705),0))</f>
        <v/>
      </c>
      <c r="K1705" s="108">
        <f>IF($B1705="","",IF($E1705="Nghỉ tuần",N($G1705),0))</f>
        <v/>
      </c>
      <c r="L1705" s="108">
        <f>IF($B1705="","",IF($E1705="Lễ",N($G1705),0))</f>
        <v/>
      </c>
      <c r="M1705" s="108">
        <f>IF($B1705="","",IF($E1705="Ngày thường",N($H1705),0))</f>
        <v/>
      </c>
      <c r="N1705" s="108">
        <f>IF($B1705="","",IF($E1705="Nghỉ tuần",N($H1705),0))</f>
        <v/>
      </c>
      <c r="O1705" s="108">
        <f>IF($B1705="","",IF($E1705="Lễ",N($H1705),0))</f>
        <v/>
      </c>
    </row>
    <row r="1706" ht="15" customHeight="1" s="63">
      <c r="A1706" s="85">
        <f>IF($B1706="","",ROW()-5)</f>
        <v/>
      </c>
      <c r="B1706" s="97" t="n"/>
      <c r="C1706" s="96">
        <f>IF($B1706="","",IFERROR(INDEX(DM_NHAN_SU!$C$6:$C$155,MATCH($B1706,DM_NHAN_SU!$B$6:$B$155,0)),"SAI MÃ NV"))</f>
        <v/>
      </c>
      <c r="D1706" s="86" t="n"/>
      <c r="E1706" s="103">
        <f>IF(OR($B1706="",$D1706=""),"",IF(COUNTIF(THAM_SO_CC!$F$10:$F$40,$D1706)&gt;0,"Lễ",IF(IF(THAM_SO_CC!$B$12="T7+CN",WEEKDAY($D1706,2)&gt;=6,WEEKDAY($D1706,2)=7),"Nghỉ tuần","Ngày thường")))</f>
        <v/>
      </c>
      <c r="F1706" s="107" t="n"/>
      <c r="G1706" s="107" t="n"/>
      <c r="H1706" s="107" t="n"/>
      <c r="I1706" s="81" t="n"/>
      <c r="J1706" s="108">
        <f>IF($B1706="","",IF($E1706="Ngày thường",N($G1706),0))</f>
        <v/>
      </c>
      <c r="K1706" s="108">
        <f>IF($B1706="","",IF($E1706="Nghỉ tuần",N($G1706),0))</f>
        <v/>
      </c>
      <c r="L1706" s="108">
        <f>IF($B1706="","",IF($E1706="Lễ",N($G1706),0))</f>
        <v/>
      </c>
      <c r="M1706" s="108">
        <f>IF($B1706="","",IF($E1706="Ngày thường",N($H1706),0))</f>
        <v/>
      </c>
      <c r="N1706" s="108">
        <f>IF($B1706="","",IF($E1706="Nghỉ tuần",N($H1706),0))</f>
        <v/>
      </c>
      <c r="O1706" s="108">
        <f>IF($B1706="","",IF($E1706="Lễ",N($H1706),0))</f>
        <v/>
      </c>
    </row>
    <row r="1707" ht="15" customHeight="1" s="63">
      <c r="A1707" s="85">
        <f>IF($B1707="","",ROW()-5)</f>
        <v/>
      </c>
      <c r="B1707" s="97" t="n"/>
      <c r="C1707" s="96">
        <f>IF($B1707="","",IFERROR(INDEX(DM_NHAN_SU!$C$6:$C$155,MATCH($B1707,DM_NHAN_SU!$B$6:$B$155,0)),"SAI MÃ NV"))</f>
        <v/>
      </c>
      <c r="D1707" s="86" t="n"/>
      <c r="E1707" s="103">
        <f>IF(OR($B1707="",$D1707=""),"",IF(COUNTIF(THAM_SO_CC!$F$10:$F$40,$D1707)&gt;0,"Lễ",IF(IF(THAM_SO_CC!$B$12="T7+CN",WEEKDAY($D1707,2)&gt;=6,WEEKDAY($D1707,2)=7),"Nghỉ tuần","Ngày thường")))</f>
        <v/>
      </c>
      <c r="F1707" s="107" t="n"/>
      <c r="G1707" s="107" t="n"/>
      <c r="H1707" s="107" t="n"/>
      <c r="I1707" s="81" t="n"/>
      <c r="J1707" s="108">
        <f>IF($B1707="","",IF($E1707="Ngày thường",N($G1707),0))</f>
        <v/>
      </c>
      <c r="K1707" s="108">
        <f>IF($B1707="","",IF($E1707="Nghỉ tuần",N($G1707),0))</f>
        <v/>
      </c>
      <c r="L1707" s="108">
        <f>IF($B1707="","",IF($E1707="Lễ",N($G1707),0))</f>
        <v/>
      </c>
      <c r="M1707" s="108">
        <f>IF($B1707="","",IF($E1707="Ngày thường",N($H1707),0))</f>
        <v/>
      </c>
      <c r="N1707" s="108">
        <f>IF($B1707="","",IF($E1707="Nghỉ tuần",N($H1707),0))</f>
        <v/>
      </c>
      <c r="O1707" s="108">
        <f>IF($B1707="","",IF($E1707="Lễ",N($H1707),0))</f>
        <v/>
      </c>
    </row>
    <row r="1708" ht="15" customHeight="1" s="63">
      <c r="A1708" s="85">
        <f>IF($B1708="","",ROW()-5)</f>
        <v/>
      </c>
      <c r="B1708" s="97" t="n"/>
      <c r="C1708" s="96">
        <f>IF($B1708="","",IFERROR(INDEX(DM_NHAN_SU!$C$6:$C$155,MATCH($B1708,DM_NHAN_SU!$B$6:$B$155,0)),"SAI MÃ NV"))</f>
        <v/>
      </c>
      <c r="D1708" s="86" t="n"/>
      <c r="E1708" s="103">
        <f>IF(OR($B1708="",$D1708=""),"",IF(COUNTIF(THAM_SO_CC!$F$10:$F$40,$D1708)&gt;0,"Lễ",IF(IF(THAM_SO_CC!$B$12="T7+CN",WEEKDAY($D1708,2)&gt;=6,WEEKDAY($D1708,2)=7),"Nghỉ tuần","Ngày thường")))</f>
        <v/>
      </c>
      <c r="F1708" s="107" t="n"/>
      <c r="G1708" s="107" t="n"/>
      <c r="H1708" s="107" t="n"/>
      <c r="I1708" s="81" t="n"/>
      <c r="J1708" s="108">
        <f>IF($B1708="","",IF($E1708="Ngày thường",N($G1708),0))</f>
        <v/>
      </c>
      <c r="K1708" s="108">
        <f>IF($B1708="","",IF($E1708="Nghỉ tuần",N($G1708),0))</f>
        <v/>
      </c>
      <c r="L1708" s="108">
        <f>IF($B1708="","",IF($E1708="Lễ",N($G1708),0))</f>
        <v/>
      </c>
      <c r="M1708" s="108">
        <f>IF($B1708="","",IF($E1708="Ngày thường",N($H1708),0))</f>
        <v/>
      </c>
      <c r="N1708" s="108">
        <f>IF($B1708="","",IF($E1708="Nghỉ tuần",N($H1708),0))</f>
        <v/>
      </c>
      <c r="O1708" s="108">
        <f>IF($B1708="","",IF($E1708="Lễ",N($H1708),0))</f>
        <v/>
      </c>
    </row>
    <row r="1709" ht="15" customHeight="1" s="63">
      <c r="A1709" s="85">
        <f>IF($B1709="","",ROW()-5)</f>
        <v/>
      </c>
      <c r="B1709" s="97" t="n"/>
      <c r="C1709" s="96">
        <f>IF($B1709="","",IFERROR(INDEX(DM_NHAN_SU!$C$6:$C$155,MATCH($B1709,DM_NHAN_SU!$B$6:$B$155,0)),"SAI MÃ NV"))</f>
        <v/>
      </c>
      <c r="D1709" s="86" t="n"/>
      <c r="E1709" s="103">
        <f>IF(OR($B1709="",$D1709=""),"",IF(COUNTIF(THAM_SO_CC!$F$10:$F$40,$D1709)&gt;0,"Lễ",IF(IF(THAM_SO_CC!$B$12="T7+CN",WEEKDAY($D1709,2)&gt;=6,WEEKDAY($D1709,2)=7),"Nghỉ tuần","Ngày thường")))</f>
        <v/>
      </c>
      <c r="F1709" s="107" t="n"/>
      <c r="G1709" s="107" t="n"/>
      <c r="H1709" s="107" t="n"/>
      <c r="I1709" s="81" t="n"/>
      <c r="J1709" s="108">
        <f>IF($B1709="","",IF($E1709="Ngày thường",N($G1709),0))</f>
        <v/>
      </c>
      <c r="K1709" s="108">
        <f>IF($B1709="","",IF($E1709="Nghỉ tuần",N($G1709),0))</f>
        <v/>
      </c>
      <c r="L1709" s="108">
        <f>IF($B1709="","",IF($E1709="Lễ",N($G1709),0))</f>
        <v/>
      </c>
      <c r="M1709" s="108">
        <f>IF($B1709="","",IF($E1709="Ngày thường",N($H1709),0))</f>
        <v/>
      </c>
      <c r="N1709" s="108">
        <f>IF($B1709="","",IF($E1709="Nghỉ tuần",N($H1709),0))</f>
        <v/>
      </c>
      <c r="O1709" s="108">
        <f>IF($B1709="","",IF($E1709="Lễ",N($H1709),0))</f>
        <v/>
      </c>
    </row>
    <row r="1710" ht="15" customHeight="1" s="63">
      <c r="A1710" s="85">
        <f>IF($B1710="","",ROW()-5)</f>
        <v/>
      </c>
      <c r="B1710" s="97" t="n"/>
      <c r="C1710" s="96">
        <f>IF($B1710="","",IFERROR(INDEX(DM_NHAN_SU!$C$6:$C$155,MATCH($B1710,DM_NHAN_SU!$B$6:$B$155,0)),"SAI MÃ NV"))</f>
        <v/>
      </c>
      <c r="D1710" s="86" t="n"/>
      <c r="E1710" s="103">
        <f>IF(OR($B1710="",$D1710=""),"",IF(COUNTIF(THAM_SO_CC!$F$10:$F$40,$D1710)&gt;0,"Lễ",IF(IF(THAM_SO_CC!$B$12="T7+CN",WEEKDAY($D1710,2)&gt;=6,WEEKDAY($D1710,2)=7),"Nghỉ tuần","Ngày thường")))</f>
        <v/>
      </c>
      <c r="F1710" s="107" t="n"/>
      <c r="G1710" s="107" t="n"/>
      <c r="H1710" s="107" t="n"/>
      <c r="I1710" s="81" t="n"/>
      <c r="J1710" s="108">
        <f>IF($B1710="","",IF($E1710="Ngày thường",N($G1710),0))</f>
        <v/>
      </c>
      <c r="K1710" s="108">
        <f>IF($B1710="","",IF($E1710="Nghỉ tuần",N($G1710),0))</f>
        <v/>
      </c>
      <c r="L1710" s="108">
        <f>IF($B1710="","",IF($E1710="Lễ",N($G1710),0))</f>
        <v/>
      </c>
      <c r="M1710" s="108">
        <f>IF($B1710="","",IF($E1710="Ngày thường",N($H1710),0))</f>
        <v/>
      </c>
      <c r="N1710" s="108">
        <f>IF($B1710="","",IF($E1710="Nghỉ tuần",N($H1710),0))</f>
        <v/>
      </c>
      <c r="O1710" s="108">
        <f>IF($B1710="","",IF($E1710="Lễ",N($H1710),0))</f>
        <v/>
      </c>
    </row>
    <row r="1711" ht="15" customHeight="1" s="63">
      <c r="A1711" s="85">
        <f>IF($B1711="","",ROW()-5)</f>
        <v/>
      </c>
      <c r="B1711" s="97" t="n"/>
      <c r="C1711" s="96">
        <f>IF($B1711="","",IFERROR(INDEX(DM_NHAN_SU!$C$6:$C$155,MATCH($B1711,DM_NHAN_SU!$B$6:$B$155,0)),"SAI MÃ NV"))</f>
        <v/>
      </c>
      <c r="D1711" s="86" t="n"/>
      <c r="E1711" s="103">
        <f>IF(OR($B1711="",$D1711=""),"",IF(COUNTIF(THAM_SO_CC!$F$10:$F$40,$D1711)&gt;0,"Lễ",IF(IF(THAM_SO_CC!$B$12="T7+CN",WEEKDAY($D1711,2)&gt;=6,WEEKDAY($D1711,2)=7),"Nghỉ tuần","Ngày thường")))</f>
        <v/>
      </c>
      <c r="F1711" s="107" t="n"/>
      <c r="G1711" s="107" t="n"/>
      <c r="H1711" s="107" t="n"/>
      <c r="I1711" s="81" t="n"/>
      <c r="J1711" s="108">
        <f>IF($B1711="","",IF($E1711="Ngày thường",N($G1711),0))</f>
        <v/>
      </c>
      <c r="K1711" s="108">
        <f>IF($B1711="","",IF($E1711="Nghỉ tuần",N($G1711),0))</f>
        <v/>
      </c>
      <c r="L1711" s="108">
        <f>IF($B1711="","",IF($E1711="Lễ",N($G1711),0))</f>
        <v/>
      </c>
      <c r="M1711" s="108">
        <f>IF($B1711="","",IF($E1711="Ngày thường",N($H1711),0))</f>
        <v/>
      </c>
      <c r="N1711" s="108">
        <f>IF($B1711="","",IF($E1711="Nghỉ tuần",N($H1711),0))</f>
        <v/>
      </c>
      <c r="O1711" s="108">
        <f>IF($B1711="","",IF($E1711="Lễ",N($H1711),0))</f>
        <v/>
      </c>
    </row>
    <row r="1712" ht="15" customHeight="1" s="63">
      <c r="A1712" s="85">
        <f>IF($B1712="","",ROW()-5)</f>
        <v/>
      </c>
      <c r="B1712" s="97" t="n"/>
      <c r="C1712" s="96">
        <f>IF($B1712="","",IFERROR(INDEX(DM_NHAN_SU!$C$6:$C$155,MATCH($B1712,DM_NHAN_SU!$B$6:$B$155,0)),"SAI MÃ NV"))</f>
        <v/>
      </c>
      <c r="D1712" s="86" t="n"/>
      <c r="E1712" s="103">
        <f>IF(OR($B1712="",$D1712=""),"",IF(COUNTIF(THAM_SO_CC!$F$10:$F$40,$D1712)&gt;0,"Lễ",IF(IF(THAM_SO_CC!$B$12="T7+CN",WEEKDAY($D1712,2)&gt;=6,WEEKDAY($D1712,2)=7),"Nghỉ tuần","Ngày thường")))</f>
        <v/>
      </c>
      <c r="F1712" s="107" t="n"/>
      <c r="G1712" s="107" t="n"/>
      <c r="H1712" s="107" t="n"/>
      <c r="I1712" s="81" t="n"/>
      <c r="J1712" s="108">
        <f>IF($B1712="","",IF($E1712="Ngày thường",N($G1712),0))</f>
        <v/>
      </c>
      <c r="K1712" s="108">
        <f>IF($B1712="","",IF($E1712="Nghỉ tuần",N($G1712),0))</f>
        <v/>
      </c>
      <c r="L1712" s="108">
        <f>IF($B1712="","",IF($E1712="Lễ",N($G1712),0))</f>
        <v/>
      </c>
      <c r="M1712" s="108">
        <f>IF($B1712="","",IF($E1712="Ngày thường",N($H1712),0))</f>
        <v/>
      </c>
      <c r="N1712" s="108">
        <f>IF($B1712="","",IF($E1712="Nghỉ tuần",N($H1712),0))</f>
        <v/>
      </c>
      <c r="O1712" s="108">
        <f>IF($B1712="","",IF($E1712="Lễ",N($H1712),0))</f>
        <v/>
      </c>
    </row>
    <row r="1713" ht="15" customHeight="1" s="63">
      <c r="A1713" s="85">
        <f>IF($B1713="","",ROW()-5)</f>
        <v/>
      </c>
      <c r="B1713" s="97" t="n"/>
      <c r="C1713" s="96">
        <f>IF($B1713="","",IFERROR(INDEX(DM_NHAN_SU!$C$6:$C$155,MATCH($B1713,DM_NHAN_SU!$B$6:$B$155,0)),"SAI MÃ NV"))</f>
        <v/>
      </c>
      <c r="D1713" s="86" t="n"/>
      <c r="E1713" s="103">
        <f>IF(OR($B1713="",$D1713=""),"",IF(COUNTIF(THAM_SO_CC!$F$10:$F$40,$D1713)&gt;0,"Lễ",IF(IF(THAM_SO_CC!$B$12="T7+CN",WEEKDAY($D1713,2)&gt;=6,WEEKDAY($D1713,2)=7),"Nghỉ tuần","Ngày thường")))</f>
        <v/>
      </c>
      <c r="F1713" s="107" t="n"/>
      <c r="G1713" s="107" t="n"/>
      <c r="H1713" s="107" t="n"/>
      <c r="I1713" s="81" t="n"/>
      <c r="J1713" s="108">
        <f>IF($B1713="","",IF($E1713="Ngày thường",N($G1713),0))</f>
        <v/>
      </c>
      <c r="K1713" s="108">
        <f>IF($B1713="","",IF($E1713="Nghỉ tuần",N($G1713),0))</f>
        <v/>
      </c>
      <c r="L1713" s="108">
        <f>IF($B1713="","",IF($E1713="Lễ",N($G1713),0))</f>
        <v/>
      </c>
      <c r="M1713" s="108">
        <f>IF($B1713="","",IF($E1713="Ngày thường",N($H1713),0))</f>
        <v/>
      </c>
      <c r="N1713" s="108">
        <f>IF($B1713="","",IF($E1713="Nghỉ tuần",N($H1713),0))</f>
        <v/>
      </c>
      <c r="O1713" s="108">
        <f>IF($B1713="","",IF($E1713="Lễ",N($H1713),0))</f>
        <v/>
      </c>
    </row>
    <row r="1714" ht="15" customHeight="1" s="63">
      <c r="A1714" s="85">
        <f>IF($B1714="","",ROW()-5)</f>
        <v/>
      </c>
      <c r="B1714" s="97" t="n"/>
      <c r="C1714" s="96">
        <f>IF($B1714="","",IFERROR(INDEX(DM_NHAN_SU!$C$6:$C$155,MATCH($B1714,DM_NHAN_SU!$B$6:$B$155,0)),"SAI MÃ NV"))</f>
        <v/>
      </c>
      <c r="D1714" s="86" t="n"/>
      <c r="E1714" s="103">
        <f>IF(OR($B1714="",$D1714=""),"",IF(COUNTIF(THAM_SO_CC!$F$10:$F$40,$D1714)&gt;0,"Lễ",IF(IF(THAM_SO_CC!$B$12="T7+CN",WEEKDAY($D1714,2)&gt;=6,WEEKDAY($D1714,2)=7),"Nghỉ tuần","Ngày thường")))</f>
        <v/>
      </c>
      <c r="F1714" s="107" t="n"/>
      <c r="G1714" s="107" t="n"/>
      <c r="H1714" s="107" t="n"/>
      <c r="I1714" s="81" t="n"/>
      <c r="J1714" s="108">
        <f>IF($B1714="","",IF($E1714="Ngày thường",N($G1714),0))</f>
        <v/>
      </c>
      <c r="K1714" s="108">
        <f>IF($B1714="","",IF($E1714="Nghỉ tuần",N($G1714),0))</f>
        <v/>
      </c>
      <c r="L1714" s="108">
        <f>IF($B1714="","",IF($E1714="Lễ",N($G1714),0))</f>
        <v/>
      </c>
      <c r="M1714" s="108">
        <f>IF($B1714="","",IF($E1714="Ngày thường",N($H1714),0))</f>
        <v/>
      </c>
      <c r="N1714" s="108">
        <f>IF($B1714="","",IF($E1714="Nghỉ tuần",N($H1714),0))</f>
        <v/>
      </c>
      <c r="O1714" s="108">
        <f>IF($B1714="","",IF($E1714="Lễ",N($H1714),0))</f>
        <v/>
      </c>
    </row>
    <row r="1715" ht="15" customHeight="1" s="63">
      <c r="A1715" s="85">
        <f>IF($B1715="","",ROW()-5)</f>
        <v/>
      </c>
      <c r="B1715" s="97" t="n"/>
      <c r="C1715" s="96">
        <f>IF($B1715="","",IFERROR(INDEX(DM_NHAN_SU!$C$6:$C$155,MATCH($B1715,DM_NHAN_SU!$B$6:$B$155,0)),"SAI MÃ NV"))</f>
        <v/>
      </c>
      <c r="D1715" s="86" t="n"/>
      <c r="E1715" s="103">
        <f>IF(OR($B1715="",$D1715=""),"",IF(COUNTIF(THAM_SO_CC!$F$10:$F$40,$D1715)&gt;0,"Lễ",IF(IF(THAM_SO_CC!$B$12="T7+CN",WEEKDAY($D1715,2)&gt;=6,WEEKDAY($D1715,2)=7),"Nghỉ tuần","Ngày thường")))</f>
        <v/>
      </c>
      <c r="F1715" s="107" t="n"/>
      <c r="G1715" s="107" t="n"/>
      <c r="H1715" s="107" t="n"/>
      <c r="I1715" s="81" t="n"/>
      <c r="J1715" s="108">
        <f>IF($B1715="","",IF($E1715="Ngày thường",N($G1715),0))</f>
        <v/>
      </c>
      <c r="K1715" s="108">
        <f>IF($B1715="","",IF($E1715="Nghỉ tuần",N($G1715),0))</f>
        <v/>
      </c>
      <c r="L1715" s="108">
        <f>IF($B1715="","",IF($E1715="Lễ",N($G1715),0))</f>
        <v/>
      </c>
      <c r="M1715" s="108">
        <f>IF($B1715="","",IF($E1715="Ngày thường",N($H1715),0))</f>
        <v/>
      </c>
      <c r="N1715" s="108">
        <f>IF($B1715="","",IF($E1715="Nghỉ tuần",N($H1715),0))</f>
        <v/>
      </c>
      <c r="O1715" s="108">
        <f>IF($B1715="","",IF($E1715="Lễ",N($H1715),0))</f>
        <v/>
      </c>
    </row>
    <row r="1716" ht="15" customHeight="1" s="63">
      <c r="A1716" s="85">
        <f>IF($B1716="","",ROW()-5)</f>
        <v/>
      </c>
      <c r="B1716" s="97" t="n"/>
      <c r="C1716" s="96">
        <f>IF($B1716="","",IFERROR(INDEX(DM_NHAN_SU!$C$6:$C$155,MATCH($B1716,DM_NHAN_SU!$B$6:$B$155,0)),"SAI MÃ NV"))</f>
        <v/>
      </c>
      <c r="D1716" s="86" t="n"/>
      <c r="E1716" s="103">
        <f>IF(OR($B1716="",$D1716=""),"",IF(COUNTIF(THAM_SO_CC!$F$10:$F$40,$D1716)&gt;0,"Lễ",IF(IF(THAM_SO_CC!$B$12="T7+CN",WEEKDAY($D1716,2)&gt;=6,WEEKDAY($D1716,2)=7),"Nghỉ tuần","Ngày thường")))</f>
        <v/>
      </c>
      <c r="F1716" s="107" t="n"/>
      <c r="G1716" s="107" t="n"/>
      <c r="H1716" s="107" t="n"/>
      <c r="I1716" s="81" t="n"/>
      <c r="J1716" s="108">
        <f>IF($B1716="","",IF($E1716="Ngày thường",N($G1716),0))</f>
        <v/>
      </c>
      <c r="K1716" s="108">
        <f>IF($B1716="","",IF($E1716="Nghỉ tuần",N($G1716),0))</f>
        <v/>
      </c>
      <c r="L1716" s="108">
        <f>IF($B1716="","",IF($E1716="Lễ",N($G1716),0))</f>
        <v/>
      </c>
      <c r="M1716" s="108">
        <f>IF($B1716="","",IF($E1716="Ngày thường",N($H1716),0))</f>
        <v/>
      </c>
      <c r="N1716" s="108">
        <f>IF($B1716="","",IF($E1716="Nghỉ tuần",N($H1716),0))</f>
        <v/>
      </c>
      <c r="O1716" s="108">
        <f>IF($B1716="","",IF($E1716="Lễ",N($H1716),0))</f>
        <v/>
      </c>
    </row>
    <row r="1717" ht="15" customHeight="1" s="63">
      <c r="A1717" s="85">
        <f>IF($B1717="","",ROW()-5)</f>
        <v/>
      </c>
      <c r="B1717" s="97" t="n"/>
      <c r="C1717" s="96">
        <f>IF($B1717="","",IFERROR(INDEX(DM_NHAN_SU!$C$6:$C$155,MATCH($B1717,DM_NHAN_SU!$B$6:$B$155,0)),"SAI MÃ NV"))</f>
        <v/>
      </c>
      <c r="D1717" s="86" t="n"/>
      <c r="E1717" s="103">
        <f>IF(OR($B1717="",$D1717=""),"",IF(COUNTIF(THAM_SO_CC!$F$10:$F$40,$D1717)&gt;0,"Lễ",IF(IF(THAM_SO_CC!$B$12="T7+CN",WEEKDAY($D1717,2)&gt;=6,WEEKDAY($D1717,2)=7),"Nghỉ tuần","Ngày thường")))</f>
        <v/>
      </c>
      <c r="F1717" s="107" t="n"/>
      <c r="G1717" s="107" t="n"/>
      <c r="H1717" s="107" t="n"/>
      <c r="I1717" s="81" t="n"/>
      <c r="J1717" s="108">
        <f>IF($B1717="","",IF($E1717="Ngày thường",N($G1717),0))</f>
        <v/>
      </c>
      <c r="K1717" s="108">
        <f>IF($B1717="","",IF($E1717="Nghỉ tuần",N($G1717),0))</f>
        <v/>
      </c>
      <c r="L1717" s="108">
        <f>IF($B1717="","",IF($E1717="Lễ",N($G1717),0))</f>
        <v/>
      </c>
      <c r="M1717" s="108">
        <f>IF($B1717="","",IF($E1717="Ngày thường",N($H1717),0))</f>
        <v/>
      </c>
      <c r="N1717" s="108">
        <f>IF($B1717="","",IF($E1717="Nghỉ tuần",N($H1717),0))</f>
        <v/>
      </c>
      <c r="O1717" s="108">
        <f>IF($B1717="","",IF($E1717="Lễ",N($H1717),0))</f>
        <v/>
      </c>
    </row>
    <row r="1718" ht="15" customHeight="1" s="63">
      <c r="A1718" s="85">
        <f>IF($B1718="","",ROW()-5)</f>
        <v/>
      </c>
      <c r="B1718" s="97" t="n"/>
      <c r="C1718" s="96">
        <f>IF($B1718="","",IFERROR(INDEX(DM_NHAN_SU!$C$6:$C$155,MATCH($B1718,DM_NHAN_SU!$B$6:$B$155,0)),"SAI MÃ NV"))</f>
        <v/>
      </c>
      <c r="D1718" s="86" t="n"/>
      <c r="E1718" s="103">
        <f>IF(OR($B1718="",$D1718=""),"",IF(COUNTIF(THAM_SO_CC!$F$10:$F$40,$D1718)&gt;0,"Lễ",IF(IF(THAM_SO_CC!$B$12="T7+CN",WEEKDAY($D1718,2)&gt;=6,WEEKDAY($D1718,2)=7),"Nghỉ tuần","Ngày thường")))</f>
        <v/>
      </c>
      <c r="F1718" s="107" t="n"/>
      <c r="G1718" s="107" t="n"/>
      <c r="H1718" s="107" t="n"/>
      <c r="I1718" s="81" t="n"/>
      <c r="J1718" s="108">
        <f>IF($B1718="","",IF($E1718="Ngày thường",N($G1718),0))</f>
        <v/>
      </c>
      <c r="K1718" s="108">
        <f>IF($B1718="","",IF($E1718="Nghỉ tuần",N($G1718),0))</f>
        <v/>
      </c>
      <c r="L1718" s="108">
        <f>IF($B1718="","",IF($E1718="Lễ",N($G1718),0))</f>
        <v/>
      </c>
      <c r="M1718" s="108">
        <f>IF($B1718="","",IF($E1718="Ngày thường",N($H1718),0))</f>
        <v/>
      </c>
      <c r="N1718" s="108">
        <f>IF($B1718="","",IF($E1718="Nghỉ tuần",N($H1718),0))</f>
        <v/>
      </c>
      <c r="O1718" s="108">
        <f>IF($B1718="","",IF($E1718="Lễ",N($H1718),0))</f>
        <v/>
      </c>
    </row>
    <row r="1719" ht="15" customHeight="1" s="63">
      <c r="A1719" s="85">
        <f>IF($B1719="","",ROW()-5)</f>
        <v/>
      </c>
      <c r="B1719" s="97" t="n"/>
      <c r="C1719" s="96">
        <f>IF($B1719="","",IFERROR(INDEX(DM_NHAN_SU!$C$6:$C$155,MATCH($B1719,DM_NHAN_SU!$B$6:$B$155,0)),"SAI MÃ NV"))</f>
        <v/>
      </c>
      <c r="D1719" s="86" t="n"/>
      <c r="E1719" s="103">
        <f>IF(OR($B1719="",$D1719=""),"",IF(COUNTIF(THAM_SO_CC!$F$10:$F$40,$D1719)&gt;0,"Lễ",IF(IF(THAM_SO_CC!$B$12="T7+CN",WEEKDAY($D1719,2)&gt;=6,WEEKDAY($D1719,2)=7),"Nghỉ tuần","Ngày thường")))</f>
        <v/>
      </c>
      <c r="F1719" s="107" t="n"/>
      <c r="G1719" s="107" t="n"/>
      <c r="H1719" s="107" t="n"/>
      <c r="I1719" s="81" t="n"/>
      <c r="J1719" s="108">
        <f>IF($B1719="","",IF($E1719="Ngày thường",N($G1719),0))</f>
        <v/>
      </c>
      <c r="K1719" s="108">
        <f>IF($B1719="","",IF($E1719="Nghỉ tuần",N($G1719),0))</f>
        <v/>
      </c>
      <c r="L1719" s="108">
        <f>IF($B1719="","",IF($E1719="Lễ",N($G1719),0))</f>
        <v/>
      </c>
      <c r="M1719" s="108">
        <f>IF($B1719="","",IF($E1719="Ngày thường",N($H1719),0))</f>
        <v/>
      </c>
      <c r="N1719" s="108">
        <f>IF($B1719="","",IF($E1719="Nghỉ tuần",N($H1719),0))</f>
        <v/>
      </c>
      <c r="O1719" s="108">
        <f>IF($B1719="","",IF($E1719="Lễ",N($H1719),0))</f>
        <v/>
      </c>
    </row>
    <row r="1720" ht="15" customHeight="1" s="63">
      <c r="A1720" s="85">
        <f>IF($B1720="","",ROW()-5)</f>
        <v/>
      </c>
      <c r="B1720" s="97" t="n"/>
      <c r="C1720" s="96">
        <f>IF($B1720="","",IFERROR(INDEX(DM_NHAN_SU!$C$6:$C$155,MATCH($B1720,DM_NHAN_SU!$B$6:$B$155,0)),"SAI MÃ NV"))</f>
        <v/>
      </c>
      <c r="D1720" s="86" t="n"/>
      <c r="E1720" s="103">
        <f>IF(OR($B1720="",$D1720=""),"",IF(COUNTIF(THAM_SO_CC!$F$10:$F$40,$D1720)&gt;0,"Lễ",IF(IF(THAM_SO_CC!$B$12="T7+CN",WEEKDAY($D1720,2)&gt;=6,WEEKDAY($D1720,2)=7),"Nghỉ tuần","Ngày thường")))</f>
        <v/>
      </c>
      <c r="F1720" s="107" t="n"/>
      <c r="G1720" s="107" t="n"/>
      <c r="H1720" s="107" t="n"/>
      <c r="I1720" s="81" t="n"/>
      <c r="J1720" s="108">
        <f>IF($B1720="","",IF($E1720="Ngày thường",N($G1720),0))</f>
        <v/>
      </c>
      <c r="K1720" s="108">
        <f>IF($B1720="","",IF($E1720="Nghỉ tuần",N($G1720),0))</f>
        <v/>
      </c>
      <c r="L1720" s="108">
        <f>IF($B1720="","",IF($E1720="Lễ",N($G1720),0))</f>
        <v/>
      </c>
      <c r="M1720" s="108">
        <f>IF($B1720="","",IF($E1720="Ngày thường",N($H1720),0))</f>
        <v/>
      </c>
      <c r="N1720" s="108">
        <f>IF($B1720="","",IF($E1720="Nghỉ tuần",N($H1720),0))</f>
        <v/>
      </c>
      <c r="O1720" s="108">
        <f>IF($B1720="","",IF($E1720="Lễ",N($H1720),0))</f>
        <v/>
      </c>
    </row>
    <row r="1721" ht="15" customHeight="1" s="63">
      <c r="A1721" s="85">
        <f>IF($B1721="","",ROW()-5)</f>
        <v/>
      </c>
      <c r="B1721" s="97" t="n"/>
      <c r="C1721" s="96">
        <f>IF($B1721="","",IFERROR(INDEX(DM_NHAN_SU!$C$6:$C$155,MATCH($B1721,DM_NHAN_SU!$B$6:$B$155,0)),"SAI MÃ NV"))</f>
        <v/>
      </c>
      <c r="D1721" s="86" t="n"/>
      <c r="E1721" s="103">
        <f>IF(OR($B1721="",$D1721=""),"",IF(COUNTIF(THAM_SO_CC!$F$10:$F$40,$D1721)&gt;0,"Lễ",IF(IF(THAM_SO_CC!$B$12="T7+CN",WEEKDAY($D1721,2)&gt;=6,WEEKDAY($D1721,2)=7),"Nghỉ tuần","Ngày thường")))</f>
        <v/>
      </c>
      <c r="F1721" s="107" t="n"/>
      <c r="G1721" s="107" t="n"/>
      <c r="H1721" s="107" t="n"/>
      <c r="I1721" s="81" t="n"/>
      <c r="J1721" s="108">
        <f>IF($B1721="","",IF($E1721="Ngày thường",N($G1721),0))</f>
        <v/>
      </c>
      <c r="K1721" s="108">
        <f>IF($B1721="","",IF($E1721="Nghỉ tuần",N($G1721),0))</f>
        <v/>
      </c>
      <c r="L1721" s="108">
        <f>IF($B1721="","",IF($E1721="Lễ",N($G1721),0))</f>
        <v/>
      </c>
      <c r="M1721" s="108">
        <f>IF($B1721="","",IF($E1721="Ngày thường",N($H1721),0))</f>
        <v/>
      </c>
      <c r="N1721" s="108">
        <f>IF($B1721="","",IF($E1721="Nghỉ tuần",N($H1721),0))</f>
        <v/>
      </c>
      <c r="O1721" s="108">
        <f>IF($B1721="","",IF($E1721="Lễ",N($H1721),0))</f>
        <v/>
      </c>
    </row>
    <row r="1722" ht="15" customHeight="1" s="63">
      <c r="A1722" s="85">
        <f>IF($B1722="","",ROW()-5)</f>
        <v/>
      </c>
      <c r="B1722" s="97" t="n"/>
      <c r="C1722" s="96">
        <f>IF($B1722="","",IFERROR(INDEX(DM_NHAN_SU!$C$6:$C$155,MATCH($B1722,DM_NHAN_SU!$B$6:$B$155,0)),"SAI MÃ NV"))</f>
        <v/>
      </c>
      <c r="D1722" s="86" t="n"/>
      <c r="E1722" s="103">
        <f>IF(OR($B1722="",$D1722=""),"",IF(COUNTIF(THAM_SO_CC!$F$10:$F$40,$D1722)&gt;0,"Lễ",IF(IF(THAM_SO_CC!$B$12="T7+CN",WEEKDAY($D1722,2)&gt;=6,WEEKDAY($D1722,2)=7),"Nghỉ tuần","Ngày thường")))</f>
        <v/>
      </c>
      <c r="F1722" s="107" t="n"/>
      <c r="G1722" s="107" t="n"/>
      <c r="H1722" s="107" t="n"/>
      <c r="I1722" s="81" t="n"/>
      <c r="J1722" s="108">
        <f>IF($B1722="","",IF($E1722="Ngày thường",N($G1722),0))</f>
        <v/>
      </c>
      <c r="K1722" s="108">
        <f>IF($B1722="","",IF($E1722="Nghỉ tuần",N($G1722),0))</f>
        <v/>
      </c>
      <c r="L1722" s="108">
        <f>IF($B1722="","",IF($E1722="Lễ",N($G1722),0))</f>
        <v/>
      </c>
      <c r="M1722" s="108">
        <f>IF($B1722="","",IF($E1722="Ngày thường",N($H1722),0))</f>
        <v/>
      </c>
      <c r="N1722" s="108">
        <f>IF($B1722="","",IF($E1722="Nghỉ tuần",N($H1722),0))</f>
        <v/>
      </c>
      <c r="O1722" s="108">
        <f>IF($B1722="","",IF($E1722="Lễ",N($H1722),0))</f>
        <v/>
      </c>
    </row>
    <row r="1723" ht="15" customHeight="1" s="63">
      <c r="A1723" s="85">
        <f>IF($B1723="","",ROW()-5)</f>
        <v/>
      </c>
      <c r="B1723" s="97" t="n"/>
      <c r="C1723" s="96">
        <f>IF($B1723="","",IFERROR(INDEX(DM_NHAN_SU!$C$6:$C$155,MATCH($B1723,DM_NHAN_SU!$B$6:$B$155,0)),"SAI MÃ NV"))</f>
        <v/>
      </c>
      <c r="D1723" s="86" t="n"/>
      <c r="E1723" s="103">
        <f>IF(OR($B1723="",$D1723=""),"",IF(COUNTIF(THAM_SO_CC!$F$10:$F$40,$D1723)&gt;0,"Lễ",IF(IF(THAM_SO_CC!$B$12="T7+CN",WEEKDAY($D1723,2)&gt;=6,WEEKDAY($D1723,2)=7),"Nghỉ tuần","Ngày thường")))</f>
        <v/>
      </c>
      <c r="F1723" s="107" t="n"/>
      <c r="G1723" s="107" t="n"/>
      <c r="H1723" s="107" t="n"/>
      <c r="I1723" s="81" t="n"/>
      <c r="J1723" s="108">
        <f>IF($B1723="","",IF($E1723="Ngày thường",N($G1723),0))</f>
        <v/>
      </c>
      <c r="K1723" s="108">
        <f>IF($B1723="","",IF($E1723="Nghỉ tuần",N($G1723),0))</f>
        <v/>
      </c>
      <c r="L1723" s="108">
        <f>IF($B1723="","",IF($E1723="Lễ",N($G1723),0))</f>
        <v/>
      </c>
      <c r="M1723" s="108">
        <f>IF($B1723="","",IF($E1723="Ngày thường",N($H1723),0))</f>
        <v/>
      </c>
      <c r="N1723" s="108">
        <f>IF($B1723="","",IF($E1723="Nghỉ tuần",N($H1723),0))</f>
        <v/>
      </c>
      <c r="O1723" s="108">
        <f>IF($B1723="","",IF($E1723="Lễ",N($H1723),0))</f>
        <v/>
      </c>
    </row>
    <row r="1724" ht="15" customHeight="1" s="63">
      <c r="A1724" s="85">
        <f>IF($B1724="","",ROW()-5)</f>
        <v/>
      </c>
      <c r="B1724" s="97" t="n"/>
      <c r="C1724" s="96">
        <f>IF($B1724="","",IFERROR(INDEX(DM_NHAN_SU!$C$6:$C$155,MATCH($B1724,DM_NHAN_SU!$B$6:$B$155,0)),"SAI MÃ NV"))</f>
        <v/>
      </c>
      <c r="D1724" s="86" t="n"/>
      <c r="E1724" s="103">
        <f>IF(OR($B1724="",$D1724=""),"",IF(COUNTIF(THAM_SO_CC!$F$10:$F$40,$D1724)&gt;0,"Lễ",IF(IF(THAM_SO_CC!$B$12="T7+CN",WEEKDAY($D1724,2)&gt;=6,WEEKDAY($D1724,2)=7),"Nghỉ tuần","Ngày thường")))</f>
        <v/>
      </c>
      <c r="F1724" s="107" t="n"/>
      <c r="G1724" s="107" t="n"/>
      <c r="H1724" s="107" t="n"/>
      <c r="I1724" s="81" t="n"/>
      <c r="J1724" s="108">
        <f>IF($B1724="","",IF($E1724="Ngày thường",N($G1724),0))</f>
        <v/>
      </c>
      <c r="K1724" s="108">
        <f>IF($B1724="","",IF($E1724="Nghỉ tuần",N($G1724),0))</f>
        <v/>
      </c>
      <c r="L1724" s="108">
        <f>IF($B1724="","",IF($E1724="Lễ",N($G1724),0))</f>
        <v/>
      </c>
      <c r="M1724" s="108">
        <f>IF($B1724="","",IF($E1724="Ngày thường",N($H1724),0))</f>
        <v/>
      </c>
      <c r="N1724" s="108">
        <f>IF($B1724="","",IF($E1724="Nghỉ tuần",N($H1724),0))</f>
        <v/>
      </c>
      <c r="O1724" s="108">
        <f>IF($B1724="","",IF($E1724="Lễ",N($H1724),0))</f>
        <v/>
      </c>
    </row>
    <row r="1725" ht="15" customHeight="1" s="63">
      <c r="A1725" s="85">
        <f>IF($B1725="","",ROW()-5)</f>
        <v/>
      </c>
      <c r="B1725" s="97" t="n"/>
      <c r="C1725" s="96">
        <f>IF($B1725="","",IFERROR(INDEX(DM_NHAN_SU!$C$6:$C$155,MATCH($B1725,DM_NHAN_SU!$B$6:$B$155,0)),"SAI MÃ NV"))</f>
        <v/>
      </c>
      <c r="D1725" s="86" t="n"/>
      <c r="E1725" s="103">
        <f>IF(OR($B1725="",$D1725=""),"",IF(COUNTIF(THAM_SO_CC!$F$10:$F$40,$D1725)&gt;0,"Lễ",IF(IF(THAM_SO_CC!$B$12="T7+CN",WEEKDAY($D1725,2)&gt;=6,WEEKDAY($D1725,2)=7),"Nghỉ tuần","Ngày thường")))</f>
        <v/>
      </c>
      <c r="F1725" s="107" t="n"/>
      <c r="G1725" s="107" t="n"/>
      <c r="H1725" s="107" t="n"/>
      <c r="I1725" s="81" t="n"/>
      <c r="J1725" s="108">
        <f>IF($B1725="","",IF($E1725="Ngày thường",N($G1725),0))</f>
        <v/>
      </c>
      <c r="K1725" s="108">
        <f>IF($B1725="","",IF($E1725="Nghỉ tuần",N($G1725),0))</f>
        <v/>
      </c>
      <c r="L1725" s="108">
        <f>IF($B1725="","",IF($E1725="Lễ",N($G1725),0))</f>
        <v/>
      </c>
      <c r="M1725" s="108">
        <f>IF($B1725="","",IF($E1725="Ngày thường",N($H1725),0))</f>
        <v/>
      </c>
      <c r="N1725" s="108">
        <f>IF($B1725="","",IF($E1725="Nghỉ tuần",N($H1725),0))</f>
        <v/>
      </c>
      <c r="O1725" s="108">
        <f>IF($B1725="","",IF($E1725="Lễ",N($H1725),0))</f>
        <v/>
      </c>
    </row>
    <row r="1726" ht="15" customHeight="1" s="63">
      <c r="A1726" s="85">
        <f>IF($B1726="","",ROW()-5)</f>
        <v/>
      </c>
      <c r="B1726" s="97" t="n"/>
      <c r="C1726" s="96">
        <f>IF($B1726="","",IFERROR(INDEX(DM_NHAN_SU!$C$6:$C$155,MATCH($B1726,DM_NHAN_SU!$B$6:$B$155,0)),"SAI MÃ NV"))</f>
        <v/>
      </c>
      <c r="D1726" s="86" t="n"/>
      <c r="E1726" s="103">
        <f>IF(OR($B1726="",$D1726=""),"",IF(COUNTIF(THAM_SO_CC!$F$10:$F$40,$D1726)&gt;0,"Lễ",IF(IF(THAM_SO_CC!$B$12="T7+CN",WEEKDAY($D1726,2)&gt;=6,WEEKDAY($D1726,2)=7),"Nghỉ tuần","Ngày thường")))</f>
        <v/>
      </c>
      <c r="F1726" s="107" t="n"/>
      <c r="G1726" s="107" t="n"/>
      <c r="H1726" s="107" t="n"/>
      <c r="I1726" s="81" t="n"/>
      <c r="J1726" s="108">
        <f>IF($B1726="","",IF($E1726="Ngày thường",N($G1726),0))</f>
        <v/>
      </c>
      <c r="K1726" s="108">
        <f>IF($B1726="","",IF($E1726="Nghỉ tuần",N($G1726),0))</f>
        <v/>
      </c>
      <c r="L1726" s="108">
        <f>IF($B1726="","",IF($E1726="Lễ",N($G1726),0))</f>
        <v/>
      </c>
      <c r="M1726" s="108">
        <f>IF($B1726="","",IF($E1726="Ngày thường",N($H1726),0))</f>
        <v/>
      </c>
      <c r="N1726" s="108">
        <f>IF($B1726="","",IF($E1726="Nghỉ tuần",N($H1726),0))</f>
        <v/>
      </c>
      <c r="O1726" s="108">
        <f>IF($B1726="","",IF($E1726="Lễ",N($H1726),0))</f>
        <v/>
      </c>
    </row>
    <row r="1727" ht="15" customHeight="1" s="63">
      <c r="A1727" s="85">
        <f>IF($B1727="","",ROW()-5)</f>
        <v/>
      </c>
      <c r="B1727" s="97" t="n"/>
      <c r="C1727" s="96">
        <f>IF($B1727="","",IFERROR(INDEX(DM_NHAN_SU!$C$6:$C$155,MATCH($B1727,DM_NHAN_SU!$B$6:$B$155,0)),"SAI MÃ NV"))</f>
        <v/>
      </c>
      <c r="D1727" s="86" t="n"/>
      <c r="E1727" s="103">
        <f>IF(OR($B1727="",$D1727=""),"",IF(COUNTIF(THAM_SO_CC!$F$10:$F$40,$D1727)&gt;0,"Lễ",IF(IF(THAM_SO_CC!$B$12="T7+CN",WEEKDAY($D1727,2)&gt;=6,WEEKDAY($D1727,2)=7),"Nghỉ tuần","Ngày thường")))</f>
        <v/>
      </c>
      <c r="F1727" s="107" t="n"/>
      <c r="G1727" s="107" t="n"/>
      <c r="H1727" s="107" t="n"/>
      <c r="I1727" s="81" t="n"/>
      <c r="J1727" s="108">
        <f>IF($B1727="","",IF($E1727="Ngày thường",N($G1727),0))</f>
        <v/>
      </c>
      <c r="K1727" s="108">
        <f>IF($B1727="","",IF($E1727="Nghỉ tuần",N($G1727),0))</f>
        <v/>
      </c>
      <c r="L1727" s="108">
        <f>IF($B1727="","",IF($E1727="Lễ",N($G1727),0))</f>
        <v/>
      </c>
      <c r="M1727" s="108">
        <f>IF($B1727="","",IF($E1727="Ngày thường",N($H1727),0))</f>
        <v/>
      </c>
      <c r="N1727" s="108">
        <f>IF($B1727="","",IF($E1727="Nghỉ tuần",N($H1727),0))</f>
        <v/>
      </c>
      <c r="O1727" s="108">
        <f>IF($B1727="","",IF($E1727="Lễ",N($H1727),0))</f>
        <v/>
      </c>
    </row>
    <row r="1728" ht="15" customHeight="1" s="63">
      <c r="A1728" s="85">
        <f>IF($B1728="","",ROW()-5)</f>
        <v/>
      </c>
      <c r="B1728" s="97" t="n"/>
      <c r="C1728" s="96">
        <f>IF($B1728="","",IFERROR(INDEX(DM_NHAN_SU!$C$6:$C$155,MATCH($B1728,DM_NHAN_SU!$B$6:$B$155,0)),"SAI MÃ NV"))</f>
        <v/>
      </c>
      <c r="D1728" s="86" t="n"/>
      <c r="E1728" s="103">
        <f>IF(OR($B1728="",$D1728=""),"",IF(COUNTIF(THAM_SO_CC!$F$10:$F$40,$D1728)&gt;0,"Lễ",IF(IF(THAM_SO_CC!$B$12="T7+CN",WEEKDAY($D1728,2)&gt;=6,WEEKDAY($D1728,2)=7),"Nghỉ tuần","Ngày thường")))</f>
        <v/>
      </c>
      <c r="F1728" s="107" t="n"/>
      <c r="G1728" s="107" t="n"/>
      <c r="H1728" s="107" t="n"/>
      <c r="I1728" s="81" t="n"/>
      <c r="J1728" s="108">
        <f>IF($B1728="","",IF($E1728="Ngày thường",N($G1728),0))</f>
        <v/>
      </c>
      <c r="K1728" s="108">
        <f>IF($B1728="","",IF($E1728="Nghỉ tuần",N($G1728),0))</f>
        <v/>
      </c>
      <c r="L1728" s="108">
        <f>IF($B1728="","",IF($E1728="Lễ",N($G1728),0))</f>
        <v/>
      </c>
      <c r="M1728" s="108">
        <f>IF($B1728="","",IF($E1728="Ngày thường",N($H1728),0))</f>
        <v/>
      </c>
      <c r="N1728" s="108">
        <f>IF($B1728="","",IF($E1728="Nghỉ tuần",N($H1728),0))</f>
        <v/>
      </c>
      <c r="O1728" s="108">
        <f>IF($B1728="","",IF($E1728="Lễ",N($H1728),0))</f>
        <v/>
      </c>
    </row>
    <row r="1729" ht="15" customHeight="1" s="63">
      <c r="A1729" s="85">
        <f>IF($B1729="","",ROW()-5)</f>
        <v/>
      </c>
      <c r="B1729" s="97" t="n"/>
      <c r="C1729" s="96">
        <f>IF($B1729="","",IFERROR(INDEX(DM_NHAN_SU!$C$6:$C$155,MATCH($B1729,DM_NHAN_SU!$B$6:$B$155,0)),"SAI MÃ NV"))</f>
        <v/>
      </c>
      <c r="D1729" s="86" t="n"/>
      <c r="E1729" s="103">
        <f>IF(OR($B1729="",$D1729=""),"",IF(COUNTIF(THAM_SO_CC!$F$10:$F$40,$D1729)&gt;0,"Lễ",IF(IF(THAM_SO_CC!$B$12="T7+CN",WEEKDAY($D1729,2)&gt;=6,WEEKDAY($D1729,2)=7),"Nghỉ tuần","Ngày thường")))</f>
        <v/>
      </c>
      <c r="F1729" s="107" t="n"/>
      <c r="G1729" s="107" t="n"/>
      <c r="H1729" s="107" t="n"/>
      <c r="I1729" s="81" t="n"/>
      <c r="J1729" s="108">
        <f>IF($B1729="","",IF($E1729="Ngày thường",N($G1729),0))</f>
        <v/>
      </c>
      <c r="K1729" s="108">
        <f>IF($B1729="","",IF($E1729="Nghỉ tuần",N($G1729),0))</f>
        <v/>
      </c>
      <c r="L1729" s="108">
        <f>IF($B1729="","",IF($E1729="Lễ",N($G1729),0))</f>
        <v/>
      </c>
      <c r="M1729" s="108">
        <f>IF($B1729="","",IF($E1729="Ngày thường",N($H1729),0))</f>
        <v/>
      </c>
      <c r="N1729" s="108">
        <f>IF($B1729="","",IF($E1729="Nghỉ tuần",N($H1729),0))</f>
        <v/>
      </c>
      <c r="O1729" s="108">
        <f>IF($B1729="","",IF($E1729="Lễ",N($H1729),0))</f>
        <v/>
      </c>
    </row>
    <row r="1730" ht="15" customHeight="1" s="63">
      <c r="A1730" s="85">
        <f>IF($B1730="","",ROW()-5)</f>
        <v/>
      </c>
      <c r="B1730" s="97" t="n"/>
      <c r="C1730" s="96">
        <f>IF($B1730="","",IFERROR(INDEX(DM_NHAN_SU!$C$6:$C$155,MATCH($B1730,DM_NHAN_SU!$B$6:$B$155,0)),"SAI MÃ NV"))</f>
        <v/>
      </c>
      <c r="D1730" s="86" t="n"/>
      <c r="E1730" s="103">
        <f>IF(OR($B1730="",$D1730=""),"",IF(COUNTIF(THAM_SO_CC!$F$10:$F$40,$D1730)&gt;0,"Lễ",IF(IF(THAM_SO_CC!$B$12="T7+CN",WEEKDAY($D1730,2)&gt;=6,WEEKDAY($D1730,2)=7),"Nghỉ tuần","Ngày thường")))</f>
        <v/>
      </c>
      <c r="F1730" s="107" t="n"/>
      <c r="G1730" s="107" t="n"/>
      <c r="H1730" s="107" t="n"/>
      <c r="I1730" s="81" t="n"/>
      <c r="J1730" s="108">
        <f>IF($B1730="","",IF($E1730="Ngày thường",N($G1730),0))</f>
        <v/>
      </c>
      <c r="K1730" s="108">
        <f>IF($B1730="","",IF($E1730="Nghỉ tuần",N($G1730),0))</f>
        <v/>
      </c>
      <c r="L1730" s="108">
        <f>IF($B1730="","",IF($E1730="Lễ",N($G1730),0))</f>
        <v/>
      </c>
      <c r="M1730" s="108">
        <f>IF($B1730="","",IF($E1730="Ngày thường",N($H1730),0))</f>
        <v/>
      </c>
      <c r="N1730" s="108">
        <f>IF($B1730="","",IF($E1730="Nghỉ tuần",N($H1730),0))</f>
        <v/>
      </c>
      <c r="O1730" s="108">
        <f>IF($B1730="","",IF($E1730="Lễ",N($H1730),0))</f>
        <v/>
      </c>
    </row>
    <row r="1731" ht="15" customHeight="1" s="63">
      <c r="A1731" s="85">
        <f>IF($B1731="","",ROW()-5)</f>
        <v/>
      </c>
      <c r="B1731" s="97" t="n"/>
      <c r="C1731" s="96">
        <f>IF($B1731="","",IFERROR(INDEX(DM_NHAN_SU!$C$6:$C$155,MATCH($B1731,DM_NHAN_SU!$B$6:$B$155,0)),"SAI MÃ NV"))</f>
        <v/>
      </c>
      <c r="D1731" s="86" t="n"/>
      <c r="E1731" s="103">
        <f>IF(OR($B1731="",$D1731=""),"",IF(COUNTIF(THAM_SO_CC!$F$10:$F$40,$D1731)&gt;0,"Lễ",IF(IF(THAM_SO_CC!$B$12="T7+CN",WEEKDAY($D1731,2)&gt;=6,WEEKDAY($D1731,2)=7),"Nghỉ tuần","Ngày thường")))</f>
        <v/>
      </c>
      <c r="F1731" s="107" t="n"/>
      <c r="G1731" s="107" t="n"/>
      <c r="H1731" s="107" t="n"/>
      <c r="I1731" s="81" t="n"/>
      <c r="J1731" s="108">
        <f>IF($B1731="","",IF($E1731="Ngày thường",N($G1731),0))</f>
        <v/>
      </c>
      <c r="K1731" s="108">
        <f>IF($B1731="","",IF($E1731="Nghỉ tuần",N($G1731),0))</f>
        <v/>
      </c>
      <c r="L1731" s="108">
        <f>IF($B1731="","",IF($E1731="Lễ",N($G1731),0))</f>
        <v/>
      </c>
      <c r="M1731" s="108">
        <f>IF($B1731="","",IF($E1731="Ngày thường",N($H1731),0))</f>
        <v/>
      </c>
      <c r="N1731" s="108">
        <f>IF($B1731="","",IF($E1731="Nghỉ tuần",N($H1731),0))</f>
        <v/>
      </c>
      <c r="O1731" s="108">
        <f>IF($B1731="","",IF($E1731="Lễ",N($H1731),0))</f>
        <v/>
      </c>
    </row>
    <row r="1732" ht="15" customHeight="1" s="63">
      <c r="A1732" s="85">
        <f>IF($B1732="","",ROW()-5)</f>
        <v/>
      </c>
      <c r="B1732" s="97" t="n"/>
      <c r="C1732" s="96">
        <f>IF($B1732="","",IFERROR(INDEX(DM_NHAN_SU!$C$6:$C$155,MATCH($B1732,DM_NHAN_SU!$B$6:$B$155,0)),"SAI MÃ NV"))</f>
        <v/>
      </c>
      <c r="D1732" s="86" t="n"/>
      <c r="E1732" s="103">
        <f>IF(OR($B1732="",$D1732=""),"",IF(COUNTIF(THAM_SO_CC!$F$10:$F$40,$D1732)&gt;0,"Lễ",IF(IF(THAM_SO_CC!$B$12="T7+CN",WEEKDAY($D1732,2)&gt;=6,WEEKDAY($D1732,2)=7),"Nghỉ tuần","Ngày thường")))</f>
        <v/>
      </c>
      <c r="F1732" s="107" t="n"/>
      <c r="G1732" s="107" t="n"/>
      <c r="H1732" s="107" t="n"/>
      <c r="I1732" s="81" t="n"/>
      <c r="J1732" s="108">
        <f>IF($B1732="","",IF($E1732="Ngày thường",N($G1732),0))</f>
        <v/>
      </c>
      <c r="K1732" s="108">
        <f>IF($B1732="","",IF($E1732="Nghỉ tuần",N($G1732),0))</f>
        <v/>
      </c>
      <c r="L1732" s="108">
        <f>IF($B1732="","",IF($E1732="Lễ",N($G1732),0))</f>
        <v/>
      </c>
      <c r="M1732" s="108">
        <f>IF($B1732="","",IF($E1732="Ngày thường",N($H1732),0))</f>
        <v/>
      </c>
      <c r="N1732" s="108">
        <f>IF($B1732="","",IF($E1732="Nghỉ tuần",N($H1732),0))</f>
        <v/>
      </c>
      <c r="O1732" s="108">
        <f>IF($B1732="","",IF($E1732="Lễ",N($H1732),0))</f>
        <v/>
      </c>
    </row>
    <row r="1733" ht="15" customHeight="1" s="63">
      <c r="A1733" s="85">
        <f>IF($B1733="","",ROW()-5)</f>
        <v/>
      </c>
      <c r="B1733" s="97" t="n"/>
      <c r="C1733" s="96">
        <f>IF($B1733="","",IFERROR(INDEX(DM_NHAN_SU!$C$6:$C$155,MATCH($B1733,DM_NHAN_SU!$B$6:$B$155,0)),"SAI MÃ NV"))</f>
        <v/>
      </c>
      <c r="D1733" s="86" t="n"/>
      <c r="E1733" s="103">
        <f>IF(OR($B1733="",$D1733=""),"",IF(COUNTIF(THAM_SO_CC!$F$10:$F$40,$D1733)&gt;0,"Lễ",IF(IF(THAM_SO_CC!$B$12="T7+CN",WEEKDAY($D1733,2)&gt;=6,WEEKDAY($D1733,2)=7),"Nghỉ tuần","Ngày thường")))</f>
        <v/>
      </c>
      <c r="F1733" s="107" t="n"/>
      <c r="G1733" s="107" t="n"/>
      <c r="H1733" s="107" t="n"/>
      <c r="I1733" s="81" t="n"/>
      <c r="J1733" s="108">
        <f>IF($B1733="","",IF($E1733="Ngày thường",N($G1733),0))</f>
        <v/>
      </c>
      <c r="K1733" s="108">
        <f>IF($B1733="","",IF($E1733="Nghỉ tuần",N($G1733),0))</f>
        <v/>
      </c>
      <c r="L1733" s="108">
        <f>IF($B1733="","",IF($E1733="Lễ",N($G1733),0))</f>
        <v/>
      </c>
      <c r="M1733" s="108">
        <f>IF($B1733="","",IF($E1733="Ngày thường",N($H1733),0))</f>
        <v/>
      </c>
      <c r="N1733" s="108">
        <f>IF($B1733="","",IF($E1733="Nghỉ tuần",N($H1733),0))</f>
        <v/>
      </c>
      <c r="O1733" s="108">
        <f>IF($B1733="","",IF($E1733="Lễ",N($H1733),0))</f>
        <v/>
      </c>
    </row>
    <row r="1734" ht="15" customHeight="1" s="63">
      <c r="A1734" s="85">
        <f>IF($B1734="","",ROW()-5)</f>
        <v/>
      </c>
      <c r="B1734" s="97" t="n"/>
      <c r="C1734" s="96">
        <f>IF($B1734="","",IFERROR(INDEX(DM_NHAN_SU!$C$6:$C$155,MATCH($B1734,DM_NHAN_SU!$B$6:$B$155,0)),"SAI MÃ NV"))</f>
        <v/>
      </c>
      <c r="D1734" s="86" t="n"/>
      <c r="E1734" s="103">
        <f>IF(OR($B1734="",$D1734=""),"",IF(COUNTIF(THAM_SO_CC!$F$10:$F$40,$D1734)&gt;0,"Lễ",IF(IF(THAM_SO_CC!$B$12="T7+CN",WEEKDAY($D1734,2)&gt;=6,WEEKDAY($D1734,2)=7),"Nghỉ tuần","Ngày thường")))</f>
        <v/>
      </c>
      <c r="F1734" s="107" t="n"/>
      <c r="G1734" s="107" t="n"/>
      <c r="H1734" s="107" t="n"/>
      <c r="I1734" s="81" t="n"/>
      <c r="J1734" s="108">
        <f>IF($B1734="","",IF($E1734="Ngày thường",N($G1734),0))</f>
        <v/>
      </c>
      <c r="K1734" s="108">
        <f>IF($B1734="","",IF($E1734="Nghỉ tuần",N($G1734),0))</f>
        <v/>
      </c>
      <c r="L1734" s="108">
        <f>IF($B1734="","",IF($E1734="Lễ",N($G1734),0))</f>
        <v/>
      </c>
      <c r="M1734" s="108">
        <f>IF($B1734="","",IF($E1734="Ngày thường",N($H1734),0))</f>
        <v/>
      </c>
      <c r="N1734" s="108">
        <f>IF($B1734="","",IF($E1734="Nghỉ tuần",N($H1734),0))</f>
        <v/>
      </c>
      <c r="O1734" s="108">
        <f>IF($B1734="","",IF($E1734="Lễ",N($H1734),0))</f>
        <v/>
      </c>
    </row>
    <row r="1735" ht="15" customHeight="1" s="63">
      <c r="A1735" s="85">
        <f>IF($B1735="","",ROW()-5)</f>
        <v/>
      </c>
      <c r="B1735" s="97" t="n"/>
      <c r="C1735" s="96">
        <f>IF($B1735="","",IFERROR(INDEX(DM_NHAN_SU!$C$6:$C$155,MATCH($B1735,DM_NHAN_SU!$B$6:$B$155,0)),"SAI MÃ NV"))</f>
        <v/>
      </c>
      <c r="D1735" s="86" t="n"/>
      <c r="E1735" s="103">
        <f>IF(OR($B1735="",$D1735=""),"",IF(COUNTIF(THAM_SO_CC!$F$10:$F$40,$D1735)&gt;0,"Lễ",IF(IF(THAM_SO_CC!$B$12="T7+CN",WEEKDAY($D1735,2)&gt;=6,WEEKDAY($D1735,2)=7),"Nghỉ tuần","Ngày thường")))</f>
        <v/>
      </c>
      <c r="F1735" s="107" t="n"/>
      <c r="G1735" s="107" t="n"/>
      <c r="H1735" s="107" t="n"/>
      <c r="I1735" s="81" t="n"/>
      <c r="J1735" s="108">
        <f>IF($B1735="","",IF($E1735="Ngày thường",N($G1735),0))</f>
        <v/>
      </c>
      <c r="K1735" s="108">
        <f>IF($B1735="","",IF($E1735="Nghỉ tuần",N($G1735),0))</f>
        <v/>
      </c>
      <c r="L1735" s="108">
        <f>IF($B1735="","",IF($E1735="Lễ",N($G1735),0))</f>
        <v/>
      </c>
      <c r="M1735" s="108">
        <f>IF($B1735="","",IF($E1735="Ngày thường",N($H1735),0))</f>
        <v/>
      </c>
      <c r="N1735" s="108">
        <f>IF($B1735="","",IF($E1735="Nghỉ tuần",N($H1735),0))</f>
        <v/>
      </c>
      <c r="O1735" s="108">
        <f>IF($B1735="","",IF($E1735="Lễ",N($H1735),0))</f>
        <v/>
      </c>
    </row>
    <row r="1736" ht="15" customHeight="1" s="63">
      <c r="A1736" s="85">
        <f>IF($B1736="","",ROW()-5)</f>
        <v/>
      </c>
      <c r="B1736" s="97" t="n"/>
      <c r="C1736" s="96">
        <f>IF($B1736="","",IFERROR(INDEX(DM_NHAN_SU!$C$6:$C$155,MATCH($B1736,DM_NHAN_SU!$B$6:$B$155,0)),"SAI MÃ NV"))</f>
        <v/>
      </c>
      <c r="D1736" s="86" t="n"/>
      <c r="E1736" s="103">
        <f>IF(OR($B1736="",$D1736=""),"",IF(COUNTIF(THAM_SO_CC!$F$10:$F$40,$D1736)&gt;0,"Lễ",IF(IF(THAM_SO_CC!$B$12="T7+CN",WEEKDAY($D1736,2)&gt;=6,WEEKDAY($D1736,2)=7),"Nghỉ tuần","Ngày thường")))</f>
        <v/>
      </c>
      <c r="F1736" s="107" t="n"/>
      <c r="G1736" s="107" t="n"/>
      <c r="H1736" s="107" t="n"/>
      <c r="I1736" s="81" t="n"/>
      <c r="J1736" s="108">
        <f>IF($B1736="","",IF($E1736="Ngày thường",N($G1736),0))</f>
        <v/>
      </c>
      <c r="K1736" s="108">
        <f>IF($B1736="","",IF($E1736="Nghỉ tuần",N($G1736),0))</f>
        <v/>
      </c>
      <c r="L1736" s="108">
        <f>IF($B1736="","",IF($E1736="Lễ",N($G1736),0))</f>
        <v/>
      </c>
      <c r="M1736" s="108">
        <f>IF($B1736="","",IF($E1736="Ngày thường",N($H1736),0))</f>
        <v/>
      </c>
      <c r="N1736" s="108">
        <f>IF($B1736="","",IF($E1736="Nghỉ tuần",N($H1736),0))</f>
        <v/>
      </c>
      <c r="O1736" s="108">
        <f>IF($B1736="","",IF($E1736="Lễ",N($H1736),0))</f>
        <v/>
      </c>
    </row>
    <row r="1737" ht="15" customHeight="1" s="63">
      <c r="A1737" s="85">
        <f>IF($B1737="","",ROW()-5)</f>
        <v/>
      </c>
      <c r="B1737" s="97" t="n"/>
      <c r="C1737" s="96">
        <f>IF($B1737="","",IFERROR(INDEX(DM_NHAN_SU!$C$6:$C$155,MATCH($B1737,DM_NHAN_SU!$B$6:$B$155,0)),"SAI MÃ NV"))</f>
        <v/>
      </c>
      <c r="D1737" s="86" t="n"/>
      <c r="E1737" s="103">
        <f>IF(OR($B1737="",$D1737=""),"",IF(COUNTIF(THAM_SO_CC!$F$10:$F$40,$D1737)&gt;0,"Lễ",IF(IF(THAM_SO_CC!$B$12="T7+CN",WEEKDAY($D1737,2)&gt;=6,WEEKDAY($D1737,2)=7),"Nghỉ tuần","Ngày thường")))</f>
        <v/>
      </c>
      <c r="F1737" s="107" t="n"/>
      <c r="G1737" s="107" t="n"/>
      <c r="H1737" s="107" t="n"/>
      <c r="I1737" s="81" t="n"/>
      <c r="J1737" s="108">
        <f>IF($B1737="","",IF($E1737="Ngày thường",N($G1737),0))</f>
        <v/>
      </c>
      <c r="K1737" s="108">
        <f>IF($B1737="","",IF($E1737="Nghỉ tuần",N($G1737),0))</f>
        <v/>
      </c>
      <c r="L1737" s="108">
        <f>IF($B1737="","",IF($E1737="Lễ",N($G1737),0))</f>
        <v/>
      </c>
      <c r="M1737" s="108">
        <f>IF($B1737="","",IF($E1737="Ngày thường",N($H1737),0))</f>
        <v/>
      </c>
      <c r="N1737" s="108">
        <f>IF($B1737="","",IF($E1737="Nghỉ tuần",N($H1737),0))</f>
        <v/>
      </c>
      <c r="O1737" s="108">
        <f>IF($B1737="","",IF($E1737="Lễ",N($H1737),0))</f>
        <v/>
      </c>
    </row>
    <row r="1738" ht="15" customHeight="1" s="63">
      <c r="A1738" s="85">
        <f>IF($B1738="","",ROW()-5)</f>
        <v/>
      </c>
      <c r="B1738" s="97" t="n"/>
      <c r="C1738" s="96">
        <f>IF($B1738="","",IFERROR(INDEX(DM_NHAN_SU!$C$6:$C$155,MATCH($B1738,DM_NHAN_SU!$B$6:$B$155,0)),"SAI MÃ NV"))</f>
        <v/>
      </c>
      <c r="D1738" s="86" t="n"/>
      <c r="E1738" s="103">
        <f>IF(OR($B1738="",$D1738=""),"",IF(COUNTIF(THAM_SO_CC!$F$10:$F$40,$D1738)&gt;0,"Lễ",IF(IF(THAM_SO_CC!$B$12="T7+CN",WEEKDAY($D1738,2)&gt;=6,WEEKDAY($D1738,2)=7),"Nghỉ tuần","Ngày thường")))</f>
        <v/>
      </c>
      <c r="F1738" s="107" t="n"/>
      <c r="G1738" s="107" t="n"/>
      <c r="H1738" s="107" t="n"/>
      <c r="I1738" s="81" t="n"/>
      <c r="J1738" s="108">
        <f>IF($B1738="","",IF($E1738="Ngày thường",N($G1738),0))</f>
        <v/>
      </c>
      <c r="K1738" s="108">
        <f>IF($B1738="","",IF($E1738="Nghỉ tuần",N($G1738),0))</f>
        <v/>
      </c>
      <c r="L1738" s="108">
        <f>IF($B1738="","",IF($E1738="Lễ",N($G1738),0))</f>
        <v/>
      </c>
      <c r="M1738" s="108">
        <f>IF($B1738="","",IF($E1738="Ngày thường",N($H1738),0))</f>
        <v/>
      </c>
      <c r="N1738" s="108">
        <f>IF($B1738="","",IF($E1738="Nghỉ tuần",N($H1738),0))</f>
        <v/>
      </c>
      <c r="O1738" s="108">
        <f>IF($B1738="","",IF($E1738="Lễ",N($H1738),0))</f>
        <v/>
      </c>
    </row>
    <row r="1739" ht="15" customHeight="1" s="63">
      <c r="A1739" s="85">
        <f>IF($B1739="","",ROW()-5)</f>
        <v/>
      </c>
      <c r="B1739" s="97" t="n"/>
      <c r="C1739" s="96">
        <f>IF($B1739="","",IFERROR(INDEX(DM_NHAN_SU!$C$6:$C$155,MATCH($B1739,DM_NHAN_SU!$B$6:$B$155,0)),"SAI MÃ NV"))</f>
        <v/>
      </c>
      <c r="D1739" s="86" t="n"/>
      <c r="E1739" s="103">
        <f>IF(OR($B1739="",$D1739=""),"",IF(COUNTIF(THAM_SO_CC!$F$10:$F$40,$D1739)&gt;0,"Lễ",IF(IF(THAM_SO_CC!$B$12="T7+CN",WEEKDAY($D1739,2)&gt;=6,WEEKDAY($D1739,2)=7),"Nghỉ tuần","Ngày thường")))</f>
        <v/>
      </c>
      <c r="F1739" s="107" t="n"/>
      <c r="G1739" s="107" t="n"/>
      <c r="H1739" s="107" t="n"/>
      <c r="I1739" s="81" t="n"/>
      <c r="J1739" s="108">
        <f>IF($B1739="","",IF($E1739="Ngày thường",N($G1739),0))</f>
        <v/>
      </c>
      <c r="K1739" s="108">
        <f>IF($B1739="","",IF($E1739="Nghỉ tuần",N($G1739),0))</f>
        <v/>
      </c>
      <c r="L1739" s="108">
        <f>IF($B1739="","",IF($E1739="Lễ",N($G1739),0))</f>
        <v/>
      </c>
      <c r="M1739" s="108">
        <f>IF($B1739="","",IF($E1739="Ngày thường",N($H1739),0))</f>
        <v/>
      </c>
      <c r="N1739" s="108">
        <f>IF($B1739="","",IF($E1739="Nghỉ tuần",N($H1739),0))</f>
        <v/>
      </c>
      <c r="O1739" s="108">
        <f>IF($B1739="","",IF($E1739="Lễ",N($H1739),0))</f>
        <v/>
      </c>
    </row>
    <row r="1740" ht="15" customHeight="1" s="63">
      <c r="A1740" s="85">
        <f>IF($B1740="","",ROW()-5)</f>
        <v/>
      </c>
      <c r="B1740" s="97" t="n"/>
      <c r="C1740" s="96">
        <f>IF($B1740="","",IFERROR(INDEX(DM_NHAN_SU!$C$6:$C$155,MATCH($B1740,DM_NHAN_SU!$B$6:$B$155,0)),"SAI MÃ NV"))</f>
        <v/>
      </c>
      <c r="D1740" s="86" t="n"/>
      <c r="E1740" s="103">
        <f>IF(OR($B1740="",$D1740=""),"",IF(COUNTIF(THAM_SO_CC!$F$10:$F$40,$D1740)&gt;0,"Lễ",IF(IF(THAM_SO_CC!$B$12="T7+CN",WEEKDAY($D1740,2)&gt;=6,WEEKDAY($D1740,2)=7),"Nghỉ tuần","Ngày thường")))</f>
        <v/>
      </c>
      <c r="F1740" s="107" t="n"/>
      <c r="G1740" s="107" t="n"/>
      <c r="H1740" s="107" t="n"/>
      <c r="I1740" s="81" t="n"/>
      <c r="J1740" s="108">
        <f>IF($B1740="","",IF($E1740="Ngày thường",N($G1740),0))</f>
        <v/>
      </c>
      <c r="K1740" s="108">
        <f>IF($B1740="","",IF($E1740="Nghỉ tuần",N($G1740),0))</f>
        <v/>
      </c>
      <c r="L1740" s="108">
        <f>IF($B1740="","",IF($E1740="Lễ",N($G1740),0))</f>
        <v/>
      </c>
      <c r="M1740" s="108">
        <f>IF($B1740="","",IF($E1740="Ngày thường",N($H1740),0))</f>
        <v/>
      </c>
      <c r="N1740" s="108">
        <f>IF($B1740="","",IF($E1740="Nghỉ tuần",N($H1740),0))</f>
        <v/>
      </c>
      <c r="O1740" s="108">
        <f>IF($B1740="","",IF($E1740="Lễ",N($H1740),0))</f>
        <v/>
      </c>
    </row>
    <row r="1741" ht="15" customHeight="1" s="63">
      <c r="A1741" s="85">
        <f>IF($B1741="","",ROW()-5)</f>
        <v/>
      </c>
      <c r="B1741" s="97" t="n"/>
      <c r="C1741" s="96">
        <f>IF($B1741="","",IFERROR(INDEX(DM_NHAN_SU!$C$6:$C$155,MATCH($B1741,DM_NHAN_SU!$B$6:$B$155,0)),"SAI MÃ NV"))</f>
        <v/>
      </c>
      <c r="D1741" s="86" t="n"/>
      <c r="E1741" s="103">
        <f>IF(OR($B1741="",$D1741=""),"",IF(COUNTIF(THAM_SO_CC!$F$10:$F$40,$D1741)&gt;0,"Lễ",IF(IF(THAM_SO_CC!$B$12="T7+CN",WEEKDAY($D1741,2)&gt;=6,WEEKDAY($D1741,2)=7),"Nghỉ tuần","Ngày thường")))</f>
        <v/>
      </c>
      <c r="F1741" s="107" t="n"/>
      <c r="G1741" s="107" t="n"/>
      <c r="H1741" s="107" t="n"/>
      <c r="I1741" s="81" t="n"/>
      <c r="J1741" s="108">
        <f>IF($B1741="","",IF($E1741="Ngày thường",N($G1741),0))</f>
        <v/>
      </c>
      <c r="K1741" s="108">
        <f>IF($B1741="","",IF($E1741="Nghỉ tuần",N($G1741),0))</f>
        <v/>
      </c>
      <c r="L1741" s="108">
        <f>IF($B1741="","",IF($E1741="Lễ",N($G1741),0))</f>
        <v/>
      </c>
      <c r="M1741" s="108">
        <f>IF($B1741="","",IF($E1741="Ngày thường",N($H1741),0))</f>
        <v/>
      </c>
      <c r="N1741" s="108">
        <f>IF($B1741="","",IF($E1741="Nghỉ tuần",N($H1741),0))</f>
        <v/>
      </c>
      <c r="O1741" s="108">
        <f>IF($B1741="","",IF($E1741="Lễ",N($H1741),0))</f>
        <v/>
      </c>
    </row>
    <row r="1742" ht="15" customHeight="1" s="63">
      <c r="A1742" s="85">
        <f>IF($B1742="","",ROW()-5)</f>
        <v/>
      </c>
      <c r="B1742" s="97" t="n"/>
      <c r="C1742" s="96">
        <f>IF($B1742="","",IFERROR(INDEX(DM_NHAN_SU!$C$6:$C$155,MATCH($B1742,DM_NHAN_SU!$B$6:$B$155,0)),"SAI MÃ NV"))</f>
        <v/>
      </c>
      <c r="D1742" s="86" t="n"/>
      <c r="E1742" s="103">
        <f>IF(OR($B1742="",$D1742=""),"",IF(COUNTIF(THAM_SO_CC!$F$10:$F$40,$D1742)&gt;0,"Lễ",IF(IF(THAM_SO_CC!$B$12="T7+CN",WEEKDAY($D1742,2)&gt;=6,WEEKDAY($D1742,2)=7),"Nghỉ tuần","Ngày thường")))</f>
        <v/>
      </c>
      <c r="F1742" s="107" t="n"/>
      <c r="G1742" s="107" t="n"/>
      <c r="H1742" s="107" t="n"/>
      <c r="I1742" s="81" t="n"/>
      <c r="J1742" s="108">
        <f>IF($B1742="","",IF($E1742="Ngày thường",N($G1742),0))</f>
        <v/>
      </c>
      <c r="K1742" s="108">
        <f>IF($B1742="","",IF($E1742="Nghỉ tuần",N($G1742),0))</f>
        <v/>
      </c>
      <c r="L1742" s="108">
        <f>IF($B1742="","",IF($E1742="Lễ",N($G1742),0))</f>
        <v/>
      </c>
      <c r="M1742" s="108">
        <f>IF($B1742="","",IF($E1742="Ngày thường",N($H1742),0))</f>
        <v/>
      </c>
      <c r="N1742" s="108">
        <f>IF($B1742="","",IF($E1742="Nghỉ tuần",N($H1742),0))</f>
        <v/>
      </c>
      <c r="O1742" s="108">
        <f>IF($B1742="","",IF($E1742="Lễ",N($H1742),0))</f>
        <v/>
      </c>
    </row>
    <row r="1743" ht="15" customHeight="1" s="63">
      <c r="A1743" s="85">
        <f>IF($B1743="","",ROW()-5)</f>
        <v/>
      </c>
      <c r="B1743" s="97" t="n"/>
      <c r="C1743" s="96">
        <f>IF($B1743="","",IFERROR(INDEX(DM_NHAN_SU!$C$6:$C$155,MATCH($B1743,DM_NHAN_SU!$B$6:$B$155,0)),"SAI MÃ NV"))</f>
        <v/>
      </c>
      <c r="D1743" s="86" t="n"/>
      <c r="E1743" s="103">
        <f>IF(OR($B1743="",$D1743=""),"",IF(COUNTIF(THAM_SO_CC!$F$10:$F$40,$D1743)&gt;0,"Lễ",IF(IF(THAM_SO_CC!$B$12="T7+CN",WEEKDAY($D1743,2)&gt;=6,WEEKDAY($D1743,2)=7),"Nghỉ tuần","Ngày thường")))</f>
        <v/>
      </c>
      <c r="F1743" s="107" t="n"/>
      <c r="G1743" s="107" t="n"/>
      <c r="H1743" s="107" t="n"/>
      <c r="I1743" s="81" t="n"/>
      <c r="J1743" s="108">
        <f>IF($B1743="","",IF($E1743="Ngày thường",N($G1743),0))</f>
        <v/>
      </c>
      <c r="K1743" s="108">
        <f>IF($B1743="","",IF($E1743="Nghỉ tuần",N($G1743),0))</f>
        <v/>
      </c>
      <c r="L1743" s="108">
        <f>IF($B1743="","",IF($E1743="Lễ",N($G1743),0))</f>
        <v/>
      </c>
      <c r="M1743" s="108">
        <f>IF($B1743="","",IF($E1743="Ngày thường",N($H1743),0))</f>
        <v/>
      </c>
      <c r="N1743" s="108">
        <f>IF($B1743="","",IF($E1743="Nghỉ tuần",N($H1743),0))</f>
        <v/>
      </c>
      <c r="O1743" s="108">
        <f>IF($B1743="","",IF($E1743="Lễ",N($H1743),0))</f>
        <v/>
      </c>
    </row>
    <row r="1744" ht="15" customHeight="1" s="63">
      <c r="A1744" s="85">
        <f>IF($B1744="","",ROW()-5)</f>
        <v/>
      </c>
      <c r="B1744" s="97" t="n"/>
      <c r="C1744" s="96">
        <f>IF($B1744="","",IFERROR(INDEX(DM_NHAN_SU!$C$6:$C$155,MATCH($B1744,DM_NHAN_SU!$B$6:$B$155,0)),"SAI MÃ NV"))</f>
        <v/>
      </c>
      <c r="D1744" s="86" t="n"/>
      <c r="E1744" s="103">
        <f>IF(OR($B1744="",$D1744=""),"",IF(COUNTIF(THAM_SO_CC!$F$10:$F$40,$D1744)&gt;0,"Lễ",IF(IF(THAM_SO_CC!$B$12="T7+CN",WEEKDAY($D1744,2)&gt;=6,WEEKDAY($D1744,2)=7),"Nghỉ tuần","Ngày thường")))</f>
        <v/>
      </c>
      <c r="F1744" s="107" t="n"/>
      <c r="G1744" s="107" t="n"/>
      <c r="H1744" s="107" t="n"/>
      <c r="I1744" s="81" t="n"/>
      <c r="J1744" s="108">
        <f>IF($B1744="","",IF($E1744="Ngày thường",N($G1744),0))</f>
        <v/>
      </c>
      <c r="K1744" s="108">
        <f>IF($B1744="","",IF($E1744="Nghỉ tuần",N($G1744),0))</f>
        <v/>
      </c>
      <c r="L1744" s="108">
        <f>IF($B1744="","",IF($E1744="Lễ",N($G1744),0))</f>
        <v/>
      </c>
      <c r="M1744" s="108">
        <f>IF($B1744="","",IF($E1744="Ngày thường",N($H1744),0))</f>
        <v/>
      </c>
      <c r="N1744" s="108">
        <f>IF($B1744="","",IF($E1744="Nghỉ tuần",N($H1744),0))</f>
        <v/>
      </c>
      <c r="O1744" s="108">
        <f>IF($B1744="","",IF($E1744="Lễ",N($H1744),0))</f>
        <v/>
      </c>
    </row>
    <row r="1745" ht="15" customHeight="1" s="63">
      <c r="A1745" s="85">
        <f>IF($B1745="","",ROW()-5)</f>
        <v/>
      </c>
      <c r="B1745" s="97" t="n"/>
      <c r="C1745" s="96">
        <f>IF($B1745="","",IFERROR(INDEX(DM_NHAN_SU!$C$6:$C$155,MATCH($B1745,DM_NHAN_SU!$B$6:$B$155,0)),"SAI MÃ NV"))</f>
        <v/>
      </c>
      <c r="D1745" s="86" t="n"/>
      <c r="E1745" s="103">
        <f>IF(OR($B1745="",$D1745=""),"",IF(COUNTIF(THAM_SO_CC!$F$10:$F$40,$D1745)&gt;0,"Lễ",IF(IF(THAM_SO_CC!$B$12="T7+CN",WEEKDAY($D1745,2)&gt;=6,WEEKDAY($D1745,2)=7),"Nghỉ tuần","Ngày thường")))</f>
        <v/>
      </c>
      <c r="F1745" s="107" t="n"/>
      <c r="G1745" s="107" t="n"/>
      <c r="H1745" s="107" t="n"/>
      <c r="I1745" s="81" t="n"/>
      <c r="J1745" s="108">
        <f>IF($B1745="","",IF($E1745="Ngày thường",N($G1745),0))</f>
        <v/>
      </c>
      <c r="K1745" s="108">
        <f>IF($B1745="","",IF($E1745="Nghỉ tuần",N($G1745),0))</f>
        <v/>
      </c>
      <c r="L1745" s="108">
        <f>IF($B1745="","",IF($E1745="Lễ",N($G1745),0))</f>
        <v/>
      </c>
      <c r="M1745" s="108">
        <f>IF($B1745="","",IF($E1745="Ngày thường",N($H1745),0))</f>
        <v/>
      </c>
      <c r="N1745" s="108">
        <f>IF($B1745="","",IF($E1745="Nghỉ tuần",N($H1745),0))</f>
        <v/>
      </c>
      <c r="O1745" s="108">
        <f>IF($B1745="","",IF($E1745="Lễ",N($H1745),0))</f>
        <v/>
      </c>
    </row>
    <row r="1746" ht="15" customHeight="1" s="63">
      <c r="A1746" s="85">
        <f>IF($B1746="","",ROW()-5)</f>
        <v/>
      </c>
      <c r="B1746" s="97" t="n"/>
      <c r="C1746" s="96">
        <f>IF($B1746="","",IFERROR(INDEX(DM_NHAN_SU!$C$6:$C$155,MATCH($B1746,DM_NHAN_SU!$B$6:$B$155,0)),"SAI MÃ NV"))</f>
        <v/>
      </c>
      <c r="D1746" s="86" t="n"/>
      <c r="E1746" s="103">
        <f>IF(OR($B1746="",$D1746=""),"",IF(COUNTIF(THAM_SO_CC!$F$10:$F$40,$D1746)&gt;0,"Lễ",IF(IF(THAM_SO_CC!$B$12="T7+CN",WEEKDAY($D1746,2)&gt;=6,WEEKDAY($D1746,2)=7),"Nghỉ tuần","Ngày thường")))</f>
        <v/>
      </c>
      <c r="F1746" s="107" t="n"/>
      <c r="G1746" s="107" t="n"/>
      <c r="H1746" s="107" t="n"/>
      <c r="I1746" s="81" t="n"/>
      <c r="J1746" s="108">
        <f>IF($B1746="","",IF($E1746="Ngày thường",N($G1746),0))</f>
        <v/>
      </c>
      <c r="K1746" s="108">
        <f>IF($B1746="","",IF($E1746="Nghỉ tuần",N($G1746),0))</f>
        <v/>
      </c>
      <c r="L1746" s="108">
        <f>IF($B1746="","",IF($E1746="Lễ",N($G1746),0))</f>
        <v/>
      </c>
      <c r="M1746" s="108">
        <f>IF($B1746="","",IF($E1746="Ngày thường",N($H1746),0))</f>
        <v/>
      </c>
      <c r="N1746" s="108">
        <f>IF($B1746="","",IF($E1746="Nghỉ tuần",N($H1746),0))</f>
        <v/>
      </c>
      <c r="O1746" s="108">
        <f>IF($B1746="","",IF($E1746="Lễ",N($H1746),0))</f>
        <v/>
      </c>
    </row>
    <row r="1747" ht="15" customHeight="1" s="63">
      <c r="A1747" s="85">
        <f>IF($B1747="","",ROW()-5)</f>
        <v/>
      </c>
      <c r="B1747" s="97" t="n"/>
      <c r="C1747" s="96">
        <f>IF($B1747="","",IFERROR(INDEX(DM_NHAN_SU!$C$6:$C$155,MATCH($B1747,DM_NHAN_SU!$B$6:$B$155,0)),"SAI MÃ NV"))</f>
        <v/>
      </c>
      <c r="D1747" s="86" t="n"/>
      <c r="E1747" s="103">
        <f>IF(OR($B1747="",$D1747=""),"",IF(COUNTIF(THAM_SO_CC!$F$10:$F$40,$D1747)&gt;0,"Lễ",IF(IF(THAM_SO_CC!$B$12="T7+CN",WEEKDAY($D1747,2)&gt;=6,WEEKDAY($D1747,2)=7),"Nghỉ tuần","Ngày thường")))</f>
        <v/>
      </c>
      <c r="F1747" s="107" t="n"/>
      <c r="G1747" s="107" t="n"/>
      <c r="H1747" s="107" t="n"/>
      <c r="I1747" s="81" t="n"/>
      <c r="J1747" s="108">
        <f>IF($B1747="","",IF($E1747="Ngày thường",N($G1747),0))</f>
        <v/>
      </c>
      <c r="K1747" s="108">
        <f>IF($B1747="","",IF($E1747="Nghỉ tuần",N($G1747),0))</f>
        <v/>
      </c>
      <c r="L1747" s="108">
        <f>IF($B1747="","",IF($E1747="Lễ",N($G1747),0))</f>
        <v/>
      </c>
      <c r="M1747" s="108">
        <f>IF($B1747="","",IF($E1747="Ngày thường",N($H1747),0))</f>
        <v/>
      </c>
      <c r="N1747" s="108">
        <f>IF($B1747="","",IF($E1747="Nghỉ tuần",N($H1747),0))</f>
        <v/>
      </c>
      <c r="O1747" s="108">
        <f>IF($B1747="","",IF($E1747="Lễ",N($H1747),0))</f>
        <v/>
      </c>
    </row>
    <row r="1748" ht="15" customHeight="1" s="63">
      <c r="A1748" s="85">
        <f>IF($B1748="","",ROW()-5)</f>
        <v/>
      </c>
      <c r="B1748" s="97" t="n"/>
      <c r="C1748" s="96">
        <f>IF($B1748="","",IFERROR(INDEX(DM_NHAN_SU!$C$6:$C$155,MATCH($B1748,DM_NHAN_SU!$B$6:$B$155,0)),"SAI MÃ NV"))</f>
        <v/>
      </c>
      <c r="D1748" s="86" t="n"/>
      <c r="E1748" s="103">
        <f>IF(OR($B1748="",$D1748=""),"",IF(COUNTIF(THAM_SO_CC!$F$10:$F$40,$D1748)&gt;0,"Lễ",IF(IF(THAM_SO_CC!$B$12="T7+CN",WEEKDAY($D1748,2)&gt;=6,WEEKDAY($D1748,2)=7),"Nghỉ tuần","Ngày thường")))</f>
        <v/>
      </c>
      <c r="F1748" s="107" t="n"/>
      <c r="G1748" s="107" t="n"/>
      <c r="H1748" s="107" t="n"/>
      <c r="I1748" s="81" t="n"/>
      <c r="J1748" s="108">
        <f>IF($B1748="","",IF($E1748="Ngày thường",N($G1748),0))</f>
        <v/>
      </c>
      <c r="K1748" s="108">
        <f>IF($B1748="","",IF($E1748="Nghỉ tuần",N($G1748),0))</f>
        <v/>
      </c>
      <c r="L1748" s="108">
        <f>IF($B1748="","",IF($E1748="Lễ",N($G1748),0))</f>
        <v/>
      </c>
      <c r="M1748" s="108">
        <f>IF($B1748="","",IF($E1748="Ngày thường",N($H1748),0))</f>
        <v/>
      </c>
      <c r="N1748" s="108">
        <f>IF($B1748="","",IF($E1748="Nghỉ tuần",N($H1748),0))</f>
        <v/>
      </c>
      <c r="O1748" s="108">
        <f>IF($B1748="","",IF($E1748="Lễ",N($H1748),0))</f>
        <v/>
      </c>
    </row>
    <row r="1749" ht="15" customHeight="1" s="63">
      <c r="A1749" s="85">
        <f>IF($B1749="","",ROW()-5)</f>
        <v/>
      </c>
      <c r="B1749" s="97" t="n"/>
      <c r="C1749" s="96">
        <f>IF($B1749="","",IFERROR(INDEX(DM_NHAN_SU!$C$6:$C$155,MATCH($B1749,DM_NHAN_SU!$B$6:$B$155,0)),"SAI MÃ NV"))</f>
        <v/>
      </c>
      <c r="D1749" s="86" t="n"/>
      <c r="E1749" s="103">
        <f>IF(OR($B1749="",$D1749=""),"",IF(COUNTIF(THAM_SO_CC!$F$10:$F$40,$D1749)&gt;0,"Lễ",IF(IF(THAM_SO_CC!$B$12="T7+CN",WEEKDAY($D1749,2)&gt;=6,WEEKDAY($D1749,2)=7),"Nghỉ tuần","Ngày thường")))</f>
        <v/>
      </c>
      <c r="F1749" s="107" t="n"/>
      <c r="G1749" s="107" t="n"/>
      <c r="H1749" s="107" t="n"/>
      <c r="I1749" s="81" t="n"/>
      <c r="J1749" s="108">
        <f>IF($B1749="","",IF($E1749="Ngày thường",N($G1749),0))</f>
        <v/>
      </c>
      <c r="K1749" s="108">
        <f>IF($B1749="","",IF($E1749="Nghỉ tuần",N($G1749),0))</f>
        <v/>
      </c>
      <c r="L1749" s="108">
        <f>IF($B1749="","",IF($E1749="Lễ",N($G1749),0))</f>
        <v/>
      </c>
      <c r="M1749" s="108">
        <f>IF($B1749="","",IF($E1749="Ngày thường",N($H1749),0))</f>
        <v/>
      </c>
      <c r="N1749" s="108">
        <f>IF($B1749="","",IF($E1749="Nghỉ tuần",N($H1749),0))</f>
        <v/>
      </c>
      <c r="O1749" s="108">
        <f>IF($B1749="","",IF($E1749="Lễ",N($H1749),0))</f>
        <v/>
      </c>
    </row>
    <row r="1750" ht="15" customHeight="1" s="63">
      <c r="A1750" s="85">
        <f>IF($B1750="","",ROW()-5)</f>
        <v/>
      </c>
      <c r="B1750" s="97" t="n"/>
      <c r="C1750" s="96">
        <f>IF($B1750="","",IFERROR(INDEX(DM_NHAN_SU!$C$6:$C$155,MATCH($B1750,DM_NHAN_SU!$B$6:$B$155,0)),"SAI MÃ NV"))</f>
        <v/>
      </c>
      <c r="D1750" s="86" t="n"/>
      <c r="E1750" s="103">
        <f>IF(OR($B1750="",$D1750=""),"",IF(COUNTIF(THAM_SO_CC!$F$10:$F$40,$D1750)&gt;0,"Lễ",IF(IF(THAM_SO_CC!$B$12="T7+CN",WEEKDAY($D1750,2)&gt;=6,WEEKDAY($D1750,2)=7),"Nghỉ tuần","Ngày thường")))</f>
        <v/>
      </c>
      <c r="F1750" s="107" t="n"/>
      <c r="G1750" s="107" t="n"/>
      <c r="H1750" s="107" t="n"/>
      <c r="I1750" s="81" t="n"/>
      <c r="J1750" s="108">
        <f>IF($B1750="","",IF($E1750="Ngày thường",N($G1750),0))</f>
        <v/>
      </c>
      <c r="K1750" s="108">
        <f>IF($B1750="","",IF($E1750="Nghỉ tuần",N($G1750),0))</f>
        <v/>
      </c>
      <c r="L1750" s="108">
        <f>IF($B1750="","",IF($E1750="Lễ",N($G1750),0))</f>
        <v/>
      </c>
      <c r="M1750" s="108">
        <f>IF($B1750="","",IF($E1750="Ngày thường",N($H1750),0))</f>
        <v/>
      </c>
      <c r="N1750" s="108">
        <f>IF($B1750="","",IF($E1750="Nghỉ tuần",N($H1750),0))</f>
        <v/>
      </c>
      <c r="O1750" s="108">
        <f>IF($B1750="","",IF($E1750="Lễ",N($H1750),0))</f>
        <v/>
      </c>
    </row>
    <row r="1751" ht="15" customHeight="1" s="63">
      <c r="A1751" s="85">
        <f>IF($B1751="","",ROW()-5)</f>
        <v/>
      </c>
      <c r="B1751" s="97" t="n"/>
      <c r="C1751" s="96">
        <f>IF($B1751="","",IFERROR(INDEX(DM_NHAN_SU!$C$6:$C$155,MATCH($B1751,DM_NHAN_SU!$B$6:$B$155,0)),"SAI MÃ NV"))</f>
        <v/>
      </c>
      <c r="D1751" s="86" t="n"/>
      <c r="E1751" s="103">
        <f>IF(OR($B1751="",$D1751=""),"",IF(COUNTIF(THAM_SO_CC!$F$10:$F$40,$D1751)&gt;0,"Lễ",IF(IF(THAM_SO_CC!$B$12="T7+CN",WEEKDAY($D1751,2)&gt;=6,WEEKDAY($D1751,2)=7),"Nghỉ tuần","Ngày thường")))</f>
        <v/>
      </c>
      <c r="F1751" s="107" t="n"/>
      <c r="G1751" s="107" t="n"/>
      <c r="H1751" s="107" t="n"/>
      <c r="I1751" s="81" t="n"/>
      <c r="J1751" s="108">
        <f>IF($B1751="","",IF($E1751="Ngày thường",N($G1751),0))</f>
        <v/>
      </c>
      <c r="K1751" s="108">
        <f>IF($B1751="","",IF($E1751="Nghỉ tuần",N($G1751),0))</f>
        <v/>
      </c>
      <c r="L1751" s="108">
        <f>IF($B1751="","",IF($E1751="Lễ",N($G1751),0))</f>
        <v/>
      </c>
      <c r="M1751" s="108">
        <f>IF($B1751="","",IF($E1751="Ngày thường",N($H1751),0))</f>
        <v/>
      </c>
      <c r="N1751" s="108">
        <f>IF($B1751="","",IF($E1751="Nghỉ tuần",N($H1751),0))</f>
        <v/>
      </c>
      <c r="O1751" s="108">
        <f>IF($B1751="","",IF($E1751="Lễ",N($H1751),0))</f>
        <v/>
      </c>
    </row>
    <row r="1752" ht="15" customHeight="1" s="63">
      <c r="A1752" s="85">
        <f>IF($B1752="","",ROW()-5)</f>
        <v/>
      </c>
      <c r="B1752" s="97" t="n"/>
      <c r="C1752" s="96">
        <f>IF($B1752="","",IFERROR(INDEX(DM_NHAN_SU!$C$6:$C$155,MATCH($B1752,DM_NHAN_SU!$B$6:$B$155,0)),"SAI MÃ NV"))</f>
        <v/>
      </c>
      <c r="D1752" s="86" t="n"/>
      <c r="E1752" s="103">
        <f>IF(OR($B1752="",$D1752=""),"",IF(COUNTIF(THAM_SO_CC!$F$10:$F$40,$D1752)&gt;0,"Lễ",IF(IF(THAM_SO_CC!$B$12="T7+CN",WEEKDAY($D1752,2)&gt;=6,WEEKDAY($D1752,2)=7),"Nghỉ tuần","Ngày thường")))</f>
        <v/>
      </c>
      <c r="F1752" s="107" t="n"/>
      <c r="G1752" s="107" t="n"/>
      <c r="H1752" s="107" t="n"/>
      <c r="I1752" s="81" t="n"/>
      <c r="J1752" s="108">
        <f>IF($B1752="","",IF($E1752="Ngày thường",N($G1752),0))</f>
        <v/>
      </c>
      <c r="K1752" s="108">
        <f>IF($B1752="","",IF($E1752="Nghỉ tuần",N($G1752),0))</f>
        <v/>
      </c>
      <c r="L1752" s="108">
        <f>IF($B1752="","",IF($E1752="Lễ",N($G1752),0))</f>
        <v/>
      </c>
      <c r="M1752" s="108">
        <f>IF($B1752="","",IF($E1752="Ngày thường",N($H1752),0))</f>
        <v/>
      </c>
      <c r="N1752" s="108">
        <f>IF($B1752="","",IF($E1752="Nghỉ tuần",N($H1752),0))</f>
        <v/>
      </c>
      <c r="O1752" s="108">
        <f>IF($B1752="","",IF($E1752="Lễ",N($H1752),0))</f>
        <v/>
      </c>
    </row>
    <row r="1753" ht="15" customHeight="1" s="63">
      <c r="A1753" s="85">
        <f>IF($B1753="","",ROW()-5)</f>
        <v/>
      </c>
      <c r="B1753" s="97" t="n"/>
      <c r="C1753" s="96">
        <f>IF($B1753="","",IFERROR(INDEX(DM_NHAN_SU!$C$6:$C$155,MATCH($B1753,DM_NHAN_SU!$B$6:$B$155,0)),"SAI MÃ NV"))</f>
        <v/>
      </c>
      <c r="D1753" s="86" t="n"/>
      <c r="E1753" s="103">
        <f>IF(OR($B1753="",$D1753=""),"",IF(COUNTIF(THAM_SO_CC!$F$10:$F$40,$D1753)&gt;0,"Lễ",IF(IF(THAM_SO_CC!$B$12="T7+CN",WEEKDAY($D1753,2)&gt;=6,WEEKDAY($D1753,2)=7),"Nghỉ tuần","Ngày thường")))</f>
        <v/>
      </c>
      <c r="F1753" s="107" t="n"/>
      <c r="G1753" s="107" t="n"/>
      <c r="H1753" s="107" t="n"/>
      <c r="I1753" s="81" t="n"/>
      <c r="J1753" s="108">
        <f>IF($B1753="","",IF($E1753="Ngày thường",N($G1753),0))</f>
        <v/>
      </c>
      <c r="K1753" s="108">
        <f>IF($B1753="","",IF($E1753="Nghỉ tuần",N($G1753),0))</f>
        <v/>
      </c>
      <c r="L1753" s="108">
        <f>IF($B1753="","",IF($E1753="Lễ",N($G1753),0))</f>
        <v/>
      </c>
      <c r="M1753" s="108">
        <f>IF($B1753="","",IF($E1753="Ngày thường",N($H1753),0))</f>
        <v/>
      </c>
      <c r="N1753" s="108">
        <f>IF($B1753="","",IF($E1753="Nghỉ tuần",N($H1753),0))</f>
        <v/>
      </c>
      <c r="O1753" s="108">
        <f>IF($B1753="","",IF($E1753="Lễ",N($H1753),0))</f>
        <v/>
      </c>
    </row>
    <row r="1754" ht="15" customHeight="1" s="63">
      <c r="A1754" s="85">
        <f>IF($B1754="","",ROW()-5)</f>
        <v/>
      </c>
      <c r="B1754" s="97" t="n"/>
      <c r="C1754" s="96">
        <f>IF($B1754="","",IFERROR(INDEX(DM_NHAN_SU!$C$6:$C$155,MATCH($B1754,DM_NHAN_SU!$B$6:$B$155,0)),"SAI MÃ NV"))</f>
        <v/>
      </c>
      <c r="D1754" s="86" t="n"/>
      <c r="E1754" s="103">
        <f>IF(OR($B1754="",$D1754=""),"",IF(COUNTIF(THAM_SO_CC!$F$10:$F$40,$D1754)&gt;0,"Lễ",IF(IF(THAM_SO_CC!$B$12="T7+CN",WEEKDAY($D1754,2)&gt;=6,WEEKDAY($D1754,2)=7),"Nghỉ tuần","Ngày thường")))</f>
        <v/>
      </c>
      <c r="F1754" s="107" t="n"/>
      <c r="G1754" s="107" t="n"/>
      <c r="H1754" s="107" t="n"/>
      <c r="I1754" s="81" t="n"/>
      <c r="J1754" s="108">
        <f>IF($B1754="","",IF($E1754="Ngày thường",N($G1754),0))</f>
        <v/>
      </c>
      <c r="K1754" s="108">
        <f>IF($B1754="","",IF($E1754="Nghỉ tuần",N($G1754),0))</f>
        <v/>
      </c>
      <c r="L1754" s="108">
        <f>IF($B1754="","",IF($E1754="Lễ",N($G1754),0))</f>
        <v/>
      </c>
      <c r="M1754" s="108">
        <f>IF($B1754="","",IF($E1754="Ngày thường",N($H1754),0))</f>
        <v/>
      </c>
      <c r="N1754" s="108">
        <f>IF($B1754="","",IF($E1754="Nghỉ tuần",N($H1754),0))</f>
        <v/>
      </c>
      <c r="O1754" s="108">
        <f>IF($B1754="","",IF($E1754="Lễ",N($H1754),0))</f>
        <v/>
      </c>
    </row>
    <row r="1755" ht="15" customHeight="1" s="63">
      <c r="A1755" s="85">
        <f>IF($B1755="","",ROW()-5)</f>
        <v/>
      </c>
      <c r="B1755" s="97" t="n"/>
      <c r="C1755" s="96">
        <f>IF($B1755="","",IFERROR(INDEX(DM_NHAN_SU!$C$6:$C$155,MATCH($B1755,DM_NHAN_SU!$B$6:$B$155,0)),"SAI MÃ NV"))</f>
        <v/>
      </c>
      <c r="D1755" s="86" t="n"/>
      <c r="E1755" s="103">
        <f>IF(OR($B1755="",$D1755=""),"",IF(COUNTIF(THAM_SO_CC!$F$10:$F$40,$D1755)&gt;0,"Lễ",IF(IF(THAM_SO_CC!$B$12="T7+CN",WEEKDAY($D1755,2)&gt;=6,WEEKDAY($D1755,2)=7),"Nghỉ tuần","Ngày thường")))</f>
        <v/>
      </c>
      <c r="F1755" s="107" t="n"/>
      <c r="G1755" s="107" t="n"/>
      <c r="H1755" s="107" t="n"/>
      <c r="I1755" s="81" t="n"/>
      <c r="J1755" s="108">
        <f>IF($B1755="","",IF($E1755="Ngày thường",N($G1755),0))</f>
        <v/>
      </c>
      <c r="K1755" s="108">
        <f>IF($B1755="","",IF($E1755="Nghỉ tuần",N($G1755),0))</f>
        <v/>
      </c>
      <c r="L1755" s="108">
        <f>IF($B1755="","",IF($E1755="Lễ",N($G1755),0))</f>
        <v/>
      </c>
      <c r="M1755" s="108">
        <f>IF($B1755="","",IF($E1755="Ngày thường",N($H1755),0))</f>
        <v/>
      </c>
      <c r="N1755" s="108">
        <f>IF($B1755="","",IF($E1755="Nghỉ tuần",N($H1755),0))</f>
        <v/>
      </c>
      <c r="O1755" s="108">
        <f>IF($B1755="","",IF($E1755="Lễ",N($H1755),0))</f>
        <v/>
      </c>
    </row>
    <row r="1756" ht="15" customHeight="1" s="63">
      <c r="A1756" s="85">
        <f>IF($B1756="","",ROW()-5)</f>
        <v/>
      </c>
      <c r="B1756" s="97" t="n"/>
      <c r="C1756" s="96">
        <f>IF($B1756="","",IFERROR(INDEX(DM_NHAN_SU!$C$6:$C$155,MATCH($B1756,DM_NHAN_SU!$B$6:$B$155,0)),"SAI MÃ NV"))</f>
        <v/>
      </c>
      <c r="D1756" s="86" t="n"/>
      <c r="E1756" s="103">
        <f>IF(OR($B1756="",$D1756=""),"",IF(COUNTIF(THAM_SO_CC!$F$10:$F$40,$D1756)&gt;0,"Lễ",IF(IF(THAM_SO_CC!$B$12="T7+CN",WEEKDAY($D1756,2)&gt;=6,WEEKDAY($D1756,2)=7),"Nghỉ tuần","Ngày thường")))</f>
        <v/>
      </c>
      <c r="F1756" s="107" t="n"/>
      <c r="G1756" s="107" t="n"/>
      <c r="H1756" s="107" t="n"/>
      <c r="I1756" s="81" t="n"/>
      <c r="J1756" s="108">
        <f>IF($B1756="","",IF($E1756="Ngày thường",N($G1756),0))</f>
        <v/>
      </c>
      <c r="K1756" s="108">
        <f>IF($B1756="","",IF($E1756="Nghỉ tuần",N($G1756),0))</f>
        <v/>
      </c>
      <c r="L1756" s="108">
        <f>IF($B1756="","",IF($E1756="Lễ",N($G1756),0))</f>
        <v/>
      </c>
      <c r="M1756" s="108">
        <f>IF($B1756="","",IF($E1756="Ngày thường",N($H1756),0))</f>
        <v/>
      </c>
      <c r="N1756" s="108">
        <f>IF($B1756="","",IF($E1756="Nghỉ tuần",N($H1756),0))</f>
        <v/>
      </c>
      <c r="O1756" s="108">
        <f>IF($B1756="","",IF($E1756="Lễ",N($H1756),0))</f>
        <v/>
      </c>
    </row>
    <row r="1757" ht="15" customHeight="1" s="63">
      <c r="A1757" s="85">
        <f>IF($B1757="","",ROW()-5)</f>
        <v/>
      </c>
      <c r="B1757" s="97" t="n"/>
      <c r="C1757" s="96">
        <f>IF($B1757="","",IFERROR(INDEX(DM_NHAN_SU!$C$6:$C$155,MATCH($B1757,DM_NHAN_SU!$B$6:$B$155,0)),"SAI MÃ NV"))</f>
        <v/>
      </c>
      <c r="D1757" s="86" t="n"/>
      <c r="E1757" s="103">
        <f>IF(OR($B1757="",$D1757=""),"",IF(COUNTIF(THAM_SO_CC!$F$10:$F$40,$D1757)&gt;0,"Lễ",IF(IF(THAM_SO_CC!$B$12="T7+CN",WEEKDAY($D1757,2)&gt;=6,WEEKDAY($D1757,2)=7),"Nghỉ tuần","Ngày thường")))</f>
        <v/>
      </c>
      <c r="F1757" s="107" t="n"/>
      <c r="G1757" s="107" t="n"/>
      <c r="H1757" s="107" t="n"/>
      <c r="I1757" s="81" t="n"/>
      <c r="J1757" s="108">
        <f>IF($B1757="","",IF($E1757="Ngày thường",N($G1757),0))</f>
        <v/>
      </c>
      <c r="K1757" s="108">
        <f>IF($B1757="","",IF($E1757="Nghỉ tuần",N($G1757),0))</f>
        <v/>
      </c>
      <c r="L1757" s="108">
        <f>IF($B1757="","",IF($E1757="Lễ",N($G1757),0))</f>
        <v/>
      </c>
      <c r="M1757" s="108">
        <f>IF($B1757="","",IF($E1757="Ngày thường",N($H1757),0))</f>
        <v/>
      </c>
      <c r="N1757" s="108">
        <f>IF($B1757="","",IF($E1757="Nghỉ tuần",N($H1757),0))</f>
        <v/>
      </c>
      <c r="O1757" s="108">
        <f>IF($B1757="","",IF($E1757="Lễ",N($H1757),0))</f>
        <v/>
      </c>
    </row>
    <row r="1758" ht="15" customHeight="1" s="63">
      <c r="A1758" s="85">
        <f>IF($B1758="","",ROW()-5)</f>
        <v/>
      </c>
      <c r="B1758" s="97" t="n"/>
      <c r="C1758" s="96">
        <f>IF($B1758="","",IFERROR(INDEX(DM_NHAN_SU!$C$6:$C$155,MATCH($B1758,DM_NHAN_SU!$B$6:$B$155,0)),"SAI MÃ NV"))</f>
        <v/>
      </c>
      <c r="D1758" s="86" t="n"/>
      <c r="E1758" s="103">
        <f>IF(OR($B1758="",$D1758=""),"",IF(COUNTIF(THAM_SO_CC!$F$10:$F$40,$D1758)&gt;0,"Lễ",IF(IF(THAM_SO_CC!$B$12="T7+CN",WEEKDAY($D1758,2)&gt;=6,WEEKDAY($D1758,2)=7),"Nghỉ tuần","Ngày thường")))</f>
        <v/>
      </c>
      <c r="F1758" s="107" t="n"/>
      <c r="G1758" s="107" t="n"/>
      <c r="H1758" s="107" t="n"/>
      <c r="I1758" s="81" t="n"/>
      <c r="J1758" s="108">
        <f>IF($B1758="","",IF($E1758="Ngày thường",N($G1758),0))</f>
        <v/>
      </c>
      <c r="K1758" s="108">
        <f>IF($B1758="","",IF($E1758="Nghỉ tuần",N($G1758),0))</f>
        <v/>
      </c>
      <c r="L1758" s="108">
        <f>IF($B1758="","",IF($E1758="Lễ",N($G1758),0))</f>
        <v/>
      </c>
      <c r="M1758" s="108">
        <f>IF($B1758="","",IF($E1758="Ngày thường",N($H1758),0))</f>
        <v/>
      </c>
      <c r="N1758" s="108">
        <f>IF($B1758="","",IF($E1758="Nghỉ tuần",N($H1758),0))</f>
        <v/>
      </c>
      <c r="O1758" s="108">
        <f>IF($B1758="","",IF($E1758="Lễ",N($H1758),0))</f>
        <v/>
      </c>
    </row>
    <row r="1759" ht="15" customHeight="1" s="63">
      <c r="A1759" s="85">
        <f>IF($B1759="","",ROW()-5)</f>
        <v/>
      </c>
      <c r="B1759" s="97" t="n"/>
      <c r="C1759" s="96">
        <f>IF($B1759="","",IFERROR(INDEX(DM_NHAN_SU!$C$6:$C$155,MATCH($B1759,DM_NHAN_SU!$B$6:$B$155,0)),"SAI MÃ NV"))</f>
        <v/>
      </c>
      <c r="D1759" s="86" t="n"/>
      <c r="E1759" s="103">
        <f>IF(OR($B1759="",$D1759=""),"",IF(COUNTIF(THAM_SO_CC!$F$10:$F$40,$D1759)&gt;0,"Lễ",IF(IF(THAM_SO_CC!$B$12="T7+CN",WEEKDAY($D1759,2)&gt;=6,WEEKDAY($D1759,2)=7),"Nghỉ tuần","Ngày thường")))</f>
        <v/>
      </c>
      <c r="F1759" s="107" t="n"/>
      <c r="G1759" s="107" t="n"/>
      <c r="H1759" s="107" t="n"/>
      <c r="I1759" s="81" t="n"/>
      <c r="J1759" s="108">
        <f>IF($B1759="","",IF($E1759="Ngày thường",N($G1759),0))</f>
        <v/>
      </c>
      <c r="K1759" s="108">
        <f>IF($B1759="","",IF($E1759="Nghỉ tuần",N($G1759),0))</f>
        <v/>
      </c>
      <c r="L1759" s="108">
        <f>IF($B1759="","",IF($E1759="Lễ",N($G1759),0))</f>
        <v/>
      </c>
      <c r="M1759" s="108">
        <f>IF($B1759="","",IF($E1759="Ngày thường",N($H1759),0))</f>
        <v/>
      </c>
      <c r="N1759" s="108">
        <f>IF($B1759="","",IF($E1759="Nghỉ tuần",N($H1759),0))</f>
        <v/>
      </c>
      <c r="O1759" s="108">
        <f>IF($B1759="","",IF($E1759="Lễ",N($H1759),0))</f>
        <v/>
      </c>
    </row>
    <row r="1760" ht="15" customHeight="1" s="63">
      <c r="A1760" s="85">
        <f>IF($B1760="","",ROW()-5)</f>
        <v/>
      </c>
      <c r="B1760" s="97" t="n"/>
      <c r="C1760" s="96">
        <f>IF($B1760="","",IFERROR(INDEX(DM_NHAN_SU!$C$6:$C$155,MATCH($B1760,DM_NHAN_SU!$B$6:$B$155,0)),"SAI MÃ NV"))</f>
        <v/>
      </c>
      <c r="D1760" s="86" t="n"/>
      <c r="E1760" s="103">
        <f>IF(OR($B1760="",$D1760=""),"",IF(COUNTIF(THAM_SO_CC!$F$10:$F$40,$D1760)&gt;0,"Lễ",IF(IF(THAM_SO_CC!$B$12="T7+CN",WEEKDAY($D1760,2)&gt;=6,WEEKDAY($D1760,2)=7),"Nghỉ tuần","Ngày thường")))</f>
        <v/>
      </c>
      <c r="F1760" s="107" t="n"/>
      <c r="G1760" s="107" t="n"/>
      <c r="H1760" s="107" t="n"/>
      <c r="I1760" s="81" t="n"/>
      <c r="J1760" s="108">
        <f>IF($B1760="","",IF($E1760="Ngày thường",N($G1760),0))</f>
        <v/>
      </c>
      <c r="K1760" s="108">
        <f>IF($B1760="","",IF($E1760="Nghỉ tuần",N($G1760),0))</f>
        <v/>
      </c>
      <c r="L1760" s="108">
        <f>IF($B1760="","",IF($E1760="Lễ",N($G1760),0))</f>
        <v/>
      </c>
      <c r="M1760" s="108">
        <f>IF($B1760="","",IF($E1760="Ngày thường",N($H1760),0))</f>
        <v/>
      </c>
      <c r="N1760" s="108">
        <f>IF($B1760="","",IF($E1760="Nghỉ tuần",N($H1760),0))</f>
        <v/>
      </c>
      <c r="O1760" s="108">
        <f>IF($B1760="","",IF($E1760="Lễ",N($H1760),0))</f>
        <v/>
      </c>
    </row>
    <row r="1761" ht="15" customHeight="1" s="63">
      <c r="A1761" s="85">
        <f>IF($B1761="","",ROW()-5)</f>
        <v/>
      </c>
      <c r="B1761" s="97" t="n"/>
      <c r="C1761" s="96">
        <f>IF($B1761="","",IFERROR(INDEX(DM_NHAN_SU!$C$6:$C$155,MATCH($B1761,DM_NHAN_SU!$B$6:$B$155,0)),"SAI MÃ NV"))</f>
        <v/>
      </c>
      <c r="D1761" s="86" t="n"/>
      <c r="E1761" s="103">
        <f>IF(OR($B1761="",$D1761=""),"",IF(COUNTIF(THAM_SO_CC!$F$10:$F$40,$D1761)&gt;0,"Lễ",IF(IF(THAM_SO_CC!$B$12="T7+CN",WEEKDAY($D1761,2)&gt;=6,WEEKDAY($D1761,2)=7),"Nghỉ tuần","Ngày thường")))</f>
        <v/>
      </c>
      <c r="F1761" s="107" t="n"/>
      <c r="G1761" s="107" t="n"/>
      <c r="H1761" s="107" t="n"/>
      <c r="I1761" s="81" t="n"/>
      <c r="J1761" s="108">
        <f>IF($B1761="","",IF($E1761="Ngày thường",N($G1761),0))</f>
        <v/>
      </c>
      <c r="K1761" s="108">
        <f>IF($B1761="","",IF($E1761="Nghỉ tuần",N($G1761),0))</f>
        <v/>
      </c>
      <c r="L1761" s="108">
        <f>IF($B1761="","",IF($E1761="Lễ",N($G1761),0))</f>
        <v/>
      </c>
      <c r="M1761" s="108">
        <f>IF($B1761="","",IF($E1761="Ngày thường",N($H1761),0))</f>
        <v/>
      </c>
      <c r="N1761" s="108">
        <f>IF($B1761="","",IF($E1761="Nghỉ tuần",N($H1761),0))</f>
        <v/>
      </c>
      <c r="O1761" s="108">
        <f>IF($B1761="","",IF($E1761="Lễ",N($H1761),0))</f>
        <v/>
      </c>
    </row>
    <row r="1762" ht="15" customHeight="1" s="63">
      <c r="A1762" s="85">
        <f>IF($B1762="","",ROW()-5)</f>
        <v/>
      </c>
      <c r="B1762" s="97" t="n"/>
      <c r="C1762" s="96">
        <f>IF($B1762="","",IFERROR(INDEX(DM_NHAN_SU!$C$6:$C$155,MATCH($B1762,DM_NHAN_SU!$B$6:$B$155,0)),"SAI MÃ NV"))</f>
        <v/>
      </c>
      <c r="D1762" s="86" t="n"/>
      <c r="E1762" s="103">
        <f>IF(OR($B1762="",$D1762=""),"",IF(COUNTIF(THAM_SO_CC!$F$10:$F$40,$D1762)&gt;0,"Lễ",IF(IF(THAM_SO_CC!$B$12="T7+CN",WEEKDAY($D1762,2)&gt;=6,WEEKDAY($D1762,2)=7),"Nghỉ tuần","Ngày thường")))</f>
        <v/>
      </c>
      <c r="F1762" s="107" t="n"/>
      <c r="G1762" s="107" t="n"/>
      <c r="H1762" s="107" t="n"/>
      <c r="I1762" s="81" t="n"/>
      <c r="J1762" s="108">
        <f>IF($B1762="","",IF($E1762="Ngày thường",N($G1762),0))</f>
        <v/>
      </c>
      <c r="K1762" s="108">
        <f>IF($B1762="","",IF($E1762="Nghỉ tuần",N($G1762),0))</f>
        <v/>
      </c>
      <c r="L1762" s="108">
        <f>IF($B1762="","",IF($E1762="Lễ",N($G1762),0))</f>
        <v/>
      </c>
      <c r="M1762" s="108">
        <f>IF($B1762="","",IF($E1762="Ngày thường",N($H1762),0))</f>
        <v/>
      </c>
      <c r="N1762" s="108">
        <f>IF($B1762="","",IF($E1762="Nghỉ tuần",N($H1762),0))</f>
        <v/>
      </c>
      <c r="O1762" s="108">
        <f>IF($B1762="","",IF($E1762="Lễ",N($H1762),0))</f>
        <v/>
      </c>
    </row>
    <row r="1763" ht="15" customHeight="1" s="63">
      <c r="A1763" s="85">
        <f>IF($B1763="","",ROW()-5)</f>
        <v/>
      </c>
      <c r="B1763" s="97" t="n"/>
      <c r="C1763" s="96">
        <f>IF($B1763="","",IFERROR(INDEX(DM_NHAN_SU!$C$6:$C$155,MATCH($B1763,DM_NHAN_SU!$B$6:$B$155,0)),"SAI MÃ NV"))</f>
        <v/>
      </c>
      <c r="D1763" s="86" t="n"/>
      <c r="E1763" s="103">
        <f>IF(OR($B1763="",$D1763=""),"",IF(COUNTIF(THAM_SO_CC!$F$10:$F$40,$D1763)&gt;0,"Lễ",IF(IF(THAM_SO_CC!$B$12="T7+CN",WEEKDAY($D1763,2)&gt;=6,WEEKDAY($D1763,2)=7),"Nghỉ tuần","Ngày thường")))</f>
        <v/>
      </c>
      <c r="F1763" s="107" t="n"/>
      <c r="G1763" s="107" t="n"/>
      <c r="H1763" s="107" t="n"/>
      <c r="I1763" s="81" t="n"/>
      <c r="J1763" s="108">
        <f>IF($B1763="","",IF($E1763="Ngày thường",N($G1763),0))</f>
        <v/>
      </c>
      <c r="K1763" s="108">
        <f>IF($B1763="","",IF($E1763="Nghỉ tuần",N($G1763),0))</f>
        <v/>
      </c>
      <c r="L1763" s="108">
        <f>IF($B1763="","",IF($E1763="Lễ",N($G1763),0))</f>
        <v/>
      </c>
      <c r="M1763" s="108">
        <f>IF($B1763="","",IF($E1763="Ngày thường",N($H1763),0))</f>
        <v/>
      </c>
      <c r="N1763" s="108">
        <f>IF($B1763="","",IF($E1763="Nghỉ tuần",N($H1763),0))</f>
        <v/>
      </c>
      <c r="O1763" s="108">
        <f>IF($B1763="","",IF($E1763="Lễ",N($H1763),0))</f>
        <v/>
      </c>
    </row>
    <row r="1764" ht="15" customHeight="1" s="63">
      <c r="A1764" s="85">
        <f>IF($B1764="","",ROW()-5)</f>
        <v/>
      </c>
      <c r="B1764" s="97" t="n"/>
      <c r="C1764" s="96">
        <f>IF($B1764="","",IFERROR(INDEX(DM_NHAN_SU!$C$6:$C$155,MATCH($B1764,DM_NHAN_SU!$B$6:$B$155,0)),"SAI MÃ NV"))</f>
        <v/>
      </c>
      <c r="D1764" s="86" t="n"/>
      <c r="E1764" s="103">
        <f>IF(OR($B1764="",$D1764=""),"",IF(COUNTIF(THAM_SO_CC!$F$10:$F$40,$D1764)&gt;0,"Lễ",IF(IF(THAM_SO_CC!$B$12="T7+CN",WEEKDAY($D1764,2)&gt;=6,WEEKDAY($D1764,2)=7),"Nghỉ tuần","Ngày thường")))</f>
        <v/>
      </c>
      <c r="F1764" s="107" t="n"/>
      <c r="G1764" s="107" t="n"/>
      <c r="H1764" s="107" t="n"/>
      <c r="I1764" s="81" t="n"/>
      <c r="J1764" s="108">
        <f>IF($B1764="","",IF($E1764="Ngày thường",N($G1764),0))</f>
        <v/>
      </c>
      <c r="K1764" s="108">
        <f>IF($B1764="","",IF($E1764="Nghỉ tuần",N($G1764),0))</f>
        <v/>
      </c>
      <c r="L1764" s="108">
        <f>IF($B1764="","",IF($E1764="Lễ",N($G1764),0))</f>
        <v/>
      </c>
      <c r="M1764" s="108">
        <f>IF($B1764="","",IF($E1764="Ngày thường",N($H1764),0))</f>
        <v/>
      </c>
      <c r="N1764" s="108">
        <f>IF($B1764="","",IF($E1764="Nghỉ tuần",N($H1764),0))</f>
        <v/>
      </c>
      <c r="O1764" s="108">
        <f>IF($B1764="","",IF($E1764="Lễ",N($H1764),0))</f>
        <v/>
      </c>
    </row>
    <row r="1765" ht="15" customHeight="1" s="63">
      <c r="A1765" s="85">
        <f>IF($B1765="","",ROW()-5)</f>
        <v/>
      </c>
      <c r="B1765" s="97" t="n"/>
      <c r="C1765" s="96">
        <f>IF($B1765="","",IFERROR(INDEX(DM_NHAN_SU!$C$6:$C$155,MATCH($B1765,DM_NHAN_SU!$B$6:$B$155,0)),"SAI MÃ NV"))</f>
        <v/>
      </c>
      <c r="D1765" s="86" t="n"/>
      <c r="E1765" s="103">
        <f>IF(OR($B1765="",$D1765=""),"",IF(COUNTIF(THAM_SO_CC!$F$10:$F$40,$D1765)&gt;0,"Lễ",IF(IF(THAM_SO_CC!$B$12="T7+CN",WEEKDAY($D1765,2)&gt;=6,WEEKDAY($D1765,2)=7),"Nghỉ tuần","Ngày thường")))</f>
        <v/>
      </c>
      <c r="F1765" s="107" t="n"/>
      <c r="G1765" s="107" t="n"/>
      <c r="H1765" s="107" t="n"/>
      <c r="I1765" s="81" t="n"/>
      <c r="J1765" s="108">
        <f>IF($B1765="","",IF($E1765="Ngày thường",N($G1765),0))</f>
        <v/>
      </c>
      <c r="K1765" s="108">
        <f>IF($B1765="","",IF($E1765="Nghỉ tuần",N($G1765),0))</f>
        <v/>
      </c>
      <c r="L1765" s="108">
        <f>IF($B1765="","",IF($E1765="Lễ",N($G1765),0))</f>
        <v/>
      </c>
      <c r="M1765" s="108">
        <f>IF($B1765="","",IF($E1765="Ngày thường",N($H1765),0))</f>
        <v/>
      </c>
      <c r="N1765" s="108">
        <f>IF($B1765="","",IF($E1765="Nghỉ tuần",N($H1765),0))</f>
        <v/>
      </c>
      <c r="O1765" s="108">
        <f>IF($B1765="","",IF($E1765="Lễ",N($H1765),0))</f>
        <v/>
      </c>
    </row>
    <row r="1766" ht="15" customHeight="1" s="63">
      <c r="A1766" s="85">
        <f>IF($B1766="","",ROW()-5)</f>
        <v/>
      </c>
      <c r="B1766" s="97" t="n"/>
      <c r="C1766" s="96">
        <f>IF($B1766="","",IFERROR(INDEX(DM_NHAN_SU!$C$6:$C$155,MATCH($B1766,DM_NHAN_SU!$B$6:$B$155,0)),"SAI MÃ NV"))</f>
        <v/>
      </c>
      <c r="D1766" s="86" t="n"/>
      <c r="E1766" s="103">
        <f>IF(OR($B1766="",$D1766=""),"",IF(COUNTIF(THAM_SO_CC!$F$10:$F$40,$D1766)&gt;0,"Lễ",IF(IF(THAM_SO_CC!$B$12="T7+CN",WEEKDAY($D1766,2)&gt;=6,WEEKDAY($D1766,2)=7),"Nghỉ tuần","Ngày thường")))</f>
        <v/>
      </c>
      <c r="F1766" s="107" t="n"/>
      <c r="G1766" s="107" t="n"/>
      <c r="H1766" s="107" t="n"/>
      <c r="I1766" s="81" t="n"/>
      <c r="J1766" s="108">
        <f>IF($B1766="","",IF($E1766="Ngày thường",N($G1766),0))</f>
        <v/>
      </c>
      <c r="K1766" s="108">
        <f>IF($B1766="","",IF($E1766="Nghỉ tuần",N($G1766),0))</f>
        <v/>
      </c>
      <c r="L1766" s="108">
        <f>IF($B1766="","",IF($E1766="Lễ",N($G1766),0))</f>
        <v/>
      </c>
      <c r="M1766" s="108">
        <f>IF($B1766="","",IF($E1766="Ngày thường",N($H1766),0))</f>
        <v/>
      </c>
      <c r="N1766" s="108">
        <f>IF($B1766="","",IF($E1766="Nghỉ tuần",N($H1766),0))</f>
        <v/>
      </c>
      <c r="O1766" s="108">
        <f>IF($B1766="","",IF($E1766="Lễ",N($H1766),0))</f>
        <v/>
      </c>
    </row>
    <row r="1767" ht="15" customHeight="1" s="63">
      <c r="A1767" s="85">
        <f>IF($B1767="","",ROW()-5)</f>
        <v/>
      </c>
      <c r="B1767" s="97" t="n"/>
      <c r="C1767" s="96">
        <f>IF($B1767="","",IFERROR(INDEX(DM_NHAN_SU!$C$6:$C$155,MATCH($B1767,DM_NHAN_SU!$B$6:$B$155,0)),"SAI MÃ NV"))</f>
        <v/>
      </c>
      <c r="D1767" s="86" t="n"/>
      <c r="E1767" s="103">
        <f>IF(OR($B1767="",$D1767=""),"",IF(COUNTIF(THAM_SO_CC!$F$10:$F$40,$D1767)&gt;0,"Lễ",IF(IF(THAM_SO_CC!$B$12="T7+CN",WEEKDAY($D1767,2)&gt;=6,WEEKDAY($D1767,2)=7),"Nghỉ tuần","Ngày thường")))</f>
        <v/>
      </c>
      <c r="F1767" s="107" t="n"/>
      <c r="G1767" s="107" t="n"/>
      <c r="H1767" s="107" t="n"/>
      <c r="I1767" s="81" t="n"/>
      <c r="J1767" s="108">
        <f>IF($B1767="","",IF($E1767="Ngày thường",N($G1767),0))</f>
        <v/>
      </c>
      <c r="K1767" s="108">
        <f>IF($B1767="","",IF($E1767="Nghỉ tuần",N($G1767),0))</f>
        <v/>
      </c>
      <c r="L1767" s="108">
        <f>IF($B1767="","",IF($E1767="Lễ",N($G1767),0))</f>
        <v/>
      </c>
      <c r="M1767" s="108">
        <f>IF($B1767="","",IF($E1767="Ngày thường",N($H1767),0))</f>
        <v/>
      </c>
      <c r="N1767" s="108">
        <f>IF($B1767="","",IF($E1767="Nghỉ tuần",N($H1767),0))</f>
        <v/>
      </c>
      <c r="O1767" s="108">
        <f>IF($B1767="","",IF($E1767="Lễ",N($H1767),0))</f>
        <v/>
      </c>
    </row>
    <row r="1768" ht="15" customHeight="1" s="63">
      <c r="A1768" s="85">
        <f>IF($B1768="","",ROW()-5)</f>
        <v/>
      </c>
      <c r="B1768" s="97" t="n"/>
      <c r="C1768" s="96">
        <f>IF($B1768="","",IFERROR(INDEX(DM_NHAN_SU!$C$6:$C$155,MATCH($B1768,DM_NHAN_SU!$B$6:$B$155,0)),"SAI MÃ NV"))</f>
        <v/>
      </c>
      <c r="D1768" s="86" t="n"/>
      <c r="E1768" s="103">
        <f>IF(OR($B1768="",$D1768=""),"",IF(COUNTIF(THAM_SO_CC!$F$10:$F$40,$D1768)&gt;0,"Lễ",IF(IF(THAM_SO_CC!$B$12="T7+CN",WEEKDAY($D1768,2)&gt;=6,WEEKDAY($D1768,2)=7),"Nghỉ tuần","Ngày thường")))</f>
        <v/>
      </c>
      <c r="F1768" s="107" t="n"/>
      <c r="G1768" s="107" t="n"/>
      <c r="H1768" s="107" t="n"/>
      <c r="I1768" s="81" t="n"/>
      <c r="J1768" s="108">
        <f>IF($B1768="","",IF($E1768="Ngày thường",N($G1768),0))</f>
        <v/>
      </c>
      <c r="K1768" s="108">
        <f>IF($B1768="","",IF($E1768="Nghỉ tuần",N($G1768),0))</f>
        <v/>
      </c>
      <c r="L1768" s="108">
        <f>IF($B1768="","",IF($E1768="Lễ",N($G1768),0))</f>
        <v/>
      </c>
      <c r="M1768" s="108">
        <f>IF($B1768="","",IF($E1768="Ngày thường",N($H1768),0))</f>
        <v/>
      </c>
      <c r="N1768" s="108">
        <f>IF($B1768="","",IF($E1768="Nghỉ tuần",N($H1768),0))</f>
        <v/>
      </c>
      <c r="O1768" s="108">
        <f>IF($B1768="","",IF($E1768="Lễ",N($H1768),0))</f>
        <v/>
      </c>
    </row>
    <row r="1769" ht="15" customHeight="1" s="63">
      <c r="A1769" s="85">
        <f>IF($B1769="","",ROW()-5)</f>
        <v/>
      </c>
      <c r="B1769" s="97" t="n"/>
      <c r="C1769" s="96">
        <f>IF($B1769="","",IFERROR(INDEX(DM_NHAN_SU!$C$6:$C$155,MATCH($B1769,DM_NHAN_SU!$B$6:$B$155,0)),"SAI MÃ NV"))</f>
        <v/>
      </c>
      <c r="D1769" s="86" t="n"/>
      <c r="E1769" s="103">
        <f>IF(OR($B1769="",$D1769=""),"",IF(COUNTIF(THAM_SO_CC!$F$10:$F$40,$D1769)&gt;0,"Lễ",IF(IF(THAM_SO_CC!$B$12="T7+CN",WEEKDAY($D1769,2)&gt;=6,WEEKDAY($D1769,2)=7),"Nghỉ tuần","Ngày thường")))</f>
        <v/>
      </c>
      <c r="F1769" s="107" t="n"/>
      <c r="G1769" s="107" t="n"/>
      <c r="H1769" s="107" t="n"/>
      <c r="I1769" s="81" t="n"/>
      <c r="J1769" s="108">
        <f>IF($B1769="","",IF($E1769="Ngày thường",N($G1769),0))</f>
        <v/>
      </c>
      <c r="K1769" s="108">
        <f>IF($B1769="","",IF($E1769="Nghỉ tuần",N($G1769),0))</f>
        <v/>
      </c>
      <c r="L1769" s="108">
        <f>IF($B1769="","",IF($E1769="Lễ",N($G1769),0))</f>
        <v/>
      </c>
      <c r="M1769" s="108">
        <f>IF($B1769="","",IF($E1769="Ngày thường",N($H1769),0))</f>
        <v/>
      </c>
      <c r="N1769" s="108">
        <f>IF($B1769="","",IF($E1769="Nghỉ tuần",N($H1769),0))</f>
        <v/>
      </c>
      <c r="O1769" s="108">
        <f>IF($B1769="","",IF($E1769="Lễ",N($H1769),0))</f>
        <v/>
      </c>
    </row>
    <row r="1770" ht="15" customHeight="1" s="63">
      <c r="A1770" s="85">
        <f>IF($B1770="","",ROW()-5)</f>
        <v/>
      </c>
      <c r="B1770" s="97" t="n"/>
      <c r="C1770" s="96">
        <f>IF($B1770="","",IFERROR(INDEX(DM_NHAN_SU!$C$6:$C$155,MATCH($B1770,DM_NHAN_SU!$B$6:$B$155,0)),"SAI MÃ NV"))</f>
        <v/>
      </c>
      <c r="D1770" s="86" t="n"/>
      <c r="E1770" s="103">
        <f>IF(OR($B1770="",$D1770=""),"",IF(COUNTIF(THAM_SO_CC!$F$10:$F$40,$D1770)&gt;0,"Lễ",IF(IF(THAM_SO_CC!$B$12="T7+CN",WEEKDAY($D1770,2)&gt;=6,WEEKDAY($D1770,2)=7),"Nghỉ tuần","Ngày thường")))</f>
        <v/>
      </c>
      <c r="F1770" s="107" t="n"/>
      <c r="G1770" s="107" t="n"/>
      <c r="H1770" s="107" t="n"/>
      <c r="I1770" s="81" t="n"/>
      <c r="J1770" s="108">
        <f>IF($B1770="","",IF($E1770="Ngày thường",N($G1770),0))</f>
        <v/>
      </c>
      <c r="K1770" s="108">
        <f>IF($B1770="","",IF($E1770="Nghỉ tuần",N($G1770),0))</f>
        <v/>
      </c>
      <c r="L1770" s="108">
        <f>IF($B1770="","",IF($E1770="Lễ",N($G1770),0))</f>
        <v/>
      </c>
      <c r="M1770" s="108">
        <f>IF($B1770="","",IF($E1770="Ngày thường",N($H1770),0))</f>
        <v/>
      </c>
      <c r="N1770" s="108">
        <f>IF($B1770="","",IF($E1770="Nghỉ tuần",N($H1770),0))</f>
        <v/>
      </c>
      <c r="O1770" s="108">
        <f>IF($B1770="","",IF($E1770="Lễ",N($H1770),0))</f>
        <v/>
      </c>
    </row>
    <row r="1771" ht="15" customHeight="1" s="63">
      <c r="A1771" s="85">
        <f>IF($B1771="","",ROW()-5)</f>
        <v/>
      </c>
      <c r="B1771" s="97" t="n"/>
      <c r="C1771" s="96">
        <f>IF($B1771="","",IFERROR(INDEX(DM_NHAN_SU!$C$6:$C$155,MATCH($B1771,DM_NHAN_SU!$B$6:$B$155,0)),"SAI MÃ NV"))</f>
        <v/>
      </c>
      <c r="D1771" s="86" t="n"/>
      <c r="E1771" s="103">
        <f>IF(OR($B1771="",$D1771=""),"",IF(COUNTIF(THAM_SO_CC!$F$10:$F$40,$D1771)&gt;0,"Lễ",IF(IF(THAM_SO_CC!$B$12="T7+CN",WEEKDAY($D1771,2)&gt;=6,WEEKDAY($D1771,2)=7),"Nghỉ tuần","Ngày thường")))</f>
        <v/>
      </c>
      <c r="F1771" s="107" t="n"/>
      <c r="G1771" s="107" t="n"/>
      <c r="H1771" s="107" t="n"/>
      <c r="I1771" s="81" t="n"/>
      <c r="J1771" s="108">
        <f>IF($B1771="","",IF($E1771="Ngày thường",N($G1771),0))</f>
        <v/>
      </c>
      <c r="K1771" s="108">
        <f>IF($B1771="","",IF($E1771="Nghỉ tuần",N($G1771),0))</f>
        <v/>
      </c>
      <c r="L1771" s="108">
        <f>IF($B1771="","",IF($E1771="Lễ",N($G1771),0))</f>
        <v/>
      </c>
      <c r="M1771" s="108">
        <f>IF($B1771="","",IF($E1771="Ngày thường",N($H1771),0))</f>
        <v/>
      </c>
      <c r="N1771" s="108">
        <f>IF($B1771="","",IF($E1771="Nghỉ tuần",N($H1771),0))</f>
        <v/>
      </c>
      <c r="O1771" s="108">
        <f>IF($B1771="","",IF($E1771="Lễ",N($H1771),0))</f>
        <v/>
      </c>
    </row>
    <row r="1772" ht="15" customHeight="1" s="63">
      <c r="A1772" s="85">
        <f>IF($B1772="","",ROW()-5)</f>
        <v/>
      </c>
      <c r="B1772" s="97" t="n"/>
      <c r="C1772" s="96">
        <f>IF($B1772="","",IFERROR(INDEX(DM_NHAN_SU!$C$6:$C$155,MATCH($B1772,DM_NHAN_SU!$B$6:$B$155,0)),"SAI MÃ NV"))</f>
        <v/>
      </c>
      <c r="D1772" s="86" t="n"/>
      <c r="E1772" s="103">
        <f>IF(OR($B1772="",$D1772=""),"",IF(COUNTIF(THAM_SO_CC!$F$10:$F$40,$D1772)&gt;0,"Lễ",IF(IF(THAM_SO_CC!$B$12="T7+CN",WEEKDAY($D1772,2)&gt;=6,WEEKDAY($D1772,2)=7),"Nghỉ tuần","Ngày thường")))</f>
        <v/>
      </c>
      <c r="F1772" s="107" t="n"/>
      <c r="G1772" s="107" t="n"/>
      <c r="H1772" s="107" t="n"/>
      <c r="I1772" s="81" t="n"/>
      <c r="J1772" s="108">
        <f>IF($B1772="","",IF($E1772="Ngày thường",N($G1772),0))</f>
        <v/>
      </c>
      <c r="K1772" s="108">
        <f>IF($B1772="","",IF($E1772="Nghỉ tuần",N($G1772),0))</f>
        <v/>
      </c>
      <c r="L1772" s="108">
        <f>IF($B1772="","",IF($E1772="Lễ",N($G1772),0))</f>
        <v/>
      </c>
      <c r="M1772" s="108">
        <f>IF($B1772="","",IF($E1772="Ngày thường",N($H1772),0))</f>
        <v/>
      </c>
      <c r="N1772" s="108">
        <f>IF($B1772="","",IF($E1772="Nghỉ tuần",N($H1772),0))</f>
        <v/>
      </c>
      <c r="O1772" s="108">
        <f>IF($B1772="","",IF($E1772="Lễ",N($H1772),0))</f>
        <v/>
      </c>
    </row>
    <row r="1773" ht="15" customHeight="1" s="63">
      <c r="A1773" s="85">
        <f>IF($B1773="","",ROW()-5)</f>
        <v/>
      </c>
      <c r="B1773" s="97" t="n"/>
      <c r="C1773" s="96">
        <f>IF($B1773="","",IFERROR(INDEX(DM_NHAN_SU!$C$6:$C$155,MATCH($B1773,DM_NHAN_SU!$B$6:$B$155,0)),"SAI MÃ NV"))</f>
        <v/>
      </c>
      <c r="D1773" s="86" t="n"/>
      <c r="E1773" s="103">
        <f>IF(OR($B1773="",$D1773=""),"",IF(COUNTIF(THAM_SO_CC!$F$10:$F$40,$D1773)&gt;0,"Lễ",IF(IF(THAM_SO_CC!$B$12="T7+CN",WEEKDAY($D1773,2)&gt;=6,WEEKDAY($D1773,2)=7),"Nghỉ tuần","Ngày thường")))</f>
        <v/>
      </c>
      <c r="F1773" s="107" t="n"/>
      <c r="G1773" s="107" t="n"/>
      <c r="H1773" s="107" t="n"/>
      <c r="I1773" s="81" t="n"/>
      <c r="J1773" s="108">
        <f>IF($B1773="","",IF($E1773="Ngày thường",N($G1773),0))</f>
        <v/>
      </c>
      <c r="K1773" s="108">
        <f>IF($B1773="","",IF($E1773="Nghỉ tuần",N($G1773),0))</f>
        <v/>
      </c>
      <c r="L1773" s="108">
        <f>IF($B1773="","",IF($E1773="Lễ",N($G1773),0))</f>
        <v/>
      </c>
      <c r="M1773" s="108">
        <f>IF($B1773="","",IF($E1773="Ngày thường",N($H1773),0))</f>
        <v/>
      </c>
      <c r="N1773" s="108">
        <f>IF($B1773="","",IF($E1773="Nghỉ tuần",N($H1773),0))</f>
        <v/>
      </c>
      <c r="O1773" s="108">
        <f>IF($B1773="","",IF($E1773="Lễ",N($H1773),0))</f>
        <v/>
      </c>
    </row>
    <row r="1774" ht="15" customHeight="1" s="63">
      <c r="A1774" s="85">
        <f>IF($B1774="","",ROW()-5)</f>
        <v/>
      </c>
      <c r="B1774" s="97" t="n"/>
      <c r="C1774" s="96">
        <f>IF($B1774="","",IFERROR(INDEX(DM_NHAN_SU!$C$6:$C$155,MATCH($B1774,DM_NHAN_SU!$B$6:$B$155,0)),"SAI MÃ NV"))</f>
        <v/>
      </c>
      <c r="D1774" s="86" t="n"/>
      <c r="E1774" s="103">
        <f>IF(OR($B1774="",$D1774=""),"",IF(COUNTIF(THAM_SO_CC!$F$10:$F$40,$D1774)&gt;0,"Lễ",IF(IF(THAM_SO_CC!$B$12="T7+CN",WEEKDAY($D1774,2)&gt;=6,WEEKDAY($D1774,2)=7),"Nghỉ tuần","Ngày thường")))</f>
        <v/>
      </c>
      <c r="F1774" s="107" t="n"/>
      <c r="G1774" s="107" t="n"/>
      <c r="H1774" s="107" t="n"/>
      <c r="I1774" s="81" t="n"/>
      <c r="J1774" s="108">
        <f>IF($B1774="","",IF($E1774="Ngày thường",N($G1774),0))</f>
        <v/>
      </c>
      <c r="K1774" s="108">
        <f>IF($B1774="","",IF($E1774="Nghỉ tuần",N($G1774),0))</f>
        <v/>
      </c>
      <c r="L1774" s="108">
        <f>IF($B1774="","",IF($E1774="Lễ",N($G1774),0))</f>
        <v/>
      </c>
      <c r="M1774" s="108">
        <f>IF($B1774="","",IF($E1774="Ngày thường",N($H1774),0))</f>
        <v/>
      </c>
      <c r="N1774" s="108">
        <f>IF($B1774="","",IF($E1774="Nghỉ tuần",N($H1774),0))</f>
        <v/>
      </c>
      <c r="O1774" s="108">
        <f>IF($B1774="","",IF($E1774="Lễ",N($H1774),0))</f>
        <v/>
      </c>
    </row>
    <row r="1775" ht="15" customHeight="1" s="63">
      <c r="A1775" s="85">
        <f>IF($B1775="","",ROW()-5)</f>
        <v/>
      </c>
      <c r="B1775" s="97" t="n"/>
      <c r="C1775" s="96">
        <f>IF($B1775="","",IFERROR(INDEX(DM_NHAN_SU!$C$6:$C$155,MATCH($B1775,DM_NHAN_SU!$B$6:$B$155,0)),"SAI MÃ NV"))</f>
        <v/>
      </c>
      <c r="D1775" s="86" t="n"/>
      <c r="E1775" s="103">
        <f>IF(OR($B1775="",$D1775=""),"",IF(COUNTIF(THAM_SO_CC!$F$10:$F$40,$D1775)&gt;0,"Lễ",IF(IF(THAM_SO_CC!$B$12="T7+CN",WEEKDAY($D1775,2)&gt;=6,WEEKDAY($D1775,2)=7),"Nghỉ tuần","Ngày thường")))</f>
        <v/>
      </c>
      <c r="F1775" s="107" t="n"/>
      <c r="G1775" s="107" t="n"/>
      <c r="H1775" s="107" t="n"/>
      <c r="I1775" s="81" t="n"/>
      <c r="J1775" s="108">
        <f>IF($B1775="","",IF($E1775="Ngày thường",N($G1775),0))</f>
        <v/>
      </c>
      <c r="K1775" s="108">
        <f>IF($B1775="","",IF($E1775="Nghỉ tuần",N($G1775),0))</f>
        <v/>
      </c>
      <c r="L1775" s="108">
        <f>IF($B1775="","",IF($E1775="Lễ",N($G1775),0))</f>
        <v/>
      </c>
      <c r="M1775" s="108">
        <f>IF($B1775="","",IF($E1775="Ngày thường",N($H1775),0))</f>
        <v/>
      </c>
      <c r="N1775" s="108">
        <f>IF($B1775="","",IF($E1775="Nghỉ tuần",N($H1775),0))</f>
        <v/>
      </c>
      <c r="O1775" s="108">
        <f>IF($B1775="","",IF($E1775="Lễ",N($H1775),0))</f>
        <v/>
      </c>
    </row>
    <row r="1776" ht="15" customHeight="1" s="63">
      <c r="A1776" s="85">
        <f>IF($B1776="","",ROW()-5)</f>
        <v/>
      </c>
      <c r="B1776" s="97" t="n"/>
      <c r="C1776" s="96">
        <f>IF($B1776="","",IFERROR(INDEX(DM_NHAN_SU!$C$6:$C$155,MATCH($B1776,DM_NHAN_SU!$B$6:$B$155,0)),"SAI MÃ NV"))</f>
        <v/>
      </c>
      <c r="D1776" s="86" t="n"/>
      <c r="E1776" s="103">
        <f>IF(OR($B1776="",$D1776=""),"",IF(COUNTIF(THAM_SO_CC!$F$10:$F$40,$D1776)&gt;0,"Lễ",IF(IF(THAM_SO_CC!$B$12="T7+CN",WEEKDAY($D1776,2)&gt;=6,WEEKDAY($D1776,2)=7),"Nghỉ tuần","Ngày thường")))</f>
        <v/>
      </c>
      <c r="F1776" s="107" t="n"/>
      <c r="G1776" s="107" t="n"/>
      <c r="H1776" s="107" t="n"/>
      <c r="I1776" s="81" t="n"/>
      <c r="J1776" s="108">
        <f>IF($B1776="","",IF($E1776="Ngày thường",N($G1776),0))</f>
        <v/>
      </c>
      <c r="K1776" s="108">
        <f>IF($B1776="","",IF($E1776="Nghỉ tuần",N($G1776),0))</f>
        <v/>
      </c>
      <c r="L1776" s="108">
        <f>IF($B1776="","",IF($E1776="Lễ",N($G1776),0))</f>
        <v/>
      </c>
      <c r="M1776" s="108">
        <f>IF($B1776="","",IF($E1776="Ngày thường",N($H1776),0))</f>
        <v/>
      </c>
      <c r="N1776" s="108">
        <f>IF($B1776="","",IF($E1776="Nghỉ tuần",N($H1776),0))</f>
        <v/>
      </c>
      <c r="O1776" s="108">
        <f>IF($B1776="","",IF($E1776="Lễ",N($H1776),0))</f>
        <v/>
      </c>
    </row>
    <row r="1777" ht="15" customHeight="1" s="63">
      <c r="A1777" s="85">
        <f>IF($B1777="","",ROW()-5)</f>
        <v/>
      </c>
      <c r="B1777" s="97" t="n"/>
      <c r="C1777" s="96">
        <f>IF($B1777="","",IFERROR(INDEX(DM_NHAN_SU!$C$6:$C$155,MATCH($B1777,DM_NHAN_SU!$B$6:$B$155,0)),"SAI MÃ NV"))</f>
        <v/>
      </c>
      <c r="D1777" s="86" t="n"/>
      <c r="E1777" s="103">
        <f>IF(OR($B1777="",$D1777=""),"",IF(COUNTIF(THAM_SO_CC!$F$10:$F$40,$D1777)&gt;0,"Lễ",IF(IF(THAM_SO_CC!$B$12="T7+CN",WEEKDAY($D1777,2)&gt;=6,WEEKDAY($D1777,2)=7),"Nghỉ tuần","Ngày thường")))</f>
        <v/>
      </c>
      <c r="F1777" s="107" t="n"/>
      <c r="G1777" s="107" t="n"/>
      <c r="H1777" s="107" t="n"/>
      <c r="I1777" s="81" t="n"/>
      <c r="J1777" s="108">
        <f>IF($B1777="","",IF($E1777="Ngày thường",N($G1777),0))</f>
        <v/>
      </c>
      <c r="K1777" s="108">
        <f>IF($B1777="","",IF($E1777="Nghỉ tuần",N($G1777),0))</f>
        <v/>
      </c>
      <c r="L1777" s="108">
        <f>IF($B1777="","",IF($E1777="Lễ",N($G1777),0))</f>
        <v/>
      </c>
      <c r="M1777" s="108">
        <f>IF($B1777="","",IF($E1777="Ngày thường",N($H1777),0))</f>
        <v/>
      </c>
      <c r="N1777" s="108">
        <f>IF($B1777="","",IF($E1777="Nghỉ tuần",N($H1777),0))</f>
        <v/>
      </c>
      <c r="O1777" s="108">
        <f>IF($B1777="","",IF($E1777="Lễ",N($H1777),0))</f>
        <v/>
      </c>
    </row>
    <row r="1778" ht="15" customHeight="1" s="63">
      <c r="A1778" s="85">
        <f>IF($B1778="","",ROW()-5)</f>
        <v/>
      </c>
      <c r="B1778" s="97" t="n"/>
      <c r="C1778" s="96">
        <f>IF($B1778="","",IFERROR(INDEX(DM_NHAN_SU!$C$6:$C$155,MATCH($B1778,DM_NHAN_SU!$B$6:$B$155,0)),"SAI MÃ NV"))</f>
        <v/>
      </c>
      <c r="D1778" s="86" t="n"/>
      <c r="E1778" s="103">
        <f>IF(OR($B1778="",$D1778=""),"",IF(COUNTIF(THAM_SO_CC!$F$10:$F$40,$D1778)&gt;0,"Lễ",IF(IF(THAM_SO_CC!$B$12="T7+CN",WEEKDAY($D1778,2)&gt;=6,WEEKDAY($D1778,2)=7),"Nghỉ tuần","Ngày thường")))</f>
        <v/>
      </c>
      <c r="F1778" s="107" t="n"/>
      <c r="G1778" s="107" t="n"/>
      <c r="H1778" s="107" t="n"/>
      <c r="I1778" s="81" t="n"/>
      <c r="J1778" s="108">
        <f>IF($B1778="","",IF($E1778="Ngày thường",N($G1778),0))</f>
        <v/>
      </c>
      <c r="K1778" s="108">
        <f>IF($B1778="","",IF($E1778="Nghỉ tuần",N($G1778),0))</f>
        <v/>
      </c>
      <c r="L1778" s="108">
        <f>IF($B1778="","",IF($E1778="Lễ",N($G1778),0))</f>
        <v/>
      </c>
      <c r="M1778" s="108">
        <f>IF($B1778="","",IF($E1778="Ngày thường",N($H1778),0))</f>
        <v/>
      </c>
      <c r="N1778" s="108">
        <f>IF($B1778="","",IF($E1778="Nghỉ tuần",N($H1778),0))</f>
        <v/>
      </c>
      <c r="O1778" s="108">
        <f>IF($B1778="","",IF($E1778="Lễ",N($H1778),0))</f>
        <v/>
      </c>
    </row>
    <row r="1779" ht="15" customHeight="1" s="63">
      <c r="A1779" s="85">
        <f>IF($B1779="","",ROW()-5)</f>
        <v/>
      </c>
      <c r="B1779" s="97" t="n"/>
      <c r="C1779" s="96">
        <f>IF($B1779="","",IFERROR(INDEX(DM_NHAN_SU!$C$6:$C$155,MATCH($B1779,DM_NHAN_SU!$B$6:$B$155,0)),"SAI MÃ NV"))</f>
        <v/>
      </c>
      <c r="D1779" s="86" t="n"/>
      <c r="E1779" s="103">
        <f>IF(OR($B1779="",$D1779=""),"",IF(COUNTIF(THAM_SO_CC!$F$10:$F$40,$D1779)&gt;0,"Lễ",IF(IF(THAM_SO_CC!$B$12="T7+CN",WEEKDAY($D1779,2)&gt;=6,WEEKDAY($D1779,2)=7),"Nghỉ tuần","Ngày thường")))</f>
        <v/>
      </c>
      <c r="F1779" s="107" t="n"/>
      <c r="G1779" s="107" t="n"/>
      <c r="H1779" s="107" t="n"/>
      <c r="I1779" s="81" t="n"/>
      <c r="J1779" s="108">
        <f>IF($B1779="","",IF($E1779="Ngày thường",N($G1779),0))</f>
        <v/>
      </c>
      <c r="K1779" s="108">
        <f>IF($B1779="","",IF($E1779="Nghỉ tuần",N($G1779),0))</f>
        <v/>
      </c>
      <c r="L1779" s="108">
        <f>IF($B1779="","",IF($E1779="Lễ",N($G1779),0))</f>
        <v/>
      </c>
      <c r="M1779" s="108">
        <f>IF($B1779="","",IF($E1779="Ngày thường",N($H1779),0))</f>
        <v/>
      </c>
      <c r="N1779" s="108">
        <f>IF($B1779="","",IF($E1779="Nghỉ tuần",N($H1779),0))</f>
        <v/>
      </c>
      <c r="O1779" s="108">
        <f>IF($B1779="","",IF($E1779="Lễ",N($H1779),0))</f>
        <v/>
      </c>
    </row>
    <row r="1780" ht="15" customHeight="1" s="63">
      <c r="A1780" s="85">
        <f>IF($B1780="","",ROW()-5)</f>
        <v/>
      </c>
      <c r="B1780" s="97" t="n"/>
      <c r="C1780" s="96">
        <f>IF($B1780="","",IFERROR(INDEX(DM_NHAN_SU!$C$6:$C$155,MATCH($B1780,DM_NHAN_SU!$B$6:$B$155,0)),"SAI MÃ NV"))</f>
        <v/>
      </c>
      <c r="D1780" s="86" t="n"/>
      <c r="E1780" s="103">
        <f>IF(OR($B1780="",$D1780=""),"",IF(COUNTIF(THAM_SO_CC!$F$10:$F$40,$D1780)&gt;0,"Lễ",IF(IF(THAM_SO_CC!$B$12="T7+CN",WEEKDAY($D1780,2)&gt;=6,WEEKDAY($D1780,2)=7),"Nghỉ tuần","Ngày thường")))</f>
        <v/>
      </c>
      <c r="F1780" s="107" t="n"/>
      <c r="G1780" s="107" t="n"/>
      <c r="H1780" s="107" t="n"/>
      <c r="I1780" s="81" t="n"/>
      <c r="J1780" s="108">
        <f>IF($B1780="","",IF($E1780="Ngày thường",N($G1780),0))</f>
        <v/>
      </c>
      <c r="K1780" s="108">
        <f>IF($B1780="","",IF($E1780="Nghỉ tuần",N($G1780),0))</f>
        <v/>
      </c>
      <c r="L1780" s="108">
        <f>IF($B1780="","",IF($E1780="Lễ",N($G1780),0))</f>
        <v/>
      </c>
      <c r="M1780" s="108">
        <f>IF($B1780="","",IF($E1780="Ngày thường",N($H1780),0))</f>
        <v/>
      </c>
      <c r="N1780" s="108">
        <f>IF($B1780="","",IF($E1780="Nghỉ tuần",N($H1780),0))</f>
        <v/>
      </c>
      <c r="O1780" s="108">
        <f>IF($B1780="","",IF($E1780="Lễ",N($H1780),0))</f>
        <v/>
      </c>
    </row>
    <row r="1781" ht="15" customHeight="1" s="63">
      <c r="A1781" s="85">
        <f>IF($B1781="","",ROW()-5)</f>
        <v/>
      </c>
      <c r="B1781" s="97" t="n"/>
      <c r="C1781" s="96">
        <f>IF($B1781="","",IFERROR(INDEX(DM_NHAN_SU!$C$6:$C$155,MATCH($B1781,DM_NHAN_SU!$B$6:$B$155,0)),"SAI MÃ NV"))</f>
        <v/>
      </c>
      <c r="D1781" s="86" t="n"/>
      <c r="E1781" s="103">
        <f>IF(OR($B1781="",$D1781=""),"",IF(COUNTIF(THAM_SO_CC!$F$10:$F$40,$D1781)&gt;0,"Lễ",IF(IF(THAM_SO_CC!$B$12="T7+CN",WEEKDAY($D1781,2)&gt;=6,WEEKDAY($D1781,2)=7),"Nghỉ tuần","Ngày thường")))</f>
        <v/>
      </c>
      <c r="F1781" s="107" t="n"/>
      <c r="G1781" s="107" t="n"/>
      <c r="H1781" s="107" t="n"/>
      <c r="I1781" s="81" t="n"/>
      <c r="J1781" s="108">
        <f>IF($B1781="","",IF($E1781="Ngày thường",N($G1781),0))</f>
        <v/>
      </c>
      <c r="K1781" s="108">
        <f>IF($B1781="","",IF($E1781="Nghỉ tuần",N($G1781),0))</f>
        <v/>
      </c>
      <c r="L1781" s="108">
        <f>IF($B1781="","",IF($E1781="Lễ",N($G1781),0))</f>
        <v/>
      </c>
      <c r="M1781" s="108">
        <f>IF($B1781="","",IF($E1781="Ngày thường",N($H1781),0))</f>
        <v/>
      </c>
      <c r="N1781" s="108">
        <f>IF($B1781="","",IF($E1781="Nghỉ tuần",N($H1781),0))</f>
        <v/>
      </c>
      <c r="O1781" s="108">
        <f>IF($B1781="","",IF($E1781="Lễ",N($H1781),0))</f>
        <v/>
      </c>
    </row>
    <row r="1782" ht="15" customHeight="1" s="63">
      <c r="A1782" s="85">
        <f>IF($B1782="","",ROW()-5)</f>
        <v/>
      </c>
      <c r="B1782" s="97" t="n"/>
      <c r="C1782" s="96">
        <f>IF($B1782="","",IFERROR(INDEX(DM_NHAN_SU!$C$6:$C$155,MATCH($B1782,DM_NHAN_SU!$B$6:$B$155,0)),"SAI MÃ NV"))</f>
        <v/>
      </c>
      <c r="D1782" s="86" t="n"/>
      <c r="E1782" s="103">
        <f>IF(OR($B1782="",$D1782=""),"",IF(COUNTIF(THAM_SO_CC!$F$10:$F$40,$D1782)&gt;0,"Lễ",IF(IF(THAM_SO_CC!$B$12="T7+CN",WEEKDAY($D1782,2)&gt;=6,WEEKDAY($D1782,2)=7),"Nghỉ tuần","Ngày thường")))</f>
        <v/>
      </c>
      <c r="F1782" s="107" t="n"/>
      <c r="G1782" s="107" t="n"/>
      <c r="H1782" s="107" t="n"/>
      <c r="I1782" s="81" t="n"/>
      <c r="J1782" s="108">
        <f>IF($B1782="","",IF($E1782="Ngày thường",N($G1782),0))</f>
        <v/>
      </c>
      <c r="K1782" s="108">
        <f>IF($B1782="","",IF($E1782="Nghỉ tuần",N($G1782),0))</f>
        <v/>
      </c>
      <c r="L1782" s="108">
        <f>IF($B1782="","",IF($E1782="Lễ",N($G1782),0))</f>
        <v/>
      </c>
      <c r="M1782" s="108">
        <f>IF($B1782="","",IF($E1782="Ngày thường",N($H1782),0))</f>
        <v/>
      </c>
      <c r="N1782" s="108">
        <f>IF($B1782="","",IF($E1782="Nghỉ tuần",N($H1782),0))</f>
        <v/>
      </c>
      <c r="O1782" s="108">
        <f>IF($B1782="","",IF($E1782="Lễ",N($H1782),0))</f>
        <v/>
      </c>
    </row>
    <row r="1783" ht="15" customHeight="1" s="63">
      <c r="A1783" s="85">
        <f>IF($B1783="","",ROW()-5)</f>
        <v/>
      </c>
      <c r="B1783" s="97" t="n"/>
      <c r="C1783" s="96">
        <f>IF($B1783="","",IFERROR(INDEX(DM_NHAN_SU!$C$6:$C$155,MATCH($B1783,DM_NHAN_SU!$B$6:$B$155,0)),"SAI MÃ NV"))</f>
        <v/>
      </c>
      <c r="D1783" s="86" t="n"/>
      <c r="E1783" s="103">
        <f>IF(OR($B1783="",$D1783=""),"",IF(COUNTIF(THAM_SO_CC!$F$10:$F$40,$D1783)&gt;0,"Lễ",IF(IF(THAM_SO_CC!$B$12="T7+CN",WEEKDAY($D1783,2)&gt;=6,WEEKDAY($D1783,2)=7),"Nghỉ tuần","Ngày thường")))</f>
        <v/>
      </c>
      <c r="F1783" s="107" t="n"/>
      <c r="G1783" s="107" t="n"/>
      <c r="H1783" s="107" t="n"/>
      <c r="I1783" s="81" t="n"/>
      <c r="J1783" s="108">
        <f>IF($B1783="","",IF($E1783="Ngày thường",N($G1783),0))</f>
        <v/>
      </c>
      <c r="K1783" s="108">
        <f>IF($B1783="","",IF($E1783="Nghỉ tuần",N($G1783),0))</f>
        <v/>
      </c>
      <c r="L1783" s="108">
        <f>IF($B1783="","",IF($E1783="Lễ",N($G1783),0))</f>
        <v/>
      </c>
      <c r="M1783" s="108">
        <f>IF($B1783="","",IF($E1783="Ngày thường",N($H1783),0))</f>
        <v/>
      </c>
      <c r="N1783" s="108">
        <f>IF($B1783="","",IF($E1783="Nghỉ tuần",N($H1783),0))</f>
        <v/>
      </c>
      <c r="O1783" s="108">
        <f>IF($B1783="","",IF($E1783="Lễ",N($H1783),0))</f>
        <v/>
      </c>
    </row>
    <row r="1784" ht="15" customHeight="1" s="63">
      <c r="A1784" s="85">
        <f>IF($B1784="","",ROW()-5)</f>
        <v/>
      </c>
      <c r="B1784" s="97" t="n"/>
      <c r="C1784" s="96">
        <f>IF($B1784="","",IFERROR(INDEX(DM_NHAN_SU!$C$6:$C$155,MATCH($B1784,DM_NHAN_SU!$B$6:$B$155,0)),"SAI MÃ NV"))</f>
        <v/>
      </c>
      <c r="D1784" s="86" t="n"/>
      <c r="E1784" s="103">
        <f>IF(OR($B1784="",$D1784=""),"",IF(COUNTIF(THAM_SO_CC!$F$10:$F$40,$D1784)&gt;0,"Lễ",IF(IF(THAM_SO_CC!$B$12="T7+CN",WEEKDAY($D1784,2)&gt;=6,WEEKDAY($D1784,2)=7),"Nghỉ tuần","Ngày thường")))</f>
        <v/>
      </c>
      <c r="F1784" s="107" t="n"/>
      <c r="G1784" s="107" t="n"/>
      <c r="H1784" s="107" t="n"/>
      <c r="I1784" s="81" t="n"/>
      <c r="J1784" s="108">
        <f>IF($B1784="","",IF($E1784="Ngày thường",N($G1784),0))</f>
        <v/>
      </c>
      <c r="K1784" s="108">
        <f>IF($B1784="","",IF($E1784="Nghỉ tuần",N($G1784),0))</f>
        <v/>
      </c>
      <c r="L1784" s="108">
        <f>IF($B1784="","",IF($E1784="Lễ",N($G1784),0))</f>
        <v/>
      </c>
      <c r="M1784" s="108">
        <f>IF($B1784="","",IF($E1784="Ngày thường",N($H1784),0))</f>
        <v/>
      </c>
      <c r="N1784" s="108">
        <f>IF($B1784="","",IF($E1784="Nghỉ tuần",N($H1784),0))</f>
        <v/>
      </c>
      <c r="O1784" s="108">
        <f>IF($B1784="","",IF($E1784="Lễ",N($H1784),0))</f>
        <v/>
      </c>
    </row>
    <row r="1785" ht="15" customHeight="1" s="63">
      <c r="A1785" s="85">
        <f>IF($B1785="","",ROW()-5)</f>
        <v/>
      </c>
      <c r="B1785" s="97" t="n"/>
      <c r="C1785" s="96">
        <f>IF($B1785="","",IFERROR(INDEX(DM_NHAN_SU!$C$6:$C$155,MATCH($B1785,DM_NHAN_SU!$B$6:$B$155,0)),"SAI MÃ NV"))</f>
        <v/>
      </c>
      <c r="D1785" s="86" t="n"/>
      <c r="E1785" s="103">
        <f>IF(OR($B1785="",$D1785=""),"",IF(COUNTIF(THAM_SO_CC!$F$10:$F$40,$D1785)&gt;0,"Lễ",IF(IF(THAM_SO_CC!$B$12="T7+CN",WEEKDAY($D1785,2)&gt;=6,WEEKDAY($D1785,2)=7),"Nghỉ tuần","Ngày thường")))</f>
        <v/>
      </c>
      <c r="F1785" s="107" t="n"/>
      <c r="G1785" s="107" t="n"/>
      <c r="H1785" s="107" t="n"/>
      <c r="I1785" s="81" t="n"/>
      <c r="J1785" s="108">
        <f>IF($B1785="","",IF($E1785="Ngày thường",N($G1785),0))</f>
        <v/>
      </c>
      <c r="K1785" s="108">
        <f>IF($B1785="","",IF($E1785="Nghỉ tuần",N($G1785),0))</f>
        <v/>
      </c>
      <c r="L1785" s="108">
        <f>IF($B1785="","",IF($E1785="Lễ",N($G1785),0))</f>
        <v/>
      </c>
      <c r="M1785" s="108">
        <f>IF($B1785="","",IF($E1785="Ngày thường",N($H1785),0))</f>
        <v/>
      </c>
      <c r="N1785" s="108">
        <f>IF($B1785="","",IF($E1785="Nghỉ tuần",N($H1785),0))</f>
        <v/>
      </c>
      <c r="O1785" s="108">
        <f>IF($B1785="","",IF($E1785="Lễ",N($H1785),0))</f>
        <v/>
      </c>
    </row>
    <row r="1786" ht="15" customHeight="1" s="63">
      <c r="A1786" s="85">
        <f>IF($B1786="","",ROW()-5)</f>
        <v/>
      </c>
      <c r="B1786" s="97" t="n"/>
      <c r="C1786" s="96">
        <f>IF($B1786="","",IFERROR(INDEX(DM_NHAN_SU!$C$6:$C$155,MATCH($B1786,DM_NHAN_SU!$B$6:$B$155,0)),"SAI MÃ NV"))</f>
        <v/>
      </c>
      <c r="D1786" s="86" t="n"/>
      <c r="E1786" s="103">
        <f>IF(OR($B1786="",$D1786=""),"",IF(COUNTIF(THAM_SO_CC!$F$10:$F$40,$D1786)&gt;0,"Lễ",IF(IF(THAM_SO_CC!$B$12="T7+CN",WEEKDAY($D1786,2)&gt;=6,WEEKDAY($D1786,2)=7),"Nghỉ tuần","Ngày thường")))</f>
        <v/>
      </c>
      <c r="F1786" s="107" t="n"/>
      <c r="G1786" s="107" t="n"/>
      <c r="H1786" s="107" t="n"/>
      <c r="I1786" s="81" t="n"/>
      <c r="J1786" s="108">
        <f>IF($B1786="","",IF($E1786="Ngày thường",N($G1786),0))</f>
        <v/>
      </c>
      <c r="K1786" s="108">
        <f>IF($B1786="","",IF($E1786="Nghỉ tuần",N($G1786),0))</f>
        <v/>
      </c>
      <c r="L1786" s="108">
        <f>IF($B1786="","",IF($E1786="Lễ",N($G1786),0))</f>
        <v/>
      </c>
      <c r="M1786" s="108">
        <f>IF($B1786="","",IF($E1786="Ngày thường",N($H1786),0))</f>
        <v/>
      </c>
      <c r="N1786" s="108">
        <f>IF($B1786="","",IF($E1786="Nghỉ tuần",N($H1786),0))</f>
        <v/>
      </c>
      <c r="O1786" s="108">
        <f>IF($B1786="","",IF($E1786="Lễ",N($H1786),0))</f>
        <v/>
      </c>
    </row>
    <row r="1787" ht="15" customHeight="1" s="63">
      <c r="A1787" s="85">
        <f>IF($B1787="","",ROW()-5)</f>
        <v/>
      </c>
      <c r="B1787" s="97" t="n"/>
      <c r="C1787" s="96">
        <f>IF($B1787="","",IFERROR(INDEX(DM_NHAN_SU!$C$6:$C$155,MATCH($B1787,DM_NHAN_SU!$B$6:$B$155,0)),"SAI MÃ NV"))</f>
        <v/>
      </c>
      <c r="D1787" s="86" t="n"/>
      <c r="E1787" s="103">
        <f>IF(OR($B1787="",$D1787=""),"",IF(COUNTIF(THAM_SO_CC!$F$10:$F$40,$D1787)&gt;0,"Lễ",IF(IF(THAM_SO_CC!$B$12="T7+CN",WEEKDAY($D1787,2)&gt;=6,WEEKDAY($D1787,2)=7),"Nghỉ tuần","Ngày thường")))</f>
        <v/>
      </c>
      <c r="F1787" s="107" t="n"/>
      <c r="G1787" s="107" t="n"/>
      <c r="H1787" s="107" t="n"/>
      <c r="I1787" s="81" t="n"/>
      <c r="J1787" s="108">
        <f>IF($B1787="","",IF($E1787="Ngày thường",N($G1787),0))</f>
        <v/>
      </c>
      <c r="K1787" s="108">
        <f>IF($B1787="","",IF($E1787="Nghỉ tuần",N($G1787),0))</f>
        <v/>
      </c>
      <c r="L1787" s="108">
        <f>IF($B1787="","",IF($E1787="Lễ",N($G1787),0))</f>
        <v/>
      </c>
      <c r="M1787" s="108">
        <f>IF($B1787="","",IF($E1787="Ngày thường",N($H1787),0))</f>
        <v/>
      </c>
      <c r="N1787" s="108">
        <f>IF($B1787="","",IF($E1787="Nghỉ tuần",N($H1787),0))</f>
        <v/>
      </c>
      <c r="O1787" s="108">
        <f>IF($B1787="","",IF($E1787="Lễ",N($H1787),0))</f>
        <v/>
      </c>
    </row>
    <row r="1788" ht="15" customHeight="1" s="63">
      <c r="A1788" s="85">
        <f>IF($B1788="","",ROW()-5)</f>
        <v/>
      </c>
      <c r="B1788" s="97" t="n"/>
      <c r="C1788" s="96">
        <f>IF($B1788="","",IFERROR(INDEX(DM_NHAN_SU!$C$6:$C$155,MATCH($B1788,DM_NHAN_SU!$B$6:$B$155,0)),"SAI MÃ NV"))</f>
        <v/>
      </c>
      <c r="D1788" s="86" t="n"/>
      <c r="E1788" s="103">
        <f>IF(OR($B1788="",$D1788=""),"",IF(COUNTIF(THAM_SO_CC!$F$10:$F$40,$D1788)&gt;0,"Lễ",IF(IF(THAM_SO_CC!$B$12="T7+CN",WEEKDAY($D1788,2)&gt;=6,WEEKDAY($D1788,2)=7),"Nghỉ tuần","Ngày thường")))</f>
        <v/>
      </c>
      <c r="F1788" s="107" t="n"/>
      <c r="G1788" s="107" t="n"/>
      <c r="H1788" s="107" t="n"/>
      <c r="I1788" s="81" t="n"/>
      <c r="J1788" s="108">
        <f>IF($B1788="","",IF($E1788="Ngày thường",N($G1788),0))</f>
        <v/>
      </c>
      <c r="K1788" s="108">
        <f>IF($B1788="","",IF($E1788="Nghỉ tuần",N($G1788),0))</f>
        <v/>
      </c>
      <c r="L1788" s="108">
        <f>IF($B1788="","",IF($E1788="Lễ",N($G1788),0))</f>
        <v/>
      </c>
      <c r="M1788" s="108">
        <f>IF($B1788="","",IF($E1788="Ngày thường",N($H1788),0))</f>
        <v/>
      </c>
      <c r="N1788" s="108">
        <f>IF($B1788="","",IF($E1788="Nghỉ tuần",N($H1788),0))</f>
        <v/>
      </c>
      <c r="O1788" s="108">
        <f>IF($B1788="","",IF($E1788="Lễ",N($H1788),0))</f>
        <v/>
      </c>
    </row>
    <row r="1789" ht="15" customHeight="1" s="63">
      <c r="A1789" s="85">
        <f>IF($B1789="","",ROW()-5)</f>
        <v/>
      </c>
      <c r="B1789" s="97" t="n"/>
      <c r="C1789" s="96">
        <f>IF($B1789="","",IFERROR(INDEX(DM_NHAN_SU!$C$6:$C$155,MATCH($B1789,DM_NHAN_SU!$B$6:$B$155,0)),"SAI MÃ NV"))</f>
        <v/>
      </c>
      <c r="D1789" s="86" t="n"/>
      <c r="E1789" s="103">
        <f>IF(OR($B1789="",$D1789=""),"",IF(COUNTIF(THAM_SO_CC!$F$10:$F$40,$D1789)&gt;0,"Lễ",IF(IF(THAM_SO_CC!$B$12="T7+CN",WEEKDAY($D1789,2)&gt;=6,WEEKDAY($D1789,2)=7),"Nghỉ tuần","Ngày thường")))</f>
        <v/>
      </c>
      <c r="F1789" s="107" t="n"/>
      <c r="G1789" s="107" t="n"/>
      <c r="H1789" s="107" t="n"/>
      <c r="I1789" s="81" t="n"/>
      <c r="J1789" s="108">
        <f>IF($B1789="","",IF($E1789="Ngày thường",N($G1789),0))</f>
        <v/>
      </c>
      <c r="K1789" s="108">
        <f>IF($B1789="","",IF($E1789="Nghỉ tuần",N($G1789),0))</f>
        <v/>
      </c>
      <c r="L1789" s="108">
        <f>IF($B1789="","",IF($E1789="Lễ",N($G1789),0))</f>
        <v/>
      </c>
      <c r="M1789" s="108">
        <f>IF($B1789="","",IF($E1789="Ngày thường",N($H1789),0))</f>
        <v/>
      </c>
      <c r="N1789" s="108">
        <f>IF($B1789="","",IF($E1789="Nghỉ tuần",N($H1789),0))</f>
        <v/>
      </c>
      <c r="O1789" s="108">
        <f>IF($B1789="","",IF($E1789="Lễ",N($H1789),0))</f>
        <v/>
      </c>
    </row>
    <row r="1790" ht="15" customHeight="1" s="63">
      <c r="A1790" s="85">
        <f>IF($B1790="","",ROW()-5)</f>
        <v/>
      </c>
      <c r="B1790" s="97" t="n"/>
      <c r="C1790" s="96">
        <f>IF($B1790="","",IFERROR(INDEX(DM_NHAN_SU!$C$6:$C$155,MATCH($B1790,DM_NHAN_SU!$B$6:$B$155,0)),"SAI MÃ NV"))</f>
        <v/>
      </c>
      <c r="D1790" s="86" t="n"/>
      <c r="E1790" s="103">
        <f>IF(OR($B1790="",$D1790=""),"",IF(COUNTIF(THAM_SO_CC!$F$10:$F$40,$D1790)&gt;0,"Lễ",IF(IF(THAM_SO_CC!$B$12="T7+CN",WEEKDAY($D1790,2)&gt;=6,WEEKDAY($D1790,2)=7),"Nghỉ tuần","Ngày thường")))</f>
        <v/>
      </c>
      <c r="F1790" s="107" t="n"/>
      <c r="G1790" s="107" t="n"/>
      <c r="H1790" s="107" t="n"/>
      <c r="I1790" s="81" t="n"/>
      <c r="J1790" s="108">
        <f>IF($B1790="","",IF($E1790="Ngày thường",N($G1790),0))</f>
        <v/>
      </c>
      <c r="K1790" s="108">
        <f>IF($B1790="","",IF($E1790="Nghỉ tuần",N($G1790),0))</f>
        <v/>
      </c>
      <c r="L1790" s="108">
        <f>IF($B1790="","",IF($E1790="Lễ",N($G1790),0))</f>
        <v/>
      </c>
      <c r="M1790" s="108">
        <f>IF($B1790="","",IF($E1790="Ngày thường",N($H1790),0))</f>
        <v/>
      </c>
      <c r="N1790" s="108">
        <f>IF($B1790="","",IF($E1790="Nghỉ tuần",N($H1790),0))</f>
        <v/>
      </c>
      <c r="O1790" s="108">
        <f>IF($B1790="","",IF($E1790="Lễ",N($H1790),0))</f>
        <v/>
      </c>
    </row>
    <row r="1791" ht="15" customHeight="1" s="63">
      <c r="A1791" s="85">
        <f>IF($B1791="","",ROW()-5)</f>
        <v/>
      </c>
      <c r="B1791" s="97" t="n"/>
      <c r="C1791" s="96">
        <f>IF($B1791="","",IFERROR(INDEX(DM_NHAN_SU!$C$6:$C$155,MATCH($B1791,DM_NHAN_SU!$B$6:$B$155,0)),"SAI MÃ NV"))</f>
        <v/>
      </c>
      <c r="D1791" s="86" t="n"/>
      <c r="E1791" s="103">
        <f>IF(OR($B1791="",$D1791=""),"",IF(COUNTIF(THAM_SO_CC!$F$10:$F$40,$D1791)&gt;0,"Lễ",IF(IF(THAM_SO_CC!$B$12="T7+CN",WEEKDAY($D1791,2)&gt;=6,WEEKDAY($D1791,2)=7),"Nghỉ tuần","Ngày thường")))</f>
        <v/>
      </c>
      <c r="F1791" s="107" t="n"/>
      <c r="G1791" s="107" t="n"/>
      <c r="H1791" s="107" t="n"/>
      <c r="I1791" s="81" t="n"/>
      <c r="J1791" s="108">
        <f>IF($B1791="","",IF($E1791="Ngày thường",N($G1791),0))</f>
        <v/>
      </c>
      <c r="K1791" s="108">
        <f>IF($B1791="","",IF($E1791="Nghỉ tuần",N($G1791),0))</f>
        <v/>
      </c>
      <c r="L1791" s="108">
        <f>IF($B1791="","",IF($E1791="Lễ",N($G1791),0))</f>
        <v/>
      </c>
      <c r="M1791" s="108">
        <f>IF($B1791="","",IF($E1791="Ngày thường",N($H1791),0))</f>
        <v/>
      </c>
      <c r="N1791" s="108">
        <f>IF($B1791="","",IF($E1791="Nghỉ tuần",N($H1791),0))</f>
        <v/>
      </c>
      <c r="O1791" s="108">
        <f>IF($B1791="","",IF($E1791="Lễ",N($H1791),0))</f>
        <v/>
      </c>
    </row>
    <row r="1792" ht="15" customHeight="1" s="63">
      <c r="A1792" s="85">
        <f>IF($B1792="","",ROW()-5)</f>
        <v/>
      </c>
      <c r="B1792" s="97" t="n"/>
      <c r="C1792" s="96">
        <f>IF($B1792="","",IFERROR(INDEX(DM_NHAN_SU!$C$6:$C$155,MATCH($B1792,DM_NHAN_SU!$B$6:$B$155,0)),"SAI MÃ NV"))</f>
        <v/>
      </c>
      <c r="D1792" s="86" t="n"/>
      <c r="E1792" s="103">
        <f>IF(OR($B1792="",$D1792=""),"",IF(COUNTIF(THAM_SO_CC!$F$10:$F$40,$D1792)&gt;0,"Lễ",IF(IF(THAM_SO_CC!$B$12="T7+CN",WEEKDAY($D1792,2)&gt;=6,WEEKDAY($D1792,2)=7),"Nghỉ tuần","Ngày thường")))</f>
        <v/>
      </c>
      <c r="F1792" s="107" t="n"/>
      <c r="G1792" s="107" t="n"/>
      <c r="H1792" s="107" t="n"/>
      <c r="I1792" s="81" t="n"/>
      <c r="J1792" s="108">
        <f>IF($B1792="","",IF($E1792="Ngày thường",N($G1792),0))</f>
        <v/>
      </c>
      <c r="K1792" s="108">
        <f>IF($B1792="","",IF($E1792="Nghỉ tuần",N($G1792),0))</f>
        <v/>
      </c>
      <c r="L1792" s="108">
        <f>IF($B1792="","",IF($E1792="Lễ",N($G1792),0))</f>
        <v/>
      </c>
      <c r="M1792" s="108">
        <f>IF($B1792="","",IF($E1792="Ngày thường",N($H1792),0))</f>
        <v/>
      </c>
      <c r="N1792" s="108">
        <f>IF($B1792="","",IF($E1792="Nghỉ tuần",N($H1792),0))</f>
        <v/>
      </c>
      <c r="O1792" s="108">
        <f>IF($B1792="","",IF($E1792="Lễ",N($H1792),0))</f>
        <v/>
      </c>
    </row>
    <row r="1793" ht="15" customHeight="1" s="63">
      <c r="A1793" s="85">
        <f>IF($B1793="","",ROW()-5)</f>
        <v/>
      </c>
      <c r="B1793" s="97" t="n"/>
      <c r="C1793" s="96">
        <f>IF($B1793="","",IFERROR(INDEX(DM_NHAN_SU!$C$6:$C$155,MATCH($B1793,DM_NHAN_SU!$B$6:$B$155,0)),"SAI MÃ NV"))</f>
        <v/>
      </c>
      <c r="D1793" s="86" t="n"/>
      <c r="E1793" s="103">
        <f>IF(OR($B1793="",$D1793=""),"",IF(COUNTIF(THAM_SO_CC!$F$10:$F$40,$D1793)&gt;0,"Lễ",IF(IF(THAM_SO_CC!$B$12="T7+CN",WEEKDAY($D1793,2)&gt;=6,WEEKDAY($D1793,2)=7),"Nghỉ tuần","Ngày thường")))</f>
        <v/>
      </c>
      <c r="F1793" s="107" t="n"/>
      <c r="G1793" s="107" t="n"/>
      <c r="H1793" s="107" t="n"/>
      <c r="I1793" s="81" t="n"/>
      <c r="J1793" s="108">
        <f>IF($B1793="","",IF($E1793="Ngày thường",N($G1793),0))</f>
        <v/>
      </c>
      <c r="K1793" s="108">
        <f>IF($B1793="","",IF($E1793="Nghỉ tuần",N($G1793),0))</f>
        <v/>
      </c>
      <c r="L1793" s="108">
        <f>IF($B1793="","",IF($E1793="Lễ",N($G1793),0))</f>
        <v/>
      </c>
      <c r="M1793" s="108">
        <f>IF($B1793="","",IF($E1793="Ngày thường",N($H1793),0))</f>
        <v/>
      </c>
      <c r="N1793" s="108">
        <f>IF($B1793="","",IF($E1793="Nghỉ tuần",N($H1793),0))</f>
        <v/>
      </c>
      <c r="O1793" s="108">
        <f>IF($B1793="","",IF($E1793="Lễ",N($H1793),0))</f>
        <v/>
      </c>
    </row>
    <row r="1794" ht="15" customHeight="1" s="63">
      <c r="A1794" s="85">
        <f>IF($B1794="","",ROW()-5)</f>
        <v/>
      </c>
      <c r="B1794" s="97" t="n"/>
      <c r="C1794" s="96">
        <f>IF($B1794="","",IFERROR(INDEX(DM_NHAN_SU!$C$6:$C$155,MATCH($B1794,DM_NHAN_SU!$B$6:$B$155,0)),"SAI MÃ NV"))</f>
        <v/>
      </c>
      <c r="D1794" s="86" t="n"/>
      <c r="E1794" s="103">
        <f>IF(OR($B1794="",$D1794=""),"",IF(COUNTIF(THAM_SO_CC!$F$10:$F$40,$D1794)&gt;0,"Lễ",IF(IF(THAM_SO_CC!$B$12="T7+CN",WEEKDAY($D1794,2)&gt;=6,WEEKDAY($D1794,2)=7),"Nghỉ tuần","Ngày thường")))</f>
        <v/>
      </c>
      <c r="F1794" s="107" t="n"/>
      <c r="G1794" s="107" t="n"/>
      <c r="H1794" s="107" t="n"/>
      <c r="I1794" s="81" t="n"/>
      <c r="J1794" s="108">
        <f>IF($B1794="","",IF($E1794="Ngày thường",N($G1794),0))</f>
        <v/>
      </c>
      <c r="K1794" s="108">
        <f>IF($B1794="","",IF($E1794="Nghỉ tuần",N($G1794),0))</f>
        <v/>
      </c>
      <c r="L1794" s="108">
        <f>IF($B1794="","",IF($E1794="Lễ",N($G1794),0))</f>
        <v/>
      </c>
      <c r="M1794" s="108">
        <f>IF($B1794="","",IF($E1794="Ngày thường",N($H1794),0))</f>
        <v/>
      </c>
      <c r="N1794" s="108">
        <f>IF($B1794="","",IF($E1794="Nghỉ tuần",N($H1794),0))</f>
        <v/>
      </c>
      <c r="O1794" s="108">
        <f>IF($B1794="","",IF($E1794="Lễ",N($H1794),0))</f>
        <v/>
      </c>
    </row>
    <row r="1795" ht="15" customHeight="1" s="63">
      <c r="A1795" s="85">
        <f>IF($B1795="","",ROW()-5)</f>
        <v/>
      </c>
      <c r="B1795" s="97" t="n"/>
      <c r="C1795" s="96">
        <f>IF($B1795="","",IFERROR(INDEX(DM_NHAN_SU!$C$6:$C$155,MATCH($B1795,DM_NHAN_SU!$B$6:$B$155,0)),"SAI MÃ NV"))</f>
        <v/>
      </c>
      <c r="D1795" s="86" t="n"/>
      <c r="E1795" s="103">
        <f>IF(OR($B1795="",$D1795=""),"",IF(COUNTIF(THAM_SO_CC!$F$10:$F$40,$D1795)&gt;0,"Lễ",IF(IF(THAM_SO_CC!$B$12="T7+CN",WEEKDAY($D1795,2)&gt;=6,WEEKDAY($D1795,2)=7),"Nghỉ tuần","Ngày thường")))</f>
        <v/>
      </c>
      <c r="F1795" s="107" t="n"/>
      <c r="G1795" s="107" t="n"/>
      <c r="H1795" s="107" t="n"/>
      <c r="I1795" s="81" t="n"/>
      <c r="J1795" s="108">
        <f>IF($B1795="","",IF($E1795="Ngày thường",N($G1795),0))</f>
        <v/>
      </c>
      <c r="K1795" s="108">
        <f>IF($B1795="","",IF($E1795="Nghỉ tuần",N($G1795),0))</f>
        <v/>
      </c>
      <c r="L1795" s="108">
        <f>IF($B1795="","",IF($E1795="Lễ",N($G1795),0))</f>
        <v/>
      </c>
      <c r="M1795" s="108">
        <f>IF($B1795="","",IF($E1795="Ngày thường",N($H1795),0))</f>
        <v/>
      </c>
      <c r="N1795" s="108">
        <f>IF($B1795="","",IF($E1795="Nghỉ tuần",N($H1795),0))</f>
        <v/>
      </c>
      <c r="O1795" s="108">
        <f>IF($B1795="","",IF($E1795="Lễ",N($H1795),0))</f>
        <v/>
      </c>
    </row>
    <row r="1796" ht="15" customHeight="1" s="63">
      <c r="A1796" s="85">
        <f>IF($B1796="","",ROW()-5)</f>
        <v/>
      </c>
      <c r="B1796" s="97" t="n"/>
      <c r="C1796" s="96">
        <f>IF($B1796="","",IFERROR(INDEX(DM_NHAN_SU!$C$6:$C$155,MATCH($B1796,DM_NHAN_SU!$B$6:$B$155,0)),"SAI MÃ NV"))</f>
        <v/>
      </c>
      <c r="D1796" s="86" t="n"/>
      <c r="E1796" s="103">
        <f>IF(OR($B1796="",$D1796=""),"",IF(COUNTIF(THAM_SO_CC!$F$10:$F$40,$D1796)&gt;0,"Lễ",IF(IF(THAM_SO_CC!$B$12="T7+CN",WEEKDAY($D1796,2)&gt;=6,WEEKDAY($D1796,2)=7),"Nghỉ tuần","Ngày thường")))</f>
        <v/>
      </c>
      <c r="F1796" s="107" t="n"/>
      <c r="G1796" s="107" t="n"/>
      <c r="H1796" s="107" t="n"/>
      <c r="I1796" s="81" t="n"/>
      <c r="J1796" s="108">
        <f>IF($B1796="","",IF($E1796="Ngày thường",N($G1796),0))</f>
        <v/>
      </c>
      <c r="K1796" s="108">
        <f>IF($B1796="","",IF($E1796="Nghỉ tuần",N($G1796),0))</f>
        <v/>
      </c>
      <c r="L1796" s="108">
        <f>IF($B1796="","",IF($E1796="Lễ",N($G1796),0))</f>
        <v/>
      </c>
      <c r="M1796" s="108">
        <f>IF($B1796="","",IF($E1796="Ngày thường",N($H1796),0))</f>
        <v/>
      </c>
      <c r="N1796" s="108">
        <f>IF($B1796="","",IF($E1796="Nghỉ tuần",N($H1796),0))</f>
        <v/>
      </c>
      <c r="O1796" s="108">
        <f>IF($B1796="","",IF($E1796="Lễ",N($H1796),0))</f>
        <v/>
      </c>
    </row>
    <row r="1797" ht="15" customHeight="1" s="63">
      <c r="A1797" s="85">
        <f>IF($B1797="","",ROW()-5)</f>
        <v/>
      </c>
      <c r="B1797" s="97" t="n"/>
      <c r="C1797" s="96">
        <f>IF($B1797="","",IFERROR(INDEX(DM_NHAN_SU!$C$6:$C$155,MATCH($B1797,DM_NHAN_SU!$B$6:$B$155,0)),"SAI MÃ NV"))</f>
        <v/>
      </c>
      <c r="D1797" s="86" t="n"/>
      <c r="E1797" s="103">
        <f>IF(OR($B1797="",$D1797=""),"",IF(COUNTIF(THAM_SO_CC!$F$10:$F$40,$D1797)&gt;0,"Lễ",IF(IF(THAM_SO_CC!$B$12="T7+CN",WEEKDAY($D1797,2)&gt;=6,WEEKDAY($D1797,2)=7),"Nghỉ tuần","Ngày thường")))</f>
        <v/>
      </c>
      <c r="F1797" s="107" t="n"/>
      <c r="G1797" s="107" t="n"/>
      <c r="H1797" s="107" t="n"/>
      <c r="I1797" s="81" t="n"/>
      <c r="J1797" s="108">
        <f>IF($B1797="","",IF($E1797="Ngày thường",N($G1797),0))</f>
        <v/>
      </c>
      <c r="K1797" s="108">
        <f>IF($B1797="","",IF($E1797="Nghỉ tuần",N($G1797),0))</f>
        <v/>
      </c>
      <c r="L1797" s="108">
        <f>IF($B1797="","",IF($E1797="Lễ",N($G1797),0))</f>
        <v/>
      </c>
      <c r="M1797" s="108">
        <f>IF($B1797="","",IF($E1797="Ngày thường",N($H1797),0))</f>
        <v/>
      </c>
      <c r="N1797" s="108">
        <f>IF($B1797="","",IF($E1797="Nghỉ tuần",N($H1797),0))</f>
        <v/>
      </c>
      <c r="O1797" s="108">
        <f>IF($B1797="","",IF($E1797="Lễ",N($H1797),0))</f>
        <v/>
      </c>
    </row>
    <row r="1798" ht="15" customHeight="1" s="63">
      <c r="A1798" s="85">
        <f>IF($B1798="","",ROW()-5)</f>
        <v/>
      </c>
      <c r="B1798" s="97" t="n"/>
      <c r="C1798" s="96">
        <f>IF($B1798="","",IFERROR(INDEX(DM_NHAN_SU!$C$6:$C$155,MATCH($B1798,DM_NHAN_SU!$B$6:$B$155,0)),"SAI MÃ NV"))</f>
        <v/>
      </c>
      <c r="D1798" s="86" t="n"/>
      <c r="E1798" s="103">
        <f>IF(OR($B1798="",$D1798=""),"",IF(COUNTIF(THAM_SO_CC!$F$10:$F$40,$D1798)&gt;0,"Lễ",IF(IF(THAM_SO_CC!$B$12="T7+CN",WEEKDAY($D1798,2)&gt;=6,WEEKDAY($D1798,2)=7),"Nghỉ tuần","Ngày thường")))</f>
        <v/>
      </c>
      <c r="F1798" s="107" t="n"/>
      <c r="G1798" s="107" t="n"/>
      <c r="H1798" s="107" t="n"/>
      <c r="I1798" s="81" t="n"/>
      <c r="J1798" s="108">
        <f>IF($B1798="","",IF($E1798="Ngày thường",N($G1798),0))</f>
        <v/>
      </c>
      <c r="K1798" s="108">
        <f>IF($B1798="","",IF($E1798="Nghỉ tuần",N($G1798),0))</f>
        <v/>
      </c>
      <c r="L1798" s="108">
        <f>IF($B1798="","",IF($E1798="Lễ",N($G1798),0))</f>
        <v/>
      </c>
      <c r="M1798" s="108">
        <f>IF($B1798="","",IF($E1798="Ngày thường",N($H1798),0))</f>
        <v/>
      </c>
      <c r="N1798" s="108">
        <f>IF($B1798="","",IF($E1798="Nghỉ tuần",N($H1798),0))</f>
        <v/>
      </c>
      <c r="O1798" s="108">
        <f>IF($B1798="","",IF($E1798="Lễ",N($H1798),0))</f>
        <v/>
      </c>
    </row>
    <row r="1799" ht="15" customHeight="1" s="63">
      <c r="A1799" s="85">
        <f>IF($B1799="","",ROW()-5)</f>
        <v/>
      </c>
      <c r="B1799" s="97" t="n"/>
      <c r="C1799" s="96">
        <f>IF($B1799="","",IFERROR(INDEX(DM_NHAN_SU!$C$6:$C$155,MATCH($B1799,DM_NHAN_SU!$B$6:$B$155,0)),"SAI MÃ NV"))</f>
        <v/>
      </c>
      <c r="D1799" s="86" t="n"/>
      <c r="E1799" s="103">
        <f>IF(OR($B1799="",$D1799=""),"",IF(COUNTIF(THAM_SO_CC!$F$10:$F$40,$D1799)&gt;0,"Lễ",IF(IF(THAM_SO_CC!$B$12="T7+CN",WEEKDAY($D1799,2)&gt;=6,WEEKDAY($D1799,2)=7),"Nghỉ tuần","Ngày thường")))</f>
        <v/>
      </c>
      <c r="F1799" s="107" t="n"/>
      <c r="G1799" s="107" t="n"/>
      <c r="H1799" s="107" t="n"/>
      <c r="I1799" s="81" t="n"/>
      <c r="J1799" s="108">
        <f>IF($B1799="","",IF($E1799="Ngày thường",N($G1799),0))</f>
        <v/>
      </c>
      <c r="K1799" s="108">
        <f>IF($B1799="","",IF($E1799="Nghỉ tuần",N($G1799),0))</f>
        <v/>
      </c>
      <c r="L1799" s="108">
        <f>IF($B1799="","",IF($E1799="Lễ",N($G1799),0))</f>
        <v/>
      </c>
      <c r="M1799" s="108">
        <f>IF($B1799="","",IF($E1799="Ngày thường",N($H1799),0))</f>
        <v/>
      </c>
      <c r="N1799" s="108">
        <f>IF($B1799="","",IF($E1799="Nghỉ tuần",N($H1799),0))</f>
        <v/>
      </c>
      <c r="O1799" s="108">
        <f>IF($B1799="","",IF($E1799="Lễ",N($H1799),0))</f>
        <v/>
      </c>
    </row>
    <row r="1800" ht="15" customHeight="1" s="63">
      <c r="A1800" s="85">
        <f>IF($B1800="","",ROW()-5)</f>
        <v/>
      </c>
      <c r="B1800" s="97" t="n"/>
      <c r="C1800" s="96">
        <f>IF($B1800="","",IFERROR(INDEX(DM_NHAN_SU!$C$6:$C$155,MATCH($B1800,DM_NHAN_SU!$B$6:$B$155,0)),"SAI MÃ NV"))</f>
        <v/>
      </c>
      <c r="D1800" s="86" t="n"/>
      <c r="E1800" s="103">
        <f>IF(OR($B1800="",$D1800=""),"",IF(COUNTIF(THAM_SO_CC!$F$10:$F$40,$D1800)&gt;0,"Lễ",IF(IF(THAM_SO_CC!$B$12="T7+CN",WEEKDAY($D1800,2)&gt;=6,WEEKDAY($D1800,2)=7),"Nghỉ tuần","Ngày thường")))</f>
        <v/>
      </c>
      <c r="F1800" s="107" t="n"/>
      <c r="G1800" s="107" t="n"/>
      <c r="H1800" s="107" t="n"/>
      <c r="I1800" s="81" t="n"/>
      <c r="J1800" s="108">
        <f>IF($B1800="","",IF($E1800="Ngày thường",N($G1800),0))</f>
        <v/>
      </c>
      <c r="K1800" s="108">
        <f>IF($B1800="","",IF($E1800="Nghỉ tuần",N($G1800),0))</f>
        <v/>
      </c>
      <c r="L1800" s="108">
        <f>IF($B1800="","",IF($E1800="Lễ",N($G1800),0))</f>
        <v/>
      </c>
      <c r="M1800" s="108">
        <f>IF($B1800="","",IF($E1800="Ngày thường",N($H1800),0))</f>
        <v/>
      </c>
      <c r="N1800" s="108">
        <f>IF($B1800="","",IF($E1800="Nghỉ tuần",N($H1800),0))</f>
        <v/>
      </c>
      <c r="O1800" s="108">
        <f>IF($B1800="","",IF($E1800="Lễ",N($H1800),0))</f>
        <v/>
      </c>
    </row>
    <row r="1801" ht="15" customHeight="1" s="63">
      <c r="A1801" s="85">
        <f>IF($B1801="","",ROW()-5)</f>
        <v/>
      </c>
      <c r="B1801" s="97" t="n"/>
      <c r="C1801" s="96">
        <f>IF($B1801="","",IFERROR(INDEX(DM_NHAN_SU!$C$6:$C$155,MATCH($B1801,DM_NHAN_SU!$B$6:$B$155,0)),"SAI MÃ NV"))</f>
        <v/>
      </c>
      <c r="D1801" s="86" t="n"/>
      <c r="E1801" s="103">
        <f>IF(OR($B1801="",$D1801=""),"",IF(COUNTIF(THAM_SO_CC!$F$10:$F$40,$D1801)&gt;0,"Lễ",IF(IF(THAM_SO_CC!$B$12="T7+CN",WEEKDAY($D1801,2)&gt;=6,WEEKDAY($D1801,2)=7),"Nghỉ tuần","Ngày thường")))</f>
        <v/>
      </c>
      <c r="F1801" s="107" t="n"/>
      <c r="G1801" s="107" t="n"/>
      <c r="H1801" s="107" t="n"/>
      <c r="I1801" s="81" t="n"/>
      <c r="J1801" s="108">
        <f>IF($B1801="","",IF($E1801="Ngày thường",N($G1801),0))</f>
        <v/>
      </c>
      <c r="K1801" s="108">
        <f>IF($B1801="","",IF($E1801="Nghỉ tuần",N($G1801),0))</f>
        <v/>
      </c>
      <c r="L1801" s="108">
        <f>IF($B1801="","",IF($E1801="Lễ",N($G1801),0))</f>
        <v/>
      </c>
      <c r="M1801" s="108">
        <f>IF($B1801="","",IF($E1801="Ngày thường",N($H1801),0))</f>
        <v/>
      </c>
      <c r="N1801" s="108">
        <f>IF($B1801="","",IF($E1801="Nghỉ tuần",N($H1801),0))</f>
        <v/>
      </c>
      <c r="O1801" s="108">
        <f>IF($B1801="","",IF($E1801="Lễ",N($H1801),0))</f>
        <v/>
      </c>
    </row>
    <row r="1802" ht="15" customHeight="1" s="63">
      <c r="A1802" s="85">
        <f>IF($B1802="","",ROW()-5)</f>
        <v/>
      </c>
      <c r="B1802" s="97" t="n"/>
      <c r="C1802" s="96">
        <f>IF($B1802="","",IFERROR(INDEX(DM_NHAN_SU!$C$6:$C$155,MATCH($B1802,DM_NHAN_SU!$B$6:$B$155,0)),"SAI MÃ NV"))</f>
        <v/>
      </c>
      <c r="D1802" s="86" t="n"/>
      <c r="E1802" s="103">
        <f>IF(OR($B1802="",$D1802=""),"",IF(COUNTIF(THAM_SO_CC!$F$10:$F$40,$D1802)&gt;0,"Lễ",IF(IF(THAM_SO_CC!$B$12="T7+CN",WEEKDAY($D1802,2)&gt;=6,WEEKDAY($D1802,2)=7),"Nghỉ tuần","Ngày thường")))</f>
        <v/>
      </c>
      <c r="F1802" s="107" t="n"/>
      <c r="G1802" s="107" t="n"/>
      <c r="H1802" s="107" t="n"/>
      <c r="I1802" s="81" t="n"/>
      <c r="J1802" s="108">
        <f>IF($B1802="","",IF($E1802="Ngày thường",N($G1802),0))</f>
        <v/>
      </c>
      <c r="K1802" s="108">
        <f>IF($B1802="","",IF($E1802="Nghỉ tuần",N($G1802),0))</f>
        <v/>
      </c>
      <c r="L1802" s="108">
        <f>IF($B1802="","",IF($E1802="Lễ",N($G1802),0))</f>
        <v/>
      </c>
      <c r="M1802" s="108">
        <f>IF($B1802="","",IF($E1802="Ngày thường",N($H1802),0))</f>
        <v/>
      </c>
      <c r="N1802" s="108">
        <f>IF($B1802="","",IF($E1802="Nghỉ tuần",N($H1802),0))</f>
        <v/>
      </c>
      <c r="O1802" s="108">
        <f>IF($B1802="","",IF($E1802="Lễ",N($H1802),0))</f>
        <v/>
      </c>
    </row>
    <row r="1803" ht="15" customHeight="1" s="63">
      <c r="A1803" s="85">
        <f>IF($B1803="","",ROW()-5)</f>
        <v/>
      </c>
      <c r="B1803" s="97" t="n"/>
      <c r="C1803" s="96">
        <f>IF($B1803="","",IFERROR(INDEX(DM_NHAN_SU!$C$6:$C$155,MATCH($B1803,DM_NHAN_SU!$B$6:$B$155,0)),"SAI MÃ NV"))</f>
        <v/>
      </c>
      <c r="D1803" s="86" t="n"/>
      <c r="E1803" s="103">
        <f>IF(OR($B1803="",$D1803=""),"",IF(COUNTIF(THAM_SO_CC!$F$10:$F$40,$D1803)&gt;0,"Lễ",IF(IF(THAM_SO_CC!$B$12="T7+CN",WEEKDAY($D1803,2)&gt;=6,WEEKDAY($D1803,2)=7),"Nghỉ tuần","Ngày thường")))</f>
        <v/>
      </c>
      <c r="F1803" s="107" t="n"/>
      <c r="G1803" s="107" t="n"/>
      <c r="H1803" s="107" t="n"/>
      <c r="I1803" s="81" t="n"/>
      <c r="J1803" s="108">
        <f>IF($B1803="","",IF($E1803="Ngày thường",N($G1803),0))</f>
        <v/>
      </c>
      <c r="K1803" s="108">
        <f>IF($B1803="","",IF($E1803="Nghỉ tuần",N($G1803),0))</f>
        <v/>
      </c>
      <c r="L1803" s="108">
        <f>IF($B1803="","",IF($E1803="Lễ",N($G1803),0))</f>
        <v/>
      </c>
      <c r="M1803" s="108">
        <f>IF($B1803="","",IF($E1803="Ngày thường",N($H1803),0))</f>
        <v/>
      </c>
      <c r="N1803" s="108">
        <f>IF($B1803="","",IF($E1803="Nghỉ tuần",N($H1803),0))</f>
        <v/>
      </c>
      <c r="O1803" s="108">
        <f>IF($B1803="","",IF($E1803="Lễ",N($H1803),0))</f>
        <v/>
      </c>
    </row>
    <row r="1804" ht="15" customHeight="1" s="63">
      <c r="A1804" s="85">
        <f>IF($B1804="","",ROW()-5)</f>
        <v/>
      </c>
      <c r="B1804" s="97" t="n"/>
      <c r="C1804" s="96">
        <f>IF($B1804="","",IFERROR(INDEX(DM_NHAN_SU!$C$6:$C$155,MATCH($B1804,DM_NHAN_SU!$B$6:$B$155,0)),"SAI MÃ NV"))</f>
        <v/>
      </c>
      <c r="D1804" s="86" t="n"/>
      <c r="E1804" s="103">
        <f>IF(OR($B1804="",$D1804=""),"",IF(COUNTIF(THAM_SO_CC!$F$10:$F$40,$D1804)&gt;0,"Lễ",IF(IF(THAM_SO_CC!$B$12="T7+CN",WEEKDAY($D1804,2)&gt;=6,WEEKDAY($D1804,2)=7),"Nghỉ tuần","Ngày thường")))</f>
        <v/>
      </c>
      <c r="F1804" s="107" t="n"/>
      <c r="G1804" s="107" t="n"/>
      <c r="H1804" s="107" t="n"/>
      <c r="I1804" s="81" t="n"/>
      <c r="J1804" s="108">
        <f>IF($B1804="","",IF($E1804="Ngày thường",N($G1804),0))</f>
        <v/>
      </c>
      <c r="K1804" s="108">
        <f>IF($B1804="","",IF($E1804="Nghỉ tuần",N($G1804),0))</f>
        <v/>
      </c>
      <c r="L1804" s="108">
        <f>IF($B1804="","",IF($E1804="Lễ",N($G1804),0))</f>
        <v/>
      </c>
      <c r="M1804" s="108">
        <f>IF($B1804="","",IF($E1804="Ngày thường",N($H1804),0))</f>
        <v/>
      </c>
      <c r="N1804" s="108">
        <f>IF($B1804="","",IF($E1804="Nghỉ tuần",N($H1804),0))</f>
        <v/>
      </c>
      <c r="O1804" s="108">
        <f>IF($B1804="","",IF($E1804="Lễ",N($H1804),0))</f>
        <v/>
      </c>
    </row>
    <row r="1805" ht="15" customHeight="1" s="63">
      <c r="A1805" s="85">
        <f>IF($B1805="","",ROW()-5)</f>
        <v/>
      </c>
      <c r="B1805" s="97" t="n"/>
      <c r="C1805" s="96">
        <f>IF($B1805="","",IFERROR(INDEX(DM_NHAN_SU!$C$6:$C$155,MATCH($B1805,DM_NHAN_SU!$B$6:$B$155,0)),"SAI MÃ NV"))</f>
        <v/>
      </c>
      <c r="D1805" s="86" t="n"/>
      <c r="E1805" s="103">
        <f>IF(OR($B1805="",$D1805=""),"",IF(COUNTIF(THAM_SO_CC!$F$10:$F$40,$D1805)&gt;0,"Lễ",IF(IF(THAM_SO_CC!$B$12="T7+CN",WEEKDAY($D1805,2)&gt;=6,WEEKDAY($D1805,2)=7),"Nghỉ tuần","Ngày thường")))</f>
        <v/>
      </c>
      <c r="F1805" s="107" t="n"/>
      <c r="G1805" s="107" t="n"/>
      <c r="H1805" s="107" t="n"/>
      <c r="I1805" s="81" t="n"/>
      <c r="J1805" s="108">
        <f>IF($B1805="","",IF($E1805="Ngày thường",N($G1805),0))</f>
        <v/>
      </c>
      <c r="K1805" s="108">
        <f>IF($B1805="","",IF($E1805="Nghỉ tuần",N($G1805),0))</f>
        <v/>
      </c>
      <c r="L1805" s="108">
        <f>IF($B1805="","",IF($E1805="Lễ",N($G1805),0))</f>
        <v/>
      </c>
      <c r="M1805" s="108">
        <f>IF($B1805="","",IF($E1805="Ngày thường",N($H1805),0))</f>
        <v/>
      </c>
      <c r="N1805" s="108">
        <f>IF($B1805="","",IF($E1805="Nghỉ tuần",N($H1805),0))</f>
        <v/>
      </c>
      <c r="O1805" s="108">
        <f>IF($B1805="","",IF($E1805="Lễ",N($H1805),0))</f>
        <v/>
      </c>
    </row>
    <row r="1806" ht="15" customHeight="1" s="63">
      <c r="A1806" s="85">
        <f>IF($B1806="","",ROW()-5)</f>
        <v/>
      </c>
      <c r="B1806" s="97" t="n"/>
      <c r="C1806" s="96">
        <f>IF($B1806="","",IFERROR(INDEX(DM_NHAN_SU!$C$6:$C$155,MATCH($B1806,DM_NHAN_SU!$B$6:$B$155,0)),"SAI MÃ NV"))</f>
        <v/>
      </c>
      <c r="D1806" s="86" t="n"/>
      <c r="E1806" s="103">
        <f>IF(OR($B1806="",$D1806=""),"",IF(COUNTIF(THAM_SO_CC!$F$10:$F$40,$D1806)&gt;0,"Lễ",IF(IF(THAM_SO_CC!$B$12="T7+CN",WEEKDAY($D1806,2)&gt;=6,WEEKDAY($D1806,2)=7),"Nghỉ tuần","Ngày thường")))</f>
        <v/>
      </c>
      <c r="F1806" s="107" t="n"/>
      <c r="G1806" s="107" t="n"/>
      <c r="H1806" s="107" t="n"/>
      <c r="I1806" s="81" t="n"/>
      <c r="J1806" s="108">
        <f>IF($B1806="","",IF($E1806="Ngày thường",N($G1806),0))</f>
        <v/>
      </c>
      <c r="K1806" s="108">
        <f>IF($B1806="","",IF($E1806="Nghỉ tuần",N($G1806),0))</f>
        <v/>
      </c>
      <c r="L1806" s="108">
        <f>IF($B1806="","",IF($E1806="Lễ",N($G1806),0))</f>
        <v/>
      </c>
      <c r="M1806" s="108">
        <f>IF($B1806="","",IF($E1806="Ngày thường",N($H1806),0))</f>
        <v/>
      </c>
      <c r="N1806" s="108">
        <f>IF($B1806="","",IF($E1806="Nghỉ tuần",N($H1806),0))</f>
        <v/>
      </c>
      <c r="O1806" s="108">
        <f>IF($B1806="","",IF($E1806="Lễ",N($H1806),0))</f>
        <v/>
      </c>
    </row>
    <row r="1807" ht="15" customHeight="1" s="63">
      <c r="A1807" s="85">
        <f>IF($B1807="","",ROW()-5)</f>
        <v/>
      </c>
      <c r="B1807" s="97" t="n"/>
      <c r="C1807" s="96">
        <f>IF($B1807="","",IFERROR(INDEX(DM_NHAN_SU!$C$6:$C$155,MATCH($B1807,DM_NHAN_SU!$B$6:$B$155,0)),"SAI MÃ NV"))</f>
        <v/>
      </c>
      <c r="D1807" s="86" t="n"/>
      <c r="E1807" s="103">
        <f>IF(OR($B1807="",$D1807=""),"",IF(COUNTIF(THAM_SO_CC!$F$10:$F$40,$D1807)&gt;0,"Lễ",IF(IF(THAM_SO_CC!$B$12="T7+CN",WEEKDAY($D1807,2)&gt;=6,WEEKDAY($D1807,2)=7),"Nghỉ tuần","Ngày thường")))</f>
        <v/>
      </c>
      <c r="F1807" s="107" t="n"/>
      <c r="G1807" s="107" t="n"/>
      <c r="H1807" s="107" t="n"/>
      <c r="I1807" s="81" t="n"/>
      <c r="J1807" s="108">
        <f>IF($B1807="","",IF($E1807="Ngày thường",N($G1807),0))</f>
        <v/>
      </c>
      <c r="K1807" s="108">
        <f>IF($B1807="","",IF($E1807="Nghỉ tuần",N($G1807),0))</f>
        <v/>
      </c>
      <c r="L1807" s="108">
        <f>IF($B1807="","",IF($E1807="Lễ",N($G1807),0))</f>
        <v/>
      </c>
      <c r="M1807" s="108">
        <f>IF($B1807="","",IF($E1807="Ngày thường",N($H1807),0))</f>
        <v/>
      </c>
      <c r="N1807" s="108">
        <f>IF($B1807="","",IF($E1807="Nghỉ tuần",N($H1807),0))</f>
        <v/>
      </c>
      <c r="O1807" s="108">
        <f>IF($B1807="","",IF($E1807="Lễ",N($H1807),0))</f>
        <v/>
      </c>
    </row>
    <row r="1808" ht="15" customHeight="1" s="63">
      <c r="A1808" s="85">
        <f>IF($B1808="","",ROW()-5)</f>
        <v/>
      </c>
      <c r="B1808" s="97" t="n"/>
      <c r="C1808" s="96">
        <f>IF($B1808="","",IFERROR(INDEX(DM_NHAN_SU!$C$6:$C$155,MATCH($B1808,DM_NHAN_SU!$B$6:$B$155,0)),"SAI MÃ NV"))</f>
        <v/>
      </c>
      <c r="D1808" s="86" t="n"/>
      <c r="E1808" s="103">
        <f>IF(OR($B1808="",$D1808=""),"",IF(COUNTIF(THAM_SO_CC!$F$10:$F$40,$D1808)&gt;0,"Lễ",IF(IF(THAM_SO_CC!$B$12="T7+CN",WEEKDAY($D1808,2)&gt;=6,WEEKDAY($D1808,2)=7),"Nghỉ tuần","Ngày thường")))</f>
        <v/>
      </c>
      <c r="F1808" s="107" t="n"/>
      <c r="G1808" s="107" t="n"/>
      <c r="H1808" s="107" t="n"/>
      <c r="I1808" s="81" t="n"/>
      <c r="J1808" s="108">
        <f>IF($B1808="","",IF($E1808="Ngày thường",N($G1808),0))</f>
        <v/>
      </c>
      <c r="K1808" s="108">
        <f>IF($B1808="","",IF($E1808="Nghỉ tuần",N($G1808),0))</f>
        <v/>
      </c>
      <c r="L1808" s="108">
        <f>IF($B1808="","",IF($E1808="Lễ",N($G1808),0))</f>
        <v/>
      </c>
      <c r="M1808" s="108">
        <f>IF($B1808="","",IF($E1808="Ngày thường",N($H1808),0))</f>
        <v/>
      </c>
      <c r="N1808" s="108">
        <f>IF($B1808="","",IF($E1808="Nghỉ tuần",N($H1808),0))</f>
        <v/>
      </c>
      <c r="O1808" s="108">
        <f>IF($B1808="","",IF($E1808="Lễ",N($H1808),0))</f>
        <v/>
      </c>
    </row>
    <row r="1809" ht="15" customHeight="1" s="63">
      <c r="A1809" s="85">
        <f>IF($B1809="","",ROW()-5)</f>
        <v/>
      </c>
      <c r="B1809" s="97" t="n"/>
      <c r="C1809" s="96">
        <f>IF($B1809="","",IFERROR(INDEX(DM_NHAN_SU!$C$6:$C$155,MATCH($B1809,DM_NHAN_SU!$B$6:$B$155,0)),"SAI MÃ NV"))</f>
        <v/>
      </c>
      <c r="D1809" s="86" t="n"/>
      <c r="E1809" s="103">
        <f>IF(OR($B1809="",$D1809=""),"",IF(COUNTIF(THAM_SO_CC!$F$10:$F$40,$D1809)&gt;0,"Lễ",IF(IF(THAM_SO_CC!$B$12="T7+CN",WEEKDAY($D1809,2)&gt;=6,WEEKDAY($D1809,2)=7),"Nghỉ tuần","Ngày thường")))</f>
        <v/>
      </c>
      <c r="F1809" s="107" t="n"/>
      <c r="G1809" s="107" t="n"/>
      <c r="H1809" s="107" t="n"/>
      <c r="I1809" s="81" t="n"/>
      <c r="J1809" s="108">
        <f>IF($B1809="","",IF($E1809="Ngày thường",N($G1809),0))</f>
        <v/>
      </c>
      <c r="K1809" s="108">
        <f>IF($B1809="","",IF($E1809="Nghỉ tuần",N($G1809),0))</f>
        <v/>
      </c>
      <c r="L1809" s="108">
        <f>IF($B1809="","",IF($E1809="Lễ",N($G1809),0))</f>
        <v/>
      </c>
      <c r="M1809" s="108">
        <f>IF($B1809="","",IF($E1809="Ngày thường",N($H1809),0))</f>
        <v/>
      </c>
      <c r="N1809" s="108">
        <f>IF($B1809="","",IF($E1809="Nghỉ tuần",N($H1809),0))</f>
        <v/>
      </c>
      <c r="O1809" s="108">
        <f>IF($B1809="","",IF($E1809="Lễ",N($H1809),0))</f>
        <v/>
      </c>
    </row>
    <row r="1810" ht="15" customHeight="1" s="63">
      <c r="A1810" s="85">
        <f>IF($B1810="","",ROW()-5)</f>
        <v/>
      </c>
      <c r="B1810" s="97" t="n"/>
      <c r="C1810" s="96">
        <f>IF($B1810="","",IFERROR(INDEX(DM_NHAN_SU!$C$6:$C$155,MATCH($B1810,DM_NHAN_SU!$B$6:$B$155,0)),"SAI MÃ NV"))</f>
        <v/>
      </c>
      <c r="D1810" s="86" t="n"/>
      <c r="E1810" s="103">
        <f>IF(OR($B1810="",$D1810=""),"",IF(COUNTIF(THAM_SO_CC!$F$10:$F$40,$D1810)&gt;0,"Lễ",IF(IF(THAM_SO_CC!$B$12="T7+CN",WEEKDAY($D1810,2)&gt;=6,WEEKDAY($D1810,2)=7),"Nghỉ tuần","Ngày thường")))</f>
        <v/>
      </c>
      <c r="F1810" s="107" t="n"/>
      <c r="G1810" s="107" t="n"/>
      <c r="H1810" s="107" t="n"/>
      <c r="I1810" s="81" t="n"/>
      <c r="J1810" s="108">
        <f>IF($B1810="","",IF($E1810="Ngày thường",N($G1810),0))</f>
        <v/>
      </c>
      <c r="K1810" s="108">
        <f>IF($B1810="","",IF($E1810="Nghỉ tuần",N($G1810),0))</f>
        <v/>
      </c>
      <c r="L1810" s="108">
        <f>IF($B1810="","",IF($E1810="Lễ",N($G1810),0))</f>
        <v/>
      </c>
      <c r="M1810" s="108">
        <f>IF($B1810="","",IF($E1810="Ngày thường",N($H1810),0))</f>
        <v/>
      </c>
      <c r="N1810" s="108">
        <f>IF($B1810="","",IF($E1810="Nghỉ tuần",N($H1810),0))</f>
        <v/>
      </c>
      <c r="O1810" s="108">
        <f>IF($B1810="","",IF($E1810="Lễ",N($H1810),0))</f>
        <v/>
      </c>
    </row>
    <row r="1811" ht="15" customHeight="1" s="63">
      <c r="A1811" s="85">
        <f>IF($B1811="","",ROW()-5)</f>
        <v/>
      </c>
      <c r="B1811" s="97" t="n"/>
      <c r="C1811" s="96">
        <f>IF($B1811="","",IFERROR(INDEX(DM_NHAN_SU!$C$6:$C$155,MATCH($B1811,DM_NHAN_SU!$B$6:$B$155,0)),"SAI MÃ NV"))</f>
        <v/>
      </c>
      <c r="D1811" s="86" t="n"/>
      <c r="E1811" s="103">
        <f>IF(OR($B1811="",$D1811=""),"",IF(COUNTIF(THAM_SO_CC!$F$10:$F$40,$D1811)&gt;0,"Lễ",IF(IF(THAM_SO_CC!$B$12="T7+CN",WEEKDAY($D1811,2)&gt;=6,WEEKDAY($D1811,2)=7),"Nghỉ tuần","Ngày thường")))</f>
        <v/>
      </c>
      <c r="F1811" s="107" t="n"/>
      <c r="G1811" s="107" t="n"/>
      <c r="H1811" s="107" t="n"/>
      <c r="I1811" s="81" t="n"/>
      <c r="J1811" s="108">
        <f>IF($B1811="","",IF($E1811="Ngày thường",N($G1811),0))</f>
        <v/>
      </c>
      <c r="K1811" s="108">
        <f>IF($B1811="","",IF($E1811="Nghỉ tuần",N($G1811),0))</f>
        <v/>
      </c>
      <c r="L1811" s="108">
        <f>IF($B1811="","",IF($E1811="Lễ",N($G1811),0))</f>
        <v/>
      </c>
      <c r="M1811" s="108">
        <f>IF($B1811="","",IF($E1811="Ngày thường",N($H1811),0))</f>
        <v/>
      </c>
      <c r="N1811" s="108">
        <f>IF($B1811="","",IF($E1811="Nghỉ tuần",N($H1811),0))</f>
        <v/>
      </c>
      <c r="O1811" s="108">
        <f>IF($B1811="","",IF($E1811="Lễ",N($H1811),0))</f>
        <v/>
      </c>
    </row>
    <row r="1812" ht="15" customHeight="1" s="63">
      <c r="A1812" s="85">
        <f>IF($B1812="","",ROW()-5)</f>
        <v/>
      </c>
      <c r="B1812" s="97" t="n"/>
      <c r="C1812" s="96">
        <f>IF($B1812="","",IFERROR(INDEX(DM_NHAN_SU!$C$6:$C$155,MATCH($B1812,DM_NHAN_SU!$B$6:$B$155,0)),"SAI MÃ NV"))</f>
        <v/>
      </c>
      <c r="D1812" s="86" t="n"/>
      <c r="E1812" s="103">
        <f>IF(OR($B1812="",$D1812=""),"",IF(COUNTIF(THAM_SO_CC!$F$10:$F$40,$D1812)&gt;0,"Lễ",IF(IF(THAM_SO_CC!$B$12="T7+CN",WEEKDAY($D1812,2)&gt;=6,WEEKDAY($D1812,2)=7),"Nghỉ tuần","Ngày thường")))</f>
        <v/>
      </c>
      <c r="F1812" s="107" t="n"/>
      <c r="G1812" s="107" t="n"/>
      <c r="H1812" s="107" t="n"/>
      <c r="I1812" s="81" t="n"/>
      <c r="J1812" s="108">
        <f>IF($B1812="","",IF($E1812="Ngày thường",N($G1812),0))</f>
        <v/>
      </c>
      <c r="K1812" s="108">
        <f>IF($B1812="","",IF($E1812="Nghỉ tuần",N($G1812),0))</f>
        <v/>
      </c>
      <c r="L1812" s="108">
        <f>IF($B1812="","",IF($E1812="Lễ",N($G1812),0))</f>
        <v/>
      </c>
      <c r="M1812" s="108">
        <f>IF($B1812="","",IF($E1812="Ngày thường",N($H1812),0))</f>
        <v/>
      </c>
      <c r="N1812" s="108">
        <f>IF($B1812="","",IF($E1812="Nghỉ tuần",N($H1812),0))</f>
        <v/>
      </c>
      <c r="O1812" s="108">
        <f>IF($B1812="","",IF($E1812="Lễ",N($H1812),0))</f>
        <v/>
      </c>
    </row>
    <row r="1813" ht="15" customHeight="1" s="63">
      <c r="A1813" s="85">
        <f>IF($B1813="","",ROW()-5)</f>
        <v/>
      </c>
      <c r="B1813" s="97" t="n"/>
      <c r="C1813" s="96">
        <f>IF($B1813="","",IFERROR(INDEX(DM_NHAN_SU!$C$6:$C$155,MATCH($B1813,DM_NHAN_SU!$B$6:$B$155,0)),"SAI MÃ NV"))</f>
        <v/>
      </c>
      <c r="D1813" s="86" t="n"/>
      <c r="E1813" s="103">
        <f>IF(OR($B1813="",$D1813=""),"",IF(COUNTIF(THAM_SO_CC!$F$10:$F$40,$D1813)&gt;0,"Lễ",IF(IF(THAM_SO_CC!$B$12="T7+CN",WEEKDAY($D1813,2)&gt;=6,WEEKDAY($D1813,2)=7),"Nghỉ tuần","Ngày thường")))</f>
        <v/>
      </c>
      <c r="F1813" s="107" t="n"/>
      <c r="G1813" s="107" t="n"/>
      <c r="H1813" s="107" t="n"/>
      <c r="I1813" s="81" t="n"/>
      <c r="J1813" s="108">
        <f>IF($B1813="","",IF($E1813="Ngày thường",N($G1813),0))</f>
        <v/>
      </c>
      <c r="K1813" s="108">
        <f>IF($B1813="","",IF($E1813="Nghỉ tuần",N($G1813),0))</f>
        <v/>
      </c>
      <c r="L1813" s="108">
        <f>IF($B1813="","",IF($E1813="Lễ",N($G1813),0))</f>
        <v/>
      </c>
      <c r="M1813" s="108">
        <f>IF($B1813="","",IF($E1813="Ngày thường",N($H1813),0))</f>
        <v/>
      </c>
      <c r="N1813" s="108">
        <f>IF($B1813="","",IF($E1813="Nghỉ tuần",N($H1813),0))</f>
        <v/>
      </c>
      <c r="O1813" s="108">
        <f>IF($B1813="","",IF($E1813="Lễ",N($H1813),0))</f>
        <v/>
      </c>
    </row>
    <row r="1814" ht="15" customHeight="1" s="63">
      <c r="A1814" s="85">
        <f>IF($B1814="","",ROW()-5)</f>
        <v/>
      </c>
      <c r="B1814" s="97" t="n"/>
      <c r="C1814" s="96">
        <f>IF($B1814="","",IFERROR(INDEX(DM_NHAN_SU!$C$6:$C$155,MATCH($B1814,DM_NHAN_SU!$B$6:$B$155,0)),"SAI MÃ NV"))</f>
        <v/>
      </c>
      <c r="D1814" s="86" t="n"/>
      <c r="E1814" s="103">
        <f>IF(OR($B1814="",$D1814=""),"",IF(COUNTIF(THAM_SO_CC!$F$10:$F$40,$D1814)&gt;0,"Lễ",IF(IF(THAM_SO_CC!$B$12="T7+CN",WEEKDAY($D1814,2)&gt;=6,WEEKDAY($D1814,2)=7),"Nghỉ tuần","Ngày thường")))</f>
        <v/>
      </c>
      <c r="F1814" s="107" t="n"/>
      <c r="G1814" s="107" t="n"/>
      <c r="H1814" s="107" t="n"/>
      <c r="I1814" s="81" t="n"/>
      <c r="J1814" s="108">
        <f>IF($B1814="","",IF($E1814="Ngày thường",N($G1814),0))</f>
        <v/>
      </c>
      <c r="K1814" s="108">
        <f>IF($B1814="","",IF($E1814="Nghỉ tuần",N($G1814),0))</f>
        <v/>
      </c>
      <c r="L1814" s="108">
        <f>IF($B1814="","",IF($E1814="Lễ",N($G1814),0))</f>
        <v/>
      </c>
      <c r="M1814" s="108">
        <f>IF($B1814="","",IF($E1814="Ngày thường",N($H1814),0))</f>
        <v/>
      </c>
      <c r="N1814" s="108">
        <f>IF($B1814="","",IF($E1814="Nghỉ tuần",N($H1814),0))</f>
        <v/>
      </c>
      <c r="O1814" s="108">
        <f>IF($B1814="","",IF($E1814="Lễ",N($H1814),0))</f>
        <v/>
      </c>
    </row>
    <row r="1815" ht="15" customHeight="1" s="63">
      <c r="A1815" s="85">
        <f>IF($B1815="","",ROW()-5)</f>
        <v/>
      </c>
      <c r="B1815" s="97" t="n"/>
      <c r="C1815" s="96">
        <f>IF($B1815="","",IFERROR(INDEX(DM_NHAN_SU!$C$6:$C$155,MATCH($B1815,DM_NHAN_SU!$B$6:$B$155,0)),"SAI MÃ NV"))</f>
        <v/>
      </c>
      <c r="D1815" s="86" t="n"/>
      <c r="E1815" s="103">
        <f>IF(OR($B1815="",$D1815=""),"",IF(COUNTIF(THAM_SO_CC!$F$10:$F$40,$D1815)&gt;0,"Lễ",IF(IF(THAM_SO_CC!$B$12="T7+CN",WEEKDAY($D1815,2)&gt;=6,WEEKDAY($D1815,2)=7),"Nghỉ tuần","Ngày thường")))</f>
        <v/>
      </c>
      <c r="F1815" s="107" t="n"/>
      <c r="G1815" s="107" t="n"/>
      <c r="H1815" s="107" t="n"/>
      <c r="I1815" s="81" t="n"/>
      <c r="J1815" s="108">
        <f>IF($B1815="","",IF($E1815="Ngày thường",N($G1815),0))</f>
        <v/>
      </c>
      <c r="K1815" s="108">
        <f>IF($B1815="","",IF($E1815="Nghỉ tuần",N($G1815),0))</f>
        <v/>
      </c>
      <c r="L1815" s="108">
        <f>IF($B1815="","",IF($E1815="Lễ",N($G1815),0))</f>
        <v/>
      </c>
      <c r="M1815" s="108">
        <f>IF($B1815="","",IF($E1815="Ngày thường",N($H1815),0))</f>
        <v/>
      </c>
      <c r="N1815" s="108">
        <f>IF($B1815="","",IF($E1815="Nghỉ tuần",N($H1815),0))</f>
        <v/>
      </c>
      <c r="O1815" s="108">
        <f>IF($B1815="","",IF($E1815="Lễ",N($H1815),0))</f>
        <v/>
      </c>
    </row>
    <row r="1816" ht="15" customHeight="1" s="63">
      <c r="A1816" s="85">
        <f>IF($B1816="","",ROW()-5)</f>
        <v/>
      </c>
      <c r="B1816" s="97" t="n"/>
      <c r="C1816" s="96">
        <f>IF($B1816="","",IFERROR(INDEX(DM_NHAN_SU!$C$6:$C$155,MATCH($B1816,DM_NHAN_SU!$B$6:$B$155,0)),"SAI MÃ NV"))</f>
        <v/>
      </c>
      <c r="D1816" s="86" t="n"/>
      <c r="E1816" s="103">
        <f>IF(OR($B1816="",$D1816=""),"",IF(COUNTIF(THAM_SO_CC!$F$10:$F$40,$D1816)&gt;0,"Lễ",IF(IF(THAM_SO_CC!$B$12="T7+CN",WEEKDAY($D1816,2)&gt;=6,WEEKDAY($D1816,2)=7),"Nghỉ tuần","Ngày thường")))</f>
        <v/>
      </c>
      <c r="F1816" s="107" t="n"/>
      <c r="G1816" s="107" t="n"/>
      <c r="H1816" s="107" t="n"/>
      <c r="I1816" s="81" t="n"/>
      <c r="J1816" s="108">
        <f>IF($B1816="","",IF($E1816="Ngày thường",N($G1816),0))</f>
        <v/>
      </c>
      <c r="K1816" s="108">
        <f>IF($B1816="","",IF($E1816="Nghỉ tuần",N($G1816),0))</f>
        <v/>
      </c>
      <c r="L1816" s="108">
        <f>IF($B1816="","",IF($E1816="Lễ",N($G1816),0))</f>
        <v/>
      </c>
      <c r="M1816" s="108">
        <f>IF($B1816="","",IF($E1816="Ngày thường",N($H1816),0))</f>
        <v/>
      </c>
      <c r="N1816" s="108">
        <f>IF($B1816="","",IF($E1816="Nghỉ tuần",N($H1816),0))</f>
        <v/>
      </c>
      <c r="O1816" s="108">
        <f>IF($B1816="","",IF($E1816="Lễ",N($H1816),0))</f>
        <v/>
      </c>
    </row>
    <row r="1817" ht="15" customHeight="1" s="63">
      <c r="A1817" s="85">
        <f>IF($B1817="","",ROW()-5)</f>
        <v/>
      </c>
      <c r="B1817" s="97" t="n"/>
      <c r="C1817" s="96">
        <f>IF($B1817="","",IFERROR(INDEX(DM_NHAN_SU!$C$6:$C$155,MATCH($B1817,DM_NHAN_SU!$B$6:$B$155,0)),"SAI MÃ NV"))</f>
        <v/>
      </c>
      <c r="D1817" s="86" t="n"/>
      <c r="E1817" s="103">
        <f>IF(OR($B1817="",$D1817=""),"",IF(COUNTIF(THAM_SO_CC!$F$10:$F$40,$D1817)&gt;0,"Lễ",IF(IF(THAM_SO_CC!$B$12="T7+CN",WEEKDAY($D1817,2)&gt;=6,WEEKDAY($D1817,2)=7),"Nghỉ tuần","Ngày thường")))</f>
        <v/>
      </c>
      <c r="F1817" s="107" t="n"/>
      <c r="G1817" s="107" t="n"/>
      <c r="H1817" s="107" t="n"/>
      <c r="I1817" s="81" t="n"/>
      <c r="J1817" s="108">
        <f>IF($B1817="","",IF($E1817="Ngày thường",N($G1817),0))</f>
        <v/>
      </c>
      <c r="K1817" s="108">
        <f>IF($B1817="","",IF($E1817="Nghỉ tuần",N($G1817),0))</f>
        <v/>
      </c>
      <c r="L1817" s="108">
        <f>IF($B1817="","",IF($E1817="Lễ",N($G1817),0))</f>
        <v/>
      </c>
      <c r="M1817" s="108">
        <f>IF($B1817="","",IF($E1817="Ngày thường",N($H1817),0))</f>
        <v/>
      </c>
      <c r="N1817" s="108">
        <f>IF($B1817="","",IF($E1817="Nghỉ tuần",N($H1817),0))</f>
        <v/>
      </c>
      <c r="O1817" s="108">
        <f>IF($B1817="","",IF($E1817="Lễ",N($H1817),0))</f>
        <v/>
      </c>
    </row>
    <row r="1818" ht="15" customHeight="1" s="63">
      <c r="A1818" s="85">
        <f>IF($B1818="","",ROW()-5)</f>
        <v/>
      </c>
      <c r="B1818" s="97" t="n"/>
      <c r="C1818" s="96">
        <f>IF($B1818="","",IFERROR(INDEX(DM_NHAN_SU!$C$6:$C$155,MATCH($B1818,DM_NHAN_SU!$B$6:$B$155,0)),"SAI MÃ NV"))</f>
        <v/>
      </c>
      <c r="D1818" s="86" t="n"/>
      <c r="E1818" s="103">
        <f>IF(OR($B1818="",$D1818=""),"",IF(COUNTIF(THAM_SO_CC!$F$10:$F$40,$D1818)&gt;0,"Lễ",IF(IF(THAM_SO_CC!$B$12="T7+CN",WEEKDAY($D1818,2)&gt;=6,WEEKDAY($D1818,2)=7),"Nghỉ tuần","Ngày thường")))</f>
        <v/>
      </c>
      <c r="F1818" s="107" t="n"/>
      <c r="G1818" s="107" t="n"/>
      <c r="H1818" s="107" t="n"/>
      <c r="I1818" s="81" t="n"/>
      <c r="J1818" s="108">
        <f>IF($B1818="","",IF($E1818="Ngày thường",N($G1818),0))</f>
        <v/>
      </c>
      <c r="K1818" s="108">
        <f>IF($B1818="","",IF($E1818="Nghỉ tuần",N($G1818),0))</f>
        <v/>
      </c>
      <c r="L1818" s="108">
        <f>IF($B1818="","",IF($E1818="Lễ",N($G1818),0))</f>
        <v/>
      </c>
      <c r="M1818" s="108">
        <f>IF($B1818="","",IF($E1818="Ngày thường",N($H1818),0))</f>
        <v/>
      </c>
      <c r="N1818" s="108">
        <f>IF($B1818="","",IF($E1818="Nghỉ tuần",N($H1818),0))</f>
        <v/>
      </c>
      <c r="O1818" s="108">
        <f>IF($B1818="","",IF($E1818="Lễ",N($H1818),0))</f>
        <v/>
      </c>
    </row>
    <row r="1819" ht="15" customHeight="1" s="63">
      <c r="A1819" s="85">
        <f>IF($B1819="","",ROW()-5)</f>
        <v/>
      </c>
      <c r="B1819" s="97" t="n"/>
      <c r="C1819" s="96">
        <f>IF($B1819="","",IFERROR(INDEX(DM_NHAN_SU!$C$6:$C$155,MATCH($B1819,DM_NHAN_SU!$B$6:$B$155,0)),"SAI MÃ NV"))</f>
        <v/>
      </c>
      <c r="D1819" s="86" t="n"/>
      <c r="E1819" s="103">
        <f>IF(OR($B1819="",$D1819=""),"",IF(COUNTIF(THAM_SO_CC!$F$10:$F$40,$D1819)&gt;0,"Lễ",IF(IF(THAM_SO_CC!$B$12="T7+CN",WEEKDAY($D1819,2)&gt;=6,WEEKDAY($D1819,2)=7),"Nghỉ tuần","Ngày thường")))</f>
        <v/>
      </c>
      <c r="F1819" s="107" t="n"/>
      <c r="G1819" s="107" t="n"/>
      <c r="H1819" s="107" t="n"/>
      <c r="I1819" s="81" t="n"/>
      <c r="J1819" s="108">
        <f>IF($B1819="","",IF($E1819="Ngày thường",N($G1819),0))</f>
        <v/>
      </c>
      <c r="K1819" s="108">
        <f>IF($B1819="","",IF($E1819="Nghỉ tuần",N($G1819),0))</f>
        <v/>
      </c>
      <c r="L1819" s="108">
        <f>IF($B1819="","",IF($E1819="Lễ",N($G1819),0))</f>
        <v/>
      </c>
      <c r="M1819" s="108">
        <f>IF($B1819="","",IF($E1819="Ngày thường",N($H1819),0))</f>
        <v/>
      </c>
      <c r="N1819" s="108">
        <f>IF($B1819="","",IF($E1819="Nghỉ tuần",N($H1819),0))</f>
        <v/>
      </c>
      <c r="O1819" s="108">
        <f>IF($B1819="","",IF($E1819="Lễ",N($H1819),0))</f>
        <v/>
      </c>
    </row>
    <row r="1820" ht="15" customHeight="1" s="63">
      <c r="A1820" s="85">
        <f>IF($B1820="","",ROW()-5)</f>
        <v/>
      </c>
      <c r="B1820" s="97" t="n"/>
      <c r="C1820" s="96">
        <f>IF($B1820="","",IFERROR(INDEX(DM_NHAN_SU!$C$6:$C$155,MATCH($B1820,DM_NHAN_SU!$B$6:$B$155,0)),"SAI MÃ NV"))</f>
        <v/>
      </c>
      <c r="D1820" s="86" t="n"/>
      <c r="E1820" s="103">
        <f>IF(OR($B1820="",$D1820=""),"",IF(COUNTIF(THAM_SO_CC!$F$10:$F$40,$D1820)&gt;0,"Lễ",IF(IF(THAM_SO_CC!$B$12="T7+CN",WEEKDAY($D1820,2)&gt;=6,WEEKDAY($D1820,2)=7),"Nghỉ tuần","Ngày thường")))</f>
        <v/>
      </c>
      <c r="F1820" s="107" t="n"/>
      <c r="G1820" s="107" t="n"/>
      <c r="H1820" s="107" t="n"/>
      <c r="I1820" s="81" t="n"/>
      <c r="J1820" s="108">
        <f>IF($B1820="","",IF($E1820="Ngày thường",N($G1820),0))</f>
        <v/>
      </c>
      <c r="K1820" s="108">
        <f>IF($B1820="","",IF($E1820="Nghỉ tuần",N($G1820),0))</f>
        <v/>
      </c>
      <c r="L1820" s="108">
        <f>IF($B1820="","",IF($E1820="Lễ",N($G1820),0))</f>
        <v/>
      </c>
      <c r="M1820" s="108">
        <f>IF($B1820="","",IF($E1820="Ngày thường",N($H1820),0))</f>
        <v/>
      </c>
      <c r="N1820" s="108">
        <f>IF($B1820="","",IF($E1820="Nghỉ tuần",N($H1820),0))</f>
        <v/>
      </c>
      <c r="O1820" s="108">
        <f>IF($B1820="","",IF($E1820="Lễ",N($H1820),0))</f>
        <v/>
      </c>
    </row>
    <row r="1821" ht="15" customHeight="1" s="63">
      <c r="A1821" s="85">
        <f>IF($B1821="","",ROW()-5)</f>
        <v/>
      </c>
      <c r="B1821" s="97" t="n"/>
      <c r="C1821" s="96">
        <f>IF($B1821="","",IFERROR(INDEX(DM_NHAN_SU!$C$6:$C$155,MATCH($B1821,DM_NHAN_SU!$B$6:$B$155,0)),"SAI MÃ NV"))</f>
        <v/>
      </c>
      <c r="D1821" s="86" t="n"/>
      <c r="E1821" s="103">
        <f>IF(OR($B1821="",$D1821=""),"",IF(COUNTIF(THAM_SO_CC!$F$10:$F$40,$D1821)&gt;0,"Lễ",IF(IF(THAM_SO_CC!$B$12="T7+CN",WEEKDAY($D1821,2)&gt;=6,WEEKDAY($D1821,2)=7),"Nghỉ tuần","Ngày thường")))</f>
        <v/>
      </c>
      <c r="F1821" s="107" t="n"/>
      <c r="G1821" s="107" t="n"/>
      <c r="H1821" s="107" t="n"/>
      <c r="I1821" s="81" t="n"/>
      <c r="J1821" s="108">
        <f>IF($B1821="","",IF($E1821="Ngày thường",N($G1821),0))</f>
        <v/>
      </c>
      <c r="K1821" s="108">
        <f>IF($B1821="","",IF($E1821="Nghỉ tuần",N($G1821),0))</f>
        <v/>
      </c>
      <c r="L1821" s="108">
        <f>IF($B1821="","",IF($E1821="Lễ",N($G1821),0))</f>
        <v/>
      </c>
      <c r="M1821" s="108">
        <f>IF($B1821="","",IF($E1821="Ngày thường",N($H1821),0))</f>
        <v/>
      </c>
      <c r="N1821" s="108">
        <f>IF($B1821="","",IF($E1821="Nghỉ tuần",N($H1821),0))</f>
        <v/>
      </c>
      <c r="O1821" s="108">
        <f>IF($B1821="","",IF($E1821="Lễ",N($H1821),0))</f>
        <v/>
      </c>
    </row>
    <row r="1822" ht="15" customHeight="1" s="63">
      <c r="A1822" s="85">
        <f>IF($B1822="","",ROW()-5)</f>
        <v/>
      </c>
      <c r="B1822" s="97" t="n"/>
      <c r="C1822" s="96">
        <f>IF($B1822="","",IFERROR(INDEX(DM_NHAN_SU!$C$6:$C$155,MATCH($B1822,DM_NHAN_SU!$B$6:$B$155,0)),"SAI MÃ NV"))</f>
        <v/>
      </c>
      <c r="D1822" s="86" t="n"/>
      <c r="E1822" s="103">
        <f>IF(OR($B1822="",$D1822=""),"",IF(COUNTIF(THAM_SO_CC!$F$10:$F$40,$D1822)&gt;0,"Lễ",IF(IF(THAM_SO_CC!$B$12="T7+CN",WEEKDAY($D1822,2)&gt;=6,WEEKDAY($D1822,2)=7),"Nghỉ tuần","Ngày thường")))</f>
        <v/>
      </c>
      <c r="F1822" s="107" t="n"/>
      <c r="G1822" s="107" t="n"/>
      <c r="H1822" s="107" t="n"/>
      <c r="I1822" s="81" t="n"/>
      <c r="J1822" s="108">
        <f>IF($B1822="","",IF($E1822="Ngày thường",N($G1822),0))</f>
        <v/>
      </c>
      <c r="K1822" s="108">
        <f>IF($B1822="","",IF($E1822="Nghỉ tuần",N($G1822),0))</f>
        <v/>
      </c>
      <c r="L1822" s="108">
        <f>IF($B1822="","",IF($E1822="Lễ",N($G1822),0))</f>
        <v/>
      </c>
      <c r="M1822" s="108">
        <f>IF($B1822="","",IF($E1822="Ngày thường",N($H1822),0))</f>
        <v/>
      </c>
      <c r="N1822" s="108">
        <f>IF($B1822="","",IF($E1822="Nghỉ tuần",N($H1822),0))</f>
        <v/>
      </c>
      <c r="O1822" s="108">
        <f>IF($B1822="","",IF($E1822="Lễ",N($H1822),0))</f>
        <v/>
      </c>
    </row>
    <row r="1823" ht="15" customHeight="1" s="63">
      <c r="A1823" s="85">
        <f>IF($B1823="","",ROW()-5)</f>
        <v/>
      </c>
      <c r="B1823" s="97" t="n"/>
      <c r="C1823" s="96">
        <f>IF($B1823="","",IFERROR(INDEX(DM_NHAN_SU!$C$6:$C$155,MATCH($B1823,DM_NHAN_SU!$B$6:$B$155,0)),"SAI MÃ NV"))</f>
        <v/>
      </c>
      <c r="D1823" s="86" t="n"/>
      <c r="E1823" s="103">
        <f>IF(OR($B1823="",$D1823=""),"",IF(COUNTIF(THAM_SO_CC!$F$10:$F$40,$D1823)&gt;0,"Lễ",IF(IF(THAM_SO_CC!$B$12="T7+CN",WEEKDAY($D1823,2)&gt;=6,WEEKDAY($D1823,2)=7),"Nghỉ tuần","Ngày thường")))</f>
        <v/>
      </c>
      <c r="F1823" s="107" t="n"/>
      <c r="G1823" s="107" t="n"/>
      <c r="H1823" s="107" t="n"/>
      <c r="I1823" s="81" t="n"/>
      <c r="J1823" s="108">
        <f>IF($B1823="","",IF($E1823="Ngày thường",N($G1823),0))</f>
        <v/>
      </c>
      <c r="K1823" s="108">
        <f>IF($B1823="","",IF($E1823="Nghỉ tuần",N($G1823),0))</f>
        <v/>
      </c>
      <c r="L1823" s="108">
        <f>IF($B1823="","",IF($E1823="Lễ",N($G1823),0))</f>
        <v/>
      </c>
      <c r="M1823" s="108">
        <f>IF($B1823="","",IF($E1823="Ngày thường",N($H1823),0))</f>
        <v/>
      </c>
      <c r="N1823" s="108">
        <f>IF($B1823="","",IF($E1823="Nghỉ tuần",N($H1823),0))</f>
        <v/>
      </c>
      <c r="O1823" s="108">
        <f>IF($B1823="","",IF($E1823="Lễ",N($H1823),0))</f>
        <v/>
      </c>
    </row>
    <row r="1824" ht="15" customHeight="1" s="63">
      <c r="A1824" s="85">
        <f>IF($B1824="","",ROW()-5)</f>
        <v/>
      </c>
      <c r="B1824" s="97" t="n"/>
      <c r="C1824" s="96">
        <f>IF($B1824="","",IFERROR(INDEX(DM_NHAN_SU!$C$6:$C$155,MATCH($B1824,DM_NHAN_SU!$B$6:$B$155,0)),"SAI MÃ NV"))</f>
        <v/>
      </c>
      <c r="D1824" s="86" t="n"/>
      <c r="E1824" s="103">
        <f>IF(OR($B1824="",$D1824=""),"",IF(COUNTIF(THAM_SO_CC!$F$10:$F$40,$D1824)&gt;0,"Lễ",IF(IF(THAM_SO_CC!$B$12="T7+CN",WEEKDAY($D1824,2)&gt;=6,WEEKDAY($D1824,2)=7),"Nghỉ tuần","Ngày thường")))</f>
        <v/>
      </c>
      <c r="F1824" s="107" t="n"/>
      <c r="G1824" s="107" t="n"/>
      <c r="H1824" s="107" t="n"/>
      <c r="I1824" s="81" t="n"/>
      <c r="J1824" s="108">
        <f>IF($B1824="","",IF($E1824="Ngày thường",N($G1824),0))</f>
        <v/>
      </c>
      <c r="K1824" s="108">
        <f>IF($B1824="","",IF($E1824="Nghỉ tuần",N($G1824),0))</f>
        <v/>
      </c>
      <c r="L1824" s="108">
        <f>IF($B1824="","",IF($E1824="Lễ",N($G1824),0))</f>
        <v/>
      </c>
      <c r="M1824" s="108">
        <f>IF($B1824="","",IF($E1824="Ngày thường",N($H1824),0))</f>
        <v/>
      </c>
      <c r="N1824" s="108">
        <f>IF($B1824="","",IF($E1824="Nghỉ tuần",N($H1824),0))</f>
        <v/>
      </c>
      <c r="O1824" s="108">
        <f>IF($B1824="","",IF($E1824="Lễ",N($H1824),0))</f>
        <v/>
      </c>
    </row>
    <row r="1825" ht="15" customHeight="1" s="63">
      <c r="A1825" s="85">
        <f>IF($B1825="","",ROW()-5)</f>
        <v/>
      </c>
      <c r="B1825" s="97" t="n"/>
      <c r="C1825" s="96">
        <f>IF($B1825="","",IFERROR(INDEX(DM_NHAN_SU!$C$6:$C$155,MATCH($B1825,DM_NHAN_SU!$B$6:$B$155,0)),"SAI MÃ NV"))</f>
        <v/>
      </c>
      <c r="D1825" s="86" t="n"/>
      <c r="E1825" s="103">
        <f>IF(OR($B1825="",$D1825=""),"",IF(COUNTIF(THAM_SO_CC!$F$10:$F$40,$D1825)&gt;0,"Lễ",IF(IF(THAM_SO_CC!$B$12="T7+CN",WEEKDAY($D1825,2)&gt;=6,WEEKDAY($D1825,2)=7),"Nghỉ tuần","Ngày thường")))</f>
        <v/>
      </c>
      <c r="F1825" s="107" t="n"/>
      <c r="G1825" s="107" t="n"/>
      <c r="H1825" s="107" t="n"/>
      <c r="I1825" s="81" t="n"/>
      <c r="J1825" s="108">
        <f>IF($B1825="","",IF($E1825="Ngày thường",N($G1825),0))</f>
        <v/>
      </c>
      <c r="K1825" s="108">
        <f>IF($B1825="","",IF($E1825="Nghỉ tuần",N($G1825),0))</f>
        <v/>
      </c>
      <c r="L1825" s="108">
        <f>IF($B1825="","",IF($E1825="Lễ",N($G1825),0))</f>
        <v/>
      </c>
      <c r="M1825" s="108">
        <f>IF($B1825="","",IF($E1825="Ngày thường",N($H1825),0))</f>
        <v/>
      </c>
      <c r="N1825" s="108">
        <f>IF($B1825="","",IF($E1825="Nghỉ tuần",N($H1825),0))</f>
        <v/>
      </c>
      <c r="O1825" s="108">
        <f>IF($B1825="","",IF($E1825="Lễ",N($H1825),0))</f>
        <v/>
      </c>
    </row>
    <row r="1826" ht="15" customHeight="1" s="63">
      <c r="A1826" s="85">
        <f>IF($B1826="","",ROW()-5)</f>
        <v/>
      </c>
      <c r="B1826" s="97" t="n"/>
      <c r="C1826" s="96">
        <f>IF($B1826="","",IFERROR(INDEX(DM_NHAN_SU!$C$6:$C$155,MATCH($B1826,DM_NHAN_SU!$B$6:$B$155,0)),"SAI MÃ NV"))</f>
        <v/>
      </c>
      <c r="D1826" s="86" t="n"/>
      <c r="E1826" s="103">
        <f>IF(OR($B1826="",$D1826=""),"",IF(COUNTIF(THAM_SO_CC!$F$10:$F$40,$D1826)&gt;0,"Lễ",IF(IF(THAM_SO_CC!$B$12="T7+CN",WEEKDAY($D1826,2)&gt;=6,WEEKDAY($D1826,2)=7),"Nghỉ tuần","Ngày thường")))</f>
        <v/>
      </c>
      <c r="F1826" s="107" t="n"/>
      <c r="G1826" s="107" t="n"/>
      <c r="H1826" s="107" t="n"/>
      <c r="I1826" s="81" t="n"/>
      <c r="J1826" s="108">
        <f>IF($B1826="","",IF($E1826="Ngày thường",N($G1826),0))</f>
        <v/>
      </c>
      <c r="K1826" s="108">
        <f>IF($B1826="","",IF($E1826="Nghỉ tuần",N($G1826),0))</f>
        <v/>
      </c>
      <c r="L1826" s="108">
        <f>IF($B1826="","",IF($E1826="Lễ",N($G1826),0))</f>
        <v/>
      </c>
      <c r="M1826" s="108">
        <f>IF($B1826="","",IF($E1826="Ngày thường",N($H1826),0))</f>
        <v/>
      </c>
      <c r="N1826" s="108">
        <f>IF($B1826="","",IF($E1826="Nghỉ tuần",N($H1826),0))</f>
        <v/>
      </c>
      <c r="O1826" s="108">
        <f>IF($B1826="","",IF($E1826="Lễ",N($H1826),0))</f>
        <v/>
      </c>
    </row>
    <row r="1827" ht="15" customHeight="1" s="63">
      <c r="A1827" s="85">
        <f>IF($B1827="","",ROW()-5)</f>
        <v/>
      </c>
      <c r="B1827" s="97" t="n"/>
      <c r="C1827" s="96">
        <f>IF($B1827="","",IFERROR(INDEX(DM_NHAN_SU!$C$6:$C$155,MATCH($B1827,DM_NHAN_SU!$B$6:$B$155,0)),"SAI MÃ NV"))</f>
        <v/>
      </c>
      <c r="D1827" s="86" t="n"/>
      <c r="E1827" s="103">
        <f>IF(OR($B1827="",$D1827=""),"",IF(COUNTIF(THAM_SO_CC!$F$10:$F$40,$D1827)&gt;0,"Lễ",IF(IF(THAM_SO_CC!$B$12="T7+CN",WEEKDAY($D1827,2)&gt;=6,WEEKDAY($D1827,2)=7),"Nghỉ tuần","Ngày thường")))</f>
        <v/>
      </c>
      <c r="F1827" s="107" t="n"/>
      <c r="G1827" s="107" t="n"/>
      <c r="H1827" s="107" t="n"/>
      <c r="I1827" s="81" t="n"/>
      <c r="J1827" s="108">
        <f>IF($B1827="","",IF($E1827="Ngày thường",N($G1827),0))</f>
        <v/>
      </c>
      <c r="K1827" s="108">
        <f>IF($B1827="","",IF($E1827="Nghỉ tuần",N($G1827),0))</f>
        <v/>
      </c>
      <c r="L1827" s="108">
        <f>IF($B1827="","",IF($E1827="Lễ",N($G1827),0))</f>
        <v/>
      </c>
      <c r="M1827" s="108">
        <f>IF($B1827="","",IF($E1827="Ngày thường",N($H1827),0))</f>
        <v/>
      </c>
      <c r="N1827" s="108">
        <f>IF($B1827="","",IF($E1827="Nghỉ tuần",N($H1827),0))</f>
        <v/>
      </c>
      <c r="O1827" s="108">
        <f>IF($B1827="","",IF($E1827="Lễ",N($H1827),0))</f>
        <v/>
      </c>
    </row>
    <row r="1828" ht="15" customHeight="1" s="63">
      <c r="A1828" s="85">
        <f>IF($B1828="","",ROW()-5)</f>
        <v/>
      </c>
      <c r="B1828" s="97" t="n"/>
      <c r="C1828" s="96">
        <f>IF($B1828="","",IFERROR(INDEX(DM_NHAN_SU!$C$6:$C$155,MATCH($B1828,DM_NHAN_SU!$B$6:$B$155,0)),"SAI MÃ NV"))</f>
        <v/>
      </c>
      <c r="D1828" s="86" t="n"/>
      <c r="E1828" s="103">
        <f>IF(OR($B1828="",$D1828=""),"",IF(COUNTIF(THAM_SO_CC!$F$10:$F$40,$D1828)&gt;0,"Lễ",IF(IF(THAM_SO_CC!$B$12="T7+CN",WEEKDAY($D1828,2)&gt;=6,WEEKDAY($D1828,2)=7),"Nghỉ tuần","Ngày thường")))</f>
        <v/>
      </c>
      <c r="F1828" s="107" t="n"/>
      <c r="G1828" s="107" t="n"/>
      <c r="H1828" s="107" t="n"/>
      <c r="I1828" s="81" t="n"/>
      <c r="J1828" s="108">
        <f>IF($B1828="","",IF($E1828="Ngày thường",N($G1828),0))</f>
        <v/>
      </c>
      <c r="K1828" s="108">
        <f>IF($B1828="","",IF($E1828="Nghỉ tuần",N($G1828),0))</f>
        <v/>
      </c>
      <c r="L1828" s="108">
        <f>IF($B1828="","",IF($E1828="Lễ",N($G1828),0))</f>
        <v/>
      </c>
      <c r="M1828" s="108">
        <f>IF($B1828="","",IF($E1828="Ngày thường",N($H1828),0))</f>
        <v/>
      </c>
      <c r="N1828" s="108">
        <f>IF($B1828="","",IF($E1828="Nghỉ tuần",N($H1828),0))</f>
        <v/>
      </c>
      <c r="O1828" s="108">
        <f>IF($B1828="","",IF($E1828="Lễ",N($H1828),0))</f>
        <v/>
      </c>
    </row>
    <row r="1829" ht="15" customHeight="1" s="63">
      <c r="A1829" s="85">
        <f>IF($B1829="","",ROW()-5)</f>
        <v/>
      </c>
      <c r="B1829" s="97" t="n"/>
      <c r="C1829" s="96">
        <f>IF($B1829="","",IFERROR(INDEX(DM_NHAN_SU!$C$6:$C$155,MATCH($B1829,DM_NHAN_SU!$B$6:$B$155,0)),"SAI MÃ NV"))</f>
        <v/>
      </c>
      <c r="D1829" s="86" t="n"/>
      <c r="E1829" s="103">
        <f>IF(OR($B1829="",$D1829=""),"",IF(COUNTIF(THAM_SO_CC!$F$10:$F$40,$D1829)&gt;0,"Lễ",IF(IF(THAM_SO_CC!$B$12="T7+CN",WEEKDAY($D1829,2)&gt;=6,WEEKDAY($D1829,2)=7),"Nghỉ tuần","Ngày thường")))</f>
        <v/>
      </c>
      <c r="F1829" s="107" t="n"/>
      <c r="G1829" s="107" t="n"/>
      <c r="H1829" s="107" t="n"/>
      <c r="I1829" s="81" t="n"/>
      <c r="J1829" s="108">
        <f>IF($B1829="","",IF($E1829="Ngày thường",N($G1829),0))</f>
        <v/>
      </c>
      <c r="K1829" s="108">
        <f>IF($B1829="","",IF($E1829="Nghỉ tuần",N($G1829),0))</f>
        <v/>
      </c>
      <c r="L1829" s="108">
        <f>IF($B1829="","",IF($E1829="Lễ",N($G1829),0))</f>
        <v/>
      </c>
      <c r="M1829" s="108">
        <f>IF($B1829="","",IF($E1829="Ngày thường",N($H1829),0))</f>
        <v/>
      </c>
      <c r="N1829" s="108">
        <f>IF($B1829="","",IF($E1829="Nghỉ tuần",N($H1829),0))</f>
        <v/>
      </c>
      <c r="O1829" s="108">
        <f>IF($B1829="","",IF($E1829="Lễ",N($H1829),0))</f>
        <v/>
      </c>
    </row>
    <row r="1830" ht="15" customHeight="1" s="63">
      <c r="A1830" s="85">
        <f>IF($B1830="","",ROW()-5)</f>
        <v/>
      </c>
      <c r="B1830" s="97" t="n"/>
      <c r="C1830" s="96">
        <f>IF($B1830="","",IFERROR(INDEX(DM_NHAN_SU!$C$6:$C$155,MATCH($B1830,DM_NHAN_SU!$B$6:$B$155,0)),"SAI MÃ NV"))</f>
        <v/>
      </c>
      <c r="D1830" s="86" t="n"/>
      <c r="E1830" s="103">
        <f>IF(OR($B1830="",$D1830=""),"",IF(COUNTIF(THAM_SO_CC!$F$10:$F$40,$D1830)&gt;0,"Lễ",IF(IF(THAM_SO_CC!$B$12="T7+CN",WEEKDAY($D1830,2)&gt;=6,WEEKDAY($D1830,2)=7),"Nghỉ tuần","Ngày thường")))</f>
        <v/>
      </c>
      <c r="F1830" s="107" t="n"/>
      <c r="G1830" s="107" t="n"/>
      <c r="H1830" s="107" t="n"/>
      <c r="I1830" s="81" t="n"/>
      <c r="J1830" s="108">
        <f>IF($B1830="","",IF($E1830="Ngày thường",N($G1830),0))</f>
        <v/>
      </c>
      <c r="K1830" s="108">
        <f>IF($B1830="","",IF($E1830="Nghỉ tuần",N($G1830),0))</f>
        <v/>
      </c>
      <c r="L1830" s="108">
        <f>IF($B1830="","",IF($E1830="Lễ",N($G1830),0))</f>
        <v/>
      </c>
      <c r="M1830" s="108">
        <f>IF($B1830="","",IF($E1830="Ngày thường",N($H1830),0))</f>
        <v/>
      </c>
      <c r="N1830" s="108">
        <f>IF($B1830="","",IF($E1830="Nghỉ tuần",N($H1830),0))</f>
        <v/>
      </c>
      <c r="O1830" s="108">
        <f>IF($B1830="","",IF($E1830="Lễ",N($H1830),0))</f>
        <v/>
      </c>
    </row>
    <row r="1831" ht="15" customHeight="1" s="63">
      <c r="A1831" s="85">
        <f>IF($B1831="","",ROW()-5)</f>
        <v/>
      </c>
      <c r="B1831" s="97" t="n"/>
      <c r="C1831" s="96">
        <f>IF($B1831="","",IFERROR(INDEX(DM_NHAN_SU!$C$6:$C$155,MATCH($B1831,DM_NHAN_SU!$B$6:$B$155,0)),"SAI MÃ NV"))</f>
        <v/>
      </c>
      <c r="D1831" s="86" t="n"/>
      <c r="E1831" s="103">
        <f>IF(OR($B1831="",$D1831=""),"",IF(COUNTIF(THAM_SO_CC!$F$10:$F$40,$D1831)&gt;0,"Lễ",IF(IF(THAM_SO_CC!$B$12="T7+CN",WEEKDAY($D1831,2)&gt;=6,WEEKDAY($D1831,2)=7),"Nghỉ tuần","Ngày thường")))</f>
        <v/>
      </c>
      <c r="F1831" s="107" t="n"/>
      <c r="G1831" s="107" t="n"/>
      <c r="H1831" s="107" t="n"/>
      <c r="I1831" s="81" t="n"/>
      <c r="J1831" s="108">
        <f>IF($B1831="","",IF($E1831="Ngày thường",N($G1831),0))</f>
        <v/>
      </c>
      <c r="K1831" s="108">
        <f>IF($B1831="","",IF($E1831="Nghỉ tuần",N($G1831),0))</f>
        <v/>
      </c>
      <c r="L1831" s="108">
        <f>IF($B1831="","",IF($E1831="Lễ",N($G1831),0))</f>
        <v/>
      </c>
      <c r="M1831" s="108">
        <f>IF($B1831="","",IF($E1831="Ngày thường",N($H1831),0))</f>
        <v/>
      </c>
      <c r="N1831" s="108">
        <f>IF($B1831="","",IF($E1831="Nghỉ tuần",N($H1831),0))</f>
        <v/>
      </c>
      <c r="O1831" s="108">
        <f>IF($B1831="","",IF($E1831="Lễ",N($H1831),0))</f>
        <v/>
      </c>
    </row>
    <row r="1832" ht="15" customHeight="1" s="63">
      <c r="A1832" s="85">
        <f>IF($B1832="","",ROW()-5)</f>
        <v/>
      </c>
      <c r="B1832" s="97" t="n"/>
      <c r="C1832" s="96">
        <f>IF($B1832="","",IFERROR(INDEX(DM_NHAN_SU!$C$6:$C$155,MATCH($B1832,DM_NHAN_SU!$B$6:$B$155,0)),"SAI MÃ NV"))</f>
        <v/>
      </c>
      <c r="D1832" s="86" t="n"/>
      <c r="E1832" s="103">
        <f>IF(OR($B1832="",$D1832=""),"",IF(COUNTIF(THAM_SO_CC!$F$10:$F$40,$D1832)&gt;0,"Lễ",IF(IF(THAM_SO_CC!$B$12="T7+CN",WEEKDAY($D1832,2)&gt;=6,WEEKDAY($D1832,2)=7),"Nghỉ tuần","Ngày thường")))</f>
        <v/>
      </c>
      <c r="F1832" s="107" t="n"/>
      <c r="G1832" s="107" t="n"/>
      <c r="H1832" s="107" t="n"/>
      <c r="I1832" s="81" t="n"/>
      <c r="J1832" s="108">
        <f>IF($B1832="","",IF($E1832="Ngày thường",N($G1832),0))</f>
        <v/>
      </c>
      <c r="K1832" s="108">
        <f>IF($B1832="","",IF($E1832="Nghỉ tuần",N($G1832),0))</f>
        <v/>
      </c>
      <c r="L1832" s="108">
        <f>IF($B1832="","",IF($E1832="Lễ",N($G1832),0))</f>
        <v/>
      </c>
      <c r="M1832" s="108">
        <f>IF($B1832="","",IF($E1832="Ngày thường",N($H1832),0))</f>
        <v/>
      </c>
      <c r="N1832" s="108">
        <f>IF($B1832="","",IF($E1832="Nghỉ tuần",N($H1832),0))</f>
        <v/>
      </c>
      <c r="O1832" s="108">
        <f>IF($B1832="","",IF($E1832="Lễ",N($H1832),0))</f>
        <v/>
      </c>
    </row>
    <row r="1833" ht="15" customHeight="1" s="63">
      <c r="A1833" s="85">
        <f>IF($B1833="","",ROW()-5)</f>
        <v/>
      </c>
      <c r="B1833" s="97" t="n"/>
      <c r="C1833" s="96">
        <f>IF($B1833="","",IFERROR(INDEX(DM_NHAN_SU!$C$6:$C$155,MATCH($B1833,DM_NHAN_SU!$B$6:$B$155,0)),"SAI MÃ NV"))</f>
        <v/>
      </c>
      <c r="D1833" s="86" t="n"/>
      <c r="E1833" s="103">
        <f>IF(OR($B1833="",$D1833=""),"",IF(COUNTIF(THAM_SO_CC!$F$10:$F$40,$D1833)&gt;0,"Lễ",IF(IF(THAM_SO_CC!$B$12="T7+CN",WEEKDAY($D1833,2)&gt;=6,WEEKDAY($D1833,2)=7),"Nghỉ tuần","Ngày thường")))</f>
        <v/>
      </c>
      <c r="F1833" s="107" t="n"/>
      <c r="G1833" s="107" t="n"/>
      <c r="H1833" s="107" t="n"/>
      <c r="I1833" s="81" t="n"/>
      <c r="J1833" s="108">
        <f>IF($B1833="","",IF($E1833="Ngày thường",N($G1833),0))</f>
        <v/>
      </c>
      <c r="K1833" s="108">
        <f>IF($B1833="","",IF($E1833="Nghỉ tuần",N($G1833),0))</f>
        <v/>
      </c>
      <c r="L1833" s="108">
        <f>IF($B1833="","",IF($E1833="Lễ",N($G1833),0))</f>
        <v/>
      </c>
      <c r="M1833" s="108">
        <f>IF($B1833="","",IF($E1833="Ngày thường",N($H1833),0))</f>
        <v/>
      </c>
      <c r="N1833" s="108">
        <f>IF($B1833="","",IF($E1833="Nghỉ tuần",N($H1833),0))</f>
        <v/>
      </c>
      <c r="O1833" s="108">
        <f>IF($B1833="","",IF($E1833="Lễ",N($H1833),0))</f>
        <v/>
      </c>
    </row>
    <row r="1834" ht="15" customHeight="1" s="63">
      <c r="A1834" s="85">
        <f>IF($B1834="","",ROW()-5)</f>
        <v/>
      </c>
      <c r="B1834" s="97" t="n"/>
      <c r="C1834" s="96">
        <f>IF($B1834="","",IFERROR(INDEX(DM_NHAN_SU!$C$6:$C$155,MATCH($B1834,DM_NHAN_SU!$B$6:$B$155,0)),"SAI MÃ NV"))</f>
        <v/>
      </c>
      <c r="D1834" s="86" t="n"/>
      <c r="E1834" s="103">
        <f>IF(OR($B1834="",$D1834=""),"",IF(COUNTIF(THAM_SO_CC!$F$10:$F$40,$D1834)&gt;0,"Lễ",IF(IF(THAM_SO_CC!$B$12="T7+CN",WEEKDAY($D1834,2)&gt;=6,WEEKDAY($D1834,2)=7),"Nghỉ tuần","Ngày thường")))</f>
        <v/>
      </c>
      <c r="F1834" s="107" t="n"/>
      <c r="G1834" s="107" t="n"/>
      <c r="H1834" s="107" t="n"/>
      <c r="I1834" s="81" t="n"/>
      <c r="J1834" s="108">
        <f>IF($B1834="","",IF($E1834="Ngày thường",N($G1834),0))</f>
        <v/>
      </c>
      <c r="K1834" s="108">
        <f>IF($B1834="","",IF($E1834="Nghỉ tuần",N($G1834),0))</f>
        <v/>
      </c>
      <c r="L1834" s="108">
        <f>IF($B1834="","",IF($E1834="Lễ",N($G1834),0))</f>
        <v/>
      </c>
      <c r="M1834" s="108">
        <f>IF($B1834="","",IF($E1834="Ngày thường",N($H1834),0))</f>
        <v/>
      </c>
      <c r="N1834" s="108">
        <f>IF($B1834="","",IF($E1834="Nghỉ tuần",N($H1834),0))</f>
        <v/>
      </c>
      <c r="O1834" s="108">
        <f>IF($B1834="","",IF($E1834="Lễ",N($H1834),0))</f>
        <v/>
      </c>
    </row>
    <row r="1835" ht="15" customHeight="1" s="63">
      <c r="A1835" s="85">
        <f>IF($B1835="","",ROW()-5)</f>
        <v/>
      </c>
      <c r="B1835" s="97" t="n"/>
      <c r="C1835" s="96">
        <f>IF($B1835="","",IFERROR(INDEX(DM_NHAN_SU!$C$6:$C$155,MATCH($B1835,DM_NHAN_SU!$B$6:$B$155,0)),"SAI MÃ NV"))</f>
        <v/>
      </c>
      <c r="D1835" s="86" t="n"/>
      <c r="E1835" s="103">
        <f>IF(OR($B1835="",$D1835=""),"",IF(COUNTIF(THAM_SO_CC!$F$10:$F$40,$D1835)&gt;0,"Lễ",IF(IF(THAM_SO_CC!$B$12="T7+CN",WEEKDAY($D1835,2)&gt;=6,WEEKDAY($D1835,2)=7),"Nghỉ tuần","Ngày thường")))</f>
        <v/>
      </c>
      <c r="F1835" s="107" t="n"/>
      <c r="G1835" s="107" t="n"/>
      <c r="H1835" s="107" t="n"/>
      <c r="I1835" s="81" t="n"/>
      <c r="J1835" s="108">
        <f>IF($B1835="","",IF($E1835="Ngày thường",N($G1835),0))</f>
        <v/>
      </c>
      <c r="K1835" s="108">
        <f>IF($B1835="","",IF($E1835="Nghỉ tuần",N($G1835),0))</f>
        <v/>
      </c>
      <c r="L1835" s="108">
        <f>IF($B1835="","",IF($E1835="Lễ",N($G1835),0))</f>
        <v/>
      </c>
      <c r="M1835" s="108">
        <f>IF($B1835="","",IF($E1835="Ngày thường",N($H1835),0))</f>
        <v/>
      </c>
      <c r="N1835" s="108">
        <f>IF($B1835="","",IF($E1835="Nghỉ tuần",N($H1835),0))</f>
        <v/>
      </c>
      <c r="O1835" s="108">
        <f>IF($B1835="","",IF($E1835="Lễ",N($H1835),0))</f>
        <v/>
      </c>
    </row>
    <row r="1836" ht="15" customHeight="1" s="63">
      <c r="A1836" s="85">
        <f>IF($B1836="","",ROW()-5)</f>
        <v/>
      </c>
      <c r="B1836" s="97" t="n"/>
      <c r="C1836" s="96">
        <f>IF($B1836="","",IFERROR(INDEX(DM_NHAN_SU!$C$6:$C$155,MATCH($B1836,DM_NHAN_SU!$B$6:$B$155,0)),"SAI MÃ NV"))</f>
        <v/>
      </c>
      <c r="D1836" s="86" t="n"/>
      <c r="E1836" s="103">
        <f>IF(OR($B1836="",$D1836=""),"",IF(COUNTIF(THAM_SO_CC!$F$10:$F$40,$D1836)&gt;0,"Lễ",IF(IF(THAM_SO_CC!$B$12="T7+CN",WEEKDAY($D1836,2)&gt;=6,WEEKDAY($D1836,2)=7),"Nghỉ tuần","Ngày thường")))</f>
        <v/>
      </c>
      <c r="F1836" s="107" t="n"/>
      <c r="G1836" s="107" t="n"/>
      <c r="H1836" s="107" t="n"/>
      <c r="I1836" s="81" t="n"/>
      <c r="J1836" s="108">
        <f>IF($B1836="","",IF($E1836="Ngày thường",N($G1836),0))</f>
        <v/>
      </c>
      <c r="K1836" s="108">
        <f>IF($B1836="","",IF($E1836="Nghỉ tuần",N($G1836),0))</f>
        <v/>
      </c>
      <c r="L1836" s="108">
        <f>IF($B1836="","",IF($E1836="Lễ",N($G1836),0))</f>
        <v/>
      </c>
      <c r="M1836" s="108">
        <f>IF($B1836="","",IF($E1836="Ngày thường",N($H1836),0))</f>
        <v/>
      </c>
      <c r="N1836" s="108">
        <f>IF($B1836="","",IF($E1836="Nghỉ tuần",N($H1836),0))</f>
        <v/>
      </c>
      <c r="O1836" s="108">
        <f>IF($B1836="","",IF($E1836="Lễ",N($H1836),0))</f>
        <v/>
      </c>
    </row>
    <row r="1837" ht="15" customHeight="1" s="63">
      <c r="A1837" s="85">
        <f>IF($B1837="","",ROW()-5)</f>
        <v/>
      </c>
      <c r="B1837" s="97" t="n"/>
      <c r="C1837" s="96">
        <f>IF($B1837="","",IFERROR(INDEX(DM_NHAN_SU!$C$6:$C$155,MATCH($B1837,DM_NHAN_SU!$B$6:$B$155,0)),"SAI MÃ NV"))</f>
        <v/>
      </c>
      <c r="D1837" s="86" t="n"/>
      <c r="E1837" s="103">
        <f>IF(OR($B1837="",$D1837=""),"",IF(COUNTIF(THAM_SO_CC!$F$10:$F$40,$D1837)&gt;0,"Lễ",IF(IF(THAM_SO_CC!$B$12="T7+CN",WEEKDAY($D1837,2)&gt;=6,WEEKDAY($D1837,2)=7),"Nghỉ tuần","Ngày thường")))</f>
        <v/>
      </c>
      <c r="F1837" s="107" t="n"/>
      <c r="G1837" s="107" t="n"/>
      <c r="H1837" s="107" t="n"/>
      <c r="I1837" s="81" t="n"/>
      <c r="J1837" s="108">
        <f>IF($B1837="","",IF($E1837="Ngày thường",N($G1837),0))</f>
        <v/>
      </c>
      <c r="K1837" s="108">
        <f>IF($B1837="","",IF($E1837="Nghỉ tuần",N($G1837),0))</f>
        <v/>
      </c>
      <c r="L1837" s="108">
        <f>IF($B1837="","",IF($E1837="Lễ",N($G1837),0))</f>
        <v/>
      </c>
      <c r="M1837" s="108">
        <f>IF($B1837="","",IF($E1837="Ngày thường",N($H1837),0))</f>
        <v/>
      </c>
      <c r="N1837" s="108">
        <f>IF($B1837="","",IF($E1837="Nghỉ tuần",N($H1837),0))</f>
        <v/>
      </c>
      <c r="O1837" s="108">
        <f>IF($B1837="","",IF($E1837="Lễ",N($H1837),0))</f>
        <v/>
      </c>
    </row>
    <row r="1838" ht="15" customHeight="1" s="63">
      <c r="A1838" s="85">
        <f>IF($B1838="","",ROW()-5)</f>
        <v/>
      </c>
      <c r="B1838" s="97" t="n"/>
      <c r="C1838" s="96">
        <f>IF($B1838="","",IFERROR(INDEX(DM_NHAN_SU!$C$6:$C$155,MATCH($B1838,DM_NHAN_SU!$B$6:$B$155,0)),"SAI MÃ NV"))</f>
        <v/>
      </c>
      <c r="D1838" s="86" t="n"/>
      <c r="E1838" s="103">
        <f>IF(OR($B1838="",$D1838=""),"",IF(COUNTIF(THAM_SO_CC!$F$10:$F$40,$D1838)&gt;0,"Lễ",IF(IF(THAM_SO_CC!$B$12="T7+CN",WEEKDAY($D1838,2)&gt;=6,WEEKDAY($D1838,2)=7),"Nghỉ tuần","Ngày thường")))</f>
        <v/>
      </c>
      <c r="F1838" s="107" t="n"/>
      <c r="G1838" s="107" t="n"/>
      <c r="H1838" s="107" t="n"/>
      <c r="I1838" s="81" t="n"/>
      <c r="J1838" s="108">
        <f>IF($B1838="","",IF($E1838="Ngày thường",N($G1838),0))</f>
        <v/>
      </c>
      <c r="K1838" s="108">
        <f>IF($B1838="","",IF($E1838="Nghỉ tuần",N($G1838),0))</f>
        <v/>
      </c>
      <c r="L1838" s="108">
        <f>IF($B1838="","",IF($E1838="Lễ",N($G1838),0))</f>
        <v/>
      </c>
      <c r="M1838" s="108">
        <f>IF($B1838="","",IF($E1838="Ngày thường",N($H1838),0))</f>
        <v/>
      </c>
      <c r="N1838" s="108">
        <f>IF($B1838="","",IF($E1838="Nghỉ tuần",N($H1838),0))</f>
        <v/>
      </c>
      <c r="O1838" s="108">
        <f>IF($B1838="","",IF($E1838="Lễ",N($H1838),0))</f>
        <v/>
      </c>
    </row>
    <row r="1839" ht="15" customHeight="1" s="63">
      <c r="A1839" s="85">
        <f>IF($B1839="","",ROW()-5)</f>
        <v/>
      </c>
      <c r="B1839" s="97" t="n"/>
      <c r="C1839" s="96">
        <f>IF($B1839="","",IFERROR(INDEX(DM_NHAN_SU!$C$6:$C$155,MATCH($B1839,DM_NHAN_SU!$B$6:$B$155,0)),"SAI MÃ NV"))</f>
        <v/>
      </c>
      <c r="D1839" s="86" t="n"/>
      <c r="E1839" s="103">
        <f>IF(OR($B1839="",$D1839=""),"",IF(COUNTIF(THAM_SO_CC!$F$10:$F$40,$D1839)&gt;0,"Lễ",IF(IF(THAM_SO_CC!$B$12="T7+CN",WEEKDAY($D1839,2)&gt;=6,WEEKDAY($D1839,2)=7),"Nghỉ tuần","Ngày thường")))</f>
        <v/>
      </c>
      <c r="F1839" s="107" t="n"/>
      <c r="G1839" s="107" t="n"/>
      <c r="H1839" s="107" t="n"/>
      <c r="I1839" s="81" t="n"/>
      <c r="J1839" s="108">
        <f>IF($B1839="","",IF($E1839="Ngày thường",N($G1839),0))</f>
        <v/>
      </c>
      <c r="K1839" s="108">
        <f>IF($B1839="","",IF($E1839="Nghỉ tuần",N($G1839),0))</f>
        <v/>
      </c>
      <c r="L1839" s="108">
        <f>IF($B1839="","",IF($E1839="Lễ",N($G1839),0))</f>
        <v/>
      </c>
      <c r="M1839" s="108">
        <f>IF($B1839="","",IF($E1839="Ngày thường",N($H1839),0))</f>
        <v/>
      </c>
      <c r="N1839" s="108">
        <f>IF($B1839="","",IF($E1839="Nghỉ tuần",N($H1839),0))</f>
        <v/>
      </c>
      <c r="O1839" s="108">
        <f>IF($B1839="","",IF($E1839="Lễ",N($H1839),0))</f>
        <v/>
      </c>
    </row>
    <row r="1840" ht="15" customHeight="1" s="63">
      <c r="A1840" s="85">
        <f>IF($B1840="","",ROW()-5)</f>
        <v/>
      </c>
      <c r="B1840" s="97" t="n"/>
      <c r="C1840" s="96">
        <f>IF($B1840="","",IFERROR(INDEX(DM_NHAN_SU!$C$6:$C$155,MATCH($B1840,DM_NHAN_SU!$B$6:$B$155,0)),"SAI MÃ NV"))</f>
        <v/>
      </c>
      <c r="D1840" s="86" t="n"/>
      <c r="E1840" s="103">
        <f>IF(OR($B1840="",$D1840=""),"",IF(COUNTIF(THAM_SO_CC!$F$10:$F$40,$D1840)&gt;0,"Lễ",IF(IF(THAM_SO_CC!$B$12="T7+CN",WEEKDAY($D1840,2)&gt;=6,WEEKDAY($D1840,2)=7),"Nghỉ tuần","Ngày thường")))</f>
        <v/>
      </c>
      <c r="F1840" s="107" t="n"/>
      <c r="G1840" s="107" t="n"/>
      <c r="H1840" s="107" t="n"/>
      <c r="I1840" s="81" t="n"/>
      <c r="J1840" s="108">
        <f>IF($B1840="","",IF($E1840="Ngày thường",N($G1840),0))</f>
        <v/>
      </c>
      <c r="K1840" s="108">
        <f>IF($B1840="","",IF($E1840="Nghỉ tuần",N($G1840),0))</f>
        <v/>
      </c>
      <c r="L1840" s="108">
        <f>IF($B1840="","",IF($E1840="Lễ",N($G1840),0))</f>
        <v/>
      </c>
      <c r="M1840" s="108">
        <f>IF($B1840="","",IF($E1840="Ngày thường",N($H1840),0))</f>
        <v/>
      </c>
      <c r="N1840" s="108">
        <f>IF($B1840="","",IF($E1840="Nghỉ tuần",N($H1840),0))</f>
        <v/>
      </c>
      <c r="O1840" s="108">
        <f>IF($B1840="","",IF($E1840="Lễ",N($H1840),0))</f>
        <v/>
      </c>
    </row>
    <row r="1841" ht="15" customHeight="1" s="63">
      <c r="A1841" s="85">
        <f>IF($B1841="","",ROW()-5)</f>
        <v/>
      </c>
      <c r="B1841" s="97" t="n"/>
      <c r="C1841" s="96">
        <f>IF($B1841="","",IFERROR(INDEX(DM_NHAN_SU!$C$6:$C$155,MATCH($B1841,DM_NHAN_SU!$B$6:$B$155,0)),"SAI MÃ NV"))</f>
        <v/>
      </c>
      <c r="D1841" s="86" t="n"/>
      <c r="E1841" s="103">
        <f>IF(OR($B1841="",$D1841=""),"",IF(COUNTIF(THAM_SO_CC!$F$10:$F$40,$D1841)&gt;0,"Lễ",IF(IF(THAM_SO_CC!$B$12="T7+CN",WEEKDAY($D1841,2)&gt;=6,WEEKDAY($D1841,2)=7),"Nghỉ tuần","Ngày thường")))</f>
        <v/>
      </c>
      <c r="F1841" s="107" t="n"/>
      <c r="G1841" s="107" t="n"/>
      <c r="H1841" s="107" t="n"/>
      <c r="I1841" s="81" t="n"/>
      <c r="J1841" s="108">
        <f>IF($B1841="","",IF($E1841="Ngày thường",N($G1841),0))</f>
        <v/>
      </c>
      <c r="K1841" s="108">
        <f>IF($B1841="","",IF($E1841="Nghỉ tuần",N($G1841),0))</f>
        <v/>
      </c>
      <c r="L1841" s="108">
        <f>IF($B1841="","",IF($E1841="Lễ",N($G1841),0))</f>
        <v/>
      </c>
      <c r="M1841" s="108">
        <f>IF($B1841="","",IF($E1841="Ngày thường",N($H1841),0))</f>
        <v/>
      </c>
      <c r="N1841" s="108">
        <f>IF($B1841="","",IF($E1841="Nghỉ tuần",N($H1841),0))</f>
        <v/>
      </c>
      <c r="O1841" s="108">
        <f>IF($B1841="","",IF($E1841="Lễ",N($H1841),0))</f>
        <v/>
      </c>
    </row>
    <row r="1842" ht="15" customHeight="1" s="63">
      <c r="A1842" s="85">
        <f>IF($B1842="","",ROW()-5)</f>
        <v/>
      </c>
      <c r="B1842" s="97" t="n"/>
      <c r="C1842" s="96">
        <f>IF($B1842="","",IFERROR(INDEX(DM_NHAN_SU!$C$6:$C$155,MATCH($B1842,DM_NHAN_SU!$B$6:$B$155,0)),"SAI MÃ NV"))</f>
        <v/>
      </c>
      <c r="D1842" s="86" t="n"/>
      <c r="E1842" s="103">
        <f>IF(OR($B1842="",$D1842=""),"",IF(COUNTIF(THAM_SO_CC!$F$10:$F$40,$D1842)&gt;0,"Lễ",IF(IF(THAM_SO_CC!$B$12="T7+CN",WEEKDAY($D1842,2)&gt;=6,WEEKDAY($D1842,2)=7),"Nghỉ tuần","Ngày thường")))</f>
        <v/>
      </c>
      <c r="F1842" s="107" t="n"/>
      <c r="G1842" s="107" t="n"/>
      <c r="H1842" s="107" t="n"/>
      <c r="I1842" s="81" t="n"/>
      <c r="J1842" s="108">
        <f>IF($B1842="","",IF($E1842="Ngày thường",N($G1842),0))</f>
        <v/>
      </c>
      <c r="K1842" s="108">
        <f>IF($B1842="","",IF($E1842="Nghỉ tuần",N($G1842),0))</f>
        <v/>
      </c>
      <c r="L1842" s="108">
        <f>IF($B1842="","",IF($E1842="Lễ",N($G1842),0))</f>
        <v/>
      </c>
      <c r="M1842" s="108">
        <f>IF($B1842="","",IF($E1842="Ngày thường",N($H1842),0))</f>
        <v/>
      </c>
      <c r="N1842" s="108">
        <f>IF($B1842="","",IF($E1842="Nghỉ tuần",N($H1842),0))</f>
        <v/>
      </c>
      <c r="O1842" s="108">
        <f>IF($B1842="","",IF($E1842="Lễ",N($H1842),0))</f>
        <v/>
      </c>
    </row>
    <row r="1843" ht="15" customHeight="1" s="63">
      <c r="A1843" s="85">
        <f>IF($B1843="","",ROW()-5)</f>
        <v/>
      </c>
      <c r="B1843" s="97" t="n"/>
      <c r="C1843" s="96">
        <f>IF($B1843="","",IFERROR(INDEX(DM_NHAN_SU!$C$6:$C$155,MATCH($B1843,DM_NHAN_SU!$B$6:$B$155,0)),"SAI MÃ NV"))</f>
        <v/>
      </c>
      <c r="D1843" s="86" t="n"/>
      <c r="E1843" s="103">
        <f>IF(OR($B1843="",$D1843=""),"",IF(COUNTIF(THAM_SO_CC!$F$10:$F$40,$D1843)&gt;0,"Lễ",IF(IF(THAM_SO_CC!$B$12="T7+CN",WEEKDAY($D1843,2)&gt;=6,WEEKDAY($D1843,2)=7),"Nghỉ tuần","Ngày thường")))</f>
        <v/>
      </c>
      <c r="F1843" s="107" t="n"/>
      <c r="G1843" s="107" t="n"/>
      <c r="H1843" s="107" t="n"/>
      <c r="I1843" s="81" t="n"/>
      <c r="J1843" s="108">
        <f>IF($B1843="","",IF($E1843="Ngày thường",N($G1843),0))</f>
        <v/>
      </c>
      <c r="K1843" s="108">
        <f>IF($B1843="","",IF($E1843="Nghỉ tuần",N($G1843),0))</f>
        <v/>
      </c>
      <c r="L1843" s="108">
        <f>IF($B1843="","",IF($E1843="Lễ",N($G1843),0))</f>
        <v/>
      </c>
      <c r="M1843" s="108">
        <f>IF($B1843="","",IF($E1843="Ngày thường",N($H1843),0))</f>
        <v/>
      </c>
      <c r="N1843" s="108">
        <f>IF($B1843="","",IF($E1843="Nghỉ tuần",N($H1843),0))</f>
        <v/>
      </c>
      <c r="O1843" s="108">
        <f>IF($B1843="","",IF($E1843="Lễ",N($H1843),0))</f>
        <v/>
      </c>
    </row>
    <row r="1844" ht="15" customHeight="1" s="63">
      <c r="A1844" s="85">
        <f>IF($B1844="","",ROW()-5)</f>
        <v/>
      </c>
      <c r="B1844" s="97" t="n"/>
      <c r="C1844" s="96">
        <f>IF($B1844="","",IFERROR(INDEX(DM_NHAN_SU!$C$6:$C$155,MATCH($B1844,DM_NHAN_SU!$B$6:$B$155,0)),"SAI MÃ NV"))</f>
        <v/>
      </c>
      <c r="D1844" s="86" t="n"/>
      <c r="E1844" s="103">
        <f>IF(OR($B1844="",$D1844=""),"",IF(COUNTIF(THAM_SO_CC!$F$10:$F$40,$D1844)&gt;0,"Lễ",IF(IF(THAM_SO_CC!$B$12="T7+CN",WEEKDAY($D1844,2)&gt;=6,WEEKDAY($D1844,2)=7),"Nghỉ tuần","Ngày thường")))</f>
        <v/>
      </c>
      <c r="F1844" s="107" t="n"/>
      <c r="G1844" s="107" t="n"/>
      <c r="H1844" s="107" t="n"/>
      <c r="I1844" s="81" t="n"/>
      <c r="J1844" s="108">
        <f>IF($B1844="","",IF($E1844="Ngày thường",N($G1844),0))</f>
        <v/>
      </c>
      <c r="K1844" s="108">
        <f>IF($B1844="","",IF($E1844="Nghỉ tuần",N($G1844),0))</f>
        <v/>
      </c>
      <c r="L1844" s="108">
        <f>IF($B1844="","",IF($E1844="Lễ",N($G1844),0))</f>
        <v/>
      </c>
      <c r="M1844" s="108">
        <f>IF($B1844="","",IF($E1844="Ngày thường",N($H1844),0))</f>
        <v/>
      </c>
      <c r="N1844" s="108">
        <f>IF($B1844="","",IF($E1844="Nghỉ tuần",N($H1844),0))</f>
        <v/>
      </c>
      <c r="O1844" s="108">
        <f>IF($B1844="","",IF($E1844="Lễ",N($H1844),0))</f>
        <v/>
      </c>
    </row>
    <row r="1845" ht="15" customHeight="1" s="63">
      <c r="A1845" s="85">
        <f>IF($B1845="","",ROW()-5)</f>
        <v/>
      </c>
      <c r="B1845" s="97" t="n"/>
      <c r="C1845" s="96">
        <f>IF($B1845="","",IFERROR(INDEX(DM_NHAN_SU!$C$6:$C$155,MATCH($B1845,DM_NHAN_SU!$B$6:$B$155,0)),"SAI MÃ NV"))</f>
        <v/>
      </c>
      <c r="D1845" s="86" t="n"/>
      <c r="E1845" s="103">
        <f>IF(OR($B1845="",$D1845=""),"",IF(COUNTIF(THAM_SO_CC!$F$10:$F$40,$D1845)&gt;0,"Lễ",IF(IF(THAM_SO_CC!$B$12="T7+CN",WEEKDAY($D1845,2)&gt;=6,WEEKDAY($D1845,2)=7),"Nghỉ tuần","Ngày thường")))</f>
        <v/>
      </c>
      <c r="F1845" s="107" t="n"/>
      <c r="G1845" s="107" t="n"/>
      <c r="H1845" s="107" t="n"/>
      <c r="I1845" s="81" t="n"/>
      <c r="J1845" s="108">
        <f>IF($B1845="","",IF($E1845="Ngày thường",N($G1845),0))</f>
        <v/>
      </c>
      <c r="K1845" s="108">
        <f>IF($B1845="","",IF($E1845="Nghỉ tuần",N($G1845),0))</f>
        <v/>
      </c>
      <c r="L1845" s="108">
        <f>IF($B1845="","",IF($E1845="Lễ",N($G1845),0))</f>
        <v/>
      </c>
      <c r="M1845" s="108">
        <f>IF($B1845="","",IF($E1845="Ngày thường",N($H1845),0))</f>
        <v/>
      </c>
      <c r="N1845" s="108">
        <f>IF($B1845="","",IF($E1845="Nghỉ tuần",N($H1845),0))</f>
        <v/>
      </c>
      <c r="O1845" s="108">
        <f>IF($B1845="","",IF($E1845="Lễ",N($H1845),0))</f>
        <v/>
      </c>
    </row>
    <row r="1846" ht="15" customHeight="1" s="63">
      <c r="A1846" s="85">
        <f>IF($B1846="","",ROW()-5)</f>
        <v/>
      </c>
      <c r="B1846" s="97" t="n"/>
      <c r="C1846" s="96">
        <f>IF($B1846="","",IFERROR(INDEX(DM_NHAN_SU!$C$6:$C$155,MATCH($B1846,DM_NHAN_SU!$B$6:$B$155,0)),"SAI MÃ NV"))</f>
        <v/>
      </c>
      <c r="D1846" s="86" t="n"/>
      <c r="E1846" s="103">
        <f>IF(OR($B1846="",$D1846=""),"",IF(COUNTIF(THAM_SO_CC!$F$10:$F$40,$D1846)&gt;0,"Lễ",IF(IF(THAM_SO_CC!$B$12="T7+CN",WEEKDAY($D1846,2)&gt;=6,WEEKDAY($D1846,2)=7),"Nghỉ tuần","Ngày thường")))</f>
        <v/>
      </c>
      <c r="F1846" s="107" t="n"/>
      <c r="G1846" s="107" t="n"/>
      <c r="H1846" s="107" t="n"/>
      <c r="I1846" s="81" t="n"/>
      <c r="J1846" s="108">
        <f>IF($B1846="","",IF($E1846="Ngày thường",N($G1846),0))</f>
        <v/>
      </c>
      <c r="K1846" s="108">
        <f>IF($B1846="","",IF($E1846="Nghỉ tuần",N($G1846),0))</f>
        <v/>
      </c>
      <c r="L1846" s="108">
        <f>IF($B1846="","",IF($E1846="Lễ",N($G1846),0))</f>
        <v/>
      </c>
      <c r="M1846" s="108">
        <f>IF($B1846="","",IF($E1846="Ngày thường",N($H1846),0))</f>
        <v/>
      </c>
      <c r="N1846" s="108">
        <f>IF($B1846="","",IF($E1846="Nghỉ tuần",N($H1846),0))</f>
        <v/>
      </c>
      <c r="O1846" s="108">
        <f>IF($B1846="","",IF($E1846="Lễ",N($H1846),0))</f>
        <v/>
      </c>
    </row>
    <row r="1847" ht="15" customHeight="1" s="63">
      <c r="A1847" s="85">
        <f>IF($B1847="","",ROW()-5)</f>
        <v/>
      </c>
      <c r="B1847" s="97" t="n"/>
      <c r="C1847" s="96">
        <f>IF($B1847="","",IFERROR(INDEX(DM_NHAN_SU!$C$6:$C$155,MATCH($B1847,DM_NHAN_SU!$B$6:$B$155,0)),"SAI MÃ NV"))</f>
        <v/>
      </c>
      <c r="D1847" s="86" t="n"/>
      <c r="E1847" s="103">
        <f>IF(OR($B1847="",$D1847=""),"",IF(COUNTIF(THAM_SO_CC!$F$10:$F$40,$D1847)&gt;0,"Lễ",IF(IF(THAM_SO_CC!$B$12="T7+CN",WEEKDAY($D1847,2)&gt;=6,WEEKDAY($D1847,2)=7),"Nghỉ tuần","Ngày thường")))</f>
        <v/>
      </c>
      <c r="F1847" s="107" t="n"/>
      <c r="G1847" s="107" t="n"/>
      <c r="H1847" s="107" t="n"/>
      <c r="I1847" s="81" t="n"/>
      <c r="J1847" s="108">
        <f>IF($B1847="","",IF($E1847="Ngày thường",N($G1847),0))</f>
        <v/>
      </c>
      <c r="K1847" s="108">
        <f>IF($B1847="","",IF($E1847="Nghỉ tuần",N($G1847),0))</f>
        <v/>
      </c>
      <c r="L1847" s="108">
        <f>IF($B1847="","",IF($E1847="Lễ",N($G1847),0))</f>
        <v/>
      </c>
      <c r="M1847" s="108">
        <f>IF($B1847="","",IF($E1847="Ngày thường",N($H1847),0))</f>
        <v/>
      </c>
      <c r="N1847" s="108">
        <f>IF($B1847="","",IF($E1847="Nghỉ tuần",N($H1847),0))</f>
        <v/>
      </c>
      <c r="O1847" s="108">
        <f>IF($B1847="","",IF($E1847="Lễ",N($H1847),0))</f>
        <v/>
      </c>
    </row>
    <row r="1848" ht="15" customHeight="1" s="63">
      <c r="A1848" s="85">
        <f>IF($B1848="","",ROW()-5)</f>
        <v/>
      </c>
      <c r="B1848" s="97" t="n"/>
      <c r="C1848" s="96">
        <f>IF($B1848="","",IFERROR(INDEX(DM_NHAN_SU!$C$6:$C$155,MATCH($B1848,DM_NHAN_SU!$B$6:$B$155,0)),"SAI MÃ NV"))</f>
        <v/>
      </c>
      <c r="D1848" s="86" t="n"/>
      <c r="E1848" s="103">
        <f>IF(OR($B1848="",$D1848=""),"",IF(COUNTIF(THAM_SO_CC!$F$10:$F$40,$D1848)&gt;0,"Lễ",IF(IF(THAM_SO_CC!$B$12="T7+CN",WEEKDAY($D1848,2)&gt;=6,WEEKDAY($D1848,2)=7),"Nghỉ tuần","Ngày thường")))</f>
        <v/>
      </c>
      <c r="F1848" s="107" t="n"/>
      <c r="G1848" s="107" t="n"/>
      <c r="H1848" s="107" t="n"/>
      <c r="I1848" s="81" t="n"/>
      <c r="J1848" s="108">
        <f>IF($B1848="","",IF($E1848="Ngày thường",N($G1848),0))</f>
        <v/>
      </c>
      <c r="K1848" s="108">
        <f>IF($B1848="","",IF($E1848="Nghỉ tuần",N($G1848),0))</f>
        <v/>
      </c>
      <c r="L1848" s="108">
        <f>IF($B1848="","",IF($E1848="Lễ",N($G1848),0))</f>
        <v/>
      </c>
      <c r="M1848" s="108">
        <f>IF($B1848="","",IF($E1848="Ngày thường",N($H1848),0))</f>
        <v/>
      </c>
      <c r="N1848" s="108">
        <f>IF($B1848="","",IF($E1848="Nghỉ tuần",N($H1848),0))</f>
        <v/>
      </c>
      <c r="O1848" s="108">
        <f>IF($B1848="","",IF($E1848="Lễ",N($H1848),0))</f>
        <v/>
      </c>
    </row>
    <row r="1849" ht="15" customHeight="1" s="63">
      <c r="A1849" s="85">
        <f>IF($B1849="","",ROW()-5)</f>
        <v/>
      </c>
      <c r="B1849" s="97" t="n"/>
      <c r="C1849" s="96">
        <f>IF($B1849="","",IFERROR(INDEX(DM_NHAN_SU!$C$6:$C$155,MATCH($B1849,DM_NHAN_SU!$B$6:$B$155,0)),"SAI MÃ NV"))</f>
        <v/>
      </c>
      <c r="D1849" s="86" t="n"/>
      <c r="E1849" s="103">
        <f>IF(OR($B1849="",$D1849=""),"",IF(COUNTIF(THAM_SO_CC!$F$10:$F$40,$D1849)&gt;0,"Lễ",IF(IF(THAM_SO_CC!$B$12="T7+CN",WEEKDAY($D1849,2)&gt;=6,WEEKDAY($D1849,2)=7),"Nghỉ tuần","Ngày thường")))</f>
        <v/>
      </c>
      <c r="F1849" s="107" t="n"/>
      <c r="G1849" s="107" t="n"/>
      <c r="H1849" s="107" t="n"/>
      <c r="I1849" s="81" t="n"/>
      <c r="J1849" s="108">
        <f>IF($B1849="","",IF($E1849="Ngày thường",N($G1849),0))</f>
        <v/>
      </c>
      <c r="K1849" s="108">
        <f>IF($B1849="","",IF($E1849="Nghỉ tuần",N($G1849),0))</f>
        <v/>
      </c>
      <c r="L1849" s="108">
        <f>IF($B1849="","",IF($E1849="Lễ",N($G1849),0))</f>
        <v/>
      </c>
      <c r="M1849" s="108">
        <f>IF($B1849="","",IF($E1849="Ngày thường",N($H1849),0))</f>
        <v/>
      </c>
      <c r="N1849" s="108">
        <f>IF($B1849="","",IF($E1849="Nghỉ tuần",N($H1849),0))</f>
        <v/>
      </c>
      <c r="O1849" s="108">
        <f>IF($B1849="","",IF($E1849="Lễ",N($H1849),0))</f>
        <v/>
      </c>
    </row>
    <row r="1850" ht="15" customHeight="1" s="63">
      <c r="A1850" s="85">
        <f>IF($B1850="","",ROW()-5)</f>
        <v/>
      </c>
      <c r="B1850" s="97" t="n"/>
      <c r="C1850" s="96">
        <f>IF($B1850="","",IFERROR(INDEX(DM_NHAN_SU!$C$6:$C$155,MATCH($B1850,DM_NHAN_SU!$B$6:$B$155,0)),"SAI MÃ NV"))</f>
        <v/>
      </c>
      <c r="D1850" s="86" t="n"/>
      <c r="E1850" s="103">
        <f>IF(OR($B1850="",$D1850=""),"",IF(COUNTIF(THAM_SO_CC!$F$10:$F$40,$D1850)&gt;0,"Lễ",IF(IF(THAM_SO_CC!$B$12="T7+CN",WEEKDAY($D1850,2)&gt;=6,WEEKDAY($D1850,2)=7),"Nghỉ tuần","Ngày thường")))</f>
        <v/>
      </c>
      <c r="F1850" s="107" t="n"/>
      <c r="G1850" s="107" t="n"/>
      <c r="H1850" s="107" t="n"/>
      <c r="I1850" s="81" t="n"/>
      <c r="J1850" s="108">
        <f>IF($B1850="","",IF($E1850="Ngày thường",N($G1850),0))</f>
        <v/>
      </c>
      <c r="K1850" s="108">
        <f>IF($B1850="","",IF($E1850="Nghỉ tuần",N($G1850),0))</f>
        <v/>
      </c>
      <c r="L1850" s="108">
        <f>IF($B1850="","",IF($E1850="Lễ",N($G1850),0))</f>
        <v/>
      </c>
      <c r="M1850" s="108">
        <f>IF($B1850="","",IF($E1850="Ngày thường",N($H1850),0))</f>
        <v/>
      </c>
      <c r="N1850" s="108">
        <f>IF($B1850="","",IF($E1850="Nghỉ tuần",N($H1850),0))</f>
        <v/>
      </c>
      <c r="O1850" s="108">
        <f>IF($B1850="","",IF($E1850="Lễ",N($H1850),0))</f>
        <v/>
      </c>
    </row>
    <row r="1851" ht="15" customHeight="1" s="63">
      <c r="A1851" s="85">
        <f>IF($B1851="","",ROW()-5)</f>
        <v/>
      </c>
      <c r="B1851" s="97" t="n"/>
      <c r="C1851" s="96">
        <f>IF($B1851="","",IFERROR(INDEX(DM_NHAN_SU!$C$6:$C$155,MATCH($B1851,DM_NHAN_SU!$B$6:$B$155,0)),"SAI MÃ NV"))</f>
        <v/>
      </c>
      <c r="D1851" s="86" t="n"/>
      <c r="E1851" s="103">
        <f>IF(OR($B1851="",$D1851=""),"",IF(COUNTIF(THAM_SO_CC!$F$10:$F$40,$D1851)&gt;0,"Lễ",IF(IF(THAM_SO_CC!$B$12="T7+CN",WEEKDAY($D1851,2)&gt;=6,WEEKDAY($D1851,2)=7),"Nghỉ tuần","Ngày thường")))</f>
        <v/>
      </c>
      <c r="F1851" s="107" t="n"/>
      <c r="G1851" s="107" t="n"/>
      <c r="H1851" s="107" t="n"/>
      <c r="I1851" s="81" t="n"/>
      <c r="J1851" s="108">
        <f>IF($B1851="","",IF($E1851="Ngày thường",N($G1851),0))</f>
        <v/>
      </c>
      <c r="K1851" s="108">
        <f>IF($B1851="","",IF($E1851="Nghỉ tuần",N($G1851),0))</f>
        <v/>
      </c>
      <c r="L1851" s="108">
        <f>IF($B1851="","",IF($E1851="Lễ",N($G1851),0))</f>
        <v/>
      </c>
      <c r="M1851" s="108">
        <f>IF($B1851="","",IF($E1851="Ngày thường",N($H1851),0))</f>
        <v/>
      </c>
      <c r="N1851" s="108">
        <f>IF($B1851="","",IF($E1851="Nghỉ tuần",N($H1851),0))</f>
        <v/>
      </c>
      <c r="O1851" s="108">
        <f>IF($B1851="","",IF($E1851="Lễ",N($H1851),0))</f>
        <v/>
      </c>
    </row>
    <row r="1852" ht="15" customHeight="1" s="63">
      <c r="A1852" s="85">
        <f>IF($B1852="","",ROW()-5)</f>
        <v/>
      </c>
      <c r="B1852" s="97" t="n"/>
      <c r="C1852" s="96">
        <f>IF($B1852="","",IFERROR(INDEX(DM_NHAN_SU!$C$6:$C$155,MATCH($B1852,DM_NHAN_SU!$B$6:$B$155,0)),"SAI MÃ NV"))</f>
        <v/>
      </c>
      <c r="D1852" s="86" t="n"/>
      <c r="E1852" s="103">
        <f>IF(OR($B1852="",$D1852=""),"",IF(COUNTIF(THAM_SO_CC!$F$10:$F$40,$D1852)&gt;0,"Lễ",IF(IF(THAM_SO_CC!$B$12="T7+CN",WEEKDAY($D1852,2)&gt;=6,WEEKDAY($D1852,2)=7),"Nghỉ tuần","Ngày thường")))</f>
        <v/>
      </c>
      <c r="F1852" s="107" t="n"/>
      <c r="G1852" s="107" t="n"/>
      <c r="H1852" s="107" t="n"/>
      <c r="I1852" s="81" t="n"/>
      <c r="J1852" s="108">
        <f>IF($B1852="","",IF($E1852="Ngày thường",N($G1852),0))</f>
        <v/>
      </c>
      <c r="K1852" s="108">
        <f>IF($B1852="","",IF($E1852="Nghỉ tuần",N($G1852),0))</f>
        <v/>
      </c>
      <c r="L1852" s="108">
        <f>IF($B1852="","",IF($E1852="Lễ",N($G1852),0))</f>
        <v/>
      </c>
      <c r="M1852" s="108">
        <f>IF($B1852="","",IF($E1852="Ngày thường",N($H1852),0))</f>
        <v/>
      </c>
      <c r="N1852" s="108">
        <f>IF($B1852="","",IF($E1852="Nghỉ tuần",N($H1852),0))</f>
        <v/>
      </c>
      <c r="O1852" s="108">
        <f>IF($B1852="","",IF($E1852="Lễ",N($H1852),0))</f>
        <v/>
      </c>
    </row>
    <row r="1853" ht="15" customHeight="1" s="63">
      <c r="A1853" s="85">
        <f>IF($B1853="","",ROW()-5)</f>
        <v/>
      </c>
      <c r="B1853" s="97" t="n"/>
      <c r="C1853" s="96">
        <f>IF($B1853="","",IFERROR(INDEX(DM_NHAN_SU!$C$6:$C$155,MATCH($B1853,DM_NHAN_SU!$B$6:$B$155,0)),"SAI MÃ NV"))</f>
        <v/>
      </c>
      <c r="D1853" s="86" t="n"/>
      <c r="E1853" s="103">
        <f>IF(OR($B1853="",$D1853=""),"",IF(COUNTIF(THAM_SO_CC!$F$10:$F$40,$D1853)&gt;0,"Lễ",IF(IF(THAM_SO_CC!$B$12="T7+CN",WEEKDAY($D1853,2)&gt;=6,WEEKDAY($D1853,2)=7),"Nghỉ tuần","Ngày thường")))</f>
        <v/>
      </c>
      <c r="F1853" s="107" t="n"/>
      <c r="G1853" s="107" t="n"/>
      <c r="H1853" s="107" t="n"/>
      <c r="I1853" s="81" t="n"/>
      <c r="J1853" s="108">
        <f>IF($B1853="","",IF($E1853="Ngày thường",N($G1853),0))</f>
        <v/>
      </c>
      <c r="K1853" s="108">
        <f>IF($B1853="","",IF($E1853="Nghỉ tuần",N($G1853),0))</f>
        <v/>
      </c>
      <c r="L1853" s="108">
        <f>IF($B1853="","",IF($E1853="Lễ",N($G1853),0))</f>
        <v/>
      </c>
      <c r="M1853" s="108">
        <f>IF($B1853="","",IF($E1853="Ngày thường",N($H1853),0))</f>
        <v/>
      </c>
      <c r="N1853" s="108">
        <f>IF($B1853="","",IF($E1853="Nghỉ tuần",N($H1853),0))</f>
        <v/>
      </c>
      <c r="O1853" s="108">
        <f>IF($B1853="","",IF($E1853="Lễ",N($H1853),0))</f>
        <v/>
      </c>
    </row>
    <row r="1854" ht="15" customHeight="1" s="63">
      <c r="A1854" s="85">
        <f>IF($B1854="","",ROW()-5)</f>
        <v/>
      </c>
      <c r="B1854" s="97" t="n"/>
      <c r="C1854" s="96">
        <f>IF($B1854="","",IFERROR(INDEX(DM_NHAN_SU!$C$6:$C$155,MATCH($B1854,DM_NHAN_SU!$B$6:$B$155,0)),"SAI MÃ NV"))</f>
        <v/>
      </c>
      <c r="D1854" s="86" t="n"/>
      <c r="E1854" s="103">
        <f>IF(OR($B1854="",$D1854=""),"",IF(COUNTIF(THAM_SO_CC!$F$10:$F$40,$D1854)&gt;0,"Lễ",IF(IF(THAM_SO_CC!$B$12="T7+CN",WEEKDAY($D1854,2)&gt;=6,WEEKDAY($D1854,2)=7),"Nghỉ tuần","Ngày thường")))</f>
        <v/>
      </c>
      <c r="F1854" s="107" t="n"/>
      <c r="G1854" s="107" t="n"/>
      <c r="H1854" s="107" t="n"/>
      <c r="I1854" s="81" t="n"/>
      <c r="J1854" s="108">
        <f>IF($B1854="","",IF($E1854="Ngày thường",N($G1854),0))</f>
        <v/>
      </c>
      <c r="K1854" s="108">
        <f>IF($B1854="","",IF($E1854="Nghỉ tuần",N($G1854),0))</f>
        <v/>
      </c>
      <c r="L1854" s="108">
        <f>IF($B1854="","",IF($E1854="Lễ",N($G1854),0))</f>
        <v/>
      </c>
      <c r="M1854" s="108">
        <f>IF($B1854="","",IF($E1854="Ngày thường",N($H1854),0))</f>
        <v/>
      </c>
      <c r="N1854" s="108">
        <f>IF($B1854="","",IF($E1854="Nghỉ tuần",N($H1854),0))</f>
        <v/>
      </c>
      <c r="O1854" s="108">
        <f>IF($B1854="","",IF($E1854="Lễ",N($H1854),0))</f>
        <v/>
      </c>
    </row>
    <row r="1855" ht="15" customHeight="1" s="63">
      <c r="A1855" s="85">
        <f>IF($B1855="","",ROW()-5)</f>
        <v/>
      </c>
      <c r="B1855" s="97" t="n"/>
      <c r="C1855" s="96">
        <f>IF($B1855="","",IFERROR(INDEX(DM_NHAN_SU!$C$6:$C$155,MATCH($B1855,DM_NHAN_SU!$B$6:$B$155,0)),"SAI MÃ NV"))</f>
        <v/>
      </c>
      <c r="D1855" s="86" t="n"/>
      <c r="E1855" s="103">
        <f>IF(OR($B1855="",$D1855=""),"",IF(COUNTIF(THAM_SO_CC!$F$10:$F$40,$D1855)&gt;0,"Lễ",IF(IF(THAM_SO_CC!$B$12="T7+CN",WEEKDAY($D1855,2)&gt;=6,WEEKDAY($D1855,2)=7),"Nghỉ tuần","Ngày thường")))</f>
        <v/>
      </c>
      <c r="F1855" s="107" t="n"/>
      <c r="G1855" s="107" t="n"/>
      <c r="H1855" s="107" t="n"/>
      <c r="I1855" s="81" t="n"/>
      <c r="J1855" s="108">
        <f>IF($B1855="","",IF($E1855="Ngày thường",N($G1855),0))</f>
        <v/>
      </c>
      <c r="K1855" s="108">
        <f>IF($B1855="","",IF($E1855="Nghỉ tuần",N($G1855),0))</f>
        <v/>
      </c>
      <c r="L1855" s="108">
        <f>IF($B1855="","",IF($E1855="Lễ",N($G1855),0))</f>
        <v/>
      </c>
      <c r="M1855" s="108">
        <f>IF($B1855="","",IF($E1855="Ngày thường",N($H1855),0))</f>
        <v/>
      </c>
      <c r="N1855" s="108">
        <f>IF($B1855="","",IF($E1855="Nghỉ tuần",N($H1855),0))</f>
        <v/>
      </c>
      <c r="O1855" s="108">
        <f>IF($B1855="","",IF($E1855="Lễ",N($H1855),0))</f>
        <v/>
      </c>
    </row>
    <row r="1856" ht="15" customHeight="1" s="63">
      <c r="A1856" s="85">
        <f>IF($B1856="","",ROW()-5)</f>
        <v/>
      </c>
      <c r="B1856" s="97" t="n"/>
      <c r="C1856" s="96">
        <f>IF($B1856="","",IFERROR(INDEX(DM_NHAN_SU!$C$6:$C$155,MATCH($B1856,DM_NHAN_SU!$B$6:$B$155,0)),"SAI MÃ NV"))</f>
        <v/>
      </c>
      <c r="D1856" s="86" t="n"/>
      <c r="E1856" s="103">
        <f>IF(OR($B1856="",$D1856=""),"",IF(COUNTIF(THAM_SO_CC!$F$10:$F$40,$D1856)&gt;0,"Lễ",IF(IF(THAM_SO_CC!$B$12="T7+CN",WEEKDAY($D1856,2)&gt;=6,WEEKDAY($D1856,2)=7),"Nghỉ tuần","Ngày thường")))</f>
        <v/>
      </c>
      <c r="F1856" s="107" t="n"/>
      <c r="G1856" s="107" t="n"/>
      <c r="H1856" s="107" t="n"/>
      <c r="I1856" s="81" t="n"/>
      <c r="J1856" s="108">
        <f>IF($B1856="","",IF($E1856="Ngày thường",N($G1856),0))</f>
        <v/>
      </c>
      <c r="K1856" s="108">
        <f>IF($B1856="","",IF($E1856="Nghỉ tuần",N($G1856),0))</f>
        <v/>
      </c>
      <c r="L1856" s="108">
        <f>IF($B1856="","",IF($E1856="Lễ",N($G1856),0))</f>
        <v/>
      </c>
      <c r="M1856" s="108">
        <f>IF($B1856="","",IF($E1856="Ngày thường",N($H1856),0))</f>
        <v/>
      </c>
      <c r="N1856" s="108">
        <f>IF($B1856="","",IF($E1856="Nghỉ tuần",N($H1856),0))</f>
        <v/>
      </c>
      <c r="O1856" s="108">
        <f>IF($B1856="","",IF($E1856="Lễ",N($H1856),0))</f>
        <v/>
      </c>
    </row>
    <row r="1857" ht="15" customHeight="1" s="63">
      <c r="A1857" s="85">
        <f>IF($B1857="","",ROW()-5)</f>
        <v/>
      </c>
      <c r="B1857" s="97" t="n"/>
      <c r="C1857" s="96">
        <f>IF($B1857="","",IFERROR(INDEX(DM_NHAN_SU!$C$6:$C$155,MATCH($B1857,DM_NHAN_SU!$B$6:$B$155,0)),"SAI MÃ NV"))</f>
        <v/>
      </c>
      <c r="D1857" s="86" t="n"/>
      <c r="E1857" s="103">
        <f>IF(OR($B1857="",$D1857=""),"",IF(COUNTIF(THAM_SO_CC!$F$10:$F$40,$D1857)&gt;0,"Lễ",IF(IF(THAM_SO_CC!$B$12="T7+CN",WEEKDAY($D1857,2)&gt;=6,WEEKDAY($D1857,2)=7),"Nghỉ tuần","Ngày thường")))</f>
        <v/>
      </c>
      <c r="F1857" s="107" t="n"/>
      <c r="G1857" s="107" t="n"/>
      <c r="H1857" s="107" t="n"/>
      <c r="I1857" s="81" t="n"/>
      <c r="J1857" s="108">
        <f>IF($B1857="","",IF($E1857="Ngày thường",N($G1857),0))</f>
        <v/>
      </c>
      <c r="K1857" s="108">
        <f>IF($B1857="","",IF($E1857="Nghỉ tuần",N($G1857),0))</f>
        <v/>
      </c>
      <c r="L1857" s="108">
        <f>IF($B1857="","",IF($E1857="Lễ",N($G1857),0))</f>
        <v/>
      </c>
      <c r="M1857" s="108">
        <f>IF($B1857="","",IF($E1857="Ngày thường",N($H1857),0))</f>
        <v/>
      </c>
      <c r="N1857" s="108">
        <f>IF($B1857="","",IF($E1857="Nghỉ tuần",N($H1857),0))</f>
        <v/>
      </c>
      <c r="O1857" s="108">
        <f>IF($B1857="","",IF($E1857="Lễ",N($H1857),0))</f>
        <v/>
      </c>
    </row>
    <row r="1858" ht="15" customHeight="1" s="63">
      <c r="A1858" s="85">
        <f>IF($B1858="","",ROW()-5)</f>
        <v/>
      </c>
      <c r="B1858" s="97" t="n"/>
      <c r="C1858" s="96">
        <f>IF($B1858="","",IFERROR(INDEX(DM_NHAN_SU!$C$6:$C$155,MATCH($B1858,DM_NHAN_SU!$B$6:$B$155,0)),"SAI MÃ NV"))</f>
        <v/>
      </c>
      <c r="D1858" s="86" t="n"/>
      <c r="E1858" s="103">
        <f>IF(OR($B1858="",$D1858=""),"",IF(COUNTIF(THAM_SO_CC!$F$10:$F$40,$D1858)&gt;0,"Lễ",IF(IF(THAM_SO_CC!$B$12="T7+CN",WEEKDAY($D1858,2)&gt;=6,WEEKDAY($D1858,2)=7),"Nghỉ tuần","Ngày thường")))</f>
        <v/>
      </c>
      <c r="F1858" s="107" t="n"/>
      <c r="G1858" s="107" t="n"/>
      <c r="H1858" s="107" t="n"/>
      <c r="I1858" s="81" t="n"/>
      <c r="J1858" s="108">
        <f>IF($B1858="","",IF($E1858="Ngày thường",N($G1858),0))</f>
        <v/>
      </c>
      <c r="K1858" s="108">
        <f>IF($B1858="","",IF($E1858="Nghỉ tuần",N($G1858),0))</f>
        <v/>
      </c>
      <c r="L1858" s="108">
        <f>IF($B1858="","",IF($E1858="Lễ",N($G1858),0))</f>
        <v/>
      </c>
      <c r="M1858" s="108">
        <f>IF($B1858="","",IF($E1858="Ngày thường",N($H1858),0))</f>
        <v/>
      </c>
      <c r="N1858" s="108">
        <f>IF($B1858="","",IF($E1858="Nghỉ tuần",N($H1858),0))</f>
        <v/>
      </c>
      <c r="O1858" s="108">
        <f>IF($B1858="","",IF($E1858="Lễ",N($H1858),0))</f>
        <v/>
      </c>
    </row>
    <row r="1859" ht="15" customHeight="1" s="63">
      <c r="A1859" s="85">
        <f>IF($B1859="","",ROW()-5)</f>
        <v/>
      </c>
      <c r="B1859" s="97" t="n"/>
      <c r="C1859" s="96">
        <f>IF($B1859="","",IFERROR(INDEX(DM_NHAN_SU!$C$6:$C$155,MATCH($B1859,DM_NHAN_SU!$B$6:$B$155,0)),"SAI MÃ NV"))</f>
        <v/>
      </c>
      <c r="D1859" s="86" t="n"/>
      <c r="E1859" s="103">
        <f>IF(OR($B1859="",$D1859=""),"",IF(COUNTIF(THAM_SO_CC!$F$10:$F$40,$D1859)&gt;0,"Lễ",IF(IF(THAM_SO_CC!$B$12="T7+CN",WEEKDAY($D1859,2)&gt;=6,WEEKDAY($D1859,2)=7),"Nghỉ tuần","Ngày thường")))</f>
        <v/>
      </c>
      <c r="F1859" s="107" t="n"/>
      <c r="G1859" s="107" t="n"/>
      <c r="H1859" s="107" t="n"/>
      <c r="I1859" s="81" t="n"/>
      <c r="J1859" s="108">
        <f>IF($B1859="","",IF($E1859="Ngày thường",N($G1859),0))</f>
        <v/>
      </c>
      <c r="K1859" s="108">
        <f>IF($B1859="","",IF($E1859="Nghỉ tuần",N($G1859),0))</f>
        <v/>
      </c>
      <c r="L1859" s="108">
        <f>IF($B1859="","",IF($E1859="Lễ",N($G1859),0))</f>
        <v/>
      </c>
      <c r="M1859" s="108">
        <f>IF($B1859="","",IF($E1859="Ngày thường",N($H1859),0))</f>
        <v/>
      </c>
      <c r="N1859" s="108">
        <f>IF($B1859="","",IF($E1859="Nghỉ tuần",N($H1859),0))</f>
        <v/>
      </c>
      <c r="O1859" s="108">
        <f>IF($B1859="","",IF($E1859="Lễ",N($H1859),0))</f>
        <v/>
      </c>
    </row>
    <row r="1860" ht="15" customHeight="1" s="63">
      <c r="A1860" s="85">
        <f>IF($B1860="","",ROW()-5)</f>
        <v/>
      </c>
      <c r="B1860" s="97" t="n"/>
      <c r="C1860" s="96">
        <f>IF($B1860="","",IFERROR(INDEX(DM_NHAN_SU!$C$6:$C$155,MATCH($B1860,DM_NHAN_SU!$B$6:$B$155,0)),"SAI MÃ NV"))</f>
        <v/>
      </c>
      <c r="D1860" s="86" t="n"/>
      <c r="E1860" s="103">
        <f>IF(OR($B1860="",$D1860=""),"",IF(COUNTIF(THAM_SO_CC!$F$10:$F$40,$D1860)&gt;0,"Lễ",IF(IF(THAM_SO_CC!$B$12="T7+CN",WEEKDAY($D1860,2)&gt;=6,WEEKDAY($D1860,2)=7),"Nghỉ tuần","Ngày thường")))</f>
        <v/>
      </c>
      <c r="F1860" s="107" t="n"/>
      <c r="G1860" s="107" t="n"/>
      <c r="H1860" s="107" t="n"/>
      <c r="I1860" s="81" t="n"/>
      <c r="J1860" s="108">
        <f>IF($B1860="","",IF($E1860="Ngày thường",N($G1860),0))</f>
        <v/>
      </c>
      <c r="K1860" s="108">
        <f>IF($B1860="","",IF($E1860="Nghỉ tuần",N($G1860),0))</f>
        <v/>
      </c>
      <c r="L1860" s="108">
        <f>IF($B1860="","",IF($E1860="Lễ",N($G1860),0))</f>
        <v/>
      </c>
      <c r="M1860" s="108">
        <f>IF($B1860="","",IF($E1860="Ngày thường",N($H1860),0))</f>
        <v/>
      </c>
      <c r="N1860" s="108">
        <f>IF($B1860="","",IF($E1860="Nghỉ tuần",N($H1860),0))</f>
        <v/>
      </c>
      <c r="O1860" s="108">
        <f>IF($B1860="","",IF($E1860="Lễ",N($H1860),0))</f>
        <v/>
      </c>
    </row>
    <row r="1861" ht="15" customHeight="1" s="63">
      <c r="A1861" s="85">
        <f>IF($B1861="","",ROW()-5)</f>
        <v/>
      </c>
      <c r="B1861" s="97" t="n"/>
      <c r="C1861" s="96">
        <f>IF($B1861="","",IFERROR(INDEX(DM_NHAN_SU!$C$6:$C$155,MATCH($B1861,DM_NHAN_SU!$B$6:$B$155,0)),"SAI MÃ NV"))</f>
        <v/>
      </c>
      <c r="D1861" s="86" t="n"/>
      <c r="E1861" s="103">
        <f>IF(OR($B1861="",$D1861=""),"",IF(COUNTIF(THAM_SO_CC!$F$10:$F$40,$D1861)&gt;0,"Lễ",IF(IF(THAM_SO_CC!$B$12="T7+CN",WEEKDAY($D1861,2)&gt;=6,WEEKDAY($D1861,2)=7),"Nghỉ tuần","Ngày thường")))</f>
        <v/>
      </c>
      <c r="F1861" s="107" t="n"/>
      <c r="G1861" s="107" t="n"/>
      <c r="H1861" s="107" t="n"/>
      <c r="I1861" s="81" t="n"/>
      <c r="J1861" s="108">
        <f>IF($B1861="","",IF($E1861="Ngày thường",N($G1861),0))</f>
        <v/>
      </c>
      <c r="K1861" s="108">
        <f>IF($B1861="","",IF($E1861="Nghỉ tuần",N($G1861),0))</f>
        <v/>
      </c>
      <c r="L1861" s="108">
        <f>IF($B1861="","",IF($E1861="Lễ",N($G1861),0))</f>
        <v/>
      </c>
      <c r="M1861" s="108">
        <f>IF($B1861="","",IF($E1861="Ngày thường",N($H1861),0))</f>
        <v/>
      </c>
      <c r="N1861" s="108">
        <f>IF($B1861="","",IF($E1861="Nghỉ tuần",N($H1861),0))</f>
        <v/>
      </c>
      <c r="O1861" s="108">
        <f>IF($B1861="","",IF($E1861="Lễ",N($H1861),0))</f>
        <v/>
      </c>
    </row>
    <row r="1862" ht="15" customHeight="1" s="63">
      <c r="A1862" s="85">
        <f>IF($B1862="","",ROW()-5)</f>
        <v/>
      </c>
      <c r="B1862" s="97" t="n"/>
      <c r="C1862" s="96">
        <f>IF($B1862="","",IFERROR(INDEX(DM_NHAN_SU!$C$6:$C$155,MATCH($B1862,DM_NHAN_SU!$B$6:$B$155,0)),"SAI MÃ NV"))</f>
        <v/>
      </c>
      <c r="D1862" s="86" t="n"/>
      <c r="E1862" s="103">
        <f>IF(OR($B1862="",$D1862=""),"",IF(COUNTIF(THAM_SO_CC!$F$10:$F$40,$D1862)&gt;0,"Lễ",IF(IF(THAM_SO_CC!$B$12="T7+CN",WEEKDAY($D1862,2)&gt;=6,WEEKDAY($D1862,2)=7),"Nghỉ tuần","Ngày thường")))</f>
        <v/>
      </c>
      <c r="F1862" s="107" t="n"/>
      <c r="G1862" s="107" t="n"/>
      <c r="H1862" s="107" t="n"/>
      <c r="I1862" s="81" t="n"/>
      <c r="J1862" s="108">
        <f>IF($B1862="","",IF($E1862="Ngày thường",N($G1862),0))</f>
        <v/>
      </c>
      <c r="K1862" s="108">
        <f>IF($B1862="","",IF($E1862="Nghỉ tuần",N($G1862),0))</f>
        <v/>
      </c>
      <c r="L1862" s="108">
        <f>IF($B1862="","",IF($E1862="Lễ",N($G1862),0))</f>
        <v/>
      </c>
      <c r="M1862" s="108">
        <f>IF($B1862="","",IF($E1862="Ngày thường",N($H1862),0))</f>
        <v/>
      </c>
      <c r="N1862" s="108">
        <f>IF($B1862="","",IF($E1862="Nghỉ tuần",N($H1862),0))</f>
        <v/>
      </c>
      <c r="O1862" s="108">
        <f>IF($B1862="","",IF($E1862="Lễ",N($H1862),0))</f>
        <v/>
      </c>
    </row>
    <row r="1863" ht="15" customHeight="1" s="63">
      <c r="A1863" s="85">
        <f>IF($B1863="","",ROW()-5)</f>
        <v/>
      </c>
      <c r="B1863" s="97" t="n"/>
      <c r="C1863" s="96">
        <f>IF($B1863="","",IFERROR(INDEX(DM_NHAN_SU!$C$6:$C$155,MATCH($B1863,DM_NHAN_SU!$B$6:$B$155,0)),"SAI MÃ NV"))</f>
        <v/>
      </c>
      <c r="D1863" s="86" t="n"/>
      <c r="E1863" s="103">
        <f>IF(OR($B1863="",$D1863=""),"",IF(COUNTIF(THAM_SO_CC!$F$10:$F$40,$D1863)&gt;0,"Lễ",IF(IF(THAM_SO_CC!$B$12="T7+CN",WEEKDAY($D1863,2)&gt;=6,WEEKDAY($D1863,2)=7),"Nghỉ tuần","Ngày thường")))</f>
        <v/>
      </c>
      <c r="F1863" s="107" t="n"/>
      <c r="G1863" s="107" t="n"/>
      <c r="H1863" s="107" t="n"/>
      <c r="I1863" s="81" t="n"/>
      <c r="J1863" s="108">
        <f>IF($B1863="","",IF($E1863="Ngày thường",N($G1863),0))</f>
        <v/>
      </c>
      <c r="K1863" s="108">
        <f>IF($B1863="","",IF($E1863="Nghỉ tuần",N($G1863),0))</f>
        <v/>
      </c>
      <c r="L1863" s="108">
        <f>IF($B1863="","",IF($E1863="Lễ",N($G1863),0))</f>
        <v/>
      </c>
      <c r="M1863" s="108">
        <f>IF($B1863="","",IF($E1863="Ngày thường",N($H1863),0))</f>
        <v/>
      </c>
      <c r="N1863" s="108">
        <f>IF($B1863="","",IF($E1863="Nghỉ tuần",N($H1863),0))</f>
        <v/>
      </c>
      <c r="O1863" s="108">
        <f>IF($B1863="","",IF($E1863="Lễ",N($H1863),0))</f>
        <v/>
      </c>
    </row>
    <row r="1864" ht="15" customHeight="1" s="63">
      <c r="A1864" s="85">
        <f>IF($B1864="","",ROW()-5)</f>
        <v/>
      </c>
      <c r="B1864" s="97" t="n"/>
      <c r="C1864" s="96">
        <f>IF($B1864="","",IFERROR(INDEX(DM_NHAN_SU!$C$6:$C$155,MATCH($B1864,DM_NHAN_SU!$B$6:$B$155,0)),"SAI MÃ NV"))</f>
        <v/>
      </c>
      <c r="D1864" s="86" t="n"/>
      <c r="E1864" s="103">
        <f>IF(OR($B1864="",$D1864=""),"",IF(COUNTIF(THAM_SO_CC!$F$10:$F$40,$D1864)&gt;0,"Lễ",IF(IF(THAM_SO_CC!$B$12="T7+CN",WEEKDAY($D1864,2)&gt;=6,WEEKDAY($D1864,2)=7),"Nghỉ tuần","Ngày thường")))</f>
        <v/>
      </c>
      <c r="F1864" s="107" t="n"/>
      <c r="G1864" s="107" t="n"/>
      <c r="H1864" s="107" t="n"/>
      <c r="I1864" s="81" t="n"/>
      <c r="J1864" s="108">
        <f>IF($B1864="","",IF($E1864="Ngày thường",N($G1864),0))</f>
        <v/>
      </c>
      <c r="K1864" s="108">
        <f>IF($B1864="","",IF($E1864="Nghỉ tuần",N($G1864),0))</f>
        <v/>
      </c>
      <c r="L1864" s="108">
        <f>IF($B1864="","",IF($E1864="Lễ",N($G1864),0))</f>
        <v/>
      </c>
      <c r="M1864" s="108">
        <f>IF($B1864="","",IF($E1864="Ngày thường",N($H1864),0))</f>
        <v/>
      </c>
      <c r="N1864" s="108">
        <f>IF($B1864="","",IF($E1864="Nghỉ tuần",N($H1864),0))</f>
        <v/>
      </c>
      <c r="O1864" s="108">
        <f>IF($B1864="","",IF($E1864="Lễ",N($H1864),0))</f>
        <v/>
      </c>
    </row>
    <row r="1865" ht="15" customHeight="1" s="63">
      <c r="A1865" s="85">
        <f>IF($B1865="","",ROW()-5)</f>
        <v/>
      </c>
      <c r="B1865" s="97" t="n"/>
      <c r="C1865" s="96">
        <f>IF($B1865="","",IFERROR(INDEX(DM_NHAN_SU!$C$6:$C$155,MATCH($B1865,DM_NHAN_SU!$B$6:$B$155,0)),"SAI MÃ NV"))</f>
        <v/>
      </c>
      <c r="D1865" s="86" t="n"/>
      <c r="E1865" s="103">
        <f>IF(OR($B1865="",$D1865=""),"",IF(COUNTIF(THAM_SO_CC!$F$10:$F$40,$D1865)&gt;0,"Lễ",IF(IF(THAM_SO_CC!$B$12="T7+CN",WEEKDAY($D1865,2)&gt;=6,WEEKDAY($D1865,2)=7),"Nghỉ tuần","Ngày thường")))</f>
        <v/>
      </c>
      <c r="F1865" s="107" t="n"/>
      <c r="G1865" s="107" t="n"/>
      <c r="H1865" s="107" t="n"/>
      <c r="I1865" s="81" t="n"/>
      <c r="J1865" s="108">
        <f>IF($B1865="","",IF($E1865="Ngày thường",N($G1865),0))</f>
        <v/>
      </c>
      <c r="K1865" s="108">
        <f>IF($B1865="","",IF($E1865="Nghỉ tuần",N($G1865),0))</f>
        <v/>
      </c>
      <c r="L1865" s="108">
        <f>IF($B1865="","",IF($E1865="Lễ",N($G1865),0))</f>
        <v/>
      </c>
      <c r="M1865" s="108">
        <f>IF($B1865="","",IF($E1865="Ngày thường",N($H1865),0))</f>
        <v/>
      </c>
      <c r="N1865" s="108">
        <f>IF($B1865="","",IF($E1865="Nghỉ tuần",N($H1865),0))</f>
        <v/>
      </c>
      <c r="O1865" s="108">
        <f>IF($B1865="","",IF($E1865="Lễ",N($H1865),0))</f>
        <v/>
      </c>
    </row>
    <row r="1866" ht="15" customHeight="1" s="63">
      <c r="A1866" s="85">
        <f>IF($B1866="","",ROW()-5)</f>
        <v/>
      </c>
      <c r="B1866" s="97" t="n"/>
      <c r="C1866" s="96">
        <f>IF($B1866="","",IFERROR(INDEX(DM_NHAN_SU!$C$6:$C$155,MATCH($B1866,DM_NHAN_SU!$B$6:$B$155,0)),"SAI MÃ NV"))</f>
        <v/>
      </c>
      <c r="D1866" s="86" t="n"/>
      <c r="E1866" s="103">
        <f>IF(OR($B1866="",$D1866=""),"",IF(COUNTIF(THAM_SO_CC!$F$10:$F$40,$D1866)&gt;0,"Lễ",IF(IF(THAM_SO_CC!$B$12="T7+CN",WEEKDAY($D1866,2)&gt;=6,WEEKDAY($D1866,2)=7),"Nghỉ tuần","Ngày thường")))</f>
        <v/>
      </c>
      <c r="F1866" s="107" t="n"/>
      <c r="G1866" s="107" t="n"/>
      <c r="H1866" s="107" t="n"/>
      <c r="I1866" s="81" t="n"/>
      <c r="J1866" s="108">
        <f>IF($B1866="","",IF($E1866="Ngày thường",N($G1866),0))</f>
        <v/>
      </c>
      <c r="K1866" s="108">
        <f>IF($B1866="","",IF($E1866="Nghỉ tuần",N($G1866),0))</f>
        <v/>
      </c>
      <c r="L1866" s="108">
        <f>IF($B1866="","",IF($E1866="Lễ",N($G1866),0))</f>
        <v/>
      </c>
      <c r="M1866" s="108">
        <f>IF($B1866="","",IF($E1866="Ngày thường",N($H1866),0))</f>
        <v/>
      </c>
      <c r="N1866" s="108">
        <f>IF($B1866="","",IF($E1866="Nghỉ tuần",N($H1866),0))</f>
        <v/>
      </c>
      <c r="O1866" s="108">
        <f>IF($B1866="","",IF($E1866="Lễ",N($H1866),0))</f>
        <v/>
      </c>
    </row>
    <row r="1867" ht="15" customHeight="1" s="63">
      <c r="A1867" s="85">
        <f>IF($B1867="","",ROW()-5)</f>
        <v/>
      </c>
      <c r="B1867" s="97" t="n"/>
      <c r="C1867" s="96">
        <f>IF($B1867="","",IFERROR(INDEX(DM_NHAN_SU!$C$6:$C$155,MATCH($B1867,DM_NHAN_SU!$B$6:$B$155,0)),"SAI MÃ NV"))</f>
        <v/>
      </c>
      <c r="D1867" s="86" t="n"/>
      <c r="E1867" s="103">
        <f>IF(OR($B1867="",$D1867=""),"",IF(COUNTIF(THAM_SO_CC!$F$10:$F$40,$D1867)&gt;0,"Lễ",IF(IF(THAM_SO_CC!$B$12="T7+CN",WEEKDAY($D1867,2)&gt;=6,WEEKDAY($D1867,2)=7),"Nghỉ tuần","Ngày thường")))</f>
        <v/>
      </c>
      <c r="F1867" s="107" t="n"/>
      <c r="G1867" s="107" t="n"/>
      <c r="H1867" s="107" t="n"/>
      <c r="I1867" s="81" t="n"/>
      <c r="J1867" s="108">
        <f>IF($B1867="","",IF($E1867="Ngày thường",N($G1867),0))</f>
        <v/>
      </c>
      <c r="K1867" s="108">
        <f>IF($B1867="","",IF($E1867="Nghỉ tuần",N($G1867),0))</f>
        <v/>
      </c>
      <c r="L1867" s="108">
        <f>IF($B1867="","",IF($E1867="Lễ",N($G1867),0))</f>
        <v/>
      </c>
      <c r="M1867" s="108">
        <f>IF($B1867="","",IF($E1867="Ngày thường",N($H1867),0))</f>
        <v/>
      </c>
      <c r="N1867" s="108">
        <f>IF($B1867="","",IF($E1867="Nghỉ tuần",N($H1867),0))</f>
        <v/>
      </c>
      <c r="O1867" s="108">
        <f>IF($B1867="","",IF($E1867="Lễ",N($H1867),0))</f>
        <v/>
      </c>
    </row>
    <row r="1868" ht="15" customHeight="1" s="63">
      <c r="A1868" s="85">
        <f>IF($B1868="","",ROW()-5)</f>
        <v/>
      </c>
      <c r="B1868" s="97" t="n"/>
      <c r="C1868" s="96">
        <f>IF($B1868="","",IFERROR(INDEX(DM_NHAN_SU!$C$6:$C$155,MATCH($B1868,DM_NHAN_SU!$B$6:$B$155,0)),"SAI MÃ NV"))</f>
        <v/>
      </c>
      <c r="D1868" s="86" t="n"/>
      <c r="E1868" s="103">
        <f>IF(OR($B1868="",$D1868=""),"",IF(COUNTIF(THAM_SO_CC!$F$10:$F$40,$D1868)&gt;0,"Lễ",IF(IF(THAM_SO_CC!$B$12="T7+CN",WEEKDAY($D1868,2)&gt;=6,WEEKDAY($D1868,2)=7),"Nghỉ tuần","Ngày thường")))</f>
        <v/>
      </c>
      <c r="F1868" s="107" t="n"/>
      <c r="G1868" s="107" t="n"/>
      <c r="H1868" s="107" t="n"/>
      <c r="I1868" s="81" t="n"/>
      <c r="J1868" s="108">
        <f>IF($B1868="","",IF($E1868="Ngày thường",N($G1868),0))</f>
        <v/>
      </c>
      <c r="K1868" s="108">
        <f>IF($B1868="","",IF($E1868="Nghỉ tuần",N($G1868),0))</f>
        <v/>
      </c>
      <c r="L1868" s="108">
        <f>IF($B1868="","",IF($E1868="Lễ",N($G1868),0))</f>
        <v/>
      </c>
      <c r="M1868" s="108">
        <f>IF($B1868="","",IF($E1868="Ngày thường",N($H1868),0))</f>
        <v/>
      </c>
      <c r="N1868" s="108">
        <f>IF($B1868="","",IF($E1868="Nghỉ tuần",N($H1868),0))</f>
        <v/>
      </c>
      <c r="O1868" s="108">
        <f>IF($B1868="","",IF($E1868="Lễ",N($H1868),0))</f>
        <v/>
      </c>
    </row>
    <row r="1869" ht="15" customHeight="1" s="63">
      <c r="A1869" s="85">
        <f>IF($B1869="","",ROW()-5)</f>
        <v/>
      </c>
      <c r="B1869" s="97" t="n"/>
      <c r="C1869" s="96">
        <f>IF($B1869="","",IFERROR(INDEX(DM_NHAN_SU!$C$6:$C$155,MATCH($B1869,DM_NHAN_SU!$B$6:$B$155,0)),"SAI MÃ NV"))</f>
        <v/>
      </c>
      <c r="D1869" s="86" t="n"/>
      <c r="E1869" s="103">
        <f>IF(OR($B1869="",$D1869=""),"",IF(COUNTIF(THAM_SO_CC!$F$10:$F$40,$D1869)&gt;0,"Lễ",IF(IF(THAM_SO_CC!$B$12="T7+CN",WEEKDAY($D1869,2)&gt;=6,WEEKDAY($D1869,2)=7),"Nghỉ tuần","Ngày thường")))</f>
        <v/>
      </c>
      <c r="F1869" s="107" t="n"/>
      <c r="G1869" s="107" t="n"/>
      <c r="H1869" s="107" t="n"/>
      <c r="I1869" s="81" t="n"/>
      <c r="J1869" s="108">
        <f>IF($B1869="","",IF($E1869="Ngày thường",N($G1869),0))</f>
        <v/>
      </c>
      <c r="K1869" s="108">
        <f>IF($B1869="","",IF($E1869="Nghỉ tuần",N($G1869),0))</f>
        <v/>
      </c>
      <c r="L1869" s="108">
        <f>IF($B1869="","",IF($E1869="Lễ",N($G1869),0))</f>
        <v/>
      </c>
      <c r="M1869" s="108">
        <f>IF($B1869="","",IF($E1869="Ngày thường",N($H1869),0))</f>
        <v/>
      </c>
      <c r="N1869" s="108">
        <f>IF($B1869="","",IF($E1869="Nghỉ tuần",N($H1869),0))</f>
        <v/>
      </c>
      <c r="O1869" s="108">
        <f>IF($B1869="","",IF($E1869="Lễ",N($H1869),0))</f>
        <v/>
      </c>
    </row>
    <row r="1870" ht="15" customHeight="1" s="63">
      <c r="A1870" s="85">
        <f>IF($B1870="","",ROW()-5)</f>
        <v/>
      </c>
      <c r="B1870" s="97" t="n"/>
      <c r="C1870" s="96">
        <f>IF($B1870="","",IFERROR(INDEX(DM_NHAN_SU!$C$6:$C$155,MATCH($B1870,DM_NHAN_SU!$B$6:$B$155,0)),"SAI MÃ NV"))</f>
        <v/>
      </c>
      <c r="D1870" s="86" t="n"/>
      <c r="E1870" s="103">
        <f>IF(OR($B1870="",$D1870=""),"",IF(COUNTIF(THAM_SO_CC!$F$10:$F$40,$D1870)&gt;0,"Lễ",IF(IF(THAM_SO_CC!$B$12="T7+CN",WEEKDAY($D1870,2)&gt;=6,WEEKDAY($D1870,2)=7),"Nghỉ tuần","Ngày thường")))</f>
        <v/>
      </c>
      <c r="F1870" s="107" t="n"/>
      <c r="G1870" s="107" t="n"/>
      <c r="H1870" s="107" t="n"/>
      <c r="I1870" s="81" t="n"/>
      <c r="J1870" s="108">
        <f>IF($B1870="","",IF($E1870="Ngày thường",N($G1870),0))</f>
        <v/>
      </c>
      <c r="K1870" s="108">
        <f>IF($B1870="","",IF($E1870="Nghỉ tuần",N($G1870),0))</f>
        <v/>
      </c>
      <c r="L1870" s="108">
        <f>IF($B1870="","",IF($E1870="Lễ",N($G1870),0))</f>
        <v/>
      </c>
      <c r="M1870" s="108">
        <f>IF($B1870="","",IF($E1870="Ngày thường",N($H1870),0))</f>
        <v/>
      </c>
      <c r="N1870" s="108">
        <f>IF($B1870="","",IF($E1870="Nghỉ tuần",N($H1870),0))</f>
        <v/>
      </c>
      <c r="O1870" s="108">
        <f>IF($B1870="","",IF($E1870="Lễ",N($H1870),0))</f>
        <v/>
      </c>
    </row>
    <row r="1871" ht="15" customHeight="1" s="63">
      <c r="A1871" s="85">
        <f>IF($B1871="","",ROW()-5)</f>
        <v/>
      </c>
      <c r="B1871" s="97" t="n"/>
      <c r="C1871" s="96">
        <f>IF($B1871="","",IFERROR(INDEX(DM_NHAN_SU!$C$6:$C$155,MATCH($B1871,DM_NHAN_SU!$B$6:$B$155,0)),"SAI MÃ NV"))</f>
        <v/>
      </c>
      <c r="D1871" s="86" t="n"/>
      <c r="E1871" s="103">
        <f>IF(OR($B1871="",$D1871=""),"",IF(COUNTIF(THAM_SO_CC!$F$10:$F$40,$D1871)&gt;0,"Lễ",IF(IF(THAM_SO_CC!$B$12="T7+CN",WEEKDAY($D1871,2)&gt;=6,WEEKDAY($D1871,2)=7),"Nghỉ tuần","Ngày thường")))</f>
        <v/>
      </c>
      <c r="F1871" s="107" t="n"/>
      <c r="G1871" s="107" t="n"/>
      <c r="H1871" s="107" t="n"/>
      <c r="I1871" s="81" t="n"/>
      <c r="J1871" s="108">
        <f>IF($B1871="","",IF($E1871="Ngày thường",N($G1871),0))</f>
        <v/>
      </c>
      <c r="K1871" s="108">
        <f>IF($B1871="","",IF($E1871="Nghỉ tuần",N($G1871),0))</f>
        <v/>
      </c>
      <c r="L1871" s="108">
        <f>IF($B1871="","",IF($E1871="Lễ",N($G1871),0))</f>
        <v/>
      </c>
      <c r="M1871" s="108">
        <f>IF($B1871="","",IF($E1871="Ngày thường",N($H1871),0))</f>
        <v/>
      </c>
      <c r="N1871" s="108">
        <f>IF($B1871="","",IF($E1871="Nghỉ tuần",N($H1871),0))</f>
        <v/>
      </c>
      <c r="O1871" s="108">
        <f>IF($B1871="","",IF($E1871="Lễ",N($H1871),0))</f>
        <v/>
      </c>
    </row>
    <row r="1872" ht="15" customHeight="1" s="63">
      <c r="A1872" s="85">
        <f>IF($B1872="","",ROW()-5)</f>
        <v/>
      </c>
      <c r="B1872" s="97" t="n"/>
      <c r="C1872" s="96">
        <f>IF($B1872="","",IFERROR(INDEX(DM_NHAN_SU!$C$6:$C$155,MATCH($B1872,DM_NHAN_SU!$B$6:$B$155,0)),"SAI MÃ NV"))</f>
        <v/>
      </c>
      <c r="D1872" s="86" t="n"/>
      <c r="E1872" s="103">
        <f>IF(OR($B1872="",$D1872=""),"",IF(COUNTIF(THAM_SO_CC!$F$10:$F$40,$D1872)&gt;0,"Lễ",IF(IF(THAM_SO_CC!$B$12="T7+CN",WEEKDAY($D1872,2)&gt;=6,WEEKDAY($D1872,2)=7),"Nghỉ tuần","Ngày thường")))</f>
        <v/>
      </c>
      <c r="F1872" s="107" t="n"/>
      <c r="G1872" s="107" t="n"/>
      <c r="H1872" s="107" t="n"/>
      <c r="I1872" s="81" t="n"/>
      <c r="J1872" s="108">
        <f>IF($B1872="","",IF($E1872="Ngày thường",N($G1872),0))</f>
        <v/>
      </c>
      <c r="K1872" s="108">
        <f>IF($B1872="","",IF($E1872="Nghỉ tuần",N($G1872),0))</f>
        <v/>
      </c>
      <c r="L1872" s="108">
        <f>IF($B1872="","",IF($E1872="Lễ",N($G1872),0))</f>
        <v/>
      </c>
      <c r="M1872" s="108">
        <f>IF($B1872="","",IF($E1872="Ngày thường",N($H1872),0))</f>
        <v/>
      </c>
      <c r="N1872" s="108">
        <f>IF($B1872="","",IF($E1872="Nghỉ tuần",N($H1872),0))</f>
        <v/>
      </c>
      <c r="O1872" s="108">
        <f>IF($B1872="","",IF($E1872="Lễ",N($H1872),0))</f>
        <v/>
      </c>
    </row>
    <row r="1873" ht="15" customHeight="1" s="63">
      <c r="A1873" s="85">
        <f>IF($B1873="","",ROW()-5)</f>
        <v/>
      </c>
      <c r="B1873" s="97" t="n"/>
      <c r="C1873" s="96">
        <f>IF($B1873="","",IFERROR(INDEX(DM_NHAN_SU!$C$6:$C$155,MATCH($B1873,DM_NHAN_SU!$B$6:$B$155,0)),"SAI MÃ NV"))</f>
        <v/>
      </c>
      <c r="D1873" s="86" t="n"/>
      <c r="E1873" s="103">
        <f>IF(OR($B1873="",$D1873=""),"",IF(COUNTIF(THAM_SO_CC!$F$10:$F$40,$D1873)&gt;0,"Lễ",IF(IF(THAM_SO_CC!$B$12="T7+CN",WEEKDAY($D1873,2)&gt;=6,WEEKDAY($D1873,2)=7),"Nghỉ tuần","Ngày thường")))</f>
        <v/>
      </c>
      <c r="F1873" s="107" t="n"/>
      <c r="G1873" s="107" t="n"/>
      <c r="H1873" s="107" t="n"/>
      <c r="I1873" s="81" t="n"/>
      <c r="J1873" s="108">
        <f>IF($B1873="","",IF($E1873="Ngày thường",N($G1873),0))</f>
        <v/>
      </c>
      <c r="K1873" s="108">
        <f>IF($B1873="","",IF($E1873="Nghỉ tuần",N($G1873),0))</f>
        <v/>
      </c>
      <c r="L1873" s="108">
        <f>IF($B1873="","",IF($E1873="Lễ",N($G1873),0))</f>
        <v/>
      </c>
      <c r="M1873" s="108">
        <f>IF($B1873="","",IF($E1873="Ngày thường",N($H1873),0))</f>
        <v/>
      </c>
      <c r="N1873" s="108">
        <f>IF($B1873="","",IF($E1873="Nghỉ tuần",N($H1873),0))</f>
        <v/>
      </c>
      <c r="O1873" s="108">
        <f>IF($B1873="","",IF($E1873="Lễ",N($H1873),0))</f>
        <v/>
      </c>
    </row>
    <row r="1874" ht="15" customHeight="1" s="63">
      <c r="A1874" s="85">
        <f>IF($B1874="","",ROW()-5)</f>
        <v/>
      </c>
      <c r="B1874" s="97" t="n"/>
      <c r="C1874" s="96">
        <f>IF($B1874="","",IFERROR(INDEX(DM_NHAN_SU!$C$6:$C$155,MATCH($B1874,DM_NHAN_SU!$B$6:$B$155,0)),"SAI MÃ NV"))</f>
        <v/>
      </c>
      <c r="D1874" s="86" t="n"/>
      <c r="E1874" s="103">
        <f>IF(OR($B1874="",$D1874=""),"",IF(COUNTIF(THAM_SO_CC!$F$10:$F$40,$D1874)&gt;0,"Lễ",IF(IF(THAM_SO_CC!$B$12="T7+CN",WEEKDAY($D1874,2)&gt;=6,WEEKDAY($D1874,2)=7),"Nghỉ tuần","Ngày thường")))</f>
        <v/>
      </c>
      <c r="F1874" s="107" t="n"/>
      <c r="G1874" s="107" t="n"/>
      <c r="H1874" s="107" t="n"/>
      <c r="I1874" s="81" t="n"/>
      <c r="J1874" s="108">
        <f>IF($B1874="","",IF($E1874="Ngày thường",N($G1874),0))</f>
        <v/>
      </c>
      <c r="K1874" s="108">
        <f>IF($B1874="","",IF($E1874="Nghỉ tuần",N($G1874),0))</f>
        <v/>
      </c>
      <c r="L1874" s="108">
        <f>IF($B1874="","",IF($E1874="Lễ",N($G1874),0))</f>
        <v/>
      </c>
      <c r="M1874" s="108">
        <f>IF($B1874="","",IF($E1874="Ngày thường",N($H1874),0))</f>
        <v/>
      </c>
      <c r="N1874" s="108">
        <f>IF($B1874="","",IF($E1874="Nghỉ tuần",N($H1874),0))</f>
        <v/>
      </c>
      <c r="O1874" s="108">
        <f>IF($B1874="","",IF($E1874="Lễ",N($H1874),0))</f>
        <v/>
      </c>
    </row>
    <row r="1875" ht="15" customHeight="1" s="63">
      <c r="A1875" s="85">
        <f>IF($B1875="","",ROW()-5)</f>
        <v/>
      </c>
      <c r="B1875" s="97" t="n"/>
      <c r="C1875" s="96">
        <f>IF($B1875="","",IFERROR(INDEX(DM_NHAN_SU!$C$6:$C$155,MATCH($B1875,DM_NHAN_SU!$B$6:$B$155,0)),"SAI MÃ NV"))</f>
        <v/>
      </c>
      <c r="D1875" s="86" t="n"/>
      <c r="E1875" s="103">
        <f>IF(OR($B1875="",$D1875=""),"",IF(COUNTIF(THAM_SO_CC!$F$10:$F$40,$D1875)&gt;0,"Lễ",IF(IF(THAM_SO_CC!$B$12="T7+CN",WEEKDAY($D1875,2)&gt;=6,WEEKDAY($D1875,2)=7),"Nghỉ tuần","Ngày thường")))</f>
        <v/>
      </c>
      <c r="F1875" s="107" t="n"/>
      <c r="G1875" s="107" t="n"/>
      <c r="H1875" s="107" t="n"/>
      <c r="I1875" s="81" t="n"/>
      <c r="J1875" s="108">
        <f>IF($B1875="","",IF($E1875="Ngày thường",N($G1875),0))</f>
        <v/>
      </c>
      <c r="K1875" s="108">
        <f>IF($B1875="","",IF($E1875="Nghỉ tuần",N($G1875),0))</f>
        <v/>
      </c>
      <c r="L1875" s="108">
        <f>IF($B1875="","",IF($E1875="Lễ",N($G1875),0))</f>
        <v/>
      </c>
      <c r="M1875" s="108">
        <f>IF($B1875="","",IF($E1875="Ngày thường",N($H1875),0))</f>
        <v/>
      </c>
      <c r="N1875" s="108">
        <f>IF($B1875="","",IF($E1875="Nghỉ tuần",N($H1875),0))</f>
        <v/>
      </c>
      <c r="O1875" s="108">
        <f>IF($B1875="","",IF($E1875="Lễ",N($H1875),0))</f>
        <v/>
      </c>
    </row>
    <row r="1876" ht="15" customHeight="1" s="63">
      <c r="A1876" s="85">
        <f>IF($B1876="","",ROW()-5)</f>
        <v/>
      </c>
      <c r="B1876" s="97" t="n"/>
      <c r="C1876" s="96">
        <f>IF($B1876="","",IFERROR(INDEX(DM_NHAN_SU!$C$6:$C$155,MATCH($B1876,DM_NHAN_SU!$B$6:$B$155,0)),"SAI MÃ NV"))</f>
        <v/>
      </c>
      <c r="D1876" s="86" t="n"/>
      <c r="E1876" s="103">
        <f>IF(OR($B1876="",$D1876=""),"",IF(COUNTIF(THAM_SO_CC!$F$10:$F$40,$D1876)&gt;0,"Lễ",IF(IF(THAM_SO_CC!$B$12="T7+CN",WEEKDAY($D1876,2)&gt;=6,WEEKDAY($D1876,2)=7),"Nghỉ tuần","Ngày thường")))</f>
        <v/>
      </c>
      <c r="F1876" s="107" t="n"/>
      <c r="G1876" s="107" t="n"/>
      <c r="H1876" s="107" t="n"/>
      <c r="I1876" s="81" t="n"/>
      <c r="J1876" s="108">
        <f>IF($B1876="","",IF($E1876="Ngày thường",N($G1876),0))</f>
        <v/>
      </c>
      <c r="K1876" s="108">
        <f>IF($B1876="","",IF($E1876="Nghỉ tuần",N($G1876),0))</f>
        <v/>
      </c>
      <c r="L1876" s="108">
        <f>IF($B1876="","",IF($E1876="Lễ",N($G1876),0))</f>
        <v/>
      </c>
      <c r="M1876" s="108">
        <f>IF($B1876="","",IF($E1876="Ngày thường",N($H1876),0))</f>
        <v/>
      </c>
      <c r="N1876" s="108">
        <f>IF($B1876="","",IF($E1876="Nghỉ tuần",N($H1876),0))</f>
        <v/>
      </c>
      <c r="O1876" s="108">
        <f>IF($B1876="","",IF($E1876="Lễ",N($H1876),0))</f>
        <v/>
      </c>
    </row>
    <row r="1877" ht="15" customHeight="1" s="63">
      <c r="A1877" s="85">
        <f>IF($B1877="","",ROW()-5)</f>
        <v/>
      </c>
      <c r="B1877" s="97" t="n"/>
      <c r="C1877" s="96">
        <f>IF($B1877="","",IFERROR(INDEX(DM_NHAN_SU!$C$6:$C$155,MATCH($B1877,DM_NHAN_SU!$B$6:$B$155,0)),"SAI MÃ NV"))</f>
        <v/>
      </c>
      <c r="D1877" s="86" t="n"/>
      <c r="E1877" s="103">
        <f>IF(OR($B1877="",$D1877=""),"",IF(COUNTIF(THAM_SO_CC!$F$10:$F$40,$D1877)&gt;0,"Lễ",IF(IF(THAM_SO_CC!$B$12="T7+CN",WEEKDAY($D1877,2)&gt;=6,WEEKDAY($D1877,2)=7),"Nghỉ tuần","Ngày thường")))</f>
        <v/>
      </c>
      <c r="F1877" s="107" t="n"/>
      <c r="G1877" s="107" t="n"/>
      <c r="H1877" s="107" t="n"/>
      <c r="I1877" s="81" t="n"/>
      <c r="J1877" s="108">
        <f>IF($B1877="","",IF($E1877="Ngày thường",N($G1877),0))</f>
        <v/>
      </c>
      <c r="K1877" s="108">
        <f>IF($B1877="","",IF($E1877="Nghỉ tuần",N($G1877),0))</f>
        <v/>
      </c>
      <c r="L1877" s="108">
        <f>IF($B1877="","",IF($E1877="Lễ",N($G1877),0))</f>
        <v/>
      </c>
      <c r="M1877" s="108">
        <f>IF($B1877="","",IF($E1877="Ngày thường",N($H1877),0))</f>
        <v/>
      </c>
      <c r="N1877" s="108">
        <f>IF($B1877="","",IF($E1877="Nghỉ tuần",N($H1877),0))</f>
        <v/>
      </c>
      <c r="O1877" s="108">
        <f>IF($B1877="","",IF($E1877="Lễ",N($H1877),0))</f>
        <v/>
      </c>
    </row>
    <row r="1878" ht="15" customHeight="1" s="63">
      <c r="A1878" s="85">
        <f>IF($B1878="","",ROW()-5)</f>
        <v/>
      </c>
      <c r="B1878" s="97" t="n"/>
      <c r="C1878" s="96">
        <f>IF($B1878="","",IFERROR(INDEX(DM_NHAN_SU!$C$6:$C$155,MATCH($B1878,DM_NHAN_SU!$B$6:$B$155,0)),"SAI MÃ NV"))</f>
        <v/>
      </c>
      <c r="D1878" s="86" t="n"/>
      <c r="E1878" s="103">
        <f>IF(OR($B1878="",$D1878=""),"",IF(COUNTIF(THAM_SO_CC!$F$10:$F$40,$D1878)&gt;0,"Lễ",IF(IF(THAM_SO_CC!$B$12="T7+CN",WEEKDAY($D1878,2)&gt;=6,WEEKDAY($D1878,2)=7),"Nghỉ tuần","Ngày thường")))</f>
        <v/>
      </c>
      <c r="F1878" s="107" t="n"/>
      <c r="G1878" s="107" t="n"/>
      <c r="H1878" s="107" t="n"/>
      <c r="I1878" s="81" t="n"/>
      <c r="J1878" s="108">
        <f>IF($B1878="","",IF($E1878="Ngày thường",N($G1878),0))</f>
        <v/>
      </c>
      <c r="K1878" s="108">
        <f>IF($B1878="","",IF($E1878="Nghỉ tuần",N($G1878),0))</f>
        <v/>
      </c>
      <c r="L1878" s="108">
        <f>IF($B1878="","",IF($E1878="Lễ",N($G1878),0))</f>
        <v/>
      </c>
      <c r="M1878" s="108">
        <f>IF($B1878="","",IF($E1878="Ngày thường",N($H1878),0))</f>
        <v/>
      </c>
      <c r="N1878" s="108">
        <f>IF($B1878="","",IF($E1878="Nghỉ tuần",N($H1878),0))</f>
        <v/>
      </c>
      <c r="O1878" s="108">
        <f>IF($B1878="","",IF($E1878="Lễ",N($H1878),0))</f>
        <v/>
      </c>
    </row>
    <row r="1879" ht="15" customHeight="1" s="63">
      <c r="A1879" s="85">
        <f>IF($B1879="","",ROW()-5)</f>
        <v/>
      </c>
      <c r="B1879" s="97" t="n"/>
      <c r="C1879" s="96">
        <f>IF($B1879="","",IFERROR(INDEX(DM_NHAN_SU!$C$6:$C$155,MATCH($B1879,DM_NHAN_SU!$B$6:$B$155,0)),"SAI MÃ NV"))</f>
        <v/>
      </c>
      <c r="D1879" s="86" t="n"/>
      <c r="E1879" s="103">
        <f>IF(OR($B1879="",$D1879=""),"",IF(COUNTIF(THAM_SO_CC!$F$10:$F$40,$D1879)&gt;0,"Lễ",IF(IF(THAM_SO_CC!$B$12="T7+CN",WEEKDAY($D1879,2)&gt;=6,WEEKDAY($D1879,2)=7),"Nghỉ tuần","Ngày thường")))</f>
        <v/>
      </c>
      <c r="F1879" s="107" t="n"/>
      <c r="G1879" s="107" t="n"/>
      <c r="H1879" s="107" t="n"/>
      <c r="I1879" s="81" t="n"/>
      <c r="J1879" s="108">
        <f>IF($B1879="","",IF($E1879="Ngày thường",N($G1879),0))</f>
        <v/>
      </c>
      <c r="K1879" s="108">
        <f>IF($B1879="","",IF($E1879="Nghỉ tuần",N($G1879),0))</f>
        <v/>
      </c>
      <c r="L1879" s="108">
        <f>IF($B1879="","",IF($E1879="Lễ",N($G1879),0))</f>
        <v/>
      </c>
      <c r="M1879" s="108">
        <f>IF($B1879="","",IF($E1879="Ngày thường",N($H1879),0))</f>
        <v/>
      </c>
      <c r="N1879" s="108">
        <f>IF($B1879="","",IF($E1879="Nghỉ tuần",N($H1879),0))</f>
        <v/>
      </c>
      <c r="O1879" s="108">
        <f>IF($B1879="","",IF($E1879="Lễ",N($H1879),0))</f>
        <v/>
      </c>
    </row>
    <row r="1880" ht="15" customHeight="1" s="63">
      <c r="A1880" s="85">
        <f>IF($B1880="","",ROW()-5)</f>
        <v/>
      </c>
      <c r="B1880" s="97" t="n"/>
      <c r="C1880" s="96">
        <f>IF($B1880="","",IFERROR(INDEX(DM_NHAN_SU!$C$6:$C$155,MATCH($B1880,DM_NHAN_SU!$B$6:$B$155,0)),"SAI MÃ NV"))</f>
        <v/>
      </c>
      <c r="D1880" s="86" t="n"/>
      <c r="E1880" s="103">
        <f>IF(OR($B1880="",$D1880=""),"",IF(COUNTIF(THAM_SO_CC!$F$10:$F$40,$D1880)&gt;0,"Lễ",IF(IF(THAM_SO_CC!$B$12="T7+CN",WEEKDAY($D1880,2)&gt;=6,WEEKDAY($D1880,2)=7),"Nghỉ tuần","Ngày thường")))</f>
        <v/>
      </c>
      <c r="F1880" s="107" t="n"/>
      <c r="G1880" s="107" t="n"/>
      <c r="H1880" s="107" t="n"/>
      <c r="I1880" s="81" t="n"/>
      <c r="J1880" s="108">
        <f>IF($B1880="","",IF($E1880="Ngày thường",N($G1880),0))</f>
        <v/>
      </c>
      <c r="K1880" s="108">
        <f>IF($B1880="","",IF($E1880="Nghỉ tuần",N($G1880),0))</f>
        <v/>
      </c>
      <c r="L1880" s="108">
        <f>IF($B1880="","",IF($E1880="Lễ",N($G1880),0))</f>
        <v/>
      </c>
      <c r="M1880" s="108">
        <f>IF($B1880="","",IF($E1880="Ngày thường",N($H1880),0))</f>
        <v/>
      </c>
      <c r="N1880" s="108">
        <f>IF($B1880="","",IF($E1880="Nghỉ tuần",N($H1880),0))</f>
        <v/>
      </c>
      <c r="O1880" s="108">
        <f>IF($B1880="","",IF($E1880="Lễ",N($H1880),0))</f>
        <v/>
      </c>
    </row>
    <row r="1881" ht="15" customHeight="1" s="63">
      <c r="A1881" s="85">
        <f>IF($B1881="","",ROW()-5)</f>
        <v/>
      </c>
      <c r="B1881" s="97" t="n"/>
      <c r="C1881" s="96">
        <f>IF($B1881="","",IFERROR(INDEX(DM_NHAN_SU!$C$6:$C$155,MATCH($B1881,DM_NHAN_SU!$B$6:$B$155,0)),"SAI MÃ NV"))</f>
        <v/>
      </c>
      <c r="D1881" s="86" t="n"/>
      <c r="E1881" s="103">
        <f>IF(OR($B1881="",$D1881=""),"",IF(COUNTIF(THAM_SO_CC!$F$10:$F$40,$D1881)&gt;0,"Lễ",IF(IF(THAM_SO_CC!$B$12="T7+CN",WEEKDAY($D1881,2)&gt;=6,WEEKDAY($D1881,2)=7),"Nghỉ tuần","Ngày thường")))</f>
        <v/>
      </c>
      <c r="F1881" s="107" t="n"/>
      <c r="G1881" s="107" t="n"/>
      <c r="H1881" s="107" t="n"/>
      <c r="I1881" s="81" t="n"/>
      <c r="J1881" s="108">
        <f>IF($B1881="","",IF($E1881="Ngày thường",N($G1881),0))</f>
        <v/>
      </c>
      <c r="K1881" s="108">
        <f>IF($B1881="","",IF($E1881="Nghỉ tuần",N($G1881),0))</f>
        <v/>
      </c>
      <c r="L1881" s="108">
        <f>IF($B1881="","",IF($E1881="Lễ",N($G1881),0))</f>
        <v/>
      </c>
      <c r="M1881" s="108">
        <f>IF($B1881="","",IF($E1881="Ngày thường",N($H1881),0))</f>
        <v/>
      </c>
      <c r="N1881" s="108">
        <f>IF($B1881="","",IF($E1881="Nghỉ tuần",N($H1881),0))</f>
        <v/>
      </c>
      <c r="O1881" s="108">
        <f>IF($B1881="","",IF($E1881="Lễ",N($H1881),0))</f>
        <v/>
      </c>
    </row>
    <row r="1882" ht="15" customHeight="1" s="63">
      <c r="A1882" s="85">
        <f>IF($B1882="","",ROW()-5)</f>
        <v/>
      </c>
      <c r="B1882" s="97" t="n"/>
      <c r="C1882" s="96">
        <f>IF($B1882="","",IFERROR(INDEX(DM_NHAN_SU!$C$6:$C$155,MATCH($B1882,DM_NHAN_SU!$B$6:$B$155,0)),"SAI MÃ NV"))</f>
        <v/>
      </c>
      <c r="D1882" s="86" t="n"/>
      <c r="E1882" s="103">
        <f>IF(OR($B1882="",$D1882=""),"",IF(COUNTIF(THAM_SO_CC!$F$10:$F$40,$D1882)&gt;0,"Lễ",IF(IF(THAM_SO_CC!$B$12="T7+CN",WEEKDAY($D1882,2)&gt;=6,WEEKDAY($D1882,2)=7),"Nghỉ tuần","Ngày thường")))</f>
        <v/>
      </c>
      <c r="F1882" s="107" t="n"/>
      <c r="G1882" s="107" t="n"/>
      <c r="H1882" s="107" t="n"/>
      <c r="I1882" s="81" t="n"/>
      <c r="J1882" s="108">
        <f>IF($B1882="","",IF($E1882="Ngày thường",N($G1882),0))</f>
        <v/>
      </c>
      <c r="K1882" s="108">
        <f>IF($B1882="","",IF($E1882="Nghỉ tuần",N($G1882),0))</f>
        <v/>
      </c>
      <c r="L1882" s="108">
        <f>IF($B1882="","",IF($E1882="Lễ",N($G1882),0))</f>
        <v/>
      </c>
      <c r="M1882" s="108">
        <f>IF($B1882="","",IF($E1882="Ngày thường",N($H1882),0))</f>
        <v/>
      </c>
      <c r="N1882" s="108">
        <f>IF($B1882="","",IF($E1882="Nghỉ tuần",N($H1882),0))</f>
        <v/>
      </c>
      <c r="O1882" s="108">
        <f>IF($B1882="","",IF($E1882="Lễ",N($H1882),0))</f>
        <v/>
      </c>
    </row>
    <row r="1883" ht="15" customHeight="1" s="63">
      <c r="A1883" s="85">
        <f>IF($B1883="","",ROW()-5)</f>
        <v/>
      </c>
      <c r="B1883" s="97" t="n"/>
      <c r="C1883" s="96">
        <f>IF($B1883="","",IFERROR(INDEX(DM_NHAN_SU!$C$6:$C$155,MATCH($B1883,DM_NHAN_SU!$B$6:$B$155,0)),"SAI MÃ NV"))</f>
        <v/>
      </c>
      <c r="D1883" s="86" t="n"/>
      <c r="E1883" s="103">
        <f>IF(OR($B1883="",$D1883=""),"",IF(COUNTIF(THAM_SO_CC!$F$10:$F$40,$D1883)&gt;0,"Lễ",IF(IF(THAM_SO_CC!$B$12="T7+CN",WEEKDAY($D1883,2)&gt;=6,WEEKDAY($D1883,2)=7),"Nghỉ tuần","Ngày thường")))</f>
        <v/>
      </c>
      <c r="F1883" s="107" t="n"/>
      <c r="G1883" s="107" t="n"/>
      <c r="H1883" s="107" t="n"/>
      <c r="I1883" s="81" t="n"/>
      <c r="J1883" s="108">
        <f>IF($B1883="","",IF($E1883="Ngày thường",N($G1883),0))</f>
        <v/>
      </c>
      <c r="K1883" s="108">
        <f>IF($B1883="","",IF($E1883="Nghỉ tuần",N($G1883),0))</f>
        <v/>
      </c>
      <c r="L1883" s="108">
        <f>IF($B1883="","",IF($E1883="Lễ",N($G1883),0))</f>
        <v/>
      </c>
      <c r="M1883" s="108">
        <f>IF($B1883="","",IF($E1883="Ngày thường",N($H1883),0))</f>
        <v/>
      </c>
      <c r="N1883" s="108">
        <f>IF($B1883="","",IF($E1883="Nghỉ tuần",N($H1883),0))</f>
        <v/>
      </c>
      <c r="O1883" s="108">
        <f>IF($B1883="","",IF($E1883="Lễ",N($H1883),0))</f>
        <v/>
      </c>
    </row>
    <row r="1884" ht="15" customHeight="1" s="63">
      <c r="A1884" s="85">
        <f>IF($B1884="","",ROW()-5)</f>
        <v/>
      </c>
      <c r="B1884" s="97" t="n"/>
      <c r="C1884" s="96">
        <f>IF($B1884="","",IFERROR(INDEX(DM_NHAN_SU!$C$6:$C$155,MATCH($B1884,DM_NHAN_SU!$B$6:$B$155,0)),"SAI MÃ NV"))</f>
        <v/>
      </c>
      <c r="D1884" s="86" t="n"/>
      <c r="E1884" s="103">
        <f>IF(OR($B1884="",$D1884=""),"",IF(COUNTIF(THAM_SO_CC!$F$10:$F$40,$D1884)&gt;0,"Lễ",IF(IF(THAM_SO_CC!$B$12="T7+CN",WEEKDAY($D1884,2)&gt;=6,WEEKDAY($D1884,2)=7),"Nghỉ tuần","Ngày thường")))</f>
        <v/>
      </c>
      <c r="F1884" s="107" t="n"/>
      <c r="G1884" s="107" t="n"/>
      <c r="H1884" s="107" t="n"/>
      <c r="I1884" s="81" t="n"/>
      <c r="J1884" s="108">
        <f>IF($B1884="","",IF($E1884="Ngày thường",N($G1884),0))</f>
        <v/>
      </c>
      <c r="K1884" s="108">
        <f>IF($B1884="","",IF($E1884="Nghỉ tuần",N($G1884),0))</f>
        <v/>
      </c>
      <c r="L1884" s="108">
        <f>IF($B1884="","",IF($E1884="Lễ",N($G1884),0))</f>
        <v/>
      </c>
      <c r="M1884" s="108">
        <f>IF($B1884="","",IF($E1884="Ngày thường",N($H1884),0))</f>
        <v/>
      </c>
      <c r="N1884" s="108">
        <f>IF($B1884="","",IF($E1884="Nghỉ tuần",N($H1884),0))</f>
        <v/>
      </c>
      <c r="O1884" s="108">
        <f>IF($B1884="","",IF($E1884="Lễ",N($H1884),0))</f>
        <v/>
      </c>
    </row>
    <row r="1885" ht="15" customHeight="1" s="63">
      <c r="A1885" s="85">
        <f>IF($B1885="","",ROW()-5)</f>
        <v/>
      </c>
      <c r="B1885" s="97" t="n"/>
      <c r="C1885" s="96">
        <f>IF($B1885="","",IFERROR(INDEX(DM_NHAN_SU!$C$6:$C$155,MATCH($B1885,DM_NHAN_SU!$B$6:$B$155,0)),"SAI MÃ NV"))</f>
        <v/>
      </c>
      <c r="D1885" s="86" t="n"/>
      <c r="E1885" s="103">
        <f>IF(OR($B1885="",$D1885=""),"",IF(COUNTIF(THAM_SO_CC!$F$10:$F$40,$D1885)&gt;0,"Lễ",IF(IF(THAM_SO_CC!$B$12="T7+CN",WEEKDAY($D1885,2)&gt;=6,WEEKDAY($D1885,2)=7),"Nghỉ tuần","Ngày thường")))</f>
        <v/>
      </c>
      <c r="F1885" s="107" t="n"/>
      <c r="G1885" s="107" t="n"/>
      <c r="H1885" s="107" t="n"/>
      <c r="I1885" s="81" t="n"/>
      <c r="J1885" s="108">
        <f>IF($B1885="","",IF($E1885="Ngày thường",N($G1885),0))</f>
        <v/>
      </c>
      <c r="K1885" s="108">
        <f>IF($B1885="","",IF($E1885="Nghỉ tuần",N($G1885),0))</f>
        <v/>
      </c>
      <c r="L1885" s="108">
        <f>IF($B1885="","",IF($E1885="Lễ",N($G1885),0))</f>
        <v/>
      </c>
      <c r="M1885" s="108">
        <f>IF($B1885="","",IF($E1885="Ngày thường",N($H1885),0))</f>
        <v/>
      </c>
      <c r="N1885" s="108">
        <f>IF($B1885="","",IF($E1885="Nghỉ tuần",N($H1885),0))</f>
        <v/>
      </c>
      <c r="O1885" s="108">
        <f>IF($B1885="","",IF($E1885="Lễ",N($H1885),0))</f>
        <v/>
      </c>
    </row>
    <row r="1886" ht="15" customHeight="1" s="63">
      <c r="A1886" s="85">
        <f>IF($B1886="","",ROW()-5)</f>
        <v/>
      </c>
      <c r="B1886" s="97" t="n"/>
      <c r="C1886" s="96">
        <f>IF($B1886="","",IFERROR(INDEX(DM_NHAN_SU!$C$6:$C$155,MATCH($B1886,DM_NHAN_SU!$B$6:$B$155,0)),"SAI MÃ NV"))</f>
        <v/>
      </c>
      <c r="D1886" s="86" t="n"/>
      <c r="E1886" s="103">
        <f>IF(OR($B1886="",$D1886=""),"",IF(COUNTIF(THAM_SO_CC!$F$10:$F$40,$D1886)&gt;0,"Lễ",IF(IF(THAM_SO_CC!$B$12="T7+CN",WEEKDAY($D1886,2)&gt;=6,WEEKDAY($D1886,2)=7),"Nghỉ tuần","Ngày thường")))</f>
        <v/>
      </c>
      <c r="F1886" s="107" t="n"/>
      <c r="G1886" s="107" t="n"/>
      <c r="H1886" s="107" t="n"/>
      <c r="I1886" s="81" t="n"/>
      <c r="J1886" s="108">
        <f>IF($B1886="","",IF($E1886="Ngày thường",N($G1886),0))</f>
        <v/>
      </c>
      <c r="K1886" s="108">
        <f>IF($B1886="","",IF($E1886="Nghỉ tuần",N($G1886),0))</f>
        <v/>
      </c>
      <c r="L1886" s="108">
        <f>IF($B1886="","",IF($E1886="Lễ",N($G1886),0))</f>
        <v/>
      </c>
      <c r="M1886" s="108">
        <f>IF($B1886="","",IF($E1886="Ngày thường",N($H1886),0))</f>
        <v/>
      </c>
      <c r="N1886" s="108">
        <f>IF($B1886="","",IF($E1886="Nghỉ tuần",N($H1886),0))</f>
        <v/>
      </c>
      <c r="O1886" s="108">
        <f>IF($B1886="","",IF($E1886="Lễ",N($H1886),0))</f>
        <v/>
      </c>
    </row>
    <row r="1887" ht="15" customHeight="1" s="63">
      <c r="A1887" s="85">
        <f>IF($B1887="","",ROW()-5)</f>
        <v/>
      </c>
      <c r="B1887" s="97" t="n"/>
      <c r="C1887" s="96">
        <f>IF($B1887="","",IFERROR(INDEX(DM_NHAN_SU!$C$6:$C$155,MATCH($B1887,DM_NHAN_SU!$B$6:$B$155,0)),"SAI MÃ NV"))</f>
        <v/>
      </c>
      <c r="D1887" s="86" t="n"/>
      <c r="E1887" s="103">
        <f>IF(OR($B1887="",$D1887=""),"",IF(COUNTIF(THAM_SO_CC!$F$10:$F$40,$D1887)&gt;0,"Lễ",IF(IF(THAM_SO_CC!$B$12="T7+CN",WEEKDAY($D1887,2)&gt;=6,WEEKDAY($D1887,2)=7),"Nghỉ tuần","Ngày thường")))</f>
        <v/>
      </c>
      <c r="F1887" s="107" t="n"/>
      <c r="G1887" s="107" t="n"/>
      <c r="H1887" s="107" t="n"/>
      <c r="I1887" s="81" t="n"/>
      <c r="J1887" s="108">
        <f>IF($B1887="","",IF($E1887="Ngày thường",N($G1887),0))</f>
        <v/>
      </c>
      <c r="K1887" s="108">
        <f>IF($B1887="","",IF($E1887="Nghỉ tuần",N($G1887),0))</f>
        <v/>
      </c>
      <c r="L1887" s="108">
        <f>IF($B1887="","",IF($E1887="Lễ",N($G1887),0))</f>
        <v/>
      </c>
      <c r="M1887" s="108">
        <f>IF($B1887="","",IF($E1887="Ngày thường",N($H1887),0))</f>
        <v/>
      </c>
      <c r="N1887" s="108">
        <f>IF($B1887="","",IF($E1887="Nghỉ tuần",N($H1887),0))</f>
        <v/>
      </c>
      <c r="O1887" s="108">
        <f>IF($B1887="","",IF($E1887="Lễ",N($H1887),0))</f>
        <v/>
      </c>
    </row>
    <row r="1888" ht="15" customHeight="1" s="63">
      <c r="A1888" s="85">
        <f>IF($B1888="","",ROW()-5)</f>
        <v/>
      </c>
      <c r="B1888" s="97" t="n"/>
      <c r="C1888" s="96">
        <f>IF($B1888="","",IFERROR(INDEX(DM_NHAN_SU!$C$6:$C$155,MATCH($B1888,DM_NHAN_SU!$B$6:$B$155,0)),"SAI MÃ NV"))</f>
        <v/>
      </c>
      <c r="D1888" s="86" t="n"/>
      <c r="E1888" s="103">
        <f>IF(OR($B1888="",$D1888=""),"",IF(COUNTIF(THAM_SO_CC!$F$10:$F$40,$D1888)&gt;0,"Lễ",IF(IF(THAM_SO_CC!$B$12="T7+CN",WEEKDAY($D1888,2)&gt;=6,WEEKDAY($D1888,2)=7),"Nghỉ tuần","Ngày thường")))</f>
        <v/>
      </c>
      <c r="F1888" s="107" t="n"/>
      <c r="G1888" s="107" t="n"/>
      <c r="H1888" s="107" t="n"/>
      <c r="I1888" s="81" t="n"/>
      <c r="J1888" s="108">
        <f>IF($B1888="","",IF($E1888="Ngày thường",N($G1888),0))</f>
        <v/>
      </c>
      <c r="K1888" s="108">
        <f>IF($B1888="","",IF($E1888="Nghỉ tuần",N($G1888),0))</f>
        <v/>
      </c>
      <c r="L1888" s="108">
        <f>IF($B1888="","",IF($E1888="Lễ",N($G1888),0))</f>
        <v/>
      </c>
      <c r="M1888" s="108">
        <f>IF($B1888="","",IF($E1888="Ngày thường",N($H1888),0))</f>
        <v/>
      </c>
      <c r="N1888" s="108">
        <f>IF($B1888="","",IF($E1888="Nghỉ tuần",N($H1888),0))</f>
        <v/>
      </c>
      <c r="O1888" s="108">
        <f>IF($B1888="","",IF($E1888="Lễ",N($H1888),0))</f>
        <v/>
      </c>
    </row>
    <row r="1889" ht="15" customHeight="1" s="63">
      <c r="A1889" s="85">
        <f>IF($B1889="","",ROW()-5)</f>
        <v/>
      </c>
      <c r="B1889" s="97" t="n"/>
      <c r="C1889" s="96">
        <f>IF($B1889="","",IFERROR(INDEX(DM_NHAN_SU!$C$6:$C$155,MATCH($B1889,DM_NHAN_SU!$B$6:$B$155,0)),"SAI MÃ NV"))</f>
        <v/>
      </c>
      <c r="D1889" s="86" t="n"/>
      <c r="E1889" s="103">
        <f>IF(OR($B1889="",$D1889=""),"",IF(COUNTIF(THAM_SO_CC!$F$10:$F$40,$D1889)&gt;0,"Lễ",IF(IF(THAM_SO_CC!$B$12="T7+CN",WEEKDAY($D1889,2)&gt;=6,WEEKDAY($D1889,2)=7),"Nghỉ tuần","Ngày thường")))</f>
        <v/>
      </c>
      <c r="F1889" s="107" t="n"/>
      <c r="G1889" s="107" t="n"/>
      <c r="H1889" s="107" t="n"/>
      <c r="I1889" s="81" t="n"/>
      <c r="J1889" s="108">
        <f>IF($B1889="","",IF($E1889="Ngày thường",N($G1889),0))</f>
        <v/>
      </c>
      <c r="K1889" s="108">
        <f>IF($B1889="","",IF($E1889="Nghỉ tuần",N($G1889),0))</f>
        <v/>
      </c>
      <c r="L1889" s="108">
        <f>IF($B1889="","",IF($E1889="Lễ",N($G1889),0))</f>
        <v/>
      </c>
      <c r="M1889" s="108">
        <f>IF($B1889="","",IF($E1889="Ngày thường",N($H1889),0))</f>
        <v/>
      </c>
      <c r="N1889" s="108">
        <f>IF($B1889="","",IF($E1889="Nghỉ tuần",N($H1889),0))</f>
        <v/>
      </c>
      <c r="O1889" s="108">
        <f>IF($B1889="","",IF($E1889="Lễ",N($H1889),0))</f>
        <v/>
      </c>
    </row>
    <row r="1890" ht="15" customHeight="1" s="63">
      <c r="A1890" s="85">
        <f>IF($B1890="","",ROW()-5)</f>
        <v/>
      </c>
      <c r="B1890" s="97" t="n"/>
      <c r="C1890" s="96">
        <f>IF($B1890="","",IFERROR(INDEX(DM_NHAN_SU!$C$6:$C$155,MATCH($B1890,DM_NHAN_SU!$B$6:$B$155,0)),"SAI MÃ NV"))</f>
        <v/>
      </c>
      <c r="D1890" s="86" t="n"/>
      <c r="E1890" s="103">
        <f>IF(OR($B1890="",$D1890=""),"",IF(COUNTIF(THAM_SO_CC!$F$10:$F$40,$D1890)&gt;0,"Lễ",IF(IF(THAM_SO_CC!$B$12="T7+CN",WEEKDAY($D1890,2)&gt;=6,WEEKDAY($D1890,2)=7),"Nghỉ tuần","Ngày thường")))</f>
        <v/>
      </c>
      <c r="F1890" s="107" t="n"/>
      <c r="G1890" s="107" t="n"/>
      <c r="H1890" s="107" t="n"/>
      <c r="I1890" s="81" t="n"/>
      <c r="J1890" s="108">
        <f>IF($B1890="","",IF($E1890="Ngày thường",N($G1890),0))</f>
        <v/>
      </c>
      <c r="K1890" s="108">
        <f>IF($B1890="","",IF($E1890="Nghỉ tuần",N($G1890),0))</f>
        <v/>
      </c>
      <c r="L1890" s="108">
        <f>IF($B1890="","",IF($E1890="Lễ",N($G1890),0))</f>
        <v/>
      </c>
      <c r="M1890" s="108">
        <f>IF($B1890="","",IF($E1890="Ngày thường",N($H1890),0))</f>
        <v/>
      </c>
      <c r="N1890" s="108">
        <f>IF($B1890="","",IF($E1890="Nghỉ tuần",N($H1890),0))</f>
        <v/>
      </c>
      <c r="O1890" s="108">
        <f>IF($B1890="","",IF($E1890="Lễ",N($H1890),0))</f>
        <v/>
      </c>
    </row>
    <row r="1891" ht="15" customHeight="1" s="63">
      <c r="A1891" s="85">
        <f>IF($B1891="","",ROW()-5)</f>
        <v/>
      </c>
      <c r="B1891" s="97" t="n"/>
      <c r="C1891" s="96">
        <f>IF($B1891="","",IFERROR(INDEX(DM_NHAN_SU!$C$6:$C$155,MATCH($B1891,DM_NHAN_SU!$B$6:$B$155,0)),"SAI MÃ NV"))</f>
        <v/>
      </c>
      <c r="D1891" s="86" t="n"/>
      <c r="E1891" s="103">
        <f>IF(OR($B1891="",$D1891=""),"",IF(COUNTIF(THAM_SO_CC!$F$10:$F$40,$D1891)&gt;0,"Lễ",IF(IF(THAM_SO_CC!$B$12="T7+CN",WEEKDAY($D1891,2)&gt;=6,WEEKDAY($D1891,2)=7),"Nghỉ tuần","Ngày thường")))</f>
        <v/>
      </c>
      <c r="F1891" s="107" t="n"/>
      <c r="G1891" s="107" t="n"/>
      <c r="H1891" s="107" t="n"/>
      <c r="I1891" s="81" t="n"/>
      <c r="J1891" s="108">
        <f>IF($B1891="","",IF($E1891="Ngày thường",N($G1891),0))</f>
        <v/>
      </c>
      <c r="K1891" s="108">
        <f>IF($B1891="","",IF($E1891="Nghỉ tuần",N($G1891),0))</f>
        <v/>
      </c>
      <c r="L1891" s="108">
        <f>IF($B1891="","",IF($E1891="Lễ",N($G1891),0))</f>
        <v/>
      </c>
      <c r="M1891" s="108">
        <f>IF($B1891="","",IF($E1891="Ngày thường",N($H1891),0))</f>
        <v/>
      </c>
      <c r="N1891" s="108">
        <f>IF($B1891="","",IF($E1891="Nghỉ tuần",N($H1891),0))</f>
        <v/>
      </c>
      <c r="O1891" s="108">
        <f>IF($B1891="","",IF($E1891="Lễ",N($H1891),0))</f>
        <v/>
      </c>
    </row>
    <row r="1892" ht="15" customHeight="1" s="63">
      <c r="A1892" s="85">
        <f>IF($B1892="","",ROW()-5)</f>
        <v/>
      </c>
      <c r="B1892" s="97" t="n"/>
      <c r="C1892" s="96">
        <f>IF($B1892="","",IFERROR(INDEX(DM_NHAN_SU!$C$6:$C$155,MATCH($B1892,DM_NHAN_SU!$B$6:$B$155,0)),"SAI MÃ NV"))</f>
        <v/>
      </c>
      <c r="D1892" s="86" t="n"/>
      <c r="E1892" s="103">
        <f>IF(OR($B1892="",$D1892=""),"",IF(COUNTIF(THAM_SO_CC!$F$10:$F$40,$D1892)&gt;0,"Lễ",IF(IF(THAM_SO_CC!$B$12="T7+CN",WEEKDAY($D1892,2)&gt;=6,WEEKDAY($D1892,2)=7),"Nghỉ tuần","Ngày thường")))</f>
        <v/>
      </c>
      <c r="F1892" s="107" t="n"/>
      <c r="G1892" s="107" t="n"/>
      <c r="H1892" s="107" t="n"/>
      <c r="I1892" s="81" t="n"/>
      <c r="J1892" s="108">
        <f>IF($B1892="","",IF($E1892="Ngày thường",N($G1892),0))</f>
        <v/>
      </c>
      <c r="K1892" s="108">
        <f>IF($B1892="","",IF($E1892="Nghỉ tuần",N($G1892),0))</f>
        <v/>
      </c>
      <c r="L1892" s="108">
        <f>IF($B1892="","",IF($E1892="Lễ",N($G1892),0))</f>
        <v/>
      </c>
      <c r="M1892" s="108">
        <f>IF($B1892="","",IF($E1892="Ngày thường",N($H1892),0))</f>
        <v/>
      </c>
      <c r="N1892" s="108">
        <f>IF($B1892="","",IF($E1892="Nghỉ tuần",N($H1892),0))</f>
        <v/>
      </c>
      <c r="O1892" s="108">
        <f>IF($B1892="","",IF($E1892="Lễ",N($H1892),0))</f>
        <v/>
      </c>
    </row>
    <row r="1893" ht="15" customHeight="1" s="63">
      <c r="A1893" s="85">
        <f>IF($B1893="","",ROW()-5)</f>
        <v/>
      </c>
      <c r="B1893" s="97" t="n"/>
      <c r="C1893" s="96">
        <f>IF($B1893="","",IFERROR(INDEX(DM_NHAN_SU!$C$6:$C$155,MATCH($B1893,DM_NHAN_SU!$B$6:$B$155,0)),"SAI MÃ NV"))</f>
        <v/>
      </c>
      <c r="D1893" s="86" t="n"/>
      <c r="E1893" s="103">
        <f>IF(OR($B1893="",$D1893=""),"",IF(COUNTIF(THAM_SO_CC!$F$10:$F$40,$D1893)&gt;0,"Lễ",IF(IF(THAM_SO_CC!$B$12="T7+CN",WEEKDAY($D1893,2)&gt;=6,WEEKDAY($D1893,2)=7),"Nghỉ tuần","Ngày thường")))</f>
        <v/>
      </c>
      <c r="F1893" s="107" t="n"/>
      <c r="G1893" s="107" t="n"/>
      <c r="H1893" s="107" t="n"/>
      <c r="I1893" s="81" t="n"/>
      <c r="J1893" s="108">
        <f>IF($B1893="","",IF($E1893="Ngày thường",N($G1893),0))</f>
        <v/>
      </c>
      <c r="K1893" s="108">
        <f>IF($B1893="","",IF($E1893="Nghỉ tuần",N($G1893),0))</f>
        <v/>
      </c>
      <c r="L1893" s="108">
        <f>IF($B1893="","",IF($E1893="Lễ",N($G1893),0))</f>
        <v/>
      </c>
      <c r="M1893" s="108">
        <f>IF($B1893="","",IF($E1893="Ngày thường",N($H1893),0))</f>
        <v/>
      </c>
      <c r="N1893" s="108">
        <f>IF($B1893="","",IF($E1893="Nghỉ tuần",N($H1893),0))</f>
        <v/>
      </c>
      <c r="O1893" s="108">
        <f>IF($B1893="","",IF($E1893="Lễ",N($H1893),0))</f>
        <v/>
      </c>
    </row>
    <row r="1894" ht="15" customHeight="1" s="63">
      <c r="A1894" s="85">
        <f>IF($B1894="","",ROW()-5)</f>
        <v/>
      </c>
      <c r="B1894" s="97" t="n"/>
      <c r="C1894" s="96">
        <f>IF($B1894="","",IFERROR(INDEX(DM_NHAN_SU!$C$6:$C$155,MATCH($B1894,DM_NHAN_SU!$B$6:$B$155,0)),"SAI MÃ NV"))</f>
        <v/>
      </c>
      <c r="D1894" s="86" t="n"/>
      <c r="E1894" s="103">
        <f>IF(OR($B1894="",$D1894=""),"",IF(COUNTIF(THAM_SO_CC!$F$10:$F$40,$D1894)&gt;0,"Lễ",IF(IF(THAM_SO_CC!$B$12="T7+CN",WEEKDAY($D1894,2)&gt;=6,WEEKDAY($D1894,2)=7),"Nghỉ tuần","Ngày thường")))</f>
        <v/>
      </c>
      <c r="F1894" s="107" t="n"/>
      <c r="G1894" s="107" t="n"/>
      <c r="H1894" s="107" t="n"/>
      <c r="I1894" s="81" t="n"/>
      <c r="J1894" s="108">
        <f>IF($B1894="","",IF($E1894="Ngày thường",N($G1894),0))</f>
        <v/>
      </c>
      <c r="K1894" s="108">
        <f>IF($B1894="","",IF($E1894="Nghỉ tuần",N($G1894),0))</f>
        <v/>
      </c>
      <c r="L1894" s="108">
        <f>IF($B1894="","",IF($E1894="Lễ",N($G1894),0))</f>
        <v/>
      </c>
      <c r="M1894" s="108">
        <f>IF($B1894="","",IF($E1894="Ngày thường",N($H1894),0))</f>
        <v/>
      </c>
      <c r="N1894" s="108">
        <f>IF($B1894="","",IF($E1894="Nghỉ tuần",N($H1894),0))</f>
        <v/>
      </c>
      <c r="O1894" s="108">
        <f>IF($B1894="","",IF($E1894="Lễ",N($H1894),0))</f>
        <v/>
      </c>
    </row>
    <row r="1895" ht="15" customHeight="1" s="63">
      <c r="A1895" s="85">
        <f>IF($B1895="","",ROW()-5)</f>
        <v/>
      </c>
      <c r="B1895" s="97" t="n"/>
      <c r="C1895" s="96">
        <f>IF($B1895="","",IFERROR(INDEX(DM_NHAN_SU!$C$6:$C$155,MATCH($B1895,DM_NHAN_SU!$B$6:$B$155,0)),"SAI MÃ NV"))</f>
        <v/>
      </c>
      <c r="D1895" s="86" t="n"/>
      <c r="E1895" s="103">
        <f>IF(OR($B1895="",$D1895=""),"",IF(COUNTIF(THAM_SO_CC!$F$10:$F$40,$D1895)&gt;0,"Lễ",IF(IF(THAM_SO_CC!$B$12="T7+CN",WEEKDAY($D1895,2)&gt;=6,WEEKDAY($D1895,2)=7),"Nghỉ tuần","Ngày thường")))</f>
        <v/>
      </c>
      <c r="F1895" s="107" t="n"/>
      <c r="G1895" s="107" t="n"/>
      <c r="H1895" s="107" t="n"/>
      <c r="I1895" s="81" t="n"/>
      <c r="J1895" s="108">
        <f>IF($B1895="","",IF($E1895="Ngày thường",N($G1895),0))</f>
        <v/>
      </c>
      <c r="K1895" s="108">
        <f>IF($B1895="","",IF($E1895="Nghỉ tuần",N($G1895),0))</f>
        <v/>
      </c>
      <c r="L1895" s="108">
        <f>IF($B1895="","",IF($E1895="Lễ",N($G1895),0))</f>
        <v/>
      </c>
      <c r="M1895" s="108">
        <f>IF($B1895="","",IF($E1895="Ngày thường",N($H1895),0))</f>
        <v/>
      </c>
      <c r="N1895" s="108">
        <f>IF($B1895="","",IF($E1895="Nghỉ tuần",N($H1895),0))</f>
        <v/>
      </c>
      <c r="O1895" s="108">
        <f>IF($B1895="","",IF($E1895="Lễ",N($H1895),0))</f>
        <v/>
      </c>
    </row>
    <row r="1896" ht="15" customHeight="1" s="63">
      <c r="A1896" s="85">
        <f>IF($B1896="","",ROW()-5)</f>
        <v/>
      </c>
      <c r="B1896" s="97" t="n"/>
      <c r="C1896" s="96">
        <f>IF($B1896="","",IFERROR(INDEX(DM_NHAN_SU!$C$6:$C$155,MATCH($B1896,DM_NHAN_SU!$B$6:$B$155,0)),"SAI MÃ NV"))</f>
        <v/>
      </c>
      <c r="D1896" s="86" t="n"/>
      <c r="E1896" s="103">
        <f>IF(OR($B1896="",$D1896=""),"",IF(COUNTIF(THAM_SO_CC!$F$10:$F$40,$D1896)&gt;0,"Lễ",IF(IF(THAM_SO_CC!$B$12="T7+CN",WEEKDAY($D1896,2)&gt;=6,WEEKDAY($D1896,2)=7),"Nghỉ tuần","Ngày thường")))</f>
        <v/>
      </c>
      <c r="F1896" s="107" t="n"/>
      <c r="G1896" s="107" t="n"/>
      <c r="H1896" s="107" t="n"/>
      <c r="I1896" s="81" t="n"/>
      <c r="J1896" s="108">
        <f>IF($B1896="","",IF($E1896="Ngày thường",N($G1896),0))</f>
        <v/>
      </c>
      <c r="K1896" s="108">
        <f>IF($B1896="","",IF($E1896="Nghỉ tuần",N($G1896),0))</f>
        <v/>
      </c>
      <c r="L1896" s="108">
        <f>IF($B1896="","",IF($E1896="Lễ",N($G1896),0))</f>
        <v/>
      </c>
      <c r="M1896" s="108">
        <f>IF($B1896="","",IF($E1896="Ngày thường",N($H1896),0))</f>
        <v/>
      </c>
      <c r="N1896" s="108">
        <f>IF($B1896="","",IF($E1896="Nghỉ tuần",N($H1896),0))</f>
        <v/>
      </c>
      <c r="O1896" s="108">
        <f>IF($B1896="","",IF($E1896="Lễ",N($H1896),0))</f>
        <v/>
      </c>
    </row>
    <row r="1897" ht="15" customHeight="1" s="63">
      <c r="A1897" s="85">
        <f>IF($B1897="","",ROW()-5)</f>
        <v/>
      </c>
      <c r="B1897" s="97" t="n"/>
      <c r="C1897" s="96">
        <f>IF($B1897="","",IFERROR(INDEX(DM_NHAN_SU!$C$6:$C$155,MATCH($B1897,DM_NHAN_SU!$B$6:$B$155,0)),"SAI MÃ NV"))</f>
        <v/>
      </c>
      <c r="D1897" s="86" t="n"/>
      <c r="E1897" s="103">
        <f>IF(OR($B1897="",$D1897=""),"",IF(COUNTIF(THAM_SO_CC!$F$10:$F$40,$D1897)&gt;0,"Lễ",IF(IF(THAM_SO_CC!$B$12="T7+CN",WEEKDAY($D1897,2)&gt;=6,WEEKDAY($D1897,2)=7),"Nghỉ tuần","Ngày thường")))</f>
        <v/>
      </c>
      <c r="F1897" s="107" t="n"/>
      <c r="G1897" s="107" t="n"/>
      <c r="H1897" s="107" t="n"/>
      <c r="I1897" s="81" t="n"/>
      <c r="J1897" s="108">
        <f>IF($B1897="","",IF($E1897="Ngày thường",N($G1897),0))</f>
        <v/>
      </c>
      <c r="K1897" s="108">
        <f>IF($B1897="","",IF($E1897="Nghỉ tuần",N($G1897),0))</f>
        <v/>
      </c>
      <c r="L1897" s="108">
        <f>IF($B1897="","",IF($E1897="Lễ",N($G1897),0))</f>
        <v/>
      </c>
      <c r="M1897" s="108">
        <f>IF($B1897="","",IF($E1897="Ngày thường",N($H1897),0))</f>
        <v/>
      </c>
      <c r="N1897" s="108">
        <f>IF($B1897="","",IF($E1897="Nghỉ tuần",N($H1897),0))</f>
        <v/>
      </c>
      <c r="O1897" s="108">
        <f>IF($B1897="","",IF($E1897="Lễ",N($H1897),0))</f>
        <v/>
      </c>
    </row>
    <row r="1898" ht="15" customHeight="1" s="63">
      <c r="A1898" s="85">
        <f>IF($B1898="","",ROW()-5)</f>
        <v/>
      </c>
      <c r="B1898" s="97" t="n"/>
      <c r="C1898" s="96">
        <f>IF($B1898="","",IFERROR(INDEX(DM_NHAN_SU!$C$6:$C$155,MATCH($B1898,DM_NHAN_SU!$B$6:$B$155,0)),"SAI MÃ NV"))</f>
        <v/>
      </c>
      <c r="D1898" s="86" t="n"/>
      <c r="E1898" s="103">
        <f>IF(OR($B1898="",$D1898=""),"",IF(COUNTIF(THAM_SO_CC!$F$10:$F$40,$D1898)&gt;0,"Lễ",IF(IF(THAM_SO_CC!$B$12="T7+CN",WEEKDAY($D1898,2)&gt;=6,WEEKDAY($D1898,2)=7),"Nghỉ tuần","Ngày thường")))</f>
        <v/>
      </c>
      <c r="F1898" s="107" t="n"/>
      <c r="G1898" s="107" t="n"/>
      <c r="H1898" s="107" t="n"/>
      <c r="I1898" s="81" t="n"/>
      <c r="J1898" s="108">
        <f>IF($B1898="","",IF($E1898="Ngày thường",N($G1898),0))</f>
        <v/>
      </c>
      <c r="K1898" s="108">
        <f>IF($B1898="","",IF($E1898="Nghỉ tuần",N($G1898),0))</f>
        <v/>
      </c>
      <c r="L1898" s="108">
        <f>IF($B1898="","",IF($E1898="Lễ",N($G1898),0))</f>
        <v/>
      </c>
      <c r="M1898" s="108">
        <f>IF($B1898="","",IF($E1898="Ngày thường",N($H1898),0))</f>
        <v/>
      </c>
      <c r="N1898" s="108">
        <f>IF($B1898="","",IF($E1898="Nghỉ tuần",N($H1898),0))</f>
        <v/>
      </c>
      <c r="O1898" s="108">
        <f>IF($B1898="","",IF($E1898="Lễ",N($H1898),0))</f>
        <v/>
      </c>
    </row>
    <row r="1899" ht="15" customHeight="1" s="63">
      <c r="A1899" s="85">
        <f>IF($B1899="","",ROW()-5)</f>
        <v/>
      </c>
      <c r="B1899" s="97" t="n"/>
      <c r="C1899" s="96">
        <f>IF($B1899="","",IFERROR(INDEX(DM_NHAN_SU!$C$6:$C$155,MATCH($B1899,DM_NHAN_SU!$B$6:$B$155,0)),"SAI MÃ NV"))</f>
        <v/>
      </c>
      <c r="D1899" s="86" t="n"/>
      <c r="E1899" s="103">
        <f>IF(OR($B1899="",$D1899=""),"",IF(COUNTIF(THAM_SO_CC!$F$10:$F$40,$D1899)&gt;0,"Lễ",IF(IF(THAM_SO_CC!$B$12="T7+CN",WEEKDAY($D1899,2)&gt;=6,WEEKDAY($D1899,2)=7),"Nghỉ tuần","Ngày thường")))</f>
        <v/>
      </c>
      <c r="F1899" s="107" t="n"/>
      <c r="G1899" s="107" t="n"/>
      <c r="H1899" s="107" t="n"/>
      <c r="I1899" s="81" t="n"/>
      <c r="J1899" s="108">
        <f>IF($B1899="","",IF($E1899="Ngày thường",N($G1899),0))</f>
        <v/>
      </c>
      <c r="K1899" s="108">
        <f>IF($B1899="","",IF($E1899="Nghỉ tuần",N($G1899),0))</f>
        <v/>
      </c>
      <c r="L1899" s="108">
        <f>IF($B1899="","",IF($E1899="Lễ",N($G1899),0))</f>
        <v/>
      </c>
      <c r="M1899" s="108">
        <f>IF($B1899="","",IF($E1899="Ngày thường",N($H1899),0))</f>
        <v/>
      </c>
      <c r="N1899" s="108">
        <f>IF($B1899="","",IF($E1899="Nghỉ tuần",N($H1899),0))</f>
        <v/>
      </c>
      <c r="O1899" s="108">
        <f>IF($B1899="","",IF($E1899="Lễ",N($H1899),0))</f>
        <v/>
      </c>
    </row>
    <row r="1900" ht="15" customHeight="1" s="63">
      <c r="A1900" s="85">
        <f>IF($B1900="","",ROW()-5)</f>
        <v/>
      </c>
      <c r="B1900" s="97" t="n"/>
      <c r="C1900" s="96">
        <f>IF($B1900="","",IFERROR(INDEX(DM_NHAN_SU!$C$6:$C$155,MATCH($B1900,DM_NHAN_SU!$B$6:$B$155,0)),"SAI MÃ NV"))</f>
        <v/>
      </c>
      <c r="D1900" s="86" t="n"/>
      <c r="E1900" s="103">
        <f>IF(OR($B1900="",$D1900=""),"",IF(COUNTIF(THAM_SO_CC!$F$10:$F$40,$D1900)&gt;0,"Lễ",IF(IF(THAM_SO_CC!$B$12="T7+CN",WEEKDAY($D1900,2)&gt;=6,WEEKDAY($D1900,2)=7),"Nghỉ tuần","Ngày thường")))</f>
        <v/>
      </c>
      <c r="F1900" s="107" t="n"/>
      <c r="G1900" s="107" t="n"/>
      <c r="H1900" s="107" t="n"/>
      <c r="I1900" s="81" t="n"/>
      <c r="J1900" s="108">
        <f>IF($B1900="","",IF($E1900="Ngày thường",N($G1900),0))</f>
        <v/>
      </c>
      <c r="K1900" s="108">
        <f>IF($B1900="","",IF($E1900="Nghỉ tuần",N($G1900),0))</f>
        <v/>
      </c>
      <c r="L1900" s="108">
        <f>IF($B1900="","",IF($E1900="Lễ",N($G1900),0))</f>
        <v/>
      </c>
      <c r="M1900" s="108">
        <f>IF($B1900="","",IF($E1900="Ngày thường",N($H1900),0))</f>
        <v/>
      </c>
      <c r="N1900" s="108">
        <f>IF($B1900="","",IF($E1900="Nghỉ tuần",N($H1900),0))</f>
        <v/>
      </c>
      <c r="O1900" s="108">
        <f>IF($B1900="","",IF($E1900="Lễ",N($H1900),0))</f>
        <v/>
      </c>
    </row>
    <row r="1901" ht="15" customHeight="1" s="63">
      <c r="A1901" s="85">
        <f>IF($B1901="","",ROW()-5)</f>
        <v/>
      </c>
      <c r="B1901" s="97" t="n"/>
      <c r="C1901" s="96">
        <f>IF($B1901="","",IFERROR(INDEX(DM_NHAN_SU!$C$6:$C$155,MATCH($B1901,DM_NHAN_SU!$B$6:$B$155,0)),"SAI MÃ NV"))</f>
        <v/>
      </c>
      <c r="D1901" s="86" t="n"/>
      <c r="E1901" s="103">
        <f>IF(OR($B1901="",$D1901=""),"",IF(COUNTIF(THAM_SO_CC!$F$10:$F$40,$D1901)&gt;0,"Lễ",IF(IF(THAM_SO_CC!$B$12="T7+CN",WEEKDAY($D1901,2)&gt;=6,WEEKDAY($D1901,2)=7),"Nghỉ tuần","Ngày thường")))</f>
        <v/>
      </c>
      <c r="F1901" s="107" t="n"/>
      <c r="G1901" s="107" t="n"/>
      <c r="H1901" s="107" t="n"/>
      <c r="I1901" s="81" t="n"/>
      <c r="J1901" s="108">
        <f>IF($B1901="","",IF($E1901="Ngày thường",N($G1901),0))</f>
        <v/>
      </c>
      <c r="K1901" s="108">
        <f>IF($B1901="","",IF($E1901="Nghỉ tuần",N($G1901),0))</f>
        <v/>
      </c>
      <c r="L1901" s="108">
        <f>IF($B1901="","",IF($E1901="Lễ",N($G1901),0))</f>
        <v/>
      </c>
      <c r="M1901" s="108">
        <f>IF($B1901="","",IF($E1901="Ngày thường",N($H1901),0))</f>
        <v/>
      </c>
      <c r="N1901" s="108">
        <f>IF($B1901="","",IF($E1901="Nghỉ tuần",N($H1901),0))</f>
        <v/>
      </c>
      <c r="O1901" s="108">
        <f>IF($B1901="","",IF($E1901="Lễ",N($H1901),0))</f>
        <v/>
      </c>
    </row>
    <row r="1902" ht="15" customHeight="1" s="63">
      <c r="A1902" s="85">
        <f>IF($B1902="","",ROW()-5)</f>
        <v/>
      </c>
      <c r="B1902" s="97" t="n"/>
      <c r="C1902" s="96">
        <f>IF($B1902="","",IFERROR(INDEX(DM_NHAN_SU!$C$6:$C$155,MATCH($B1902,DM_NHAN_SU!$B$6:$B$155,0)),"SAI MÃ NV"))</f>
        <v/>
      </c>
      <c r="D1902" s="86" t="n"/>
      <c r="E1902" s="103">
        <f>IF(OR($B1902="",$D1902=""),"",IF(COUNTIF(THAM_SO_CC!$F$10:$F$40,$D1902)&gt;0,"Lễ",IF(IF(THAM_SO_CC!$B$12="T7+CN",WEEKDAY($D1902,2)&gt;=6,WEEKDAY($D1902,2)=7),"Nghỉ tuần","Ngày thường")))</f>
        <v/>
      </c>
      <c r="F1902" s="107" t="n"/>
      <c r="G1902" s="107" t="n"/>
      <c r="H1902" s="107" t="n"/>
      <c r="I1902" s="81" t="n"/>
      <c r="J1902" s="108">
        <f>IF($B1902="","",IF($E1902="Ngày thường",N($G1902),0))</f>
        <v/>
      </c>
      <c r="K1902" s="108">
        <f>IF($B1902="","",IF($E1902="Nghỉ tuần",N($G1902),0))</f>
        <v/>
      </c>
      <c r="L1902" s="108">
        <f>IF($B1902="","",IF($E1902="Lễ",N($G1902),0))</f>
        <v/>
      </c>
      <c r="M1902" s="108">
        <f>IF($B1902="","",IF($E1902="Ngày thường",N($H1902),0))</f>
        <v/>
      </c>
      <c r="N1902" s="108">
        <f>IF($B1902="","",IF($E1902="Nghỉ tuần",N($H1902),0))</f>
        <v/>
      </c>
      <c r="O1902" s="108">
        <f>IF($B1902="","",IF($E1902="Lễ",N($H1902),0))</f>
        <v/>
      </c>
    </row>
    <row r="1903" ht="15" customHeight="1" s="63">
      <c r="A1903" s="85">
        <f>IF($B1903="","",ROW()-5)</f>
        <v/>
      </c>
      <c r="B1903" s="97" t="n"/>
      <c r="C1903" s="96">
        <f>IF($B1903="","",IFERROR(INDEX(DM_NHAN_SU!$C$6:$C$155,MATCH($B1903,DM_NHAN_SU!$B$6:$B$155,0)),"SAI MÃ NV"))</f>
        <v/>
      </c>
      <c r="D1903" s="86" t="n"/>
      <c r="E1903" s="103">
        <f>IF(OR($B1903="",$D1903=""),"",IF(COUNTIF(THAM_SO_CC!$F$10:$F$40,$D1903)&gt;0,"Lễ",IF(IF(THAM_SO_CC!$B$12="T7+CN",WEEKDAY($D1903,2)&gt;=6,WEEKDAY($D1903,2)=7),"Nghỉ tuần","Ngày thường")))</f>
        <v/>
      </c>
      <c r="F1903" s="107" t="n"/>
      <c r="G1903" s="107" t="n"/>
      <c r="H1903" s="107" t="n"/>
      <c r="I1903" s="81" t="n"/>
      <c r="J1903" s="108">
        <f>IF($B1903="","",IF($E1903="Ngày thường",N($G1903),0))</f>
        <v/>
      </c>
      <c r="K1903" s="108">
        <f>IF($B1903="","",IF($E1903="Nghỉ tuần",N($G1903),0))</f>
        <v/>
      </c>
      <c r="L1903" s="108">
        <f>IF($B1903="","",IF($E1903="Lễ",N($G1903),0))</f>
        <v/>
      </c>
      <c r="M1903" s="108">
        <f>IF($B1903="","",IF($E1903="Ngày thường",N($H1903),0))</f>
        <v/>
      </c>
      <c r="N1903" s="108">
        <f>IF($B1903="","",IF($E1903="Nghỉ tuần",N($H1903),0))</f>
        <v/>
      </c>
      <c r="O1903" s="108">
        <f>IF($B1903="","",IF($E1903="Lễ",N($H1903),0))</f>
        <v/>
      </c>
    </row>
    <row r="1904" ht="15" customHeight="1" s="63">
      <c r="A1904" s="85">
        <f>IF($B1904="","",ROW()-5)</f>
        <v/>
      </c>
      <c r="B1904" s="97" t="n"/>
      <c r="C1904" s="96">
        <f>IF($B1904="","",IFERROR(INDEX(DM_NHAN_SU!$C$6:$C$155,MATCH($B1904,DM_NHAN_SU!$B$6:$B$155,0)),"SAI MÃ NV"))</f>
        <v/>
      </c>
      <c r="D1904" s="86" t="n"/>
      <c r="E1904" s="103">
        <f>IF(OR($B1904="",$D1904=""),"",IF(COUNTIF(THAM_SO_CC!$F$10:$F$40,$D1904)&gt;0,"Lễ",IF(IF(THAM_SO_CC!$B$12="T7+CN",WEEKDAY($D1904,2)&gt;=6,WEEKDAY($D1904,2)=7),"Nghỉ tuần","Ngày thường")))</f>
        <v/>
      </c>
      <c r="F1904" s="107" t="n"/>
      <c r="G1904" s="107" t="n"/>
      <c r="H1904" s="107" t="n"/>
      <c r="I1904" s="81" t="n"/>
      <c r="J1904" s="108">
        <f>IF($B1904="","",IF($E1904="Ngày thường",N($G1904),0))</f>
        <v/>
      </c>
      <c r="K1904" s="108">
        <f>IF($B1904="","",IF($E1904="Nghỉ tuần",N($G1904),0))</f>
        <v/>
      </c>
      <c r="L1904" s="108">
        <f>IF($B1904="","",IF($E1904="Lễ",N($G1904),0))</f>
        <v/>
      </c>
      <c r="M1904" s="108">
        <f>IF($B1904="","",IF($E1904="Ngày thường",N($H1904),0))</f>
        <v/>
      </c>
      <c r="N1904" s="108">
        <f>IF($B1904="","",IF($E1904="Nghỉ tuần",N($H1904),0))</f>
        <v/>
      </c>
      <c r="O1904" s="108">
        <f>IF($B1904="","",IF($E1904="Lễ",N($H1904),0))</f>
        <v/>
      </c>
    </row>
    <row r="1905" ht="15" customHeight="1" s="63">
      <c r="A1905" s="85">
        <f>IF($B1905="","",ROW()-5)</f>
        <v/>
      </c>
      <c r="B1905" s="97" t="n"/>
      <c r="C1905" s="96">
        <f>IF($B1905="","",IFERROR(INDEX(DM_NHAN_SU!$C$6:$C$155,MATCH($B1905,DM_NHAN_SU!$B$6:$B$155,0)),"SAI MÃ NV"))</f>
        <v/>
      </c>
      <c r="D1905" s="86" t="n"/>
      <c r="E1905" s="103">
        <f>IF(OR($B1905="",$D1905=""),"",IF(COUNTIF(THAM_SO_CC!$F$10:$F$40,$D1905)&gt;0,"Lễ",IF(IF(THAM_SO_CC!$B$12="T7+CN",WEEKDAY($D1905,2)&gt;=6,WEEKDAY($D1905,2)=7),"Nghỉ tuần","Ngày thường")))</f>
        <v/>
      </c>
      <c r="F1905" s="107" t="n"/>
      <c r="G1905" s="107" t="n"/>
      <c r="H1905" s="107" t="n"/>
      <c r="I1905" s="81" t="n"/>
      <c r="J1905" s="108">
        <f>IF($B1905="","",IF($E1905="Ngày thường",N($G1905),0))</f>
        <v/>
      </c>
      <c r="K1905" s="108">
        <f>IF($B1905="","",IF($E1905="Nghỉ tuần",N($G1905),0))</f>
        <v/>
      </c>
      <c r="L1905" s="108">
        <f>IF($B1905="","",IF($E1905="Lễ",N($G1905),0))</f>
        <v/>
      </c>
      <c r="M1905" s="108">
        <f>IF($B1905="","",IF($E1905="Ngày thường",N($H1905),0))</f>
        <v/>
      </c>
      <c r="N1905" s="108">
        <f>IF($B1905="","",IF($E1905="Nghỉ tuần",N($H1905),0))</f>
        <v/>
      </c>
      <c r="O1905" s="108">
        <f>IF($B1905="","",IF($E1905="Lễ",N($H1905),0))</f>
        <v/>
      </c>
    </row>
    <row r="1906" ht="15" customHeight="1" s="63">
      <c r="A1906" s="85">
        <f>IF($B1906="","",ROW()-5)</f>
        <v/>
      </c>
      <c r="B1906" s="97" t="n"/>
      <c r="C1906" s="96">
        <f>IF($B1906="","",IFERROR(INDEX(DM_NHAN_SU!$C$6:$C$155,MATCH($B1906,DM_NHAN_SU!$B$6:$B$155,0)),"SAI MÃ NV"))</f>
        <v/>
      </c>
      <c r="D1906" s="86" t="n"/>
      <c r="E1906" s="103">
        <f>IF(OR($B1906="",$D1906=""),"",IF(COUNTIF(THAM_SO_CC!$F$10:$F$40,$D1906)&gt;0,"Lễ",IF(IF(THAM_SO_CC!$B$12="T7+CN",WEEKDAY($D1906,2)&gt;=6,WEEKDAY($D1906,2)=7),"Nghỉ tuần","Ngày thường")))</f>
        <v/>
      </c>
      <c r="F1906" s="107" t="n"/>
      <c r="G1906" s="107" t="n"/>
      <c r="H1906" s="107" t="n"/>
      <c r="I1906" s="81" t="n"/>
      <c r="J1906" s="108">
        <f>IF($B1906="","",IF($E1906="Ngày thường",N($G1906),0))</f>
        <v/>
      </c>
      <c r="K1906" s="108">
        <f>IF($B1906="","",IF($E1906="Nghỉ tuần",N($G1906),0))</f>
        <v/>
      </c>
      <c r="L1906" s="108">
        <f>IF($B1906="","",IF($E1906="Lễ",N($G1906),0))</f>
        <v/>
      </c>
      <c r="M1906" s="108">
        <f>IF($B1906="","",IF($E1906="Ngày thường",N($H1906),0))</f>
        <v/>
      </c>
      <c r="N1906" s="108">
        <f>IF($B1906="","",IF($E1906="Nghỉ tuần",N($H1906),0))</f>
        <v/>
      </c>
      <c r="O1906" s="108">
        <f>IF($B1906="","",IF($E1906="Lễ",N($H1906),0))</f>
        <v/>
      </c>
    </row>
    <row r="1907" ht="15" customHeight="1" s="63">
      <c r="A1907" s="85">
        <f>IF($B1907="","",ROW()-5)</f>
        <v/>
      </c>
      <c r="B1907" s="97" t="n"/>
      <c r="C1907" s="96">
        <f>IF($B1907="","",IFERROR(INDEX(DM_NHAN_SU!$C$6:$C$155,MATCH($B1907,DM_NHAN_SU!$B$6:$B$155,0)),"SAI MÃ NV"))</f>
        <v/>
      </c>
      <c r="D1907" s="86" t="n"/>
      <c r="E1907" s="103">
        <f>IF(OR($B1907="",$D1907=""),"",IF(COUNTIF(THAM_SO_CC!$F$10:$F$40,$D1907)&gt;0,"Lễ",IF(IF(THAM_SO_CC!$B$12="T7+CN",WEEKDAY($D1907,2)&gt;=6,WEEKDAY($D1907,2)=7),"Nghỉ tuần","Ngày thường")))</f>
        <v/>
      </c>
      <c r="F1907" s="107" t="n"/>
      <c r="G1907" s="107" t="n"/>
      <c r="H1907" s="107" t="n"/>
      <c r="I1907" s="81" t="n"/>
      <c r="J1907" s="108">
        <f>IF($B1907="","",IF($E1907="Ngày thường",N($G1907),0))</f>
        <v/>
      </c>
      <c r="K1907" s="108">
        <f>IF($B1907="","",IF($E1907="Nghỉ tuần",N($G1907),0))</f>
        <v/>
      </c>
      <c r="L1907" s="108">
        <f>IF($B1907="","",IF($E1907="Lễ",N($G1907),0))</f>
        <v/>
      </c>
      <c r="M1907" s="108">
        <f>IF($B1907="","",IF($E1907="Ngày thường",N($H1907),0))</f>
        <v/>
      </c>
      <c r="N1907" s="108">
        <f>IF($B1907="","",IF($E1907="Nghỉ tuần",N($H1907),0))</f>
        <v/>
      </c>
      <c r="O1907" s="108">
        <f>IF($B1907="","",IF($E1907="Lễ",N($H1907),0))</f>
        <v/>
      </c>
    </row>
    <row r="1908" ht="15" customHeight="1" s="63">
      <c r="A1908" s="85">
        <f>IF($B1908="","",ROW()-5)</f>
        <v/>
      </c>
      <c r="B1908" s="97" t="n"/>
      <c r="C1908" s="96">
        <f>IF($B1908="","",IFERROR(INDEX(DM_NHAN_SU!$C$6:$C$155,MATCH($B1908,DM_NHAN_SU!$B$6:$B$155,0)),"SAI MÃ NV"))</f>
        <v/>
      </c>
      <c r="D1908" s="86" t="n"/>
      <c r="E1908" s="103">
        <f>IF(OR($B1908="",$D1908=""),"",IF(COUNTIF(THAM_SO_CC!$F$10:$F$40,$D1908)&gt;0,"Lễ",IF(IF(THAM_SO_CC!$B$12="T7+CN",WEEKDAY($D1908,2)&gt;=6,WEEKDAY($D1908,2)=7),"Nghỉ tuần","Ngày thường")))</f>
        <v/>
      </c>
      <c r="F1908" s="107" t="n"/>
      <c r="G1908" s="107" t="n"/>
      <c r="H1908" s="107" t="n"/>
      <c r="I1908" s="81" t="n"/>
      <c r="J1908" s="108">
        <f>IF($B1908="","",IF($E1908="Ngày thường",N($G1908),0))</f>
        <v/>
      </c>
      <c r="K1908" s="108">
        <f>IF($B1908="","",IF($E1908="Nghỉ tuần",N($G1908),0))</f>
        <v/>
      </c>
      <c r="L1908" s="108">
        <f>IF($B1908="","",IF($E1908="Lễ",N($G1908),0))</f>
        <v/>
      </c>
      <c r="M1908" s="108">
        <f>IF($B1908="","",IF($E1908="Ngày thường",N($H1908),0))</f>
        <v/>
      </c>
      <c r="N1908" s="108">
        <f>IF($B1908="","",IF($E1908="Nghỉ tuần",N($H1908),0))</f>
        <v/>
      </c>
      <c r="O1908" s="108">
        <f>IF($B1908="","",IF($E1908="Lễ",N($H1908),0))</f>
        <v/>
      </c>
    </row>
    <row r="1909" ht="15" customHeight="1" s="63">
      <c r="A1909" s="85">
        <f>IF($B1909="","",ROW()-5)</f>
        <v/>
      </c>
      <c r="B1909" s="97" t="n"/>
      <c r="C1909" s="96">
        <f>IF($B1909="","",IFERROR(INDEX(DM_NHAN_SU!$C$6:$C$155,MATCH($B1909,DM_NHAN_SU!$B$6:$B$155,0)),"SAI MÃ NV"))</f>
        <v/>
      </c>
      <c r="D1909" s="86" t="n"/>
      <c r="E1909" s="103">
        <f>IF(OR($B1909="",$D1909=""),"",IF(COUNTIF(THAM_SO_CC!$F$10:$F$40,$D1909)&gt;0,"Lễ",IF(IF(THAM_SO_CC!$B$12="T7+CN",WEEKDAY($D1909,2)&gt;=6,WEEKDAY($D1909,2)=7),"Nghỉ tuần","Ngày thường")))</f>
        <v/>
      </c>
      <c r="F1909" s="107" t="n"/>
      <c r="G1909" s="107" t="n"/>
      <c r="H1909" s="107" t="n"/>
      <c r="I1909" s="81" t="n"/>
      <c r="J1909" s="108">
        <f>IF($B1909="","",IF($E1909="Ngày thường",N($G1909),0))</f>
        <v/>
      </c>
      <c r="K1909" s="108">
        <f>IF($B1909="","",IF($E1909="Nghỉ tuần",N($G1909),0))</f>
        <v/>
      </c>
      <c r="L1909" s="108">
        <f>IF($B1909="","",IF($E1909="Lễ",N($G1909),0))</f>
        <v/>
      </c>
      <c r="M1909" s="108">
        <f>IF($B1909="","",IF($E1909="Ngày thường",N($H1909),0))</f>
        <v/>
      </c>
      <c r="N1909" s="108">
        <f>IF($B1909="","",IF($E1909="Nghỉ tuần",N($H1909),0))</f>
        <v/>
      </c>
      <c r="O1909" s="108">
        <f>IF($B1909="","",IF($E1909="Lễ",N($H1909),0))</f>
        <v/>
      </c>
    </row>
    <row r="1910" ht="15" customHeight="1" s="63">
      <c r="A1910" s="85">
        <f>IF($B1910="","",ROW()-5)</f>
        <v/>
      </c>
      <c r="B1910" s="97" t="n"/>
      <c r="C1910" s="96">
        <f>IF($B1910="","",IFERROR(INDEX(DM_NHAN_SU!$C$6:$C$155,MATCH($B1910,DM_NHAN_SU!$B$6:$B$155,0)),"SAI MÃ NV"))</f>
        <v/>
      </c>
      <c r="D1910" s="86" t="n"/>
      <c r="E1910" s="103">
        <f>IF(OR($B1910="",$D1910=""),"",IF(COUNTIF(THAM_SO_CC!$F$10:$F$40,$D1910)&gt;0,"Lễ",IF(IF(THAM_SO_CC!$B$12="T7+CN",WEEKDAY($D1910,2)&gt;=6,WEEKDAY($D1910,2)=7),"Nghỉ tuần","Ngày thường")))</f>
        <v/>
      </c>
      <c r="F1910" s="107" t="n"/>
      <c r="G1910" s="107" t="n"/>
      <c r="H1910" s="107" t="n"/>
      <c r="I1910" s="81" t="n"/>
      <c r="J1910" s="108">
        <f>IF($B1910="","",IF($E1910="Ngày thường",N($G1910),0))</f>
        <v/>
      </c>
      <c r="K1910" s="108">
        <f>IF($B1910="","",IF($E1910="Nghỉ tuần",N($G1910),0))</f>
        <v/>
      </c>
      <c r="L1910" s="108">
        <f>IF($B1910="","",IF($E1910="Lễ",N($G1910),0))</f>
        <v/>
      </c>
      <c r="M1910" s="108">
        <f>IF($B1910="","",IF($E1910="Ngày thường",N($H1910),0))</f>
        <v/>
      </c>
      <c r="N1910" s="108">
        <f>IF($B1910="","",IF($E1910="Nghỉ tuần",N($H1910),0))</f>
        <v/>
      </c>
      <c r="O1910" s="108">
        <f>IF($B1910="","",IF($E1910="Lễ",N($H1910),0))</f>
        <v/>
      </c>
    </row>
    <row r="1911" ht="15" customHeight="1" s="63">
      <c r="A1911" s="85">
        <f>IF($B1911="","",ROW()-5)</f>
        <v/>
      </c>
      <c r="B1911" s="97" t="n"/>
      <c r="C1911" s="96">
        <f>IF($B1911="","",IFERROR(INDEX(DM_NHAN_SU!$C$6:$C$155,MATCH($B1911,DM_NHAN_SU!$B$6:$B$155,0)),"SAI MÃ NV"))</f>
        <v/>
      </c>
      <c r="D1911" s="86" t="n"/>
      <c r="E1911" s="103">
        <f>IF(OR($B1911="",$D1911=""),"",IF(COUNTIF(THAM_SO_CC!$F$10:$F$40,$D1911)&gt;0,"Lễ",IF(IF(THAM_SO_CC!$B$12="T7+CN",WEEKDAY($D1911,2)&gt;=6,WEEKDAY($D1911,2)=7),"Nghỉ tuần","Ngày thường")))</f>
        <v/>
      </c>
      <c r="F1911" s="107" t="n"/>
      <c r="G1911" s="107" t="n"/>
      <c r="H1911" s="107" t="n"/>
      <c r="I1911" s="81" t="n"/>
      <c r="J1911" s="108">
        <f>IF($B1911="","",IF($E1911="Ngày thường",N($G1911),0))</f>
        <v/>
      </c>
      <c r="K1911" s="108">
        <f>IF($B1911="","",IF($E1911="Nghỉ tuần",N($G1911),0))</f>
        <v/>
      </c>
      <c r="L1911" s="108">
        <f>IF($B1911="","",IF($E1911="Lễ",N($G1911),0))</f>
        <v/>
      </c>
      <c r="M1911" s="108">
        <f>IF($B1911="","",IF($E1911="Ngày thường",N($H1911),0))</f>
        <v/>
      </c>
      <c r="N1911" s="108">
        <f>IF($B1911="","",IF($E1911="Nghỉ tuần",N($H1911),0))</f>
        <v/>
      </c>
      <c r="O1911" s="108">
        <f>IF($B1911="","",IF($E1911="Lễ",N($H1911),0))</f>
        <v/>
      </c>
    </row>
    <row r="1912" ht="15" customHeight="1" s="63">
      <c r="A1912" s="85">
        <f>IF($B1912="","",ROW()-5)</f>
        <v/>
      </c>
      <c r="B1912" s="97" t="n"/>
      <c r="C1912" s="96">
        <f>IF($B1912="","",IFERROR(INDEX(DM_NHAN_SU!$C$6:$C$155,MATCH($B1912,DM_NHAN_SU!$B$6:$B$155,0)),"SAI MÃ NV"))</f>
        <v/>
      </c>
      <c r="D1912" s="86" t="n"/>
      <c r="E1912" s="103">
        <f>IF(OR($B1912="",$D1912=""),"",IF(COUNTIF(THAM_SO_CC!$F$10:$F$40,$D1912)&gt;0,"Lễ",IF(IF(THAM_SO_CC!$B$12="T7+CN",WEEKDAY($D1912,2)&gt;=6,WEEKDAY($D1912,2)=7),"Nghỉ tuần","Ngày thường")))</f>
        <v/>
      </c>
      <c r="F1912" s="107" t="n"/>
      <c r="G1912" s="107" t="n"/>
      <c r="H1912" s="107" t="n"/>
      <c r="I1912" s="81" t="n"/>
      <c r="J1912" s="108">
        <f>IF($B1912="","",IF($E1912="Ngày thường",N($G1912),0))</f>
        <v/>
      </c>
      <c r="K1912" s="108">
        <f>IF($B1912="","",IF($E1912="Nghỉ tuần",N($G1912),0))</f>
        <v/>
      </c>
      <c r="L1912" s="108">
        <f>IF($B1912="","",IF($E1912="Lễ",N($G1912),0))</f>
        <v/>
      </c>
      <c r="M1912" s="108">
        <f>IF($B1912="","",IF($E1912="Ngày thường",N($H1912),0))</f>
        <v/>
      </c>
      <c r="N1912" s="108">
        <f>IF($B1912="","",IF($E1912="Nghỉ tuần",N($H1912),0))</f>
        <v/>
      </c>
      <c r="O1912" s="108">
        <f>IF($B1912="","",IF($E1912="Lễ",N($H1912),0))</f>
        <v/>
      </c>
    </row>
    <row r="1913" ht="15" customHeight="1" s="63">
      <c r="A1913" s="85">
        <f>IF($B1913="","",ROW()-5)</f>
        <v/>
      </c>
      <c r="B1913" s="97" t="n"/>
      <c r="C1913" s="96">
        <f>IF($B1913="","",IFERROR(INDEX(DM_NHAN_SU!$C$6:$C$155,MATCH($B1913,DM_NHAN_SU!$B$6:$B$155,0)),"SAI MÃ NV"))</f>
        <v/>
      </c>
      <c r="D1913" s="86" t="n"/>
      <c r="E1913" s="103">
        <f>IF(OR($B1913="",$D1913=""),"",IF(COUNTIF(THAM_SO_CC!$F$10:$F$40,$D1913)&gt;0,"Lễ",IF(IF(THAM_SO_CC!$B$12="T7+CN",WEEKDAY($D1913,2)&gt;=6,WEEKDAY($D1913,2)=7),"Nghỉ tuần","Ngày thường")))</f>
        <v/>
      </c>
      <c r="F1913" s="107" t="n"/>
      <c r="G1913" s="107" t="n"/>
      <c r="H1913" s="107" t="n"/>
      <c r="I1913" s="81" t="n"/>
      <c r="J1913" s="108">
        <f>IF($B1913="","",IF($E1913="Ngày thường",N($G1913),0))</f>
        <v/>
      </c>
      <c r="K1913" s="108">
        <f>IF($B1913="","",IF($E1913="Nghỉ tuần",N($G1913),0))</f>
        <v/>
      </c>
      <c r="L1913" s="108">
        <f>IF($B1913="","",IF($E1913="Lễ",N($G1913),0))</f>
        <v/>
      </c>
      <c r="M1913" s="108">
        <f>IF($B1913="","",IF($E1913="Ngày thường",N($H1913),0))</f>
        <v/>
      </c>
      <c r="N1913" s="108">
        <f>IF($B1913="","",IF($E1913="Nghỉ tuần",N($H1913),0))</f>
        <v/>
      </c>
      <c r="O1913" s="108">
        <f>IF($B1913="","",IF($E1913="Lễ",N($H1913),0))</f>
        <v/>
      </c>
    </row>
    <row r="1914" ht="15" customHeight="1" s="63">
      <c r="A1914" s="85">
        <f>IF($B1914="","",ROW()-5)</f>
        <v/>
      </c>
      <c r="B1914" s="97" t="n"/>
      <c r="C1914" s="96">
        <f>IF($B1914="","",IFERROR(INDEX(DM_NHAN_SU!$C$6:$C$155,MATCH($B1914,DM_NHAN_SU!$B$6:$B$155,0)),"SAI MÃ NV"))</f>
        <v/>
      </c>
      <c r="D1914" s="86" t="n"/>
      <c r="E1914" s="103">
        <f>IF(OR($B1914="",$D1914=""),"",IF(COUNTIF(THAM_SO_CC!$F$10:$F$40,$D1914)&gt;0,"Lễ",IF(IF(THAM_SO_CC!$B$12="T7+CN",WEEKDAY($D1914,2)&gt;=6,WEEKDAY($D1914,2)=7),"Nghỉ tuần","Ngày thường")))</f>
        <v/>
      </c>
      <c r="F1914" s="107" t="n"/>
      <c r="G1914" s="107" t="n"/>
      <c r="H1914" s="107" t="n"/>
      <c r="I1914" s="81" t="n"/>
      <c r="J1914" s="108">
        <f>IF($B1914="","",IF($E1914="Ngày thường",N($G1914),0))</f>
        <v/>
      </c>
      <c r="K1914" s="108">
        <f>IF($B1914="","",IF($E1914="Nghỉ tuần",N($G1914),0))</f>
        <v/>
      </c>
      <c r="L1914" s="108">
        <f>IF($B1914="","",IF($E1914="Lễ",N($G1914),0))</f>
        <v/>
      </c>
      <c r="M1914" s="108">
        <f>IF($B1914="","",IF($E1914="Ngày thường",N($H1914),0))</f>
        <v/>
      </c>
      <c r="N1914" s="108">
        <f>IF($B1914="","",IF($E1914="Nghỉ tuần",N($H1914),0))</f>
        <v/>
      </c>
      <c r="O1914" s="108">
        <f>IF($B1914="","",IF($E1914="Lễ",N($H1914),0))</f>
        <v/>
      </c>
    </row>
    <row r="1915" ht="15" customHeight="1" s="63">
      <c r="A1915" s="85">
        <f>IF($B1915="","",ROW()-5)</f>
        <v/>
      </c>
      <c r="B1915" s="97" t="n"/>
      <c r="C1915" s="96">
        <f>IF($B1915="","",IFERROR(INDEX(DM_NHAN_SU!$C$6:$C$155,MATCH($B1915,DM_NHAN_SU!$B$6:$B$155,0)),"SAI MÃ NV"))</f>
        <v/>
      </c>
      <c r="D1915" s="86" t="n"/>
      <c r="E1915" s="103">
        <f>IF(OR($B1915="",$D1915=""),"",IF(COUNTIF(THAM_SO_CC!$F$10:$F$40,$D1915)&gt;0,"Lễ",IF(IF(THAM_SO_CC!$B$12="T7+CN",WEEKDAY($D1915,2)&gt;=6,WEEKDAY($D1915,2)=7),"Nghỉ tuần","Ngày thường")))</f>
        <v/>
      </c>
      <c r="F1915" s="107" t="n"/>
      <c r="G1915" s="107" t="n"/>
      <c r="H1915" s="107" t="n"/>
      <c r="I1915" s="81" t="n"/>
      <c r="J1915" s="108">
        <f>IF($B1915="","",IF($E1915="Ngày thường",N($G1915),0))</f>
        <v/>
      </c>
      <c r="K1915" s="108">
        <f>IF($B1915="","",IF($E1915="Nghỉ tuần",N($G1915),0))</f>
        <v/>
      </c>
      <c r="L1915" s="108">
        <f>IF($B1915="","",IF($E1915="Lễ",N($G1915),0))</f>
        <v/>
      </c>
      <c r="M1915" s="108">
        <f>IF($B1915="","",IF($E1915="Ngày thường",N($H1915),0))</f>
        <v/>
      </c>
      <c r="N1915" s="108">
        <f>IF($B1915="","",IF($E1915="Nghỉ tuần",N($H1915),0))</f>
        <v/>
      </c>
      <c r="O1915" s="108">
        <f>IF($B1915="","",IF($E1915="Lễ",N($H1915),0))</f>
        <v/>
      </c>
    </row>
    <row r="1916" ht="15" customHeight="1" s="63">
      <c r="A1916" s="85">
        <f>IF($B1916="","",ROW()-5)</f>
        <v/>
      </c>
      <c r="B1916" s="97" t="n"/>
      <c r="C1916" s="96">
        <f>IF($B1916="","",IFERROR(INDEX(DM_NHAN_SU!$C$6:$C$155,MATCH($B1916,DM_NHAN_SU!$B$6:$B$155,0)),"SAI MÃ NV"))</f>
        <v/>
      </c>
      <c r="D1916" s="86" t="n"/>
      <c r="E1916" s="103">
        <f>IF(OR($B1916="",$D1916=""),"",IF(COUNTIF(THAM_SO_CC!$F$10:$F$40,$D1916)&gt;0,"Lễ",IF(IF(THAM_SO_CC!$B$12="T7+CN",WEEKDAY($D1916,2)&gt;=6,WEEKDAY($D1916,2)=7),"Nghỉ tuần","Ngày thường")))</f>
        <v/>
      </c>
      <c r="F1916" s="107" t="n"/>
      <c r="G1916" s="107" t="n"/>
      <c r="H1916" s="107" t="n"/>
      <c r="I1916" s="81" t="n"/>
      <c r="J1916" s="108">
        <f>IF($B1916="","",IF($E1916="Ngày thường",N($G1916),0))</f>
        <v/>
      </c>
      <c r="K1916" s="108">
        <f>IF($B1916="","",IF($E1916="Nghỉ tuần",N($G1916),0))</f>
        <v/>
      </c>
      <c r="L1916" s="108">
        <f>IF($B1916="","",IF($E1916="Lễ",N($G1916),0))</f>
        <v/>
      </c>
      <c r="M1916" s="108">
        <f>IF($B1916="","",IF($E1916="Ngày thường",N($H1916),0))</f>
        <v/>
      </c>
      <c r="N1916" s="108">
        <f>IF($B1916="","",IF($E1916="Nghỉ tuần",N($H1916),0))</f>
        <v/>
      </c>
      <c r="O1916" s="108">
        <f>IF($B1916="","",IF($E1916="Lễ",N($H1916),0))</f>
        <v/>
      </c>
    </row>
    <row r="1917" ht="15" customHeight="1" s="63">
      <c r="A1917" s="85">
        <f>IF($B1917="","",ROW()-5)</f>
        <v/>
      </c>
      <c r="B1917" s="97" t="n"/>
      <c r="C1917" s="96">
        <f>IF($B1917="","",IFERROR(INDEX(DM_NHAN_SU!$C$6:$C$155,MATCH($B1917,DM_NHAN_SU!$B$6:$B$155,0)),"SAI MÃ NV"))</f>
        <v/>
      </c>
      <c r="D1917" s="86" t="n"/>
      <c r="E1917" s="103">
        <f>IF(OR($B1917="",$D1917=""),"",IF(COUNTIF(THAM_SO_CC!$F$10:$F$40,$D1917)&gt;0,"Lễ",IF(IF(THAM_SO_CC!$B$12="T7+CN",WEEKDAY($D1917,2)&gt;=6,WEEKDAY($D1917,2)=7),"Nghỉ tuần","Ngày thường")))</f>
        <v/>
      </c>
      <c r="F1917" s="107" t="n"/>
      <c r="G1917" s="107" t="n"/>
      <c r="H1917" s="107" t="n"/>
      <c r="I1917" s="81" t="n"/>
      <c r="J1917" s="108">
        <f>IF($B1917="","",IF($E1917="Ngày thường",N($G1917),0))</f>
        <v/>
      </c>
      <c r="K1917" s="108">
        <f>IF($B1917="","",IF($E1917="Nghỉ tuần",N($G1917),0))</f>
        <v/>
      </c>
      <c r="L1917" s="108">
        <f>IF($B1917="","",IF($E1917="Lễ",N($G1917),0))</f>
        <v/>
      </c>
      <c r="M1917" s="108">
        <f>IF($B1917="","",IF($E1917="Ngày thường",N($H1917),0))</f>
        <v/>
      </c>
      <c r="N1917" s="108">
        <f>IF($B1917="","",IF($E1917="Nghỉ tuần",N($H1917),0))</f>
        <v/>
      </c>
      <c r="O1917" s="108">
        <f>IF($B1917="","",IF($E1917="Lễ",N($H1917),0))</f>
        <v/>
      </c>
    </row>
    <row r="1918" ht="15" customHeight="1" s="63">
      <c r="A1918" s="85">
        <f>IF($B1918="","",ROW()-5)</f>
        <v/>
      </c>
      <c r="B1918" s="97" t="n"/>
      <c r="C1918" s="96">
        <f>IF($B1918="","",IFERROR(INDEX(DM_NHAN_SU!$C$6:$C$155,MATCH($B1918,DM_NHAN_SU!$B$6:$B$155,0)),"SAI MÃ NV"))</f>
        <v/>
      </c>
      <c r="D1918" s="86" t="n"/>
      <c r="E1918" s="103">
        <f>IF(OR($B1918="",$D1918=""),"",IF(COUNTIF(THAM_SO_CC!$F$10:$F$40,$D1918)&gt;0,"Lễ",IF(IF(THAM_SO_CC!$B$12="T7+CN",WEEKDAY($D1918,2)&gt;=6,WEEKDAY($D1918,2)=7),"Nghỉ tuần","Ngày thường")))</f>
        <v/>
      </c>
      <c r="F1918" s="107" t="n"/>
      <c r="G1918" s="107" t="n"/>
      <c r="H1918" s="107" t="n"/>
      <c r="I1918" s="81" t="n"/>
      <c r="J1918" s="108">
        <f>IF($B1918="","",IF($E1918="Ngày thường",N($G1918),0))</f>
        <v/>
      </c>
      <c r="K1918" s="108">
        <f>IF($B1918="","",IF($E1918="Nghỉ tuần",N($G1918),0))</f>
        <v/>
      </c>
      <c r="L1918" s="108">
        <f>IF($B1918="","",IF($E1918="Lễ",N($G1918),0))</f>
        <v/>
      </c>
      <c r="M1918" s="108">
        <f>IF($B1918="","",IF($E1918="Ngày thường",N($H1918),0))</f>
        <v/>
      </c>
      <c r="N1918" s="108">
        <f>IF($B1918="","",IF($E1918="Nghỉ tuần",N($H1918),0))</f>
        <v/>
      </c>
      <c r="O1918" s="108">
        <f>IF($B1918="","",IF($E1918="Lễ",N($H1918),0))</f>
        <v/>
      </c>
    </row>
    <row r="1919" ht="15" customHeight="1" s="63">
      <c r="A1919" s="85">
        <f>IF($B1919="","",ROW()-5)</f>
        <v/>
      </c>
      <c r="B1919" s="97" t="n"/>
      <c r="C1919" s="96">
        <f>IF($B1919="","",IFERROR(INDEX(DM_NHAN_SU!$C$6:$C$155,MATCH($B1919,DM_NHAN_SU!$B$6:$B$155,0)),"SAI MÃ NV"))</f>
        <v/>
      </c>
      <c r="D1919" s="86" t="n"/>
      <c r="E1919" s="103">
        <f>IF(OR($B1919="",$D1919=""),"",IF(COUNTIF(THAM_SO_CC!$F$10:$F$40,$D1919)&gt;0,"Lễ",IF(IF(THAM_SO_CC!$B$12="T7+CN",WEEKDAY($D1919,2)&gt;=6,WEEKDAY($D1919,2)=7),"Nghỉ tuần","Ngày thường")))</f>
        <v/>
      </c>
      <c r="F1919" s="107" t="n"/>
      <c r="G1919" s="107" t="n"/>
      <c r="H1919" s="107" t="n"/>
      <c r="I1919" s="81" t="n"/>
      <c r="J1919" s="108">
        <f>IF($B1919="","",IF($E1919="Ngày thường",N($G1919),0))</f>
        <v/>
      </c>
      <c r="K1919" s="108">
        <f>IF($B1919="","",IF($E1919="Nghỉ tuần",N($G1919),0))</f>
        <v/>
      </c>
      <c r="L1919" s="108">
        <f>IF($B1919="","",IF($E1919="Lễ",N($G1919),0))</f>
        <v/>
      </c>
      <c r="M1919" s="108">
        <f>IF($B1919="","",IF($E1919="Ngày thường",N($H1919),0))</f>
        <v/>
      </c>
      <c r="N1919" s="108">
        <f>IF($B1919="","",IF($E1919="Nghỉ tuần",N($H1919),0))</f>
        <v/>
      </c>
      <c r="O1919" s="108">
        <f>IF($B1919="","",IF($E1919="Lễ",N($H1919),0))</f>
        <v/>
      </c>
    </row>
    <row r="1920" ht="15" customHeight="1" s="63">
      <c r="A1920" s="85">
        <f>IF($B1920="","",ROW()-5)</f>
        <v/>
      </c>
      <c r="B1920" s="97" t="n"/>
      <c r="C1920" s="96">
        <f>IF($B1920="","",IFERROR(INDEX(DM_NHAN_SU!$C$6:$C$155,MATCH($B1920,DM_NHAN_SU!$B$6:$B$155,0)),"SAI MÃ NV"))</f>
        <v/>
      </c>
      <c r="D1920" s="86" t="n"/>
      <c r="E1920" s="103">
        <f>IF(OR($B1920="",$D1920=""),"",IF(COUNTIF(THAM_SO_CC!$F$10:$F$40,$D1920)&gt;0,"Lễ",IF(IF(THAM_SO_CC!$B$12="T7+CN",WEEKDAY($D1920,2)&gt;=6,WEEKDAY($D1920,2)=7),"Nghỉ tuần","Ngày thường")))</f>
        <v/>
      </c>
      <c r="F1920" s="107" t="n"/>
      <c r="G1920" s="107" t="n"/>
      <c r="H1920" s="107" t="n"/>
      <c r="I1920" s="81" t="n"/>
      <c r="J1920" s="108">
        <f>IF($B1920="","",IF($E1920="Ngày thường",N($G1920),0))</f>
        <v/>
      </c>
      <c r="K1920" s="108">
        <f>IF($B1920="","",IF($E1920="Nghỉ tuần",N($G1920),0))</f>
        <v/>
      </c>
      <c r="L1920" s="108">
        <f>IF($B1920="","",IF($E1920="Lễ",N($G1920),0))</f>
        <v/>
      </c>
      <c r="M1920" s="108">
        <f>IF($B1920="","",IF($E1920="Ngày thường",N($H1920),0))</f>
        <v/>
      </c>
      <c r="N1920" s="108">
        <f>IF($B1920="","",IF($E1920="Nghỉ tuần",N($H1920),0))</f>
        <v/>
      </c>
      <c r="O1920" s="108">
        <f>IF($B1920="","",IF($E1920="Lễ",N($H1920),0))</f>
        <v/>
      </c>
    </row>
    <row r="1921" ht="15" customHeight="1" s="63">
      <c r="A1921" s="85">
        <f>IF($B1921="","",ROW()-5)</f>
        <v/>
      </c>
      <c r="B1921" s="97" t="n"/>
      <c r="C1921" s="96">
        <f>IF($B1921="","",IFERROR(INDEX(DM_NHAN_SU!$C$6:$C$155,MATCH($B1921,DM_NHAN_SU!$B$6:$B$155,0)),"SAI MÃ NV"))</f>
        <v/>
      </c>
      <c r="D1921" s="86" t="n"/>
      <c r="E1921" s="103">
        <f>IF(OR($B1921="",$D1921=""),"",IF(COUNTIF(THAM_SO_CC!$F$10:$F$40,$D1921)&gt;0,"Lễ",IF(IF(THAM_SO_CC!$B$12="T7+CN",WEEKDAY($D1921,2)&gt;=6,WEEKDAY($D1921,2)=7),"Nghỉ tuần","Ngày thường")))</f>
        <v/>
      </c>
      <c r="F1921" s="107" t="n"/>
      <c r="G1921" s="107" t="n"/>
      <c r="H1921" s="107" t="n"/>
      <c r="I1921" s="81" t="n"/>
      <c r="J1921" s="108">
        <f>IF($B1921="","",IF($E1921="Ngày thường",N($G1921),0))</f>
        <v/>
      </c>
      <c r="K1921" s="108">
        <f>IF($B1921="","",IF($E1921="Nghỉ tuần",N($G1921),0))</f>
        <v/>
      </c>
      <c r="L1921" s="108">
        <f>IF($B1921="","",IF($E1921="Lễ",N($G1921),0))</f>
        <v/>
      </c>
      <c r="M1921" s="108">
        <f>IF($B1921="","",IF($E1921="Ngày thường",N($H1921),0))</f>
        <v/>
      </c>
      <c r="N1921" s="108">
        <f>IF($B1921="","",IF($E1921="Nghỉ tuần",N($H1921),0))</f>
        <v/>
      </c>
      <c r="O1921" s="108">
        <f>IF($B1921="","",IF($E1921="Lễ",N($H1921),0))</f>
        <v/>
      </c>
    </row>
    <row r="1922" ht="15" customHeight="1" s="63">
      <c r="A1922" s="85">
        <f>IF($B1922="","",ROW()-5)</f>
        <v/>
      </c>
      <c r="B1922" s="97" t="n"/>
      <c r="C1922" s="96">
        <f>IF($B1922="","",IFERROR(INDEX(DM_NHAN_SU!$C$6:$C$155,MATCH($B1922,DM_NHAN_SU!$B$6:$B$155,0)),"SAI MÃ NV"))</f>
        <v/>
      </c>
      <c r="D1922" s="86" t="n"/>
      <c r="E1922" s="103">
        <f>IF(OR($B1922="",$D1922=""),"",IF(COUNTIF(THAM_SO_CC!$F$10:$F$40,$D1922)&gt;0,"Lễ",IF(IF(THAM_SO_CC!$B$12="T7+CN",WEEKDAY($D1922,2)&gt;=6,WEEKDAY($D1922,2)=7),"Nghỉ tuần","Ngày thường")))</f>
        <v/>
      </c>
      <c r="F1922" s="107" t="n"/>
      <c r="G1922" s="107" t="n"/>
      <c r="H1922" s="107" t="n"/>
      <c r="I1922" s="81" t="n"/>
      <c r="J1922" s="108">
        <f>IF($B1922="","",IF($E1922="Ngày thường",N($G1922),0))</f>
        <v/>
      </c>
      <c r="K1922" s="108">
        <f>IF($B1922="","",IF($E1922="Nghỉ tuần",N($G1922),0))</f>
        <v/>
      </c>
      <c r="L1922" s="108">
        <f>IF($B1922="","",IF($E1922="Lễ",N($G1922),0))</f>
        <v/>
      </c>
      <c r="M1922" s="108">
        <f>IF($B1922="","",IF($E1922="Ngày thường",N($H1922),0))</f>
        <v/>
      </c>
      <c r="N1922" s="108">
        <f>IF($B1922="","",IF($E1922="Nghỉ tuần",N($H1922),0))</f>
        <v/>
      </c>
      <c r="O1922" s="108">
        <f>IF($B1922="","",IF($E1922="Lễ",N($H1922),0))</f>
        <v/>
      </c>
    </row>
    <row r="1923" ht="15" customHeight="1" s="63">
      <c r="A1923" s="85">
        <f>IF($B1923="","",ROW()-5)</f>
        <v/>
      </c>
      <c r="B1923" s="97" t="n"/>
      <c r="C1923" s="96">
        <f>IF($B1923="","",IFERROR(INDEX(DM_NHAN_SU!$C$6:$C$155,MATCH($B1923,DM_NHAN_SU!$B$6:$B$155,0)),"SAI MÃ NV"))</f>
        <v/>
      </c>
      <c r="D1923" s="86" t="n"/>
      <c r="E1923" s="103">
        <f>IF(OR($B1923="",$D1923=""),"",IF(COUNTIF(THAM_SO_CC!$F$10:$F$40,$D1923)&gt;0,"Lễ",IF(IF(THAM_SO_CC!$B$12="T7+CN",WEEKDAY($D1923,2)&gt;=6,WEEKDAY($D1923,2)=7),"Nghỉ tuần","Ngày thường")))</f>
        <v/>
      </c>
      <c r="F1923" s="107" t="n"/>
      <c r="G1923" s="107" t="n"/>
      <c r="H1923" s="107" t="n"/>
      <c r="I1923" s="81" t="n"/>
      <c r="J1923" s="108">
        <f>IF($B1923="","",IF($E1923="Ngày thường",N($G1923),0))</f>
        <v/>
      </c>
      <c r="K1923" s="108">
        <f>IF($B1923="","",IF($E1923="Nghỉ tuần",N($G1923),0))</f>
        <v/>
      </c>
      <c r="L1923" s="108">
        <f>IF($B1923="","",IF($E1923="Lễ",N($G1923),0))</f>
        <v/>
      </c>
      <c r="M1923" s="108">
        <f>IF($B1923="","",IF($E1923="Ngày thường",N($H1923),0))</f>
        <v/>
      </c>
      <c r="N1923" s="108">
        <f>IF($B1923="","",IF($E1923="Nghỉ tuần",N($H1923),0))</f>
        <v/>
      </c>
      <c r="O1923" s="108">
        <f>IF($B1923="","",IF($E1923="Lễ",N($H1923),0))</f>
        <v/>
      </c>
    </row>
    <row r="1924" ht="15" customHeight="1" s="63">
      <c r="A1924" s="85">
        <f>IF($B1924="","",ROW()-5)</f>
        <v/>
      </c>
      <c r="B1924" s="97" t="n"/>
      <c r="C1924" s="96">
        <f>IF($B1924="","",IFERROR(INDEX(DM_NHAN_SU!$C$6:$C$155,MATCH($B1924,DM_NHAN_SU!$B$6:$B$155,0)),"SAI MÃ NV"))</f>
        <v/>
      </c>
      <c r="D1924" s="86" t="n"/>
      <c r="E1924" s="103">
        <f>IF(OR($B1924="",$D1924=""),"",IF(COUNTIF(THAM_SO_CC!$F$10:$F$40,$D1924)&gt;0,"Lễ",IF(IF(THAM_SO_CC!$B$12="T7+CN",WEEKDAY($D1924,2)&gt;=6,WEEKDAY($D1924,2)=7),"Nghỉ tuần","Ngày thường")))</f>
        <v/>
      </c>
      <c r="F1924" s="107" t="n"/>
      <c r="G1924" s="107" t="n"/>
      <c r="H1924" s="107" t="n"/>
      <c r="I1924" s="81" t="n"/>
      <c r="J1924" s="108">
        <f>IF($B1924="","",IF($E1924="Ngày thường",N($G1924),0))</f>
        <v/>
      </c>
      <c r="K1924" s="108">
        <f>IF($B1924="","",IF($E1924="Nghỉ tuần",N($G1924),0))</f>
        <v/>
      </c>
      <c r="L1924" s="108">
        <f>IF($B1924="","",IF($E1924="Lễ",N($G1924),0))</f>
        <v/>
      </c>
      <c r="M1924" s="108">
        <f>IF($B1924="","",IF($E1924="Ngày thường",N($H1924),0))</f>
        <v/>
      </c>
      <c r="N1924" s="108">
        <f>IF($B1924="","",IF($E1924="Nghỉ tuần",N($H1924),0))</f>
        <v/>
      </c>
      <c r="O1924" s="108">
        <f>IF($B1924="","",IF($E1924="Lễ",N($H1924),0))</f>
        <v/>
      </c>
    </row>
    <row r="1925" ht="15" customHeight="1" s="63">
      <c r="A1925" s="85">
        <f>IF($B1925="","",ROW()-5)</f>
        <v/>
      </c>
      <c r="B1925" s="97" t="n"/>
      <c r="C1925" s="96">
        <f>IF($B1925="","",IFERROR(INDEX(DM_NHAN_SU!$C$6:$C$155,MATCH($B1925,DM_NHAN_SU!$B$6:$B$155,0)),"SAI MÃ NV"))</f>
        <v/>
      </c>
      <c r="D1925" s="86" t="n"/>
      <c r="E1925" s="103">
        <f>IF(OR($B1925="",$D1925=""),"",IF(COUNTIF(THAM_SO_CC!$F$10:$F$40,$D1925)&gt;0,"Lễ",IF(IF(THAM_SO_CC!$B$12="T7+CN",WEEKDAY($D1925,2)&gt;=6,WEEKDAY($D1925,2)=7),"Nghỉ tuần","Ngày thường")))</f>
        <v/>
      </c>
      <c r="F1925" s="107" t="n"/>
      <c r="G1925" s="107" t="n"/>
      <c r="H1925" s="107" t="n"/>
      <c r="I1925" s="81" t="n"/>
      <c r="J1925" s="108">
        <f>IF($B1925="","",IF($E1925="Ngày thường",N($G1925),0))</f>
        <v/>
      </c>
      <c r="K1925" s="108">
        <f>IF($B1925="","",IF($E1925="Nghỉ tuần",N($G1925),0))</f>
        <v/>
      </c>
      <c r="L1925" s="108">
        <f>IF($B1925="","",IF($E1925="Lễ",N($G1925),0))</f>
        <v/>
      </c>
      <c r="M1925" s="108">
        <f>IF($B1925="","",IF($E1925="Ngày thường",N($H1925),0))</f>
        <v/>
      </c>
      <c r="N1925" s="108">
        <f>IF($B1925="","",IF($E1925="Nghỉ tuần",N($H1925),0))</f>
        <v/>
      </c>
      <c r="O1925" s="108">
        <f>IF($B1925="","",IF($E1925="Lễ",N($H1925),0))</f>
        <v/>
      </c>
    </row>
    <row r="1926" ht="15" customHeight="1" s="63">
      <c r="A1926" s="85">
        <f>IF($B1926="","",ROW()-5)</f>
        <v/>
      </c>
      <c r="B1926" s="97" t="n"/>
      <c r="C1926" s="96">
        <f>IF($B1926="","",IFERROR(INDEX(DM_NHAN_SU!$C$6:$C$155,MATCH($B1926,DM_NHAN_SU!$B$6:$B$155,0)),"SAI MÃ NV"))</f>
        <v/>
      </c>
      <c r="D1926" s="86" t="n"/>
      <c r="E1926" s="103">
        <f>IF(OR($B1926="",$D1926=""),"",IF(COUNTIF(THAM_SO_CC!$F$10:$F$40,$D1926)&gt;0,"Lễ",IF(IF(THAM_SO_CC!$B$12="T7+CN",WEEKDAY($D1926,2)&gt;=6,WEEKDAY($D1926,2)=7),"Nghỉ tuần","Ngày thường")))</f>
        <v/>
      </c>
      <c r="F1926" s="107" t="n"/>
      <c r="G1926" s="107" t="n"/>
      <c r="H1926" s="107" t="n"/>
      <c r="I1926" s="81" t="n"/>
      <c r="J1926" s="108">
        <f>IF($B1926="","",IF($E1926="Ngày thường",N($G1926),0))</f>
        <v/>
      </c>
      <c r="K1926" s="108">
        <f>IF($B1926="","",IF($E1926="Nghỉ tuần",N($G1926),0))</f>
        <v/>
      </c>
      <c r="L1926" s="108">
        <f>IF($B1926="","",IF($E1926="Lễ",N($G1926),0))</f>
        <v/>
      </c>
      <c r="M1926" s="108">
        <f>IF($B1926="","",IF($E1926="Ngày thường",N($H1926),0))</f>
        <v/>
      </c>
      <c r="N1926" s="108">
        <f>IF($B1926="","",IF($E1926="Nghỉ tuần",N($H1926),0))</f>
        <v/>
      </c>
      <c r="O1926" s="108">
        <f>IF($B1926="","",IF($E1926="Lễ",N($H1926),0))</f>
        <v/>
      </c>
    </row>
    <row r="1927" ht="15" customHeight="1" s="63">
      <c r="A1927" s="85">
        <f>IF($B1927="","",ROW()-5)</f>
        <v/>
      </c>
      <c r="B1927" s="97" t="n"/>
      <c r="C1927" s="96">
        <f>IF($B1927="","",IFERROR(INDEX(DM_NHAN_SU!$C$6:$C$155,MATCH($B1927,DM_NHAN_SU!$B$6:$B$155,0)),"SAI MÃ NV"))</f>
        <v/>
      </c>
      <c r="D1927" s="86" t="n"/>
      <c r="E1927" s="103">
        <f>IF(OR($B1927="",$D1927=""),"",IF(COUNTIF(THAM_SO_CC!$F$10:$F$40,$D1927)&gt;0,"Lễ",IF(IF(THAM_SO_CC!$B$12="T7+CN",WEEKDAY($D1927,2)&gt;=6,WEEKDAY($D1927,2)=7),"Nghỉ tuần","Ngày thường")))</f>
        <v/>
      </c>
      <c r="F1927" s="107" t="n"/>
      <c r="G1927" s="107" t="n"/>
      <c r="H1927" s="107" t="n"/>
      <c r="I1927" s="81" t="n"/>
      <c r="J1927" s="108">
        <f>IF($B1927="","",IF($E1927="Ngày thường",N($G1927),0))</f>
        <v/>
      </c>
      <c r="K1927" s="108">
        <f>IF($B1927="","",IF($E1927="Nghỉ tuần",N($G1927),0))</f>
        <v/>
      </c>
      <c r="L1927" s="108">
        <f>IF($B1927="","",IF($E1927="Lễ",N($G1927),0))</f>
        <v/>
      </c>
      <c r="M1927" s="108">
        <f>IF($B1927="","",IF($E1927="Ngày thường",N($H1927),0))</f>
        <v/>
      </c>
      <c r="N1927" s="108">
        <f>IF($B1927="","",IF($E1927="Nghỉ tuần",N($H1927),0))</f>
        <v/>
      </c>
      <c r="O1927" s="108">
        <f>IF($B1927="","",IF($E1927="Lễ",N($H1927),0))</f>
        <v/>
      </c>
    </row>
    <row r="1928" ht="15" customHeight="1" s="63">
      <c r="A1928" s="85">
        <f>IF($B1928="","",ROW()-5)</f>
        <v/>
      </c>
      <c r="B1928" s="97" t="n"/>
      <c r="C1928" s="96">
        <f>IF($B1928="","",IFERROR(INDEX(DM_NHAN_SU!$C$6:$C$155,MATCH($B1928,DM_NHAN_SU!$B$6:$B$155,0)),"SAI MÃ NV"))</f>
        <v/>
      </c>
      <c r="D1928" s="86" t="n"/>
      <c r="E1928" s="103">
        <f>IF(OR($B1928="",$D1928=""),"",IF(COUNTIF(THAM_SO_CC!$F$10:$F$40,$D1928)&gt;0,"Lễ",IF(IF(THAM_SO_CC!$B$12="T7+CN",WEEKDAY($D1928,2)&gt;=6,WEEKDAY($D1928,2)=7),"Nghỉ tuần","Ngày thường")))</f>
        <v/>
      </c>
      <c r="F1928" s="107" t="n"/>
      <c r="G1928" s="107" t="n"/>
      <c r="H1928" s="107" t="n"/>
      <c r="I1928" s="81" t="n"/>
      <c r="J1928" s="108">
        <f>IF($B1928="","",IF($E1928="Ngày thường",N($G1928),0))</f>
        <v/>
      </c>
      <c r="K1928" s="108">
        <f>IF($B1928="","",IF($E1928="Nghỉ tuần",N($G1928),0))</f>
        <v/>
      </c>
      <c r="L1928" s="108">
        <f>IF($B1928="","",IF($E1928="Lễ",N($G1928),0))</f>
        <v/>
      </c>
      <c r="M1928" s="108">
        <f>IF($B1928="","",IF($E1928="Ngày thường",N($H1928),0))</f>
        <v/>
      </c>
      <c r="N1928" s="108">
        <f>IF($B1928="","",IF($E1928="Nghỉ tuần",N($H1928),0))</f>
        <v/>
      </c>
      <c r="O1928" s="108">
        <f>IF($B1928="","",IF($E1928="Lễ",N($H1928),0))</f>
        <v/>
      </c>
    </row>
    <row r="1929" ht="15" customHeight="1" s="63">
      <c r="A1929" s="85">
        <f>IF($B1929="","",ROW()-5)</f>
        <v/>
      </c>
      <c r="B1929" s="97" t="n"/>
      <c r="C1929" s="96">
        <f>IF($B1929="","",IFERROR(INDEX(DM_NHAN_SU!$C$6:$C$155,MATCH($B1929,DM_NHAN_SU!$B$6:$B$155,0)),"SAI MÃ NV"))</f>
        <v/>
      </c>
      <c r="D1929" s="86" t="n"/>
      <c r="E1929" s="103">
        <f>IF(OR($B1929="",$D1929=""),"",IF(COUNTIF(THAM_SO_CC!$F$10:$F$40,$D1929)&gt;0,"Lễ",IF(IF(THAM_SO_CC!$B$12="T7+CN",WEEKDAY($D1929,2)&gt;=6,WEEKDAY($D1929,2)=7),"Nghỉ tuần","Ngày thường")))</f>
        <v/>
      </c>
      <c r="F1929" s="107" t="n"/>
      <c r="G1929" s="107" t="n"/>
      <c r="H1929" s="107" t="n"/>
      <c r="I1929" s="81" t="n"/>
      <c r="J1929" s="108">
        <f>IF($B1929="","",IF($E1929="Ngày thường",N($G1929),0))</f>
        <v/>
      </c>
      <c r="K1929" s="108">
        <f>IF($B1929="","",IF($E1929="Nghỉ tuần",N($G1929),0))</f>
        <v/>
      </c>
      <c r="L1929" s="108">
        <f>IF($B1929="","",IF($E1929="Lễ",N($G1929),0))</f>
        <v/>
      </c>
      <c r="M1929" s="108">
        <f>IF($B1929="","",IF($E1929="Ngày thường",N($H1929),0))</f>
        <v/>
      </c>
      <c r="N1929" s="108">
        <f>IF($B1929="","",IF($E1929="Nghỉ tuần",N($H1929),0))</f>
        <v/>
      </c>
      <c r="O1929" s="108">
        <f>IF($B1929="","",IF($E1929="Lễ",N($H1929),0))</f>
        <v/>
      </c>
    </row>
    <row r="1930" ht="15" customHeight="1" s="63">
      <c r="A1930" s="85">
        <f>IF($B1930="","",ROW()-5)</f>
        <v/>
      </c>
      <c r="B1930" s="97" t="n"/>
      <c r="C1930" s="96">
        <f>IF($B1930="","",IFERROR(INDEX(DM_NHAN_SU!$C$6:$C$155,MATCH($B1930,DM_NHAN_SU!$B$6:$B$155,0)),"SAI MÃ NV"))</f>
        <v/>
      </c>
      <c r="D1930" s="86" t="n"/>
      <c r="E1930" s="103">
        <f>IF(OR($B1930="",$D1930=""),"",IF(COUNTIF(THAM_SO_CC!$F$10:$F$40,$D1930)&gt;0,"Lễ",IF(IF(THAM_SO_CC!$B$12="T7+CN",WEEKDAY($D1930,2)&gt;=6,WEEKDAY($D1930,2)=7),"Nghỉ tuần","Ngày thường")))</f>
        <v/>
      </c>
      <c r="F1930" s="107" t="n"/>
      <c r="G1930" s="107" t="n"/>
      <c r="H1930" s="107" t="n"/>
      <c r="I1930" s="81" t="n"/>
      <c r="J1930" s="108">
        <f>IF($B1930="","",IF($E1930="Ngày thường",N($G1930),0))</f>
        <v/>
      </c>
      <c r="K1930" s="108">
        <f>IF($B1930="","",IF($E1930="Nghỉ tuần",N($G1930),0))</f>
        <v/>
      </c>
      <c r="L1930" s="108">
        <f>IF($B1930="","",IF($E1930="Lễ",N($G1930),0))</f>
        <v/>
      </c>
      <c r="M1930" s="108">
        <f>IF($B1930="","",IF($E1930="Ngày thường",N($H1930),0))</f>
        <v/>
      </c>
      <c r="N1930" s="108">
        <f>IF($B1930="","",IF($E1930="Nghỉ tuần",N($H1930),0))</f>
        <v/>
      </c>
      <c r="O1930" s="108">
        <f>IF($B1930="","",IF($E1930="Lễ",N($H1930),0))</f>
        <v/>
      </c>
    </row>
    <row r="1931" ht="15" customHeight="1" s="63">
      <c r="A1931" s="85">
        <f>IF($B1931="","",ROW()-5)</f>
        <v/>
      </c>
      <c r="B1931" s="97" t="n"/>
      <c r="C1931" s="96">
        <f>IF($B1931="","",IFERROR(INDEX(DM_NHAN_SU!$C$6:$C$155,MATCH($B1931,DM_NHAN_SU!$B$6:$B$155,0)),"SAI MÃ NV"))</f>
        <v/>
      </c>
      <c r="D1931" s="86" t="n"/>
      <c r="E1931" s="103">
        <f>IF(OR($B1931="",$D1931=""),"",IF(COUNTIF(THAM_SO_CC!$F$10:$F$40,$D1931)&gt;0,"Lễ",IF(IF(THAM_SO_CC!$B$12="T7+CN",WEEKDAY($D1931,2)&gt;=6,WEEKDAY($D1931,2)=7),"Nghỉ tuần","Ngày thường")))</f>
        <v/>
      </c>
      <c r="F1931" s="107" t="n"/>
      <c r="G1931" s="107" t="n"/>
      <c r="H1931" s="107" t="n"/>
      <c r="I1931" s="81" t="n"/>
      <c r="J1931" s="108">
        <f>IF($B1931="","",IF($E1931="Ngày thường",N($G1931),0))</f>
        <v/>
      </c>
      <c r="K1931" s="108">
        <f>IF($B1931="","",IF($E1931="Nghỉ tuần",N($G1931),0))</f>
        <v/>
      </c>
      <c r="L1931" s="108">
        <f>IF($B1931="","",IF($E1931="Lễ",N($G1931),0))</f>
        <v/>
      </c>
      <c r="M1931" s="108">
        <f>IF($B1931="","",IF($E1931="Ngày thường",N($H1931),0))</f>
        <v/>
      </c>
      <c r="N1931" s="108">
        <f>IF($B1931="","",IF($E1931="Nghỉ tuần",N($H1931),0))</f>
        <v/>
      </c>
      <c r="O1931" s="108">
        <f>IF($B1931="","",IF($E1931="Lễ",N($H1931),0))</f>
        <v/>
      </c>
    </row>
    <row r="1932" ht="15" customHeight="1" s="63">
      <c r="A1932" s="85">
        <f>IF($B1932="","",ROW()-5)</f>
        <v/>
      </c>
      <c r="B1932" s="97" t="n"/>
      <c r="C1932" s="96">
        <f>IF($B1932="","",IFERROR(INDEX(DM_NHAN_SU!$C$6:$C$155,MATCH($B1932,DM_NHAN_SU!$B$6:$B$155,0)),"SAI MÃ NV"))</f>
        <v/>
      </c>
      <c r="D1932" s="86" t="n"/>
      <c r="E1932" s="103">
        <f>IF(OR($B1932="",$D1932=""),"",IF(COUNTIF(THAM_SO_CC!$F$10:$F$40,$D1932)&gt;0,"Lễ",IF(IF(THAM_SO_CC!$B$12="T7+CN",WEEKDAY($D1932,2)&gt;=6,WEEKDAY($D1932,2)=7),"Nghỉ tuần","Ngày thường")))</f>
        <v/>
      </c>
      <c r="F1932" s="107" t="n"/>
      <c r="G1932" s="107" t="n"/>
      <c r="H1932" s="107" t="n"/>
      <c r="I1932" s="81" t="n"/>
      <c r="J1932" s="108">
        <f>IF($B1932="","",IF($E1932="Ngày thường",N($G1932),0))</f>
        <v/>
      </c>
      <c r="K1932" s="108">
        <f>IF($B1932="","",IF($E1932="Nghỉ tuần",N($G1932),0))</f>
        <v/>
      </c>
      <c r="L1932" s="108">
        <f>IF($B1932="","",IF($E1932="Lễ",N($G1932),0))</f>
        <v/>
      </c>
      <c r="M1932" s="108">
        <f>IF($B1932="","",IF($E1932="Ngày thường",N($H1932),0))</f>
        <v/>
      </c>
      <c r="N1932" s="108">
        <f>IF($B1932="","",IF($E1932="Nghỉ tuần",N($H1932),0))</f>
        <v/>
      </c>
      <c r="O1932" s="108">
        <f>IF($B1932="","",IF($E1932="Lễ",N($H1932),0))</f>
        <v/>
      </c>
    </row>
    <row r="1933" ht="15" customHeight="1" s="63">
      <c r="A1933" s="85">
        <f>IF($B1933="","",ROW()-5)</f>
        <v/>
      </c>
      <c r="B1933" s="97" t="n"/>
      <c r="C1933" s="96">
        <f>IF($B1933="","",IFERROR(INDEX(DM_NHAN_SU!$C$6:$C$155,MATCH($B1933,DM_NHAN_SU!$B$6:$B$155,0)),"SAI MÃ NV"))</f>
        <v/>
      </c>
      <c r="D1933" s="86" t="n"/>
      <c r="E1933" s="103">
        <f>IF(OR($B1933="",$D1933=""),"",IF(COUNTIF(THAM_SO_CC!$F$10:$F$40,$D1933)&gt;0,"Lễ",IF(IF(THAM_SO_CC!$B$12="T7+CN",WEEKDAY($D1933,2)&gt;=6,WEEKDAY($D1933,2)=7),"Nghỉ tuần","Ngày thường")))</f>
        <v/>
      </c>
      <c r="F1933" s="107" t="n"/>
      <c r="G1933" s="107" t="n"/>
      <c r="H1933" s="107" t="n"/>
      <c r="I1933" s="81" t="n"/>
      <c r="J1933" s="108">
        <f>IF($B1933="","",IF($E1933="Ngày thường",N($G1933),0))</f>
        <v/>
      </c>
      <c r="K1933" s="108">
        <f>IF($B1933="","",IF($E1933="Nghỉ tuần",N($G1933),0))</f>
        <v/>
      </c>
      <c r="L1933" s="108">
        <f>IF($B1933="","",IF($E1933="Lễ",N($G1933),0))</f>
        <v/>
      </c>
      <c r="M1933" s="108">
        <f>IF($B1933="","",IF($E1933="Ngày thường",N($H1933),0))</f>
        <v/>
      </c>
      <c r="N1933" s="108">
        <f>IF($B1933="","",IF($E1933="Nghỉ tuần",N($H1933),0))</f>
        <v/>
      </c>
      <c r="O1933" s="108">
        <f>IF($B1933="","",IF($E1933="Lễ",N($H1933),0))</f>
        <v/>
      </c>
    </row>
    <row r="1934" ht="15" customHeight="1" s="63">
      <c r="A1934" s="85">
        <f>IF($B1934="","",ROW()-5)</f>
        <v/>
      </c>
      <c r="B1934" s="97" t="n"/>
      <c r="C1934" s="96">
        <f>IF($B1934="","",IFERROR(INDEX(DM_NHAN_SU!$C$6:$C$155,MATCH($B1934,DM_NHAN_SU!$B$6:$B$155,0)),"SAI MÃ NV"))</f>
        <v/>
      </c>
      <c r="D1934" s="86" t="n"/>
      <c r="E1934" s="103">
        <f>IF(OR($B1934="",$D1934=""),"",IF(COUNTIF(THAM_SO_CC!$F$10:$F$40,$D1934)&gt;0,"Lễ",IF(IF(THAM_SO_CC!$B$12="T7+CN",WEEKDAY($D1934,2)&gt;=6,WEEKDAY($D1934,2)=7),"Nghỉ tuần","Ngày thường")))</f>
        <v/>
      </c>
      <c r="F1934" s="107" t="n"/>
      <c r="G1934" s="107" t="n"/>
      <c r="H1934" s="107" t="n"/>
      <c r="I1934" s="81" t="n"/>
      <c r="J1934" s="108">
        <f>IF($B1934="","",IF($E1934="Ngày thường",N($G1934),0))</f>
        <v/>
      </c>
      <c r="K1934" s="108">
        <f>IF($B1934="","",IF($E1934="Nghỉ tuần",N($G1934),0))</f>
        <v/>
      </c>
      <c r="L1934" s="108">
        <f>IF($B1934="","",IF($E1934="Lễ",N($G1934),0))</f>
        <v/>
      </c>
      <c r="M1934" s="108">
        <f>IF($B1934="","",IF($E1934="Ngày thường",N($H1934),0))</f>
        <v/>
      </c>
      <c r="N1934" s="108">
        <f>IF($B1934="","",IF($E1934="Nghỉ tuần",N($H1934),0))</f>
        <v/>
      </c>
      <c r="O1934" s="108">
        <f>IF($B1934="","",IF($E1934="Lễ",N($H1934),0))</f>
        <v/>
      </c>
    </row>
    <row r="1935" ht="15" customHeight="1" s="63">
      <c r="A1935" s="85">
        <f>IF($B1935="","",ROW()-5)</f>
        <v/>
      </c>
      <c r="B1935" s="97" t="n"/>
      <c r="C1935" s="96">
        <f>IF($B1935="","",IFERROR(INDEX(DM_NHAN_SU!$C$6:$C$155,MATCH($B1935,DM_NHAN_SU!$B$6:$B$155,0)),"SAI MÃ NV"))</f>
        <v/>
      </c>
      <c r="D1935" s="86" t="n"/>
      <c r="E1935" s="103">
        <f>IF(OR($B1935="",$D1935=""),"",IF(COUNTIF(THAM_SO_CC!$F$10:$F$40,$D1935)&gt;0,"Lễ",IF(IF(THAM_SO_CC!$B$12="T7+CN",WEEKDAY($D1935,2)&gt;=6,WEEKDAY($D1935,2)=7),"Nghỉ tuần","Ngày thường")))</f>
        <v/>
      </c>
      <c r="F1935" s="107" t="n"/>
      <c r="G1935" s="107" t="n"/>
      <c r="H1935" s="107" t="n"/>
      <c r="I1935" s="81" t="n"/>
      <c r="J1935" s="108">
        <f>IF($B1935="","",IF($E1935="Ngày thường",N($G1935),0))</f>
        <v/>
      </c>
      <c r="K1935" s="108">
        <f>IF($B1935="","",IF($E1935="Nghỉ tuần",N($G1935),0))</f>
        <v/>
      </c>
      <c r="L1935" s="108">
        <f>IF($B1935="","",IF($E1935="Lễ",N($G1935),0))</f>
        <v/>
      </c>
      <c r="M1935" s="108">
        <f>IF($B1935="","",IF($E1935="Ngày thường",N($H1935),0))</f>
        <v/>
      </c>
      <c r="N1935" s="108">
        <f>IF($B1935="","",IF($E1935="Nghỉ tuần",N($H1935),0))</f>
        <v/>
      </c>
      <c r="O1935" s="108">
        <f>IF($B1935="","",IF($E1935="Lễ",N($H1935),0))</f>
        <v/>
      </c>
    </row>
    <row r="1936" ht="15" customHeight="1" s="63">
      <c r="A1936" s="85">
        <f>IF($B1936="","",ROW()-5)</f>
        <v/>
      </c>
      <c r="B1936" s="97" t="n"/>
      <c r="C1936" s="96">
        <f>IF($B1936="","",IFERROR(INDEX(DM_NHAN_SU!$C$6:$C$155,MATCH($B1936,DM_NHAN_SU!$B$6:$B$155,0)),"SAI MÃ NV"))</f>
        <v/>
      </c>
      <c r="D1936" s="86" t="n"/>
      <c r="E1936" s="103">
        <f>IF(OR($B1936="",$D1936=""),"",IF(COUNTIF(THAM_SO_CC!$F$10:$F$40,$D1936)&gt;0,"Lễ",IF(IF(THAM_SO_CC!$B$12="T7+CN",WEEKDAY($D1936,2)&gt;=6,WEEKDAY($D1936,2)=7),"Nghỉ tuần","Ngày thường")))</f>
        <v/>
      </c>
      <c r="F1936" s="107" t="n"/>
      <c r="G1936" s="107" t="n"/>
      <c r="H1936" s="107" t="n"/>
      <c r="I1936" s="81" t="n"/>
      <c r="J1936" s="108">
        <f>IF($B1936="","",IF($E1936="Ngày thường",N($G1936),0))</f>
        <v/>
      </c>
      <c r="K1936" s="108">
        <f>IF($B1936="","",IF($E1936="Nghỉ tuần",N($G1936),0))</f>
        <v/>
      </c>
      <c r="L1936" s="108">
        <f>IF($B1936="","",IF($E1936="Lễ",N($G1936),0))</f>
        <v/>
      </c>
      <c r="M1936" s="108">
        <f>IF($B1936="","",IF($E1936="Ngày thường",N($H1936),0))</f>
        <v/>
      </c>
      <c r="N1936" s="108">
        <f>IF($B1936="","",IF($E1936="Nghỉ tuần",N($H1936),0))</f>
        <v/>
      </c>
      <c r="O1936" s="108">
        <f>IF($B1936="","",IF($E1936="Lễ",N($H1936),0))</f>
        <v/>
      </c>
    </row>
    <row r="1937" ht="15" customHeight="1" s="63">
      <c r="A1937" s="85">
        <f>IF($B1937="","",ROW()-5)</f>
        <v/>
      </c>
      <c r="B1937" s="97" t="n"/>
      <c r="C1937" s="96">
        <f>IF($B1937="","",IFERROR(INDEX(DM_NHAN_SU!$C$6:$C$155,MATCH($B1937,DM_NHAN_SU!$B$6:$B$155,0)),"SAI MÃ NV"))</f>
        <v/>
      </c>
      <c r="D1937" s="86" t="n"/>
      <c r="E1937" s="103">
        <f>IF(OR($B1937="",$D1937=""),"",IF(COUNTIF(THAM_SO_CC!$F$10:$F$40,$D1937)&gt;0,"Lễ",IF(IF(THAM_SO_CC!$B$12="T7+CN",WEEKDAY($D1937,2)&gt;=6,WEEKDAY($D1937,2)=7),"Nghỉ tuần","Ngày thường")))</f>
        <v/>
      </c>
      <c r="F1937" s="107" t="n"/>
      <c r="G1937" s="107" t="n"/>
      <c r="H1937" s="107" t="n"/>
      <c r="I1937" s="81" t="n"/>
      <c r="J1937" s="108">
        <f>IF($B1937="","",IF($E1937="Ngày thường",N($G1937),0))</f>
        <v/>
      </c>
      <c r="K1937" s="108">
        <f>IF($B1937="","",IF($E1937="Nghỉ tuần",N($G1937),0))</f>
        <v/>
      </c>
      <c r="L1937" s="108">
        <f>IF($B1937="","",IF($E1937="Lễ",N($G1937),0))</f>
        <v/>
      </c>
      <c r="M1937" s="108">
        <f>IF($B1937="","",IF($E1937="Ngày thường",N($H1937),0))</f>
        <v/>
      </c>
      <c r="N1937" s="108">
        <f>IF($B1937="","",IF($E1937="Nghỉ tuần",N($H1937),0))</f>
        <v/>
      </c>
      <c r="O1937" s="108">
        <f>IF($B1937="","",IF($E1937="Lễ",N($H1937),0))</f>
        <v/>
      </c>
    </row>
    <row r="1938" ht="15" customHeight="1" s="63">
      <c r="A1938" s="85">
        <f>IF($B1938="","",ROW()-5)</f>
        <v/>
      </c>
      <c r="B1938" s="97" t="n"/>
      <c r="C1938" s="96">
        <f>IF($B1938="","",IFERROR(INDEX(DM_NHAN_SU!$C$6:$C$155,MATCH($B1938,DM_NHAN_SU!$B$6:$B$155,0)),"SAI MÃ NV"))</f>
        <v/>
      </c>
      <c r="D1938" s="86" t="n"/>
      <c r="E1938" s="103">
        <f>IF(OR($B1938="",$D1938=""),"",IF(COUNTIF(THAM_SO_CC!$F$10:$F$40,$D1938)&gt;0,"Lễ",IF(IF(THAM_SO_CC!$B$12="T7+CN",WEEKDAY($D1938,2)&gt;=6,WEEKDAY($D1938,2)=7),"Nghỉ tuần","Ngày thường")))</f>
        <v/>
      </c>
      <c r="F1938" s="107" t="n"/>
      <c r="G1938" s="107" t="n"/>
      <c r="H1938" s="107" t="n"/>
      <c r="I1938" s="81" t="n"/>
      <c r="J1938" s="108">
        <f>IF($B1938="","",IF($E1938="Ngày thường",N($G1938),0))</f>
        <v/>
      </c>
      <c r="K1938" s="108">
        <f>IF($B1938="","",IF($E1938="Nghỉ tuần",N($G1938),0))</f>
        <v/>
      </c>
      <c r="L1938" s="108">
        <f>IF($B1938="","",IF($E1938="Lễ",N($G1938),0))</f>
        <v/>
      </c>
      <c r="M1938" s="108">
        <f>IF($B1938="","",IF($E1938="Ngày thường",N($H1938),0))</f>
        <v/>
      </c>
      <c r="N1938" s="108">
        <f>IF($B1938="","",IF($E1938="Nghỉ tuần",N($H1938),0))</f>
        <v/>
      </c>
      <c r="O1938" s="108">
        <f>IF($B1938="","",IF($E1938="Lễ",N($H1938),0))</f>
        <v/>
      </c>
    </row>
    <row r="1939" ht="15" customHeight="1" s="63">
      <c r="A1939" s="85">
        <f>IF($B1939="","",ROW()-5)</f>
        <v/>
      </c>
      <c r="B1939" s="97" t="n"/>
      <c r="C1939" s="96">
        <f>IF($B1939="","",IFERROR(INDEX(DM_NHAN_SU!$C$6:$C$155,MATCH($B1939,DM_NHAN_SU!$B$6:$B$155,0)),"SAI MÃ NV"))</f>
        <v/>
      </c>
      <c r="D1939" s="86" t="n"/>
      <c r="E1939" s="103">
        <f>IF(OR($B1939="",$D1939=""),"",IF(COUNTIF(THAM_SO_CC!$F$10:$F$40,$D1939)&gt;0,"Lễ",IF(IF(THAM_SO_CC!$B$12="T7+CN",WEEKDAY($D1939,2)&gt;=6,WEEKDAY($D1939,2)=7),"Nghỉ tuần","Ngày thường")))</f>
        <v/>
      </c>
      <c r="F1939" s="107" t="n"/>
      <c r="G1939" s="107" t="n"/>
      <c r="H1939" s="107" t="n"/>
      <c r="I1939" s="81" t="n"/>
      <c r="J1939" s="108">
        <f>IF($B1939="","",IF($E1939="Ngày thường",N($G1939),0))</f>
        <v/>
      </c>
      <c r="K1939" s="108">
        <f>IF($B1939="","",IF($E1939="Nghỉ tuần",N($G1939),0))</f>
        <v/>
      </c>
      <c r="L1939" s="108">
        <f>IF($B1939="","",IF($E1939="Lễ",N($G1939),0))</f>
        <v/>
      </c>
      <c r="M1939" s="108">
        <f>IF($B1939="","",IF($E1939="Ngày thường",N($H1939),0))</f>
        <v/>
      </c>
      <c r="N1939" s="108">
        <f>IF($B1939="","",IF($E1939="Nghỉ tuần",N($H1939),0))</f>
        <v/>
      </c>
      <c r="O1939" s="108">
        <f>IF($B1939="","",IF($E1939="Lễ",N($H1939),0))</f>
        <v/>
      </c>
    </row>
    <row r="1940" ht="15" customHeight="1" s="63">
      <c r="A1940" s="85">
        <f>IF($B1940="","",ROW()-5)</f>
        <v/>
      </c>
      <c r="B1940" s="97" t="n"/>
      <c r="C1940" s="96">
        <f>IF($B1940="","",IFERROR(INDEX(DM_NHAN_SU!$C$6:$C$155,MATCH($B1940,DM_NHAN_SU!$B$6:$B$155,0)),"SAI MÃ NV"))</f>
        <v/>
      </c>
      <c r="D1940" s="86" t="n"/>
      <c r="E1940" s="103">
        <f>IF(OR($B1940="",$D1940=""),"",IF(COUNTIF(THAM_SO_CC!$F$10:$F$40,$D1940)&gt;0,"Lễ",IF(IF(THAM_SO_CC!$B$12="T7+CN",WEEKDAY($D1940,2)&gt;=6,WEEKDAY($D1940,2)=7),"Nghỉ tuần","Ngày thường")))</f>
        <v/>
      </c>
      <c r="F1940" s="107" t="n"/>
      <c r="G1940" s="107" t="n"/>
      <c r="H1940" s="107" t="n"/>
      <c r="I1940" s="81" t="n"/>
      <c r="J1940" s="108">
        <f>IF($B1940="","",IF($E1940="Ngày thường",N($G1940),0))</f>
        <v/>
      </c>
      <c r="K1940" s="108">
        <f>IF($B1940="","",IF($E1940="Nghỉ tuần",N($G1940),0))</f>
        <v/>
      </c>
      <c r="L1940" s="108">
        <f>IF($B1940="","",IF($E1940="Lễ",N($G1940),0))</f>
        <v/>
      </c>
      <c r="M1940" s="108">
        <f>IF($B1940="","",IF($E1940="Ngày thường",N($H1940),0))</f>
        <v/>
      </c>
      <c r="N1940" s="108">
        <f>IF($B1940="","",IF($E1940="Nghỉ tuần",N($H1940),0))</f>
        <v/>
      </c>
      <c r="O1940" s="108">
        <f>IF($B1940="","",IF($E1940="Lễ",N($H1940),0))</f>
        <v/>
      </c>
    </row>
    <row r="1941" ht="15" customHeight="1" s="63">
      <c r="A1941" s="85">
        <f>IF($B1941="","",ROW()-5)</f>
        <v/>
      </c>
      <c r="B1941" s="97" t="n"/>
      <c r="C1941" s="96">
        <f>IF($B1941="","",IFERROR(INDEX(DM_NHAN_SU!$C$6:$C$155,MATCH($B1941,DM_NHAN_SU!$B$6:$B$155,0)),"SAI MÃ NV"))</f>
        <v/>
      </c>
      <c r="D1941" s="86" t="n"/>
      <c r="E1941" s="103">
        <f>IF(OR($B1941="",$D1941=""),"",IF(COUNTIF(THAM_SO_CC!$F$10:$F$40,$D1941)&gt;0,"Lễ",IF(IF(THAM_SO_CC!$B$12="T7+CN",WEEKDAY($D1941,2)&gt;=6,WEEKDAY($D1941,2)=7),"Nghỉ tuần","Ngày thường")))</f>
        <v/>
      </c>
      <c r="F1941" s="107" t="n"/>
      <c r="G1941" s="107" t="n"/>
      <c r="H1941" s="107" t="n"/>
      <c r="I1941" s="81" t="n"/>
      <c r="J1941" s="108">
        <f>IF($B1941="","",IF($E1941="Ngày thường",N($G1941),0))</f>
        <v/>
      </c>
      <c r="K1941" s="108">
        <f>IF($B1941="","",IF($E1941="Nghỉ tuần",N($G1941),0))</f>
        <v/>
      </c>
      <c r="L1941" s="108">
        <f>IF($B1941="","",IF($E1941="Lễ",N($G1941),0))</f>
        <v/>
      </c>
      <c r="M1941" s="108">
        <f>IF($B1941="","",IF($E1941="Ngày thường",N($H1941),0))</f>
        <v/>
      </c>
      <c r="N1941" s="108">
        <f>IF($B1941="","",IF($E1941="Nghỉ tuần",N($H1941),0))</f>
        <v/>
      </c>
      <c r="O1941" s="108">
        <f>IF($B1941="","",IF($E1941="Lễ",N($H1941),0))</f>
        <v/>
      </c>
    </row>
    <row r="1942" ht="15" customHeight="1" s="63">
      <c r="A1942" s="85">
        <f>IF($B1942="","",ROW()-5)</f>
        <v/>
      </c>
      <c r="B1942" s="97" t="n"/>
      <c r="C1942" s="96">
        <f>IF($B1942="","",IFERROR(INDEX(DM_NHAN_SU!$C$6:$C$155,MATCH($B1942,DM_NHAN_SU!$B$6:$B$155,0)),"SAI MÃ NV"))</f>
        <v/>
      </c>
      <c r="D1942" s="86" t="n"/>
      <c r="E1942" s="103">
        <f>IF(OR($B1942="",$D1942=""),"",IF(COUNTIF(THAM_SO_CC!$F$10:$F$40,$D1942)&gt;0,"Lễ",IF(IF(THAM_SO_CC!$B$12="T7+CN",WEEKDAY($D1942,2)&gt;=6,WEEKDAY($D1942,2)=7),"Nghỉ tuần","Ngày thường")))</f>
        <v/>
      </c>
      <c r="F1942" s="107" t="n"/>
      <c r="G1942" s="107" t="n"/>
      <c r="H1942" s="107" t="n"/>
      <c r="I1942" s="81" t="n"/>
      <c r="J1942" s="108">
        <f>IF($B1942="","",IF($E1942="Ngày thường",N($G1942),0))</f>
        <v/>
      </c>
      <c r="K1942" s="108">
        <f>IF($B1942="","",IF($E1942="Nghỉ tuần",N($G1942),0))</f>
        <v/>
      </c>
      <c r="L1942" s="108">
        <f>IF($B1942="","",IF($E1942="Lễ",N($G1942),0))</f>
        <v/>
      </c>
      <c r="M1942" s="108">
        <f>IF($B1942="","",IF($E1942="Ngày thường",N($H1942),0))</f>
        <v/>
      </c>
      <c r="N1942" s="108">
        <f>IF($B1942="","",IF($E1942="Nghỉ tuần",N($H1942),0))</f>
        <v/>
      </c>
      <c r="O1942" s="108">
        <f>IF($B1942="","",IF($E1942="Lễ",N($H1942),0))</f>
        <v/>
      </c>
    </row>
    <row r="1943" ht="15" customHeight="1" s="63">
      <c r="A1943" s="85">
        <f>IF($B1943="","",ROW()-5)</f>
        <v/>
      </c>
      <c r="B1943" s="97" t="n"/>
      <c r="C1943" s="96">
        <f>IF($B1943="","",IFERROR(INDEX(DM_NHAN_SU!$C$6:$C$155,MATCH($B1943,DM_NHAN_SU!$B$6:$B$155,0)),"SAI MÃ NV"))</f>
        <v/>
      </c>
      <c r="D1943" s="86" t="n"/>
      <c r="E1943" s="103">
        <f>IF(OR($B1943="",$D1943=""),"",IF(COUNTIF(THAM_SO_CC!$F$10:$F$40,$D1943)&gt;0,"Lễ",IF(IF(THAM_SO_CC!$B$12="T7+CN",WEEKDAY($D1943,2)&gt;=6,WEEKDAY($D1943,2)=7),"Nghỉ tuần","Ngày thường")))</f>
        <v/>
      </c>
      <c r="F1943" s="107" t="n"/>
      <c r="G1943" s="107" t="n"/>
      <c r="H1943" s="107" t="n"/>
      <c r="I1943" s="81" t="n"/>
      <c r="J1943" s="108">
        <f>IF($B1943="","",IF($E1943="Ngày thường",N($G1943),0))</f>
        <v/>
      </c>
      <c r="K1943" s="108">
        <f>IF($B1943="","",IF($E1943="Nghỉ tuần",N($G1943),0))</f>
        <v/>
      </c>
      <c r="L1943" s="108">
        <f>IF($B1943="","",IF($E1943="Lễ",N($G1943),0))</f>
        <v/>
      </c>
      <c r="M1943" s="108">
        <f>IF($B1943="","",IF($E1943="Ngày thường",N($H1943),0))</f>
        <v/>
      </c>
      <c r="N1943" s="108">
        <f>IF($B1943="","",IF($E1943="Nghỉ tuần",N($H1943),0))</f>
        <v/>
      </c>
      <c r="O1943" s="108">
        <f>IF($B1943="","",IF($E1943="Lễ",N($H1943),0))</f>
        <v/>
      </c>
    </row>
    <row r="1944" ht="15" customHeight="1" s="63">
      <c r="A1944" s="85">
        <f>IF($B1944="","",ROW()-5)</f>
        <v/>
      </c>
      <c r="B1944" s="97" t="n"/>
      <c r="C1944" s="96">
        <f>IF($B1944="","",IFERROR(INDEX(DM_NHAN_SU!$C$6:$C$155,MATCH($B1944,DM_NHAN_SU!$B$6:$B$155,0)),"SAI MÃ NV"))</f>
        <v/>
      </c>
      <c r="D1944" s="86" t="n"/>
      <c r="E1944" s="103">
        <f>IF(OR($B1944="",$D1944=""),"",IF(COUNTIF(THAM_SO_CC!$F$10:$F$40,$D1944)&gt;0,"Lễ",IF(IF(THAM_SO_CC!$B$12="T7+CN",WEEKDAY($D1944,2)&gt;=6,WEEKDAY($D1944,2)=7),"Nghỉ tuần","Ngày thường")))</f>
        <v/>
      </c>
      <c r="F1944" s="107" t="n"/>
      <c r="G1944" s="107" t="n"/>
      <c r="H1944" s="107" t="n"/>
      <c r="I1944" s="81" t="n"/>
      <c r="J1944" s="108">
        <f>IF($B1944="","",IF($E1944="Ngày thường",N($G1944),0))</f>
        <v/>
      </c>
      <c r="K1944" s="108">
        <f>IF($B1944="","",IF($E1944="Nghỉ tuần",N($G1944),0))</f>
        <v/>
      </c>
      <c r="L1944" s="108">
        <f>IF($B1944="","",IF($E1944="Lễ",N($G1944),0))</f>
        <v/>
      </c>
      <c r="M1944" s="108">
        <f>IF($B1944="","",IF($E1944="Ngày thường",N($H1944),0))</f>
        <v/>
      </c>
      <c r="N1944" s="108">
        <f>IF($B1944="","",IF($E1944="Nghỉ tuần",N($H1944),0))</f>
        <v/>
      </c>
      <c r="O1944" s="108">
        <f>IF($B1944="","",IF($E1944="Lễ",N($H1944),0))</f>
        <v/>
      </c>
    </row>
    <row r="1945" ht="15" customHeight="1" s="63">
      <c r="A1945" s="85">
        <f>IF($B1945="","",ROW()-5)</f>
        <v/>
      </c>
      <c r="B1945" s="97" t="n"/>
      <c r="C1945" s="96">
        <f>IF($B1945="","",IFERROR(INDEX(DM_NHAN_SU!$C$6:$C$155,MATCH($B1945,DM_NHAN_SU!$B$6:$B$155,0)),"SAI MÃ NV"))</f>
        <v/>
      </c>
      <c r="D1945" s="86" t="n"/>
      <c r="E1945" s="103">
        <f>IF(OR($B1945="",$D1945=""),"",IF(COUNTIF(THAM_SO_CC!$F$10:$F$40,$D1945)&gt;0,"Lễ",IF(IF(THAM_SO_CC!$B$12="T7+CN",WEEKDAY($D1945,2)&gt;=6,WEEKDAY($D1945,2)=7),"Nghỉ tuần","Ngày thường")))</f>
        <v/>
      </c>
      <c r="F1945" s="107" t="n"/>
      <c r="G1945" s="107" t="n"/>
      <c r="H1945" s="107" t="n"/>
      <c r="I1945" s="81" t="n"/>
      <c r="J1945" s="108">
        <f>IF($B1945="","",IF($E1945="Ngày thường",N($G1945),0))</f>
        <v/>
      </c>
      <c r="K1945" s="108">
        <f>IF($B1945="","",IF($E1945="Nghỉ tuần",N($G1945),0))</f>
        <v/>
      </c>
      <c r="L1945" s="108">
        <f>IF($B1945="","",IF($E1945="Lễ",N($G1945),0))</f>
        <v/>
      </c>
      <c r="M1945" s="108">
        <f>IF($B1945="","",IF($E1945="Ngày thường",N($H1945),0))</f>
        <v/>
      </c>
      <c r="N1945" s="108">
        <f>IF($B1945="","",IF($E1945="Nghỉ tuần",N($H1945),0))</f>
        <v/>
      </c>
      <c r="O1945" s="108">
        <f>IF($B1945="","",IF($E1945="Lễ",N($H1945),0))</f>
        <v/>
      </c>
    </row>
    <row r="1946" ht="15" customHeight="1" s="63">
      <c r="A1946" s="85">
        <f>IF($B1946="","",ROW()-5)</f>
        <v/>
      </c>
      <c r="B1946" s="97" t="n"/>
      <c r="C1946" s="96">
        <f>IF($B1946="","",IFERROR(INDEX(DM_NHAN_SU!$C$6:$C$155,MATCH($B1946,DM_NHAN_SU!$B$6:$B$155,0)),"SAI MÃ NV"))</f>
        <v/>
      </c>
      <c r="D1946" s="86" t="n"/>
      <c r="E1946" s="103">
        <f>IF(OR($B1946="",$D1946=""),"",IF(COUNTIF(THAM_SO_CC!$F$10:$F$40,$D1946)&gt;0,"Lễ",IF(IF(THAM_SO_CC!$B$12="T7+CN",WEEKDAY($D1946,2)&gt;=6,WEEKDAY($D1946,2)=7),"Nghỉ tuần","Ngày thường")))</f>
        <v/>
      </c>
      <c r="F1946" s="107" t="n"/>
      <c r="G1946" s="107" t="n"/>
      <c r="H1946" s="107" t="n"/>
      <c r="I1946" s="81" t="n"/>
      <c r="J1946" s="108">
        <f>IF($B1946="","",IF($E1946="Ngày thường",N($G1946),0))</f>
        <v/>
      </c>
      <c r="K1946" s="108">
        <f>IF($B1946="","",IF($E1946="Nghỉ tuần",N($G1946),0))</f>
        <v/>
      </c>
      <c r="L1946" s="108">
        <f>IF($B1946="","",IF($E1946="Lễ",N($G1946),0))</f>
        <v/>
      </c>
      <c r="M1946" s="108">
        <f>IF($B1946="","",IF($E1946="Ngày thường",N($H1946),0))</f>
        <v/>
      </c>
      <c r="N1946" s="108">
        <f>IF($B1946="","",IF($E1946="Nghỉ tuần",N($H1946),0))</f>
        <v/>
      </c>
      <c r="O1946" s="108">
        <f>IF($B1946="","",IF($E1946="Lễ",N($H1946),0))</f>
        <v/>
      </c>
    </row>
    <row r="1947" ht="15" customHeight="1" s="63">
      <c r="A1947" s="85">
        <f>IF($B1947="","",ROW()-5)</f>
        <v/>
      </c>
      <c r="B1947" s="97" t="n"/>
      <c r="C1947" s="96">
        <f>IF($B1947="","",IFERROR(INDEX(DM_NHAN_SU!$C$6:$C$155,MATCH($B1947,DM_NHAN_SU!$B$6:$B$155,0)),"SAI MÃ NV"))</f>
        <v/>
      </c>
      <c r="D1947" s="86" t="n"/>
      <c r="E1947" s="103">
        <f>IF(OR($B1947="",$D1947=""),"",IF(COUNTIF(THAM_SO_CC!$F$10:$F$40,$D1947)&gt;0,"Lễ",IF(IF(THAM_SO_CC!$B$12="T7+CN",WEEKDAY($D1947,2)&gt;=6,WEEKDAY($D1947,2)=7),"Nghỉ tuần","Ngày thường")))</f>
        <v/>
      </c>
      <c r="F1947" s="107" t="n"/>
      <c r="G1947" s="107" t="n"/>
      <c r="H1947" s="107" t="n"/>
      <c r="I1947" s="81" t="n"/>
      <c r="J1947" s="108">
        <f>IF($B1947="","",IF($E1947="Ngày thường",N($G1947),0))</f>
        <v/>
      </c>
      <c r="K1947" s="108">
        <f>IF($B1947="","",IF($E1947="Nghỉ tuần",N($G1947),0))</f>
        <v/>
      </c>
      <c r="L1947" s="108">
        <f>IF($B1947="","",IF($E1947="Lễ",N($G1947),0))</f>
        <v/>
      </c>
      <c r="M1947" s="108">
        <f>IF($B1947="","",IF($E1947="Ngày thường",N($H1947),0))</f>
        <v/>
      </c>
      <c r="N1947" s="108">
        <f>IF($B1947="","",IF($E1947="Nghỉ tuần",N($H1947),0))</f>
        <v/>
      </c>
      <c r="O1947" s="108">
        <f>IF($B1947="","",IF($E1947="Lễ",N($H1947),0))</f>
        <v/>
      </c>
    </row>
    <row r="1948" ht="15" customHeight="1" s="63">
      <c r="A1948" s="85">
        <f>IF($B1948="","",ROW()-5)</f>
        <v/>
      </c>
      <c r="B1948" s="97" t="n"/>
      <c r="C1948" s="96">
        <f>IF($B1948="","",IFERROR(INDEX(DM_NHAN_SU!$C$6:$C$155,MATCH($B1948,DM_NHAN_SU!$B$6:$B$155,0)),"SAI MÃ NV"))</f>
        <v/>
      </c>
      <c r="D1948" s="86" t="n"/>
      <c r="E1948" s="103">
        <f>IF(OR($B1948="",$D1948=""),"",IF(COUNTIF(THAM_SO_CC!$F$10:$F$40,$D1948)&gt;0,"Lễ",IF(IF(THAM_SO_CC!$B$12="T7+CN",WEEKDAY($D1948,2)&gt;=6,WEEKDAY($D1948,2)=7),"Nghỉ tuần","Ngày thường")))</f>
        <v/>
      </c>
      <c r="F1948" s="107" t="n"/>
      <c r="G1948" s="107" t="n"/>
      <c r="H1948" s="107" t="n"/>
      <c r="I1948" s="81" t="n"/>
      <c r="J1948" s="108">
        <f>IF($B1948="","",IF($E1948="Ngày thường",N($G1948),0))</f>
        <v/>
      </c>
      <c r="K1948" s="108">
        <f>IF($B1948="","",IF($E1948="Nghỉ tuần",N($G1948),0))</f>
        <v/>
      </c>
      <c r="L1948" s="108">
        <f>IF($B1948="","",IF($E1948="Lễ",N($G1948),0))</f>
        <v/>
      </c>
      <c r="M1948" s="108">
        <f>IF($B1948="","",IF($E1948="Ngày thường",N($H1948),0))</f>
        <v/>
      </c>
      <c r="N1948" s="108">
        <f>IF($B1948="","",IF($E1948="Nghỉ tuần",N($H1948),0))</f>
        <v/>
      </c>
      <c r="O1948" s="108">
        <f>IF($B1948="","",IF($E1948="Lễ",N($H1948),0))</f>
        <v/>
      </c>
    </row>
    <row r="1949" ht="15" customHeight="1" s="63">
      <c r="A1949" s="85">
        <f>IF($B1949="","",ROW()-5)</f>
        <v/>
      </c>
      <c r="B1949" s="97" t="n"/>
      <c r="C1949" s="96">
        <f>IF($B1949="","",IFERROR(INDEX(DM_NHAN_SU!$C$6:$C$155,MATCH($B1949,DM_NHAN_SU!$B$6:$B$155,0)),"SAI MÃ NV"))</f>
        <v/>
      </c>
      <c r="D1949" s="86" t="n"/>
      <c r="E1949" s="103">
        <f>IF(OR($B1949="",$D1949=""),"",IF(COUNTIF(THAM_SO_CC!$F$10:$F$40,$D1949)&gt;0,"Lễ",IF(IF(THAM_SO_CC!$B$12="T7+CN",WEEKDAY($D1949,2)&gt;=6,WEEKDAY($D1949,2)=7),"Nghỉ tuần","Ngày thường")))</f>
        <v/>
      </c>
      <c r="F1949" s="107" t="n"/>
      <c r="G1949" s="107" t="n"/>
      <c r="H1949" s="107" t="n"/>
      <c r="I1949" s="81" t="n"/>
      <c r="J1949" s="108">
        <f>IF($B1949="","",IF($E1949="Ngày thường",N($G1949),0))</f>
        <v/>
      </c>
      <c r="K1949" s="108">
        <f>IF($B1949="","",IF($E1949="Nghỉ tuần",N($G1949),0))</f>
        <v/>
      </c>
      <c r="L1949" s="108">
        <f>IF($B1949="","",IF($E1949="Lễ",N($G1949),0))</f>
        <v/>
      </c>
      <c r="M1949" s="108">
        <f>IF($B1949="","",IF($E1949="Ngày thường",N($H1949),0))</f>
        <v/>
      </c>
      <c r="N1949" s="108">
        <f>IF($B1949="","",IF($E1949="Nghỉ tuần",N($H1949),0))</f>
        <v/>
      </c>
      <c r="O1949" s="108">
        <f>IF($B1949="","",IF($E1949="Lễ",N($H1949),0))</f>
        <v/>
      </c>
    </row>
    <row r="1950" ht="15" customHeight="1" s="63">
      <c r="A1950" s="85">
        <f>IF($B1950="","",ROW()-5)</f>
        <v/>
      </c>
      <c r="B1950" s="97" t="n"/>
      <c r="C1950" s="96">
        <f>IF($B1950="","",IFERROR(INDEX(DM_NHAN_SU!$C$6:$C$155,MATCH($B1950,DM_NHAN_SU!$B$6:$B$155,0)),"SAI MÃ NV"))</f>
        <v/>
      </c>
      <c r="D1950" s="86" t="n"/>
      <c r="E1950" s="103">
        <f>IF(OR($B1950="",$D1950=""),"",IF(COUNTIF(THAM_SO_CC!$F$10:$F$40,$D1950)&gt;0,"Lễ",IF(IF(THAM_SO_CC!$B$12="T7+CN",WEEKDAY($D1950,2)&gt;=6,WEEKDAY($D1950,2)=7),"Nghỉ tuần","Ngày thường")))</f>
        <v/>
      </c>
      <c r="F1950" s="107" t="n"/>
      <c r="G1950" s="107" t="n"/>
      <c r="H1950" s="107" t="n"/>
      <c r="I1950" s="81" t="n"/>
      <c r="J1950" s="108">
        <f>IF($B1950="","",IF($E1950="Ngày thường",N($G1950),0))</f>
        <v/>
      </c>
      <c r="K1950" s="108">
        <f>IF($B1950="","",IF($E1950="Nghỉ tuần",N($G1950),0))</f>
        <v/>
      </c>
      <c r="L1950" s="108">
        <f>IF($B1950="","",IF($E1950="Lễ",N($G1950),0))</f>
        <v/>
      </c>
      <c r="M1950" s="108">
        <f>IF($B1950="","",IF($E1950="Ngày thường",N($H1950),0))</f>
        <v/>
      </c>
      <c r="N1950" s="108">
        <f>IF($B1950="","",IF($E1950="Nghỉ tuần",N($H1950),0))</f>
        <v/>
      </c>
      <c r="O1950" s="108">
        <f>IF($B1950="","",IF($E1950="Lễ",N($H1950),0))</f>
        <v/>
      </c>
    </row>
    <row r="1951" ht="15" customHeight="1" s="63">
      <c r="A1951" s="85">
        <f>IF($B1951="","",ROW()-5)</f>
        <v/>
      </c>
      <c r="B1951" s="97" t="n"/>
      <c r="C1951" s="96">
        <f>IF($B1951="","",IFERROR(INDEX(DM_NHAN_SU!$C$6:$C$155,MATCH($B1951,DM_NHAN_SU!$B$6:$B$155,0)),"SAI MÃ NV"))</f>
        <v/>
      </c>
      <c r="D1951" s="86" t="n"/>
      <c r="E1951" s="103">
        <f>IF(OR($B1951="",$D1951=""),"",IF(COUNTIF(THAM_SO_CC!$F$10:$F$40,$D1951)&gt;0,"Lễ",IF(IF(THAM_SO_CC!$B$12="T7+CN",WEEKDAY($D1951,2)&gt;=6,WEEKDAY($D1951,2)=7),"Nghỉ tuần","Ngày thường")))</f>
        <v/>
      </c>
      <c r="F1951" s="107" t="n"/>
      <c r="G1951" s="107" t="n"/>
      <c r="H1951" s="107" t="n"/>
      <c r="I1951" s="81" t="n"/>
      <c r="J1951" s="108">
        <f>IF($B1951="","",IF($E1951="Ngày thường",N($G1951),0))</f>
        <v/>
      </c>
      <c r="K1951" s="108">
        <f>IF($B1951="","",IF($E1951="Nghỉ tuần",N($G1951),0))</f>
        <v/>
      </c>
      <c r="L1951" s="108">
        <f>IF($B1951="","",IF($E1951="Lễ",N($G1951),0))</f>
        <v/>
      </c>
      <c r="M1951" s="108">
        <f>IF($B1951="","",IF($E1951="Ngày thường",N($H1951),0))</f>
        <v/>
      </c>
      <c r="N1951" s="108">
        <f>IF($B1951="","",IF($E1951="Nghỉ tuần",N($H1951),0))</f>
        <v/>
      </c>
      <c r="O1951" s="108">
        <f>IF($B1951="","",IF($E1951="Lễ",N($H1951),0))</f>
        <v/>
      </c>
    </row>
    <row r="1952" ht="15" customHeight="1" s="63">
      <c r="A1952" s="85">
        <f>IF($B1952="","",ROW()-5)</f>
        <v/>
      </c>
      <c r="B1952" s="97" t="n"/>
      <c r="C1952" s="96">
        <f>IF($B1952="","",IFERROR(INDEX(DM_NHAN_SU!$C$6:$C$155,MATCH($B1952,DM_NHAN_SU!$B$6:$B$155,0)),"SAI MÃ NV"))</f>
        <v/>
      </c>
      <c r="D1952" s="86" t="n"/>
      <c r="E1952" s="103">
        <f>IF(OR($B1952="",$D1952=""),"",IF(COUNTIF(THAM_SO_CC!$F$10:$F$40,$D1952)&gt;0,"Lễ",IF(IF(THAM_SO_CC!$B$12="T7+CN",WEEKDAY($D1952,2)&gt;=6,WEEKDAY($D1952,2)=7),"Nghỉ tuần","Ngày thường")))</f>
        <v/>
      </c>
      <c r="F1952" s="107" t="n"/>
      <c r="G1952" s="107" t="n"/>
      <c r="H1952" s="107" t="n"/>
      <c r="I1952" s="81" t="n"/>
      <c r="J1952" s="108">
        <f>IF($B1952="","",IF($E1952="Ngày thường",N($G1952),0))</f>
        <v/>
      </c>
      <c r="K1952" s="108">
        <f>IF($B1952="","",IF($E1952="Nghỉ tuần",N($G1952),0))</f>
        <v/>
      </c>
      <c r="L1952" s="108">
        <f>IF($B1952="","",IF($E1952="Lễ",N($G1952),0))</f>
        <v/>
      </c>
      <c r="M1952" s="108">
        <f>IF($B1952="","",IF($E1952="Ngày thường",N($H1952),0))</f>
        <v/>
      </c>
      <c r="N1952" s="108">
        <f>IF($B1952="","",IF($E1952="Nghỉ tuần",N($H1952),0))</f>
        <v/>
      </c>
      <c r="O1952" s="108">
        <f>IF($B1952="","",IF($E1952="Lễ",N($H1952),0))</f>
        <v/>
      </c>
    </row>
    <row r="1953" ht="15" customHeight="1" s="63">
      <c r="A1953" s="85">
        <f>IF($B1953="","",ROW()-5)</f>
        <v/>
      </c>
      <c r="B1953" s="97" t="n"/>
      <c r="C1953" s="96">
        <f>IF($B1953="","",IFERROR(INDEX(DM_NHAN_SU!$C$6:$C$155,MATCH($B1953,DM_NHAN_SU!$B$6:$B$155,0)),"SAI MÃ NV"))</f>
        <v/>
      </c>
      <c r="D1953" s="86" t="n"/>
      <c r="E1953" s="103">
        <f>IF(OR($B1953="",$D1953=""),"",IF(COUNTIF(THAM_SO_CC!$F$10:$F$40,$D1953)&gt;0,"Lễ",IF(IF(THAM_SO_CC!$B$12="T7+CN",WEEKDAY($D1953,2)&gt;=6,WEEKDAY($D1953,2)=7),"Nghỉ tuần","Ngày thường")))</f>
        <v/>
      </c>
      <c r="F1953" s="107" t="n"/>
      <c r="G1953" s="107" t="n"/>
      <c r="H1953" s="107" t="n"/>
      <c r="I1953" s="81" t="n"/>
      <c r="J1953" s="108">
        <f>IF($B1953="","",IF($E1953="Ngày thường",N($G1953),0))</f>
        <v/>
      </c>
      <c r="K1953" s="108">
        <f>IF($B1953="","",IF($E1953="Nghỉ tuần",N($G1953),0))</f>
        <v/>
      </c>
      <c r="L1953" s="108">
        <f>IF($B1953="","",IF($E1953="Lễ",N($G1953),0))</f>
        <v/>
      </c>
      <c r="M1953" s="108">
        <f>IF($B1953="","",IF($E1953="Ngày thường",N($H1953),0))</f>
        <v/>
      </c>
      <c r="N1953" s="108">
        <f>IF($B1953="","",IF($E1953="Nghỉ tuần",N($H1953),0))</f>
        <v/>
      </c>
      <c r="O1953" s="108">
        <f>IF($B1953="","",IF($E1953="Lễ",N($H1953),0))</f>
        <v/>
      </c>
    </row>
    <row r="1954" ht="15" customHeight="1" s="63">
      <c r="A1954" s="85">
        <f>IF($B1954="","",ROW()-5)</f>
        <v/>
      </c>
      <c r="B1954" s="97" t="n"/>
      <c r="C1954" s="96">
        <f>IF($B1954="","",IFERROR(INDEX(DM_NHAN_SU!$C$6:$C$155,MATCH($B1954,DM_NHAN_SU!$B$6:$B$155,0)),"SAI MÃ NV"))</f>
        <v/>
      </c>
      <c r="D1954" s="86" t="n"/>
      <c r="E1954" s="103">
        <f>IF(OR($B1954="",$D1954=""),"",IF(COUNTIF(THAM_SO_CC!$F$10:$F$40,$D1954)&gt;0,"Lễ",IF(IF(THAM_SO_CC!$B$12="T7+CN",WEEKDAY($D1954,2)&gt;=6,WEEKDAY($D1954,2)=7),"Nghỉ tuần","Ngày thường")))</f>
        <v/>
      </c>
      <c r="F1954" s="107" t="n"/>
      <c r="G1954" s="107" t="n"/>
      <c r="H1954" s="107" t="n"/>
      <c r="I1954" s="81" t="n"/>
      <c r="J1954" s="108">
        <f>IF($B1954="","",IF($E1954="Ngày thường",N($G1954),0))</f>
        <v/>
      </c>
      <c r="K1954" s="108">
        <f>IF($B1954="","",IF($E1954="Nghỉ tuần",N($G1954),0))</f>
        <v/>
      </c>
      <c r="L1954" s="108">
        <f>IF($B1954="","",IF($E1954="Lễ",N($G1954),0))</f>
        <v/>
      </c>
      <c r="M1954" s="108">
        <f>IF($B1954="","",IF($E1954="Ngày thường",N($H1954),0))</f>
        <v/>
      </c>
      <c r="N1954" s="108">
        <f>IF($B1954="","",IF($E1954="Nghỉ tuần",N($H1954),0))</f>
        <v/>
      </c>
      <c r="O1954" s="108">
        <f>IF($B1954="","",IF($E1954="Lễ",N($H1954),0))</f>
        <v/>
      </c>
    </row>
    <row r="1955" ht="15" customHeight="1" s="63">
      <c r="A1955" s="85">
        <f>IF($B1955="","",ROW()-5)</f>
        <v/>
      </c>
      <c r="B1955" s="97" t="n"/>
      <c r="C1955" s="96">
        <f>IF($B1955="","",IFERROR(INDEX(DM_NHAN_SU!$C$6:$C$155,MATCH($B1955,DM_NHAN_SU!$B$6:$B$155,0)),"SAI MÃ NV"))</f>
        <v/>
      </c>
      <c r="D1955" s="86" t="n"/>
      <c r="E1955" s="103">
        <f>IF(OR($B1955="",$D1955=""),"",IF(COUNTIF(THAM_SO_CC!$F$10:$F$40,$D1955)&gt;0,"Lễ",IF(IF(THAM_SO_CC!$B$12="T7+CN",WEEKDAY($D1955,2)&gt;=6,WEEKDAY($D1955,2)=7),"Nghỉ tuần","Ngày thường")))</f>
        <v/>
      </c>
      <c r="F1955" s="107" t="n"/>
      <c r="G1955" s="107" t="n"/>
      <c r="H1955" s="107" t="n"/>
      <c r="I1955" s="81" t="n"/>
      <c r="J1955" s="108">
        <f>IF($B1955="","",IF($E1955="Ngày thường",N($G1955),0))</f>
        <v/>
      </c>
      <c r="K1955" s="108">
        <f>IF($B1955="","",IF($E1955="Nghỉ tuần",N($G1955),0))</f>
        <v/>
      </c>
      <c r="L1955" s="108">
        <f>IF($B1955="","",IF($E1955="Lễ",N($G1955),0))</f>
        <v/>
      </c>
      <c r="M1955" s="108">
        <f>IF($B1955="","",IF($E1955="Ngày thường",N($H1955),0))</f>
        <v/>
      </c>
      <c r="N1955" s="108">
        <f>IF($B1955="","",IF($E1955="Nghỉ tuần",N($H1955),0))</f>
        <v/>
      </c>
      <c r="O1955" s="108">
        <f>IF($B1955="","",IF($E1955="Lễ",N($H1955),0))</f>
        <v/>
      </c>
    </row>
    <row r="1956" ht="15" customHeight="1" s="63">
      <c r="A1956" s="85">
        <f>IF($B1956="","",ROW()-5)</f>
        <v/>
      </c>
      <c r="B1956" s="97" t="n"/>
      <c r="C1956" s="96">
        <f>IF($B1956="","",IFERROR(INDEX(DM_NHAN_SU!$C$6:$C$155,MATCH($B1956,DM_NHAN_SU!$B$6:$B$155,0)),"SAI MÃ NV"))</f>
        <v/>
      </c>
      <c r="D1956" s="86" t="n"/>
      <c r="E1956" s="103">
        <f>IF(OR($B1956="",$D1956=""),"",IF(COUNTIF(THAM_SO_CC!$F$10:$F$40,$D1956)&gt;0,"Lễ",IF(IF(THAM_SO_CC!$B$12="T7+CN",WEEKDAY($D1956,2)&gt;=6,WEEKDAY($D1956,2)=7),"Nghỉ tuần","Ngày thường")))</f>
        <v/>
      </c>
      <c r="F1956" s="107" t="n"/>
      <c r="G1956" s="107" t="n"/>
      <c r="H1956" s="107" t="n"/>
      <c r="I1956" s="81" t="n"/>
      <c r="J1956" s="108">
        <f>IF($B1956="","",IF($E1956="Ngày thường",N($G1956),0))</f>
        <v/>
      </c>
      <c r="K1956" s="108">
        <f>IF($B1956="","",IF($E1956="Nghỉ tuần",N($G1956),0))</f>
        <v/>
      </c>
      <c r="L1956" s="108">
        <f>IF($B1956="","",IF($E1956="Lễ",N($G1956),0))</f>
        <v/>
      </c>
      <c r="M1956" s="108">
        <f>IF($B1956="","",IF($E1956="Ngày thường",N($H1956),0))</f>
        <v/>
      </c>
      <c r="N1956" s="108">
        <f>IF($B1956="","",IF($E1956="Nghỉ tuần",N($H1956),0))</f>
        <v/>
      </c>
      <c r="O1956" s="108">
        <f>IF($B1956="","",IF($E1956="Lễ",N($H1956),0))</f>
        <v/>
      </c>
    </row>
    <row r="1957" ht="15" customHeight="1" s="63">
      <c r="A1957" s="85">
        <f>IF($B1957="","",ROW()-5)</f>
        <v/>
      </c>
      <c r="B1957" s="97" t="n"/>
      <c r="C1957" s="96">
        <f>IF($B1957="","",IFERROR(INDEX(DM_NHAN_SU!$C$6:$C$155,MATCH($B1957,DM_NHAN_SU!$B$6:$B$155,0)),"SAI MÃ NV"))</f>
        <v/>
      </c>
      <c r="D1957" s="86" t="n"/>
      <c r="E1957" s="103">
        <f>IF(OR($B1957="",$D1957=""),"",IF(COUNTIF(THAM_SO_CC!$F$10:$F$40,$D1957)&gt;0,"Lễ",IF(IF(THAM_SO_CC!$B$12="T7+CN",WEEKDAY($D1957,2)&gt;=6,WEEKDAY($D1957,2)=7),"Nghỉ tuần","Ngày thường")))</f>
        <v/>
      </c>
      <c r="F1957" s="107" t="n"/>
      <c r="G1957" s="107" t="n"/>
      <c r="H1957" s="107" t="n"/>
      <c r="I1957" s="81" t="n"/>
      <c r="J1957" s="108">
        <f>IF($B1957="","",IF($E1957="Ngày thường",N($G1957),0))</f>
        <v/>
      </c>
      <c r="K1957" s="108">
        <f>IF($B1957="","",IF($E1957="Nghỉ tuần",N($G1957),0))</f>
        <v/>
      </c>
      <c r="L1957" s="108">
        <f>IF($B1957="","",IF($E1957="Lễ",N($G1957),0))</f>
        <v/>
      </c>
      <c r="M1957" s="108">
        <f>IF($B1957="","",IF($E1957="Ngày thường",N($H1957),0))</f>
        <v/>
      </c>
      <c r="N1957" s="108">
        <f>IF($B1957="","",IF($E1957="Nghỉ tuần",N($H1957),0))</f>
        <v/>
      </c>
      <c r="O1957" s="108">
        <f>IF($B1957="","",IF($E1957="Lễ",N($H1957),0))</f>
        <v/>
      </c>
    </row>
    <row r="1958" ht="15" customHeight="1" s="63">
      <c r="A1958" s="85">
        <f>IF($B1958="","",ROW()-5)</f>
        <v/>
      </c>
      <c r="B1958" s="97" t="n"/>
      <c r="C1958" s="96">
        <f>IF($B1958="","",IFERROR(INDEX(DM_NHAN_SU!$C$6:$C$155,MATCH($B1958,DM_NHAN_SU!$B$6:$B$155,0)),"SAI MÃ NV"))</f>
        <v/>
      </c>
      <c r="D1958" s="86" t="n"/>
      <c r="E1958" s="103">
        <f>IF(OR($B1958="",$D1958=""),"",IF(COUNTIF(THAM_SO_CC!$F$10:$F$40,$D1958)&gt;0,"Lễ",IF(IF(THAM_SO_CC!$B$12="T7+CN",WEEKDAY($D1958,2)&gt;=6,WEEKDAY($D1958,2)=7),"Nghỉ tuần","Ngày thường")))</f>
        <v/>
      </c>
      <c r="F1958" s="107" t="n"/>
      <c r="G1958" s="107" t="n"/>
      <c r="H1958" s="107" t="n"/>
      <c r="I1958" s="81" t="n"/>
      <c r="J1958" s="108">
        <f>IF($B1958="","",IF($E1958="Ngày thường",N($G1958),0))</f>
        <v/>
      </c>
      <c r="K1958" s="108">
        <f>IF($B1958="","",IF($E1958="Nghỉ tuần",N($G1958),0))</f>
        <v/>
      </c>
      <c r="L1958" s="108">
        <f>IF($B1958="","",IF($E1958="Lễ",N($G1958),0))</f>
        <v/>
      </c>
      <c r="M1958" s="108">
        <f>IF($B1958="","",IF($E1958="Ngày thường",N($H1958),0))</f>
        <v/>
      </c>
      <c r="N1958" s="108">
        <f>IF($B1958="","",IF($E1958="Nghỉ tuần",N($H1958),0))</f>
        <v/>
      </c>
      <c r="O1958" s="108">
        <f>IF($B1958="","",IF($E1958="Lễ",N($H1958),0))</f>
        <v/>
      </c>
    </row>
    <row r="1959" ht="15" customHeight="1" s="63">
      <c r="A1959" s="85">
        <f>IF($B1959="","",ROW()-5)</f>
        <v/>
      </c>
      <c r="B1959" s="97" t="n"/>
      <c r="C1959" s="96">
        <f>IF($B1959="","",IFERROR(INDEX(DM_NHAN_SU!$C$6:$C$155,MATCH($B1959,DM_NHAN_SU!$B$6:$B$155,0)),"SAI MÃ NV"))</f>
        <v/>
      </c>
      <c r="D1959" s="86" t="n"/>
      <c r="E1959" s="103">
        <f>IF(OR($B1959="",$D1959=""),"",IF(COUNTIF(THAM_SO_CC!$F$10:$F$40,$D1959)&gt;0,"Lễ",IF(IF(THAM_SO_CC!$B$12="T7+CN",WEEKDAY($D1959,2)&gt;=6,WEEKDAY($D1959,2)=7),"Nghỉ tuần","Ngày thường")))</f>
        <v/>
      </c>
      <c r="F1959" s="107" t="n"/>
      <c r="G1959" s="107" t="n"/>
      <c r="H1959" s="107" t="n"/>
      <c r="I1959" s="81" t="n"/>
      <c r="J1959" s="108">
        <f>IF($B1959="","",IF($E1959="Ngày thường",N($G1959),0))</f>
        <v/>
      </c>
      <c r="K1959" s="108">
        <f>IF($B1959="","",IF($E1959="Nghỉ tuần",N($G1959),0))</f>
        <v/>
      </c>
      <c r="L1959" s="108">
        <f>IF($B1959="","",IF($E1959="Lễ",N($G1959),0))</f>
        <v/>
      </c>
      <c r="M1959" s="108">
        <f>IF($B1959="","",IF($E1959="Ngày thường",N($H1959),0))</f>
        <v/>
      </c>
      <c r="N1959" s="108">
        <f>IF($B1959="","",IF($E1959="Nghỉ tuần",N($H1959),0))</f>
        <v/>
      </c>
      <c r="O1959" s="108">
        <f>IF($B1959="","",IF($E1959="Lễ",N($H1959),0))</f>
        <v/>
      </c>
    </row>
    <row r="1960" ht="15" customHeight="1" s="63">
      <c r="A1960" s="85">
        <f>IF($B1960="","",ROW()-5)</f>
        <v/>
      </c>
      <c r="B1960" s="97" t="n"/>
      <c r="C1960" s="96">
        <f>IF($B1960="","",IFERROR(INDEX(DM_NHAN_SU!$C$6:$C$155,MATCH($B1960,DM_NHAN_SU!$B$6:$B$155,0)),"SAI MÃ NV"))</f>
        <v/>
      </c>
      <c r="D1960" s="86" t="n"/>
      <c r="E1960" s="103">
        <f>IF(OR($B1960="",$D1960=""),"",IF(COUNTIF(THAM_SO_CC!$F$10:$F$40,$D1960)&gt;0,"Lễ",IF(IF(THAM_SO_CC!$B$12="T7+CN",WEEKDAY($D1960,2)&gt;=6,WEEKDAY($D1960,2)=7),"Nghỉ tuần","Ngày thường")))</f>
        <v/>
      </c>
      <c r="F1960" s="107" t="n"/>
      <c r="G1960" s="107" t="n"/>
      <c r="H1960" s="107" t="n"/>
      <c r="I1960" s="81" t="n"/>
      <c r="J1960" s="108">
        <f>IF($B1960="","",IF($E1960="Ngày thường",N($G1960),0))</f>
        <v/>
      </c>
      <c r="K1960" s="108">
        <f>IF($B1960="","",IF($E1960="Nghỉ tuần",N($G1960),0))</f>
        <v/>
      </c>
      <c r="L1960" s="108">
        <f>IF($B1960="","",IF($E1960="Lễ",N($G1960),0))</f>
        <v/>
      </c>
      <c r="M1960" s="108">
        <f>IF($B1960="","",IF($E1960="Ngày thường",N($H1960),0))</f>
        <v/>
      </c>
      <c r="N1960" s="108">
        <f>IF($B1960="","",IF($E1960="Nghỉ tuần",N($H1960),0))</f>
        <v/>
      </c>
      <c r="O1960" s="108">
        <f>IF($B1960="","",IF($E1960="Lễ",N($H1960),0))</f>
        <v/>
      </c>
    </row>
    <row r="1961" ht="15" customHeight="1" s="63">
      <c r="A1961" s="85">
        <f>IF($B1961="","",ROW()-5)</f>
        <v/>
      </c>
      <c r="B1961" s="97" t="n"/>
      <c r="C1961" s="96">
        <f>IF($B1961="","",IFERROR(INDEX(DM_NHAN_SU!$C$6:$C$155,MATCH($B1961,DM_NHAN_SU!$B$6:$B$155,0)),"SAI MÃ NV"))</f>
        <v/>
      </c>
      <c r="D1961" s="86" t="n"/>
      <c r="E1961" s="103">
        <f>IF(OR($B1961="",$D1961=""),"",IF(COUNTIF(THAM_SO_CC!$F$10:$F$40,$D1961)&gt;0,"Lễ",IF(IF(THAM_SO_CC!$B$12="T7+CN",WEEKDAY($D1961,2)&gt;=6,WEEKDAY($D1961,2)=7),"Nghỉ tuần","Ngày thường")))</f>
        <v/>
      </c>
      <c r="F1961" s="107" t="n"/>
      <c r="G1961" s="107" t="n"/>
      <c r="H1961" s="107" t="n"/>
      <c r="I1961" s="81" t="n"/>
      <c r="J1961" s="108">
        <f>IF($B1961="","",IF($E1961="Ngày thường",N($G1961),0))</f>
        <v/>
      </c>
      <c r="K1961" s="108">
        <f>IF($B1961="","",IF($E1961="Nghỉ tuần",N($G1961),0))</f>
        <v/>
      </c>
      <c r="L1961" s="108">
        <f>IF($B1961="","",IF($E1961="Lễ",N($G1961),0))</f>
        <v/>
      </c>
      <c r="M1961" s="108">
        <f>IF($B1961="","",IF($E1961="Ngày thường",N($H1961),0))</f>
        <v/>
      </c>
      <c r="N1961" s="108">
        <f>IF($B1961="","",IF($E1961="Nghỉ tuần",N($H1961),0))</f>
        <v/>
      </c>
      <c r="O1961" s="108">
        <f>IF($B1961="","",IF($E1961="Lễ",N($H1961),0))</f>
        <v/>
      </c>
    </row>
    <row r="1962" ht="15" customHeight="1" s="63">
      <c r="A1962" s="85">
        <f>IF($B1962="","",ROW()-5)</f>
        <v/>
      </c>
      <c r="B1962" s="97" t="n"/>
      <c r="C1962" s="96">
        <f>IF($B1962="","",IFERROR(INDEX(DM_NHAN_SU!$C$6:$C$155,MATCH($B1962,DM_NHAN_SU!$B$6:$B$155,0)),"SAI MÃ NV"))</f>
        <v/>
      </c>
      <c r="D1962" s="86" t="n"/>
      <c r="E1962" s="103">
        <f>IF(OR($B1962="",$D1962=""),"",IF(COUNTIF(THAM_SO_CC!$F$10:$F$40,$D1962)&gt;0,"Lễ",IF(IF(THAM_SO_CC!$B$12="T7+CN",WEEKDAY($D1962,2)&gt;=6,WEEKDAY($D1962,2)=7),"Nghỉ tuần","Ngày thường")))</f>
        <v/>
      </c>
      <c r="F1962" s="107" t="n"/>
      <c r="G1962" s="107" t="n"/>
      <c r="H1962" s="107" t="n"/>
      <c r="I1962" s="81" t="n"/>
      <c r="J1962" s="108">
        <f>IF($B1962="","",IF($E1962="Ngày thường",N($G1962),0))</f>
        <v/>
      </c>
      <c r="K1962" s="108">
        <f>IF($B1962="","",IF($E1962="Nghỉ tuần",N($G1962),0))</f>
        <v/>
      </c>
      <c r="L1962" s="108">
        <f>IF($B1962="","",IF($E1962="Lễ",N($G1962),0))</f>
        <v/>
      </c>
      <c r="M1962" s="108">
        <f>IF($B1962="","",IF($E1962="Ngày thường",N($H1962),0))</f>
        <v/>
      </c>
      <c r="N1962" s="108">
        <f>IF($B1962="","",IF($E1962="Nghỉ tuần",N($H1962),0))</f>
        <v/>
      </c>
      <c r="O1962" s="108">
        <f>IF($B1962="","",IF($E1962="Lễ",N($H1962),0))</f>
        <v/>
      </c>
    </row>
    <row r="1963" ht="15" customHeight="1" s="63">
      <c r="A1963" s="85">
        <f>IF($B1963="","",ROW()-5)</f>
        <v/>
      </c>
      <c r="B1963" s="97" t="n"/>
      <c r="C1963" s="96">
        <f>IF($B1963="","",IFERROR(INDEX(DM_NHAN_SU!$C$6:$C$155,MATCH($B1963,DM_NHAN_SU!$B$6:$B$155,0)),"SAI MÃ NV"))</f>
        <v/>
      </c>
      <c r="D1963" s="86" t="n"/>
      <c r="E1963" s="103">
        <f>IF(OR($B1963="",$D1963=""),"",IF(COUNTIF(THAM_SO_CC!$F$10:$F$40,$D1963)&gt;0,"Lễ",IF(IF(THAM_SO_CC!$B$12="T7+CN",WEEKDAY($D1963,2)&gt;=6,WEEKDAY($D1963,2)=7),"Nghỉ tuần","Ngày thường")))</f>
        <v/>
      </c>
      <c r="F1963" s="107" t="n"/>
      <c r="G1963" s="107" t="n"/>
      <c r="H1963" s="107" t="n"/>
      <c r="I1963" s="81" t="n"/>
      <c r="J1963" s="108">
        <f>IF($B1963="","",IF($E1963="Ngày thường",N($G1963),0))</f>
        <v/>
      </c>
      <c r="K1963" s="108">
        <f>IF($B1963="","",IF($E1963="Nghỉ tuần",N($G1963),0))</f>
        <v/>
      </c>
      <c r="L1963" s="108">
        <f>IF($B1963="","",IF($E1963="Lễ",N($G1963),0))</f>
        <v/>
      </c>
      <c r="M1963" s="108">
        <f>IF($B1963="","",IF($E1963="Ngày thường",N($H1963),0))</f>
        <v/>
      </c>
      <c r="N1963" s="108">
        <f>IF($B1963="","",IF($E1963="Nghỉ tuần",N($H1963),0))</f>
        <v/>
      </c>
      <c r="O1963" s="108">
        <f>IF($B1963="","",IF($E1963="Lễ",N($H1963),0))</f>
        <v/>
      </c>
    </row>
    <row r="1964" ht="15" customHeight="1" s="63">
      <c r="A1964" s="85">
        <f>IF($B1964="","",ROW()-5)</f>
        <v/>
      </c>
      <c r="B1964" s="97" t="n"/>
      <c r="C1964" s="96">
        <f>IF($B1964="","",IFERROR(INDEX(DM_NHAN_SU!$C$6:$C$155,MATCH($B1964,DM_NHAN_SU!$B$6:$B$155,0)),"SAI MÃ NV"))</f>
        <v/>
      </c>
      <c r="D1964" s="86" t="n"/>
      <c r="E1964" s="103">
        <f>IF(OR($B1964="",$D1964=""),"",IF(COUNTIF(THAM_SO_CC!$F$10:$F$40,$D1964)&gt;0,"Lễ",IF(IF(THAM_SO_CC!$B$12="T7+CN",WEEKDAY($D1964,2)&gt;=6,WEEKDAY($D1964,2)=7),"Nghỉ tuần","Ngày thường")))</f>
        <v/>
      </c>
      <c r="F1964" s="107" t="n"/>
      <c r="G1964" s="107" t="n"/>
      <c r="H1964" s="107" t="n"/>
      <c r="I1964" s="81" t="n"/>
      <c r="J1964" s="108">
        <f>IF($B1964="","",IF($E1964="Ngày thường",N($G1964),0))</f>
        <v/>
      </c>
      <c r="K1964" s="108">
        <f>IF($B1964="","",IF($E1964="Nghỉ tuần",N($G1964),0))</f>
        <v/>
      </c>
      <c r="L1964" s="108">
        <f>IF($B1964="","",IF($E1964="Lễ",N($G1964),0))</f>
        <v/>
      </c>
      <c r="M1964" s="108">
        <f>IF($B1964="","",IF($E1964="Ngày thường",N($H1964),0))</f>
        <v/>
      </c>
      <c r="N1964" s="108">
        <f>IF($B1964="","",IF($E1964="Nghỉ tuần",N($H1964),0))</f>
        <v/>
      </c>
      <c r="O1964" s="108">
        <f>IF($B1964="","",IF($E1964="Lễ",N($H1964),0))</f>
        <v/>
      </c>
    </row>
    <row r="1965" ht="15" customHeight="1" s="63">
      <c r="A1965" s="85">
        <f>IF($B1965="","",ROW()-5)</f>
        <v/>
      </c>
      <c r="B1965" s="97" t="n"/>
      <c r="C1965" s="96">
        <f>IF($B1965="","",IFERROR(INDEX(DM_NHAN_SU!$C$6:$C$155,MATCH($B1965,DM_NHAN_SU!$B$6:$B$155,0)),"SAI MÃ NV"))</f>
        <v/>
      </c>
      <c r="D1965" s="86" t="n"/>
      <c r="E1965" s="103">
        <f>IF(OR($B1965="",$D1965=""),"",IF(COUNTIF(THAM_SO_CC!$F$10:$F$40,$D1965)&gt;0,"Lễ",IF(IF(THAM_SO_CC!$B$12="T7+CN",WEEKDAY($D1965,2)&gt;=6,WEEKDAY($D1965,2)=7),"Nghỉ tuần","Ngày thường")))</f>
        <v/>
      </c>
      <c r="F1965" s="107" t="n"/>
      <c r="G1965" s="107" t="n"/>
      <c r="H1965" s="107" t="n"/>
      <c r="I1965" s="81" t="n"/>
      <c r="J1965" s="108">
        <f>IF($B1965="","",IF($E1965="Ngày thường",N($G1965),0))</f>
        <v/>
      </c>
      <c r="K1965" s="108">
        <f>IF($B1965="","",IF($E1965="Nghỉ tuần",N($G1965),0))</f>
        <v/>
      </c>
      <c r="L1965" s="108">
        <f>IF($B1965="","",IF($E1965="Lễ",N($G1965),0))</f>
        <v/>
      </c>
      <c r="M1965" s="108">
        <f>IF($B1965="","",IF($E1965="Ngày thường",N($H1965),0))</f>
        <v/>
      </c>
      <c r="N1965" s="108">
        <f>IF($B1965="","",IF($E1965="Nghỉ tuần",N($H1965),0))</f>
        <v/>
      </c>
      <c r="O1965" s="108">
        <f>IF($B1965="","",IF($E1965="Lễ",N($H1965),0))</f>
        <v/>
      </c>
    </row>
    <row r="1966" ht="15" customHeight="1" s="63">
      <c r="A1966" s="85">
        <f>IF($B1966="","",ROW()-5)</f>
        <v/>
      </c>
      <c r="B1966" s="97" t="n"/>
      <c r="C1966" s="96">
        <f>IF($B1966="","",IFERROR(INDEX(DM_NHAN_SU!$C$6:$C$155,MATCH($B1966,DM_NHAN_SU!$B$6:$B$155,0)),"SAI MÃ NV"))</f>
        <v/>
      </c>
      <c r="D1966" s="86" t="n"/>
      <c r="E1966" s="103">
        <f>IF(OR($B1966="",$D1966=""),"",IF(COUNTIF(THAM_SO_CC!$F$10:$F$40,$D1966)&gt;0,"Lễ",IF(IF(THAM_SO_CC!$B$12="T7+CN",WEEKDAY($D1966,2)&gt;=6,WEEKDAY($D1966,2)=7),"Nghỉ tuần","Ngày thường")))</f>
        <v/>
      </c>
      <c r="F1966" s="107" t="n"/>
      <c r="G1966" s="107" t="n"/>
      <c r="H1966" s="107" t="n"/>
      <c r="I1966" s="81" t="n"/>
      <c r="J1966" s="108">
        <f>IF($B1966="","",IF($E1966="Ngày thường",N($G1966),0))</f>
        <v/>
      </c>
      <c r="K1966" s="108">
        <f>IF($B1966="","",IF($E1966="Nghỉ tuần",N($G1966),0))</f>
        <v/>
      </c>
      <c r="L1966" s="108">
        <f>IF($B1966="","",IF($E1966="Lễ",N($G1966),0))</f>
        <v/>
      </c>
      <c r="M1966" s="108">
        <f>IF($B1966="","",IF($E1966="Ngày thường",N($H1966),0))</f>
        <v/>
      </c>
      <c r="N1966" s="108">
        <f>IF($B1966="","",IF($E1966="Nghỉ tuần",N($H1966),0))</f>
        <v/>
      </c>
      <c r="O1966" s="108">
        <f>IF($B1966="","",IF($E1966="Lễ",N($H1966),0))</f>
        <v/>
      </c>
    </row>
    <row r="1967" ht="15" customHeight="1" s="63">
      <c r="A1967" s="85">
        <f>IF($B1967="","",ROW()-5)</f>
        <v/>
      </c>
      <c r="B1967" s="97" t="n"/>
      <c r="C1967" s="96">
        <f>IF($B1967="","",IFERROR(INDEX(DM_NHAN_SU!$C$6:$C$155,MATCH($B1967,DM_NHAN_SU!$B$6:$B$155,0)),"SAI MÃ NV"))</f>
        <v/>
      </c>
      <c r="D1967" s="86" t="n"/>
      <c r="E1967" s="103">
        <f>IF(OR($B1967="",$D1967=""),"",IF(COUNTIF(THAM_SO_CC!$F$10:$F$40,$D1967)&gt;0,"Lễ",IF(IF(THAM_SO_CC!$B$12="T7+CN",WEEKDAY($D1967,2)&gt;=6,WEEKDAY($D1967,2)=7),"Nghỉ tuần","Ngày thường")))</f>
        <v/>
      </c>
      <c r="F1967" s="107" t="n"/>
      <c r="G1967" s="107" t="n"/>
      <c r="H1967" s="107" t="n"/>
      <c r="I1967" s="81" t="n"/>
      <c r="J1967" s="108">
        <f>IF($B1967="","",IF($E1967="Ngày thường",N($G1967),0))</f>
        <v/>
      </c>
      <c r="K1967" s="108">
        <f>IF($B1967="","",IF($E1967="Nghỉ tuần",N($G1967),0))</f>
        <v/>
      </c>
      <c r="L1967" s="108">
        <f>IF($B1967="","",IF($E1967="Lễ",N($G1967),0))</f>
        <v/>
      </c>
      <c r="M1967" s="108">
        <f>IF($B1967="","",IF($E1967="Ngày thường",N($H1967),0))</f>
        <v/>
      </c>
      <c r="N1967" s="108">
        <f>IF($B1967="","",IF($E1967="Nghỉ tuần",N($H1967),0))</f>
        <v/>
      </c>
      <c r="O1967" s="108">
        <f>IF($B1967="","",IF($E1967="Lễ",N($H1967),0))</f>
        <v/>
      </c>
    </row>
    <row r="1968" ht="15" customHeight="1" s="63">
      <c r="A1968" s="85">
        <f>IF($B1968="","",ROW()-5)</f>
        <v/>
      </c>
      <c r="B1968" s="97" t="n"/>
      <c r="C1968" s="96">
        <f>IF($B1968="","",IFERROR(INDEX(DM_NHAN_SU!$C$6:$C$155,MATCH($B1968,DM_NHAN_SU!$B$6:$B$155,0)),"SAI MÃ NV"))</f>
        <v/>
      </c>
      <c r="D1968" s="86" t="n"/>
      <c r="E1968" s="103">
        <f>IF(OR($B1968="",$D1968=""),"",IF(COUNTIF(THAM_SO_CC!$F$10:$F$40,$D1968)&gt;0,"Lễ",IF(IF(THAM_SO_CC!$B$12="T7+CN",WEEKDAY($D1968,2)&gt;=6,WEEKDAY($D1968,2)=7),"Nghỉ tuần","Ngày thường")))</f>
        <v/>
      </c>
      <c r="F1968" s="107" t="n"/>
      <c r="G1968" s="107" t="n"/>
      <c r="H1968" s="107" t="n"/>
      <c r="I1968" s="81" t="n"/>
      <c r="J1968" s="108">
        <f>IF($B1968="","",IF($E1968="Ngày thường",N($G1968),0))</f>
        <v/>
      </c>
      <c r="K1968" s="108">
        <f>IF($B1968="","",IF($E1968="Nghỉ tuần",N($G1968),0))</f>
        <v/>
      </c>
      <c r="L1968" s="108">
        <f>IF($B1968="","",IF($E1968="Lễ",N($G1968),0))</f>
        <v/>
      </c>
      <c r="M1968" s="108">
        <f>IF($B1968="","",IF($E1968="Ngày thường",N($H1968),0))</f>
        <v/>
      </c>
      <c r="N1968" s="108">
        <f>IF($B1968="","",IF($E1968="Nghỉ tuần",N($H1968),0))</f>
        <v/>
      </c>
      <c r="O1968" s="108">
        <f>IF($B1968="","",IF($E1968="Lễ",N($H1968),0))</f>
        <v/>
      </c>
    </row>
    <row r="1969" ht="15" customHeight="1" s="63">
      <c r="A1969" s="85">
        <f>IF($B1969="","",ROW()-5)</f>
        <v/>
      </c>
      <c r="B1969" s="97" t="n"/>
      <c r="C1969" s="96">
        <f>IF($B1969="","",IFERROR(INDEX(DM_NHAN_SU!$C$6:$C$155,MATCH($B1969,DM_NHAN_SU!$B$6:$B$155,0)),"SAI MÃ NV"))</f>
        <v/>
      </c>
      <c r="D1969" s="86" t="n"/>
      <c r="E1969" s="103">
        <f>IF(OR($B1969="",$D1969=""),"",IF(COUNTIF(THAM_SO_CC!$F$10:$F$40,$D1969)&gt;0,"Lễ",IF(IF(THAM_SO_CC!$B$12="T7+CN",WEEKDAY($D1969,2)&gt;=6,WEEKDAY($D1969,2)=7),"Nghỉ tuần","Ngày thường")))</f>
        <v/>
      </c>
      <c r="F1969" s="107" t="n"/>
      <c r="G1969" s="107" t="n"/>
      <c r="H1969" s="107" t="n"/>
      <c r="I1969" s="81" t="n"/>
      <c r="J1969" s="108">
        <f>IF($B1969="","",IF($E1969="Ngày thường",N($G1969),0))</f>
        <v/>
      </c>
      <c r="K1969" s="108">
        <f>IF($B1969="","",IF($E1969="Nghỉ tuần",N($G1969),0))</f>
        <v/>
      </c>
      <c r="L1969" s="108">
        <f>IF($B1969="","",IF($E1969="Lễ",N($G1969),0))</f>
        <v/>
      </c>
      <c r="M1969" s="108">
        <f>IF($B1969="","",IF($E1969="Ngày thường",N($H1969),0))</f>
        <v/>
      </c>
      <c r="N1969" s="108">
        <f>IF($B1969="","",IF($E1969="Nghỉ tuần",N($H1969),0))</f>
        <v/>
      </c>
      <c r="O1969" s="108">
        <f>IF($B1969="","",IF($E1969="Lễ",N($H1969),0))</f>
        <v/>
      </c>
    </row>
    <row r="1970" ht="15" customHeight="1" s="63">
      <c r="A1970" s="85">
        <f>IF($B1970="","",ROW()-5)</f>
        <v/>
      </c>
      <c r="B1970" s="97" t="n"/>
      <c r="C1970" s="96">
        <f>IF($B1970="","",IFERROR(INDEX(DM_NHAN_SU!$C$6:$C$155,MATCH($B1970,DM_NHAN_SU!$B$6:$B$155,0)),"SAI MÃ NV"))</f>
        <v/>
      </c>
      <c r="D1970" s="86" t="n"/>
      <c r="E1970" s="103">
        <f>IF(OR($B1970="",$D1970=""),"",IF(COUNTIF(THAM_SO_CC!$F$10:$F$40,$D1970)&gt;0,"Lễ",IF(IF(THAM_SO_CC!$B$12="T7+CN",WEEKDAY($D1970,2)&gt;=6,WEEKDAY($D1970,2)=7),"Nghỉ tuần","Ngày thường")))</f>
        <v/>
      </c>
      <c r="F1970" s="107" t="n"/>
      <c r="G1970" s="107" t="n"/>
      <c r="H1970" s="107" t="n"/>
      <c r="I1970" s="81" t="n"/>
      <c r="J1970" s="108">
        <f>IF($B1970="","",IF($E1970="Ngày thường",N($G1970),0))</f>
        <v/>
      </c>
      <c r="K1970" s="108">
        <f>IF($B1970="","",IF($E1970="Nghỉ tuần",N($G1970),0))</f>
        <v/>
      </c>
      <c r="L1970" s="108">
        <f>IF($B1970="","",IF($E1970="Lễ",N($G1970),0))</f>
        <v/>
      </c>
      <c r="M1970" s="108">
        <f>IF($B1970="","",IF($E1970="Ngày thường",N($H1970),0))</f>
        <v/>
      </c>
      <c r="N1970" s="108">
        <f>IF($B1970="","",IF($E1970="Nghỉ tuần",N($H1970),0))</f>
        <v/>
      </c>
      <c r="O1970" s="108">
        <f>IF($B1970="","",IF($E1970="Lễ",N($H1970),0))</f>
        <v/>
      </c>
    </row>
    <row r="1971" ht="15" customHeight="1" s="63">
      <c r="A1971" s="85">
        <f>IF($B1971="","",ROW()-5)</f>
        <v/>
      </c>
      <c r="B1971" s="97" t="n"/>
      <c r="C1971" s="96">
        <f>IF($B1971="","",IFERROR(INDEX(DM_NHAN_SU!$C$6:$C$155,MATCH($B1971,DM_NHAN_SU!$B$6:$B$155,0)),"SAI MÃ NV"))</f>
        <v/>
      </c>
      <c r="D1971" s="86" t="n"/>
      <c r="E1971" s="103">
        <f>IF(OR($B1971="",$D1971=""),"",IF(COUNTIF(THAM_SO_CC!$F$10:$F$40,$D1971)&gt;0,"Lễ",IF(IF(THAM_SO_CC!$B$12="T7+CN",WEEKDAY($D1971,2)&gt;=6,WEEKDAY($D1971,2)=7),"Nghỉ tuần","Ngày thường")))</f>
        <v/>
      </c>
      <c r="F1971" s="107" t="n"/>
      <c r="G1971" s="107" t="n"/>
      <c r="H1971" s="107" t="n"/>
      <c r="I1971" s="81" t="n"/>
      <c r="J1971" s="108">
        <f>IF($B1971="","",IF($E1971="Ngày thường",N($G1971),0))</f>
        <v/>
      </c>
      <c r="K1971" s="108">
        <f>IF($B1971="","",IF($E1971="Nghỉ tuần",N($G1971),0))</f>
        <v/>
      </c>
      <c r="L1971" s="108">
        <f>IF($B1971="","",IF($E1971="Lễ",N($G1971),0))</f>
        <v/>
      </c>
      <c r="M1971" s="108">
        <f>IF($B1971="","",IF($E1971="Ngày thường",N($H1971),0))</f>
        <v/>
      </c>
      <c r="N1971" s="108">
        <f>IF($B1971="","",IF($E1971="Nghỉ tuần",N($H1971),0))</f>
        <v/>
      </c>
      <c r="O1971" s="108">
        <f>IF($B1971="","",IF($E1971="Lễ",N($H1971),0))</f>
        <v/>
      </c>
    </row>
    <row r="1972" ht="15" customHeight="1" s="63">
      <c r="A1972" s="85">
        <f>IF($B1972="","",ROW()-5)</f>
        <v/>
      </c>
      <c r="B1972" s="97" t="n"/>
      <c r="C1972" s="96">
        <f>IF($B1972="","",IFERROR(INDEX(DM_NHAN_SU!$C$6:$C$155,MATCH($B1972,DM_NHAN_SU!$B$6:$B$155,0)),"SAI MÃ NV"))</f>
        <v/>
      </c>
      <c r="D1972" s="86" t="n"/>
      <c r="E1972" s="103">
        <f>IF(OR($B1972="",$D1972=""),"",IF(COUNTIF(THAM_SO_CC!$F$10:$F$40,$D1972)&gt;0,"Lễ",IF(IF(THAM_SO_CC!$B$12="T7+CN",WEEKDAY($D1972,2)&gt;=6,WEEKDAY($D1972,2)=7),"Nghỉ tuần","Ngày thường")))</f>
        <v/>
      </c>
      <c r="F1972" s="107" t="n"/>
      <c r="G1972" s="107" t="n"/>
      <c r="H1972" s="107" t="n"/>
      <c r="I1972" s="81" t="n"/>
      <c r="J1972" s="108">
        <f>IF($B1972="","",IF($E1972="Ngày thường",N($G1972),0))</f>
        <v/>
      </c>
      <c r="K1972" s="108">
        <f>IF($B1972="","",IF($E1972="Nghỉ tuần",N($G1972),0))</f>
        <v/>
      </c>
      <c r="L1972" s="108">
        <f>IF($B1972="","",IF($E1972="Lễ",N($G1972),0))</f>
        <v/>
      </c>
      <c r="M1972" s="108">
        <f>IF($B1972="","",IF($E1972="Ngày thường",N($H1972),0))</f>
        <v/>
      </c>
      <c r="N1972" s="108">
        <f>IF($B1972="","",IF($E1972="Nghỉ tuần",N($H1972),0))</f>
        <v/>
      </c>
      <c r="O1972" s="108">
        <f>IF($B1972="","",IF($E1972="Lễ",N($H1972),0))</f>
        <v/>
      </c>
    </row>
    <row r="1973" ht="15" customHeight="1" s="63">
      <c r="A1973" s="85">
        <f>IF($B1973="","",ROW()-5)</f>
        <v/>
      </c>
      <c r="B1973" s="97" t="n"/>
      <c r="C1973" s="96">
        <f>IF($B1973="","",IFERROR(INDEX(DM_NHAN_SU!$C$6:$C$155,MATCH($B1973,DM_NHAN_SU!$B$6:$B$155,0)),"SAI MÃ NV"))</f>
        <v/>
      </c>
      <c r="D1973" s="86" t="n"/>
      <c r="E1973" s="103">
        <f>IF(OR($B1973="",$D1973=""),"",IF(COUNTIF(THAM_SO_CC!$F$10:$F$40,$D1973)&gt;0,"Lễ",IF(IF(THAM_SO_CC!$B$12="T7+CN",WEEKDAY($D1973,2)&gt;=6,WEEKDAY($D1973,2)=7),"Nghỉ tuần","Ngày thường")))</f>
        <v/>
      </c>
      <c r="F1973" s="107" t="n"/>
      <c r="G1973" s="107" t="n"/>
      <c r="H1973" s="107" t="n"/>
      <c r="I1973" s="81" t="n"/>
      <c r="J1973" s="108">
        <f>IF($B1973="","",IF($E1973="Ngày thường",N($G1973),0))</f>
        <v/>
      </c>
      <c r="K1973" s="108">
        <f>IF($B1973="","",IF($E1973="Nghỉ tuần",N($G1973),0))</f>
        <v/>
      </c>
      <c r="L1973" s="108">
        <f>IF($B1973="","",IF($E1973="Lễ",N($G1973),0))</f>
        <v/>
      </c>
      <c r="M1973" s="108">
        <f>IF($B1973="","",IF($E1973="Ngày thường",N($H1973),0))</f>
        <v/>
      </c>
      <c r="N1973" s="108">
        <f>IF($B1973="","",IF($E1973="Nghỉ tuần",N($H1973),0))</f>
        <v/>
      </c>
      <c r="O1973" s="108">
        <f>IF($B1973="","",IF($E1973="Lễ",N($H1973),0))</f>
        <v/>
      </c>
    </row>
    <row r="1974" ht="15" customHeight="1" s="63">
      <c r="A1974" s="85">
        <f>IF($B1974="","",ROW()-5)</f>
        <v/>
      </c>
      <c r="B1974" s="97" t="n"/>
      <c r="C1974" s="96">
        <f>IF($B1974="","",IFERROR(INDEX(DM_NHAN_SU!$C$6:$C$155,MATCH($B1974,DM_NHAN_SU!$B$6:$B$155,0)),"SAI MÃ NV"))</f>
        <v/>
      </c>
      <c r="D1974" s="86" t="n"/>
      <c r="E1974" s="103">
        <f>IF(OR($B1974="",$D1974=""),"",IF(COUNTIF(THAM_SO_CC!$F$10:$F$40,$D1974)&gt;0,"Lễ",IF(IF(THAM_SO_CC!$B$12="T7+CN",WEEKDAY($D1974,2)&gt;=6,WEEKDAY($D1974,2)=7),"Nghỉ tuần","Ngày thường")))</f>
        <v/>
      </c>
      <c r="F1974" s="107" t="n"/>
      <c r="G1974" s="107" t="n"/>
      <c r="H1974" s="107" t="n"/>
      <c r="I1974" s="81" t="n"/>
      <c r="J1974" s="108">
        <f>IF($B1974="","",IF($E1974="Ngày thường",N($G1974),0))</f>
        <v/>
      </c>
      <c r="K1974" s="108">
        <f>IF($B1974="","",IF($E1974="Nghỉ tuần",N($G1974),0))</f>
        <v/>
      </c>
      <c r="L1974" s="108">
        <f>IF($B1974="","",IF($E1974="Lễ",N($G1974),0))</f>
        <v/>
      </c>
      <c r="M1974" s="108">
        <f>IF($B1974="","",IF($E1974="Ngày thường",N($H1974),0))</f>
        <v/>
      </c>
      <c r="N1974" s="108">
        <f>IF($B1974="","",IF($E1974="Nghỉ tuần",N($H1974),0))</f>
        <v/>
      </c>
      <c r="O1974" s="108">
        <f>IF($B1974="","",IF($E1974="Lễ",N($H1974),0))</f>
        <v/>
      </c>
    </row>
    <row r="1975" ht="15" customHeight="1" s="63">
      <c r="A1975" s="85">
        <f>IF($B1975="","",ROW()-5)</f>
        <v/>
      </c>
      <c r="B1975" s="97" t="n"/>
      <c r="C1975" s="96">
        <f>IF($B1975="","",IFERROR(INDEX(DM_NHAN_SU!$C$6:$C$155,MATCH($B1975,DM_NHAN_SU!$B$6:$B$155,0)),"SAI MÃ NV"))</f>
        <v/>
      </c>
      <c r="D1975" s="86" t="n"/>
      <c r="E1975" s="103">
        <f>IF(OR($B1975="",$D1975=""),"",IF(COUNTIF(THAM_SO_CC!$F$10:$F$40,$D1975)&gt;0,"Lễ",IF(IF(THAM_SO_CC!$B$12="T7+CN",WEEKDAY($D1975,2)&gt;=6,WEEKDAY($D1975,2)=7),"Nghỉ tuần","Ngày thường")))</f>
        <v/>
      </c>
      <c r="F1975" s="107" t="n"/>
      <c r="G1975" s="107" t="n"/>
      <c r="H1975" s="107" t="n"/>
      <c r="I1975" s="81" t="n"/>
      <c r="J1975" s="108">
        <f>IF($B1975="","",IF($E1975="Ngày thường",N($G1975),0))</f>
        <v/>
      </c>
      <c r="K1975" s="108">
        <f>IF($B1975="","",IF($E1975="Nghỉ tuần",N($G1975),0))</f>
        <v/>
      </c>
      <c r="L1975" s="108">
        <f>IF($B1975="","",IF($E1975="Lễ",N($G1975),0))</f>
        <v/>
      </c>
      <c r="M1975" s="108">
        <f>IF($B1975="","",IF($E1975="Ngày thường",N($H1975),0))</f>
        <v/>
      </c>
      <c r="N1975" s="108">
        <f>IF($B1975="","",IF($E1975="Nghỉ tuần",N($H1975),0))</f>
        <v/>
      </c>
      <c r="O1975" s="108">
        <f>IF($B1975="","",IF($E1975="Lễ",N($H1975),0))</f>
        <v/>
      </c>
    </row>
    <row r="1976" ht="15" customHeight="1" s="63">
      <c r="A1976" s="85">
        <f>IF($B1976="","",ROW()-5)</f>
        <v/>
      </c>
      <c r="B1976" s="97" t="n"/>
      <c r="C1976" s="96">
        <f>IF($B1976="","",IFERROR(INDEX(DM_NHAN_SU!$C$6:$C$155,MATCH($B1976,DM_NHAN_SU!$B$6:$B$155,0)),"SAI MÃ NV"))</f>
        <v/>
      </c>
      <c r="D1976" s="86" t="n"/>
      <c r="E1976" s="103">
        <f>IF(OR($B1976="",$D1976=""),"",IF(COUNTIF(THAM_SO_CC!$F$10:$F$40,$D1976)&gt;0,"Lễ",IF(IF(THAM_SO_CC!$B$12="T7+CN",WEEKDAY($D1976,2)&gt;=6,WEEKDAY($D1976,2)=7),"Nghỉ tuần","Ngày thường")))</f>
        <v/>
      </c>
      <c r="F1976" s="107" t="n"/>
      <c r="G1976" s="107" t="n"/>
      <c r="H1976" s="107" t="n"/>
      <c r="I1976" s="81" t="n"/>
      <c r="J1976" s="108">
        <f>IF($B1976="","",IF($E1976="Ngày thường",N($G1976),0))</f>
        <v/>
      </c>
      <c r="K1976" s="108">
        <f>IF($B1976="","",IF($E1976="Nghỉ tuần",N($G1976),0))</f>
        <v/>
      </c>
      <c r="L1976" s="108">
        <f>IF($B1976="","",IF($E1976="Lễ",N($G1976),0))</f>
        <v/>
      </c>
      <c r="M1976" s="108">
        <f>IF($B1976="","",IF($E1976="Ngày thường",N($H1976),0))</f>
        <v/>
      </c>
      <c r="N1976" s="108">
        <f>IF($B1976="","",IF($E1976="Nghỉ tuần",N($H1976),0))</f>
        <v/>
      </c>
      <c r="O1976" s="108">
        <f>IF($B1976="","",IF($E1976="Lễ",N($H1976),0))</f>
        <v/>
      </c>
    </row>
    <row r="1977" ht="15" customHeight="1" s="63">
      <c r="A1977" s="85">
        <f>IF($B1977="","",ROW()-5)</f>
        <v/>
      </c>
      <c r="B1977" s="97" t="n"/>
      <c r="C1977" s="96">
        <f>IF($B1977="","",IFERROR(INDEX(DM_NHAN_SU!$C$6:$C$155,MATCH($B1977,DM_NHAN_SU!$B$6:$B$155,0)),"SAI MÃ NV"))</f>
        <v/>
      </c>
      <c r="D1977" s="86" t="n"/>
      <c r="E1977" s="103">
        <f>IF(OR($B1977="",$D1977=""),"",IF(COUNTIF(THAM_SO_CC!$F$10:$F$40,$D1977)&gt;0,"Lễ",IF(IF(THAM_SO_CC!$B$12="T7+CN",WEEKDAY($D1977,2)&gt;=6,WEEKDAY($D1977,2)=7),"Nghỉ tuần","Ngày thường")))</f>
        <v/>
      </c>
      <c r="F1977" s="107" t="n"/>
      <c r="G1977" s="107" t="n"/>
      <c r="H1977" s="107" t="n"/>
      <c r="I1977" s="81" t="n"/>
      <c r="J1977" s="108">
        <f>IF($B1977="","",IF($E1977="Ngày thường",N($G1977),0))</f>
        <v/>
      </c>
      <c r="K1977" s="108">
        <f>IF($B1977="","",IF($E1977="Nghỉ tuần",N($G1977),0))</f>
        <v/>
      </c>
      <c r="L1977" s="108">
        <f>IF($B1977="","",IF($E1977="Lễ",N($G1977),0))</f>
        <v/>
      </c>
      <c r="M1977" s="108">
        <f>IF($B1977="","",IF($E1977="Ngày thường",N($H1977),0))</f>
        <v/>
      </c>
      <c r="N1977" s="108">
        <f>IF($B1977="","",IF($E1977="Nghỉ tuần",N($H1977),0))</f>
        <v/>
      </c>
      <c r="O1977" s="108">
        <f>IF($B1977="","",IF($E1977="Lễ",N($H1977),0))</f>
        <v/>
      </c>
    </row>
    <row r="1978" ht="15" customHeight="1" s="63">
      <c r="A1978" s="85">
        <f>IF($B1978="","",ROW()-5)</f>
        <v/>
      </c>
      <c r="B1978" s="97" t="n"/>
      <c r="C1978" s="96">
        <f>IF($B1978="","",IFERROR(INDEX(DM_NHAN_SU!$C$6:$C$155,MATCH($B1978,DM_NHAN_SU!$B$6:$B$155,0)),"SAI MÃ NV"))</f>
        <v/>
      </c>
      <c r="D1978" s="86" t="n"/>
      <c r="E1978" s="103">
        <f>IF(OR($B1978="",$D1978=""),"",IF(COUNTIF(THAM_SO_CC!$F$10:$F$40,$D1978)&gt;0,"Lễ",IF(IF(THAM_SO_CC!$B$12="T7+CN",WEEKDAY($D1978,2)&gt;=6,WEEKDAY($D1978,2)=7),"Nghỉ tuần","Ngày thường")))</f>
        <v/>
      </c>
      <c r="F1978" s="107" t="n"/>
      <c r="G1978" s="107" t="n"/>
      <c r="H1978" s="107" t="n"/>
      <c r="I1978" s="81" t="n"/>
      <c r="J1978" s="108">
        <f>IF($B1978="","",IF($E1978="Ngày thường",N($G1978),0))</f>
        <v/>
      </c>
      <c r="K1978" s="108">
        <f>IF($B1978="","",IF($E1978="Nghỉ tuần",N($G1978),0))</f>
        <v/>
      </c>
      <c r="L1978" s="108">
        <f>IF($B1978="","",IF($E1978="Lễ",N($G1978),0))</f>
        <v/>
      </c>
      <c r="M1978" s="108">
        <f>IF($B1978="","",IF($E1978="Ngày thường",N($H1978),0))</f>
        <v/>
      </c>
      <c r="N1978" s="108">
        <f>IF($B1978="","",IF($E1978="Nghỉ tuần",N($H1978),0))</f>
        <v/>
      </c>
      <c r="O1978" s="108">
        <f>IF($B1978="","",IF($E1978="Lễ",N($H1978),0))</f>
        <v/>
      </c>
    </row>
    <row r="1979" ht="15" customHeight="1" s="63">
      <c r="A1979" s="85">
        <f>IF($B1979="","",ROW()-5)</f>
        <v/>
      </c>
      <c r="B1979" s="97" t="n"/>
      <c r="C1979" s="96">
        <f>IF($B1979="","",IFERROR(INDEX(DM_NHAN_SU!$C$6:$C$155,MATCH($B1979,DM_NHAN_SU!$B$6:$B$155,0)),"SAI MÃ NV"))</f>
        <v/>
      </c>
      <c r="D1979" s="86" t="n"/>
      <c r="E1979" s="103">
        <f>IF(OR($B1979="",$D1979=""),"",IF(COUNTIF(THAM_SO_CC!$F$10:$F$40,$D1979)&gt;0,"Lễ",IF(IF(THAM_SO_CC!$B$12="T7+CN",WEEKDAY($D1979,2)&gt;=6,WEEKDAY($D1979,2)=7),"Nghỉ tuần","Ngày thường")))</f>
        <v/>
      </c>
      <c r="F1979" s="107" t="n"/>
      <c r="G1979" s="107" t="n"/>
      <c r="H1979" s="107" t="n"/>
      <c r="I1979" s="81" t="n"/>
      <c r="J1979" s="108">
        <f>IF($B1979="","",IF($E1979="Ngày thường",N($G1979),0))</f>
        <v/>
      </c>
      <c r="K1979" s="108">
        <f>IF($B1979="","",IF($E1979="Nghỉ tuần",N($G1979),0))</f>
        <v/>
      </c>
      <c r="L1979" s="108">
        <f>IF($B1979="","",IF($E1979="Lễ",N($G1979),0))</f>
        <v/>
      </c>
      <c r="M1979" s="108">
        <f>IF($B1979="","",IF($E1979="Ngày thường",N($H1979),0))</f>
        <v/>
      </c>
      <c r="N1979" s="108">
        <f>IF($B1979="","",IF($E1979="Nghỉ tuần",N($H1979),0))</f>
        <v/>
      </c>
      <c r="O1979" s="108">
        <f>IF($B1979="","",IF($E1979="Lễ",N($H1979),0))</f>
        <v/>
      </c>
    </row>
    <row r="1980" ht="15" customHeight="1" s="63">
      <c r="A1980" s="85">
        <f>IF($B1980="","",ROW()-5)</f>
        <v/>
      </c>
      <c r="B1980" s="97" t="n"/>
      <c r="C1980" s="96">
        <f>IF($B1980="","",IFERROR(INDEX(DM_NHAN_SU!$C$6:$C$155,MATCH($B1980,DM_NHAN_SU!$B$6:$B$155,0)),"SAI MÃ NV"))</f>
        <v/>
      </c>
      <c r="D1980" s="86" t="n"/>
      <c r="E1980" s="103">
        <f>IF(OR($B1980="",$D1980=""),"",IF(COUNTIF(THAM_SO_CC!$F$10:$F$40,$D1980)&gt;0,"Lễ",IF(IF(THAM_SO_CC!$B$12="T7+CN",WEEKDAY($D1980,2)&gt;=6,WEEKDAY($D1980,2)=7),"Nghỉ tuần","Ngày thường")))</f>
        <v/>
      </c>
      <c r="F1980" s="107" t="n"/>
      <c r="G1980" s="107" t="n"/>
      <c r="H1980" s="107" t="n"/>
      <c r="I1980" s="81" t="n"/>
      <c r="J1980" s="108">
        <f>IF($B1980="","",IF($E1980="Ngày thường",N($G1980),0))</f>
        <v/>
      </c>
      <c r="K1980" s="108">
        <f>IF($B1980="","",IF($E1980="Nghỉ tuần",N($G1980),0))</f>
        <v/>
      </c>
      <c r="L1980" s="108">
        <f>IF($B1980="","",IF($E1980="Lễ",N($G1980),0))</f>
        <v/>
      </c>
      <c r="M1980" s="108">
        <f>IF($B1980="","",IF($E1980="Ngày thường",N($H1980),0))</f>
        <v/>
      </c>
      <c r="N1980" s="108">
        <f>IF($B1980="","",IF($E1980="Nghỉ tuần",N($H1980),0))</f>
        <v/>
      </c>
      <c r="O1980" s="108">
        <f>IF($B1980="","",IF($E1980="Lễ",N($H1980),0))</f>
        <v/>
      </c>
    </row>
    <row r="1981" ht="15" customHeight="1" s="63">
      <c r="A1981" s="85">
        <f>IF($B1981="","",ROW()-5)</f>
        <v/>
      </c>
      <c r="B1981" s="97" t="n"/>
      <c r="C1981" s="96">
        <f>IF($B1981="","",IFERROR(INDEX(DM_NHAN_SU!$C$6:$C$155,MATCH($B1981,DM_NHAN_SU!$B$6:$B$155,0)),"SAI MÃ NV"))</f>
        <v/>
      </c>
      <c r="D1981" s="86" t="n"/>
      <c r="E1981" s="103">
        <f>IF(OR($B1981="",$D1981=""),"",IF(COUNTIF(THAM_SO_CC!$F$10:$F$40,$D1981)&gt;0,"Lễ",IF(IF(THAM_SO_CC!$B$12="T7+CN",WEEKDAY($D1981,2)&gt;=6,WEEKDAY($D1981,2)=7),"Nghỉ tuần","Ngày thường")))</f>
        <v/>
      </c>
      <c r="F1981" s="107" t="n"/>
      <c r="G1981" s="107" t="n"/>
      <c r="H1981" s="107" t="n"/>
      <c r="I1981" s="81" t="n"/>
      <c r="J1981" s="108">
        <f>IF($B1981="","",IF($E1981="Ngày thường",N($G1981),0))</f>
        <v/>
      </c>
      <c r="K1981" s="108">
        <f>IF($B1981="","",IF($E1981="Nghỉ tuần",N($G1981),0))</f>
        <v/>
      </c>
      <c r="L1981" s="108">
        <f>IF($B1981="","",IF($E1981="Lễ",N($G1981),0))</f>
        <v/>
      </c>
      <c r="M1981" s="108">
        <f>IF($B1981="","",IF($E1981="Ngày thường",N($H1981),0))</f>
        <v/>
      </c>
      <c r="N1981" s="108">
        <f>IF($B1981="","",IF($E1981="Nghỉ tuần",N($H1981),0))</f>
        <v/>
      </c>
      <c r="O1981" s="108">
        <f>IF($B1981="","",IF($E1981="Lễ",N($H1981),0))</f>
        <v/>
      </c>
    </row>
    <row r="1982" ht="15" customHeight="1" s="63">
      <c r="A1982" s="85">
        <f>IF($B1982="","",ROW()-5)</f>
        <v/>
      </c>
      <c r="B1982" s="97" t="n"/>
      <c r="C1982" s="96">
        <f>IF($B1982="","",IFERROR(INDEX(DM_NHAN_SU!$C$6:$C$155,MATCH($B1982,DM_NHAN_SU!$B$6:$B$155,0)),"SAI MÃ NV"))</f>
        <v/>
      </c>
      <c r="D1982" s="86" t="n"/>
      <c r="E1982" s="103">
        <f>IF(OR($B1982="",$D1982=""),"",IF(COUNTIF(THAM_SO_CC!$F$10:$F$40,$D1982)&gt;0,"Lễ",IF(IF(THAM_SO_CC!$B$12="T7+CN",WEEKDAY($D1982,2)&gt;=6,WEEKDAY($D1982,2)=7),"Nghỉ tuần","Ngày thường")))</f>
        <v/>
      </c>
      <c r="F1982" s="107" t="n"/>
      <c r="G1982" s="107" t="n"/>
      <c r="H1982" s="107" t="n"/>
      <c r="I1982" s="81" t="n"/>
      <c r="J1982" s="108">
        <f>IF($B1982="","",IF($E1982="Ngày thường",N($G1982),0))</f>
        <v/>
      </c>
      <c r="K1982" s="108">
        <f>IF($B1982="","",IF($E1982="Nghỉ tuần",N($G1982),0))</f>
        <v/>
      </c>
      <c r="L1982" s="108">
        <f>IF($B1982="","",IF($E1982="Lễ",N($G1982),0))</f>
        <v/>
      </c>
      <c r="M1982" s="108">
        <f>IF($B1982="","",IF($E1982="Ngày thường",N($H1982),0))</f>
        <v/>
      </c>
      <c r="N1982" s="108">
        <f>IF($B1982="","",IF($E1982="Nghỉ tuần",N($H1982),0))</f>
        <v/>
      </c>
      <c r="O1982" s="108">
        <f>IF($B1982="","",IF($E1982="Lễ",N($H1982),0))</f>
        <v/>
      </c>
    </row>
    <row r="1983" ht="15" customHeight="1" s="63">
      <c r="A1983" s="85">
        <f>IF($B1983="","",ROW()-5)</f>
        <v/>
      </c>
      <c r="B1983" s="97" t="n"/>
      <c r="C1983" s="96">
        <f>IF($B1983="","",IFERROR(INDEX(DM_NHAN_SU!$C$6:$C$155,MATCH($B1983,DM_NHAN_SU!$B$6:$B$155,0)),"SAI MÃ NV"))</f>
        <v/>
      </c>
      <c r="D1983" s="86" t="n"/>
      <c r="E1983" s="103">
        <f>IF(OR($B1983="",$D1983=""),"",IF(COUNTIF(THAM_SO_CC!$F$10:$F$40,$D1983)&gt;0,"Lễ",IF(IF(THAM_SO_CC!$B$12="T7+CN",WEEKDAY($D1983,2)&gt;=6,WEEKDAY($D1983,2)=7),"Nghỉ tuần","Ngày thường")))</f>
        <v/>
      </c>
      <c r="F1983" s="107" t="n"/>
      <c r="G1983" s="107" t="n"/>
      <c r="H1983" s="107" t="n"/>
      <c r="I1983" s="81" t="n"/>
      <c r="J1983" s="108">
        <f>IF($B1983="","",IF($E1983="Ngày thường",N($G1983),0))</f>
        <v/>
      </c>
      <c r="K1983" s="108">
        <f>IF($B1983="","",IF($E1983="Nghỉ tuần",N($G1983),0))</f>
        <v/>
      </c>
      <c r="L1983" s="108">
        <f>IF($B1983="","",IF($E1983="Lễ",N($G1983),0))</f>
        <v/>
      </c>
      <c r="M1983" s="108">
        <f>IF($B1983="","",IF($E1983="Ngày thường",N($H1983),0))</f>
        <v/>
      </c>
      <c r="N1983" s="108">
        <f>IF($B1983="","",IF($E1983="Nghỉ tuần",N($H1983),0))</f>
        <v/>
      </c>
      <c r="O1983" s="108">
        <f>IF($B1983="","",IF($E1983="Lễ",N($H1983),0))</f>
        <v/>
      </c>
    </row>
    <row r="1984" ht="15" customHeight="1" s="63">
      <c r="A1984" s="85">
        <f>IF($B1984="","",ROW()-5)</f>
        <v/>
      </c>
      <c r="B1984" s="97" t="n"/>
      <c r="C1984" s="96">
        <f>IF($B1984="","",IFERROR(INDEX(DM_NHAN_SU!$C$6:$C$155,MATCH($B1984,DM_NHAN_SU!$B$6:$B$155,0)),"SAI MÃ NV"))</f>
        <v/>
      </c>
      <c r="D1984" s="86" t="n"/>
      <c r="E1984" s="103">
        <f>IF(OR($B1984="",$D1984=""),"",IF(COUNTIF(THAM_SO_CC!$F$10:$F$40,$D1984)&gt;0,"Lễ",IF(IF(THAM_SO_CC!$B$12="T7+CN",WEEKDAY($D1984,2)&gt;=6,WEEKDAY($D1984,2)=7),"Nghỉ tuần","Ngày thường")))</f>
        <v/>
      </c>
      <c r="F1984" s="107" t="n"/>
      <c r="G1984" s="107" t="n"/>
      <c r="H1984" s="107" t="n"/>
      <c r="I1984" s="81" t="n"/>
      <c r="J1984" s="108">
        <f>IF($B1984="","",IF($E1984="Ngày thường",N($G1984),0))</f>
        <v/>
      </c>
      <c r="K1984" s="108">
        <f>IF($B1984="","",IF($E1984="Nghỉ tuần",N($G1984),0))</f>
        <v/>
      </c>
      <c r="L1984" s="108">
        <f>IF($B1984="","",IF($E1984="Lễ",N($G1984),0))</f>
        <v/>
      </c>
      <c r="M1984" s="108">
        <f>IF($B1984="","",IF($E1984="Ngày thường",N($H1984),0))</f>
        <v/>
      </c>
      <c r="N1984" s="108">
        <f>IF($B1984="","",IF($E1984="Nghỉ tuần",N($H1984),0))</f>
        <v/>
      </c>
      <c r="O1984" s="108">
        <f>IF($B1984="","",IF($E1984="Lễ",N($H1984),0))</f>
        <v/>
      </c>
    </row>
    <row r="1985" ht="15" customHeight="1" s="63">
      <c r="A1985" s="85">
        <f>IF($B1985="","",ROW()-5)</f>
        <v/>
      </c>
      <c r="B1985" s="97" t="n"/>
      <c r="C1985" s="96">
        <f>IF($B1985="","",IFERROR(INDEX(DM_NHAN_SU!$C$6:$C$155,MATCH($B1985,DM_NHAN_SU!$B$6:$B$155,0)),"SAI MÃ NV"))</f>
        <v/>
      </c>
      <c r="D1985" s="86" t="n"/>
      <c r="E1985" s="103">
        <f>IF(OR($B1985="",$D1985=""),"",IF(COUNTIF(THAM_SO_CC!$F$10:$F$40,$D1985)&gt;0,"Lễ",IF(IF(THAM_SO_CC!$B$12="T7+CN",WEEKDAY($D1985,2)&gt;=6,WEEKDAY($D1985,2)=7),"Nghỉ tuần","Ngày thường")))</f>
        <v/>
      </c>
      <c r="F1985" s="107" t="n"/>
      <c r="G1985" s="107" t="n"/>
      <c r="H1985" s="107" t="n"/>
      <c r="I1985" s="81" t="n"/>
      <c r="J1985" s="108">
        <f>IF($B1985="","",IF($E1985="Ngày thường",N($G1985),0))</f>
        <v/>
      </c>
      <c r="K1985" s="108">
        <f>IF($B1985="","",IF($E1985="Nghỉ tuần",N($G1985),0))</f>
        <v/>
      </c>
      <c r="L1985" s="108">
        <f>IF($B1985="","",IF($E1985="Lễ",N($G1985),0))</f>
        <v/>
      </c>
      <c r="M1985" s="108">
        <f>IF($B1985="","",IF($E1985="Ngày thường",N($H1985),0))</f>
        <v/>
      </c>
      <c r="N1985" s="108">
        <f>IF($B1985="","",IF($E1985="Nghỉ tuần",N($H1985),0))</f>
        <v/>
      </c>
      <c r="O1985" s="108">
        <f>IF($B1985="","",IF($E1985="Lễ",N($H1985),0))</f>
        <v/>
      </c>
    </row>
    <row r="1986" ht="15" customHeight="1" s="63">
      <c r="A1986" s="85">
        <f>IF($B1986="","",ROW()-5)</f>
        <v/>
      </c>
      <c r="B1986" s="97" t="n"/>
      <c r="C1986" s="96">
        <f>IF($B1986="","",IFERROR(INDEX(DM_NHAN_SU!$C$6:$C$155,MATCH($B1986,DM_NHAN_SU!$B$6:$B$155,0)),"SAI MÃ NV"))</f>
        <v/>
      </c>
      <c r="D1986" s="86" t="n"/>
      <c r="E1986" s="103">
        <f>IF(OR($B1986="",$D1986=""),"",IF(COUNTIF(THAM_SO_CC!$F$10:$F$40,$D1986)&gt;0,"Lễ",IF(IF(THAM_SO_CC!$B$12="T7+CN",WEEKDAY($D1986,2)&gt;=6,WEEKDAY($D1986,2)=7),"Nghỉ tuần","Ngày thường")))</f>
        <v/>
      </c>
      <c r="F1986" s="107" t="n"/>
      <c r="G1986" s="107" t="n"/>
      <c r="H1986" s="107" t="n"/>
      <c r="I1986" s="81" t="n"/>
      <c r="J1986" s="108">
        <f>IF($B1986="","",IF($E1986="Ngày thường",N($G1986),0))</f>
        <v/>
      </c>
      <c r="K1986" s="108">
        <f>IF($B1986="","",IF($E1986="Nghỉ tuần",N($G1986),0))</f>
        <v/>
      </c>
      <c r="L1986" s="108">
        <f>IF($B1986="","",IF($E1986="Lễ",N($G1986),0))</f>
        <v/>
      </c>
      <c r="M1986" s="108">
        <f>IF($B1986="","",IF($E1986="Ngày thường",N($H1986),0))</f>
        <v/>
      </c>
      <c r="N1986" s="108">
        <f>IF($B1986="","",IF($E1986="Nghỉ tuần",N($H1986),0))</f>
        <v/>
      </c>
      <c r="O1986" s="108">
        <f>IF($B1986="","",IF($E1986="Lễ",N($H1986),0))</f>
        <v/>
      </c>
    </row>
    <row r="1987" ht="15" customHeight="1" s="63">
      <c r="A1987" s="85">
        <f>IF($B1987="","",ROW()-5)</f>
        <v/>
      </c>
      <c r="B1987" s="97" t="n"/>
      <c r="C1987" s="96">
        <f>IF($B1987="","",IFERROR(INDEX(DM_NHAN_SU!$C$6:$C$155,MATCH($B1987,DM_NHAN_SU!$B$6:$B$155,0)),"SAI MÃ NV"))</f>
        <v/>
      </c>
      <c r="D1987" s="86" t="n"/>
      <c r="E1987" s="103">
        <f>IF(OR($B1987="",$D1987=""),"",IF(COUNTIF(THAM_SO_CC!$F$10:$F$40,$D1987)&gt;0,"Lễ",IF(IF(THAM_SO_CC!$B$12="T7+CN",WEEKDAY($D1987,2)&gt;=6,WEEKDAY($D1987,2)=7),"Nghỉ tuần","Ngày thường")))</f>
        <v/>
      </c>
      <c r="F1987" s="107" t="n"/>
      <c r="G1987" s="107" t="n"/>
      <c r="H1987" s="107" t="n"/>
      <c r="I1987" s="81" t="n"/>
      <c r="J1987" s="108">
        <f>IF($B1987="","",IF($E1987="Ngày thường",N($G1987),0))</f>
        <v/>
      </c>
      <c r="K1987" s="108">
        <f>IF($B1987="","",IF($E1987="Nghỉ tuần",N($G1987),0))</f>
        <v/>
      </c>
      <c r="L1987" s="108">
        <f>IF($B1987="","",IF($E1987="Lễ",N($G1987),0))</f>
        <v/>
      </c>
      <c r="M1987" s="108">
        <f>IF($B1987="","",IF($E1987="Ngày thường",N($H1987),0))</f>
        <v/>
      </c>
      <c r="N1987" s="108">
        <f>IF($B1987="","",IF($E1987="Nghỉ tuần",N($H1987),0))</f>
        <v/>
      </c>
      <c r="O1987" s="108">
        <f>IF($B1987="","",IF($E1987="Lễ",N($H1987),0))</f>
        <v/>
      </c>
    </row>
    <row r="1988" ht="15" customHeight="1" s="63">
      <c r="A1988" s="85">
        <f>IF($B1988="","",ROW()-5)</f>
        <v/>
      </c>
      <c r="B1988" s="97" t="n"/>
      <c r="C1988" s="96">
        <f>IF($B1988="","",IFERROR(INDEX(DM_NHAN_SU!$C$6:$C$155,MATCH($B1988,DM_NHAN_SU!$B$6:$B$155,0)),"SAI MÃ NV"))</f>
        <v/>
      </c>
      <c r="D1988" s="86" t="n"/>
      <c r="E1988" s="103">
        <f>IF(OR($B1988="",$D1988=""),"",IF(COUNTIF(THAM_SO_CC!$F$10:$F$40,$D1988)&gt;0,"Lễ",IF(IF(THAM_SO_CC!$B$12="T7+CN",WEEKDAY($D1988,2)&gt;=6,WEEKDAY($D1988,2)=7),"Nghỉ tuần","Ngày thường")))</f>
        <v/>
      </c>
      <c r="F1988" s="107" t="n"/>
      <c r="G1988" s="107" t="n"/>
      <c r="H1988" s="107" t="n"/>
      <c r="I1988" s="81" t="n"/>
      <c r="J1988" s="108">
        <f>IF($B1988="","",IF($E1988="Ngày thường",N($G1988),0))</f>
        <v/>
      </c>
      <c r="K1988" s="108">
        <f>IF($B1988="","",IF($E1988="Nghỉ tuần",N($G1988),0))</f>
        <v/>
      </c>
      <c r="L1988" s="108">
        <f>IF($B1988="","",IF($E1988="Lễ",N($G1988),0))</f>
        <v/>
      </c>
      <c r="M1988" s="108">
        <f>IF($B1988="","",IF($E1988="Ngày thường",N($H1988),0))</f>
        <v/>
      </c>
      <c r="N1988" s="108">
        <f>IF($B1988="","",IF($E1988="Nghỉ tuần",N($H1988),0))</f>
        <v/>
      </c>
      <c r="O1988" s="108">
        <f>IF($B1988="","",IF($E1988="Lễ",N($H1988),0))</f>
        <v/>
      </c>
    </row>
    <row r="1989" ht="15" customHeight="1" s="63">
      <c r="A1989" s="85">
        <f>IF($B1989="","",ROW()-5)</f>
        <v/>
      </c>
      <c r="B1989" s="97" t="n"/>
      <c r="C1989" s="96">
        <f>IF($B1989="","",IFERROR(INDEX(DM_NHAN_SU!$C$6:$C$155,MATCH($B1989,DM_NHAN_SU!$B$6:$B$155,0)),"SAI MÃ NV"))</f>
        <v/>
      </c>
      <c r="D1989" s="86" t="n"/>
      <c r="E1989" s="103">
        <f>IF(OR($B1989="",$D1989=""),"",IF(COUNTIF(THAM_SO_CC!$F$10:$F$40,$D1989)&gt;0,"Lễ",IF(IF(THAM_SO_CC!$B$12="T7+CN",WEEKDAY($D1989,2)&gt;=6,WEEKDAY($D1989,2)=7),"Nghỉ tuần","Ngày thường")))</f>
        <v/>
      </c>
      <c r="F1989" s="107" t="n"/>
      <c r="G1989" s="107" t="n"/>
      <c r="H1989" s="107" t="n"/>
      <c r="I1989" s="81" t="n"/>
      <c r="J1989" s="108">
        <f>IF($B1989="","",IF($E1989="Ngày thường",N($G1989),0))</f>
        <v/>
      </c>
      <c r="K1989" s="108">
        <f>IF($B1989="","",IF($E1989="Nghỉ tuần",N($G1989),0))</f>
        <v/>
      </c>
      <c r="L1989" s="108">
        <f>IF($B1989="","",IF($E1989="Lễ",N($G1989),0))</f>
        <v/>
      </c>
      <c r="M1989" s="108">
        <f>IF($B1989="","",IF($E1989="Ngày thường",N($H1989),0))</f>
        <v/>
      </c>
      <c r="N1989" s="108">
        <f>IF($B1989="","",IF($E1989="Nghỉ tuần",N($H1989),0))</f>
        <v/>
      </c>
      <c r="O1989" s="108">
        <f>IF($B1989="","",IF($E1989="Lễ",N($H1989),0))</f>
        <v/>
      </c>
    </row>
    <row r="1990" ht="15" customHeight="1" s="63">
      <c r="A1990" s="85">
        <f>IF($B1990="","",ROW()-5)</f>
        <v/>
      </c>
      <c r="B1990" s="97" t="n"/>
      <c r="C1990" s="96">
        <f>IF($B1990="","",IFERROR(INDEX(DM_NHAN_SU!$C$6:$C$155,MATCH($B1990,DM_NHAN_SU!$B$6:$B$155,0)),"SAI MÃ NV"))</f>
        <v/>
      </c>
      <c r="D1990" s="86" t="n"/>
      <c r="E1990" s="103">
        <f>IF(OR($B1990="",$D1990=""),"",IF(COUNTIF(THAM_SO_CC!$F$10:$F$40,$D1990)&gt;0,"Lễ",IF(IF(THAM_SO_CC!$B$12="T7+CN",WEEKDAY($D1990,2)&gt;=6,WEEKDAY($D1990,2)=7),"Nghỉ tuần","Ngày thường")))</f>
        <v/>
      </c>
      <c r="F1990" s="107" t="n"/>
      <c r="G1990" s="107" t="n"/>
      <c r="H1990" s="107" t="n"/>
      <c r="I1990" s="81" t="n"/>
      <c r="J1990" s="108">
        <f>IF($B1990="","",IF($E1990="Ngày thường",N($G1990),0))</f>
        <v/>
      </c>
      <c r="K1990" s="108">
        <f>IF($B1990="","",IF($E1990="Nghỉ tuần",N($G1990),0))</f>
        <v/>
      </c>
      <c r="L1990" s="108">
        <f>IF($B1990="","",IF($E1990="Lễ",N($G1990),0))</f>
        <v/>
      </c>
      <c r="M1990" s="108">
        <f>IF($B1990="","",IF($E1990="Ngày thường",N($H1990),0))</f>
        <v/>
      </c>
      <c r="N1990" s="108">
        <f>IF($B1990="","",IF($E1990="Nghỉ tuần",N($H1990),0))</f>
        <v/>
      </c>
      <c r="O1990" s="108">
        <f>IF($B1990="","",IF($E1990="Lễ",N($H1990),0))</f>
        <v/>
      </c>
    </row>
    <row r="1991" ht="15" customHeight="1" s="63">
      <c r="A1991" s="85">
        <f>IF($B1991="","",ROW()-5)</f>
        <v/>
      </c>
      <c r="B1991" s="97" t="n"/>
      <c r="C1991" s="96">
        <f>IF($B1991="","",IFERROR(INDEX(DM_NHAN_SU!$C$6:$C$155,MATCH($B1991,DM_NHAN_SU!$B$6:$B$155,0)),"SAI MÃ NV"))</f>
        <v/>
      </c>
      <c r="D1991" s="86" t="n"/>
      <c r="E1991" s="103">
        <f>IF(OR($B1991="",$D1991=""),"",IF(COUNTIF(THAM_SO_CC!$F$10:$F$40,$D1991)&gt;0,"Lễ",IF(IF(THAM_SO_CC!$B$12="T7+CN",WEEKDAY($D1991,2)&gt;=6,WEEKDAY($D1991,2)=7),"Nghỉ tuần","Ngày thường")))</f>
        <v/>
      </c>
      <c r="F1991" s="107" t="n"/>
      <c r="G1991" s="107" t="n"/>
      <c r="H1991" s="107" t="n"/>
      <c r="I1991" s="81" t="n"/>
      <c r="J1991" s="108">
        <f>IF($B1991="","",IF($E1991="Ngày thường",N($G1991),0))</f>
        <v/>
      </c>
      <c r="K1991" s="108">
        <f>IF($B1991="","",IF($E1991="Nghỉ tuần",N($G1991),0))</f>
        <v/>
      </c>
      <c r="L1991" s="108">
        <f>IF($B1991="","",IF($E1991="Lễ",N($G1991),0))</f>
        <v/>
      </c>
      <c r="M1991" s="108">
        <f>IF($B1991="","",IF($E1991="Ngày thường",N($H1991),0))</f>
        <v/>
      </c>
      <c r="N1991" s="108">
        <f>IF($B1991="","",IF($E1991="Nghỉ tuần",N($H1991),0))</f>
        <v/>
      </c>
      <c r="O1991" s="108">
        <f>IF($B1991="","",IF($E1991="Lễ",N($H1991),0))</f>
        <v/>
      </c>
    </row>
    <row r="1992" ht="15" customHeight="1" s="63">
      <c r="A1992" s="85">
        <f>IF($B1992="","",ROW()-5)</f>
        <v/>
      </c>
      <c r="B1992" s="97" t="n"/>
      <c r="C1992" s="96">
        <f>IF($B1992="","",IFERROR(INDEX(DM_NHAN_SU!$C$6:$C$155,MATCH($B1992,DM_NHAN_SU!$B$6:$B$155,0)),"SAI MÃ NV"))</f>
        <v/>
      </c>
      <c r="D1992" s="86" t="n"/>
      <c r="E1992" s="103">
        <f>IF(OR($B1992="",$D1992=""),"",IF(COUNTIF(THAM_SO_CC!$F$10:$F$40,$D1992)&gt;0,"Lễ",IF(IF(THAM_SO_CC!$B$12="T7+CN",WEEKDAY($D1992,2)&gt;=6,WEEKDAY($D1992,2)=7),"Nghỉ tuần","Ngày thường")))</f>
        <v/>
      </c>
      <c r="F1992" s="107" t="n"/>
      <c r="G1992" s="107" t="n"/>
      <c r="H1992" s="107" t="n"/>
      <c r="I1992" s="81" t="n"/>
      <c r="J1992" s="108">
        <f>IF($B1992="","",IF($E1992="Ngày thường",N($G1992),0))</f>
        <v/>
      </c>
      <c r="K1992" s="108">
        <f>IF($B1992="","",IF($E1992="Nghỉ tuần",N($G1992),0))</f>
        <v/>
      </c>
      <c r="L1992" s="108">
        <f>IF($B1992="","",IF($E1992="Lễ",N($G1992),0))</f>
        <v/>
      </c>
      <c r="M1992" s="108">
        <f>IF($B1992="","",IF($E1992="Ngày thường",N($H1992),0))</f>
        <v/>
      </c>
      <c r="N1992" s="108">
        <f>IF($B1992="","",IF($E1992="Nghỉ tuần",N($H1992),0))</f>
        <v/>
      </c>
      <c r="O1992" s="108">
        <f>IF($B1992="","",IF($E1992="Lễ",N($H1992),0))</f>
        <v/>
      </c>
    </row>
    <row r="1993" ht="15" customHeight="1" s="63">
      <c r="A1993" s="85">
        <f>IF($B1993="","",ROW()-5)</f>
        <v/>
      </c>
      <c r="B1993" s="97" t="n"/>
      <c r="C1993" s="96">
        <f>IF($B1993="","",IFERROR(INDEX(DM_NHAN_SU!$C$6:$C$155,MATCH($B1993,DM_NHAN_SU!$B$6:$B$155,0)),"SAI MÃ NV"))</f>
        <v/>
      </c>
      <c r="D1993" s="86" t="n"/>
      <c r="E1993" s="103">
        <f>IF(OR($B1993="",$D1993=""),"",IF(COUNTIF(THAM_SO_CC!$F$10:$F$40,$D1993)&gt;0,"Lễ",IF(IF(THAM_SO_CC!$B$12="T7+CN",WEEKDAY($D1993,2)&gt;=6,WEEKDAY($D1993,2)=7),"Nghỉ tuần","Ngày thường")))</f>
        <v/>
      </c>
      <c r="F1993" s="107" t="n"/>
      <c r="G1993" s="107" t="n"/>
      <c r="H1993" s="107" t="n"/>
      <c r="I1993" s="81" t="n"/>
      <c r="J1993" s="108">
        <f>IF($B1993="","",IF($E1993="Ngày thường",N($G1993),0))</f>
        <v/>
      </c>
      <c r="K1993" s="108">
        <f>IF($B1993="","",IF($E1993="Nghỉ tuần",N($G1993),0))</f>
        <v/>
      </c>
      <c r="L1993" s="108">
        <f>IF($B1993="","",IF($E1993="Lễ",N($G1993),0))</f>
        <v/>
      </c>
      <c r="M1993" s="108">
        <f>IF($B1993="","",IF($E1993="Ngày thường",N($H1993),0))</f>
        <v/>
      </c>
      <c r="N1993" s="108">
        <f>IF($B1993="","",IF($E1993="Nghỉ tuần",N($H1993),0))</f>
        <v/>
      </c>
      <c r="O1993" s="108">
        <f>IF($B1993="","",IF($E1993="Lễ",N($H1993),0))</f>
        <v/>
      </c>
    </row>
    <row r="1994" ht="15" customHeight="1" s="63">
      <c r="A1994" s="85">
        <f>IF($B1994="","",ROW()-5)</f>
        <v/>
      </c>
      <c r="B1994" s="97" t="n"/>
      <c r="C1994" s="96">
        <f>IF($B1994="","",IFERROR(INDEX(DM_NHAN_SU!$C$6:$C$155,MATCH($B1994,DM_NHAN_SU!$B$6:$B$155,0)),"SAI MÃ NV"))</f>
        <v/>
      </c>
      <c r="D1994" s="86" t="n"/>
      <c r="E1994" s="103">
        <f>IF(OR($B1994="",$D1994=""),"",IF(COUNTIF(THAM_SO_CC!$F$10:$F$40,$D1994)&gt;0,"Lễ",IF(IF(THAM_SO_CC!$B$12="T7+CN",WEEKDAY($D1994,2)&gt;=6,WEEKDAY($D1994,2)=7),"Nghỉ tuần","Ngày thường")))</f>
        <v/>
      </c>
      <c r="F1994" s="107" t="n"/>
      <c r="G1994" s="107" t="n"/>
      <c r="H1994" s="107" t="n"/>
      <c r="I1994" s="81" t="n"/>
      <c r="J1994" s="108">
        <f>IF($B1994="","",IF($E1994="Ngày thường",N($G1994),0))</f>
        <v/>
      </c>
      <c r="K1994" s="108">
        <f>IF($B1994="","",IF($E1994="Nghỉ tuần",N($G1994),0))</f>
        <v/>
      </c>
      <c r="L1994" s="108">
        <f>IF($B1994="","",IF($E1994="Lễ",N($G1994),0))</f>
        <v/>
      </c>
      <c r="M1994" s="108">
        <f>IF($B1994="","",IF($E1994="Ngày thường",N($H1994),0))</f>
        <v/>
      </c>
      <c r="N1994" s="108">
        <f>IF($B1994="","",IF($E1994="Nghỉ tuần",N($H1994),0))</f>
        <v/>
      </c>
      <c r="O1994" s="108">
        <f>IF($B1994="","",IF($E1994="Lễ",N($H1994),0))</f>
        <v/>
      </c>
    </row>
    <row r="1995" ht="15" customHeight="1" s="63">
      <c r="A1995" s="85">
        <f>IF($B1995="","",ROW()-5)</f>
        <v/>
      </c>
      <c r="B1995" s="97" t="n"/>
      <c r="C1995" s="96">
        <f>IF($B1995="","",IFERROR(INDEX(DM_NHAN_SU!$C$6:$C$155,MATCH($B1995,DM_NHAN_SU!$B$6:$B$155,0)),"SAI MÃ NV"))</f>
        <v/>
      </c>
      <c r="D1995" s="86" t="n"/>
      <c r="E1995" s="103">
        <f>IF(OR($B1995="",$D1995=""),"",IF(COUNTIF(THAM_SO_CC!$F$10:$F$40,$D1995)&gt;0,"Lễ",IF(IF(THAM_SO_CC!$B$12="T7+CN",WEEKDAY($D1995,2)&gt;=6,WEEKDAY($D1995,2)=7),"Nghỉ tuần","Ngày thường")))</f>
        <v/>
      </c>
      <c r="F1995" s="107" t="n"/>
      <c r="G1995" s="107" t="n"/>
      <c r="H1995" s="107" t="n"/>
      <c r="I1995" s="81" t="n"/>
      <c r="J1995" s="108">
        <f>IF($B1995="","",IF($E1995="Ngày thường",N($G1995),0))</f>
        <v/>
      </c>
      <c r="K1995" s="108">
        <f>IF($B1995="","",IF($E1995="Nghỉ tuần",N($G1995),0))</f>
        <v/>
      </c>
      <c r="L1995" s="108">
        <f>IF($B1995="","",IF($E1995="Lễ",N($G1995),0))</f>
        <v/>
      </c>
      <c r="M1995" s="108">
        <f>IF($B1995="","",IF($E1995="Ngày thường",N($H1995),0))</f>
        <v/>
      </c>
      <c r="N1995" s="108">
        <f>IF($B1995="","",IF($E1995="Nghỉ tuần",N($H1995),0))</f>
        <v/>
      </c>
      <c r="O1995" s="108">
        <f>IF($B1995="","",IF($E1995="Lễ",N($H1995),0))</f>
        <v/>
      </c>
    </row>
    <row r="1996" ht="15" customHeight="1" s="63">
      <c r="A1996" s="85">
        <f>IF($B1996="","",ROW()-5)</f>
        <v/>
      </c>
      <c r="B1996" s="97" t="n"/>
      <c r="C1996" s="96">
        <f>IF($B1996="","",IFERROR(INDEX(DM_NHAN_SU!$C$6:$C$155,MATCH($B1996,DM_NHAN_SU!$B$6:$B$155,0)),"SAI MÃ NV"))</f>
        <v/>
      </c>
      <c r="D1996" s="86" t="n"/>
      <c r="E1996" s="103">
        <f>IF(OR($B1996="",$D1996=""),"",IF(COUNTIF(THAM_SO_CC!$F$10:$F$40,$D1996)&gt;0,"Lễ",IF(IF(THAM_SO_CC!$B$12="T7+CN",WEEKDAY($D1996,2)&gt;=6,WEEKDAY($D1996,2)=7),"Nghỉ tuần","Ngày thường")))</f>
        <v/>
      </c>
      <c r="F1996" s="107" t="n"/>
      <c r="G1996" s="107" t="n"/>
      <c r="H1996" s="107" t="n"/>
      <c r="I1996" s="81" t="n"/>
      <c r="J1996" s="108">
        <f>IF($B1996="","",IF($E1996="Ngày thường",N($G1996),0))</f>
        <v/>
      </c>
      <c r="K1996" s="108">
        <f>IF($B1996="","",IF($E1996="Nghỉ tuần",N($G1996),0))</f>
        <v/>
      </c>
      <c r="L1996" s="108">
        <f>IF($B1996="","",IF($E1996="Lễ",N($G1996),0))</f>
        <v/>
      </c>
      <c r="M1996" s="108">
        <f>IF($B1996="","",IF($E1996="Ngày thường",N($H1996),0))</f>
        <v/>
      </c>
      <c r="N1996" s="108">
        <f>IF($B1996="","",IF($E1996="Nghỉ tuần",N($H1996),0))</f>
        <v/>
      </c>
      <c r="O1996" s="108">
        <f>IF($B1996="","",IF($E1996="Lễ",N($H1996),0))</f>
        <v/>
      </c>
    </row>
    <row r="1997" ht="15" customHeight="1" s="63">
      <c r="A1997" s="85">
        <f>IF($B1997="","",ROW()-5)</f>
        <v/>
      </c>
      <c r="B1997" s="97" t="n"/>
      <c r="C1997" s="96">
        <f>IF($B1997="","",IFERROR(INDEX(DM_NHAN_SU!$C$6:$C$155,MATCH($B1997,DM_NHAN_SU!$B$6:$B$155,0)),"SAI MÃ NV"))</f>
        <v/>
      </c>
      <c r="D1997" s="86" t="n"/>
      <c r="E1997" s="103">
        <f>IF(OR($B1997="",$D1997=""),"",IF(COUNTIF(THAM_SO_CC!$F$10:$F$40,$D1997)&gt;0,"Lễ",IF(IF(THAM_SO_CC!$B$12="T7+CN",WEEKDAY($D1997,2)&gt;=6,WEEKDAY($D1997,2)=7),"Nghỉ tuần","Ngày thường")))</f>
        <v/>
      </c>
      <c r="F1997" s="107" t="n"/>
      <c r="G1997" s="107" t="n"/>
      <c r="H1997" s="107" t="n"/>
      <c r="I1997" s="81" t="n"/>
      <c r="J1997" s="108">
        <f>IF($B1997="","",IF($E1997="Ngày thường",N($G1997),0))</f>
        <v/>
      </c>
      <c r="K1997" s="108">
        <f>IF($B1997="","",IF($E1997="Nghỉ tuần",N($G1997),0))</f>
        <v/>
      </c>
      <c r="L1997" s="108">
        <f>IF($B1997="","",IF($E1997="Lễ",N($G1997),0))</f>
        <v/>
      </c>
      <c r="M1997" s="108">
        <f>IF($B1997="","",IF($E1997="Ngày thường",N($H1997),0))</f>
        <v/>
      </c>
      <c r="N1997" s="108">
        <f>IF($B1997="","",IF($E1997="Nghỉ tuần",N($H1997),0))</f>
        <v/>
      </c>
      <c r="O1997" s="108">
        <f>IF($B1997="","",IF($E1997="Lễ",N($H1997),0))</f>
        <v/>
      </c>
    </row>
    <row r="1998" ht="15" customHeight="1" s="63">
      <c r="A1998" s="85">
        <f>IF($B1998="","",ROW()-5)</f>
        <v/>
      </c>
      <c r="B1998" s="97" t="n"/>
      <c r="C1998" s="96">
        <f>IF($B1998="","",IFERROR(INDEX(DM_NHAN_SU!$C$6:$C$155,MATCH($B1998,DM_NHAN_SU!$B$6:$B$155,0)),"SAI MÃ NV"))</f>
        <v/>
      </c>
      <c r="D1998" s="86" t="n"/>
      <c r="E1998" s="103">
        <f>IF(OR($B1998="",$D1998=""),"",IF(COUNTIF(THAM_SO_CC!$F$10:$F$40,$D1998)&gt;0,"Lễ",IF(IF(THAM_SO_CC!$B$12="T7+CN",WEEKDAY($D1998,2)&gt;=6,WEEKDAY($D1998,2)=7),"Nghỉ tuần","Ngày thường")))</f>
        <v/>
      </c>
      <c r="F1998" s="107" t="n"/>
      <c r="G1998" s="107" t="n"/>
      <c r="H1998" s="107" t="n"/>
      <c r="I1998" s="81" t="n"/>
      <c r="J1998" s="108">
        <f>IF($B1998="","",IF($E1998="Ngày thường",N($G1998),0))</f>
        <v/>
      </c>
      <c r="K1998" s="108">
        <f>IF($B1998="","",IF($E1998="Nghỉ tuần",N($G1998),0))</f>
        <v/>
      </c>
      <c r="L1998" s="108">
        <f>IF($B1998="","",IF($E1998="Lễ",N($G1998),0))</f>
        <v/>
      </c>
      <c r="M1998" s="108">
        <f>IF($B1998="","",IF($E1998="Ngày thường",N($H1998),0))</f>
        <v/>
      </c>
      <c r="N1998" s="108">
        <f>IF($B1998="","",IF($E1998="Nghỉ tuần",N($H1998),0))</f>
        <v/>
      </c>
      <c r="O1998" s="108">
        <f>IF($B1998="","",IF($E1998="Lễ",N($H1998),0))</f>
        <v/>
      </c>
    </row>
    <row r="1999" ht="15" customHeight="1" s="63">
      <c r="A1999" s="85">
        <f>IF($B1999="","",ROW()-5)</f>
        <v/>
      </c>
      <c r="B1999" s="97" t="n"/>
      <c r="C1999" s="96">
        <f>IF($B1999="","",IFERROR(INDEX(DM_NHAN_SU!$C$6:$C$155,MATCH($B1999,DM_NHAN_SU!$B$6:$B$155,0)),"SAI MÃ NV"))</f>
        <v/>
      </c>
      <c r="D1999" s="86" t="n"/>
      <c r="E1999" s="103">
        <f>IF(OR($B1999="",$D1999=""),"",IF(COUNTIF(THAM_SO_CC!$F$10:$F$40,$D1999)&gt;0,"Lễ",IF(IF(THAM_SO_CC!$B$12="T7+CN",WEEKDAY($D1999,2)&gt;=6,WEEKDAY($D1999,2)=7),"Nghỉ tuần","Ngày thường")))</f>
        <v/>
      </c>
      <c r="F1999" s="107" t="n"/>
      <c r="G1999" s="107" t="n"/>
      <c r="H1999" s="107" t="n"/>
      <c r="I1999" s="81" t="n"/>
      <c r="J1999" s="108">
        <f>IF($B1999="","",IF($E1999="Ngày thường",N($G1999),0))</f>
        <v/>
      </c>
      <c r="K1999" s="108">
        <f>IF($B1999="","",IF($E1999="Nghỉ tuần",N($G1999),0))</f>
        <v/>
      </c>
      <c r="L1999" s="108">
        <f>IF($B1999="","",IF($E1999="Lễ",N($G1999),0))</f>
        <v/>
      </c>
      <c r="M1999" s="108">
        <f>IF($B1999="","",IF($E1999="Ngày thường",N($H1999),0))</f>
        <v/>
      </c>
      <c r="N1999" s="108">
        <f>IF($B1999="","",IF($E1999="Nghỉ tuần",N($H1999),0))</f>
        <v/>
      </c>
      <c r="O1999" s="108">
        <f>IF($B1999="","",IF($E1999="Lễ",N($H1999),0))</f>
        <v/>
      </c>
    </row>
    <row r="2000" ht="15" customHeight="1" s="63">
      <c r="A2000" s="85">
        <f>IF($B2000="","",ROW()-5)</f>
        <v/>
      </c>
      <c r="B2000" s="97" t="n"/>
      <c r="C2000" s="96">
        <f>IF($B2000="","",IFERROR(INDEX(DM_NHAN_SU!$C$6:$C$155,MATCH($B2000,DM_NHAN_SU!$B$6:$B$155,0)),"SAI MÃ NV"))</f>
        <v/>
      </c>
      <c r="D2000" s="86" t="n"/>
      <c r="E2000" s="103">
        <f>IF(OR($B2000="",$D2000=""),"",IF(COUNTIF(THAM_SO_CC!$F$10:$F$40,$D2000)&gt;0,"Lễ",IF(IF(THAM_SO_CC!$B$12="T7+CN",WEEKDAY($D2000,2)&gt;=6,WEEKDAY($D2000,2)=7),"Nghỉ tuần","Ngày thường")))</f>
        <v/>
      </c>
      <c r="F2000" s="107" t="n"/>
      <c r="G2000" s="107" t="n"/>
      <c r="H2000" s="107" t="n"/>
      <c r="I2000" s="81" t="n"/>
      <c r="J2000" s="108">
        <f>IF($B2000="","",IF($E2000="Ngày thường",N($G2000),0))</f>
        <v/>
      </c>
      <c r="K2000" s="108">
        <f>IF($B2000="","",IF($E2000="Nghỉ tuần",N($G2000),0))</f>
        <v/>
      </c>
      <c r="L2000" s="108">
        <f>IF($B2000="","",IF($E2000="Lễ",N($G2000),0))</f>
        <v/>
      </c>
      <c r="M2000" s="108">
        <f>IF($B2000="","",IF($E2000="Ngày thường",N($H2000),0))</f>
        <v/>
      </c>
      <c r="N2000" s="108">
        <f>IF($B2000="","",IF($E2000="Nghỉ tuần",N($H2000),0))</f>
        <v/>
      </c>
      <c r="O2000" s="108">
        <f>IF($B2000="","",IF($E2000="Lễ",N($H2000),0))</f>
        <v/>
      </c>
    </row>
    <row r="2001" ht="15" customHeight="1" s="63">
      <c r="A2001" s="85">
        <f>IF($B2001="","",ROW()-5)</f>
        <v/>
      </c>
      <c r="B2001" s="97" t="n"/>
      <c r="C2001" s="96">
        <f>IF($B2001="","",IFERROR(INDEX(DM_NHAN_SU!$C$6:$C$155,MATCH($B2001,DM_NHAN_SU!$B$6:$B$155,0)),"SAI MÃ NV"))</f>
        <v/>
      </c>
      <c r="D2001" s="86" t="n"/>
      <c r="E2001" s="103">
        <f>IF(OR($B2001="",$D2001=""),"",IF(COUNTIF(THAM_SO_CC!$F$10:$F$40,$D2001)&gt;0,"Lễ",IF(IF(THAM_SO_CC!$B$12="T7+CN",WEEKDAY($D2001,2)&gt;=6,WEEKDAY($D2001,2)=7),"Nghỉ tuần","Ngày thường")))</f>
        <v/>
      </c>
      <c r="F2001" s="107" t="n"/>
      <c r="G2001" s="107" t="n"/>
      <c r="H2001" s="107" t="n"/>
      <c r="I2001" s="81" t="n"/>
      <c r="J2001" s="108">
        <f>IF($B2001="","",IF($E2001="Ngày thường",N($G2001),0))</f>
        <v/>
      </c>
      <c r="K2001" s="108">
        <f>IF($B2001="","",IF($E2001="Nghỉ tuần",N($G2001),0))</f>
        <v/>
      </c>
      <c r="L2001" s="108">
        <f>IF($B2001="","",IF($E2001="Lễ",N($G2001),0))</f>
        <v/>
      </c>
      <c r="M2001" s="108">
        <f>IF($B2001="","",IF($E2001="Ngày thường",N($H2001),0))</f>
        <v/>
      </c>
      <c r="N2001" s="108">
        <f>IF($B2001="","",IF($E2001="Nghỉ tuần",N($H2001),0))</f>
        <v/>
      </c>
      <c r="O2001" s="108">
        <f>IF($B2001="","",IF($E2001="Lễ",N($H2001),0))</f>
        <v/>
      </c>
    </row>
    <row r="2002" ht="15" customHeight="1" s="63">
      <c r="A2002" s="85">
        <f>IF($B2002="","",ROW()-5)</f>
        <v/>
      </c>
      <c r="B2002" s="97" t="n"/>
      <c r="C2002" s="96">
        <f>IF($B2002="","",IFERROR(INDEX(DM_NHAN_SU!$C$6:$C$155,MATCH($B2002,DM_NHAN_SU!$B$6:$B$155,0)),"SAI MÃ NV"))</f>
        <v/>
      </c>
      <c r="D2002" s="86" t="n"/>
      <c r="E2002" s="103">
        <f>IF(OR($B2002="",$D2002=""),"",IF(COUNTIF(THAM_SO_CC!$F$10:$F$40,$D2002)&gt;0,"Lễ",IF(IF(THAM_SO_CC!$B$12="T7+CN",WEEKDAY($D2002,2)&gt;=6,WEEKDAY($D2002,2)=7),"Nghỉ tuần","Ngày thường")))</f>
        <v/>
      </c>
      <c r="F2002" s="107" t="n"/>
      <c r="G2002" s="107" t="n"/>
      <c r="H2002" s="107" t="n"/>
      <c r="I2002" s="81" t="n"/>
      <c r="J2002" s="108">
        <f>IF($B2002="","",IF($E2002="Ngày thường",N($G2002),0))</f>
        <v/>
      </c>
      <c r="K2002" s="108">
        <f>IF($B2002="","",IF($E2002="Nghỉ tuần",N($G2002),0))</f>
        <v/>
      </c>
      <c r="L2002" s="108">
        <f>IF($B2002="","",IF($E2002="Lễ",N($G2002),0))</f>
        <v/>
      </c>
      <c r="M2002" s="108">
        <f>IF($B2002="","",IF($E2002="Ngày thường",N($H2002),0))</f>
        <v/>
      </c>
      <c r="N2002" s="108">
        <f>IF($B2002="","",IF($E2002="Nghỉ tuần",N($H2002),0))</f>
        <v/>
      </c>
      <c r="O2002" s="108">
        <f>IF($B2002="","",IF($E2002="Lễ",N($H2002),0))</f>
        <v/>
      </c>
    </row>
    <row r="2003" ht="15" customHeight="1" s="63">
      <c r="A2003" s="85">
        <f>IF($B2003="","",ROW()-5)</f>
        <v/>
      </c>
      <c r="B2003" s="97" t="n"/>
      <c r="C2003" s="96">
        <f>IF($B2003="","",IFERROR(INDEX(DM_NHAN_SU!$C$6:$C$155,MATCH($B2003,DM_NHAN_SU!$B$6:$B$155,0)),"SAI MÃ NV"))</f>
        <v/>
      </c>
      <c r="D2003" s="86" t="n"/>
      <c r="E2003" s="103">
        <f>IF(OR($B2003="",$D2003=""),"",IF(COUNTIF(THAM_SO_CC!$F$10:$F$40,$D2003)&gt;0,"Lễ",IF(IF(THAM_SO_CC!$B$12="T7+CN",WEEKDAY($D2003,2)&gt;=6,WEEKDAY($D2003,2)=7),"Nghỉ tuần","Ngày thường")))</f>
        <v/>
      </c>
      <c r="F2003" s="107" t="n"/>
      <c r="G2003" s="107" t="n"/>
      <c r="H2003" s="107" t="n"/>
      <c r="I2003" s="81" t="n"/>
      <c r="J2003" s="108">
        <f>IF($B2003="","",IF($E2003="Ngày thường",N($G2003),0))</f>
        <v/>
      </c>
      <c r="K2003" s="108">
        <f>IF($B2003="","",IF($E2003="Nghỉ tuần",N($G2003),0))</f>
        <v/>
      </c>
      <c r="L2003" s="108">
        <f>IF($B2003="","",IF($E2003="Lễ",N($G2003),0))</f>
        <v/>
      </c>
      <c r="M2003" s="108">
        <f>IF($B2003="","",IF($E2003="Ngày thường",N($H2003),0))</f>
        <v/>
      </c>
      <c r="N2003" s="108">
        <f>IF($B2003="","",IF($E2003="Nghỉ tuần",N($H2003),0))</f>
        <v/>
      </c>
      <c r="O2003" s="108">
        <f>IF($B2003="","",IF($E2003="Lễ",N($H2003),0))</f>
        <v/>
      </c>
    </row>
    <row r="2004" ht="15" customHeight="1" s="63">
      <c r="A2004" s="85">
        <f>IF($B2004="","",ROW()-5)</f>
        <v/>
      </c>
      <c r="B2004" s="97" t="n"/>
      <c r="C2004" s="96">
        <f>IF($B2004="","",IFERROR(INDEX(DM_NHAN_SU!$C$6:$C$155,MATCH($B2004,DM_NHAN_SU!$B$6:$B$155,0)),"SAI MÃ NV"))</f>
        <v/>
      </c>
      <c r="D2004" s="86" t="n"/>
      <c r="E2004" s="103">
        <f>IF(OR($B2004="",$D2004=""),"",IF(COUNTIF(THAM_SO_CC!$F$10:$F$40,$D2004)&gt;0,"Lễ",IF(IF(THAM_SO_CC!$B$12="T7+CN",WEEKDAY($D2004,2)&gt;=6,WEEKDAY($D2004,2)=7),"Nghỉ tuần","Ngày thường")))</f>
        <v/>
      </c>
      <c r="F2004" s="107" t="n"/>
      <c r="G2004" s="107" t="n"/>
      <c r="H2004" s="107" t="n"/>
      <c r="I2004" s="81" t="n"/>
      <c r="J2004" s="108">
        <f>IF($B2004="","",IF($E2004="Ngày thường",N($G2004),0))</f>
        <v/>
      </c>
      <c r="K2004" s="108">
        <f>IF($B2004="","",IF($E2004="Nghỉ tuần",N($G2004),0))</f>
        <v/>
      </c>
      <c r="L2004" s="108">
        <f>IF($B2004="","",IF($E2004="Lễ",N($G2004),0))</f>
        <v/>
      </c>
      <c r="M2004" s="108">
        <f>IF($B2004="","",IF($E2004="Ngày thường",N($H2004),0))</f>
        <v/>
      </c>
      <c r="N2004" s="108">
        <f>IF($B2004="","",IF($E2004="Nghỉ tuần",N($H2004),0))</f>
        <v/>
      </c>
      <c r="O2004" s="108">
        <f>IF($B2004="","",IF($E2004="Lễ",N($H2004),0))</f>
        <v/>
      </c>
    </row>
    <row r="2005" ht="15" customHeight="1" s="63">
      <c r="A2005" s="85">
        <f>IF($B2005="","",ROW()-5)</f>
        <v/>
      </c>
      <c r="B2005" s="97" t="n"/>
      <c r="C2005" s="96">
        <f>IF($B2005="","",IFERROR(INDEX(DM_NHAN_SU!$C$6:$C$155,MATCH($B2005,DM_NHAN_SU!$B$6:$B$155,0)),"SAI MÃ NV"))</f>
        <v/>
      </c>
      <c r="D2005" s="86" t="n"/>
      <c r="E2005" s="103">
        <f>IF(OR($B2005="",$D2005=""),"",IF(COUNTIF(THAM_SO_CC!$F$10:$F$40,$D2005)&gt;0,"Lễ",IF(IF(THAM_SO_CC!$B$12="T7+CN",WEEKDAY($D2005,2)&gt;=6,WEEKDAY($D2005,2)=7),"Nghỉ tuần","Ngày thường")))</f>
        <v/>
      </c>
      <c r="F2005" s="107" t="n"/>
      <c r="G2005" s="107" t="n"/>
      <c r="H2005" s="107" t="n"/>
      <c r="I2005" s="81" t="n"/>
      <c r="J2005" s="108">
        <f>IF($B2005="","",IF($E2005="Ngày thường",N($G2005),0))</f>
        <v/>
      </c>
      <c r="K2005" s="108">
        <f>IF($B2005="","",IF($E2005="Nghỉ tuần",N($G2005),0))</f>
        <v/>
      </c>
      <c r="L2005" s="108">
        <f>IF($B2005="","",IF($E2005="Lễ",N($G2005),0))</f>
        <v/>
      </c>
      <c r="M2005" s="108">
        <f>IF($B2005="","",IF($E2005="Ngày thường",N($H2005),0))</f>
        <v/>
      </c>
      <c r="N2005" s="108">
        <f>IF($B2005="","",IF($E2005="Nghỉ tuần",N($H2005),0))</f>
        <v/>
      </c>
      <c r="O2005" s="108">
        <f>IF($B2005="","",IF($E2005="Lễ",N($H2005),0))</f>
        <v/>
      </c>
    </row>
  </sheetData>
  <mergeCells count="2">
    <mergeCell ref="A1:O1"/>
    <mergeCell ref="A2:O3"/>
  </mergeCells>
  <conditionalFormatting sqref="C6:C2005">
    <cfRule type="expression" rank="0" priority="2" equalAverage="0" aboveAverage="0" dxfId="0" text="" percent="0" bottom="0">
      <formula>C6="SAI MÃ NV"</formula>
    </cfRule>
  </conditionalFormatting>
  <conditionalFormatting sqref="D6:D2005">
    <cfRule type="expression" rank="0" priority="3" equalAverage="0" aboveAverage="0" dxfId="0" text="" percent="0" bottom="0">
      <formula>AND(D6&lt;&gt;"",OR(D6&lt;THAM_SO_CC!$B$8,D6&gt;THAM_SO_CC!$B$9))</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V155"/>
  <sheetViews>
    <sheetView showFormulas="0" showGridLines="0" showRowColHeaders="1" showZeros="1" rightToLeft="0" tabSelected="0" showOutlineSymbols="1" defaultGridColor="1"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baseColWidth="8" defaultColWidth="8.6796875" defaultRowHeight="15" zeroHeight="0" outlineLevelRow="0"/>
  <cols>
    <col width="5" customWidth="1" style="62" min="1" max="1"/>
    <col width="11" customWidth="1" style="62" min="2" max="2"/>
    <col width="24" customWidth="1" style="62" min="3" max="3"/>
    <col width="16" customWidth="1" style="62" min="4" max="4"/>
    <col width="11" customWidth="1" style="62" min="5" max="7"/>
    <col width="12" customWidth="1" style="62" min="8" max="9"/>
    <col width="13" customWidth="1" style="62" min="10" max="10"/>
    <col width="11" customWidth="1" style="62" min="11" max="11"/>
    <col width="12" customWidth="1" style="62" min="12" max="12"/>
    <col width="13" customWidth="1" style="62" min="13" max="13"/>
    <col width="11" customWidth="1" style="62" min="14" max="14"/>
    <col width="12" customWidth="1" style="62" min="15" max="16"/>
    <col width="13" customWidth="1" style="62" min="17" max="17"/>
    <col width="12" customWidth="1" style="62" min="18" max="18"/>
    <col width="11" customWidth="1" style="62" min="19" max="19"/>
    <col width="12" customWidth="1" style="62" min="20" max="20"/>
    <col width="11" customWidth="1" style="62" min="21" max="21"/>
    <col width="34" customWidth="1" style="62" min="22" max="22"/>
  </cols>
  <sheetData>
    <row r="1" ht="30" customHeight="1" s="63">
      <c r="A1" s="64" t="inlineStr">
        <is>
          <t>TỔNG HỢP CHẤM CÔNG THEO NHÂN VIÊN</t>
        </is>
      </c>
    </row>
    <row r="2" ht="15" customHeight="1" s="63">
      <c r="A2" s="65" t="inlineStr">
        <is>
          <t>Toàn bộ sheet là công thức. Ngày công lấy từ BANG_CHAM_CONG, giờ làm thêm lấy từ CC_OT_GIO trong khoảng Từ ngày – Đến ngày của THAM_SO_CC. Đây là số được kết xuất sang file lương tại sheet XUAT_SANG_LUONG.</t>
        </is>
      </c>
    </row>
    <row r="3" ht="15" customHeight="1" s="63"/>
    <row r="4"/>
    <row r="5" ht="63.75" customHeight="1" s="63">
      <c r="A5" s="92" t="inlineStr">
        <is>
          <t>STT</t>
        </is>
      </c>
      <c r="B5" s="92" t="inlineStr">
        <is>
          <t>Mã NV</t>
        </is>
      </c>
      <c r="C5" s="92" t="inlineStr">
        <is>
          <t>Họ và tên</t>
        </is>
      </c>
      <c r="D5" s="92" t="inlineStr">
        <is>
          <t>Bộ phận</t>
        </is>
      </c>
      <c r="E5" s="92" t="inlineStr">
        <is>
          <t>Công làm việc</t>
        </is>
      </c>
      <c r="F5" s="92" t="inlineStr">
        <is>
          <t>Giờ/ngày áp dụng</t>
        </is>
      </c>
      <c r="G5" s="92" t="inlineStr">
        <is>
          <t>Giờ thường</t>
        </is>
      </c>
      <c r="H5" s="92" t="inlineStr">
        <is>
          <t>Giờ đêm trong ca</t>
        </is>
      </c>
      <c r="I5" s="92" t="inlineStr">
        <is>
          <t>OT thường ngày</t>
        </is>
      </c>
      <c r="J5" s="92" t="inlineStr">
        <is>
          <t>OT nghỉ tuần ngày</t>
        </is>
      </c>
      <c r="K5" s="92" t="inlineStr">
        <is>
          <t>OT lễ ngày</t>
        </is>
      </c>
      <c r="L5" s="92" t="inlineStr">
        <is>
          <t>OT thường đêm</t>
        </is>
      </c>
      <c r="M5" s="92" t="inlineStr">
        <is>
          <t>OT nghỉ tuần đêm</t>
        </is>
      </c>
      <c r="N5" s="92" t="inlineStr">
        <is>
          <t>OT lễ đêm</t>
        </is>
      </c>
      <c r="O5" s="92" t="inlineStr">
        <is>
          <t>Phép năm hưởng lương</t>
        </is>
      </c>
      <c r="P5" s="92" t="inlineStr">
        <is>
          <t>Lễ/Tết hưởng lương</t>
        </is>
      </c>
      <c r="Q5" s="92" t="inlineStr">
        <is>
          <t>Việc riêng hưởng lương</t>
        </is>
      </c>
      <c r="R5" s="92" t="inlineStr">
        <is>
          <t>Nghỉ ốm hưởng BHXH</t>
        </is>
      </c>
      <c r="S5" s="92" t="inlineStr">
        <is>
          <t>Nghỉ thai sản</t>
        </is>
      </c>
      <c r="T5" s="92" t="inlineStr">
        <is>
          <t>Nghỉ không lương</t>
        </is>
      </c>
      <c r="U5" s="92" t="inlineStr">
        <is>
          <t>Tổng giờ OT</t>
        </is>
      </c>
      <c r="V5" s="92" t="inlineStr">
        <is>
          <t>Cảnh báo</t>
        </is>
      </c>
    </row>
    <row r="6" ht="15" customHeight="1" s="63">
      <c r="A6" s="85">
        <f>IF($B6="","",ROW()-5)</f>
        <v/>
      </c>
      <c r="B6" s="103">
        <f>IF(BANG_CHAM_CONG!B6="","",BANG_CHAM_CONG!B6)</f>
        <v/>
      </c>
      <c r="C6" s="96">
        <f>IF($B6="","",BANG_CHAM_CONG!C6)</f>
        <v/>
      </c>
      <c r="D6" s="96">
        <f>IF($B6="","",BANG_CHAM_CONG!D6)</f>
        <v/>
      </c>
      <c r="E6" s="95">
        <f>IF($B6="","",BANG_CHAM_CONG!AK6)</f>
        <v/>
      </c>
      <c r="F6" s="109">
        <f>IF($B6="","",IF(DM_NHAN_SU!$H6="",THAM_SO_CC!$B$11,DM_NHAN_SU!$H6))</f>
        <v/>
      </c>
      <c r="G6" s="110">
        <f>IF($B6="","",ROUND($E6*$F6,2))</f>
        <v/>
      </c>
      <c r="H6" s="108">
        <f>IF($B6="","",SUMIFS(CC_OT_GIO!$F$6:$F$2005,CC_OT_GIO!$B$6:$B$2005,$B6,CC_OT_GIO!$D$6:$D$2005,"&gt;="&amp;THAM_SO_CC!$B$8,CC_OT_GIO!$D$6:$D$2005,"&lt;="&amp;THAM_SO_CC!$B$9))</f>
        <v/>
      </c>
      <c r="I6" s="108">
        <f>IF($B6="","",SUMIFS(CC_OT_GIO!$J$6:$J$2005,CC_OT_GIO!$B$6:$B$2005,$B6,CC_OT_GIO!$D$6:$D$2005,"&gt;="&amp;THAM_SO_CC!$B$8,CC_OT_GIO!$D$6:$D$2005,"&lt;="&amp;THAM_SO_CC!$B$9))</f>
        <v/>
      </c>
      <c r="J6" s="108">
        <f>IF($B6="","",SUMIFS(CC_OT_GIO!$K$6:$K$2005,CC_OT_GIO!$B$6:$B$2005,$B6,CC_OT_GIO!$D$6:$D$2005,"&gt;="&amp;THAM_SO_CC!$B$8,CC_OT_GIO!$D$6:$D$2005,"&lt;="&amp;THAM_SO_CC!$B$9))</f>
        <v/>
      </c>
      <c r="K6" s="108">
        <f>IF($B6="","",SUMIFS(CC_OT_GIO!$L$6:$L$2005,CC_OT_GIO!$B$6:$B$2005,$B6,CC_OT_GIO!$D$6:$D$2005,"&gt;="&amp;THAM_SO_CC!$B$8,CC_OT_GIO!$D$6:$D$2005,"&lt;="&amp;THAM_SO_CC!$B$9))</f>
        <v/>
      </c>
      <c r="L6" s="108">
        <f>IF($B6="","",SUMIFS(CC_OT_GIO!$M$6:$M$2005,CC_OT_GIO!$B$6:$B$2005,$B6,CC_OT_GIO!$D$6:$D$2005,"&gt;="&amp;THAM_SO_CC!$B$8,CC_OT_GIO!$D$6:$D$2005,"&lt;="&amp;THAM_SO_CC!$B$9))</f>
        <v/>
      </c>
      <c r="M6" s="108">
        <f>IF($B6="","",SUMIFS(CC_OT_GIO!$N$6:$N$2005,CC_OT_GIO!$B$6:$B$2005,$B6,CC_OT_GIO!$D$6:$D$2005,"&gt;="&amp;THAM_SO_CC!$B$8,CC_OT_GIO!$D$6:$D$2005,"&lt;="&amp;THAM_SO_CC!$B$9))</f>
        <v/>
      </c>
      <c r="N6" s="108">
        <f>IF($B6="","",SUMIFS(CC_OT_GIO!$O$6:$O$2005,CC_OT_GIO!$B$6:$B$2005,$B6,CC_OT_GIO!$D$6:$D$2005,"&gt;="&amp;THAM_SO_CC!$B$8,CC_OT_GIO!$D$6:$D$2005,"&lt;="&amp;THAM_SO_CC!$B$9))</f>
        <v/>
      </c>
      <c r="O6" s="104">
        <f>IF($B6="","",BANG_CHAM_CONG!AL6)</f>
        <v/>
      </c>
      <c r="P6" s="104">
        <f>IF($B6="","",BANG_CHAM_CONG!AM6)</f>
        <v/>
      </c>
      <c r="Q6" s="104">
        <f>IF($B6="","",BANG_CHAM_CONG!AN6)</f>
        <v/>
      </c>
      <c r="R6" s="104">
        <f>IF($B6="","",BANG_CHAM_CONG!AO6)</f>
        <v/>
      </c>
      <c r="S6" s="104">
        <f>IF($B6="","",BANG_CHAM_CONG!AP6)</f>
        <v/>
      </c>
      <c r="T6" s="104">
        <f>IF($B6="","",BANG_CHAM_CONG!AQ6)</f>
        <v/>
      </c>
      <c r="U6" s="111">
        <f>IF($B6="","",SUM($I6:$N6))</f>
        <v/>
      </c>
      <c r="V6" s="96">
        <f>IF($B6="","",TRIM(BANG_CHAM_CONG!$AU6&amp;IF($U6&gt;60,"OT vượt 60 giờ/tháng – rà soát giới hạn làm thêm; ","")&amp;IF(AND($E6=0,SUM($O6:$T6)=0),"Chưa có dữ liệu chấm công; ","")&amp;IF($H6&gt;$G6,"Giờ đêm trong ca lớn hơn giờ thường; ","")))</f>
        <v/>
      </c>
    </row>
    <row r="7" ht="15" customHeight="1" s="63">
      <c r="A7" s="85">
        <f>IF($B7="","",ROW()-5)</f>
        <v/>
      </c>
      <c r="B7" s="103">
        <f>IF(BANG_CHAM_CONG!B7="","",BANG_CHAM_CONG!B7)</f>
        <v/>
      </c>
      <c r="C7" s="96">
        <f>IF($B7="","",BANG_CHAM_CONG!C7)</f>
        <v/>
      </c>
      <c r="D7" s="96">
        <f>IF($B7="","",BANG_CHAM_CONG!D7)</f>
        <v/>
      </c>
      <c r="E7" s="95">
        <f>IF($B7="","",BANG_CHAM_CONG!AK7)</f>
        <v/>
      </c>
      <c r="F7" s="109">
        <f>IF($B7="","",IF(DM_NHAN_SU!$H7="",THAM_SO_CC!$B$11,DM_NHAN_SU!$H7))</f>
        <v/>
      </c>
      <c r="G7" s="110">
        <f>IF($B7="","",ROUND($E7*$F7,2))</f>
        <v/>
      </c>
      <c r="H7" s="108">
        <f>IF($B7="","",SUMIFS(CC_OT_GIO!$F$6:$F$2005,CC_OT_GIO!$B$6:$B$2005,$B7,CC_OT_GIO!$D$6:$D$2005,"&gt;="&amp;THAM_SO_CC!$B$8,CC_OT_GIO!$D$6:$D$2005,"&lt;="&amp;THAM_SO_CC!$B$9))</f>
        <v/>
      </c>
      <c r="I7" s="108">
        <f>IF($B7="","",SUMIFS(CC_OT_GIO!$J$6:$J$2005,CC_OT_GIO!$B$6:$B$2005,$B7,CC_OT_GIO!$D$6:$D$2005,"&gt;="&amp;THAM_SO_CC!$B$8,CC_OT_GIO!$D$6:$D$2005,"&lt;="&amp;THAM_SO_CC!$B$9))</f>
        <v/>
      </c>
      <c r="J7" s="108">
        <f>IF($B7="","",SUMIFS(CC_OT_GIO!$K$6:$K$2005,CC_OT_GIO!$B$6:$B$2005,$B7,CC_OT_GIO!$D$6:$D$2005,"&gt;="&amp;THAM_SO_CC!$B$8,CC_OT_GIO!$D$6:$D$2005,"&lt;="&amp;THAM_SO_CC!$B$9))</f>
        <v/>
      </c>
      <c r="K7" s="108">
        <f>IF($B7="","",SUMIFS(CC_OT_GIO!$L$6:$L$2005,CC_OT_GIO!$B$6:$B$2005,$B7,CC_OT_GIO!$D$6:$D$2005,"&gt;="&amp;THAM_SO_CC!$B$8,CC_OT_GIO!$D$6:$D$2005,"&lt;="&amp;THAM_SO_CC!$B$9))</f>
        <v/>
      </c>
      <c r="L7" s="108">
        <f>IF($B7="","",SUMIFS(CC_OT_GIO!$M$6:$M$2005,CC_OT_GIO!$B$6:$B$2005,$B7,CC_OT_GIO!$D$6:$D$2005,"&gt;="&amp;THAM_SO_CC!$B$8,CC_OT_GIO!$D$6:$D$2005,"&lt;="&amp;THAM_SO_CC!$B$9))</f>
        <v/>
      </c>
      <c r="M7" s="108">
        <f>IF($B7="","",SUMIFS(CC_OT_GIO!$N$6:$N$2005,CC_OT_GIO!$B$6:$B$2005,$B7,CC_OT_GIO!$D$6:$D$2005,"&gt;="&amp;THAM_SO_CC!$B$8,CC_OT_GIO!$D$6:$D$2005,"&lt;="&amp;THAM_SO_CC!$B$9))</f>
        <v/>
      </c>
      <c r="N7" s="108">
        <f>IF($B7="","",SUMIFS(CC_OT_GIO!$O$6:$O$2005,CC_OT_GIO!$B$6:$B$2005,$B7,CC_OT_GIO!$D$6:$D$2005,"&gt;="&amp;THAM_SO_CC!$B$8,CC_OT_GIO!$D$6:$D$2005,"&lt;="&amp;THAM_SO_CC!$B$9))</f>
        <v/>
      </c>
      <c r="O7" s="104">
        <f>IF($B7="","",BANG_CHAM_CONG!AL7)</f>
        <v/>
      </c>
      <c r="P7" s="104">
        <f>IF($B7="","",BANG_CHAM_CONG!AM7)</f>
        <v/>
      </c>
      <c r="Q7" s="104">
        <f>IF($B7="","",BANG_CHAM_CONG!AN7)</f>
        <v/>
      </c>
      <c r="R7" s="104">
        <f>IF($B7="","",BANG_CHAM_CONG!AO7)</f>
        <v/>
      </c>
      <c r="S7" s="104">
        <f>IF($B7="","",BANG_CHAM_CONG!AP7)</f>
        <v/>
      </c>
      <c r="T7" s="104">
        <f>IF($B7="","",BANG_CHAM_CONG!AQ7)</f>
        <v/>
      </c>
      <c r="U7" s="111">
        <f>IF($B7="","",SUM($I7:$N7))</f>
        <v/>
      </c>
      <c r="V7" s="96">
        <f>IF($B7="","",TRIM(BANG_CHAM_CONG!$AU7&amp;IF($U7&gt;60,"OT vượt 60 giờ/tháng – rà soát giới hạn làm thêm; ","")&amp;IF(AND($E7=0,SUM($O7:$T7)=0),"Chưa có dữ liệu chấm công; ","")&amp;IF($H7&gt;$G7,"Giờ đêm trong ca lớn hơn giờ thường; ","")))</f>
        <v/>
      </c>
    </row>
    <row r="8" ht="15" customHeight="1" s="63">
      <c r="A8" s="85">
        <f>IF($B8="","",ROW()-5)</f>
        <v/>
      </c>
      <c r="B8" s="103">
        <f>IF(BANG_CHAM_CONG!B8="","",BANG_CHAM_CONG!B8)</f>
        <v/>
      </c>
      <c r="C8" s="96">
        <f>IF($B8="","",BANG_CHAM_CONG!C8)</f>
        <v/>
      </c>
      <c r="D8" s="96">
        <f>IF($B8="","",BANG_CHAM_CONG!D8)</f>
        <v/>
      </c>
      <c r="E8" s="95">
        <f>IF($B8="","",BANG_CHAM_CONG!AK8)</f>
        <v/>
      </c>
      <c r="F8" s="109">
        <f>IF($B8="","",IF(DM_NHAN_SU!$H8="",THAM_SO_CC!$B$11,DM_NHAN_SU!$H8))</f>
        <v/>
      </c>
      <c r="G8" s="110">
        <f>IF($B8="","",ROUND($E8*$F8,2))</f>
        <v/>
      </c>
      <c r="H8" s="108">
        <f>IF($B8="","",SUMIFS(CC_OT_GIO!$F$6:$F$2005,CC_OT_GIO!$B$6:$B$2005,$B8,CC_OT_GIO!$D$6:$D$2005,"&gt;="&amp;THAM_SO_CC!$B$8,CC_OT_GIO!$D$6:$D$2005,"&lt;="&amp;THAM_SO_CC!$B$9))</f>
        <v/>
      </c>
      <c r="I8" s="108">
        <f>IF($B8="","",SUMIFS(CC_OT_GIO!$J$6:$J$2005,CC_OT_GIO!$B$6:$B$2005,$B8,CC_OT_GIO!$D$6:$D$2005,"&gt;="&amp;THAM_SO_CC!$B$8,CC_OT_GIO!$D$6:$D$2005,"&lt;="&amp;THAM_SO_CC!$B$9))</f>
        <v/>
      </c>
      <c r="J8" s="108">
        <f>IF($B8="","",SUMIFS(CC_OT_GIO!$K$6:$K$2005,CC_OT_GIO!$B$6:$B$2005,$B8,CC_OT_GIO!$D$6:$D$2005,"&gt;="&amp;THAM_SO_CC!$B$8,CC_OT_GIO!$D$6:$D$2005,"&lt;="&amp;THAM_SO_CC!$B$9))</f>
        <v/>
      </c>
      <c r="K8" s="108">
        <f>IF($B8="","",SUMIFS(CC_OT_GIO!$L$6:$L$2005,CC_OT_GIO!$B$6:$B$2005,$B8,CC_OT_GIO!$D$6:$D$2005,"&gt;="&amp;THAM_SO_CC!$B$8,CC_OT_GIO!$D$6:$D$2005,"&lt;="&amp;THAM_SO_CC!$B$9))</f>
        <v/>
      </c>
      <c r="L8" s="108">
        <f>IF($B8="","",SUMIFS(CC_OT_GIO!$M$6:$M$2005,CC_OT_GIO!$B$6:$B$2005,$B8,CC_OT_GIO!$D$6:$D$2005,"&gt;="&amp;THAM_SO_CC!$B$8,CC_OT_GIO!$D$6:$D$2005,"&lt;="&amp;THAM_SO_CC!$B$9))</f>
        <v/>
      </c>
      <c r="M8" s="108">
        <f>IF($B8="","",SUMIFS(CC_OT_GIO!$N$6:$N$2005,CC_OT_GIO!$B$6:$B$2005,$B8,CC_OT_GIO!$D$6:$D$2005,"&gt;="&amp;THAM_SO_CC!$B$8,CC_OT_GIO!$D$6:$D$2005,"&lt;="&amp;THAM_SO_CC!$B$9))</f>
        <v/>
      </c>
      <c r="N8" s="108">
        <f>IF($B8="","",SUMIFS(CC_OT_GIO!$O$6:$O$2005,CC_OT_GIO!$B$6:$B$2005,$B8,CC_OT_GIO!$D$6:$D$2005,"&gt;="&amp;THAM_SO_CC!$B$8,CC_OT_GIO!$D$6:$D$2005,"&lt;="&amp;THAM_SO_CC!$B$9))</f>
        <v/>
      </c>
      <c r="O8" s="104">
        <f>IF($B8="","",BANG_CHAM_CONG!AL8)</f>
        <v/>
      </c>
      <c r="P8" s="104">
        <f>IF($B8="","",BANG_CHAM_CONG!AM8)</f>
        <v/>
      </c>
      <c r="Q8" s="104">
        <f>IF($B8="","",BANG_CHAM_CONG!AN8)</f>
        <v/>
      </c>
      <c r="R8" s="104">
        <f>IF($B8="","",BANG_CHAM_CONG!AO8)</f>
        <v/>
      </c>
      <c r="S8" s="104">
        <f>IF($B8="","",BANG_CHAM_CONG!AP8)</f>
        <v/>
      </c>
      <c r="T8" s="104">
        <f>IF($B8="","",BANG_CHAM_CONG!AQ8)</f>
        <v/>
      </c>
      <c r="U8" s="111">
        <f>IF($B8="","",SUM($I8:$N8))</f>
        <v/>
      </c>
      <c r="V8" s="96">
        <f>IF($B8="","",TRIM(BANG_CHAM_CONG!$AU8&amp;IF($U8&gt;60,"OT vượt 60 giờ/tháng – rà soát giới hạn làm thêm; ","")&amp;IF(AND($E8=0,SUM($O8:$T8)=0),"Chưa có dữ liệu chấm công; ","")&amp;IF($H8&gt;$G8,"Giờ đêm trong ca lớn hơn giờ thường; ","")))</f>
        <v/>
      </c>
    </row>
    <row r="9" ht="15" customHeight="1" s="63">
      <c r="A9" s="85">
        <f>IF($B9="","",ROW()-5)</f>
        <v/>
      </c>
      <c r="B9" s="103">
        <f>IF(BANG_CHAM_CONG!B9="","",BANG_CHAM_CONG!B9)</f>
        <v/>
      </c>
      <c r="C9" s="96">
        <f>IF($B9="","",BANG_CHAM_CONG!C9)</f>
        <v/>
      </c>
      <c r="D9" s="96">
        <f>IF($B9="","",BANG_CHAM_CONG!D9)</f>
        <v/>
      </c>
      <c r="E9" s="95">
        <f>IF($B9="","",BANG_CHAM_CONG!AK9)</f>
        <v/>
      </c>
      <c r="F9" s="109">
        <f>IF($B9="","",IF(DM_NHAN_SU!$H9="",THAM_SO_CC!$B$11,DM_NHAN_SU!$H9))</f>
        <v/>
      </c>
      <c r="G9" s="110">
        <f>IF($B9="","",ROUND($E9*$F9,2))</f>
        <v/>
      </c>
      <c r="H9" s="108">
        <f>IF($B9="","",SUMIFS(CC_OT_GIO!$F$6:$F$2005,CC_OT_GIO!$B$6:$B$2005,$B9,CC_OT_GIO!$D$6:$D$2005,"&gt;="&amp;THAM_SO_CC!$B$8,CC_OT_GIO!$D$6:$D$2005,"&lt;="&amp;THAM_SO_CC!$B$9))</f>
        <v/>
      </c>
      <c r="I9" s="108">
        <f>IF($B9="","",SUMIFS(CC_OT_GIO!$J$6:$J$2005,CC_OT_GIO!$B$6:$B$2005,$B9,CC_OT_GIO!$D$6:$D$2005,"&gt;="&amp;THAM_SO_CC!$B$8,CC_OT_GIO!$D$6:$D$2005,"&lt;="&amp;THAM_SO_CC!$B$9))</f>
        <v/>
      </c>
      <c r="J9" s="108">
        <f>IF($B9="","",SUMIFS(CC_OT_GIO!$K$6:$K$2005,CC_OT_GIO!$B$6:$B$2005,$B9,CC_OT_GIO!$D$6:$D$2005,"&gt;="&amp;THAM_SO_CC!$B$8,CC_OT_GIO!$D$6:$D$2005,"&lt;="&amp;THAM_SO_CC!$B$9))</f>
        <v/>
      </c>
      <c r="K9" s="108">
        <f>IF($B9="","",SUMIFS(CC_OT_GIO!$L$6:$L$2005,CC_OT_GIO!$B$6:$B$2005,$B9,CC_OT_GIO!$D$6:$D$2005,"&gt;="&amp;THAM_SO_CC!$B$8,CC_OT_GIO!$D$6:$D$2005,"&lt;="&amp;THAM_SO_CC!$B$9))</f>
        <v/>
      </c>
      <c r="L9" s="108">
        <f>IF($B9="","",SUMIFS(CC_OT_GIO!$M$6:$M$2005,CC_OT_GIO!$B$6:$B$2005,$B9,CC_OT_GIO!$D$6:$D$2005,"&gt;="&amp;THAM_SO_CC!$B$8,CC_OT_GIO!$D$6:$D$2005,"&lt;="&amp;THAM_SO_CC!$B$9))</f>
        <v/>
      </c>
      <c r="M9" s="108">
        <f>IF($B9="","",SUMIFS(CC_OT_GIO!$N$6:$N$2005,CC_OT_GIO!$B$6:$B$2005,$B9,CC_OT_GIO!$D$6:$D$2005,"&gt;="&amp;THAM_SO_CC!$B$8,CC_OT_GIO!$D$6:$D$2005,"&lt;="&amp;THAM_SO_CC!$B$9))</f>
        <v/>
      </c>
      <c r="N9" s="108">
        <f>IF($B9="","",SUMIFS(CC_OT_GIO!$O$6:$O$2005,CC_OT_GIO!$B$6:$B$2005,$B9,CC_OT_GIO!$D$6:$D$2005,"&gt;="&amp;THAM_SO_CC!$B$8,CC_OT_GIO!$D$6:$D$2005,"&lt;="&amp;THAM_SO_CC!$B$9))</f>
        <v/>
      </c>
      <c r="O9" s="104">
        <f>IF($B9="","",BANG_CHAM_CONG!AL9)</f>
        <v/>
      </c>
      <c r="P9" s="104">
        <f>IF($B9="","",BANG_CHAM_CONG!AM9)</f>
        <v/>
      </c>
      <c r="Q9" s="104">
        <f>IF($B9="","",BANG_CHAM_CONG!AN9)</f>
        <v/>
      </c>
      <c r="R9" s="104">
        <f>IF($B9="","",BANG_CHAM_CONG!AO9)</f>
        <v/>
      </c>
      <c r="S9" s="104">
        <f>IF($B9="","",BANG_CHAM_CONG!AP9)</f>
        <v/>
      </c>
      <c r="T9" s="104">
        <f>IF($B9="","",BANG_CHAM_CONG!AQ9)</f>
        <v/>
      </c>
      <c r="U9" s="111">
        <f>IF($B9="","",SUM($I9:$N9))</f>
        <v/>
      </c>
      <c r="V9" s="96">
        <f>IF($B9="","",TRIM(BANG_CHAM_CONG!$AU9&amp;IF($U9&gt;60,"OT vượt 60 giờ/tháng – rà soát giới hạn làm thêm; ","")&amp;IF(AND($E9=0,SUM($O9:$T9)=0),"Chưa có dữ liệu chấm công; ","")&amp;IF($H9&gt;$G9,"Giờ đêm trong ca lớn hơn giờ thường; ","")))</f>
        <v/>
      </c>
    </row>
    <row r="10" ht="15" customHeight="1" s="63">
      <c r="A10" s="85">
        <f>IF($B10="","",ROW()-5)</f>
        <v/>
      </c>
      <c r="B10" s="103">
        <f>IF(BANG_CHAM_CONG!B10="","",BANG_CHAM_CONG!B10)</f>
        <v/>
      </c>
      <c r="C10" s="96">
        <f>IF($B10="","",BANG_CHAM_CONG!C10)</f>
        <v/>
      </c>
      <c r="D10" s="96">
        <f>IF($B10="","",BANG_CHAM_CONG!D10)</f>
        <v/>
      </c>
      <c r="E10" s="95">
        <f>IF($B10="","",BANG_CHAM_CONG!AK10)</f>
        <v/>
      </c>
      <c r="F10" s="109">
        <f>IF($B10="","",IF(DM_NHAN_SU!$H10="",THAM_SO_CC!$B$11,DM_NHAN_SU!$H10))</f>
        <v/>
      </c>
      <c r="G10" s="110">
        <f>IF($B10="","",ROUND($E10*$F10,2))</f>
        <v/>
      </c>
      <c r="H10" s="108">
        <f>IF($B10="","",SUMIFS(CC_OT_GIO!$F$6:$F$2005,CC_OT_GIO!$B$6:$B$2005,$B10,CC_OT_GIO!$D$6:$D$2005,"&gt;="&amp;THAM_SO_CC!$B$8,CC_OT_GIO!$D$6:$D$2005,"&lt;="&amp;THAM_SO_CC!$B$9))</f>
        <v/>
      </c>
      <c r="I10" s="108">
        <f>IF($B10="","",SUMIFS(CC_OT_GIO!$J$6:$J$2005,CC_OT_GIO!$B$6:$B$2005,$B10,CC_OT_GIO!$D$6:$D$2005,"&gt;="&amp;THAM_SO_CC!$B$8,CC_OT_GIO!$D$6:$D$2005,"&lt;="&amp;THAM_SO_CC!$B$9))</f>
        <v/>
      </c>
      <c r="J10" s="108">
        <f>IF($B10="","",SUMIFS(CC_OT_GIO!$K$6:$K$2005,CC_OT_GIO!$B$6:$B$2005,$B10,CC_OT_GIO!$D$6:$D$2005,"&gt;="&amp;THAM_SO_CC!$B$8,CC_OT_GIO!$D$6:$D$2005,"&lt;="&amp;THAM_SO_CC!$B$9))</f>
        <v/>
      </c>
      <c r="K10" s="108">
        <f>IF($B10="","",SUMIFS(CC_OT_GIO!$L$6:$L$2005,CC_OT_GIO!$B$6:$B$2005,$B10,CC_OT_GIO!$D$6:$D$2005,"&gt;="&amp;THAM_SO_CC!$B$8,CC_OT_GIO!$D$6:$D$2005,"&lt;="&amp;THAM_SO_CC!$B$9))</f>
        <v/>
      </c>
      <c r="L10" s="108">
        <f>IF($B10="","",SUMIFS(CC_OT_GIO!$M$6:$M$2005,CC_OT_GIO!$B$6:$B$2005,$B10,CC_OT_GIO!$D$6:$D$2005,"&gt;="&amp;THAM_SO_CC!$B$8,CC_OT_GIO!$D$6:$D$2005,"&lt;="&amp;THAM_SO_CC!$B$9))</f>
        <v/>
      </c>
      <c r="M10" s="108">
        <f>IF($B10="","",SUMIFS(CC_OT_GIO!$N$6:$N$2005,CC_OT_GIO!$B$6:$B$2005,$B10,CC_OT_GIO!$D$6:$D$2005,"&gt;="&amp;THAM_SO_CC!$B$8,CC_OT_GIO!$D$6:$D$2005,"&lt;="&amp;THAM_SO_CC!$B$9))</f>
        <v/>
      </c>
      <c r="N10" s="108">
        <f>IF($B10="","",SUMIFS(CC_OT_GIO!$O$6:$O$2005,CC_OT_GIO!$B$6:$B$2005,$B10,CC_OT_GIO!$D$6:$D$2005,"&gt;="&amp;THAM_SO_CC!$B$8,CC_OT_GIO!$D$6:$D$2005,"&lt;="&amp;THAM_SO_CC!$B$9))</f>
        <v/>
      </c>
      <c r="O10" s="104">
        <f>IF($B10="","",BANG_CHAM_CONG!AL10)</f>
        <v/>
      </c>
      <c r="P10" s="104">
        <f>IF($B10="","",BANG_CHAM_CONG!AM10)</f>
        <v/>
      </c>
      <c r="Q10" s="104">
        <f>IF($B10="","",BANG_CHAM_CONG!AN10)</f>
        <v/>
      </c>
      <c r="R10" s="104">
        <f>IF($B10="","",BANG_CHAM_CONG!AO10)</f>
        <v/>
      </c>
      <c r="S10" s="104">
        <f>IF($B10="","",BANG_CHAM_CONG!AP10)</f>
        <v/>
      </c>
      <c r="T10" s="104">
        <f>IF($B10="","",BANG_CHAM_CONG!AQ10)</f>
        <v/>
      </c>
      <c r="U10" s="111">
        <f>IF($B10="","",SUM($I10:$N10))</f>
        <v/>
      </c>
      <c r="V10" s="96">
        <f>IF($B10="","",TRIM(BANG_CHAM_CONG!$AU10&amp;IF($U10&gt;60,"OT vượt 60 giờ/tháng – rà soát giới hạn làm thêm; ","")&amp;IF(AND($E10=0,SUM($O10:$T10)=0),"Chưa có dữ liệu chấm công; ","")&amp;IF($H10&gt;$G10,"Giờ đêm trong ca lớn hơn giờ thường; ","")))</f>
        <v/>
      </c>
    </row>
    <row r="11" ht="15" customHeight="1" s="63">
      <c r="A11" s="85">
        <f>IF($B11="","",ROW()-5)</f>
        <v/>
      </c>
      <c r="B11" s="103">
        <f>IF(BANG_CHAM_CONG!B11="","",BANG_CHAM_CONG!B11)</f>
        <v/>
      </c>
      <c r="C11" s="96">
        <f>IF($B11="","",BANG_CHAM_CONG!C11)</f>
        <v/>
      </c>
      <c r="D11" s="96">
        <f>IF($B11="","",BANG_CHAM_CONG!D11)</f>
        <v/>
      </c>
      <c r="E11" s="95">
        <f>IF($B11="","",BANG_CHAM_CONG!AK11)</f>
        <v/>
      </c>
      <c r="F11" s="109">
        <f>IF($B11="","",IF(DM_NHAN_SU!$H11="",THAM_SO_CC!$B$11,DM_NHAN_SU!$H11))</f>
        <v/>
      </c>
      <c r="G11" s="110">
        <f>IF($B11="","",ROUND($E11*$F11,2))</f>
        <v/>
      </c>
      <c r="H11" s="108">
        <f>IF($B11="","",SUMIFS(CC_OT_GIO!$F$6:$F$2005,CC_OT_GIO!$B$6:$B$2005,$B11,CC_OT_GIO!$D$6:$D$2005,"&gt;="&amp;THAM_SO_CC!$B$8,CC_OT_GIO!$D$6:$D$2005,"&lt;="&amp;THAM_SO_CC!$B$9))</f>
        <v/>
      </c>
      <c r="I11" s="108">
        <f>IF($B11="","",SUMIFS(CC_OT_GIO!$J$6:$J$2005,CC_OT_GIO!$B$6:$B$2005,$B11,CC_OT_GIO!$D$6:$D$2005,"&gt;="&amp;THAM_SO_CC!$B$8,CC_OT_GIO!$D$6:$D$2005,"&lt;="&amp;THAM_SO_CC!$B$9))</f>
        <v/>
      </c>
      <c r="J11" s="108">
        <f>IF($B11="","",SUMIFS(CC_OT_GIO!$K$6:$K$2005,CC_OT_GIO!$B$6:$B$2005,$B11,CC_OT_GIO!$D$6:$D$2005,"&gt;="&amp;THAM_SO_CC!$B$8,CC_OT_GIO!$D$6:$D$2005,"&lt;="&amp;THAM_SO_CC!$B$9))</f>
        <v/>
      </c>
      <c r="K11" s="108">
        <f>IF($B11="","",SUMIFS(CC_OT_GIO!$L$6:$L$2005,CC_OT_GIO!$B$6:$B$2005,$B11,CC_OT_GIO!$D$6:$D$2005,"&gt;="&amp;THAM_SO_CC!$B$8,CC_OT_GIO!$D$6:$D$2005,"&lt;="&amp;THAM_SO_CC!$B$9))</f>
        <v/>
      </c>
      <c r="L11" s="108">
        <f>IF($B11="","",SUMIFS(CC_OT_GIO!$M$6:$M$2005,CC_OT_GIO!$B$6:$B$2005,$B11,CC_OT_GIO!$D$6:$D$2005,"&gt;="&amp;THAM_SO_CC!$B$8,CC_OT_GIO!$D$6:$D$2005,"&lt;="&amp;THAM_SO_CC!$B$9))</f>
        <v/>
      </c>
      <c r="M11" s="108">
        <f>IF($B11="","",SUMIFS(CC_OT_GIO!$N$6:$N$2005,CC_OT_GIO!$B$6:$B$2005,$B11,CC_OT_GIO!$D$6:$D$2005,"&gt;="&amp;THAM_SO_CC!$B$8,CC_OT_GIO!$D$6:$D$2005,"&lt;="&amp;THAM_SO_CC!$B$9))</f>
        <v/>
      </c>
      <c r="N11" s="108">
        <f>IF($B11="","",SUMIFS(CC_OT_GIO!$O$6:$O$2005,CC_OT_GIO!$B$6:$B$2005,$B11,CC_OT_GIO!$D$6:$D$2005,"&gt;="&amp;THAM_SO_CC!$B$8,CC_OT_GIO!$D$6:$D$2005,"&lt;="&amp;THAM_SO_CC!$B$9))</f>
        <v/>
      </c>
      <c r="O11" s="104">
        <f>IF($B11="","",BANG_CHAM_CONG!AL11)</f>
        <v/>
      </c>
      <c r="P11" s="104">
        <f>IF($B11="","",BANG_CHAM_CONG!AM11)</f>
        <v/>
      </c>
      <c r="Q11" s="104">
        <f>IF($B11="","",BANG_CHAM_CONG!AN11)</f>
        <v/>
      </c>
      <c r="R11" s="104">
        <f>IF($B11="","",BANG_CHAM_CONG!AO11)</f>
        <v/>
      </c>
      <c r="S11" s="104">
        <f>IF($B11="","",BANG_CHAM_CONG!AP11)</f>
        <v/>
      </c>
      <c r="T11" s="104">
        <f>IF($B11="","",BANG_CHAM_CONG!AQ11)</f>
        <v/>
      </c>
      <c r="U11" s="111">
        <f>IF($B11="","",SUM($I11:$N11))</f>
        <v/>
      </c>
      <c r="V11" s="96">
        <f>IF($B11="","",TRIM(BANG_CHAM_CONG!$AU11&amp;IF($U11&gt;60,"OT vượt 60 giờ/tháng – rà soát giới hạn làm thêm; ","")&amp;IF(AND($E11=0,SUM($O11:$T11)=0),"Chưa có dữ liệu chấm công; ","")&amp;IF($H11&gt;$G11,"Giờ đêm trong ca lớn hơn giờ thường; ","")))</f>
        <v/>
      </c>
    </row>
    <row r="12" ht="15" customHeight="1" s="63">
      <c r="A12" s="85">
        <f>IF($B12="","",ROW()-5)</f>
        <v/>
      </c>
      <c r="B12" s="103">
        <f>IF(BANG_CHAM_CONG!B12="","",BANG_CHAM_CONG!B12)</f>
        <v/>
      </c>
      <c r="C12" s="96">
        <f>IF($B12="","",BANG_CHAM_CONG!C12)</f>
        <v/>
      </c>
      <c r="D12" s="96">
        <f>IF($B12="","",BANG_CHAM_CONG!D12)</f>
        <v/>
      </c>
      <c r="E12" s="95">
        <f>IF($B12="","",BANG_CHAM_CONG!AK12)</f>
        <v/>
      </c>
      <c r="F12" s="109">
        <f>IF($B12="","",IF(DM_NHAN_SU!$H12="",THAM_SO_CC!$B$11,DM_NHAN_SU!$H12))</f>
        <v/>
      </c>
      <c r="G12" s="110">
        <f>IF($B12="","",ROUND($E12*$F12,2))</f>
        <v/>
      </c>
      <c r="H12" s="108">
        <f>IF($B12="","",SUMIFS(CC_OT_GIO!$F$6:$F$2005,CC_OT_GIO!$B$6:$B$2005,$B12,CC_OT_GIO!$D$6:$D$2005,"&gt;="&amp;THAM_SO_CC!$B$8,CC_OT_GIO!$D$6:$D$2005,"&lt;="&amp;THAM_SO_CC!$B$9))</f>
        <v/>
      </c>
      <c r="I12" s="108">
        <f>IF($B12="","",SUMIFS(CC_OT_GIO!$J$6:$J$2005,CC_OT_GIO!$B$6:$B$2005,$B12,CC_OT_GIO!$D$6:$D$2005,"&gt;="&amp;THAM_SO_CC!$B$8,CC_OT_GIO!$D$6:$D$2005,"&lt;="&amp;THAM_SO_CC!$B$9))</f>
        <v/>
      </c>
      <c r="J12" s="108">
        <f>IF($B12="","",SUMIFS(CC_OT_GIO!$K$6:$K$2005,CC_OT_GIO!$B$6:$B$2005,$B12,CC_OT_GIO!$D$6:$D$2005,"&gt;="&amp;THAM_SO_CC!$B$8,CC_OT_GIO!$D$6:$D$2005,"&lt;="&amp;THAM_SO_CC!$B$9))</f>
        <v/>
      </c>
      <c r="K12" s="108">
        <f>IF($B12="","",SUMIFS(CC_OT_GIO!$L$6:$L$2005,CC_OT_GIO!$B$6:$B$2005,$B12,CC_OT_GIO!$D$6:$D$2005,"&gt;="&amp;THAM_SO_CC!$B$8,CC_OT_GIO!$D$6:$D$2005,"&lt;="&amp;THAM_SO_CC!$B$9))</f>
        <v/>
      </c>
      <c r="L12" s="108">
        <f>IF($B12="","",SUMIFS(CC_OT_GIO!$M$6:$M$2005,CC_OT_GIO!$B$6:$B$2005,$B12,CC_OT_GIO!$D$6:$D$2005,"&gt;="&amp;THAM_SO_CC!$B$8,CC_OT_GIO!$D$6:$D$2005,"&lt;="&amp;THAM_SO_CC!$B$9))</f>
        <v/>
      </c>
      <c r="M12" s="108">
        <f>IF($B12="","",SUMIFS(CC_OT_GIO!$N$6:$N$2005,CC_OT_GIO!$B$6:$B$2005,$B12,CC_OT_GIO!$D$6:$D$2005,"&gt;="&amp;THAM_SO_CC!$B$8,CC_OT_GIO!$D$6:$D$2005,"&lt;="&amp;THAM_SO_CC!$B$9))</f>
        <v/>
      </c>
      <c r="N12" s="108">
        <f>IF($B12="","",SUMIFS(CC_OT_GIO!$O$6:$O$2005,CC_OT_GIO!$B$6:$B$2005,$B12,CC_OT_GIO!$D$6:$D$2005,"&gt;="&amp;THAM_SO_CC!$B$8,CC_OT_GIO!$D$6:$D$2005,"&lt;="&amp;THAM_SO_CC!$B$9))</f>
        <v/>
      </c>
      <c r="O12" s="104">
        <f>IF($B12="","",BANG_CHAM_CONG!AL12)</f>
        <v/>
      </c>
      <c r="P12" s="104">
        <f>IF($B12="","",BANG_CHAM_CONG!AM12)</f>
        <v/>
      </c>
      <c r="Q12" s="104">
        <f>IF($B12="","",BANG_CHAM_CONG!AN12)</f>
        <v/>
      </c>
      <c r="R12" s="104">
        <f>IF($B12="","",BANG_CHAM_CONG!AO12)</f>
        <v/>
      </c>
      <c r="S12" s="104">
        <f>IF($B12="","",BANG_CHAM_CONG!AP12)</f>
        <v/>
      </c>
      <c r="T12" s="104">
        <f>IF($B12="","",BANG_CHAM_CONG!AQ12)</f>
        <v/>
      </c>
      <c r="U12" s="111">
        <f>IF($B12="","",SUM($I12:$N12))</f>
        <v/>
      </c>
      <c r="V12" s="96">
        <f>IF($B12="","",TRIM(BANG_CHAM_CONG!$AU12&amp;IF($U12&gt;60,"OT vượt 60 giờ/tháng – rà soát giới hạn làm thêm; ","")&amp;IF(AND($E12=0,SUM($O12:$T12)=0),"Chưa có dữ liệu chấm công; ","")&amp;IF($H12&gt;$G12,"Giờ đêm trong ca lớn hơn giờ thường; ","")))</f>
        <v/>
      </c>
    </row>
    <row r="13" ht="15" customHeight="1" s="63">
      <c r="A13" s="85">
        <f>IF($B13="","",ROW()-5)</f>
        <v/>
      </c>
      <c r="B13" s="103">
        <f>IF(BANG_CHAM_CONG!B13="","",BANG_CHAM_CONG!B13)</f>
        <v/>
      </c>
      <c r="C13" s="96">
        <f>IF($B13="","",BANG_CHAM_CONG!C13)</f>
        <v/>
      </c>
      <c r="D13" s="96">
        <f>IF($B13="","",BANG_CHAM_CONG!D13)</f>
        <v/>
      </c>
      <c r="E13" s="95">
        <f>IF($B13="","",BANG_CHAM_CONG!AK13)</f>
        <v/>
      </c>
      <c r="F13" s="109">
        <f>IF($B13="","",IF(DM_NHAN_SU!$H13="",THAM_SO_CC!$B$11,DM_NHAN_SU!$H13))</f>
        <v/>
      </c>
      <c r="G13" s="110">
        <f>IF($B13="","",ROUND($E13*$F13,2))</f>
        <v/>
      </c>
      <c r="H13" s="108">
        <f>IF($B13="","",SUMIFS(CC_OT_GIO!$F$6:$F$2005,CC_OT_GIO!$B$6:$B$2005,$B13,CC_OT_GIO!$D$6:$D$2005,"&gt;="&amp;THAM_SO_CC!$B$8,CC_OT_GIO!$D$6:$D$2005,"&lt;="&amp;THAM_SO_CC!$B$9))</f>
        <v/>
      </c>
      <c r="I13" s="108">
        <f>IF($B13="","",SUMIFS(CC_OT_GIO!$J$6:$J$2005,CC_OT_GIO!$B$6:$B$2005,$B13,CC_OT_GIO!$D$6:$D$2005,"&gt;="&amp;THAM_SO_CC!$B$8,CC_OT_GIO!$D$6:$D$2005,"&lt;="&amp;THAM_SO_CC!$B$9))</f>
        <v/>
      </c>
      <c r="J13" s="108">
        <f>IF($B13="","",SUMIFS(CC_OT_GIO!$K$6:$K$2005,CC_OT_GIO!$B$6:$B$2005,$B13,CC_OT_GIO!$D$6:$D$2005,"&gt;="&amp;THAM_SO_CC!$B$8,CC_OT_GIO!$D$6:$D$2005,"&lt;="&amp;THAM_SO_CC!$B$9))</f>
        <v/>
      </c>
      <c r="K13" s="108">
        <f>IF($B13="","",SUMIFS(CC_OT_GIO!$L$6:$L$2005,CC_OT_GIO!$B$6:$B$2005,$B13,CC_OT_GIO!$D$6:$D$2005,"&gt;="&amp;THAM_SO_CC!$B$8,CC_OT_GIO!$D$6:$D$2005,"&lt;="&amp;THAM_SO_CC!$B$9))</f>
        <v/>
      </c>
      <c r="L13" s="108">
        <f>IF($B13="","",SUMIFS(CC_OT_GIO!$M$6:$M$2005,CC_OT_GIO!$B$6:$B$2005,$B13,CC_OT_GIO!$D$6:$D$2005,"&gt;="&amp;THAM_SO_CC!$B$8,CC_OT_GIO!$D$6:$D$2005,"&lt;="&amp;THAM_SO_CC!$B$9))</f>
        <v/>
      </c>
      <c r="M13" s="108">
        <f>IF($B13="","",SUMIFS(CC_OT_GIO!$N$6:$N$2005,CC_OT_GIO!$B$6:$B$2005,$B13,CC_OT_GIO!$D$6:$D$2005,"&gt;="&amp;THAM_SO_CC!$B$8,CC_OT_GIO!$D$6:$D$2005,"&lt;="&amp;THAM_SO_CC!$B$9))</f>
        <v/>
      </c>
      <c r="N13" s="108">
        <f>IF($B13="","",SUMIFS(CC_OT_GIO!$O$6:$O$2005,CC_OT_GIO!$B$6:$B$2005,$B13,CC_OT_GIO!$D$6:$D$2005,"&gt;="&amp;THAM_SO_CC!$B$8,CC_OT_GIO!$D$6:$D$2005,"&lt;="&amp;THAM_SO_CC!$B$9))</f>
        <v/>
      </c>
      <c r="O13" s="104">
        <f>IF($B13="","",BANG_CHAM_CONG!AL13)</f>
        <v/>
      </c>
      <c r="P13" s="104">
        <f>IF($B13="","",BANG_CHAM_CONG!AM13)</f>
        <v/>
      </c>
      <c r="Q13" s="104">
        <f>IF($B13="","",BANG_CHAM_CONG!AN13)</f>
        <v/>
      </c>
      <c r="R13" s="104">
        <f>IF($B13="","",BANG_CHAM_CONG!AO13)</f>
        <v/>
      </c>
      <c r="S13" s="104">
        <f>IF($B13="","",BANG_CHAM_CONG!AP13)</f>
        <v/>
      </c>
      <c r="T13" s="104">
        <f>IF($B13="","",BANG_CHAM_CONG!AQ13)</f>
        <v/>
      </c>
      <c r="U13" s="111">
        <f>IF($B13="","",SUM($I13:$N13))</f>
        <v/>
      </c>
      <c r="V13" s="96">
        <f>IF($B13="","",TRIM(BANG_CHAM_CONG!$AU13&amp;IF($U13&gt;60,"OT vượt 60 giờ/tháng – rà soát giới hạn làm thêm; ","")&amp;IF(AND($E13=0,SUM($O13:$T13)=0),"Chưa có dữ liệu chấm công; ","")&amp;IF($H13&gt;$G13,"Giờ đêm trong ca lớn hơn giờ thường; ","")))</f>
        <v/>
      </c>
    </row>
    <row r="14" ht="15" customHeight="1" s="63">
      <c r="A14" s="85">
        <f>IF($B14="","",ROW()-5)</f>
        <v/>
      </c>
      <c r="B14" s="103">
        <f>IF(BANG_CHAM_CONG!B14="","",BANG_CHAM_CONG!B14)</f>
        <v/>
      </c>
      <c r="C14" s="96">
        <f>IF($B14="","",BANG_CHAM_CONG!C14)</f>
        <v/>
      </c>
      <c r="D14" s="96">
        <f>IF($B14="","",BANG_CHAM_CONG!D14)</f>
        <v/>
      </c>
      <c r="E14" s="95">
        <f>IF($B14="","",BANG_CHAM_CONG!AK14)</f>
        <v/>
      </c>
      <c r="F14" s="109">
        <f>IF($B14="","",IF(DM_NHAN_SU!$H14="",THAM_SO_CC!$B$11,DM_NHAN_SU!$H14))</f>
        <v/>
      </c>
      <c r="G14" s="110">
        <f>IF($B14="","",ROUND($E14*$F14,2))</f>
        <v/>
      </c>
      <c r="H14" s="108">
        <f>IF($B14="","",SUMIFS(CC_OT_GIO!$F$6:$F$2005,CC_OT_GIO!$B$6:$B$2005,$B14,CC_OT_GIO!$D$6:$D$2005,"&gt;="&amp;THAM_SO_CC!$B$8,CC_OT_GIO!$D$6:$D$2005,"&lt;="&amp;THAM_SO_CC!$B$9))</f>
        <v/>
      </c>
      <c r="I14" s="108">
        <f>IF($B14="","",SUMIFS(CC_OT_GIO!$J$6:$J$2005,CC_OT_GIO!$B$6:$B$2005,$B14,CC_OT_GIO!$D$6:$D$2005,"&gt;="&amp;THAM_SO_CC!$B$8,CC_OT_GIO!$D$6:$D$2005,"&lt;="&amp;THAM_SO_CC!$B$9))</f>
        <v/>
      </c>
      <c r="J14" s="108">
        <f>IF($B14="","",SUMIFS(CC_OT_GIO!$K$6:$K$2005,CC_OT_GIO!$B$6:$B$2005,$B14,CC_OT_GIO!$D$6:$D$2005,"&gt;="&amp;THAM_SO_CC!$B$8,CC_OT_GIO!$D$6:$D$2005,"&lt;="&amp;THAM_SO_CC!$B$9))</f>
        <v/>
      </c>
      <c r="K14" s="108">
        <f>IF($B14="","",SUMIFS(CC_OT_GIO!$L$6:$L$2005,CC_OT_GIO!$B$6:$B$2005,$B14,CC_OT_GIO!$D$6:$D$2005,"&gt;="&amp;THAM_SO_CC!$B$8,CC_OT_GIO!$D$6:$D$2005,"&lt;="&amp;THAM_SO_CC!$B$9))</f>
        <v/>
      </c>
      <c r="L14" s="108">
        <f>IF($B14="","",SUMIFS(CC_OT_GIO!$M$6:$M$2005,CC_OT_GIO!$B$6:$B$2005,$B14,CC_OT_GIO!$D$6:$D$2005,"&gt;="&amp;THAM_SO_CC!$B$8,CC_OT_GIO!$D$6:$D$2005,"&lt;="&amp;THAM_SO_CC!$B$9))</f>
        <v/>
      </c>
      <c r="M14" s="108">
        <f>IF($B14="","",SUMIFS(CC_OT_GIO!$N$6:$N$2005,CC_OT_GIO!$B$6:$B$2005,$B14,CC_OT_GIO!$D$6:$D$2005,"&gt;="&amp;THAM_SO_CC!$B$8,CC_OT_GIO!$D$6:$D$2005,"&lt;="&amp;THAM_SO_CC!$B$9))</f>
        <v/>
      </c>
      <c r="N14" s="108">
        <f>IF($B14="","",SUMIFS(CC_OT_GIO!$O$6:$O$2005,CC_OT_GIO!$B$6:$B$2005,$B14,CC_OT_GIO!$D$6:$D$2005,"&gt;="&amp;THAM_SO_CC!$B$8,CC_OT_GIO!$D$6:$D$2005,"&lt;="&amp;THAM_SO_CC!$B$9))</f>
        <v/>
      </c>
      <c r="O14" s="104">
        <f>IF($B14="","",BANG_CHAM_CONG!AL14)</f>
        <v/>
      </c>
      <c r="P14" s="104">
        <f>IF($B14="","",BANG_CHAM_CONG!AM14)</f>
        <v/>
      </c>
      <c r="Q14" s="104">
        <f>IF($B14="","",BANG_CHAM_CONG!AN14)</f>
        <v/>
      </c>
      <c r="R14" s="104">
        <f>IF($B14="","",BANG_CHAM_CONG!AO14)</f>
        <v/>
      </c>
      <c r="S14" s="104">
        <f>IF($B14="","",BANG_CHAM_CONG!AP14)</f>
        <v/>
      </c>
      <c r="T14" s="104">
        <f>IF($B14="","",BANG_CHAM_CONG!AQ14)</f>
        <v/>
      </c>
      <c r="U14" s="111">
        <f>IF($B14="","",SUM($I14:$N14))</f>
        <v/>
      </c>
      <c r="V14" s="96">
        <f>IF($B14="","",TRIM(BANG_CHAM_CONG!$AU14&amp;IF($U14&gt;60,"OT vượt 60 giờ/tháng – rà soát giới hạn làm thêm; ","")&amp;IF(AND($E14=0,SUM($O14:$T14)=0),"Chưa có dữ liệu chấm công; ","")&amp;IF($H14&gt;$G14,"Giờ đêm trong ca lớn hơn giờ thường; ","")))</f>
        <v/>
      </c>
    </row>
    <row r="15" ht="15" customHeight="1" s="63">
      <c r="A15" s="85">
        <f>IF($B15="","",ROW()-5)</f>
        <v/>
      </c>
      <c r="B15" s="103">
        <f>IF(BANG_CHAM_CONG!B15="","",BANG_CHAM_CONG!B15)</f>
        <v/>
      </c>
      <c r="C15" s="96">
        <f>IF($B15="","",BANG_CHAM_CONG!C15)</f>
        <v/>
      </c>
      <c r="D15" s="96">
        <f>IF($B15="","",BANG_CHAM_CONG!D15)</f>
        <v/>
      </c>
      <c r="E15" s="95">
        <f>IF($B15="","",BANG_CHAM_CONG!AK15)</f>
        <v/>
      </c>
      <c r="F15" s="109">
        <f>IF($B15="","",IF(DM_NHAN_SU!$H15="",THAM_SO_CC!$B$11,DM_NHAN_SU!$H15))</f>
        <v/>
      </c>
      <c r="G15" s="110">
        <f>IF($B15="","",ROUND($E15*$F15,2))</f>
        <v/>
      </c>
      <c r="H15" s="108">
        <f>IF($B15="","",SUMIFS(CC_OT_GIO!$F$6:$F$2005,CC_OT_GIO!$B$6:$B$2005,$B15,CC_OT_GIO!$D$6:$D$2005,"&gt;="&amp;THAM_SO_CC!$B$8,CC_OT_GIO!$D$6:$D$2005,"&lt;="&amp;THAM_SO_CC!$B$9))</f>
        <v/>
      </c>
      <c r="I15" s="108">
        <f>IF($B15="","",SUMIFS(CC_OT_GIO!$J$6:$J$2005,CC_OT_GIO!$B$6:$B$2005,$B15,CC_OT_GIO!$D$6:$D$2005,"&gt;="&amp;THAM_SO_CC!$B$8,CC_OT_GIO!$D$6:$D$2005,"&lt;="&amp;THAM_SO_CC!$B$9))</f>
        <v/>
      </c>
      <c r="J15" s="108">
        <f>IF($B15="","",SUMIFS(CC_OT_GIO!$K$6:$K$2005,CC_OT_GIO!$B$6:$B$2005,$B15,CC_OT_GIO!$D$6:$D$2005,"&gt;="&amp;THAM_SO_CC!$B$8,CC_OT_GIO!$D$6:$D$2005,"&lt;="&amp;THAM_SO_CC!$B$9))</f>
        <v/>
      </c>
      <c r="K15" s="108">
        <f>IF($B15="","",SUMIFS(CC_OT_GIO!$L$6:$L$2005,CC_OT_GIO!$B$6:$B$2005,$B15,CC_OT_GIO!$D$6:$D$2005,"&gt;="&amp;THAM_SO_CC!$B$8,CC_OT_GIO!$D$6:$D$2005,"&lt;="&amp;THAM_SO_CC!$B$9))</f>
        <v/>
      </c>
      <c r="L15" s="108">
        <f>IF($B15="","",SUMIFS(CC_OT_GIO!$M$6:$M$2005,CC_OT_GIO!$B$6:$B$2005,$B15,CC_OT_GIO!$D$6:$D$2005,"&gt;="&amp;THAM_SO_CC!$B$8,CC_OT_GIO!$D$6:$D$2005,"&lt;="&amp;THAM_SO_CC!$B$9))</f>
        <v/>
      </c>
      <c r="M15" s="108">
        <f>IF($B15="","",SUMIFS(CC_OT_GIO!$N$6:$N$2005,CC_OT_GIO!$B$6:$B$2005,$B15,CC_OT_GIO!$D$6:$D$2005,"&gt;="&amp;THAM_SO_CC!$B$8,CC_OT_GIO!$D$6:$D$2005,"&lt;="&amp;THAM_SO_CC!$B$9))</f>
        <v/>
      </c>
      <c r="N15" s="108">
        <f>IF($B15="","",SUMIFS(CC_OT_GIO!$O$6:$O$2005,CC_OT_GIO!$B$6:$B$2005,$B15,CC_OT_GIO!$D$6:$D$2005,"&gt;="&amp;THAM_SO_CC!$B$8,CC_OT_GIO!$D$6:$D$2005,"&lt;="&amp;THAM_SO_CC!$B$9))</f>
        <v/>
      </c>
      <c r="O15" s="104">
        <f>IF($B15="","",BANG_CHAM_CONG!AL15)</f>
        <v/>
      </c>
      <c r="P15" s="104">
        <f>IF($B15="","",BANG_CHAM_CONG!AM15)</f>
        <v/>
      </c>
      <c r="Q15" s="104">
        <f>IF($B15="","",BANG_CHAM_CONG!AN15)</f>
        <v/>
      </c>
      <c r="R15" s="104">
        <f>IF($B15="","",BANG_CHAM_CONG!AO15)</f>
        <v/>
      </c>
      <c r="S15" s="104">
        <f>IF($B15="","",BANG_CHAM_CONG!AP15)</f>
        <v/>
      </c>
      <c r="T15" s="104">
        <f>IF($B15="","",BANG_CHAM_CONG!AQ15)</f>
        <v/>
      </c>
      <c r="U15" s="111">
        <f>IF($B15="","",SUM($I15:$N15))</f>
        <v/>
      </c>
      <c r="V15" s="96">
        <f>IF($B15="","",TRIM(BANG_CHAM_CONG!$AU15&amp;IF($U15&gt;60,"OT vượt 60 giờ/tháng – rà soát giới hạn làm thêm; ","")&amp;IF(AND($E15=0,SUM($O15:$T15)=0),"Chưa có dữ liệu chấm công; ","")&amp;IF($H15&gt;$G15,"Giờ đêm trong ca lớn hơn giờ thường; ","")))</f>
        <v/>
      </c>
    </row>
    <row r="16" ht="15" customHeight="1" s="63">
      <c r="A16" s="85">
        <f>IF($B16="","",ROW()-5)</f>
        <v/>
      </c>
      <c r="B16" s="103">
        <f>IF(BANG_CHAM_CONG!B16="","",BANG_CHAM_CONG!B16)</f>
        <v/>
      </c>
      <c r="C16" s="96">
        <f>IF($B16="","",BANG_CHAM_CONG!C16)</f>
        <v/>
      </c>
      <c r="D16" s="96">
        <f>IF($B16="","",BANG_CHAM_CONG!D16)</f>
        <v/>
      </c>
      <c r="E16" s="95">
        <f>IF($B16="","",BANG_CHAM_CONG!AK16)</f>
        <v/>
      </c>
      <c r="F16" s="109">
        <f>IF($B16="","",IF(DM_NHAN_SU!$H16="",THAM_SO_CC!$B$11,DM_NHAN_SU!$H16))</f>
        <v/>
      </c>
      <c r="G16" s="110">
        <f>IF($B16="","",ROUND($E16*$F16,2))</f>
        <v/>
      </c>
      <c r="H16" s="108">
        <f>IF($B16="","",SUMIFS(CC_OT_GIO!$F$6:$F$2005,CC_OT_GIO!$B$6:$B$2005,$B16,CC_OT_GIO!$D$6:$D$2005,"&gt;="&amp;THAM_SO_CC!$B$8,CC_OT_GIO!$D$6:$D$2005,"&lt;="&amp;THAM_SO_CC!$B$9))</f>
        <v/>
      </c>
      <c r="I16" s="108">
        <f>IF($B16="","",SUMIFS(CC_OT_GIO!$J$6:$J$2005,CC_OT_GIO!$B$6:$B$2005,$B16,CC_OT_GIO!$D$6:$D$2005,"&gt;="&amp;THAM_SO_CC!$B$8,CC_OT_GIO!$D$6:$D$2005,"&lt;="&amp;THAM_SO_CC!$B$9))</f>
        <v/>
      </c>
      <c r="J16" s="108">
        <f>IF($B16="","",SUMIFS(CC_OT_GIO!$K$6:$K$2005,CC_OT_GIO!$B$6:$B$2005,$B16,CC_OT_GIO!$D$6:$D$2005,"&gt;="&amp;THAM_SO_CC!$B$8,CC_OT_GIO!$D$6:$D$2005,"&lt;="&amp;THAM_SO_CC!$B$9))</f>
        <v/>
      </c>
      <c r="K16" s="108">
        <f>IF($B16="","",SUMIFS(CC_OT_GIO!$L$6:$L$2005,CC_OT_GIO!$B$6:$B$2005,$B16,CC_OT_GIO!$D$6:$D$2005,"&gt;="&amp;THAM_SO_CC!$B$8,CC_OT_GIO!$D$6:$D$2005,"&lt;="&amp;THAM_SO_CC!$B$9))</f>
        <v/>
      </c>
      <c r="L16" s="108">
        <f>IF($B16="","",SUMIFS(CC_OT_GIO!$M$6:$M$2005,CC_OT_GIO!$B$6:$B$2005,$B16,CC_OT_GIO!$D$6:$D$2005,"&gt;="&amp;THAM_SO_CC!$B$8,CC_OT_GIO!$D$6:$D$2005,"&lt;="&amp;THAM_SO_CC!$B$9))</f>
        <v/>
      </c>
      <c r="M16" s="108">
        <f>IF($B16="","",SUMIFS(CC_OT_GIO!$N$6:$N$2005,CC_OT_GIO!$B$6:$B$2005,$B16,CC_OT_GIO!$D$6:$D$2005,"&gt;="&amp;THAM_SO_CC!$B$8,CC_OT_GIO!$D$6:$D$2005,"&lt;="&amp;THAM_SO_CC!$B$9))</f>
        <v/>
      </c>
      <c r="N16" s="108">
        <f>IF($B16="","",SUMIFS(CC_OT_GIO!$O$6:$O$2005,CC_OT_GIO!$B$6:$B$2005,$B16,CC_OT_GIO!$D$6:$D$2005,"&gt;="&amp;THAM_SO_CC!$B$8,CC_OT_GIO!$D$6:$D$2005,"&lt;="&amp;THAM_SO_CC!$B$9))</f>
        <v/>
      </c>
      <c r="O16" s="104">
        <f>IF($B16="","",BANG_CHAM_CONG!AL16)</f>
        <v/>
      </c>
      <c r="P16" s="104">
        <f>IF($B16="","",BANG_CHAM_CONG!AM16)</f>
        <v/>
      </c>
      <c r="Q16" s="104">
        <f>IF($B16="","",BANG_CHAM_CONG!AN16)</f>
        <v/>
      </c>
      <c r="R16" s="104">
        <f>IF($B16="","",BANG_CHAM_CONG!AO16)</f>
        <v/>
      </c>
      <c r="S16" s="104">
        <f>IF($B16="","",BANG_CHAM_CONG!AP16)</f>
        <v/>
      </c>
      <c r="T16" s="104">
        <f>IF($B16="","",BANG_CHAM_CONG!AQ16)</f>
        <v/>
      </c>
      <c r="U16" s="111">
        <f>IF($B16="","",SUM($I16:$N16))</f>
        <v/>
      </c>
      <c r="V16" s="96">
        <f>IF($B16="","",TRIM(BANG_CHAM_CONG!$AU16&amp;IF($U16&gt;60,"OT vượt 60 giờ/tháng – rà soát giới hạn làm thêm; ","")&amp;IF(AND($E16=0,SUM($O16:$T16)=0),"Chưa có dữ liệu chấm công; ","")&amp;IF($H16&gt;$G16,"Giờ đêm trong ca lớn hơn giờ thường; ","")))</f>
        <v/>
      </c>
    </row>
    <row r="17" ht="15" customHeight="1" s="63">
      <c r="A17" s="85">
        <f>IF($B17="","",ROW()-5)</f>
        <v/>
      </c>
      <c r="B17" s="103">
        <f>IF(BANG_CHAM_CONG!B17="","",BANG_CHAM_CONG!B17)</f>
        <v/>
      </c>
      <c r="C17" s="96">
        <f>IF($B17="","",BANG_CHAM_CONG!C17)</f>
        <v/>
      </c>
      <c r="D17" s="96">
        <f>IF($B17="","",BANG_CHAM_CONG!D17)</f>
        <v/>
      </c>
      <c r="E17" s="95">
        <f>IF($B17="","",BANG_CHAM_CONG!AK17)</f>
        <v/>
      </c>
      <c r="F17" s="109">
        <f>IF($B17="","",IF(DM_NHAN_SU!$H17="",THAM_SO_CC!$B$11,DM_NHAN_SU!$H17))</f>
        <v/>
      </c>
      <c r="G17" s="110">
        <f>IF($B17="","",ROUND($E17*$F17,2))</f>
        <v/>
      </c>
      <c r="H17" s="108">
        <f>IF($B17="","",SUMIFS(CC_OT_GIO!$F$6:$F$2005,CC_OT_GIO!$B$6:$B$2005,$B17,CC_OT_GIO!$D$6:$D$2005,"&gt;="&amp;THAM_SO_CC!$B$8,CC_OT_GIO!$D$6:$D$2005,"&lt;="&amp;THAM_SO_CC!$B$9))</f>
        <v/>
      </c>
      <c r="I17" s="108">
        <f>IF($B17="","",SUMIFS(CC_OT_GIO!$J$6:$J$2005,CC_OT_GIO!$B$6:$B$2005,$B17,CC_OT_GIO!$D$6:$D$2005,"&gt;="&amp;THAM_SO_CC!$B$8,CC_OT_GIO!$D$6:$D$2005,"&lt;="&amp;THAM_SO_CC!$B$9))</f>
        <v/>
      </c>
      <c r="J17" s="108">
        <f>IF($B17="","",SUMIFS(CC_OT_GIO!$K$6:$K$2005,CC_OT_GIO!$B$6:$B$2005,$B17,CC_OT_GIO!$D$6:$D$2005,"&gt;="&amp;THAM_SO_CC!$B$8,CC_OT_GIO!$D$6:$D$2005,"&lt;="&amp;THAM_SO_CC!$B$9))</f>
        <v/>
      </c>
      <c r="K17" s="108">
        <f>IF($B17="","",SUMIFS(CC_OT_GIO!$L$6:$L$2005,CC_OT_GIO!$B$6:$B$2005,$B17,CC_OT_GIO!$D$6:$D$2005,"&gt;="&amp;THAM_SO_CC!$B$8,CC_OT_GIO!$D$6:$D$2005,"&lt;="&amp;THAM_SO_CC!$B$9))</f>
        <v/>
      </c>
      <c r="L17" s="108">
        <f>IF($B17="","",SUMIFS(CC_OT_GIO!$M$6:$M$2005,CC_OT_GIO!$B$6:$B$2005,$B17,CC_OT_GIO!$D$6:$D$2005,"&gt;="&amp;THAM_SO_CC!$B$8,CC_OT_GIO!$D$6:$D$2005,"&lt;="&amp;THAM_SO_CC!$B$9))</f>
        <v/>
      </c>
      <c r="M17" s="108">
        <f>IF($B17="","",SUMIFS(CC_OT_GIO!$N$6:$N$2005,CC_OT_GIO!$B$6:$B$2005,$B17,CC_OT_GIO!$D$6:$D$2005,"&gt;="&amp;THAM_SO_CC!$B$8,CC_OT_GIO!$D$6:$D$2005,"&lt;="&amp;THAM_SO_CC!$B$9))</f>
        <v/>
      </c>
      <c r="N17" s="108">
        <f>IF($B17="","",SUMIFS(CC_OT_GIO!$O$6:$O$2005,CC_OT_GIO!$B$6:$B$2005,$B17,CC_OT_GIO!$D$6:$D$2005,"&gt;="&amp;THAM_SO_CC!$B$8,CC_OT_GIO!$D$6:$D$2005,"&lt;="&amp;THAM_SO_CC!$B$9))</f>
        <v/>
      </c>
      <c r="O17" s="104">
        <f>IF($B17="","",BANG_CHAM_CONG!AL17)</f>
        <v/>
      </c>
      <c r="P17" s="104">
        <f>IF($B17="","",BANG_CHAM_CONG!AM17)</f>
        <v/>
      </c>
      <c r="Q17" s="104">
        <f>IF($B17="","",BANG_CHAM_CONG!AN17)</f>
        <v/>
      </c>
      <c r="R17" s="104">
        <f>IF($B17="","",BANG_CHAM_CONG!AO17)</f>
        <v/>
      </c>
      <c r="S17" s="104">
        <f>IF($B17="","",BANG_CHAM_CONG!AP17)</f>
        <v/>
      </c>
      <c r="T17" s="104">
        <f>IF($B17="","",BANG_CHAM_CONG!AQ17)</f>
        <v/>
      </c>
      <c r="U17" s="111">
        <f>IF($B17="","",SUM($I17:$N17))</f>
        <v/>
      </c>
      <c r="V17" s="96">
        <f>IF($B17="","",TRIM(BANG_CHAM_CONG!$AU17&amp;IF($U17&gt;60,"OT vượt 60 giờ/tháng – rà soát giới hạn làm thêm; ","")&amp;IF(AND($E17=0,SUM($O17:$T17)=0),"Chưa có dữ liệu chấm công; ","")&amp;IF($H17&gt;$G17,"Giờ đêm trong ca lớn hơn giờ thường; ","")))</f>
        <v/>
      </c>
    </row>
    <row r="18" ht="15" customHeight="1" s="63">
      <c r="A18" s="85">
        <f>IF($B18="","",ROW()-5)</f>
        <v/>
      </c>
      <c r="B18" s="103">
        <f>IF(BANG_CHAM_CONG!B18="","",BANG_CHAM_CONG!B18)</f>
        <v/>
      </c>
      <c r="C18" s="96">
        <f>IF($B18="","",BANG_CHAM_CONG!C18)</f>
        <v/>
      </c>
      <c r="D18" s="96">
        <f>IF($B18="","",BANG_CHAM_CONG!D18)</f>
        <v/>
      </c>
      <c r="E18" s="95">
        <f>IF($B18="","",BANG_CHAM_CONG!AK18)</f>
        <v/>
      </c>
      <c r="F18" s="109">
        <f>IF($B18="","",IF(DM_NHAN_SU!$H18="",THAM_SO_CC!$B$11,DM_NHAN_SU!$H18))</f>
        <v/>
      </c>
      <c r="G18" s="110">
        <f>IF($B18="","",ROUND($E18*$F18,2))</f>
        <v/>
      </c>
      <c r="H18" s="108">
        <f>IF($B18="","",SUMIFS(CC_OT_GIO!$F$6:$F$2005,CC_OT_GIO!$B$6:$B$2005,$B18,CC_OT_GIO!$D$6:$D$2005,"&gt;="&amp;THAM_SO_CC!$B$8,CC_OT_GIO!$D$6:$D$2005,"&lt;="&amp;THAM_SO_CC!$B$9))</f>
        <v/>
      </c>
      <c r="I18" s="108">
        <f>IF($B18="","",SUMIFS(CC_OT_GIO!$J$6:$J$2005,CC_OT_GIO!$B$6:$B$2005,$B18,CC_OT_GIO!$D$6:$D$2005,"&gt;="&amp;THAM_SO_CC!$B$8,CC_OT_GIO!$D$6:$D$2005,"&lt;="&amp;THAM_SO_CC!$B$9))</f>
        <v/>
      </c>
      <c r="J18" s="108">
        <f>IF($B18="","",SUMIFS(CC_OT_GIO!$K$6:$K$2005,CC_OT_GIO!$B$6:$B$2005,$B18,CC_OT_GIO!$D$6:$D$2005,"&gt;="&amp;THAM_SO_CC!$B$8,CC_OT_GIO!$D$6:$D$2005,"&lt;="&amp;THAM_SO_CC!$B$9))</f>
        <v/>
      </c>
      <c r="K18" s="108">
        <f>IF($B18="","",SUMIFS(CC_OT_GIO!$L$6:$L$2005,CC_OT_GIO!$B$6:$B$2005,$B18,CC_OT_GIO!$D$6:$D$2005,"&gt;="&amp;THAM_SO_CC!$B$8,CC_OT_GIO!$D$6:$D$2005,"&lt;="&amp;THAM_SO_CC!$B$9))</f>
        <v/>
      </c>
      <c r="L18" s="108">
        <f>IF($B18="","",SUMIFS(CC_OT_GIO!$M$6:$M$2005,CC_OT_GIO!$B$6:$B$2005,$B18,CC_OT_GIO!$D$6:$D$2005,"&gt;="&amp;THAM_SO_CC!$B$8,CC_OT_GIO!$D$6:$D$2005,"&lt;="&amp;THAM_SO_CC!$B$9))</f>
        <v/>
      </c>
      <c r="M18" s="108">
        <f>IF($B18="","",SUMIFS(CC_OT_GIO!$N$6:$N$2005,CC_OT_GIO!$B$6:$B$2005,$B18,CC_OT_GIO!$D$6:$D$2005,"&gt;="&amp;THAM_SO_CC!$B$8,CC_OT_GIO!$D$6:$D$2005,"&lt;="&amp;THAM_SO_CC!$B$9))</f>
        <v/>
      </c>
      <c r="N18" s="108">
        <f>IF($B18="","",SUMIFS(CC_OT_GIO!$O$6:$O$2005,CC_OT_GIO!$B$6:$B$2005,$B18,CC_OT_GIO!$D$6:$D$2005,"&gt;="&amp;THAM_SO_CC!$B$8,CC_OT_GIO!$D$6:$D$2005,"&lt;="&amp;THAM_SO_CC!$B$9))</f>
        <v/>
      </c>
      <c r="O18" s="104">
        <f>IF($B18="","",BANG_CHAM_CONG!AL18)</f>
        <v/>
      </c>
      <c r="P18" s="104">
        <f>IF($B18="","",BANG_CHAM_CONG!AM18)</f>
        <v/>
      </c>
      <c r="Q18" s="104">
        <f>IF($B18="","",BANG_CHAM_CONG!AN18)</f>
        <v/>
      </c>
      <c r="R18" s="104">
        <f>IF($B18="","",BANG_CHAM_CONG!AO18)</f>
        <v/>
      </c>
      <c r="S18" s="104">
        <f>IF($B18="","",BANG_CHAM_CONG!AP18)</f>
        <v/>
      </c>
      <c r="T18" s="104">
        <f>IF($B18="","",BANG_CHAM_CONG!AQ18)</f>
        <v/>
      </c>
      <c r="U18" s="111">
        <f>IF($B18="","",SUM($I18:$N18))</f>
        <v/>
      </c>
      <c r="V18" s="96">
        <f>IF($B18="","",TRIM(BANG_CHAM_CONG!$AU18&amp;IF($U18&gt;60,"OT vượt 60 giờ/tháng – rà soát giới hạn làm thêm; ","")&amp;IF(AND($E18=0,SUM($O18:$T18)=0),"Chưa có dữ liệu chấm công; ","")&amp;IF($H18&gt;$G18,"Giờ đêm trong ca lớn hơn giờ thường; ","")))</f>
        <v/>
      </c>
    </row>
    <row r="19" ht="15" customHeight="1" s="63">
      <c r="A19" s="85">
        <f>IF($B19="","",ROW()-5)</f>
        <v/>
      </c>
      <c r="B19" s="103">
        <f>IF(BANG_CHAM_CONG!B19="","",BANG_CHAM_CONG!B19)</f>
        <v/>
      </c>
      <c r="C19" s="96">
        <f>IF($B19="","",BANG_CHAM_CONG!C19)</f>
        <v/>
      </c>
      <c r="D19" s="96">
        <f>IF($B19="","",BANG_CHAM_CONG!D19)</f>
        <v/>
      </c>
      <c r="E19" s="95">
        <f>IF($B19="","",BANG_CHAM_CONG!AK19)</f>
        <v/>
      </c>
      <c r="F19" s="109">
        <f>IF($B19="","",IF(DM_NHAN_SU!$H19="",THAM_SO_CC!$B$11,DM_NHAN_SU!$H19))</f>
        <v/>
      </c>
      <c r="G19" s="110">
        <f>IF($B19="","",ROUND($E19*$F19,2))</f>
        <v/>
      </c>
      <c r="H19" s="108">
        <f>IF($B19="","",SUMIFS(CC_OT_GIO!$F$6:$F$2005,CC_OT_GIO!$B$6:$B$2005,$B19,CC_OT_GIO!$D$6:$D$2005,"&gt;="&amp;THAM_SO_CC!$B$8,CC_OT_GIO!$D$6:$D$2005,"&lt;="&amp;THAM_SO_CC!$B$9))</f>
        <v/>
      </c>
      <c r="I19" s="108">
        <f>IF($B19="","",SUMIFS(CC_OT_GIO!$J$6:$J$2005,CC_OT_GIO!$B$6:$B$2005,$B19,CC_OT_GIO!$D$6:$D$2005,"&gt;="&amp;THAM_SO_CC!$B$8,CC_OT_GIO!$D$6:$D$2005,"&lt;="&amp;THAM_SO_CC!$B$9))</f>
        <v/>
      </c>
      <c r="J19" s="108">
        <f>IF($B19="","",SUMIFS(CC_OT_GIO!$K$6:$K$2005,CC_OT_GIO!$B$6:$B$2005,$B19,CC_OT_GIO!$D$6:$D$2005,"&gt;="&amp;THAM_SO_CC!$B$8,CC_OT_GIO!$D$6:$D$2005,"&lt;="&amp;THAM_SO_CC!$B$9))</f>
        <v/>
      </c>
      <c r="K19" s="108">
        <f>IF($B19="","",SUMIFS(CC_OT_GIO!$L$6:$L$2005,CC_OT_GIO!$B$6:$B$2005,$B19,CC_OT_GIO!$D$6:$D$2005,"&gt;="&amp;THAM_SO_CC!$B$8,CC_OT_GIO!$D$6:$D$2005,"&lt;="&amp;THAM_SO_CC!$B$9))</f>
        <v/>
      </c>
      <c r="L19" s="108">
        <f>IF($B19="","",SUMIFS(CC_OT_GIO!$M$6:$M$2005,CC_OT_GIO!$B$6:$B$2005,$B19,CC_OT_GIO!$D$6:$D$2005,"&gt;="&amp;THAM_SO_CC!$B$8,CC_OT_GIO!$D$6:$D$2005,"&lt;="&amp;THAM_SO_CC!$B$9))</f>
        <v/>
      </c>
      <c r="M19" s="108">
        <f>IF($B19="","",SUMIFS(CC_OT_GIO!$N$6:$N$2005,CC_OT_GIO!$B$6:$B$2005,$B19,CC_OT_GIO!$D$6:$D$2005,"&gt;="&amp;THAM_SO_CC!$B$8,CC_OT_GIO!$D$6:$D$2005,"&lt;="&amp;THAM_SO_CC!$B$9))</f>
        <v/>
      </c>
      <c r="N19" s="108">
        <f>IF($B19="","",SUMIFS(CC_OT_GIO!$O$6:$O$2005,CC_OT_GIO!$B$6:$B$2005,$B19,CC_OT_GIO!$D$6:$D$2005,"&gt;="&amp;THAM_SO_CC!$B$8,CC_OT_GIO!$D$6:$D$2005,"&lt;="&amp;THAM_SO_CC!$B$9))</f>
        <v/>
      </c>
      <c r="O19" s="104">
        <f>IF($B19="","",BANG_CHAM_CONG!AL19)</f>
        <v/>
      </c>
      <c r="P19" s="104">
        <f>IF($B19="","",BANG_CHAM_CONG!AM19)</f>
        <v/>
      </c>
      <c r="Q19" s="104">
        <f>IF($B19="","",BANG_CHAM_CONG!AN19)</f>
        <v/>
      </c>
      <c r="R19" s="104">
        <f>IF($B19="","",BANG_CHAM_CONG!AO19)</f>
        <v/>
      </c>
      <c r="S19" s="104">
        <f>IF($B19="","",BANG_CHAM_CONG!AP19)</f>
        <v/>
      </c>
      <c r="T19" s="104">
        <f>IF($B19="","",BANG_CHAM_CONG!AQ19)</f>
        <v/>
      </c>
      <c r="U19" s="111">
        <f>IF($B19="","",SUM($I19:$N19))</f>
        <v/>
      </c>
      <c r="V19" s="96">
        <f>IF($B19="","",TRIM(BANG_CHAM_CONG!$AU19&amp;IF($U19&gt;60,"OT vượt 60 giờ/tháng – rà soát giới hạn làm thêm; ","")&amp;IF(AND($E19=0,SUM($O19:$T19)=0),"Chưa có dữ liệu chấm công; ","")&amp;IF($H19&gt;$G19,"Giờ đêm trong ca lớn hơn giờ thường; ","")))</f>
        <v/>
      </c>
    </row>
    <row r="20" ht="15" customHeight="1" s="63">
      <c r="A20" s="85">
        <f>IF($B20="","",ROW()-5)</f>
        <v/>
      </c>
      <c r="B20" s="103">
        <f>IF(BANG_CHAM_CONG!B20="","",BANG_CHAM_CONG!B20)</f>
        <v/>
      </c>
      <c r="C20" s="96">
        <f>IF($B20="","",BANG_CHAM_CONG!C20)</f>
        <v/>
      </c>
      <c r="D20" s="96">
        <f>IF($B20="","",BANG_CHAM_CONG!D20)</f>
        <v/>
      </c>
      <c r="E20" s="95">
        <f>IF($B20="","",BANG_CHAM_CONG!AK20)</f>
        <v/>
      </c>
      <c r="F20" s="109">
        <f>IF($B20="","",IF(DM_NHAN_SU!$H20="",THAM_SO_CC!$B$11,DM_NHAN_SU!$H20))</f>
        <v/>
      </c>
      <c r="G20" s="110">
        <f>IF($B20="","",ROUND($E20*$F20,2))</f>
        <v/>
      </c>
      <c r="H20" s="108">
        <f>IF($B20="","",SUMIFS(CC_OT_GIO!$F$6:$F$2005,CC_OT_GIO!$B$6:$B$2005,$B20,CC_OT_GIO!$D$6:$D$2005,"&gt;="&amp;THAM_SO_CC!$B$8,CC_OT_GIO!$D$6:$D$2005,"&lt;="&amp;THAM_SO_CC!$B$9))</f>
        <v/>
      </c>
      <c r="I20" s="108">
        <f>IF($B20="","",SUMIFS(CC_OT_GIO!$J$6:$J$2005,CC_OT_GIO!$B$6:$B$2005,$B20,CC_OT_GIO!$D$6:$D$2005,"&gt;="&amp;THAM_SO_CC!$B$8,CC_OT_GIO!$D$6:$D$2005,"&lt;="&amp;THAM_SO_CC!$B$9))</f>
        <v/>
      </c>
      <c r="J20" s="108">
        <f>IF($B20="","",SUMIFS(CC_OT_GIO!$K$6:$K$2005,CC_OT_GIO!$B$6:$B$2005,$B20,CC_OT_GIO!$D$6:$D$2005,"&gt;="&amp;THAM_SO_CC!$B$8,CC_OT_GIO!$D$6:$D$2005,"&lt;="&amp;THAM_SO_CC!$B$9))</f>
        <v/>
      </c>
      <c r="K20" s="108">
        <f>IF($B20="","",SUMIFS(CC_OT_GIO!$L$6:$L$2005,CC_OT_GIO!$B$6:$B$2005,$B20,CC_OT_GIO!$D$6:$D$2005,"&gt;="&amp;THAM_SO_CC!$B$8,CC_OT_GIO!$D$6:$D$2005,"&lt;="&amp;THAM_SO_CC!$B$9))</f>
        <v/>
      </c>
      <c r="L20" s="108">
        <f>IF($B20="","",SUMIFS(CC_OT_GIO!$M$6:$M$2005,CC_OT_GIO!$B$6:$B$2005,$B20,CC_OT_GIO!$D$6:$D$2005,"&gt;="&amp;THAM_SO_CC!$B$8,CC_OT_GIO!$D$6:$D$2005,"&lt;="&amp;THAM_SO_CC!$B$9))</f>
        <v/>
      </c>
      <c r="M20" s="108">
        <f>IF($B20="","",SUMIFS(CC_OT_GIO!$N$6:$N$2005,CC_OT_GIO!$B$6:$B$2005,$B20,CC_OT_GIO!$D$6:$D$2005,"&gt;="&amp;THAM_SO_CC!$B$8,CC_OT_GIO!$D$6:$D$2005,"&lt;="&amp;THAM_SO_CC!$B$9))</f>
        <v/>
      </c>
      <c r="N20" s="108">
        <f>IF($B20="","",SUMIFS(CC_OT_GIO!$O$6:$O$2005,CC_OT_GIO!$B$6:$B$2005,$B20,CC_OT_GIO!$D$6:$D$2005,"&gt;="&amp;THAM_SO_CC!$B$8,CC_OT_GIO!$D$6:$D$2005,"&lt;="&amp;THAM_SO_CC!$B$9))</f>
        <v/>
      </c>
      <c r="O20" s="104">
        <f>IF($B20="","",BANG_CHAM_CONG!AL20)</f>
        <v/>
      </c>
      <c r="P20" s="104">
        <f>IF($B20="","",BANG_CHAM_CONG!AM20)</f>
        <v/>
      </c>
      <c r="Q20" s="104">
        <f>IF($B20="","",BANG_CHAM_CONG!AN20)</f>
        <v/>
      </c>
      <c r="R20" s="104">
        <f>IF($B20="","",BANG_CHAM_CONG!AO20)</f>
        <v/>
      </c>
      <c r="S20" s="104">
        <f>IF($B20="","",BANG_CHAM_CONG!AP20)</f>
        <v/>
      </c>
      <c r="T20" s="104">
        <f>IF($B20="","",BANG_CHAM_CONG!AQ20)</f>
        <v/>
      </c>
      <c r="U20" s="111">
        <f>IF($B20="","",SUM($I20:$N20))</f>
        <v/>
      </c>
      <c r="V20" s="96">
        <f>IF($B20="","",TRIM(BANG_CHAM_CONG!$AU20&amp;IF($U20&gt;60,"OT vượt 60 giờ/tháng – rà soát giới hạn làm thêm; ","")&amp;IF(AND($E20=0,SUM($O20:$T20)=0),"Chưa có dữ liệu chấm công; ","")&amp;IF($H20&gt;$G20,"Giờ đêm trong ca lớn hơn giờ thường; ","")))</f>
        <v/>
      </c>
    </row>
    <row r="21" ht="15" customHeight="1" s="63">
      <c r="A21" s="85">
        <f>IF($B21="","",ROW()-5)</f>
        <v/>
      </c>
      <c r="B21" s="103">
        <f>IF(BANG_CHAM_CONG!B21="","",BANG_CHAM_CONG!B21)</f>
        <v/>
      </c>
      <c r="C21" s="96">
        <f>IF($B21="","",BANG_CHAM_CONG!C21)</f>
        <v/>
      </c>
      <c r="D21" s="96">
        <f>IF($B21="","",BANG_CHAM_CONG!D21)</f>
        <v/>
      </c>
      <c r="E21" s="95">
        <f>IF($B21="","",BANG_CHAM_CONG!AK21)</f>
        <v/>
      </c>
      <c r="F21" s="109">
        <f>IF($B21="","",IF(DM_NHAN_SU!$H21="",THAM_SO_CC!$B$11,DM_NHAN_SU!$H21))</f>
        <v/>
      </c>
      <c r="G21" s="110">
        <f>IF($B21="","",ROUND($E21*$F21,2))</f>
        <v/>
      </c>
      <c r="H21" s="108">
        <f>IF($B21="","",SUMIFS(CC_OT_GIO!$F$6:$F$2005,CC_OT_GIO!$B$6:$B$2005,$B21,CC_OT_GIO!$D$6:$D$2005,"&gt;="&amp;THAM_SO_CC!$B$8,CC_OT_GIO!$D$6:$D$2005,"&lt;="&amp;THAM_SO_CC!$B$9))</f>
        <v/>
      </c>
      <c r="I21" s="108">
        <f>IF($B21="","",SUMIFS(CC_OT_GIO!$J$6:$J$2005,CC_OT_GIO!$B$6:$B$2005,$B21,CC_OT_GIO!$D$6:$D$2005,"&gt;="&amp;THAM_SO_CC!$B$8,CC_OT_GIO!$D$6:$D$2005,"&lt;="&amp;THAM_SO_CC!$B$9))</f>
        <v/>
      </c>
      <c r="J21" s="108">
        <f>IF($B21="","",SUMIFS(CC_OT_GIO!$K$6:$K$2005,CC_OT_GIO!$B$6:$B$2005,$B21,CC_OT_GIO!$D$6:$D$2005,"&gt;="&amp;THAM_SO_CC!$B$8,CC_OT_GIO!$D$6:$D$2005,"&lt;="&amp;THAM_SO_CC!$B$9))</f>
        <v/>
      </c>
      <c r="K21" s="108">
        <f>IF($B21="","",SUMIFS(CC_OT_GIO!$L$6:$L$2005,CC_OT_GIO!$B$6:$B$2005,$B21,CC_OT_GIO!$D$6:$D$2005,"&gt;="&amp;THAM_SO_CC!$B$8,CC_OT_GIO!$D$6:$D$2005,"&lt;="&amp;THAM_SO_CC!$B$9))</f>
        <v/>
      </c>
      <c r="L21" s="108">
        <f>IF($B21="","",SUMIFS(CC_OT_GIO!$M$6:$M$2005,CC_OT_GIO!$B$6:$B$2005,$B21,CC_OT_GIO!$D$6:$D$2005,"&gt;="&amp;THAM_SO_CC!$B$8,CC_OT_GIO!$D$6:$D$2005,"&lt;="&amp;THAM_SO_CC!$B$9))</f>
        <v/>
      </c>
      <c r="M21" s="108">
        <f>IF($B21="","",SUMIFS(CC_OT_GIO!$N$6:$N$2005,CC_OT_GIO!$B$6:$B$2005,$B21,CC_OT_GIO!$D$6:$D$2005,"&gt;="&amp;THAM_SO_CC!$B$8,CC_OT_GIO!$D$6:$D$2005,"&lt;="&amp;THAM_SO_CC!$B$9))</f>
        <v/>
      </c>
      <c r="N21" s="108">
        <f>IF($B21="","",SUMIFS(CC_OT_GIO!$O$6:$O$2005,CC_OT_GIO!$B$6:$B$2005,$B21,CC_OT_GIO!$D$6:$D$2005,"&gt;="&amp;THAM_SO_CC!$B$8,CC_OT_GIO!$D$6:$D$2005,"&lt;="&amp;THAM_SO_CC!$B$9))</f>
        <v/>
      </c>
      <c r="O21" s="104">
        <f>IF($B21="","",BANG_CHAM_CONG!AL21)</f>
        <v/>
      </c>
      <c r="P21" s="104">
        <f>IF($B21="","",BANG_CHAM_CONG!AM21)</f>
        <v/>
      </c>
      <c r="Q21" s="104">
        <f>IF($B21="","",BANG_CHAM_CONG!AN21)</f>
        <v/>
      </c>
      <c r="R21" s="104">
        <f>IF($B21="","",BANG_CHAM_CONG!AO21)</f>
        <v/>
      </c>
      <c r="S21" s="104">
        <f>IF($B21="","",BANG_CHAM_CONG!AP21)</f>
        <v/>
      </c>
      <c r="T21" s="104">
        <f>IF($B21="","",BANG_CHAM_CONG!AQ21)</f>
        <v/>
      </c>
      <c r="U21" s="111">
        <f>IF($B21="","",SUM($I21:$N21))</f>
        <v/>
      </c>
      <c r="V21" s="96">
        <f>IF($B21="","",TRIM(BANG_CHAM_CONG!$AU21&amp;IF($U21&gt;60,"OT vượt 60 giờ/tháng – rà soát giới hạn làm thêm; ","")&amp;IF(AND($E21=0,SUM($O21:$T21)=0),"Chưa có dữ liệu chấm công; ","")&amp;IF($H21&gt;$G21,"Giờ đêm trong ca lớn hơn giờ thường; ","")))</f>
        <v/>
      </c>
    </row>
    <row r="22" ht="15" customHeight="1" s="63">
      <c r="A22" s="85">
        <f>IF($B22="","",ROW()-5)</f>
        <v/>
      </c>
      <c r="B22" s="103">
        <f>IF(BANG_CHAM_CONG!B22="","",BANG_CHAM_CONG!B22)</f>
        <v/>
      </c>
      <c r="C22" s="96">
        <f>IF($B22="","",BANG_CHAM_CONG!C22)</f>
        <v/>
      </c>
      <c r="D22" s="96">
        <f>IF($B22="","",BANG_CHAM_CONG!D22)</f>
        <v/>
      </c>
      <c r="E22" s="95">
        <f>IF($B22="","",BANG_CHAM_CONG!AK22)</f>
        <v/>
      </c>
      <c r="F22" s="109">
        <f>IF($B22="","",IF(DM_NHAN_SU!$H22="",THAM_SO_CC!$B$11,DM_NHAN_SU!$H22))</f>
        <v/>
      </c>
      <c r="G22" s="110">
        <f>IF($B22="","",ROUND($E22*$F22,2))</f>
        <v/>
      </c>
      <c r="H22" s="108">
        <f>IF($B22="","",SUMIFS(CC_OT_GIO!$F$6:$F$2005,CC_OT_GIO!$B$6:$B$2005,$B22,CC_OT_GIO!$D$6:$D$2005,"&gt;="&amp;THAM_SO_CC!$B$8,CC_OT_GIO!$D$6:$D$2005,"&lt;="&amp;THAM_SO_CC!$B$9))</f>
        <v/>
      </c>
      <c r="I22" s="108">
        <f>IF($B22="","",SUMIFS(CC_OT_GIO!$J$6:$J$2005,CC_OT_GIO!$B$6:$B$2005,$B22,CC_OT_GIO!$D$6:$D$2005,"&gt;="&amp;THAM_SO_CC!$B$8,CC_OT_GIO!$D$6:$D$2005,"&lt;="&amp;THAM_SO_CC!$B$9))</f>
        <v/>
      </c>
      <c r="J22" s="108">
        <f>IF($B22="","",SUMIFS(CC_OT_GIO!$K$6:$K$2005,CC_OT_GIO!$B$6:$B$2005,$B22,CC_OT_GIO!$D$6:$D$2005,"&gt;="&amp;THAM_SO_CC!$B$8,CC_OT_GIO!$D$6:$D$2005,"&lt;="&amp;THAM_SO_CC!$B$9))</f>
        <v/>
      </c>
      <c r="K22" s="108">
        <f>IF($B22="","",SUMIFS(CC_OT_GIO!$L$6:$L$2005,CC_OT_GIO!$B$6:$B$2005,$B22,CC_OT_GIO!$D$6:$D$2005,"&gt;="&amp;THAM_SO_CC!$B$8,CC_OT_GIO!$D$6:$D$2005,"&lt;="&amp;THAM_SO_CC!$B$9))</f>
        <v/>
      </c>
      <c r="L22" s="108">
        <f>IF($B22="","",SUMIFS(CC_OT_GIO!$M$6:$M$2005,CC_OT_GIO!$B$6:$B$2005,$B22,CC_OT_GIO!$D$6:$D$2005,"&gt;="&amp;THAM_SO_CC!$B$8,CC_OT_GIO!$D$6:$D$2005,"&lt;="&amp;THAM_SO_CC!$B$9))</f>
        <v/>
      </c>
      <c r="M22" s="108">
        <f>IF($B22="","",SUMIFS(CC_OT_GIO!$N$6:$N$2005,CC_OT_GIO!$B$6:$B$2005,$B22,CC_OT_GIO!$D$6:$D$2005,"&gt;="&amp;THAM_SO_CC!$B$8,CC_OT_GIO!$D$6:$D$2005,"&lt;="&amp;THAM_SO_CC!$B$9))</f>
        <v/>
      </c>
      <c r="N22" s="108">
        <f>IF($B22="","",SUMIFS(CC_OT_GIO!$O$6:$O$2005,CC_OT_GIO!$B$6:$B$2005,$B22,CC_OT_GIO!$D$6:$D$2005,"&gt;="&amp;THAM_SO_CC!$B$8,CC_OT_GIO!$D$6:$D$2005,"&lt;="&amp;THAM_SO_CC!$B$9))</f>
        <v/>
      </c>
      <c r="O22" s="104">
        <f>IF($B22="","",BANG_CHAM_CONG!AL22)</f>
        <v/>
      </c>
      <c r="P22" s="104">
        <f>IF($B22="","",BANG_CHAM_CONG!AM22)</f>
        <v/>
      </c>
      <c r="Q22" s="104">
        <f>IF($B22="","",BANG_CHAM_CONG!AN22)</f>
        <v/>
      </c>
      <c r="R22" s="104">
        <f>IF($B22="","",BANG_CHAM_CONG!AO22)</f>
        <v/>
      </c>
      <c r="S22" s="104">
        <f>IF($B22="","",BANG_CHAM_CONG!AP22)</f>
        <v/>
      </c>
      <c r="T22" s="104">
        <f>IF($B22="","",BANG_CHAM_CONG!AQ22)</f>
        <v/>
      </c>
      <c r="U22" s="111">
        <f>IF($B22="","",SUM($I22:$N22))</f>
        <v/>
      </c>
      <c r="V22" s="96">
        <f>IF($B22="","",TRIM(BANG_CHAM_CONG!$AU22&amp;IF($U22&gt;60,"OT vượt 60 giờ/tháng – rà soát giới hạn làm thêm; ","")&amp;IF(AND($E22=0,SUM($O22:$T22)=0),"Chưa có dữ liệu chấm công; ","")&amp;IF($H22&gt;$G22,"Giờ đêm trong ca lớn hơn giờ thường; ","")))</f>
        <v/>
      </c>
    </row>
    <row r="23" ht="15" customHeight="1" s="63">
      <c r="A23" s="85">
        <f>IF($B23="","",ROW()-5)</f>
        <v/>
      </c>
      <c r="B23" s="103">
        <f>IF(BANG_CHAM_CONG!B23="","",BANG_CHAM_CONG!B23)</f>
        <v/>
      </c>
      <c r="C23" s="96">
        <f>IF($B23="","",BANG_CHAM_CONG!C23)</f>
        <v/>
      </c>
      <c r="D23" s="96">
        <f>IF($B23="","",BANG_CHAM_CONG!D23)</f>
        <v/>
      </c>
      <c r="E23" s="95">
        <f>IF($B23="","",BANG_CHAM_CONG!AK23)</f>
        <v/>
      </c>
      <c r="F23" s="109">
        <f>IF($B23="","",IF(DM_NHAN_SU!$H23="",THAM_SO_CC!$B$11,DM_NHAN_SU!$H23))</f>
        <v/>
      </c>
      <c r="G23" s="110">
        <f>IF($B23="","",ROUND($E23*$F23,2))</f>
        <v/>
      </c>
      <c r="H23" s="108">
        <f>IF($B23="","",SUMIFS(CC_OT_GIO!$F$6:$F$2005,CC_OT_GIO!$B$6:$B$2005,$B23,CC_OT_GIO!$D$6:$D$2005,"&gt;="&amp;THAM_SO_CC!$B$8,CC_OT_GIO!$D$6:$D$2005,"&lt;="&amp;THAM_SO_CC!$B$9))</f>
        <v/>
      </c>
      <c r="I23" s="108">
        <f>IF($B23="","",SUMIFS(CC_OT_GIO!$J$6:$J$2005,CC_OT_GIO!$B$6:$B$2005,$B23,CC_OT_GIO!$D$6:$D$2005,"&gt;="&amp;THAM_SO_CC!$B$8,CC_OT_GIO!$D$6:$D$2005,"&lt;="&amp;THAM_SO_CC!$B$9))</f>
        <v/>
      </c>
      <c r="J23" s="108">
        <f>IF($B23="","",SUMIFS(CC_OT_GIO!$K$6:$K$2005,CC_OT_GIO!$B$6:$B$2005,$B23,CC_OT_GIO!$D$6:$D$2005,"&gt;="&amp;THAM_SO_CC!$B$8,CC_OT_GIO!$D$6:$D$2005,"&lt;="&amp;THAM_SO_CC!$B$9))</f>
        <v/>
      </c>
      <c r="K23" s="108">
        <f>IF($B23="","",SUMIFS(CC_OT_GIO!$L$6:$L$2005,CC_OT_GIO!$B$6:$B$2005,$B23,CC_OT_GIO!$D$6:$D$2005,"&gt;="&amp;THAM_SO_CC!$B$8,CC_OT_GIO!$D$6:$D$2005,"&lt;="&amp;THAM_SO_CC!$B$9))</f>
        <v/>
      </c>
      <c r="L23" s="108">
        <f>IF($B23="","",SUMIFS(CC_OT_GIO!$M$6:$M$2005,CC_OT_GIO!$B$6:$B$2005,$B23,CC_OT_GIO!$D$6:$D$2005,"&gt;="&amp;THAM_SO_CC!$B$8,CC_OT_GIO!$D$6:$D$2005,"&lt;="&amp;THAM_SO_CC!$B$9))</f>
        <v/>
      </c>
      <c r="M23" s="108">
        <f>IF($B23="","",SUMIFS(CC_OT_GIO!$N$6:$N$2005,CC_OT_GIO!$B$6:$B$2005,$B23,CC_OT_GIO!$D$6:$D$2005,"&gt;="&amp;THAM_SO_CC!$B$8,CC_OT_GIO!$D$6:$D$2005,"&lt;="&amp;THAM_SO_CC!$B$9))</f>
        <v/>
      </c>
      <c r="N23" s="108">
        <f>IF($B23="","",SUMIFS(CC_OT_GIO!$O$6:$O$2005,CC_OT_GIO!$B$6:$B$2005,$B23,CC_OT_GIO!$D$6:$D$2005,"&gt;="&amp;THAM_SO_CC!$B$8,CC_OT_GIO!$D$6:$D$2005,"&lt;="&amp;THAM_SO_CC!$B$9))</f>
        <v/>
      </c>
      <c r="O23" s="104">
        <f>IF($B23="","",BANG_CHAM_CONG!AL23)</f>
        <v/>
      </c>
      <c r="P23" s="104">
        <f>IF($B23="","",BANG_CHAM_CONG!AM23)</f>
        <v/>
      </c>
      <c r="Q23" s="104">
        <f>IF($B23="","",BANG_CHAM_CONG!AN23)</f>
        <v/>
      </c>
      <c r="R23" s="104">
        <f>IF($B23="","",BANG_CHAM_CONG!AO23)</f>
        <v/>
      </c>
      <c r="S23" s="104">
        <f>IF($B23="","",BANG_CHAM_CONG!AP23)</f>
        <v/>
      </c>
      <c r="T23" s="104">
        <f>IF($B23="","",BANG_CHAM_CONG!AQ23)</f>
        <v/>
      </c>
      <c r="U23" s="111">
        <f>IF($B23="","",SUM($I23:$N23))</f>
        <v/>
      </c>
      <c r="V23" s="96">
        <f>IF($B23="","",TRIM(BANG_CHAM_CONG!$AU23&amp;IF($U23&gt;60,"OT vượt 60 giờ/tháng – rà soát giới hạn làm thêm; ","")&amp;IF(AND($E23=0,SUM($O23:$T23)=0),"Chưa có dữ liệu chấm công; ","")&amp;IF($H23&gt;$G23,"Giờ đêm trong ca lớn hơn giờ thường; ","")))</f>
        <v/>
      </c>
    </row>
    <row r="24" ht="15" customHeight="1" s="63">
      <c r="A24" s="85">
        <f>IF($B24="","",ROW()-5)</f>
        <v/>
      </c>
      <c r="B24" s="103">
        <f>IF(BANG_CHAM_CONG!B24="","",BANG_CHAM_CONG!B24)</f>
        <v/>
      </c>
      <c r="C24" s="96">
        <f>IF($B24="","",BANG_CHAM_CONG!C24)</f>
        <v/>
      </c>
      <c r="D24" s="96">
        <f>IF($B24="","",BANG_CHAM_CONG!D24)</f>
        <v/>
      </c>
      <c r="E24" s="95">
        <f>IF($B24="","",BANG_CHAM_CONG!AK24)</f>
        <v/>
      </c>
      <c r="F24" s="109">
        <f>IF($B24="","",IF(DM_NHAN_SU!$H24="",THAM_SO_CC!$B$11,DM_NHAN_SU!$H24))</f>
        <v/>
      </c>
      <c r="G24" s="110">
        <f>IF($B24="","",ROUND($E24*$F24,2))</f>
        <v/>
      </c>
      <c r="H24" s="108">
        <f>IF($B24="","",SUMIFS(CC_OT_GIO!$F$6:$F$2005,CC_OT_GIO!$B$6:$B$2005,$B24,CC_OT_GIO!$D$6:$D$2005,"&gt;="&amp;THAM_SO_CC!$B$8,CC_OT_GIO!$D$6:$D$2005,"&lt;="&amp;THAM_SO_CC!$B$9))</f>
        <v/>
      </c>
      <c r="I24" s="108">
        <f>IF($B24="","",SUMIFS(CC_OT_GIO!$J$6:$J$2005,CC_OT_GIO!$B$6:$B$2005,$B24,CC_OT_GIO!$D$6:$D$2005,"&gt;="&amp;THAM_SO_CC!$B$8,CC_OT_GIO!$D$6:$D$2005,"&lt;="&amp;THAM_SO_CC!$B$9))</f>
        <v/>
      </c>
      <c r="J24" s="108">
        <f>IF($B24="","",SUMIFS(CC_OT_GIO!$K$6:$K$2005,CC_OT_GIO!$B$6:$B$2005,$B24,CC_OT_GIO!$D$6:$D$2005,"&gt;="&amp;THAM_SO_CC!$B$8,CC_OT_GIO!$D$6:$D$2005,"&lt;="&amp;THAM_SO_CC!$B$9))</f>
        <v/>
      </c>
      <c r="K24" s="108">
        <f>IF($B24="","",SUMIFS(CC_OT_GIO!$L$6:$L$2005,CC_OT_GIO!$B$6:$B$2005,$B24,CC_OT_GIO!$D$6:$D$2005,"&gt;="&amp;THAM_SO_CC!$B$8,CC_OT_GIO!$D$6:$D$2005,"&lt;="&amp;THAM_SO_CC!$B$9))</f>
        <v/>
      </c>
      <c r="L24" s="108">
        <f>IF($B24="","",SUMIFS(CC_OT_GIO!$M$6:$M$2005,CC_OT_GIO!$B$6:$B$2005,$B24,CC_OT_GIO!$D$6:$D$2005,"&gt;="&amp;THAM_SO_CC!$B$8,CC_OT_GIO!$D$6:$D$2005,"&lt;="&amp;THAM_SO_CC!$B$9))</f>
        <v/>
      </c>
      <c r="M24" s="108">
        <f>IF($B24="","",SUMIFS(CC_OT_GIO!$N$6:$N$2005,CC_OT_GIO!$B$6:$B$2005,$B24,CC_OT_GIO!$D$6:$D$2005,"&gt;="&amp;THAM_SO_CC!$B$8,CC_OT_GIO!$D$6:$D$2005,"&lt;="&amp;THAM_SO_CC!$B$9))</f>
        <v/>
      </c>
      <c r="N24" s="108">
        <f>IF($B24="","",SUMIFS(CC_OT_GIO!$O$6:$O$2005,CC_OT_GIO!$B$6:$B$2005,$B24,CC_OT_GIO!$D$6:$D$2005,"&gt;="&amp;THAM_SO_CC!$B$8,CC_OT_GIO!$D$6:$D$2005,"&lt;="&amp;THAM_SO_CC!$B$9))</f>
        <v/>
      </c>
      <c r="O24" s="104">
        <f>IF($B24="","",BANG_CHAM_CONG!AL24)</f>
        <v/>
      </c>
      <c r="P24" s="104">
        <f>IF($B24="","",BANG_CHAM_CONG!AM24)</f>
        <v/>
      </c>
      <c r="Q24" s="104">
        <f>IF($B24="","",BANG_CHAM_CONG!AN24)</f>
        <v/>
      </c>
      <c r="R24" s="104">
        <f>IF($B24="","",BANG_CHAM_CONG!AO24)</f>
        <v/>
      </c>
      <c r="S24" s="104">
        <f>IF($B24="","",BANG_CHAM_CONG!AP24)</f>
        <v/>
      </c>
      <c r="T24" s="104">
        <f>IF($B24="","",BANG_CHAM_CONG!AQ24)</f>
        <v/>
      </c>
      <c r="U24" s="111">
        <f>IF($B24="","",SUM($I24:$N24))</f>
        <v/>
      </c>
      <c r="V24" s="96">
        <f>IF($B24="","",TRIM(BANG_CHAM_CONG!$AU24&amp;IF($U24&gt;60,"OT vượt 60 giờ/tháng – rà soát giới hạn làm thêm; ","")&amp;IF(AND($E24=0,SUM($O24:$T24)=0),"Chưa có dữ liệu chấm công; ","")&amp;IF($H24&gt;$G24,"Giờ đêm trong ca lớn hơn giờ thường; ","")))</f>
        <v/>
      </c>
    </row>
    <row r="25" ht="15" customHeight="1" s="63">
      <c r="A25" s="85">
        <f>IF($B25="","",ROW()-5)</f>
        <v/>
      </c>
      <c r="B25" s="103">
        <f>IF(BANG_CHAM_CONG!B25="","",BANG_CHAM_CONG!B25)</f>
        <v/>
      </c>
      <c r="C25" s="96">
        <f>IF($B25="","",BANG_CHAM_CONG!C25)</f>
        <v/>
      </c>
      <c r="D25" s="96">
        <f>IF($B25="","",BANG_CHAM_CONG!D25)</f>
        <v/>
      </c>
      <c r="E25" s="95">
        <f>IF($B25="","",BANG_CHAM_CONG!AK25)</f>
        <v/>
      </c>
      <c r="F25" s="109">
        <f>IF($B25="","",IF(DM_NHAN_SU!$H25="",THAM_SO_CC!$B$11,DM_NHAN_SU!$H25))</f>
        <v/>
      </c>
      <c r="G25" s="110">
        <f>IF($B25="","",ROUND($E25*$F25,2))</f>
        <v/>
      </c>
      <c r="H25" s="108">
        <f>IF($B25="","",SUMIFS(CC_OT_GIO!$F$6:$F$2005,CC_OT_GIO!$B$6:$B$2005,$B25,CC_OT_GIO!$D$6:$D$2005,"&gt;="&amp;THAM_SO_CC!$B$8,CC_OT_GIO!$D$6:$D$2005,"&lt;="&amp;THAM_SO_CC!$B$9))</f>
        <v/>
      </c>
      <c r="I25" s="108">
        <f>IF($B25="","",SUMIFS(CC_OT_GIO!$J$6:$J$2005,CC_OT_GIO!$B$6:$B$2005,$B25,CC_OT_GIO!$D$6:$D$2005,"&gt;="&amp;THAM_SO_CC!$B$8,CC_OT_GIO!$D$6:$D$2005,"&lt;="&amp;THAM_SO_CC!$B$9))</f>
        <v/>
      </c>
      <c r="J25" s="108">
        <f>IF($B25="","",SUMIFS(CC_OT_GIO!$K$6:$K$2005,CC_OT_GIO!$B$6:$B$2005,$B25,CC_OT_GIO!$D$6:$D$2005,"&gt;="&amp;THAM_SO_CC!$B$8,CC_OT_GIO!$D$6:$D$2005,"&lt;="&amp;THAM_SO_CC!$B$9))</f>
        <v/>
      </c>
      <c r="K25" s="108">
        <f>IF($B25="","",SUMIFS(CC_OT_GIO!$L$6:$L$2005,CC_OT_GIO!$B$6:$B$2005,$B25,CC_OT_GIO!$D$6:$D$2005,"&gt;="&amp;THAM_SO_CC!$B$8,CC_OT_GIO!$D$6:$D$2005,"&lt;="&amp;THAM_SO_CC!$B$9))</f>
        <v/>
      </c>
      <c r="L25" s="108">
        <f>IF($B25="","",SUMIFS(CC_OT_GIO!$M$6:$M$2005,CC_OT_GIO!$B$6:$B$2005,$B25,CC_OT_GIO!$D$6:$D$2005,"&gt;="&amp;THAM_SO_CC!$B$8,CC_OT_GIO!$D$6:$D$2005,"&lt;="&amp;THAM_SO_CC!$B$9))</f>
        <v/>
      </c>
      <c r="M25" s="108">
        <f>IF($B25="","",SUMIFS(CC_OT_GIO!$N$6:$N$2005,CC_OT_GIO!$B$6:$B$2005,$B25,CC_OT_GIO!$D$6:$D$2005,"&gt;="&amp;THAM_SO_CC!$B$8,CC_OT_GIO!$D$6:$D$2005,"&lt;="&amp;THAM_SO_CC!$B$9))</f>
        <v/>
      </c>
      <c r="N25" s="108">
        <f>IF($B25="","",SUMIFS(CC_OT_GIO!$O$6:$O$2005,CC_OT_GIO!$B$6:$B$2005,$B25,CC_OT_GIO!$D$6:$D$2005,"&gt;="&amp;THAM_SO_CC!$B$8,CC_OT_GIO!$D$6:$D$2005,"&lt;="&amp;THAM_SO_CC!$B$9))</f>
        <v/>
      </c>
      <c r="O25" s="104">
        <f>IF($B25="","",BANG_CHAM_CONG!AL25)</f>
        <v/>
      </c>
      <c r="P25" s="104">
        <f>IF($B25="","",BANG_CHAM_CONG!AM25)</f>
        <v/>
      </c>
      <c r="Q25" s="104">
        <f>IF($B25="","",BANG_CHAM_CONG!AN25)</f>
        <v/>
      </c>
      <c r="R25" s="104">
        <f>IF($B25="","",BANG_CHAM_CONG!AO25)</f>
        <v/>
      </c>
      <c r="S25" s="104">
        <f>IF($B25="","",BANG_CHAM_CONG!AP25)</f>
        <v/>
      </c>
      <c r="T25" s="104">
        <f>IF($B25="","",BANG_CHAM_CONG!AQ25)</f>
        <v/>
      </c>
      <c r="U25" s="111">
        <f>IF($B25="","",SUM($I25:$N25))</f>
        <v/>
      </c>
      <c r="V25" s="96">
        <f>IF($B25="","",TRIM(BANG_CHAM_CONG!$AU25&amp;IF($U25&gt;60,"OT vượt 60 giờ/tháng – rà soát giới hạn làm thêm; ","")&amp;IF(AND($E25=0,SUM($O25:$T25)=0),"Chưa có dữ liệu chấm công; ","")&amp;IF($H25&gt;$G25,"Giờ đêm trong ca lớn hơn giờ thường; ","")))</f>
        <v/>
      </c>
    </row>
    <row r="26" ht="15" customHeight="1" s="63">
      <c r="A26" s="85">
        <f>IF($B26="","",ROW()-5)</f>
        <v/>
      </c>
      <c r="B26" s="103">
        <f>IF(BANG_CHAM_CONG!B26="","",BANG_CHAM_CONG!B26)</f>
        <v/>
      </c>
      <c r="C26" s="96">
        <f>IF($B26="","",BANG_CHAM_CONG!C26)</f>
        <v/>
      </c>
      <c r="D26" s="96">
        <f>IF($B26="","",BANG_CHAM_CONG!D26)</f>
        <v/>
      </c>
      <c r="E26" s="95">
        <f>IF($B26="","",BANG_CHAM_CONG!AK26)</f>
        <v/>
      </c>
      <c r="F26" s="109">
        <f>IF($B26="","",IF(DM_NHAN_SU!$H26="",THAM_SO_CC!$B$11,DM_NHAN_SU!$H26))</f>
        <v/>
      </c>
      <c r="G26" s="110">
        <f>IF($B26="","",ROUND($E26*$F26,2))</f>
        <v/>
      </c>
      <c r="H26" s="108">
        <f>IF($B26="","",SUMIFS(CC_OT_GIO!$F$6:$F$2005,CC_OT_GIO!$B$6:$B$2005,$B26,CC_OT_GIO!$D$6:$D$2005,"&gt;="&amp;THAM_SO_CC!$B$8,CC_OT_GIO!$D$6:$D$2005,"&lt;="&amp;THAM_SO_CC!$B$9))</f>
        <v/>
      </c>
      <c r="I26" s="108">
        <f>IF($B26="","",SUMIFS(CC_OT_GIO!$J$6:$J$2005,CC_OT_GIO!$B$6:$B$2005,$B26,CC_OT_GIO!$D$6:$D$2005,"&gt;="&amp;THAM_SO_CC!$B$8,CC_OT_GIO!$D$6:$D$2005,"&lt;="&amp;THAM_SO_CC!$B$9))</f>
        <v/>
      </c>
      <c r="J26" s="108">
        <f>IF($B26="","",SUMIFS(CC_OT_GIO!$K$6:$K$2005,CC_OT_GIO!$B$6:$B$2005,$B26,CC_OT_GIO!$D$6:$D$2005,"&gt;="&amp;THAM_SO_CC!$B$8,CC_OT_GIO!$D$6:$D$2005,"&lt;="&amp;THAM_SO_CC!$B$9))</f>
        <v/>
      </c>
      <c r="K26" s="108">
        <f>IF($B26="","",SUMIFS(CC_OT_GIO!$L$6:$L$2005,CC_OT_GIO!$B$6:$B$2005,$B26,CC_OT_GIO!$D$6:$D$2005,"&gt;="&amp;THAM_SO_CC!$B$8,CC_OT_GIO!$D$6:$D$2005,"&lt;="&amp;THAM_SO_CC!$B$9))</f>
        <v/>
      </c>
      <c r="L26" s="108">
        <f>IF($B26="","",SUMIFS(CC_OT_GIO!$M$6:$M$2005,CC_OT_GIO!$B$6:$B$2005,$B26,CC_OT_GIO!$D$6:$D$2005,"&gt;="&amp;THAM_SO_CC!$B$8,CC_OT_GIO!$D$6:$D$2005,"&lt;="&amp;THAM_SO_CC!$B$9))</f>
        <v/>
      </c>
      <c r="M26" s="108">
        <f>IF($B26="","",SUMIFS(CC_OT_GIO!$N$6:$N$2005,CC_OT_GIO!$B$6:$B$2005,$B26,CC_OT_GIO!$D$6:$D$2005,"&gt;="&amp;THAM_SO_CC!$B$8,CC_OT_GIO!$D$6:$D$2005,"&lt;="&amp;THAM_SO_CC!$B$9))</f>
        <v/>
      </c>
      <c r="N26" s="108">
        <f>IF($B26="","",SUMIFS(CC_OT_GIO!$O$6:$O$2005,CC_OT_GIO!$B$6:$B$2005,$B26,CC_OT_GIO!$D$6:$D$2005,"&gt;="&amp;THAM_SO_CC!$B$8,CC_OT_GIO!$D$6:$D$2005,"&lt;="&amp;THAM_SO_CC!$B$9))</f>
        <v/>
      </c>
      <c r="O26" s="104">
        <f>IF($B26="","",BANG_CHAM_CONG!AL26)</f>
        <v/>
      </c>
      <c r="P26" s="104">
        <f>IF($B26="","",BANG_CHAM_CONG!AM26)</f>
        <v/>
      </c>
      <c r="Q26" s="104">
        <f>IF($B26="","",BANG_CHAM_CONG!AN26)</f>
        <v/>
      </c>
      <c r="R26" s="104">
        <f>IF($B26="","",BANG_CHAM_CONG!AO26)</f>
        <v/>
      </c>
      <c r="S26" s="104">
        <f>IF($B26="","",BANG_CHAM_CONG!AP26)</f>
        <v/>
      </c>
      <c r="T26" s="104">
        <f>IF($B26="","",BANG_CHAM_CONG!AQ26)</f>
        <v/>
      </c>
      <c r="U26" s="111">
        <f>IF($B26="","",SUM($I26:$N26))</f>
        <v/>
      </c>
      <c r="V26" s="96">
        <f>IF($B26="","",TRIM(BANG_CHAM_CONG!$AU26&amp;IF($U26&gt;60,"OT vượt 60 giờ/tháng – rà soát giới hạn làm thêm; ","")&amp;IF(AND($E26=0,SUM($O26:$T26)=0),"Chưa có dữ liệu chấm công; ","")&amp;IF($H26&gt;$G26,"Giờ đêm trong ca lớn hơn giờ thường; ","")))</f>
        <v/>
      </c>
    </row>
    <row r="27" ht="15" customHeight="1" s="63">
      <c r="A27" s="85">
        <f>IF($B27="","",ROW()-5)</f>
        <v/>
      </c>
      <c r="B27" s="103">
        <f>IF(BANG_CHAM_CONG!B27="","",BANG_CHAM_CONG!B27)</f>
        <v/>
      </c>
      <c r="C27" s="96">
        <f>IF($B27="","",BANG_CHAM_CONG!C27)</f>
        <v/>
      </c>
      <c r="D27" s="96">
        <f>IF($B27="","",BANG_CHAM_CONG!D27)</f>
        <v/>
      </c>
      <c r="E27" s="95">
        <f>IF($B27="","",BANG_CHAM_CONG!AK27)</f>
        <v/>
      </c>
      <c r="F27" s="109">
        <f>IF($B27="","",IF(DM_NHAN_SU!$H27="",THAM_SO_CC!$B$11,DM_NHAN_SU!$H27))</f>
        <v/>
      </c>
      <c r="G27" s="110">
        <f>IF($B27="","",ROUND($E27*$F27,2))</f>
        <v/>
      </c>
      <c r="H27" s="108">
        <f>IF($B27="","",SUMIFS(CC_OT_GIO!$F$6:$F$2005,CC_OT_GIO!$B$6:$B$2005,$B27,CC_OT_GIO!$D$6:$D$2005,"&gt;="&amp;THAM_SO_CC!$B$8,CC_OT_GIO!$D$6:$D$2005,"&lt;="&amp;THAM_SO_CC!$B$9))</f>
        <v/>
      </c>
      <c r="I27" s="108">
        <f>IF($B27="","",SUMIFS(CC_OT_GIO!$J$6:$J$2005,CC_OT_GIO!$B$6:$B$2005,$B27,CC_OT_GIO!$D$6:$D$2005,"&gt;="&amp;THAM_SO_CC!$B$8,CC_OT_GIO!$D$6:$D$2005,"&lt;="&amp;THAM_SO_CC!$B$9))</f>
        <v/>
      </c>
      <c r="J27" s="108">
        <f>IF($B27="","",SUMIFS(CC_OT_GIO!$K$6:$K$2005,CC_OT_GIO!$B$6:$B$2005,$B27,CC_OT_GIO!$D$6:$D$2005,"&gt;="&amp;THAM_SO_CC!$B$8,CC_OT_GIO!$D$6:$D$2005,"&lt;="&amp;THAM_SO_CC!$B$9))</f>
        <v/>
      </c>
      <c r="K27" s="108">
        <f>IF($B27="","",SUMIFS(CC_OT_GIO!$L$6:$L$2005,CC_OT_GIO!$B$6:$B$2005,$B27,CC_OT_GIO!$D$6:$D$2005,"&gt;="&amp;THAM_SO_CC!$B$8,CC_OT_GIO!$D$6:$D$2005,"&lt;="&amp;THAM_SO_CC!$B$9))</f>
        <v/>
      </c>
      <c r="L27" s="108">
        <f>IF($B27="","",SUMIFS(CC_OT_GIO!$M$6:$M$2005,CC_OT_GIO!$B$6:$B$2005,$B27,CC_OT_GIO!$D$6:$D$2005,"&gt;="&amp;THAM_SO_CC!$B$8,CC_OT_GIO!$D$6:$D$2005,"&lt;="&amp;THAM_SO_CC!$B$9))</f>
        <v/>
      </c>
      <c r="M27" s="108">
        <f>IF($B27="","",SUMIFS(CC_OT_GIO!$N$6:$N$2005,CC_OT_GIO!$B$6:$B$2005,$B27,CC_OT_GIO!$D$6:$D$2005,"&gt;="&amp;THAM_SO_CC!$B$8,CC_OT_GIO!$D$6:$D$2005,"&lt;="&amp;THAM_SO_CC!$B$9))</f>
        <v/>
      </c>
      <c r="N27" s="108">
        <f>IF($B27="","",SUMIFS(CC_OT_GIO!$O$6:$O$2005,CC_OT_GIO!$B$6:$B$2005,$B27,CC_OT_GIO!$D$6:$D$2005,"&gt;="&amp;THAM_SO_CC!$B$8,CC_OT_GIO!$D$6:$D$2005,"&lt;="&amp;THAM_SO_CC!$B$9))</f>
        <v/>
      </c>
      <c r="O27" s="104">
        <f>IF($B27="","",BANG_CHAM_CONG!AL27)</f>
        <v/>
      </c>
      <c r="P27" s="104">
        <f>IF($B27="","",BANG_CHAM_CONG!AM27)</f>
        <v/>
      </c>
      <c r="Q27" s="104">
        <f>IF($B27="","",BANG_CHAM_CONG!AN27)</f>
        <v/>
      </c>
      <c r="R27" s="104">
        <f>IF($B27="","",BANG_CHAM_CONG!AO27)</f>
        <v/>
      </c>
      <c r="S27" s="104">
        <f>IF($B27="","",BANG_CHAM_CONG!AP27)</f>
        <v/>
      </c>
      <c r="T27" s="104">
        <f>IF($B27="","",BANG_CHAM_CONG!AQ27)</f>
        <v/>
      </c>
      <c r="U27" s="111">
        <f>IF($B27="","",SUM($I27:$N27))</f>
        <v/>
      </c>
      <c r="V27" s="96">
        <f>IF($B27="","",TRIM(BANG_CHAM_CONG!$AU27&amp;IF($U27&gt;60,"OT vượt 60 giờ/tháng – rà soát giới hạn làm thêm; ","")&amp;IF(AND($E27=0,SUM($O27:$T27)=0),"Chưa có dữ liệu chấm công; ","")&amp;IF($H27&gt;$G27,"Giờ đêm trong ca lớn hơn giờ thường; ","")))</f>
        <v/>
      </c>
    </row>
    <row r="28" ht="15" customHeight="1" s="63">
      <c r="A28" s="85">
        <f>IF($B28="","",ROW()-5)</f>
        <v/>
      </c>
      <c r="B28" s="103">
        <f>IF(BANG_CHAM_CONG!B28="","",BANG_CHAM_CONG!B28)</f>
        <v/>
      </c>
      <c r="C28" s="96">
        <f>IF($B28="","",BANG_CHAM_CONG!C28)</f>
        <v/>
      </c>
      <c r="D28" s="96">
        <f>IF($B28="","",BANG_CHAM_CONG!D28)</f>
        <v/>
      </c>
      <c r="E28" s="95">
        <f>IF($B28="","",BANG_CHAM_CONG!AK28)</f>
        <v/>
      </c>
      <c r="F28" s="109">
        <f>IF($B28="","",IF(DM_NHAN_SU!$H28="",THAM_SO_CC!$B$11,DM_NHAN_SU!$H28))</f>
        <v/>
      </c>
      <c r="G28" s="110">
        <f>IF($B28="","",ROUND($E28*$F28,2))</f>
        <v/>
      </c>
      <c r="H28" s="108">
        <f>IF($B28="","",SUMIFS(CC_OT_GIO!$F$6:$F$2005,CC_OT_GIO!$B$6:$B$2005,$B28,CC_OT_GIO!$D$6:$D$2005,"&gt;="&amp;THAM_SO_CC!$B$8,CC_OT_GIO!$D$6:$D$2005,"&lt;="&amp;THAM_SO_CC!$B$9))</f>
        <v/>
      </c>
      <c r="I28" s="108">
        <f>IF($B28="","",SUMIFS(CC_OT_GIO!$J$6:$J$2005,CC_OT_GIO!$B$6:$B$2005,$B28,CC_OT_GIO!$D$6:$D$2005,"&gt;="&amp;THAM_SO_CC!$B$8,CC_OT_GIO!$D$6:$D$2005,"&lt;="&amp;THAM_SO_CC!$B$9))</f>
        <v/>
      </c>
      <c r="J28" s="108">
        <f>IF($B28="","",SUMIFS(CC_OT_GIO!$K$6:$K$2005,CC_OT_GIO!$B$6:$B$2005,$B28,CC_OT_GIO!$D$6:$D$2005,"&gt;="&amp;THAM_SO_CC!$B$8,CC_OT_GIO!$D$6:$D$2005,"&lt;="&amp;THAM_SO_CC!$B$9))</f>
        <v/>
      </c>
      <c r="K28" s="108">
        <f>IF($B28="","",SUMIFS(CC_OT_GIO!$L$6:$L$2005,CC_OT_GIO!$B$6:$B$2005,$B28,CC_OT_GIO!$D$6:$D$2005,"&gt;="&amp;THAM_SO_CC!$B$8,CC_OT_GIO!$D$6:$D$2005,"&lt;="&amp;THAM_SO_CC!$B$9))</f>
        <v/>
      </c>
      <c r="L28" s="108">
        <f>IF($B28="","",SUMIFS(CC_OT_GIO!$M$6:$M$2005,CC_OT_GIO!$B$6:$B$2005,$B28,CC_OT_GIO!$D$6:$D$2005,"&gt;="&amp;THAM_SO_CC!$B$8,CC_OT_GIO!$D$6:$D$2005,"&lt;="&amp;THAM_SO_CC!$B$9))</f>
        <v/>
      </c>
      <c r="M28" s="108">
        <f>IF($B28="","",SUMIFS(CC_OT_GIO!$N$6:$N$2005,CC_OT_GIO!$B$6:$B$2005,$B28,CC_OT_GIO!$D$6:$D$2005,"&gt;="&amp;THAM_SO_CC!$B$8,CC_OT_GIO!$D$6:$D$2005,"&lt;="&amp;THAM_SO_CC!$B$9))</f>
        <v/>
      </c>
      <c r="N28" s="108">
        <f>IF($B28="","",SUMIFS(CC_OT_GIO!$O$6:$O$2005,CC_OT_GIO!$B$6:$B$2005,$B28,CC_OT_GIO!$D$6:$D$2005,"&gt;="&amp;THAM_SO_CC!$B$8,CC_OT_GIO!$D$6:$D$2005,"&lt;="&amp;THAM_SO_CC!$B$9))</f>
        <v/>
      </c>
      <c r="O28" s="104">
        <f>IF($B28="","",BANG_CHAM_CONG!AL28)</f>
        <v/>
      </c>
      <c r="P28" s="104">
        <f>IF($B28="","",BANG_CHAM_CONG!AM28)</f>
        <v/>
      </c>
      <c r="Q28" s="104">
        <f>IF($B28="","",BANG_CHAM_CONG!AN28)</f>
        <v/>
      </c>
      <c r="R28" s="104">
        <f>IF($B28="","",BANG_CHAM_CONG!AO28)</f>
        <v/>
      </c>
      <c r="S28" s="104">
        <f>IF($B28="","",BANG_CHAM_CONG!AP28)</f>
        <v/>
      </c>
      <c r="T28" s="104">
        <f>IF($B28="","",BANG_CHAM_CONG!AQ28)</f>
        <v/>
      </c>
      <c r="U28" s="111">
        <f>IF($B28="","",SUM($I28:$N28))</f>
        <v/>
      </c>
      <c r="V28" s="96">
        <f>IF($B28="","",TRIM(BANG_CHAM_CONG!$AU28&amp;IF($U28&gt;60,"OT vượt 60 giờ/tháng – rà soát giới hạn làm thêm; ","")&amp;IF(AND($E28=0,SUM($O28:$T28)=0),"Chưa có dữ liệu chấm công; ","")&amp;IF($H28&gt;$G28,"Giờ đêm trong ca lớn hơn giờ thường; ","")))</f>
        <v/>
      </c>
    </row>
    <row r="29" ht="15" customHeight="1" s="63">
      <c r="A29" s="85">
        <f>IF($B29="","",ROW()-5)</f>
        <v/>
      </c>
      <c r="B29" s="103">
        <f>IF(BANG_CHAM_CONG!B29="","",BANG_CHAM_CONG!B29)</f>
        <v/>
      </c>
      <c r="C29" s="96">
        <f>IF($B29="","",BANG_CHAM_CONG!C29)</f>
        <v/>
      </c>
      <c r="D29" s="96">
        <f>IF($B29="","",BANG_CHAM_CONG!D29)</f>
        <v/>
      </c>
      <c r="E29" s="95">
        <f>IF($B29="","",BANG_CHAM_CONG!AK29)</f>
        <v/>
      </c>
      <c r="F29" s="109">
        <f>IF($B29="","",IF(DM_NHAN_SU!$H29="",THAM_SO_CC!$B$11,DM_NHAN_SU!$H29))</f>
        <v/>
      </c>
      <c r="G29" s="110">
        <f>IF($B29="","",ROUND($E29*$F29,2))</f>
        <v/>
      </c>
      <c r="H29" s="108">
        <f>IF($B29="","",SUMIFS(CC_OT_GIO!$F$6:$F$2005,CC_OT_GIO!$B$6:$B$2005,$B29,CC_OT_GIO!$D$6:$D$2005,"&gt;="&amp;THAM_SO_CC!$B$8,CC_OT_GIO!$D$6:$D$2005,"&lt;="&amp;THAM_SO_CC!$B$9))</f>
        <v/>
      </c>
      <c r="I29" s="108">
        <f>IF($B29="","",SUMIFS(CC_OT_GIO!$J$6:$J$2005,CC_OT_GIO!$B$6:$B$2005,$B29,CC_OT_GIO!$D$6:$D$2005,"&gt;="&amp;THAM_SO_CC!$B$8,CC_OT_GIO!$D$6:$D$2005,"&lt;="&amp;THAM_SO_CC!$B$9))</f>
        <v/>
      </c>
      <c r="J29" s="108">
        <f>IF($B29="","",SUMIFS(CC_OT_GIO!$K$6:$K$2005,CC_OT_GIO!$B$6:$B$2005,$B29,CC_OT_GIO!$D$6:$D$2005,"&gt;="&amp;THAM_SO_CC!$B$8,CC_OT_GIO!$D$6:$D$2005,"&lt;="&amp;THAM_SO_CC!$B$9))</f>
        <v/>
      </c>
      <c r="K29" s="108">
        <f>IF($B29="","",SUMIFS(CC_OT_GIO!$L$6:$L$2005,CC_OT_GIO!$B$6:$B$2005,$B29,CC_OT_GIO!$D$6:$D$2005,"&gt;="&amp;THAM_SO_CC!$B$8,CC_OT_GIO!$D$6:$D$2005,"&lt;="&amp;THAM_SO_CC!$B$9))</f>
        <v/>
      </c>
      <c r="L29" s="108">
        <f>IF($B29="","",SUMIFS(CC_OT_GIO!$M$6:$M$2005,CC_OT_GIO!$B$6:$B$2005,$B29,CC_OT_GIO!$D$6:$D$2005,"&gt;="&amp;THAM_SO_CC!$B$8,CC_OT_GIO!$D$6:$D$2005,"&lt;="&amp;THAM_SO_CC!$B$9))</f>
        <v/>
      </c>
      <c r="M29" s="108">
        <f>IF($B29="","",SUMIFS(CC_OT_GIO!$N$6:$N$2005,CC_OT_GIO!$B$6:$B$2005,$B29,CC_OT_GIO!$D$6:$D$2005,"&gt;="&amp;THAM_SO_CC!$B$8,CC_OT_GIO!$D$6:$D$2005,"&lt;="&amp;THAM_SO_CC!$B$9))</f>
        <v/>
      </c>
      <c r="N29" s="108">
        <f>IF($B29="","",SUMIFS(CC_OT_GIO!$O$6:$O$2005,CC_OT_GIO!$B$6:$B$2005,$B29,CC_OT_GIO!$D$6:$D$2005,"&gt;="&amp;THAM_SO_CC!$B$8,CC_OT_GIO!$D$6:$D$2005,"&lt;="&amp;THAM_SO_CC!$B$9))</f>
        <v/>
      </c>
      <c r="O29" s="104">
        <f>IF($B29="","",BANG_CHAM_CONG!AL29)</f>
        <v/>
      </c>
      <c r="P29" s="104">
        <f>IF($B29="","",BANG_CHAM_CONG!AM29)</f>
        <v/>
      </c>
      <c r="Q29" s="104">
        <f>IF($B29="","",BANG_CHAM_CONG!AN29)</f>
        <v/>
      </c>
      <c r="R29" s="104">
        <f>IF($B29="","",BANG_CHAM_CONG!AO29)</f>
        <v/>
      </c>
      <c r="S29" s="104">
        <f>IF($B29="","",BANG_CHAM_CONG!AP29)</f>
        <v/>
      </c>
      <c r="T29" s="104">
        <f>IF($B29="","",BANG_CHAM_CONG!AQ29)</f>
        <v/>
      </c>
      <c r="U29" s="111">
        <f>IF($B29="","",SUM($I29:$N29))</f>
        <v/>
      </c>
      <c r="V29" s="96">
        <f>IF($B29="","",TRIM(BANG_CHAM_CONG!$AU29&amp;IF($U29&gt;60,"OT vượt 60 giờ/tháng – rà soát giới hạn làm thêm; ","")&amp;IF(AND($E29=0,SUM($O29:$T29)=0),"Chưa có dữ liệu chấm công; ","")&amp;IF($H29&gt;$G29,"Giờ đêm trong ca lớn hơn giờ thường; ","")))</f>
        <v/>
      </c>
    </row>
    <row r="30" ht="15" customHeight="1" s="63">
      <c r="A30" s="85">
        <f>IF($B30="","",ROW()-5)</f>
        <v/>
      </c>
      <c r="B30" s="103">
        <f>IF(BANG_CHAM_CONG!B30="","",BANG_CHAM_CONG!B30)</f>
        <v/>
      </c>
      <c r="C30" s="96">
        <f>IF($B30="","",BANG_CHAM_CONG!C30)</f>
        <v/>
      </c>
      <c r="D30" s="96">
        <f>IF($B30="","",BANG_CHAM_CONG!D30)</f>
        <v/>
      </c>
      <c r="E30" s="95">
        <f>IF($B30="","",BANG_CHAM_CONG!AK30)</f>
        <v/>
      </c>
      <c r="F30" s="109">
        <f>IF($B30="","",IF(DM_NHAN_SU!$H30="",THAM_SO_CC!$B$11,DM_NHAN_SU!$H30))</f>
        <v/>
      </c>
      <c r="G30" s="110">
        <f>IF($B30="","",ROUND($E30*$F30,2))</f>
        <v/>
      </c>
      <c r="H30" s="108">
        <f>IF($B30="","",SUMIFS(CC_OT_GIO!$F$6:$F$2005,CC_OT_GIO!$B$6:$B$2005,$B30,CC_OT_GIO!$D$6:$D$2005,"&gt;="&amp;THAM_SO_CC!$B$8,CC_OT_GIO!$D$6:$D$2005,"&lt;="&amp;THAM_SO_CC!$B$9))</f>
        <v/>
      </c>
      <c r="I30" s="108">
        <f>IF($B30="","",SUMIFS(CC_OT_GIO!$J$6:$J$2005,CC_OT_GIO!$B$6:$B$2005,$B30,CC_OT_GIO!$D$6:$D$2005,"&gt;="&amp;THAM_SO_CC!$B$8,CC_OT_GIO!$D$6:$D$2005,"&lt;="&amp;THAM_SO_CC!$B$9))</f>
        <v/>
      </c>
      <c r="J30" s="108">
        <f>IF($B30="","",SUMIFS(CC_OT_GIO!$K$6:$K$2005,CC_OT_GIO!$B$6:$B$2005,$B30,CC_OT_GIO!$D$6:$D$2005,"&gt;="&amp;THAM_SO_CC!$B$8,CC_OT_GIO!$D$6:$D$2005,"&lt;="&amp;THAM_SO_CC!$B$9))</f>
        <v/>
      </c>
      <c r="K30" s="108">
        <f>IF($B30="","",SUMIFS(CC_OT_GIO!$L$6:$L$2005,CC_OT_GIO!$B$6:$B$2005,$B30,CC_OT_GIO!$D$6:$D$2005,"&gt;="&amp;THAM_SO_CC!$B$8,CC_OT_GIO!$D$6:$D$2005,"&lt;="&amp;THAM_SO_CC!$B$9))</f>
        <v/>
      </c>
      <c r="L30" s="108">
        <f>IF($B30="","",SUMIFS(CC_OT_GIO!$M$6:$M$2005,CC_OT_GIO!$B$6:$B$2005,$B30,CC_OT_GIO!$D$6:$D$2005,"&gt;="&amp;THAM_SO_CC!$B$8,CC_OT_GIO!$D$6:$D$2005,"&lt;="&amp;THAM_SO_CC!$B$9))</f>
        <v/>
      </c>
      <c r="M30" s="108">
        <f>IF($B30="","",SUMIFS(CC_OT_GIO!$N$6:$N$2005,CC_OT_GIO!$B$6:$B$2005,$B30,CC_OT_GIO!$D$6:$D$2005,"&gt;="&amp;THAM_SO_CC!$B$8,CC_OT_GIO!$D$6:$D$2005,"&lt;="&amp;THAM_SO_CC!$B$9))</f>
        <v/>
      </c>
      <c r="N30" s="108">
        <f>IF($B30="","",SUMIFS(CC_OT_GIO!$O$6:$O$2005,CC_OT_GIO!$B$6:$B$2005,$B30,CC_OT_GIO!$D$6:$D$2005,"&gt;="&amp;THAM_SO_CC!$B$8,CC_OT_GIO!$D$6:$D$2005,"&lt;="&amp;THAM_SO_CC!$B$9))</f>
        <v/>
      </c>
      <c r="O30" s="104">
        <f>IF($B30="","",BANG_CHAM_CONG!AL30)</f>
        <v/>
      </c>
      <c r="P30" s="104">
        <f>IF($B30="","",BANG_CHAM_CONG!AM30)</f>
        <v/>
      </c>
      <c r="Q30" s="104">
        <f>IF($B30="","",BANG_CHAM_CONG!AN30)</f>
        <v/>
      </c>
      <c r="R30" s="104">
        <f>IF($B30="","",BANG_CHAM_CONG!AO30)</f>
        <v/>
      </c>
      <c r="S30" s="104">
        <f>IF($B30="","",BANG_CHAM_CONG!AP30)</f>
        <v/>
      </c>
      <c r="T30" s="104">
        <f>IF($B30="","",BANG_CHAM_CONG!AQ30)</f>
        <v/>
      </c>
      <c r="U30" s="111">
        <f>IF($B30="","",SUM($I30:$N30))</f>
        <v/>
      </c>
      <c r="V30" s="96">
        <f>IF($B30="","",TRIM(BANG_CHAM_CONG!$AU30&amp;IF($U30&gt;60,"OT vượt 60 giờ/tháng – rà soát giới hạn làm thêm; ","")&amp;IF(AND($E30=0,SUM($O30:$T30)=0),"Chưa có dữ liệu chấm công; ","")&amp;IF($H30&gt;$G30,"Giờ đêm trong ca lớn hơn giờ thường; ","")))</f>
        <v/>
      </c>
    </row>
    <row r="31" ht="15" customHeight="1" s="63">
      <c r="A31" s="85">
        <f>IF($B31="","",ROW()-5)</f>
        <v/>
      </c>
      <c r="B31" s="103">
        <f>IF(BANG_CHAM_CONG!B31="","",BANG_CHAM_CONG!B31)</f>
        <v/>
      </c>
      <c r="C31" s="96">
        <f>IF($B31="","",BANG_CHAM_CONG!C31)</f>
        <v/>
      </c>
      <c r="D31" s="96">
        <f>IF($B31="","",BANG_CHAM_CONG!D31)</f>
        <v/>
      </c>
      <c r="E31" s="95">
        <f>IF($B31="","",BANG_CHAM_CONG!AK31)</f>
        <v/>
      </c>
      <c r="F31" s="109">
        <f>IF($B31="","",IF(DM_NHAN_SU!$H31="",THAM_SO_CC!$B$11,DM_NHAN_SU!$H31))</f>
        <v/>
      </c>
      <c r="G31" s="110">
        <f>IF($B31="","",ROUND($E31*$F31,2))</f>
        <v/>
      </c>
      <c r="H31" s="108">
        <f>IF($B31="","",SUMIFS(CC_OT_GIO!$F$6:$F$2005,CC_OT_GIO!$B$6:$B$2005,$B31,CC_OT_GIO!$D$6:$D$2005,"&gt;="&amp;THAM_SO_CC!$B$8,CC_OT_GIO!$D$6:$D$2005,"&lt;="&amp;THAM_SO_CC!$B$9))</f>
        <v/>
      </c>
      <c r="I31" s="108">
        <f>IF($B31="","",SUMIFS(CC_OT_GIO!$J$6:$J$2005,CC_OT_GIO!$B$6:$B$2005,$B31,CC_OT_GIO!$D$6:$D$2005,"&gt;="&amp;THAM_SO_CC!$B$8,CC_OT_GIO!$D$6:$D$2005,"&lt;="&amp;THAM_SO_CC!$B$9))</f>
        <v/>
      </c>
      <c r="J31" s="108">
        <f>IF($B31="","",SUMIFS(CC_OT_GIO!$K$6:$K$2005,CC_OT_GIO!$B$6:$B$2005,$B31,CC_OT_GIO!$D$6:$D$2005,"&gt;="&amp;THAM_SO_CC!$B$8,CC_OT_GIO!$D$6:$D$2005,"&lt;="&amp;THAM_SO_CC!$B$9))</f>
        <v/>
      </c>
      <c r="K31" s="108">
        <f>IF($B31="","",SUMIFS(CC_OT_GIO!$L$6:$L$2005,CC_OT_GIO!$B$6:$B$2005,$B31,CC_OT_GIO!$D$6:$D$2005,"&gt;="&amp;THAM_SO_CC!$B$8,CC_OT_GIO!$D$6:$D$2005,"&lt;="&amp;THAM_SO_CC!$B$9))</f>
        <v/>
      </c>
      <c r="L31" s="108">
        <f>IF($B31="","",SUMIFS(CC_OT_GIO!$M$6:$M$2005,CC_OT_GIO!$B$6:$B$2005,$B31,CC_OT_GIO!$D$6:$D$2005,"&gt;="&amp;THAM_SO_CC!$B$8,CC_OT_GIO!$D$6:$D$2005,"&lt;="&amp;THAM_SO_CC!$B$9))</f>
        <v/>
      </c>
      <c r="M31" s="108">
        <f>IF($B31="","",SUMIFS(CC_OT_GIO!$N$6:$N$2005,CC_OT_GIO!$B$6:$B$2005,$B31,CC_OT_GIO!$D$6:$D$2005,"&gt;="&amp;THAM_SO_CC!$B$8,CC_OT_GIO!$D$6:$D$2005,"&lt;="&amp;THAM_SO_CC!$B$9))</f>
        <v/>
      </c>
      <c r="N31" s="108">
        <f>IF($B31="","",SUMIFS(CC_OT_GIO!$O$6:$O$2005,CC_OT_GIO!$B$6:$B$2005,$B31,CC_OT_GIO!$D$6:$D$2005,"&gt;="&amp;THAM_SO_CC!$B$8,CC_OT_GIO!$D$6:$D$2005,"&lt;="&amp;THAM_SO_CC!$B$9))</f>
        <v/>
      </c>
      <c r="O31" s="104">
        <f>IF($B31="","",BANG_CHAM_CONG!AL31)</f>
        <v/>
      </c>
      <c r="P31" s="104">
        <f>IF($B31="","",BANG_CHAM_CONG!AM31)</f>
        <v/>
      </c>
      <c r="Q31" s="104">
        <f>IF($B31="","",BANG_CHAM_CONG!AN31)</f>
        <v/>
      </c>
      <c r="R31" s="104">
        <f>IF($B31="","",BANG_CHAM_CONG!AO31)</f>
        <v/>
      </c>
      <c r="S31" s="104">
        <f>IF($B31="","",BANG_CHAM_CONG!AP31)</f>
        <v/>
      </c>
      <c r="T31" s="104">
        <f>IF($B31="","",BANG_CHAM_CONG!AQ31)</f>
        <v/>
      </c>
      <c r="U31" s="111">
        <f>IF($B31="","",SUM($I31:$N31))</f>
        <v/>
      </c>
      <c r="V31" s="96">
        <f>IF($B31="","",TRIM(BANG_CHAM_CONG!$AU31&amp;IF($U31&gt;60,"OT vượt 60 giờ/tháng – rà soát giới hạn làm thêm; ","")&amp;IF(AND($E31=0,SUM($O31:$T31)=0),"Chưa có dữ liệu chấm công; ","")&amp;IF($H31&gt;$G31,"Giờ đêm trong ca lớn hơn giờ thường; ","")))</f>
        <v/>
      </c>
    </row>
    <row r="32" ht="15" customHeight="1" s="63">
      <c r="A32" s="85">
        <f>IF($B32="","",ROW()-5)</f>
        <v/>
      </c>
      <c r="B32" s="103">
        <f>IF(BANG_CHAM_CONG!B32="","",BANG_CHAM_CONG!B32)</f>
        <v/>
      </c>
      <c r="C32" s="96">
        <f>IF($B32="","",BANG_CHAM_CONG!C32)</f>
        <v/>
      </c>
      <c r="D32" s="96">
        <f>IF($B32="","",BANG_CHAM_CONG!D32)</f>
        <v/>
      </c>
      <c r="E32" s="95">
        <f>IF($B32="","",BANG_CHAM_CONG!AK32)</f>
        <v/>
      </c>
      <c r="F32" s="109">
        <f>IF($B32="","",IF(DM_NHAN_SU!$H32="",THAM_SO_CC!$B$11,DM_NHAN_SU!$H32))</f>
        <v/>
      </c>
      <c r="G32" s="110">
        <f>IF($B32="","",ROUND($E32*$F32,2))</f>
        <v/>
      </c>
      <c r="H32" s="108">
        <f>IF($B32="","",SUMIFS(CC_OT_GIO!$F$6:$F$2005,CC_OT_GIO!$B$6:$B$2005,$B32,CC_OT_GIO!$D$6:$D$2005,"&gt;="&amp;THAM_SO_CC!$B$8,CC_OT_GIO!$D$6:$D$2005,"&lt;="&amp;THAM_SO_CC!$B$9))</f>
        <v/>
      </c>
      <c r="I32" s="108">
        <f>IF($B32="","",SUMIFS(CC_OT_GIO!$J$6:$J$2005,CC_OT_GIO!$B$6:$B$2005,$B32,CC_OT_GIO!$D$6:$D$2005,"&gt;="&amp;THAM_SO_CC!$B$8,CC_OT_GIO!$D$6:$D$2005,"&lt;="&amp;THAM_SO_CC!$B$9))</f>
        <v/>
      </c>
      <c r="J32" s="108">
        <f>IF($B32="","",SUMIFS(CC_OT_GIO!$K$6:$K$2005,CC_OT_GIO!$B$6:$B$2005,$B32,CC_OT_GIO!$D$6:$D$2005,"&gt;="&amp;THAM_SO_CC!$B$8,CC_OT_GIO!$D$6:$D$2005,"&lt;="&amp;THAM_SO_CC!$B$9))</f>
        <v/>
      </c>
      <c r="K32" s="108">
        <f>IF($B32="","",SUMIFS(CC_OT_GIO!$L$6:$L$2005,CC_OT_GIO!$B$6:$B$2005,$B32,CC_OT_GIO!$D$6:$D$2005,"&gt;="&amp;THAM_SO_CC!$B$8,CC_OT_GIO!$D$6:$D$2005,"&lt;="&amp;THAM_SO_CC!$B$9))</f>
        <v/>
      </c>
      <c r="L32" s="108">
        <f>IF($B32="","",SUMIFS(CC_OT_GIO!$M$6:$M$2005,CC_OT_GIO!$B$6:$B$2005,$B32,CC_OT_GIO!$D$6:$D$2005,"&gt;="&amp;THAM_SO_CC!$B$8,CC_OT_GIO!$D$6:$D$2005,"&lt;="&amp;THAM_SO_CC!$B$9))</f>
        <v/>
      </c>
      <c r="M32" s="108">
        <f>IF($B32="","",SUMIFS(CC_OT_GIO!$N$6:$N$2005,CC_OT_GIO!$B$6:$B$2005,$B32,CC_OT_GIO!$D$6:$D$2005,"&gt;="&amp;THAM_SO_CC!$B$8,CC_OT_GIO!$D$6:$D$2005,"&lt;="&amp;THAM_SO_CC!$B$9))</f>
        <v/>
      </c>
      <c r="N32" s="108">
        <f>IF($B32="","",SUMIFS(CC_OT_GIO!$O$6:$O$2005,CC_OT_GIO!$B$6:$B$2005,$B32,CC_OT_GIO!$D$6:$D$2005,"&gt;="&amp;THAM_SO_CC!$B$8,CC_OT_GIO!$D$6:$D$2005,"&lt;="&amp;THAM_SO_CC!$B$9))</f>
        <v/>
      </c>
      <c r="O32" s="104">
        <f>IF($B32="","",BANG_CHAM_CONG!AL32)</f>
        <v/>
      </c>
      <c r="P32" s="104">
        <f>IF($B32="","",BANG_CHAM_CONG!AM32)</f>
        <v/>
      </c>
      <c r="Q32" s="104">
        <f>IF($B32="","",BANG_CHAM_CONG!AN32)</f>
        <v/>
      </c>
      <c r="R32" s="104">
        <f>IF($B32="","",BANG_CHAM_CONG!AO32)</f>
        <v/>
      </c>
      <c r="S32" s="104">
        <f>IF($B32="","",BANG_CHAM_CONG!AP32)</f>
        <v/>
      </c>
      <c r="T32" s="104">
        <f>IF($B32="","",BANG_CHAM_CONG!AQ32)</f>
        <v/>
      </c>
      <c r="U32" s="111">
        <f>IF($B32="","",SUM($I32:$N32))</f>
        <v/>
      </c>
      <c r="V32" s="96">
        <f>IF($B32="","",TRIM(BANG_CHAM_CONG!$AU32&amp;IF($U32&gt;60,"OT vượt 60 giờ/tháng – rà soát giới hạn làm thêm; ","")&amp;IF(AND($E32=0,SUM($O32:$T32)=0),"Chưa có dữ liệu chấm công; ","")&amp;IF($H32&gt;$G32,"Giờ đêm trong ca lớn hơn giờ thường; ","")))</f>
        <v/>
      </c>
    </row>
    <row r="33" ht="15" customHeight="1" s="63">
      <c r="A33" s="85">
        <f>IF($B33="","",ROW()-5)</f>
        <v/>
      </c>
      <c r="B33" s="103">
        <f>IF(BANG_CHAM_CONG!B33="","",BANG_CHAM_CONG!B33)</f>
        <v/>
      </c>
      <c r="C33" s="96">
        <f>IF($B33="","",BANG_CHAM_CONG!C33)</f>
        <v/>
      </c>
      <c r="D33" s="96">
        <f>IF($B33="","",BANG_CHAM_CONG!D33)</f>
        <v/>
      </c>
      <c r="E33" s="95">
        <f>IF($B33="","",BANG_CHAM_CONG!AK33)</f>
        <v/>
      </c>
      <c r="F33" s="109">
        <f>IF($B33="","",IF(DM_NHAN_SU!$H33="",THAM_SO_CC!$B$11,DM_NHAN_SU!$H33))</f>
        <v/>
      </c>
      <c r="G33" s="110">
        <f>IF($B33="","",ROUND($E33*$F33,2))</f>
        <v/>
      </c>
      <c r="H33" s="108">
        <f>IF($B33="","",SUMIFS(CC_OT_GIO!$F$6:$F$2005,CC_OT_GIO!$B$6:$B$2005,$B33,CC_OT_GIO!$D$6:$D$2005,"&gt;="&amp;THAM_SO_CC!$B$8,CC_OT_GIO!$D$6:$D$2005,"&lt;="&amp;THAM_SO_CC!$B$9))</f>
        <v/>
      </c>
      <c r="I33" s="108">
        <f>IF($B33="","",SUMIFS(CC_OT_GIO!$J$6:$J$2005,CC_OT_GIO!$B$6:$B$2005,$B33,CC_OT_GIO!$D$6:$D$2005,"&gt;="&amp;THAM_SO_CC!$B$8,CC_OT_GIO!$D$6:$D$2005,"&lt;="&amp;THAM_SO_CC!$B$9))</f>
        <v/>
      </c>
      <c r="J33" s="108">
        <f>IF($B33="","",SUMIFS(CC_OT_GIO!$K$6:$K$2005,CC_OT_GIO!$B$6:$B$2005,$B33,CC_OT_GIO!$D$6:$D$2005,"&gt;="&amp;THAM_SO_CC!$B$8,CC_OT_GIO!$D$6:$D$2005,"&lt;="&amp;THAM_SO_CC!$B$9))</f>
        <v/>
      </c>
      <c r="K33" s="108">
        <f>IF($B33="","",SUMIFS(CC_OT_GIO!$L$6:$L$2005,CC_OT_GIO!$B$6:$B$2005,$B33,CC_OT_GIO!$D$6:$D$2005,"&gt;="&amp;THAM_SO_CC!$B$8,CC_OT_GIO!$D$6:$D$2005,"&lt;="&amp;THAM_SO_CC!$B$9))</f>
        <v/>
      </c>
      <c r="L33" s="108">
        <f>IF($B33="","",SUMIFS(CC_OT_GIO!$M$6:$M$2005,CC_OT_GIO!$B$6:$B$2005,$B33,CC_OT_GIO!$D$6:$D$2005,"&gt;="&amp;THAM_SO_CC!$B$8,CC_OT_GIO!$D$6:$D$2005,"&lt;="&amp;THAM_SO_CC!$B$9))</f>
        <v/>
      </c>
      <c r="M33" s="108">
        <f>IF($B33="","",SUMIFS(CC_OT_GIO!$N$6:$N$2005,CC_OT_GIO!$B$6:$B$2005,$B33,CC_OT_GIO!$D$6:$D$2005,"&gt;="&amp;THAM_SO_CC!$B$8,CC_OT_GIO!$D$6:$D$2005,"&lt;="&amp;THAM_SO_CC!$B$9))</f>
        <v/>
      </c>
      <c r="N33" s="108">
        <f>IF($B33="","",SUMIFS(CC_OT_GIO!$O$6:$O$2005,CC_OT_GIO!$B$6:$B$2005,$B33,CC_OT_GIO!$D$6:$D$2005,"&gt;="&amp;THAM_SO_CC!$B$8,CC_OT_GIO!$D$6:$D$2005,"&lt;="&amp;THAM_SO_CC!$B$9))</f>
        <v/>
      </c>
      <c r="O33" s="104">
        <f>IF($B33="","",BANG_CHAM_CONG!AL33)</f>
        <v/>
      </c>
      <c r="P33" s="104">
        <f>IF($B33="","",BANG_CHAM_CONG!AM33)</f>
        <v/>
      </c>
      <c r="Q33" s="104">
        <f>IF($B33="","",BANG_CHAM_CONG!AN33)</f>
        <v/>
      </c>
      <c r="R33" s="104">
        <f>IF($B33="","",BANG_CHAM_CONG!AO33)</f>
        <v/>
      </c>
      <c r="S33" s="104">
        <f>IF($B33="","",BANG_CHAM_CONG!AP33)</f>
        <v/>
      </c>
      <c r="T33" s="104">
        <f>IF($B33="","",BANG_CHAM_CONG!AQ33)</f>
        <v/>
      </c>
      <c r="U33" s="111">
        <f>IF($B33="","",SUM($I33:$N33))</f>
        <v/>
      </c>
      <c r="V33" s="96">
        <f>IF($B33="","",TRIM(BANG_CHAM_CONG!$AU33&amp;IF($U33&gt;60,"OT vượt 60 giờ/tháng – rà soát giới hạn làm thêm; ","")&amp;IF(AND($E33=0,SUM($O33:$T33)=0),"Chưa có dữ liệu chấm công; ","")&amp;IF($H33&gt;$G33,"Giờ đêm trong ca lớn hơn giờ thường; ","")))</f>
        <v/>
      </c>
    </row>
    <row r="34" ht="15" customHeight="1" s="63">
      <c r="A34" s="85">
        <f>IF($B34="","",ROW()-5)</f>
        <v/>
      </c>
      <c r="B34" s="103">
        <f>IF(BANG_CHAM_CONG!B34="","",BANG_CHAM_CONG!B34)</f>
        <v/>
      </c>
      <c r="C34" s="96">
        <f>IF($B34="","",BANG_CHAM_CONG!C34)</f>
        <v/>
      </c>
      <c r="D34" s="96">
        <f>IF($B34="","",BANG_CHAM_CONG!D34)</f>
        <v/>
      </c>
      <c r="E34" s="95">
        <f>IF($B34="","",BANG_CHAM_CONG!AK34)</f>
        <v/>
      </c>
      <c r="F34" s="109">
        <f>IF($B34="","",IF(DM_NHAN_SU!$H34="",THAM_SO_CC!$B$11,DM_NHAN_SU!$H34))</f>
        <v/>
      </c>
      <c r="G34" s="110">
        <f>IF($B34="","",ROUND($E34*$F34,2))</f>
        <v/>
      </c>
      <c r="H34" s="108">
        <f>IF($B34="","",SUMIFS(CC_OT_GIO!$F$6:$F$2005,CC_OT_GIO!$B$6:$B$2005,$B34,CC_OT_GIO!$D$6:$D$2005,"&gt;="&amp;THAM_SO_CC!$B$8,CC_OT_GIO!$D$6:$D$2005,"&lt;="&amp;THAM_SO_CC!$B$9))</f>
        <v/>
      </c>
      <c r="I34" s="108">
        <f>IF($B34="","",SUMIFS(CC_OT_GIO!$J$6:$J$2005,CC_OT_GIO!$B$6:$B$2005,$B34,CC_OT_GIO!$D$6:$D$2005,"&gt;="&amp;THAM_SO_CC!$B$8,CC_OT_GIO!$D$6:$D$2005,"&lt;="&amp;THAM_SO_CC!$B$9))</f>
        <v/>
      </c>
      <c r="J34" s="108">
        <f>IF($B34="","",SUMIFS(CC_OT_GIO!$K$6:$K$2005,CC_OT_GIO!$B$6:$B$2005,$B34,CC_OT_GIO!$D$6:$D$2005,"&gt;="&amp;THAM_SO_CC!$B$8,CC_OT_GIO!$D$6:$D$2005,"&lt;="&amp;THAM_SO_CC!$B$9))</f>
        <v/>
      </c>
      <c r="K34" s="108">
        <f>IF($B34="","",SUMIFS(CC_OT_GIO!$L$6:$L$2005,CC_OT_GIO!$B$6:$B$2005,$B34,CC_OT_GIO!$D$6:$D$2005,"&gt;="&amp;THAM_SO_CC!$B$8,CC_OT_GIO!$D$6:$D$2005,"&lt;="&amp;THAM_SO_CC!$B$9))</f>
        <v/>
      </c>
      <c r="L34" s="108">
        <f>IF($B34="","",SUMIFS(CC_OT_GIO!$M$6:$M$2005,CC_OT_GIO!$B$6:$B$2005,$B34,CC_OT_GIO!$D$6:$D$2005,"&gt;="&amp;THAM_SO_CC!$B$8,CC_OT_GIO!$D$6:$D$2005,"&lt;="&amp;THAM_SO_CC!$B$9))</f>
        <v/>
      </c>
      <c r="M34" s="108">
        <f>IF($B34="","",SUMIFS(CC_OT_GIO!$N$6:$N$2005,CC_OT_GIO!$B$6:$B$2005,$B34,CC_OT_GIO!$D$6:$D$2005,"&gt;="&amp;THAM_SO_CC!$B$8,CC_OT_GIO!$D$6:$D$2005,"&lt;="&amp;THAM_SO_CC!$B$9))</f>
        <v/>
      </c>
      <c r="N34" s="108">
        <f>IF($B34="","",SUMIFS(CC_OT_GIO!$O$6:$O$2005,CC_OT_GIO!$B$6:$B$2005,$B34,CC_OT_GIO!$D$6:$D$2005,"&gt;="&amp;THAM_SO_CC!$B$8,CC_OT_GIO!$D$6:$D$2005,"&lt;="&amp;THAM_SO_CC!$B$9))</f>
        <v/>
      </c>
      <c r="O34" s="104">
        <f>IF($B34="","",BANG_CHAM_CONG!AL34)</f>
        <v/>
      </c>
      <c r="P34" s="104">
        <f>IF($B34="","",BANG_CHAM_CONG!AM34)</f>
        <v/>
      </c>
      <c r="Q34" s="104">
        <f>IF($B34="","",BANG_CHAM_CONG!AN34)</f>
        <v/>
      </c>
      <c r="R34" s="104">
        <f>IF($B34="","",BANG_CHAM_CONG!AO34)</f>
        <v/>
      </c>
      <c r="S34" s="104">
        <f>IF($B34="","",BANG_CHAM_CONG!AP34)</f>
        <v/>
      </c>
      <c r="T34" s="104">
        <f>IF($B34="","",BANG_CHAM_CONG!AQ34)</f>
        <v/>
      </c>
      <c r="U34" s="111">
        <f>IF($B34="","",SUM($I34:$N34))</f>
        <v/>
      </c>
      <c r="V34" s="96">
        <f>IF($B34="","",TRIM(BANG_CHAM_CONG!$AU34&amp;IF($U34&gt;60,"OT vượt 60 giờ/tháng – rà soát giới hạn làm thêm; ","")&amp;IF(AND($E34=0,SUM($O34:$T34)=0),"Chưa có dữ liệu chấm công; ","")&amp;IF($H34&gt;$G34,"Giờ đêm trong ca lớn hơn giờ thường; ","")))</f>
        <v/>
      </c>
    </row>
    <row r="35" ht="15" customHeight="1" s="63">
      <c r="A35" s="85">
        <f>IF($B35="","",ROW()-5)</f>
        <v/>
      </c>
      <c r="B35" s="103">
        <f>IF(BANG_CHAM_CONG!B35="","",BANG_CHAM_CONG!B35)</f>
        <v/>
      </c>
      <c r="C35" s="96">
        <f>IF($B35="","",BANG_CHAM_CONG!C35)</f>
        <v/>
      </c>
      <c r="D35" s="96">
        <f>IF($B35="","",BANG_CHAM_CONG!D35)</f>
        <v/>
      </c>
      <c r="E35" s="95">
        <f>IF($B35="","",BANG_CHAM_CONG!AK35)</f>
        <v/>
      </c>
      <c r="F35" s="109">
        <f>IF($B35="","",IF(DM_NHAN_SU!$H35="",THAM_SO_CC!$B$11,DM_NHAN_SU!$H35))</f>
        <v/>
      </c>
      <c r="G35" s="110">
        <f>IF($B35="","",ROUND($E35*$F35,2))</f>
        <v/>
      </c>
      <c r="H35" s="108">
        <f>IF($B35="","",SUMIFS(CC_OT_GIO!$F$6:$F$2005,CC_OT_GIO!$B$6:$B$2005,$B35,CC_OT_GIO!$D$6:$D$2005,"&gt;="&amp;THAM_SO_CC!$B$8,CC_OT_GIO!$D$6:$D$2005,"&lt;="&amp;THAM_SO_CC!$B$9))</f>
        <v/>
      </c>
      <c r="I35" s="108">
        <f>IF($B35="","",SUMIFS(CC_OT_GIO!$J$6:$J$2005,CC_OT_GIO!$B$6:$B$2005,$B35,CC_OT_GIO!$D$6:$D$2005,"&gt;="&amp;THAM_SO_CC!$B$8,CC_OT_GIO!$D$6:$D$2005,"&lt;="&amp;THAM_SO_CC!$B$9))</f>
        <v/>
      </c>
      <c r="J35" s="108">
        <f>IF($B35="","",SUMIFS(CC_OT_GIO!$K$6:$K$2005,CC_OT_GIO!$B$6:$B$2005,$B35,CC_OT_GIO!$D$6:$D$2005,"&gt;="&amp;THAM_SO_CC!$B$8,CC_OT_GIO!$D$6:$D$2005,"&lt;="&amp;THAM_SO_CC!$B$9))</f>
        <v/>
      </c>
      <c r="K35" s="108">
        <f>IF($B35="","",SUMIFS(CC_OT_GIO!$L$6:$L$2005,CC_OT_GIO!$B$6:$B$2005,$B35,CC_OT_GIO!$D$6:$D$2005,"&gt;="&amp;THAM_SO_CC!$B$8,CC_OT_GIO!$D$6:$D$2005,"&lt;="&amp;THAM_SO_CC!$B$9))</f>
        <v/>
      </c>
      <c r="L35" s="108">
        <f>IF($B35="","",SUMIFS(CC_OT_GIO!$M$6:$M$2005,CC_OT_GIO!$B$6:$B$2005,$B35,CC_OT_GIO!$D$6:$D$2005,"&gt;="&amp;THAM_SO_CC!$B$8,CC_OT_GIO!$D$6:$D$2005,"&lt;="&amp;THAM_SO_CC!$B$9))</f>
        <v/>
      </c>
      <c r="M35" s="108">
        <f>IF($B35="","",SUMIFS(CC_OT_GIO!$N$6:$N$2005,CC_OT_GIO!$B$6:$B$2005,$B35,CC_OT_GIO!$D$6:$D$2005,"&gt;="&amp;THAM_SO_CC!$B$8,CC_OT_GIO!$D$6:$D$2005,"&lt;="&amp;THAM_SO_CC!$B$9))</f>
        <v/>
      </c>
      <c r="N35" s="108">
        <f>IF($B35="","",SUMIFS(CC_OT_GIO!$O$6:$O$2005,CC_OT_GIO!$B$6:$B$2005,$B35,CC_OT_GIO!$D$6:$D$2005,"&gt;="&amp;THAM_SO_CC!$B$8,CC_OT_GIO!$D$6:$D$2005,"&lt;="&amp;THAM_SO_CC!$B$9))</f>
        <v/>
      </c>
      <c r="O35" s="104">
        <f>IF($B35="","",BANG_CHAM_CONG!AL35)</f>
        <v/>
      </c>
      <c r="P35" s="104">
        <f>IF($B35="","",BANG_CHAM_CONG!AM35)</f>
        <v/>
      </c>
      <c r="Q35" s="104">
        <f>IF($B35="","",BANG_CHAM_CONG!AN35)</f>
        <v/>
      </c>
      <c r="R35" s="104">
        <f>IF($B35="","",BANG_CHAM_CONG!AO35)</f>
        <v/>
      </c>
      <c r="S35" s="104">
        <f>IF($B35="","",BANG_CHAM_CONG!AP35)</f>
        <v/>
      </c>
      <c r="T35" s="104">
        <f>IF($B35="","",BANG_CHAM_CONG!AQ35)</f>
        <v/>
      </c>
      <c r="U35" s="111">
        <f>IF($B35="","",SUM($I35:$N35))</f>
        <v/>
      </c>
      <c r="V35" s="96">
        <f>IF($B35="","",TRIM(BANG_CHAM_CONG!$AU35&amp;IF($U35&gt;60,"OT vượt 60 giờ/tháng – rà soát giới hạn làm thêm; ","")&amp;IF(AND($E35=0,SUM($O35:$T35)=0),"Chưa có dữ liệu chấm công; ","")&amp;IF($H35&gt;$G35,"Giờ đêm trong ca lớn hơn giờ thường; ","")))</f>
        <v/>
      </c>
    </row>
    <row r="36" ht="15" customHeight="1" s="63">
      <c r="A36" s="85">
        <f>IF($B36="","",ROW()-5)</f>
        <v/>
      </c>
      <c r="B36" s="103">
        <f>IF(BANG_CHAM_CONG!B36="","",BANG_CHAM_CONG!B36)</f>
        <v/>
      </c>
      <c r="C36" s="96">
        <f>IF($B36="","",BANG_CHAM_CONG!C36)</f>
        <v/>
      </c>
      <c r="D36" s="96">
        <f>IF($B36="","",BANG_CHAM_CONG!D36)</f>
        <v/>
      </c>
      <c r="E36" s="95">
        <f>IF($B36="","",BANG_CHAM_CONG!AK36)</f>
        <v/>
      </c>
      <c r="F36" s="109">
        <f>IF($B36="","",IF(DM_NHAN_SU!$H36="",THAM_SO_CC!$B$11,DM_NHAN_SU!$H36))</f>
        <v/>
      </c>
      <c r="G36" s="110">
        <f>IF($B36="","",ROUND($E36*$F36,2))</f>
        <v/>
      </c>
      <c r="H36" s="108">
        <f>IF($B36="","",SUMIFS(CC_OT_GIO!$F$6:$F$2005,CC_OT_GIO!$B$6:$B$2005,$B36,CC_OT_GIO!$D$6:$D$2005,"&gt;="&amp;THAM_SO_CC!$B$8,CC_OT_GIO!$D$6:$D$2005,"&lt;="&amp;THAM_SO_CC!$B$9))</f>
        <v/>
      </c>
      <c r="I36" s="108">
        <f>IF($B36="","",SUMIFS(CC_OT_GIO!$J$6:$J$2005,CC_OT_GIO!$B$6:$B$2005,$B36,CC_OT_GIO!$D$6:$D$2005,"&gt;="&amp;THAM_SO_CC!$B$8,CC_OT_GIO!$D$6:$D$2005,"&lt;="&amp;THAM_SO_CC!$B$9))</f>
        <v/>
      </c>
      <c r="J36" s="108">
        <f>IF($B36="","",SUMIFS(CC_OT_GIO!$K$6:$K$2005,CC_OT_GIO!$B$6:$B$2005,$B36,CC_OT_GIO!$D$6:$D$2005,"&gt;="&amp;THAM_SO_CC!$B$8,CC_OT_GIO!$D$6:$D$2005,"&lt;="&amp;THAM_SO_CC!$B$9))</f>
        <v/>
      </c>
      <c r="K36" s="108">
        <f>IF($B36="","",SUMIFS(CC_OT_GIO!$L$6:$L$2005,CC_OT_GIO!$B$6:$B$2005,$B36,CC_OT_GIO!$D$6:$D$2005,"&gt;="&amp;THAM_SO_CC!$B$8,CC_OT_GIO!$D$6:$D$2005,"&lt;="&amp;THAM_SO_CC!$B$9))</f>
        <v/>
      </c>
      <c r="L36" s="108">
        <f>IF($B36="","",SUMIFS(CC_OT_GIO!$M$6:$M$2005,CC_OT_GIO!$B$6:$B$2005,$B36,CC_OT_GIO!$D$6:$D$2005,"&gt;="&amp;THAM_SO_CC!$B$8,CC_OT_GIO!$D$6:$D$2005,"&lt;="&amp;THAM_SO_CC!$B$9))</f>
        <v/>
      </c>
      <c r="M36" s="108">
        <f>IF($B36="","",SUMIFS(CC_OT_GIO!$N$6:$N$2005,CC_OT_GIO!$B$6:$B$2005,$B36,CC_OT_GIO!$D$6:$D$2005,"&gt;="&amp;THAM_SO_CC!$B$8,CC_OT_GIO!$D$6:$D$2005,"&lt;="&amp;THAM_SO_CC!$B$9))</f>
        <v/>
      </c>
      <c r="N36" s="108">
        <f>IF($B36="","",SUMIFS(CC_OT_GIO!$O$6:$O$2005,CC_OT_GIO!$B$6:$B$2005,$B36,CC_OT_GIO!$D$6:$D$2005,"&gt;="&amp;THAM_SO_CC!$B$8,CC_OT_GIO!$D$6:$D$2005,"&lt;="&amp;THAM_SO_CC!$B$9))</f>
        <v/>
      </c>
      <c r="O36" s="104">
        <f>IF($B36="","",BANG_CHAM_CONG!AL36)</f>
        <v/>
      </c>
      <c r="P36" s="104">
        <f>IF($B36="","",BANG_CHAM_CONG!AM36)</f>
        <v/>
      </c>
      <c r="Q36" s="104">
        <f>IF($B36="","",BANG_CHAM_CONG!AN36)</f>
        <v/>
      </c>
      <c r="R36" s="104">
        <f>IF($B36="","",BANG_CHAM_CONG!AO36)</f>
        <v/>
      </c>
      <c r="S36" s="104">
        <f>IF($B36="","",BANG_CHAM_CONG!AP36)</f>
        <v/>
      </c>
      <c r="T36" s="104">
        <f>IF($B36="","",BANG_CHAM_CONG!AQ36)</f>
        <v/>
      </c>
      <c r="U36" s="111">
        <f>IF($B36="","",SUM($I36:$N36))</f>
        <v/>
      </c>
      <c r="V36" s="96">
        <f>IF($B36="","",TRIM(BANG_CHAM_CONG!$AU36&amp;IF($U36&gt;60,"OT vượt 60 giờ/tháng – rà soát giới hạn làm thêm; ","")&amp;IF(AND($E36=0,SUM($O36:$T36)=0),"Chưa có dữ liệu chấm công; ","")&amp;IF($H36&gt;$G36,"Giờ đêm trong ca lớn hơn giờ thường; ","")))</f>
        <v/>
      </c>
    </row>
    <row r="37" ht="15" customHeight="1" s="63">
      <c r="A37" s="85">
        <f>IF($B37="","",ROW()-5)</f>
        <v/>
      </c>
      <c r="B37" s="103">
        <f>IF(BANG_CHAM_CONG!B37="","",BANG_CHAM_CONG!B37)</f>
        <v/>
      </c>
      <c r="C37" s="96">
        <f>IF($B37="","",BANG_CHAM_CONG!C37)</f>
        <v/>
      </c>
      <c r="D37" s="96">
        <f>IF($B37="","",BANG_CHAM_CONG!D37)</f>
        <v/>
      </c>
      <c r="E37" s="95">
        <f>IF($B37="","",BANG_CHAM_CONG!AK37)</f>
        <v/>
      </c>
      <c r="F37" s="109">
        <f>IF($B37="","",IF(DM_NHAN_SU!$H37="",THAM_SO_CC!$B$11,DM_NHAN_SU!$H37))</f>
        <v/>
      </c>
      <c r="G37" s="110">
        <f>IF($B37="","",ROUND($E37*$F37,2))</f>
        <v/>
      </c>
      <c r="H37" s="108">
        <f>IF($B37="","",SUMIFS(CC_OT_GIO!$F$6:$F$2005,CC_OT_GIO!$B$6:$B$2005,$B37,CC_OT_GIO!$D$6:$D$2005,"&gt;="&amp;THAM_SO_CC!$B$8,CC_OT_GIO!$D$6:$D$2005,"&lt;="&amp;THAM_SO_CC!$B$9))</f>
        <v/>
      </c>
      <c r="I37" s="108">
        <f>IF($B37="","",SUMIFS(CC_OT_GIO!$J$6:$J$2005,CC_OT_GIO!$B$6:$B$2005,$B37,CC_OT_GIO!$D$6:$D$2005,"&gt;="&amp;THAM_SO_CC!$B$8,CC_OT_GIO!$D$6:$D$2005,"&lt;="&amp;THAM_SO_CC!$B$9))</f>
        <v/>
      </c>
      <c r="J37" s="108">
        <f>IF($B37="","",SUMIFS(CC_OT_GIO!$K$6:$K$2005,CC_OT_GIO!$B$6:$B$2005,$B37,CC_OT_GIO!$D$6:$D$2005,"&gt;="&amp;THAM_SO_CC!$B$8,CC_OT_GIO!$D$6:$D$2005,"&lt;="&amp;THAM_SO_CC!$B$9))</f>
        <v/>
      </c>
      <c r="K37" s="108">
        <f>IF($B37="","",SUMIFS(CC_OT_GIO!$L$6:$L$2005,CC_OT_GIO!$B$6:$B$2005,$B37,CC_OT_GIO!$D$6:$D$2005,"&gt;="&amp;THAM_SO_CC!$B$8,CC_OT_GIO!$D$6:$D$2005,"&lt;="&amp;THAM_SO_CC!$B$9))</f>
        <v/>
      </c>
      <c r="L37" s="108">
        <f>IF($B37="","",SUMIFS(CC_OT_GIO!$M$6:$M$2005,CC_OT_GIO!$B$6:$B$2005,$B37,CC_OT_GIO!$D$6:$D$2005,"&gt;="&amp;THAM_SO_CC!$B$8,CC_OT_GIO!$D$6:$D$2005,"&lt;="&amp;THAM_SO_CC!$B$9))</f>
        <v/>
      </c>
      <c r="M37" s="108">
        <f>IF($B37="","",SUMIFS(CC_OT_GIO!$N$6:$N$2005,CC_OT_GIO!$B$6:$B$2005,$B37,CC_OT_GIO!$D$6:$D$2005,"&gt;="&amp;THAM_SO_CC!$B$8,CC_OT_GIO!$D$6:$D$2005,"&lt;="&amp;THAM_SO_CC!$B$9))</f>
        <v/>
      </c>
      <c r="N37" s="108">
        <f>IF($B37="","",SUMIFS(CC_OT_GIO!$O$6:$O$2005,CC_OT_GIO!$B$6:$B$2005,$B37,CC_OT_GIO!$D$6:$D$2005,"&gt;="&amp;THAM_SO_CC!$B$8,CC_OT_GIO!$D$6:$D$2005,"&lt;="&amp;THAM_SO_CC!$B$9))</f>
        <v/>
      </c>
      <c r="O37" s="104">
        <f>IF($B37="","",BANG_CHAM_CONG!AL37)</f>
        <v/>
      </c>
      <c r="P37" s="104">
        <f>IF($B37="","",BANG_CHAM_CONG!AM37)</f>
        <v/>
      </c>
      <c r="Q37" s="104">
        <f>IF($B37="","",BANG_CHAM_CONG!AN37)</f>
        <v/>
      </c>
      <c r="R37" s="104">
        <f>IF($B37="","",BANG_CHAM_CONG!AO37)</f>
        <v/>
      </c>
      <c r="S37" s="104">
        <f>IF($B37="","",BANG_CHAM_CONG!AP37)</f>
        <v/>
      </c>
      <c r="T37" s="104">
        <f>IF($B37="","",BANG_CHAM_CONG!AQ37)</f>
        <v/>
      </c>
      <c r="U37" s="111">
        <f>IF($B37="","",SUM($I37:$N37))</f>
        <v/>
      </c>
      <c r="V37" s="96">
        <f>IF($B37="","",TRIM(BANG_CHAM_CONG!$AU37&amp;IF($U37&gt;60,"OT vượt 60 giờ/tháng – rà soát giới hạn làm thêm; ","")&amp;IF(AND($E37=0,SUM($O37:$T37)=0),"Chưa có dữ liệu chấm công; ","")&amp;IF($H37&gt;$G37,"Giờ đêm trong ca lớn hơn giờ thường; ","")))</f>
        <v/>
      </c>
    </row>
    <row r="38" ht="15" customHeight="1" s="63">
      <c r="A38" s="85">
        <f>IF($B38="","",ROW()-5)</f>
        <v/>
      </c>
      <c r="B38" s="103">
        <f>IF(BANG_CHAM_CONG!B38="","",BANG_CHAM_CONG!B38)</f>
        <v/>
      </c>
      <c r="C38" s="96">
        <f>IF($B38="","",BANG_CHAM_CONG!C38)</f>
        <v/>
      </c>
      <c r="D38" s="96">
        <f>IF($B38="","",BANG_CHAM_CONG!D38)</f>
        <v/>
      </c>
      <c r="E38" s="95">
        <f>IF($B38="","",BANG_CHAM_CONG!AK38)</f>
        <v/>
      </c>
      <c r="F38" s="109">
        <f>IF($B38="","",IF(DM_NHAN_SU!$H38="",THAM_SO_CC!$B$11,DM_NHAN_SU!$H38))</f>
        <v/>
      </c>
      <c r="G38" s="110">
        <f>IF($B38="","",ROUND($E38*$F38,2))</f>
        <v/>
      </c>
      <c r="H38" s="108">
        <f>IF($B38="","",SUMIFS(CC_OT_GIO!$F$6:$F$2005,CC_OT_GIO!$B$6:$B$2005,$B38,CC_OT_GIO!$D$6:$D$2005,"&gt;="&amp;THAM_SO_CC!$B$8,CC_OT_GIO!$D$6:$D$2005,"&lt;="&amp;THAM_SO_CC!$B$9))</f>
        <v/>
      </c>
      <c r="I38" s="108">
        <f>IF($B38="","",SUMIFS(CC_OT_GIO!$J$6:$J$2005,CC_OT_GIO!$B$6:$B$2005,$B38,CC_OT_GIO!$D$6:$D$2005,"&gt;="&amp;THAM_SO_CC!$B$8,CC_OT_GIO!$D$6:$D$2005,"&lt;="&amp;THAM_SO_CC!$B$9))</f>
        <v/>
      </c>
      <c r="J38" s="108">
        <f>IF($B38="","",SUMIFS(CC_OT_GIO!$K$6:$K$2005,CC_OT_GIO!$B$6:$B$2005,$B38,CC_OT_GIO!$D$6:$D$2005,"&gt;="&amp;THAM_SO_CC!$B$8,CC_OT_GIO!$D$6:$D$2005,"&lt;="&amp;THAM_SO_CC!$B$9))</f>
        <v/>
      </c>
      <c r="K38" s="108">
        <f>IF($B38="","",SUMIFS(CC_OT_GIO!$L$6:$L$2005,CC_OT_GIO!$B$6:$B$2005,$B38,CC_OT_GIO!$D$6:$D$2005,"&gt;="&amp;THAM_SO_CC!$B$8,CC_OT_GIO!$D$6:$D$2005,"&lt;="&amp;THAM_SO_CC!$B$9))</f>
        <v/>
      </c>
      <c r="L38" s="108">
        <f>IF($B38="","",SUMIFS(CC_OT_GIO!$M$6:$M$2005,CC_OT_GIO!$B$6:$B$2005,$B38,CC_OT_GIO!$D$6:$D$2005,"&gt;="&amp;THAM_SO_CC!$B$8,CC_OT_GIO!$D$6:$D$2005,"&lt;="&amp;THAM_SO_CC!$B$9))</f>
        <v/>
      </c>
      <c r="M38" s="108">
        <f>IF($B38="","",SUMIFS(CC_OT_GIO!$N$6:$N$2005,CC_OT_GIO!$B$6:$B$2005,$B38,CC_OT_GIO!$D$6:$D$2005,"&gt;="&amp;THAM_SO_CC!$B$8,CC_OT_GIO!$D$6:$D$2005,"&lt;="&amp;THAM_SO_CC!$B$9))</f>
        <v/>
      </c>
      <c r="N38" s="108">
        <f>IF($B38="","",SUMIFS(CC_OT_GIO!$O$6:$O$2005,CC_OT_GIO!$B$6:$B$2005,$B38,CC_OT_GIO!$D$6:$D$2005,"&gt;="&amp;THAM_SO_CC!$B$8,CC_OT_GIO!$D$6:$D$2005,"&lt;="&amp;THAM_SO_CC!$B$9))</f>
        <v/>
      </c>
      <c r="O38" s="104">
        <f>IF($B38="","",BANG_CHAM_CONG!AL38)</f>
        <v/>
      </c>
      <c r="P38" s="104">
        <f>IF($B38="","",BANG_CHAM_CONG!AM38)</f>
        <v/>
      </c>
      <c r="Q38" s="104">
        <f>IF($B38="","",BANG_CHAM_CONG!AN38)</f>
        <v/>
      </c>
      <c r="R38" s="104">
        <f>IF($B38="","",BANG_CHAM_CONG!AO38)</f>
        <v/>
      </c>
      <c r="S38" s="104">
        <f>IF($B38="","",BANG_CHAM_CONG!AP38)</f>
        <v/>
      </c>
      <c r="T38" s="104">
        <f>IF($B38="","",BANG_CHAM_CONG!AQ38)</f>
        <v/>
      </c>
      <c r="U38" s="111">
        <f>IF($B38="","",SUM($I38:$N38))</f>
        <v/>
      </c>
      <c r="V38" s="96">
        <f>IF($B38="","",TRIM(BANG_CHAM_CONG!$AU38&amp;IF($U38&gt;60,"OT vượt 60 giờ/tháng – rà soát giới hạn làm thêm; ","")&amp;IF(AND($E38=0,SUM($O38:$T38)=0),"Chưa có dữ liệu chấm công; ","")&amp;IF($H38&gt;$G38,"Giờ đêm trong ca lớn hơn giờ thường; ","")))</f>
        <v/>
      </c>
    </row>
    <row r="39" ht="15" customHeight="1" s="63">
      <c r="A39" s="85">
        <f>IF($B39="","",ROW()-5)</f>
        <v/>
      </c>
      <c r="B39" s="103">
        <f>IF(BANG_CHAM_CONG!B39="","",BANG_CHAM_CONG!B39)</f>
        <v/>
      </c>
      <c r="C39" s="96">
        <f>IF($B39="","",BANG_CHAM_CONG!C39)</f>
        <v/>
      </c>
      <c r="D39" s="96">
        <f>IF($B39="","",BANG_CHAM_CONG!D39)</f>
        <v/>
      </c>
      <c r="E39" s="95">
        <f>IF($B39="","",BANG_CHAM_CONG!AK39)</f>
        <v/>
      </c>
      <c r="F39" s="109">
        <f>IF($B39="","",IF(DM_NHAN_SU!$H39="",THAM_SO_CC!$B$11,DM_NHAN_SU!$H39))</f>
        <v/>
      </c>
      <c r="G39" s="110">
        <f>IF($B39="","",ROUND($E39*$F39,2))</f>
        <v/>
      </c>
      <c r="H39" s="108">
        <f>IF($B39="","",SUMIFS(CC_OT_GIO!$F$6:$F$2005,CC_OT_GIO!$B$6:$B$2005,$B39,CC_OT_GIO!$D$6:$D$2005,"&gt;="&amp;THAM_SO_CC!$B$8,CC_OT_GIO!$D$6:$D$2005,"&lt;="&amp;THAM_SO_CC!$B$9))</f>
        <v/>
      </c>
      <c r="I39" s="108">
        <f>IF($B39="","",SUMIFS(CC_OT_GIO!$J$6:$J$2005,CC_OT_GIO!$B$6:$B$2005,$B39,CC_OT_GIO!$D$6:$D$2005,"&gt;="&amp;THAM_SO_CC!$B$8,CC_OT_GIO!$D$6:$D$2005,"&lt;="&amp;THAM_SO_CC!$B$9))</f>
        <v/>
      </c>
      <c r="J39" s="108">
        <f>IF($B39="","",SUMIFS(CC_OT_GIO!$K$6:$K$2005,CC_OT_GIO!$B$6:$B$2005,$B39,CC_OT_GIO!$D$6:$D$2005,"&gt;="&amp;THAM_SO_CC!$B$8,CC_OT_GIO!$D$6:$D$2005,"&lt;="&amp;THAM_SO_CC!$B$9))</f>
        <v/>
      </c>
      <c r="K39" s="108">
        <f>IF($B39="","",SUMIFS(CC_OT_GIO!$L$6:$L$2005,CC_OT_GIO!$B$6:$B$2005,$B39,CC_OT_GIO!$D$6:$D$2005,"&gt;="&amp;THAM_SO_CC!$B$8,CC_OT_GIO!$D$6:$D$2005,"&lt;="&amp;THAM_SO_CC!$B$9))</f>
        <v/>
      </c>
      <c r="L39" s="108">
        <f>IF($B39="","",SUMIFS(CC_OT_GIO!$M$6:$M$2005,CC_OT_GIO!$B$6:$B$2005,$B39,CC_OT_GIO!$D$6:$D$2005,"&gt;="&amp;THAM_SO_CC!$B$8,CC_OT_GIO!$D$6:$D$2005,"&lt;="&amp;THAM_SO_CC!$B$9))</f>
        <v/>
      </c>
      <c r="M39" s="108">
        <f>IF($B39="","",SUMIFS(CC_OT_GIO!$N$6:$N$2005,CC_OT_GIO!$B$6:$B$2005,$B39,CC_OT_GIO!$D$6:$D$2005,"&gt;="&amp;THAM_SO_CC!$B$8,CC_OT_GIO!$D$6:$D$2005,"&lt;="&amp;THAM_SO_CC!$B$9))</f>
        <v/>
      </c>
      <c r="N39" s="108">
        <f>IF($B39="","",SUMIFS(CC_OT_GIO!$O$6:$O$2005,CC_OT_GIO!$B$6:$B$2005,$B39,CC_OT_GIO!$D$6:$D$2005,"&gt;="&amp;THAM_SO_CC!$B$8,CC_OT_GIO!$D$6:$D$2005,"&lt;="&amp;THAM_SO_CC!$B$9))</f>
        <v/>
      </c>
      <c r="O39" s="104">
        <f>IF($B39="","",BANG_CHAM_CONG!AL39)</f>
        <v/>
      </c>
      <c r="P39" s="104">
        <f>IF($B39="","",BANG_CHAM_CONG!AM39)</f>
        <v/>
      </c>
      <c r="Q39" s="104">
        <f>IF($B39="","",BANG_CHAM_CONG!AN39)</f>
        <v/>
      </c>
      <c r="R39" s="104">
        <f>IF($B39="","",BANG_CHAM_CONG!AO39)</f>
        <v/>
      </c>
      <c r="S39" s="104">
        <f>IF($B39="","",BANG_CHAM_CONG!AP39)</f>
        <v/>
      </c>
      <c r="T39" s="104">
        <f>IF($B39="","",BANG_CHAM_CONG!AQ39)</f>
        <v/>
      </c>
      <c r="U39" s="111">
        <f>IF($B39="","",SUM($I39:$N39))</f>
        <v/>
      </c>
      <c r="V39" s="96">
        <f>IF($B39="","",TRIM(BANG_CHAM_CONG!$AU39&amp;IF($U39&gt;60,"OT vượt 60 giờ/tháng – rà soát giới hạn làm thêm; ","")&amp;IF(AND($E39=0,SUM($O39:$T39)=0),"Chưa có dữ liệu chấm công; ","")&amp;IF($H39&gt;$G39,"Giờ đêm trong ca lớn hơn giờ thường; ","")))</f>
        <v/>
      </c>
    </row>
    <row r="40" ht="15" customHeight="1" s="63">
      <c r="A40" s="85">
        <f>IF($B40="","",ROW()-5)</f>
        <v/>
      </c>
      <c r="B40" s="103">
        <f>IF(BANG_CHAM_CONG!B40="","",BANG_CHAM_CONG!B40)</f>
        <v/>
      </c>
      <c r="C40" s="96">
        <f>IF($B40="","",BANG_CHAM_CONG!C40)</f>
        <v/>
      </c>
      <c r="D40" s="96">
        <f>IF($B40="","",BANG_CHAM_CONG!D40)</f>
        <v/>
      </c>
      <c r="E40" s="95">
        <f>IF($B40="","",BANG_CHAM_CONG!AK40)</f>
        <v/>
      </c>
      <c r="F40" s="109">
        <f>IF($B40="","",IF(DM_NHAN_SU!$H40="",THAM_SO_CC!$B$11,DM_NHAN_SU!$H40))</f>
        <v/>
      </c>
      <c r="G40" s="110">
        <f>IF($B40="","",ROUND($E40*$F40,2))</f>
        <v/>
      </c>
      <c r="H40" s="108">
        <f>IF($B40="","",SUMIFS(CC_OT_GIO!$F$6:$F$2005,CC_OT_GIO!$B$6:$B$2005,$B40,CC_OT_GIO!$D$6:$D$2005,"&gt;="&amp;THAM_SO_CC!$B$8,CC_OT_GIO!$D$6:$D$2005,"&lt;="&amp;THAM_SO_CC!$B$9))</f>
        <v/>
      </c>
      <c r="I40" s="108">
        <f>IF($B40="","",SUMIFS(CC_OT_GIO!$J$6:$J$2005,CC_OT_GIO!$B$6:$B$2005,$B40,CC_OT_GIO!$D$6:$D$2005,"&gt;="&amp;THAM_SO_CC!$B$8,CC_OT_GIO!$D$6:$D$2005,"&lt;="&amp;THAM_SO_CC!$B$9))</f>
        <v/>
      </c>
      <c r="J40" s="108">
        <f>IF($B40="","",SUMIFS(CC_OT_GIO!$K$6:$K$2005,CC_OT_GIO!$B$6:$B$2005,$B40,CC_OT_GIO!$D$6:$D$2005,"&gt;="&amp;THAM_SO_CC!$B$8,CC_OT_GIO!$D$6:$D$2005,"&lt;="&amp;THAM_SO_CC!$B$9))</f>
        <v/>
      </c>
      <c r="K40" s="108">
        <f>IF($B40="","",SUMIFS(CC_OT_GIO!$L$6:$L$2005,CC_OT_GIO!$B$6:$B$2005,$B40,CC_OT_GIO!$D$6:$D$2005,"&gt;="&amp;THAM_SO_CC!$B$8,CC_OT_GIO!$D$6:$D$2005,"&lt;="&amp;THAM_SO_CC!$B$9))</f>
        <v/>
      </c>
      <c r="L40" s="108">
        <f>IF($B40="","",SUMIFS(CC_OT_GIO!$M$6:$M$2005,CC_OT_GIO!$B$6:$B$2005,$B40,CC_OT_GIO!$D$6:$D$2005,"&gt;="&amp;THAM_SO_CC!$B$8,CC_OT_GIO!$D$6:$D$2005,"&lt;="&amp;THAM_SO_CC!$B$9))</f>
        <v/>
      </c>
      <c r="M40" s="108">
        <f>IF($B40="","",SUMIFS(CC_OT_GIO!$N$6:$N$2005,CC_OT_GIO!$B$6:$B$2005,$B40,CC_OT_GIO!$D$6:$D$2005,"&gt;="&amp;THAM_SO_CC!$B$8,CC_OT_GIO!$D$6:$D$2005,"&lt;="&amp;THAM_SO_CC!$B$9))</f>
        <v/>
      </c>
      <c r="N40" s="108">
        <f>IF($B40="","",SUMIFS(CC_OT_GIO!$O$6:$O$2005,CC_OT_GIO!$B$6:$B$2005,$B40,CC_OT_GIO!$D$6:$D$2005,"&gt;="&amp;THAM_SO_CC!$B$8,CC_OT_GIO!$D$6:$D$2005,"&lt;="&amp;THAM_SO_CC!$B$9))</f>
        <v/>
      </c>
      <c r="O40" s="104">
        <f>IF($B40="","",BANG_CHAM_CONG!AL40)</f>
        <v/>
      </c>
      <c r="P40" s="104">
        <f>IF($B40="","",BANG_CHAM_CONG!AM40)</f>
        <v/>
      </c>
      <c r="Q40" s="104">
        <f>IF($B40="","",BANG_CHAM_CONG!AN40)</f>
        <v/>
      </c>
      <c r="R40" s="104">
        <f>IF($B40="","",BANG_CHAM_CONG!AO40)</f>
        <v/>
      </c>
      <c r="S40" s="104">
        <f>IF($B40="","",BANG_CHAM_CONG!AP40)</f>
        <v/>
      </c>
      <c r="T40" s="104">
        <f>IF($B40="","",BANG_CHAM_CONG!AQ40)</f>
        <v/>
      </c>
      <c r="U40" s="111">
        <f>IF($B40="","",SUM($I40:$N40))</f>
        <v/>
      </c>
      <c r="V40" s="96">
        <f>IF($B40="","",TRIM(BANG_CHAM_CONG!$AU40&amp;IF($U40&gt;60,"OT vượt 60 giờ/tháng – rà soát giới hạn làm thêm; ","")&amp;IF(AND($E40=0,SUM($O40:$T40)=0),"Chưa có dữ liệu chấm công; ","")&amp;IF($H40&gt;$G40,"Giờ đêm trong ca lớn hơn giờ thường; ","")))</f>
        <v/>
      </c>
    </row>
    <row r="41" ht="15" customHeight="1" s="63">
      <c r="A41" s="85">
        <f>IF($B41="","",ROW()-5)</f>
        <v/>
      </c>
      <c r="B41" s="103">
        <f>IF(BANG_CHAM_CONG!B41="","",BANG_CHAM_CONG!B41)</f>
        <v/>
      </c>
      <c r="C41" s="96">
        <f>IF($B41="","",BANG_CHAM_CONG!C41)</f>
        <v/>
      </c>
      <c r="D41" s="96">
        <f>IF($B41="","",BANG_CHAM_CONG!D41)</f>
        <v/>
      </c>
      <c r="E41" s="95">
        <f>IF($B41="","",BANG_CHAM_CONG!AK41)</f>
        <v/>
      </c>
      <c r="F41" s="109">
        <f>IF($B41="","",IF(DM_NHAN_SU!$H41="",THAM_SO_CC!$B$11,DM_NHAN_SU!$H41))</f>
        <v/>
      </c>
      <c r="G41" s="110">
        <f>IF($B41="","",ROUND($E41*$F41,2))</f>
        <v/>
      </c>
      <c r="H41" s="108">
        <f>IF($B41="","",SUMIFS(CC_OT_GIO!$F$6:$F$2005,CC_OT_GIO!$B$6:$B$2005,$B41,CC_OT_GIO!$D$6:$D$2005,"&gt;="&amp;THAM_SO_CC!$B$8,CC_OT_GIO!$D$6:$D$2005,"&lt;="&amp;THAM_SO_CC!$B$9))</f>
        <v/>
      </c>
      <c r="I41" s="108">
        <f>IF($B41="","",SUMIFS(CC_OT_GIO!$J$6:$J$2005,CC_OT_GIO!$B$6:$B$2005,$B41,CC_OT_GIO!$D$6:$D$2005,"&gt;="&amp;THAM_SO_CC!$B$8,CC_OT_GIO!$D$6:$D$2005,"&lt;="&amp;THAM_SO_CC!$B$9))</f>
        <v/>
      </c>
      <c r="J41" s="108">
        <f>IF($B41="","",SUMIFS(CC_OT_GIO!$K$6:$K$2005,CC_OT_GIO!$B$6:$B$2005,$B41,CC_OT_GIO!$D$6:$D$2005,"&gt;="&amp;THAM_SO_CC!$B$8,CC_OT_GIO!$D$6:$D$2005,"&lt;="&amp;THAM_SO_CC!$B$9))</f>
        <v/>
      </c>
      <c r="K41" s="108">
        <f>IF($B41="","",SUMIFS(CC_OT_GIO!$L$6:$L$2005,CC_OT_GIO!$B$6:$B$2005,$B41,CC_OT_GIO!$D$6:$D$2005,"&gt;="&amp;THAM_SO_CC!$B$8,CC_OT_GIO!$D$6:$D$2005,"&lt;="&amp;THAM_SO_CC!$B$9))</f>
        <v/>
      </c>
      <c r="L41" s="108">
        <f>IF($B41="","",SUMIFS(CC_OT_GIO!$M$6:$M$2005,CC_OT_GIO!$B$6:$B$2005,$B41,CC_OT_GIO!$D$6:$D$2005,"&gt;="&amp;THAM_SO_CC!$B$8,CC_OT_GIO!$D$6:$D$2005,"&lt;="&amp;THAM_SO_CC!$B$9))</f>
        <v/>
      </c>
      <c r="M41" s="108">
        <f>IF($B41="","",SUMIFS(CC_OT_GIO!$N$6:$N$2005,CC_OT_GIO!$B$6:$B$2005,$B41,CC_OT_GIO!$D$6:$D$2005,"&gt;="&amp;THAM_SO_CC!$B$8,CC_OT_GIO!$D$6:$D$2005,"&lt;="&amp;THAM_SO_CC!$B$9))</f>
        <v/>
      </c>
      <c r="N41" s="108">
        <f>IF($B41="","",SUMIFS(CC_OT_GIO!$O$6:$O$2005,CC_OT_GIO!$B$6:$B$2005,$B41,CC_OT_GIO!$D$6:$D$2005,"&gt;="&amp;THAM_SO_CC!$B$8,CC_OT_GIO!$D$6:$D$2005,"&lt;="&amp;THAM_SO_CC!$B$9))</f>
        <v/>
      </c>
      <c r="O41" s="104">
        <f>IF($B41="","",BANG_CHAM_CONG!AL41)</f>
        <v/>
      </c>
      <c r="P41" s="104">
        <f>IF($B41="","",BANG_CHAM_CONG!AM41)</f>
        <v/>
      </c>
      <c r="Q41" s="104">
        <f>IF($B41="","",BANG_CHAM_CONG!AN41)</f>
        <v/>
      </c>
      <c r="R41" s="104">
        <f>IF($B41="","",BANG_CHAM_CONG!AO41)</f>
        <v/>
      </c>
      <c r="S41" s="104">
        <f>IF($B41="","",BANG_CHAM_CONG!AP41)</f>
        <v/>
      </c>
      <c r="T41" s="104">
        <f>IF($B41="","",BANG_CHAM_CONG!AQ41)</f>
        <v/>
      </c>
      <c r="U41" s="111">
        <f>IF($B41="","",SUM($I41:$N41))</f>
        <v/>
      </c>
      <c r="V41" s="96">
        <f>IF($B41="","",TRIM(BANG_CHAM_CONG!$AU41&amp;IF($U41&gt;60,"OT vượt 60 giờ/tháng – rà soát giới hạn làm thêm; ","")&amp;IF(AND($E41=0,SUM($O41:$T41)=0),"Chưa có dữ liệu chấm công; ","")&amp;IF($H41&gt;$G41,"Giờ đêm trong ca lớn hơn giờ thường; ","")))</f>
        <v/>
      </c>
    </row>
    <row r="42" ht="15" customHeight="1" s="63">
      <c r="A42" s="85">
        <f>IF($B42="","",ROW()-5)</f>
        <v/>
      </c>
      <c r="B42" s="103">
        <f>IF(BANG_CHAM_CONG!B42="","",BANG_CHAM_CONG!B42)</f>
        <v/>
      </c>
      <c r="C42" s="96">
        <f>IF($B42="","",BANG_CHAM_CONG!C42)</f>
        <v/>
      </c>
      <c r="D42" s="96">
        <f>IF($B42="","",BANG_CHAM_CONG!D42)</f>
        <v/>
      </c>
      <c r="E42" s="95">
        <f>IF($B42="","",BANG_CHAM_CONG!AK42)</f>
        <v/>
      </c>
      <c r="F42" s="109">
        <f>IF($B42="","",IF(DM_NHAN_SU!$H42="",THAM_SO_CC!$B$11,DM_NHAN_SU!$H42))</f>
        <v/>
      </c>
      <c r="G42" s="110">
        <f>IF($B42="","",ROUND($E42*$F42,2))</f>
        <v/>
      </c>
      <c r="H42" s="108">
        <f>IF($B42="","",SUMIFS(CC_OT_GIO!$F$6:$F$2005,CC_OT_GIO!$B$6:$B$2005,$B42,CC_OT_GIO!$D$6:$D$2005,"&gt;="&amp;THAM_SO_CC!$B$8,CC_OT_GIO!$D$6:$D$2005,"&lt;="&amp;THAM_SO_CC!$B$9))</f>
        <v/>
      </c>
      <c r="I42" s="108">
        <f>IF($B42="","",SUMIFS(CC_OT_GIO!$J$6:$J$2005,CC_OT_GIO!$B$6:$B$2005,$B42,CC_OT_GIO!$D$6:$D$2005,"&gt;="&amp;THAM_SO_CC!$B$8,CC_OT_GIO!$D$6:$D$2005,"&lt;="&amp;THAM_SO_CC!$B$9))</f>
        <v/>
      </c>
      <c r="J42" s="108">
        <f>IF($B42="","",SUMIFS(CC_OT_GIO!$K$6:$K$2005,CC_OT_GIO!$B$6:$B$2005,$B42,CC_OT_GIO!$D$6:$D$2005,"&gt;="&amp;THAM_SO_CC!$B$8,CC_OT_GIO!$D$6:$D$2005,"&lt;="&amp;THAM_SO_CC!$B$9))</f>
        <v/>
      </c>
      <c r="K42" s="108">
        <f>IF($B42="","",SUMIFS(CC_OT_GIO!$L$6:$L$2005,CC_OT_GIO!$B$6:$B$2005,$B42,CC_OT_GIO!$D$6:$D$2005,"&gt;="&amp;THAM_SO_CC!$B$8,CC_OT_GIO!$D$6:$D$2005,"&lt;="&amp;THAM_SO_CC!$B$9))</f>
        <v/>
      </c>
      <c r="L42" s="108">
        <f>IF($B42="","",SUMIFS(CC_OT_GIO!$M$6:$M$2005,CC_OT_GIO!$B$6:$B$2005,$B42,CC_OT_GIO!$D$6:$D$2005,"&gt;="&amp;THAM_SO_CC!$B$8,CC_OT_GIO!$D$6:$D$2005,"&lt;="&amp;THAM_SO_CC!$B$9))</f>
        <v/>
      </c>
      <c r="M42" s="108">
        <f>IF($B42="","",SUMIFS(CC_OT_GIO!$N$6:$N$2005,CC_OT_GIO!$B$6:$B$2005,$B42,CC_OT_GIO!$D$6:$D$2005,"&gt;="&amp;THAM_SO_CC!$B$8,CC_OT_GIO!$D$6:$D$2005,"&lt;="&amp;THAM_SO_CC!$B$9))</f>
        <v/>
      </c>
      <c r="N42" s="108">
        <f>IF($B42="","",SUMIFS(CC_OT_GIO!$O$6:$O$2005,CC_OT_GIO!$B$6:$B$2005,$B42,CC_OT_GIO!$D$6:$D$2005,"&gt;="&amp;THAM_SO_CC!$B$8,CC_OT_GIO!$D$6:$D$2005,"&lt;="&amp;THAM_SO_CC!$B$9))</f>
        <v/>
      </c>
      <c r="O42" s="104">
        <f>IF($B42="","",BANG_CHAM_CONG!AL42)</f>
        <v/>
      </c>
      <c r="P42" s="104">
        <f>IF($B42="","",BANG_CHAM_CONG!AM42)</f>
        <v/>
      </c>
      <c r="Q42" s="104">
        <f>IF($B42="","",BANG_CHAM_CONG!AN42)</f>
        <v/>
      </c>
      <c r="R42" s="104">
        <f>IF($B42="","",BANG_CHAM_CONG!AO42)</f>
        <v/>
      </c>
      <c r="S42" s="104">
        <f>IF($B42="","",BANG_CHAM_CONG!AP42)</f>
        <v/>
      </c>
      <c r="T42" s="104">
        <f>IF($B42="","",BANG_CHAM_CONG!AQ42)</f>
        <v/>
      </c>
      <c r="U42" s="111">
        <f>IF($B42="","",SUM($I42:$N42))</f>
        <v/>
      </c>
      <c r="V42" s="96">
        <f>IF($B42="","",TRIM(BANG_CHAM_CONG!$AU42&amp;IF($U42&gt;60,"OT vượt 60 giờ/tháng – rà soát giới hạn làm thêm; ","")&amp;IF(AND($E42=0,SUM($O42:$T42)=0),"Chưa có dữ liệu chấm công; ","")&amp;IF($H42&gt;$G42,"Giờ đêm trong ca lớn hơn giờ thường; ","")))</f>
        <v/>
      </c>
    </row>
    <row r="43" ht="15" customHeight="1" s="63">
      <c r="A43" s="85">
        <f>IF($B43="","",ROW()-5)</f>
        <v/>
      </c>
      <c r="B43" s="103">
        <f>IF(BANG_CHAM_CONG!B43="","",BANG_CHAM_CONG!B43)</f>
        <v/>
      </c>
      <c r="C43" s="96">
        <f>IF($B43="","",BANG_CHAM_CONG!C43)</f>
        <v/>
      </c>
      <c r="D43" s="96">
        <f>IF($B43="","",BANG_CHAM_CONG!D43)</f>
        <v/>
      </c>
      <c r="E43" s="95">
        <f>IF($B43="","",BANG_CHAM_CONG!AK43)</f>
        <v/>
      </c>
      <c r="F43" s="109">
        <f>IF($B43="","",IF(DM_NHAN_SU!$H43="",THAM_SO_CC!$B$11,DM_NHAN_SU!$H43))</f>
        <v/>
      </c>
      <c r="G43" s="110">
        <f>IF($B43="","",ROUND($E43*$F43,2))</f>
        <v/>
      </c>
      <c r="H43" s="108">
        <f>IF($B43="","",SUMIFS(CC_OT_GIO!$F$6:$F$2005,CC_OT_GIO!$B$6:$B$2005,$B43,CC_OT_GIO!$D$6:$D$2005,"&gt;="&amp;THAM_SO_CC!$B$8,CC_OT_GIO!$D$6:$D$2005,"&lt;="&amp;THAM_SO_CC!$B$9))</f>
        <v/>
      </c>
      <c r="I43" s="108">
        <f>IF($B43="","",SUMIFS(CC_OT_GIO!$J$6:$J$2005,CC_OT_GIO!$B$6:$B$2005,$B43,CC_OT_GIO!$D$6:$D$2005,"&gt;="&amp;THAM_SO_CC!$B$8,CC_OT_GIO!$D$6:$D$2005,"&lt;="&amp;THAM_SO_CC!$B$9))</f>
        <v/>
      </c>
      <c r="J43" s="108">
        <f>IF($B43="","",SUMIFS(CC_OT_GIO!$K$6:$K$2005,CC_OT_GIO!$B$6:$B$2005,$B43,CC_OT_GIO!$D$6:$D$2005,"&gt;="&amp;THAM_SO_CC!$B$8,CC_OT_GIO!$D$6:$D$2005,"&lt;="&amp;THAM_SO_CC!$B$9))</f>
        <v/>
      </c>
      <c r="K43" s="108">
        <f>IF($B43="","",SUMIFS(CC_OT_GIO!$L$6:$L$2005,CC_OT_GIO!$B$6:$B$2005,$B43,CC_OT_GIO!$D$6:$D$2005,"&gt;="&amp;THAM_SO_CC!$B$8,CC_OT_GIO!$D$6:$D$2005,"&lt;="&amp;THAM_SO_CC!$B$9))</f>
        <v/>
      </c>
      <c r="L43" s="108">
        <f>IF($B43="","",SUMIFS(CC_OT_GIO!$M$6:$M$2005,CC_OT_GIO!$B$6:$B$2005,$B43,CC_OT_GIO!$D$6:$D$2005,"&gt;="&amp;THAM_SO_CC!$B$8,CC_OT_GIO!$D$6:$D$2005,"&lt;="&amp;THAM_SO_CC!$B$9))</f>
        <v/>
      </c>
      <c r="M43" s="108">
        <f>IF($B43="","",SUMIFS(CC_OT_GIO!$N$6:$N$2005,CC_OT_GIO!$B$6:$B$2005,$B43,CC_OT_GIO!$D$6:$D$2005,"&gt;="&amp;THAM_SO_CC!$B$8,CC_OT_GIO!$D$6:$D$2005,"&lt;="&amp;THAM_SO_CC!$B$9))</f>
        <v/>
      </c>
      <c r="N43" s="108">
        <f>IF($B43="","",SUMIFS(CC_OT_GIO!$O$6:$O$2005,CC_OT_GIO!$B$6:$B$2005,$B43,CC_OT_GIO!$D$6:$D$2005,"&gt;="&amp;THAM_SO_CC!$B$8,CC_OT_GIO!$D$6:$D$2005,"&lt;="&amp;THAM_SO_CC!$B$9))</f>
        <v/>
      </c>
      <c r="O43" s="104">
        <f>IF($B43="","",BANG_CHAM_CONG!AL43)</f>
        <v/>
      </c>
      <c r="P43" s="104">
        <f>IF($B43="","",BANG_CHAM_CONG!AM43)</f>
        <v/>
      </c>
      <c r="Q43" s="104">
        <f>IF($B43="","",BANG_CHAM_CONG!AN43)</f>
        <v/>
      </c>
      <c r="R43" s="104">
        <f>IF($B43="","",BANG_CHAM_CONG!AO43)</f>
        <v/>
      </c>
      <c r="S43" s="104">
        <f>IF($B43="","",BANG_CHAM_CONG!AP43)</f>
        <v/>
      </c>
      <c r="T43" s="104">
        <f>IF($B43="","",BANG_CHAM_CONG!AQ43)</f>
        <v/>
      </c>
      <c r="U43" s="111">
        <f>IF($B43="","",SUM($I43:$N43))</f>
        <v/>
      </c>
      <c r="V43" s="96">
        <f>IF($B43="","",TRIM(BANG_CHAM_CONG!$AU43&amp;IF($U43&gt;60,"OT vượt 60 giờ/tháng – rà soát giới hạn làm thêm; ","")&amp;IF(AND($E43=0,SUM($O43:$T43)=0),"Chưa có dữ liệu chấm công; ","")&amp;IF($H43&gt;$G43,"Giờ đêm trong ca lớn hơn giờ thường; ","")))</f>
        <v/>
      </c>
    </row>
    <row r="44" ht="15" customHeight="1" s="63">
      <c r="A44" s="85">
        <f>IF($B44="","",ROW()-5)</f>
        <v/>
      </c>
      <c r="B44" s="103">
        <f>IF(BANG_CHAM_CONG!B44="","",BANG_CHAM_CONG!B44)</f>
        <v/>
      </c>
      <c r="C44" s="96">
        <f>IF($B44="","",BANG_CHAM_CONG!C44)</f>
        <v/>
      </c>
      <c r="D44" s="96">
        <f>IF($B44="","",BANG_CHAM_CONG!D44)</f>
        <v/>
      </c>
      <c r="E44" s="95">
        <f>IF($B44="","",BANG_CHAM_CONG!AK44)</f>
        <v/>
      </c>
      <c r="F44" s="109">
        <f>IF($B44="","",IF(DM_NHAN_SU!$H44="",THAM_SO_CC!$B$11,DM_NHAN_SU!$H44))</f>
        <v/>
      </c>
      <c r="G44" s="110">
        <f>IF($B44="","",ROUND($E44*$F44,2))</f>
        <v/>
      </c>
      <c r="H44" s="108">
        <f>IF($B44="","",SUMIFS(CC_OT_GIO!$F$6:$F$2005,CC_OT_GIO!$B$6:$B$2005,$B44,CC_OT_GIO!$D$6:$D$2005,"&gt;="&amp;THAM_SO_CC!$B$8,CC_OT_GIO!$D$6:$D$2005,"&lt;="&amp;THAM_SO_CC!$B$9))</f>
        <v/>
      </c>
      <c r="I44" s="108">
        <f>IF($B44="","",SUMIFS(CC_OT_GIO!$J$6:$J$2005,CC_OT_GIO!$B$6:$B$2005,$B44,CC_OT_GIO!$D$6:$D$2005,"&gt;="&amp;THAM_SO_CC!$B$8,CC_OT_GIO!$D$6:$D$2005,"&lt;="&amp;THAM_SO_CC!$B$9))</f>
        <v/>
      </c>
      <c r="J44" s="108">
        <f>IF($B44="","",SUMIFS(CC_OT_GIO!$K$6:$K$2005,CC_OT_GIO!$B$6:$B$2005,$B44,CC_OT_GIO!$D$6:$D$2005,"&gt;="&amp;THAM_SO_CC!$B$8,CC_OT_GIO!$D$6:$D$2005,"&lt;="&amp;THAM_SO_CC!$B$9))</f>
        <v/>
      </c>
      <c r="K44" s="108">
        <f>IF($B44="","",SUMIFS(CC_OT_GIO!$L$6:$L$2005,CC_OT_GIO!$B$6:$B$2005,$B44,CC_OT_GIO!$D$6:$D$2005,"&gt;="&amp;THAM_SO_CC!$B$8,CC_OT_GIO!$D$6:$D$2005,"&lt;="&amp;THAM_SO_CC!$B$9))</f>
        <v/>
      </c>
      <c r="L44" s="108">
        <f>IF($B44="","",SUMIFS(CC_OT_GIO!$M$6:$M$2005,CC_OT_GIO!$B$6:$B$2005,$B44,CC_OT_GIO!$D$6:$D$2005,"&gt;="&amp;THAM_SO_CC!$B$8,CC_OT_GIO!$D$6:$D$2005,"&lt;="&amp;THAM_SO_CC!$B$9))</f>
        <v/>
      </c>
      <c r="M44" s="108">
        <f>IF($B44="","",SUMIFS(CC_OT_GIO!$N$6:$N$2005,CC_OT_GIO!$B$6:$B$2005,$B44,CC_OT_GIO!$D$6:$D$2005,"&gt;="&amp;THAM_SO_CC!$B$8,CC_OT_GIO!$D$6:$D$2005,"&lt;="&amp;THAM_SO_CC!$B$9))</f>
        <v/>
      </c>
      <c r="N44" s="108">
        <f>IF($B44="","",SUMIFS(CC_OT_GIO!$O$6:$O$2005,CC_OT_GIO!$B$6:$B$2005,$B44,CC_OT_GIO!$D$6:$D$2005,"&gt;="&amp;THAM_SO_CC!$B$8,CC_OT_GIO!$D$6:$D$2005,"&lt;="&amp;THAM_SO_CC!$B$9))</f>
        <v/>
      </c>
      <c r="O44" s="104">
        <f>IF($B44="","",BANG_CHAM_CONG!AL44)</f>
        <v/>
      </c>
      <c r="P44" s="104">
        <f>IF($B44="","",BANG_CHAM_CONG!AM44)</f>
        <v/>
      </c>
      <c r="Q44" s="104">
        <f>IF($B44="","",BANG_CHAM_CONG!AN44)</f>
        <v/>
      </c>
      <c r="R44" s="104">
        <f>IF($B44="","",BANG_CHAM_CONG!AO44)</f>
        <v/>
      </c>
      <c r="S44" s="104">
        <f>IF($B44="","",BANG_CHAM_CONG!AP44)</f>
        <v/>
      </c>
      <c r="T44" s="104">
        <f>IF($B44="","",BANG_CHAM_CONG!AQ44)</f>
        <v/>
      </c>
      <c r="U44" s="111">
        <f>IF($B44="","",SUM($I44:$N44))</f>
        <v/>
      </c>
      <c r="V44" s="96">
        <f>IF($B44="","",TRIM(BANG_CHAM_CONG!$AU44&amp;IF($U44&gt;60,"OT vượt 60 giờ/tháng – rà soát giới hạn làm thêm; ","")&amp;IF(AND($E44=0,SUM($O44:$T44)=0),"Chưa có dữ liệu chấm công; ","")&amp;IF($H44&gt;$G44,"Giờ đêm trong ca lớn hơn giờ thường; ","")))</f>
        <v/>
      </c>
    </row>
    <row r="45" ht="15" customHeight="1" s="63">
      <c r="A45" s="85">
        <f>IF($B45="","",ROW()-5)</f>
        <v/>
      </c>
      <c r="B45" s="103">
        <f>IF(BANG_CHAM_CONG!B45="","",BANG_CHAM_CONG!B45)</f>
        <v/>
      </c>
      <c r="C45" s="96">
        <f>IF($B45="","",BANG_CHAM_CONG!C45)</f>
        <v/>
      </c>
      <c r="D45" s="96">
        <f>IF($B45="","",BANG_CHAM_CONG!D45)</f>
        <v/>
      </c>
      <c r="E45" s="95">
        <f>IF($B45="","",BANG_CHAM_CONG!AK45)</f>
        <v/>
      </c>
      <c r="F45" s="109">
        <f>IF($B45="","",IF(DM_NHAN_SU!$H45="",THAM_SO_CC!$B$11,DM_NHAN_SU!$H45))</f>
        <v/>
      </c>
      <c r="G45" s="110">
        <f>IF($B45="","",ROUND($E45*$F45,2))</f>
        <v/>
      </c>
      <c r="H45" s="108">
        <f>IF($B45="","",SUMIFS(CC_OT_GIO!$F$6:$F$2005,CC_OT_GIO!$B$6:$B$2005,$B45,CC_OT_GIO!$D$6:$D$2005,"&gt;="&amp;THAM_SO_CC!$B$8,CC_OT_GIO!$D$6:$D$2005,"&lt;="&amp;THAM_SO_CC!$B$9))</f>
        <v/>
      </c>
      <c r="I45" s="108">
        <f>IF($B45="","",SUMIFS(CC_OT_GIO!$J$6:$J$2005,CC_OT_GIO!$B$6:$B$2005,$B45,CC_OT_GIO!$D$6:$D$2005,"&gt;="&amp;THAM_SO_CC!$B$8,CC_OT_GIO!$D$6:$D$2005,"&lt;="&amp;THAM_SO_CC!$B$9))</f>
        <v/>
      </c>
      <c r="J45" s="108">
        <f>IF($B45="","",SUMIFS(CC_OT_GIO!$K$6:$K$2005,CC_OT_GIO!$B$6:$B$2005,$B45,CC_OT_GIO!$D$6:$D$2005,"&gt;="&amp;THAM_SO_CC!$B$8,CC_OT_GIO!$D$6:$D$2005,"&lt;="&amp;THAM_SO_CC!$B$9))</f>
        <v/>
      </c>
      <c r="K45" s="108">
        <f>IF($B45="","",SUMIFS(CC_OT_GIO!$L$6:$L$2005,CC_OT_GIO!$B$6:$B$2005,$B45,CC_OT_GIO!$D$6:$D$2005,"&gt;="&amp;THAM_SO_CC!$B$8,CC_OT_GIO!$D$6:$D$2005,"&lt;="&amp;THAM_SO_CC!$B$9))</f>
        <v/>
      </c>
      <c r="L45" s="108">
        <f>IF($B45="","",SUMIFS(CC_OT_GIO!$M$6:$M$2005,CC_OT_GIO!$B$6:$B$2005,$B45,CC_OT_GIO!$D$6:$D$2005,"&gt;="&amp;THAM_SO_CC!$B$8,CC_OT_GIO!$D$6:$D$2005,"&lt;="&amp;THAM_SO_CC!$B$9))</f>
        <v/>
      </c>
      <c r="M45" s="108">
        <f>IF($B45="","",SUMIFS(CC_OT_GIO!$N$6:$N$2005,CC_OT_GIO!$B$6:$B$2005,$B45,CC_OT_GIO!$D$6:$D$2005,"&gt;="&amp;THAM_SO_CC!$B$8,CC_OT_GIO!$D$6:$D$2005,"&lt;="&amp;THAM_SO_CC!$B$9))</f>
        <v/>
      </c>
      <c r="N45" s="108">
        <f>IF($B45="","",SUMIFS(CC_OT_GIO!$O$6:$O$2005,CC_OT_GIO!$B$6:$B$2005,$B45,CC_OT_GIO!$D$6:$D$2005,"&gt;="&amp;THAM_SO_CC!$B$8,CC_OT_GIO!$D$6:$D$2005,"&lt;="&amp;THAM_SO_CC!$B$9))</f>
        <v/>
      </c>
      <c r="O45" s="104">
        <f>IF($B45="","",BANG_CHAM_CONG!AL45)</f>
        <v/>
      </c>
      <c r="P45" s="104">
        <f>IF($B45="","",BANG_CHAM_CONG!AM45)</f>
        <v/>
      </c>
      <c r="Q45" s="104">
        <f>IF($B45="","",BANG_CHAM_CONG!AN45)</f>
        <v/>
      </c>
      <c r="R45" s="104">
        <f>IF($B45="","",BANG_CHAM_CONG!AO45)</f>
        <v/>
      </c>
      <c r="S45" s="104">
        <f>IF($B45="","",BANG_CHAM_CONG!AP45)</f>
        <v/>
      </c>
      <c r="T45" s="104">
        <f>IF($B45="","",BANG_CHAM_CONG!AQ45)</f>
        <v/>
      </c>
      <c r="U45" s="111">
        <f>IF($B45="","",SUM($I45:$N45))</f>
        <v/>
      </c>
      <c r="V45" s="96">
        <f>IF($B45="","",TRIM(BANG_CHAM_CONG!$AU45&amp;IF($U45&gt;60,"OT vượt 60 giờ/tháng – rà soát giới hạn làm thêm; ","")&amp;IF(AND($E45=0,SUM($O45:$T45)=0),"Chưa có dữ liệu chấm công; ","")&amp;IF($H45&gt;$G45,"Giờ đêm trong ca lớn hơn giờ thường; ","")))</f>
        <v/>
      </c>
    </row>
    <row r="46" ht="15" customHeight="1" s="63">
      <c r="A46" s="85">
        <f>IF($B46="","",ROW()-5)</f>
        <v/>
      </c>
      <c r="B46" s="103">
        <f>IF(BANG_CHAM_CONG!B46="","",BANG_CHAM_CONG!B46)</f>
        <v/>
      </c>
      <c r="C46" s="96">
        <f>IF($B46="","",BANG_CHAM_CONG!C46)</f>
        <v/>
      </c>
      <c r="D46" s="96">
        <f>IF($B46="","",BANG_CHAM_CONG!D46)</f>
        <v/>
      </c>
      <c r="E46" s="95">
        <f>IF($B46="","",BANG_CHAM_CONG!AK46)</f>
        <v/>
      </c>
      <c r="F46" s="109">
        <f>IF($B46="","",IF(DM_NHAN_SU!$H46="",THAM_SO_CC!$B$11,DM_NHAN_SU!$H46))</f>
        <v/>
      </c>
      <c r="G46" s="110">
        <f>IF($B46="","",ROUND($E46*$F46,2))</f>
        <v/>
      </c>
      <c r="H46" s="108">
        <f>IF($B46="","",SUMIFS(CC_OT_GIO!$F$6:$F$2005,CC_OT_GIO!$B$6:$B$2005,$B46,CC_OT_GIO!$D$6:$D$2005,"&gt;="&amp;THAM_SO_CC!$B$8,CC_OT_GIO!$D$6:$D$2005,"&lt;="&amp;THAM_SO_CC!$B$9))</f>
        <v/>
      </c>
      <c r="I46" s="108">
        <f>IF($B46="","",SUMIFS(CC_OT_GIO!$J$6:$J$2005,CC_OT_GIO!$B$6:$B$2005,$B46,CC_OT_GIO!$D$6:$D$2005,"&gt;="&amp;THAM_SO_CC!$B$8,CC_OT_GIO!$D$6:$D$2005,"&lt;="&amp;THAM_SO_CC!$B$9))</f>
        <v/>
      </c>
      <c r="J46" s="108">
        <f>IF($B46="","",SUMIFS(CC_OT_GIO!$K$6:$K$2005,CC_OT_GIO!$B$6:$B$2005,$B46,CC_OT_GIO!$D$6:$D$2005,"&gt;="&amp;THAM_SO_CC!$B$8,CC_OT_GIO!$D$6:$D$2005,"&lt;="&amp;THAM_SO_CC!$B$9))</f>
        <v/>
      </c>
      <c r="K46" s="108">
        <f>IF($B46="","",SUMIFS(CC_OT_GIO!$L$6:$L$2005,CC_OT_GIO!$B$6:$B$2005,$B46,CC_OT_GIO!$D$6:$D$2005,"&gt;="&amp;THAM_SO_CC!$B$8,CC_OT_GIO!$D$6:$D$2005,"&lt;="&amp;THAM_SO_CC!$B$9))</f>
        <v/>
      </c>
      <c r="L46" s="108">
        <f>IF($B46="","",SUMIFS(CC_OT_GIO!$M$6:$M$2005,CC_OT_GIO!$B$6:$B$2005,$B46,CC_OT_GIO!$D$6:$D$2005,"&gt;="&amp;THAM_SO_CC!$B$8,CC_OT_GIO!$D$6:$D$2005,"&lt;="&amp;THAM_SO_CC!$B$9))</f>
        <v/>
      </c>
      <c r="M46" s="108">
        <f>IF($B46="","",SUMIFS(CC_OT_GIO!$N$6:$N$2005,CC_OT_GIO!$B$6:$B$2005,$B46,CC_OT_GIO!$D$6:$D$2005,"&gt;="&amp;THAM_SO_CC!$B$8,CC_OT_GIO!$D$6:$D$2005,"&lt;="&amp;THAM_SO_CC!$B$9))</f>
        <v/>
      </c>
      <c r="N46" s="108">
        <f>IF($B46="","",SUMIFS(CC_OT_GIO!$O$6:$O$2005,CC_OT_GIO!$B$6:$B$2005,$B46,CC_OT_GIO!$D$6:$D$2005,"&gt;="&amp;THAM_SO_CC!$B$8,CC_OT_GIO!$D$6:$D$2005,"&lt;="&amp;THAM_SO_CC!$B$9))</f>
        <v/>
      </c>
      <c r="O46" s="104">
        <f>IF($B46="","",BANG_CHAM_CONG!AL46)</f>
        <v/>
      </c>
      <c r="P46" s="104">
        <f>IF($B46="","",BANG_CHAM_CONG!AM46)</f>
        <v/>
      </c>
      <c r="Q46" s="104">
        <f>IF($B46="","",BANG_CHAM_CONG!AN46)</f>
        <v/>
      </c>
      <c r="R46" s="104">
        <f>IF($B46="","",BANG_CHAM_CONG!AO46)</f>
        <v/>
      </c>
      <c r="S46" s="104">
        <f>IF($B46="","",BANG_CHAM_CONG!AP46)</f>
        <v/>
      </c>
      <c r="T46" s="104">
        <f>IF($B46="","",BANG_CHAM_CONG!AQ46)</f>
        <v/>
      </c>
      <c r="U46" s="111">
        <f>IF($B46="","",SUM($I46:$N46))</f>
        <v/>
      </c>
      <c r="V46" s="96">
        <f>IF($B46="","",TRIM(BANG_CHAM_CONG!$AU46&amp;IF($U46&gt;60,"OT vượt 60 giờ/tháng – rà soát giới hạn làm thêm; ","")&amp;IF(AND($E46=0,SUM($O46:$T46)=0),"Chưa có dữ liệu chấm công; ","")&amp;IF($H46&gt;$G46,"Giờ đêm trong ca lớn hơn giờ thường; ","")))</f>
        <v/>
      </c>
    </row>
    <row r="47" ht="15" customHeight="1" s="63">
      <c r="A47" s="85">
        <f>IF($B47="","",ROW()-5)</f>
        <v/>
      </c>
      <c r="B47" s="103">
        <f>IF(BANG_CHAM_CONG!B47="","",BANG_CHAM_CONG!B47)</f>
        <v/>
      </c>
      <c r="C47" s="96">
        <f>IF($B47="","",BANG_CHAM_CONG!C47)</f>
        <v/>
      </c>
      <c r="D47" s="96">
        <f>IF($B47="","",BANG_CHAM_CONG!D47)</f>
        <v/>
      </c>
      <c r="E47" s="95">
        <f>IF($B47="","",BANG_CHAM_CONG!AK47)</f>
        <v/>
      </c>
      <c r="F47" s="109">
        <f>IF($B47="","",IF(DM_NHAN_SU!$H47="",THAM_SO_CC!$B$11,DM_NHAN_SU!$H47))</f>
        <v/>
      </c>
      <c r="G47" s="110">
        <f>IF($B47="","",ROUND($E47*$F47,2))</f>
        <v/>
      </c>
      <c r="H47" s="108">
        <f>IF($B47="","",SUMIFS(CC_OT_GIO!$F$6:$F$2005,CC_OT_GIO!$B$6:$B$2005,$B47,CC_OT_GIO!$D$6:$D$2005,"&gt;="&amp;THAM_SO_CC!$B$8,CC_OT_GIO!$D$6:$D$2005,"&lt;="&amp;THAM_SO_CC!$B$9))</f>
        <v/>
      </c>
      <c r="I47" s="108">
        <f>IF($B47="","",SUMIFS(CC_OT_GIO!$J$6:$J$2005,CC_OT_GIO!$B$6:$B$2005,$B47,CC_OT_GIO!$D$6:$D$2005,"&gt;="&amp;THAM_SO_CC!$B$8,CC_OT_GIO!$D$6:$D$2005,"&lt;="&amp;THAM_SO_CC!$B$9))</f>
        <v/>
      </c>
      <c r="J47" s="108">
        <f>IF($B47="","",SUMIFS(CC_OT_GIO!$K$6:$K$2005,CC_OT_GIO!$B$6:$B$2005,$B47,CC_OT_GIO!$D$6:$D$2005,"&gt;="&amp;THAM_SO_CC!$B$8,CC_OT_GIO!$D$6:$D$2005,"&lt;="&amp;THAM_SO_CC!$B$9))</f>
        <v/>
      </c>
      <c r="K47" s="108">
        <f>IF($B47="","",SUMIFS(CC_OT_GIO!$L$6:$L$2005,CC_OT_GIO!$B$6:$B$2005,$B47,CC_OT_GIO!$D$6:$D$2005,"&gt;="&amp;THAM_SO_CC!$B$8,CC_OT_GIO!$D$6:$D$2005,"&lt;="&amp;THAM_SO_CC!$B$9))</f>
        <v/>
      </c>
      <c r="L47" s="108">
        <f>IF($B47="","",SUMIFS(CC_OT_GIO!$M$6:$M$2005,CC_OT_GIO!$B$6:$B$2005,$B47,CC_OT_GIO!$D$6:$D$2005,"&gt;="&amp;THAM_SO_CC!$B$8,CC_OT_GIO!$D$6:$D$2005,"&lt;="&amp;THAM_SO_CC!$B$9))</f>
        <v/>
      </c>
      <c r="M47" s="108">
        <f>IF($B47="","",SUMIFS(CC_OT_GIO!$N$6:$N$2005,CC_OT_GIO!$B$6:$B$2005,$B47,CC_OT_GIO!$D$6:$D$2005,"&gt;="&amp;THAM_SO_CC!$B$8,CC_OT_GIO!$D$6:$D$2005,"&lt;="&amp;THAM_SO_CC!$B$9))</f>
        <v/>
      </c>
      <c r="N47" s="108">
        <f>IF($B47="","",SUMIFS(CC_OT_GIO!$O$6:$O$2005,CC_OT_GIO!$B$6:$B$2005,$B47,CC_OT_GIO!$D$6:$D$2005,"&gt;="&amp;THAM_SO_CC!$B$8,CC_OT_GIO!$D$6:$D$2005,"&lt;="&amp;THAM_SO_CC!$B$9))</f>
        <v/>
      </c>
      <c r="O47" s="104">
        <f>IF($B47="","",BANG_CHAM_CONG!AL47)</f>
        <v/>
      </c>
      <c r="P47" s="104">
        <f>IF($B47="","",BANG_CHAM_CONG!AM47)</f>
        <v/>
      </c>
      <c r="Q47" s="104">
        <f>IF($B47="","",BANG_CHAM_CONG!AN47)</f>
        <v/>
      </c>
      <c r="R47" s="104">
        <f>IF($B47="","",BANG_CHAM_CONG!AO47)</f>
        <v/>
      </c>
      <c r="S47" s="104">
        <f>IF($B47="","",BANG_CHAM_CONG!AP47)</f>
        <v/>
      </c>
      <c r="T47" s="104">
        <f>IF($B47="","",BANG_CHAM_CONG!AQ47)</f>
        <v/>
      </c>
      <c r="U47" s="111">
        <f>IF($B47="","",SUM($I47:$N47))</f>
        <v/>
      </c>
      <c r="V47" s="96">
        <f>IF($B47="","",TRIM(BANG_CHAM_CONG!$AU47&amp;IF($U47&gt;60,"OT vượt 60 giờ/tháng – rà soát giới hạn làm thêm; ","")&amp;IF(AND($E47=0,SUM($O47:$T47)=0),"Chưa có dữ liệu chấm công; ","")&amp;IF($H47&gt;$G47,"Giờ đêm trong ca lớn hơn giờ thường; ","")))</f>
        <v/>
      </c>
    </row>
    <row r="48" ht="15" customHeight="1" s="63">
      <c r="A48" s="85">
        <f>IF($B48="","",ROW()-5)</f>
        <v/>
      </c>
      <c r="B48" s="103">
        <f>IF(BANG_CHAM_CONG!B48="","",BANG_CHAM_CONG!B48)</f>
        <v/>
      </c>
      <c r="C48" s="96">
        <f>IF($B48="","",BANG_CHAM_CONG!C48)</f>
        <v/>
      </c>
      <c r="D48" s="96">
        <f>IF($B48="","",BANG_CHAM_CONG!D48)</f>
        <v/>
      </c>
      <c r="E48" s="95">
        <f>IF($B48="","",BANG_CHAM_CONG!AK48)</f>
        <v/>
      </c>
      <c r="F48" s="109">
        <f>IF($B48="","",IF(DM_NHAN_SU!$H48="",THAM_SO_CC!$B$11,DM_NHAN_SU!$H48))</f>
        <v/>
      </c>
      <c r="G48" s="110">
        <f>IF($B48="","",ROUND($E48*$F48,2))</f>
        <v/>
      </c>
      <c r="H48" s="108">
        <f>IF($B48="","",SUMIFS(CC_OT_GIO!$F$6:$F$2005,CC_OT_GIO!$B$6:$B$2005,$B48,CC_OT_GIO!$D$6:$D$2005,"&gt;="&amp;THAM_SO_CC!$B$8,CC_OT_GIO!$D$6:$D$2005,"&lt;="&amp;THAM_SO_CC!$B$9))</f>
        <v/>
      </c>
      <c r="I48" s="108">
        <f>IF($B48="","",SUMIFS(CC_OT_GIO!$J$6:$J$2005,CC_OT_GIO!$B$6:$B$2005,$B48,CC_OT_GIO!$D$6:$D$2005,"&gt;="&amp;THAM_SO_CC!$B$8,CC_OT_GIO!$D$6:$D$2005,"&lt;="&amp;THAM_SO_CC!$B$9))</f>
        <v/>
      </c>
      <c r="J48" s="108">
        <f>IF($B48="","",SUMIFS(CC_OT_GIO!$K$6:$K$2005,CC_OT_GIO!$B$6:$B$2005,$B48,CC_OT_GIO!$D$6:$D$2005,"&gt;="&amp;THAM_SO_CC!$B$8,CC_OT_GIO!$D$6:$D$2005,"&lt;="&amp;THAM_SO_CC!$B$9))</f>
        <v/>
      </c>
      <c r="K48" s="108">
        <f>IF($B48="","",SUMIFS(CC_OT_GIO!$L$6:$L$2005,CC_OT_GIO!$B$6:$B$2005,$B48,CC_OT_GIO!$D$6:$D$2005,"&gt;="&amp;THAM_SO_CC!$B$8,CC_OT_GIO!$D$6:$D$2005,"&lt;="&amp;THAM_SO_CC!$B$9))</f>
        <v/>
      </c>
      <c r="L48" s="108">
        <f>IF($B48="","",SUMIFS(CC_OT_GIO!$M$6:$M$2005,CC_OT_GIO!$B$6:$B$2005,$B48,CC_OT_GIO!$D$6:$D$2005,"&gt;="&amp;THAM_SO_CC!$B$8,CC_OT_GIO!$D$6:$D$2005,"&lt;="&amp;THAM_SO_CC!$B$9))</f>
        <v/>
      </c>
      <c r="M48" s="108">
        <f>IF($B48="","",SUMIFS(CC_OT_GIO!$N$6:$N$2005,CC_OT_GIO!$B$6:$B$2005,$B48,CC_OT_GIO!$D$6:$D$2005,"&gt;="&amp;THAM_SO_CC!$B$8,CC_OT_GIO!$D$6:$D$2005,"&lt;="&amp;THAM_SO_CC!$B$9))</f>
        <v/>
      </c>
      <c r="N48" s="108">
        <f>IF($B48="","",SUMIFS(CC_OT_GIO!$O$6:$O$2005,CC_OT_GIO!$B$6:$B$2005,$B48,CC_OT_GIO!$D$6:$D$2005,"&gt;="&amp;THAM_SO_CC!$B$8,CC_OT_GIO!$D$6:$D$2005,"&lt;="&amp;THAM_SO_CC!$B$9))</f>
        <v/>
      </c>
      <c r="O48" s="104">
        <f>IF($B48="","",BANG_CHAM_CONG!AL48)</f>
        <v/>
      </c>
      <c r="P48" s="104">
        <f>IF($B48="","",BANG_CHAM_CONG!AM48)</f>
        <v/>
      </c>
      <c r="Q48" s="104">
        <f>IF($B48="","",BANG_CHAM_CONG!AN48)</f>
        <v/>
      </c>
      <c r="R48" s="104">
        <f>IF($B48="","",BANG_CHAM_CONG!AO48)</f>
        <v/>
      </c>
      <c r="S48" s="104">
        <f>IF($B48="","",BANG_CHAM_CONG!AP48)</f>
        <v/>
      </c>
      <c r="T48" s="104">
        <f>IF($B48="","",BANG_CHAM_CONG!AQ48)</f>
        <v/>
      </c>
      <c r="U48" s="111">
        <f>IF($B48="","",SUM($I48:$N48))</f>
        <v/>
      </c>
      <c r="V48" s="96">
        <f>IF($B48="","",TRIM(BANG_CHAM_CONG!$AU48&amp;IF($U48&gt;60,"OT vượt 60 giờ/tháng – rà soát giới hạn làm thêm; ","")&amp;IF(AND($E48=0,SUM($O48:$T48)=0),"Chưa có dữ liệu chấm công; ","")&amp;IF($H48&gt;$G48,"Giờ đêm trong ca lớn hơn giờ thường; ","")))</f>
        <v/>
      </c>
    </row>
    <row r="49" ht="15" customHeight="1" s="63">
      <c r="A49" s="85">
        <f>IF($B49="","",ROW()-5)</f>
        <v/>
      </c>
      <c r="B49" s="103">
        <f>IF(BANG_CHAM_CONG!B49="","",BANG_CHAM_CONG!B49)</f>
        <v/>
      </c>
      <c r="C49" s="96">
        <f>IF($B49="","",BANG_CHAM_CONG!C49)</f>
        <v/>
      </c>
      <c r="D49" s="96">
        <f>IF($B49="","",BANG_CHAM_CONG!D49)</f>
        <v/>
      </c>
      <c r="E49" s="95">
        <f>IF($B49="","",BANG_CHAM_CONG!AK49)</f>
        <v/>
      </c>
      <c r="F49" s="109">
        <f>IF($B49="","",IF(DM_NHAN_SU!$H49="",THAM_SO_CC!$B$11,DM_NHAN_SU!$H49))</f>
        <v/>
      </c>
      <c r="G49" s="110">
        <f>IF($B49="","",ROUND($E49*$F49,2))</f>
        <v/>
      </c>
      <c r="H49" s="108">
        <f>IF($B49="","",SUMIFS(CC_OT_GIO!$F$6:$F$2005,CC_OT_GIO!$B$6:$B$2005,$B49,CC_OT_GIO!$D$6:$D$2005,"&gt;="&amp;THAM_SO_CC!$B$8,CC_OT_GIO!$D$6:$D$2005,"&lt;="&amp;THAM_SO_CC!$B$9))</f>
        <v/>
      </c>
      <c r="I49" s="108">
        <f>IF($B49="","",SUMIFS(CC_OT_GIO!$J$6:$J$2005,CC_OT_GIO!$B$6:$B$2005,$B49,CC_OT_GIO!$D$6:$D$2005,"&gt;="&amp;THAM_SO_CC!$B$8,CC_OT_GIO!$D$6:$D$2005,"&lt;="&amp;THAM_SO_CC!$B$9))</f>
        <v/>
      </c>
      <c r="J49" s="108">
        <f>IF($B49="","",SUMIFS(CC_OT_GIO!$K$6:$K$2005,CC_OT_GIO!$B$6:$B$2005,$B49,CC_OT_GIO!$D$6:$D$2005,"&gt;="&amp;THAM_SO_CC!$B$8,CC_OT_GIO!$D$6:$D$2005,"&lt;="&amp;THAM_SO_CC!$B$9))</f>
        <v/>
      </c>
      <c r="K49" s="108">
        <f>IF($B49="","",SUMIFS(CC_OT_GIO!$L$6:$L$2005,CC_OT_GIO!$B$6:$B$2005,$B49,CC_OT_GIO!$D$6:$D$2005,"&gt;="&amp;THAM_SO_CC!$B$8,CC_OT_GIO!$D$6:$D$2005,"&lt;="&amp;THAM_SO_CC!$B$9))</f>
        <v/>
      </c>
      <c r="L49" s="108">
        <f>IF($B49="","",SUMIFS(CC_OT_GIO!$M$6:$M$2005,CC_OT_GIO!$B$6:$B$2005,$B49,CC_OT_GIO!$D$6:$D$2005,"&gt;="&amp;THAM_SO_CC!$B$8,CC_OT_GIO!$D$6:$D$2005,"&lt;="&amp;THAM_SO_CC!$B$9))</f>
        <v/>
      </c>
      <c r="M49" s="108">
        <f>IF($B49="","",SUMIFS(CC_OT_GIO!$N$6:$N$2005,CC_OT_GIO!$B$6:$B$2005,$B49,CC_OT_GIO!$D$6:$D$2005,"&gt;="&amp;THAM_SO_CC!$B$8,CC_OT_GIO!$D$6:$D$2005,"&lt;="&amp;THAM_SO_CC!$B$9))</f>
        <v/>
      </c>
      <c r="N49" s="108">
        <f>IF($B49="","",SUMIFS(CC_OT_GIO!$O$6:$O$2005,CC_OT_GIO!$B$6:$B$2005,$B49,CC_OT_GIO!$D$6:$D$2005,"&gt;="&amp;THAM_SO_CC!$B$8,CC_OT_GIO!$D$6:$D$2005,"&lt;="&amp;THAM_SO_CC!$B$9))</f>
        <v/>
      </c>
      <c r="O49" s="104">
        <f>IF($B49="","",BANG_CHAM_CONG!AL49)</f>
        <v/>
      </c>
      <c r="P49" s="104">
        <f>IF($B49="","",BANG_CHAM_CONG!AM49)</f>
        <v/>
      </c>
      <c r="Q49" s="104">
        <f>IF($B49="","",BANG_CHAM_CONG!AN49)</f>
        <v/>
      </c>
      <c r="R49" s="104">
        <f>IF($B49="","",BANG_CHAM_CONG!AO49)</f>
        <v/>
      </c>
      <c r="S49" s="104">
        <f>IF($B49="","",BANG_CHAM_CONG!AP49)</f>
        <v/>
      </c>
      <c r="T49" s="104">
        <f>IF($B49="","",BANG_CHAM_CONG!AQ49)</f>
        <v/>
      </c>
      <c r="U49" s="111">
        <f>IF($B49="","",SUM($I49:$N49))</f>
        <v/>
      </c>
      <c r="V49" s="96">
        <f>IF($B49="","",TRIM(BANG_CHAM_CONG!$AU49&amp;IF($U49&gt;60,"OT vượt 60 giờ/tháng – rà soát giới hạn làm thêm; ","")&amp;IF(AND($E49=0,SUM($O49:$T49)=0),"Chưa có dữ liệu chấm công; ","")&amp;IF($H49&gt;$G49,"Giờ đêm trong ca lớn hơn giờ thường; ","")))</f>
        <v/>
      </c>
    </row>
    <row r="50" ht="15" customHeight="1" s="63">
      <c r="A50" s="85">
        <f>IF($B50="","",ROW()-5)</f>
        <v/>
      </c>
      <c r="B50" s="103">
        <f>IF(BANG_CHAM_CONG!B50="","",BANG_CHAM_CONG!B50)</f>
        <v/>
      </c>
      <c r="C50" s="96">
        <f>IF($B50="","",BANG_CHAM_CONG!C50)</f>
        <v/>
      </c>
      <c r="D50" s="96">
        <f>IF($B50="","",BANG_CHAM_CONG!D50)</f>
        <v/>
      </c>
      <c r="E50" s="95">
        <f>IF($B50="","",BANG_CHAM_CONG!AK50)</f>
        <v/>
      </c>
      <c r="F50" s="109">
        <f>IF($B50="","",IF(DM_NHAN_SU!$H50="",THAM_SO_CC!$B$11,DM_NHAN_SU!$H50))</f>
        <v/>
      </c>
      <c r="G50" s="110">
        <f>IF($B50="","",ROUND($E50*$F50,2))</f>
        <v/>
      </c>
      <c r="H50" s="108">
        <f>IF($B50="","",SUMIFS(CC_OT_GIO!$F$6:$F$2005,CC_OT_GIO!$B$6:$B$2005,$B50,CC_OT_GIO!$D$6:$D$2005,"&gt;="&amp;THAM_SO_CC!$B$8,CC_OT_GIO!$D$6:$D$2005,"&lt;="&amp;THAM_SO_CC!$B$9))</f>
        <v/>
      </c>
      <c r="I50" s="108">
        <f>IF($B50="","",SUMIFS(CC_OT_GIO!$J$6:$J$2005,CC_OT_GIO!$B$6:$B$2005,$B50,CC_OT_GIO!$D$6:$D$2005,"&gt;="&amp;THAM_SO_CC!$B$8,CC_OT_GIO!$D$6:$D$2005,"&lt;="&amp;THAM_SO_CC!$B$9))</f>
        <v/>
      </c>
      <c r="J50" s="108">
        <f>IF($B50="","",SUMIFS(CC_OT_GIO!$K$6:$K$2005,CC_OT_GIO!$B$6:$B$2005,$B50,CC_OT_GIO!$D$6:$D$2005,"&gt;="&amp;THAM_SO_CC!$B$8,CC_OT_GIO!$D$6:$D$2005,"&lt;="&amp;THAM_SO_CC!$B$9))</f>
        <v/>
      </c>
      <c r="K50" s="108">
        <f>IF($B50="","",SUMIFS(CC_OT_GIO!$L$6:$L$2005,CC_OT_GIO!$B$6:$B$2005,$B50,CC_OT_GIO!$D$6:$D$2005,"&gt;="&amp;THAM_SO_CC!$B$8,CC_OT_GIO!$D$6:$D$2005,"&lt;="&amp;THAM_SO_CC!$B$9))</f>
        <v/>
      </c>
      <c r="L50" s="108">
        <f>IF($B50="","",SUMIFS(CC_OT_GIO!$M$6:$M$2005,CC_OT_GIO!$B$6:$B$2005,$B50,CC_OT_GIO!$D$6:$D$2005,"&gt;="&amp;THAM_SO_CC!$B$8,CC_OT_GIO!$D$6:$D$2005,"&lt;="&amp;THAM_SO_CC!$B$9))</f>
        <v/>
      </c>
      <c r="M50" s="108">
        <f>IF($B50="","",SUMIFS(CC_OT_GIO!$N$6:$N$2005,CC_OT_GIO!$B$6:$B$2005,$B50,CC_OT_GIO!$D$6:$D$2005,"&gt;="&amp;THAM_SO_CC!$B$8,CC_OT_GIO!$D$6:$D$2005,"&lt;="&amp;THAM_SO_CC!$B$9))</f>
        <v/>
      </c>
      <c r="N50" s="108">
        <f>IF($B50="","",SUMIFS(CC_OT_GIO!$O$6:$O$2005,CC_OT_GIO!$B$6:$B$2005,$B50,CC_OT_GIO!$D$6:$D$2005,"&gt;="&amp;THAM_SO_CC!$B$8,CC_OT_GIO!$D$6:$D$2005,"&lt;="&amp;THAM_SO_CC!$B$9))</f>
        <v/>
      </c>
      <c r="O50" s="104">
        <f>IF($B50="","",BANG_CHAM_CONG!AL50)</f>
        <v/>
      </c>
      <c r="P50" s="104">
        <f>IF($B50="","",BANG_CHAM_CONG!AM50)</f>
        <v/>
      </c>
      <c r="Q50" s="104">
        <f>IF($B50="","",BANG_CHAM_CONG!AN50)</f>
        <v/>
      </c>
      <c r="R50" s="104">
        <f>IF($B50="","",BANG_CHAM_CONG!AO50)</f>
        <v/>
      </c>
      <c r="S50" s="104">
        <f>IF($B50="","",BANG_CHAM_CONG!AP50)</f>
        <v/>
      </c>
      <c r="T50" s="104">
        <f>IF($B50="","",BANG_CHAM_CONG!AQ50)</f>
        <v/>
      </c>
      <c r="U50" s="111">
        <f>IF($B50="","",SUM($I50:$N50))</f>
        <v/>
      </c>
      <c r="V50" s="96">
        <f>IF($B50="","",TRIM(BANG_CHAM_CONG!$AU50&amp;IF($U50&gt;60,"OT vượt 60 giờ/tháng – rà soát giới hạn làm thêm; ","")&amp;IF(AND($E50=0,SUM($O50:$T50)=0),"Chưa có dữ liệu chấm công; ","")&amp;IF($H50&gt;$G50,"Giờ đêm trong ca lớn hơn giờ thường; ","")))</f>
        <v/>
      </c>
    </row>
    <row r="51" ht="15" customHeight="1" s="63">
      <c r="A51" s="85">
        <f>IF($B51="","",ROW()-5)</f>
        <v/>
      </c>
      <c r="B51" s="103">
        <f>IF(BANG_CHAM_CONG!B51="","",BANG_CHAM_CONG!B51)</f>
        <v/>
      </c>
      <c r="C51" s="96">
        <f>IF($B51="","",BANG_CHAM_CONG!C51)</f>
        <v/>
      </c>
      <c r="D51" s="96">
        <f>IF($B51="","",BANG_CHAM_CONG!D51)</f>
        <v/>
      </c>
      <c r="E51" s="95">
        <f>IF($B51="","",BANG_CHAM_CONG!AK51)</f>
        <v/>
      </c>
      <c r="F51" s="109">
        <f>IF($B51="","",IF(DM_NHAN_SU!$H51="",THAM_SO_CC!$B$11,DM_NHAN_SU!$H51))</f>
        <v/>
      </c>
      <c r="G51" s="110">
        <f>IF($B51="","",ROUND($E51*$F51,2))</f>
        <v/>
      </c>
      <c r="H51" s="108">
        <f>IF($B51="","",SUMIFS(CC_OT_GIO!$F$6:$F$2005,CC_OT_GIO!$B$6:$B$2005,$B51,CC_OT_GIO!$D$6:$D$2005,"&gt;="&amp;THAM_SO_CC!$B$8,CC_OT_GIO!$D$6:$D$2005,"&lt;="&amp;THAM_SO_CC!$B$9))</f>
        <v/>
      </c>
      <c r="I51" s="108">
        <f>IF($B51="","",SUMIFS(CC_OT_GIO!$J$6:$J$2005,CC_OT_GIO!$B$6:$B$2005,$B51,CC_OT_GIO!$D$6:$D$2005,"&gt;="&amp;THAM_SO_CC!$B$8,CC_OT_GIO!$D$6:$D$2005,"&lt;="&amp;THAM_SO_CC!$B$9))</f>
        <v/>
      </c>
      <c r="J51" s="108">
        <f>IF($B51="","",SUMIFS(CC_OT_GIO!$K$6:$K$2005,CC_OT_GIO!$B$6:$B$2005,$B51,CC_OT_GIO!$D$6:$D$2005,"&gt;="&amp;THAM_SO_CC!$B$8,CC_OT_GIO!$D$6:$D$2005,"&lt;="&amp;THAM_SO_CC!$B$9))</f>
        <v/>
      </c>
      <c r="K51" s="108">
        <f>IF($B51="","",SUMIFS(CC_OT_GIO!$L$6:$L$2005,CC_OT_GIO!$B$6:$B$2005,$B51,CC_OT_GIO!$D$6:$D$2005,"&gt;="&amp;THAM_SO_CC!$B$8,CC_OT_GIO!$D$6:$D$2005,"&lt;="&amp;THAM_SO_CC!$B$9))</f>
        <v/>
      </c>
      <c r="L51" s="108">
        <f>IF($B51="","",SUMIFS(CC_OT_GIO!$M$6:$M$2005,CC_OT_GIO!$B$6:$B$2005,$B51,CC_OT_GIO!$D$6:$D$2005,"&gt;="&amp;THAM_SO_CC!$B$8,CC_OT_GIO!$D$6:$D$2005,"&lt;="&amp;THAM_SO_CC!$B$9))</f>
        <v/>
      </c>
      <c r="M51" s="108">
        <f>IF($B51="","",SUMIFS(CC_OT_GIO!$N$6:$N$2005,CC_OT_GIO!$B$6:$B$2005,$B51,CC_OT_GIO!$D$6:$D$2005,"&gt;="&amp;THAM_SO_CC!$B$8,CC_OT_GIO!$D$6:$D$2005,"&lt;="&amp;THAM_SO_CC!$B$9))</f>
        <v/>
      </c>
      <c r="N51" s="108">
        <f>IF($B51="","",SUMIFS(CC_OT_GIO!$O$6:$O$2005,CC_OT_GIO!$B$6:$B$2005,$B51,CC_OT_GIO!$D$6:$D$2005,"&gt;="&amp;THAM_SO_CC!$B$8,CC_OT_GIO!$D$6:$D$2005,"&lt;="&amp;THAM_SO_CC!$B$9))</f>
        <v/>
      </c>
      <c r="O51" s="104">
        <f>IF($B51="","",BANG_CHAM_CONG!AL51)</f>
        <v/>
      </c>
      <c r="P51" s="104">
        <f>IF($B51="","",BANG_CHAM_CONG!AM51)</f>
        <v/>
      </c>
      <c r="Q51" s="104">
        <f>IF($B51="","",BANG_CHAM_CONG!AN51)</f>
        <v/>
      </c>
      <c r="R51" s="104">
        <f>IF($B51="","",BANG_CHAM_CONG!AO51)</f>
        <v/>
      </c>
      <c r="S51" s="104">
        <f>IF($B51="","",BANG_CHAM_CONG!AP51)</f>
        <v/>
      </c>
      <c r="T51" s="104">
        <f>IF($B51="","",BANG_CHAM_CONG!AQ51)</f>
        <v/>
      </c>
      <c r="U51" s="111">
        <f>IF($B51="","",SUM($I51:$N51))</f>
        <v/>
      </c>
      <c r="V51" s="96">
        <f>IF($B51="","",TRIM(BANG_CHAM_CONG!$AU51&amp;IF($U51&gt;60,"OT vượt 60 giờ/tháng – rà soát giới hạn làm thêm; ","")&amp;IF(AND($E51=0,SUM($O51:$T51)=0),"Chưa có dữ liệu chấm công; ","")&amp;IF($H51&gt;$G51,"Giờ đêm trong ca lớn hơn giờ thường; ","")))</f>
        <v/>
      </c>
    </row>
    <row r="52" ht="15" customHeight="1" s="63">
      <c r="A52" s="85">
        <f>IF($B52="","",ROW()-5)</f>
        <v/>
      </c>
      <c r="B52" s="103">
        <f>IF(BANG_CHAM_CONG!B52="","",BANG_CHAM_CONG!B52)</f>
        <v/>
      </c>
      <c r="C52" s="96">
        <f>IF($B52="","",BANG_CHAM_CONG!C52)</f>
        <v/>
      </c>
      <c r="D52" s="96">
        <f>IF($B52="","",BANG_CHAM_CONG!D52)</f>
        <v/>
      </c>
      <c r="E52" s="95">
        <f>IF($B52="","",BANG_CHAM_CONG!AK52)</f>
        <v/>
      </c>
      <c r="F52" s="109">
        <f>IF($B52="","",IF(DM_NHAN_SU!$H52="",THAM_SO_CC!$B$11,DM_NHAN_SU!$H52))</f>
        <v/>
      </c>
      <c r="G52" s="110">
        <f>IF($B52="","",ROUND($E52*$F52,2))</f>
        <v/>
      </c>
      <c r="H52" s="108">
        <f>IF($B52="","",SUMIFS(CC_OT_GIO!$F$6:$F$2005,CC_OT_GIO!$B$6:$B$2005,$B52,CC_OT_GIO!$D$6:$D$2005,"&gt;="&amp;THAM_SO_CC!$B$8,CC_OT_GIO!$D$6:$D$2005,"&lt;="&amp;THAM_SO_CC!$B$9))</f>
        <v/>
      </c>
      <c r="I52" s="108">
        <f>IF($B52="","",SUMIFS(CC_OT_GIO!$J$6:$J$2005,CC_OT_GIO!$B$6:$B$2005,$B52,CC_OT_GIO!$D$6:$D$2005,"&gt;="&amp;THAM_SO_CC!$B$8,CC_OT_GIO!$D$6:$D$2005,"&lt;="&amp;THAM_SO_CC!$B$9))</f>
        <v/>
      </c>
      <c r="J52" s="108">
        <f>IF($B52="","",SUMIFS(CC_OT_GIO!$K$6:$K$2005,CC_OT_GIO!$B$6:$B$2005,$B52,CC_OT_GIO!$D$6:$D$2005,"&gt;="&amp;THAM_SO_CC!$B$8,CC_OT_GIO!$D$6:$D$2005,"&lt;="&amp;THAM_SO_CC!$B$9))</f>
        <v/>
      </c>
      <c r="K52" s="108">
        <f>IF($B52="","",SUMIFS(CC_OT_GIO!$L$6:$L$2005,CC_OT_GIO!$B$6:$B$2005,$B52,CC_OT_GIO!$D$6:$D$2005,"&gt;="&amp;THAM_SO_CC!$B$8,CC_OT_GIO!$D$6:$D$2005,"&lt;="&amp;THAM_SO_CC!$B$9))</f>
        <v/>
      </c>
      <c r="L52" s="108">
        <f>IF($B52="","",SUMIFS(CC_OT_GIO!$M$6:$M$2005,CC_OT_GIO!$B$6:$B$2005,$B52,CC_OT_GIO!$D$6:$D$2005,"&gt;="&amp;THAM_SO_CC!$B$8,CC_OT_GIO!$D$6:$D$2005,"&lt;="&amp;THAM_SO_CC!$B$9))</f>
        <v/>
      </c>
      <c r="M52" s="108">
        <f>IF($B52="","",SUMIFS(CC_OT_GIO!$N$6:$N$2005,CC_OT_GIO!$B$6:$B$2005,$B52,CC_OT_GIO!$D$6:$D$2005,"&gt;="&amp;THAM_SO_CC!$B$8,CC_OT_GIO!$D$6:$D$2005,"&lt;="&amp;THAM_SO_CC!$B$9))</f>
        <v/>
      </c>
      <c r="N52" s="108">
        <f>IF($B52="","",SUMIFS(CC_OT_GIO!$O$6:$O$2005,CC_OT_GIO!$B$6:$B$2005,$B52,CC_OT_GIO!$D$6:$D$2005,"&gt;="&amp;THAM_SO_CC!$B$8,CC_OT_GIO!$D$6:$D$2005,"&lt;="&amp;THAM_SO_CC!$B$9))</f>
        <v/>
      </c>
      <c r="O52" s="104">
        <f>IF($B52="","",BANG_CHAM_CONG!AL52)</f>
        <v/>
      </c>
      <c r="P52" s="104">
        <f>IF($B52="","",BANG_CHAM_CONG!AM52)</f>
        <v/>
      </c>
      <c r="Q52" s="104">
        <f>IF($B52="","",BANG_CHAM_CONG!AN52)</f>
        <v/>
      </c>
      <c r="R52" s="104">
        <f>IF($B52="","",BANG_CHAM_CONG!AO52)</f>
        <v/>
      </c>
      <c r="S52" s="104">
        <f>IF($B52="","",BANG_CHAM_CONG!AP52)</f>
        <v/>
      </c>
      <c r="T52" s="104">
        <f>IF($B52="","",BANG_CHAM_CONG!AQ52)</f>
        <v/>
      </c>
      <c r="U52" s="111">
        <f>IF($B52="","",SUM($I52:$N52))</f>
        <v/>
      </c>
      <c r="V52" s="96">
        <f>IF($B52="","",TRIM(BANG_CHAM_CONG!$AU52&amp;IF($U52&gt;60,"OT vượt 60 giờ/tháng – rà soát giới hạn làm thêm; ","")&amp;IF(AND($E52=0,SUM($O52:$T52)=0),"Chưa có dữ liệu chấm công; ","")&amp;IF($H52&gt;$G52,"Giờ đêm trong ca lớn hơn giờ thường; ","")))</f>
        <v/>
      </c>
    </row>
    <row r="53" ht="15" customHeight="1" s="63">
      <c r="A53" s="85">
        <f>IF($B53="","",ROW()-5)</f>
        <v/>
      </c>
      <c r="B53" s="103">
        <f>IF(BANG_CHAM_CONG!B53="","",BANG_CHAM_CONG!B53)</f>
        <v/>
      </c>
      <c r="C53" s="96">
        <f>IF($B53="","",BANG_CHAM_CONG!C53)</f>
        <v/>
      </c>
      <c r="D53" s="96">
        <f>IF($B53="","",BANG_CHAM_CONG!D53)</f>
        <v/>
      </c>
      <c r="E53" s="95">
        <f>IF($B53="","",BANG_CHAM_CONG!AK53)</f>
        <v/>
      </c>
      <c r="F53" s="109">
        <f>IF($B53="","",IF(DM_NHAN_SU!$H53="",THAM_SO_CC!$B$11,DM_NHAN_SU!$H53))</f>
        <v/>
      </c>
      <c r="G53" s="110">
        <f>IF($B53="","",ROUND($E53*$F53,2))</f>
        <v/>
      </c>
      <c r="H53" s="108">
        <f>IF($B53="","",SUMIFS(CC_OT_GIO!$F$6:$F$2005,CC_OT_GIO!$B$6:$B$2005,$B53,CC_OT_GIO!$D$6:$D$2005,"&gt;="&amp;THAM_SO_CC!$B$8,CC_OT_GIO!$D$6:$D$2005,"&lt;="&amp;THAM_SO_CC!$B$9))</f>
        <v/>
      </c>
      <c r="I53" s="108">
        <f>IF($B53="","",SUMIFS(CC_OT_GIO!$J$6:$J$2005,CC_OT_GIO!$B$6:$B$2005,$B53,CC_OT_GIO!$D$6:$D$2005,"&gt;="&amp;THAM_SO_CC!$B$8,CC_OT_GIO!$D$6:$D$2005,"&lt;="&amp;THAM_SO_CC!$B$9))</f>
        <v/>
      </c>
      <c r="J53" s="108">
        <f>IF($B53="","",SUMIFS(CC_OT_GIO!$K$6:$K$2005,CC_OT_GIO!$B$6:$B$2005,$B53,CC_OT_GIO!$D$6:$D$2005,"&gt;="&amp;THAM_SO_CC!$B$8,CC_OT_GIO!$D$6:$D$2005,"&lt;="&amp;THAM_SO_CC!$B$9))</f>
        <v/>
      </c>
      <c r="K53" s="108">
        <f>IF($B53="","",SUMIFS(CC_OT_GIO!$L$6:$L$2005,CC_OT_GIO!$B$6:$B$2005,$B53,CC_OT_GIO!$D$6:$D$2005,"&gt;="&amp;THAM_SO_CC!$B$8,CC_OT_GIO!$D$6:$D$2005,"&lt;="&amp;THAM_SO_CC!$B$9))</f>
        <v/>
      </c>
      <c r="L53" s="108">
        <f>IF($B53="","",SUMIFS(CC_OT_GIO!$M$6:$M$2005,CC_OT_GIO!$B$6:$B$2005,$B53,CC_OT_GIO!$D$6:$D$2005,"&gt;="&amp;THAM_SO_CC!$B$8,CC_OT_GIO!$D$6:$D$2005,"&lt;="&amp;THAM_SO_CC!$B$9))</f>
        <v/>
      </c>
      <c r="M53" s="108">
        <f>IF($B53="","",SUMIFS(CC_OT_GIO!$N$6:$N$2005,CC_OT_GIO!$B$6:$B$2005,$B53,CC_OT_GIO!$D$6:$D$2005,"&gt;="&amp;THAM_SO_CC!$B$8,CC_OT_GIO!$D$6:$D$2005,"&lt;="&amp;THAM_SO_CC!$B$9))</f>
        <v/>
      </c>
      <c r="N53" s="108">
        <f>IF($B53="","",SUMIFS(CC_OT_GIO!$O$6:$O$2005,CC_OT_GIO!$B$6:$B$2005,$B53,CC_OT_GIO!$D$6:$D$2005,"&gt;="&amp;THAM_SO_CC!$B$8,CC_OT_GIO!$D$6:$D$2005,"&lt;="&amp;THAM_SO_CC!$B$9))</f>
        <v/>
      </c>
      <c r="O53" s="104">
        <f>IF($B53="","",BANG_CHAM_CONG!AL53)</f>
        <v/>
      </c>
      <c r="P53" s="104">
        <f>IF($B53="","",BANG_CHAM_CONG!AM53)</f>
        <v/>
      </c>
      <c r="Q53" s="104">
        <f>IF($B53="","",BANG_CHAM_CONG!AN53)</f>
        <v/>
      </c>
      <c r="R53" s="104">
        <f>IF($B53="","",BANG_CHAM_CONG!AO53)</f>
        <v/>
      </c>
      <c r="S53" s="104">
        <f>IF($B53="","",BANG_CHAM_CONG!AP53)</f>
        <v/>
      </c>
      <c r="T53" s="104">
        <f>IF($B53="","",BANG_CHAM_CONG!AQ53)</f>
        <v/>
      </c>
      <c r="U53" s="111">
        <f>IF($B53="","",SUM($I53:$N53))</f>
        <v/>
      </c>
      <c r="V53" s="96">
        <f>IF($B53="","",TRIM(BANG_CHAM_CONG!$AU53&amp;IF($U53&gt;60,"OT vượt 60 giờ/tháng – rà soát giới hạn làm thêm; ","")&amp;IF(AND($E53=0,SUM($O53:$T53)=0),"Chưa có dữ liệu chấm công; ","")&amp;IF($H53&gt;$G53,"Giờ đêm trong ca lớn hơn giờ thường; ","")))</f>
        <v/>
      </c>
    </row>
    <row r="54" ht="15" customHeight="1" s="63">
      <c r="A54" s="85">
        <f>IF($B54="","",ROW()-5)</f>
        <v/>
      </c>
      <c r="B54" s="103">
        <f>IF(BANG_CHAM_CONG!B54="","",BANG_CHAM_CONG!B54)</f>
        <v/>
      </c>
      <c r="C54" s="96">
        <f>IF($B54="","",BANG_CHAM_CONG!C54)</f>
        <v/>
      </c>
      <c r="D54" s="96">
        <f>IF($B54="","",BANG_CHAM_CONG!D54)</f>
        <v/>
      </c>
      <c r="E54" s="95">
        <f>IF($B54="","",BANG_CHAM_CONG!AK54)</f>
        <v/>
      </c>
      <c r="F54" s="109">
        <f>IF($B54="","",IF(DM_NHAN_SU!$H54="",THAM_SO_CC!$B$11,DM_NHAN_SU!$H54))</f>
        <v/>
      </c>
      <c r="G54" s="110">
        <f>IF($B54="","",ROUND($E54*$F54,2))</f>
        <v/>
      </c>
      <c r="H54" s="108">
        <f>IF($B54="","",SUMIFS(CC_OT_GIO!$F$6:$F$2005,CC_OT_GIO!$B$6:$B$2005,$B54,CC_OT_GIO!$D$6:$D$2005,"&gt;="&amp;THAM_SO_CC!$B$8,CC_OT_GIO!$D$6:$D$2005,"&lt;="&amp;THAM_SO_CC!$B$9))</f>
        <v/>
      </c>
      <c r="I54" s="108">
        <f>IF($B54="","",SUMIFS(CC_OT_GIO!$J$6:$J$2005,CC_OT_GIO!$B$6:$B$2005,$B54,CC_OT_GIO!$D$6:$D$2005,"&gt;="&amp;THAM_SO_CC!$B$8,CC_OT_GIO!$D$6:$D$2005,"&lt;="&amp;THAM_SO_CC!$B$9))</f>
        <v/>
      </c>
      <c r="J54" s="108">
        <f>IF($B54="","",SUMIFS(CC_OT_GIO!$K$6:$K$2005,CC_OT_GIO!$B$6:$B$2005,$B54,CC_OT_GIO!$D$6:$D$2005,"&gt;="&amp;THAM_SO_CC!$B$8,CC_OT_GIO!$D$6:$D$2005,"&lt;="&amp;THAM_SO_CC!$B$9))</f>
        <v/>
      </c>
      <c r="K54" s="108">
        <f>IF($B54="","",SUMIFS(CC_OT_GIO!$L$6:$L$2005,CC_OT_GIO!$B$6:$B$2005,$B54,CC_OT_GIO!$D$6:$D$2005,"&gt;="&amp;THAM_SO_CC!$B$8,CC_OT_GIO!$D$6:$D$2005,"&lt;="&amp;THAM_SO_CC!$B$9))</f>
        <v/>
      </c>
      <c r="L54" s="108">
        <f>IF($B54="","",SUMIFS(CC_OT_GIO!$M$6:$M$2005,CC_OT_GIO!$B$6:$B$2005,$B54,CC_OT_GIO!$D$6:$D$2005,"&gt;="&amp;THAM_SO_CC!$B$8,CC_OT_GIO!$D$6:$D$2005,"&lt;="&amp;THAM_SO_CC!$B$9))</f>
        <v/>
      </c>
      <c r="M54" s="108">
        <f>IF($B54="","",SUMIFS(CC_OT_GIO!$N$6:$N$2005,CC_OT_GIO!$B$6:$B$2005,$B54,CC_OT_GIO!$D$6:$D$2005,"&gt;="&amp;THAM_SO_CC!$B$8,CC_OT_GIO!$D$6:$D$2005,"&lt;="&amp;THAM_SO_CC!$B$9))</f>
        <v/>
      </c>
      <c r="N54" s="108">
        <f>IF($B54="","",SUMIFS(CC_OT_GIO!$O$6:$O$2005,CC_OT_GIO!$B$6:$B$2005,$B54,CC_OT_GIO!$D$6:$D$2005,"&gt;="&amp;THAM_SO_CC!$B$8,CC_OT_GIO!$D$6:$D$2005,"&lt;="&amp;THAM_SO_CC!$B$9))</f>
        <v/>
      </c>
      <c r="O54" s="104">
        <f>IF($B54="","",BANG_CHAM_CONG!AL54)</f>
        <v/>
      </c>
      <c r="P54" s="104">
        <f>IF($B54="","",BANG_CHAM_CONG!AM54)</f>
        <v/>
      </c>
      <c r="Q54" s="104">
        <f>IF($B54="","",BANG_CHAM_CONG!AN54)</f>
        <v/>
      </c>
      <c r="R54" s="104">
        <f>IF($B54="","",BANG_CHAM_CONG!AO54)</f>
        <v/>
      </c>
      <c r="S54" s="104">
        <f>IF($B54="","",BANG_CHAM_CONG!AP54)</f>
        <v/>
      </c>
      <c r="T54" s="104">
        <f>IF($B54="","",BANG_CHAM_CONG!AQ54)</f>
        <v/>
      </c>
      <c r="U54" s="111">
        <f>IF($B54="","",SUM($I54:$N54))</f>
        <v/>
      </c>
      <c r="V54" s="96">
        <f>IF($B54="","",TRIM(BANG_CHAM_CONG!$AU54&amp;IF($U54&gt;60,"OT vượt 60 giờ/tháng – rà soát giới hạn làm thêm; ","")&amp;IF(AND($E54=0,SUM($O54:$T54)=0),"Chưa có dữ liệu chấm công; ","")&amp;IF($H54&gt;$G54,"Giờ đêm trong ca lớn hơn giờ thường; ","")))</f>
        <v/>
      </c>
    </row>
    <row r="55" ht="15" customHeight="1" s="63">
      <c r="A55" s="85">
        <f>IF($B55="","",ROW()-5)</f>
        <v/>
      </c>
      <c r="B55" s="103">
        <f>IF(BANG_CHAM_CONG!B55="","",BANG_CHAM_CONG!B55)</f>
        <v/>
      </c>
      <c r="C55" s="96">
        <f>IF($B55="","",BANG_CHAM_CONG!C55)</f>
        <v/>
      </c>
      <c r="D55" s="96">
        <f>IF($B55="","",BANG_CHAM_CONG!D55)</f>
        <v/>
      </c>
      <c r="E55" s="95">
        <f>IF($B55="","",BANG_CHAM_CONG!AK55)</f>
        <v/>
      </c>
      <c r="F55" s="109">
        <f>IF($B55="","",IF(DM_NHAN_SU!$H55="",THAM_SO_CC!$B$11,DM_NHAN_SU!$H55))</f>
        <v/>
      </c>
      <c r="G55" s="110">
        <f>IF($B55="","",ROUND($E55*$F55,2))</f>
        <v/>
      </c>
      <c r="H55" s="108">
        <f>IF($B55="","",SUMIFS(CC_OT_GIO!$F$6:$F$2005,CC_OT_GIO!$B$6:$B$2005,$B55,CC_OT_GIO!$D$6:$D$2005,"&gt;="&amp;THAM_SO_CC!$B$8,CC_OT_GIO!$D$6:$D$2005,"&lt;="&amp;THAM_SO_CC!$B$9))</f>
        <v/>
      </c>
      <c r="I55" s="108">
        <f>IF($B55="","",SUMIFS(CC_OT_GIO!$J$6:$J$2005,CC_OT_GIO!$B$6:$B$2005,$B55,CC_OT_GIO!$D$6:$D$2005,"&gt;="&amp;THAM_SO_CC!$B$8,CC_OT_GIO!$D$6:$D$2005,"&lt;="&amp;THAM_SO_CC!$B$9))</f>
        <v/>
      </c>
      <c r="J55" s="108">
        <f>IF($B55="","",SUMIFS(CC_OT_GIO!$K$6:$K$2005,CC_OT_GIO!$B$6:$B$2005,$B55,CC_OT_GIO!$D$6:$D$2005,"&gt;="&amp;THAM_SO_CC!$B$8,CC_OT_GIO!$D$6:$D$2005,"&lt;="&amp;THAM_SO_CC!$B$9))</f>
        <v/>
      </c>
      <c r="K55" s="108">
        <f>IF($B55="","",SUMIFS(CC_OT_GIO!$L$6:$L$2005,CC_OT_GIO!$B$6:$B$2005,$B55,CC_OT_GIO!$D$6:$D$2005,"&gt;="&amp;THAM_SO_CC!$B$8,CC_OT_GIO!$D$6:$D$2005,"&lt;="&amp;THAM_SO_CC!$B$9))</f>
        <v/>
      </c>
      <c r="L55" s="108">
        <f>IF($B55="","",SUMIFS(CC_OT_GIO!$M$6:$M$2005,CC_OT_GIO!$B$6:$B$2005,$B55,CC_OT_GIO!$D$6:$D$2005,"&gt;="&amp;THAM_SO_CC!$B$8,CC_OT_GIO!$D$6:$D$2005,"&lt;="&amp;THAM_SO_CC!$B$9))</f>
        <v/>
      </c>
      <c r="M55" s="108">
        <f>IF($B55="","",SUMIFS(CC_OT_GIO!$N$6:$N$2005,CC_OT_GIO!$B$6:$B$2005,$B55,CC_OT_GIO!$D$6:$D$2005,"&gt;="&amp;THAM_SO_CC!$B$8,CC_OT_GIO!$D$6:$D$2005,"&lt;="&amp;THAM_SO_CC!$B$9))</f>
        <v/>
      </c>
      <c r="N55" s="108">
        <f>IF($B55="","",SUMIFS(CC_OT_GIO!$O$6:$O$2005,CC_OT_GIO!$B$6:$B$2005,$B55,CC_OT_GIO!$D$6:$D$2005,"&gt;="&amp;THAM_SO_CC!$B$8,CC_OT_GIO!$D$6:$D$2005,"&lt;="&amp;THAM_SO_CC!$B$9))</f>
        <v/>
      </c>
      <c r="O55" s="104">
        <f>IF($B55="","",BANG_CHAM_CONG!AL55)</f>
        <v/>
      </c>
      <c r="P55" s="104">
        <f>IF($B55="","",BANG_CHAM_CONG!AM55)</f>
        <v/>
      </c>
      <c r="Q55" s="104">
        <f>IF($B55="","",BANG_CHAM_CONG!AN55)</f>
        <v/>
      </c>
      <c r="R55" s="104">
        <f>IF($B55="","",BANG_CHAM_CONG!AO55)</f>
        <v/>
      </c>
      <c r="S55" s="104">
        <f>IF($B55="","",BANG_CHAM_CONG!AP55)</f>
        <v/>
      </c>
      <c r="T55" s="104">
        <f>IF($B55="","",BANG_CHAM_CONG!AQ55)</f>
        <v/>
      </c>
      <c r="U55" s="111">
        <f>IF($B55="","",SUM($I55:$N55))</f>
        <v/>
      </c>
      <c r="V55" s="96">
        <f>IF($B55="","",TRIM(BANG_CHAM_CONG!$AU55&amp;IF($U55&gt;60,"OT vượt 60 giờ/tháng – rà soát giới hạn làm thêm; ","")&amp;IF(AND($E55=0,SUM($O55:$T55)=0),"Chưa có dữ liệu chấm công; ","")&amp;IF($H55&gt;$G55,"Giờ đêm trong ca lớn hơn giờ thường; ","")))</f>
        <v/>
      </c>
    </row>
    <row r="56" ht="15" customHeight="1" s="63">
      <c r="A56" s="85">
        <f>IF($B56="","",ROW()-5)</f>
        <v/>
      </c>
      <c r="B56" s="103">
        <f>IF(BANG_CHAM_CONG!B56="","",BANG_CHAM_CONG!B56)</f>
        <v/>
      </c>
      <c r="C56" s="96">
        <f>IF($B56="","",BANG_CHAM_CONG!C56)</f>
        <v/>
      </c>
      <c r="D56" s="96">
        <f>IF($B56="","",BANG_CHAM_CONG!D56)</f>
        <v/>
      </c>
      <c r="E56" s="95">
        <f>IF($B56="","",BANG_CHAM_CONG!AK56)</f>
        <v/>
      </c>
      <c r="F56" s="109">
        <f>IF($B56="","",IF(DM_NHAN_SU!$H56="",THAM_SO_CC!$B$11,DM_NHAN_SU!$H56))</f>
        <v/>
      </c>
      <c r="G56" s="110">
        <f>IF($B56="","",ROUND($E56*$F56,2))</f>
        <v/>
      </c>
      <c r="H56" s="108">
        <f>IF($B56="","",SUMIFS(CC_OT_GIO!$F$6:$F$2005,CC_OT_GIO!$B$6:$B$2005,$B56,CC_OT_GIO!$D$6:$D$2005,"&gt;="&amp;THAM_SO_CC!$B$8,CC_OT_GIO!$D$6:$D$2005,"&lt;="&amp;THAM_SO_CC!$B$9))</f>
        <v/>
      </c>
      <c r="I56" s="108">
        <f>IF($B56="","",SUMIFS(CC_OT_GIO!$J$6:$J$2005,CC_OT_GIO!$B$6:$B$2005,$B56,CC_OT_GIO!$D$6:$D$2005,"&gt;="&amp;THAM_SO_CC!$B$8,CC_OT_GIO!$D$6:$D$2005,"&lt;="&amp;THAM_SO_CC!$B$9))</f>
        <v/>
      </c>
      <c r="J56" s="108">
        <f>IF($B56="","",SUMIFS(CC_OT_GIO!$K$6:$K$2005,CC_OT_GIO!$B$6:$B$2005,$B56,CC_OT_GIO!$D$6:$D$2005,"&gt;="&amp;THAM_SO_CC!$B$8,CC_OT_GIO!$D$6:$D$2005,"&lt;="&amp;THAM_SO_CC!$B$9))</f>
        <v/>
      </c>
      <c r="K56" s="108">
        <f>IF($B56="","",SUMIFS(CC_OT_GIO!$L$6:$L$2005,CC_OT_GIO!$B$6:$B$2005,$B56,CC_OT_GIO!$D$6:$D$2005,"&gt;="&amp;THAM_SO_CC!$B$8,CC_OT_GIO!$D$6:$D$2005,"&lt;="&amp;THAM_SO_CC!$B$9))</f>
        <v/>
      </c>
      <c r="L56" s="108">
        <f>IF($B56="","",SUMIFS(CC_OT_GIO!$M$6:$M$2005,CC_OT_GIO!$B$6:$B$2005,$B56,CC_OT_GIO!$D$6:$D$2005,"&gt;="&amp;THAM_SO_CC!$B$8,CC_OT_GIO!$D$6:$D$2005,"&lt;="&amp;THAM_SO_CC!$B$9))</f>
        <v/>
      </c>
      <c r="M56" s="108">
        <f>IF($B56="","",SUMIFS(CC_OT_GIO!$N$6:$N$2005,CC_OT_GIO!$B$6:$B$2005,$B56,CC_OT_GIO!$D$6:$D$2005,"&gt;="&amp;THAM_SO_CC!$B$8,CC_OT_GIO!$D$6:$D$2005,"&lt;="&amp;THAM_SO_CC!$B$9))</f>
        <v/>
      </c>
      <c r="N56" s="108">
        <f>IF($B56="","",SUMIFS(CC_OT_GIO!$O$6:$O$2005,CC_OT_GIO!$B$6:$B$2005,$B56,CC_OT_GIO!$D$6:$D$2005,"&gt;="&amp;THAM_SO_CC!$B$8,CC_OT_GIO!$D$6:$D$2005,"&lt;="&amp;THAM_SO_CC!$B$9))</f>
        <v/>
      </c>
      <c r="O56" s="104">
        <f>IF($B56="","",BANG_CHAM_CONG!AL56)</f>
        <v/>
      </c>
      <c r="P56" s="104">
        <f>IF($B56="","",BANG_CHAM_CONG!AM56)</f>
        <v/>
      </c>
      <c r="Q56" s="104">
        <f>IF($B56="","",BANG_CHAM_CONG!AN56)</f>
        <v/>
      </c>
      <c r="R56" s="104">
        <f>IF($B56="","",BANG_CHAM_CONG!AO56)</f>
        <v/>
      </c>
      <c r="S56" s="104">
        <f>IF($B56="","",BANG_CHAM_CONG!AP56)</f>
        <v/>
      </c>
      <c r="T56" s="104">
        <f>IF($B56="","",BANG_CHAM_CONG!AQ56)</f>
        <v/>
      </c>
      <c r="U56" s="111">
        <f>IF($B56="","",SUM($I56:$N56))</f>
        <v/>
      </c>
      <c r="V56" s="96">
        <f>IF($B56="","",TRIM(BANG_CHAM_CONG!$AU56&amp;IF($U56&gt;60,"OT vượt 60 giờ/tháng – rà soát giới hạn làm thêm; ","")&amp;IF(AND($E56=0,SUM($O56:$T56)=0),"Chưa có dữ liệu chấm công; ","")&amp;IF($H56&gt;$G56,"Giờ đêm trong ca lớn hơn giờ thường; ","")))</f>
        <v/>
      </c>
    </row>
    <row r="57" ht="15" customHeight="1" s="63">
      <c r="A57" s="85">
        <f>IF($B57="","",ROW()-5)</f>
        <v/>
      </c>
      <c r="B57" s="103">
        <f>IF(BANG_CHAM_CONG!B57="","",BANG_CHAM_CONG!B57)</f>
        <v/>
      </c>
      <c r="C57" s="96">
        <f>IF($B57="","",BANG_CHAM_CONG!C57)</f>
        <v/>
      </c>
      <c r="D57" s="96">
        <f>IF($B57="","",BANG_CHAM_CONG!D57)</f>
        <v/>
      </c>
      <c r="E57" s="95">
        <f>IF($B57="","",BANG_CHAM_CONG!AK57)</f>
        <v/>
      </c>
      <c r="F57" s="109">
        <f>IF($B57="","",IF(DM_NHAN_SU!$H57="",THAM_SO_CC!$B$11,DM_NHAN_SU!$H57))</f>
        <v/>
      </c>
      <c r="G57" s="110">
        <f>IF($B57="","",ROUND($E57*$F57,2))</f>
        <v/>
      </c>
      <c r="H57" s="108">
        <f>IF($B57="","",SUMIFS(CC_OT_GIO!$F$6:$F$2005,CC_OT_GIO!$B$6:$B$2005,$B57,CC_OT_GIO!$D$6:$D$2005,"&gt;="&amp;THAM_SO_CC!$B$8,CC_OT_GIO!$D$6:$D$2005,"&lt;="&amp;THAM_SO_CC!$B$9))</f>
        <v/>
      </c>
      <c r="I57" s="108">
        <f>IF($B57="","",SUMIFS(CC_OT_GIO!$J$6:$J$2005,CC_OT_GIO!$B$6:$B$2005,$B57,CC_OT_GIO!$D$6:$D$2005,"&gt;="&amp;THAM_SO_CC!$B$8,CC_OT_GIO!$D$6:$D$2005,"&lt;="&amp;THAM_SO_CC!$B$9))</f>
        <v/>
      </c>
      <c r="J57" s="108">
        <f>IF($B57="","",SUMIFS(CC_OT_GIO!$K$6:$K$2005,CC_OT_GIO!$B$6:$B$2005,$B57,CC_OT_GIO!$D$6:$D$2005,"&gt;="&amp;THAM_SO_CC!$B$8,CC_OT_GIO!$D$6:$D$2005,"&lt;="&amp;THAM_SO_CC!$B$9))</f>
        <v/>
      </c>
      <c r="K57" s="108">
        <f>IF($B57="","",SUMIFS(CC_OT_GIO!$L$6:$L$2005,CC_OT_GIO!$B$6:$B$2005,$B57,CC_OT_GIO!$D$6:$D$2005,"&gt;="&amp;THAM_SO_CC!$B$8,CC_OT_GIO!$D$6:$D$2005,"&lt;="&amp;THAM_SO_CC!$B$9))</f>
        <v/>
      </c>
      <c r="L57" s="108">
        <f>IF($B57="","",SUMIFS(CC_OT_GIO!$M$6:$M$2005,CC_OT_GIO!$B$6:$B$2005,$B57,CC_OT_GIO!$D$6:$D$2005,"&gt;="&amp;THAM_SO_CC!$B$8,CC_OT_GIO!$D$6:$D$2005,"&lt;="&amp;THAM_SO_CC!$B$9))</f>
        <v/>
      </c>
      <c r="M57" s="108">
        <f>IF($B57="","",SUMIFS(CC_OT_GIO!$N$6:$N$2005,CC_OT_GIO!$B$6:$B$2005,$B57,CC_OT_GIO!$D$6:$D$2005,"&gt;="&amp;THAM_SO_CC!$B$8,CC_OT_GIO!$D$6:$D$2005,"&lt;="&amp;THAM_SO_CC!$B$9))</f>
        <v/>
      </c>
      <c r="N57" s="108">
        <f>IF($B57="","",SUMIFS(CC_OT_GIO!$O$6:$O$2005,CC_OT_GIO!$B$6:$B$2005,$B57,CC_OT_GIO!$D$6:$D$2005,"&gt;="&amp;THAM_SO_CC!$B$8,CC_OT_GIO!$D$6:$D$2005,"&lt;="&amp;THAM_SO_CC!$B$9))</f>
        <v/>
      </c>
      <c r="O57" s="104">
        <f>IF($B57="","",BANG_CHAM_CONG!AL57)</f>
        <v/>
      </c>
      <c r="P57" s="104">
        <f>IF($B57="","",BANG_CHAM_CONG!AM57)</f>
        <v/>
      </c>
      <c r="Q57" s="104">
        <f>IF($B57="","",BANG_CHAM_CONG!AN57)</f>
        <v/>
      </c>
      <c r="R57" s="104">
        <f>IF($B57="","",BANG_CHAM_CONG!AO57)</f>
        <v/>
      </c>
      <c r="S57" s="104">
        <f>IF($B57="","",BANG_CHAM_CONG!AP57)</f>
        <v/>
      </c>
      <c r="T57" s="104">
        <f>IF($B57="","",BANG_CHAM_CONG!AQ57)</f>
        <v/>
      </c>
      <c r="U57" s="111">
        <f>IF($B57="","",SUM($I57:$N57))</f>
        <v/>
      </c>
      <c r="V57" s="96">
        <f>IF($B57="","",TRIM(BANG_CHAM_CONG!$AU57&amp;IF($U57&gt;60,"OT vượt 60 giờ/tháng – rà soát giới hạn làm thêm; ","")&amp;IF(AND($E57=0,SUM($O57:$T57)=0),"Chưa có dữ liệu chấm công; ","")&amp;IF($H57&gt;$G57,"Giờ đêm trong ca lớn hơn giờ thường; ","")))</f>
        <v/>
      </c>
    </row>
    <row r="58" ht="15" customHeight="1" s="63">
      <c r="A58" s="85">
        <f>IF($B58="","",ROW()-5)</f>
        <v/>
      </c>
      <c r="B58" s="103">
        <f>IF(BANG_CHAM_CONG!B58="","",BANG_CHAM_CONG!B58)</f>
        <v/>
      </c>
      <c r="C58" s="96">
        <f>IF($B58="","",BANG_CHAM_CONG!C58)</f>
        <v/>
      </c>
      <c r="D58" s="96">
        <f>IF($B58="","",BANG_CHAM_CONG!D58)</f>
        <v/>
      </c>
      <c r="E58" s="95">
        <f>IF($B58="","",BANG_CHAM_CONG!AK58)</f>
        <v/>
      </c>
      <c r="F58" s="109">
        <f>IF($B58="","",IF(DM_NHAN_SU!$H58="",THAM_SO_CC!$B$11,DM_NHAN_SU!$H58))</f>
        <v/>
      </c>
      <c r="G58" s="110">
        <f>IF($B58="","",ROUND($E58*$F58,2))</f>
        <v/>
      </c>
      <c r="H58" s="108">
        <f>IF($B58="","",SUMIFS(CC_OT_GIO!$F$6:$F$2005,CC_OT_GIO!$B$6:$B$2005,$B58,CC_OT_GIO!$D$6:$D$2005,"&gt;="&amp;THAM_SO_CC!$B$8,CC_OT_GIO!$D$6:$D$2005,"&lt;="&amp;THAM_SO_CC!$B$9))</f>
        <v/>
      </c>
      <c r="I58" s="108">
        <f>IF($B58="","",SUMIFS(CC_OT_GIO!$J$6:$J$2005,CC_OT_GIO!$B$6:$B$2005,$B58,CC_OT_GIO!$D$6:$D$2005,"&gt;="&amp;THAM_SO_CC!$B$8,CC_OT_GIO!$D$6:$D$2005,"&lt;="&amp;THAM_SO_CC!$B$9))</f>
        <v/>
      </c>
      <c r="J58" s="108">
        <f>IF($B58="","",SUMIFS(CC_OT_GIO!$K$6:$K$2005,CC_OT_GIO!$B$6:$B$2005,$B58,CC_OT_GIO!$D$6:$D$2005,"&gt;="&amp;THAM_SO_CC!$B$8,CC_OT_GIO!$D$6:$D$2005,"&lt;="&amp;THAM_SO_CC!$B$9))</f>
        <v/>
      </c>
      <c r="K58" s="108">
        <f>IF($B58="","",SUMIFS(CC_OT_GIO!$L$6:$L$2005,CC_OT_GIO!$B$6:$B$2005,$B58,CC_OT_GIO!$D$6:$D$2005,"&gt;="&amp;THAM_SO_CC!$B$8,CC_OT_GIO!$D$6:$D$2005,"&lt;="&amp;THAM_SO_CC!$B$9))</f>
        <v/>
      </c>
      <c r="L58" s="108">
        <f>IF($B58="","",SUMIFS(CC_OT_GIO!$M$6:$M$2005,CC_OT_GIO!$B$6:$B$2005,$B58,CC_OT_GIO!$D$6:$D$2005,"&gt;="&amp;THAM_SO_CC!$B$8,CC_OT_GIO!$D$6:$D$2005,"&lt;="&amp;THAM_SO_CC!$B$9))</f>
        <v/>
      </c>
      <c r="M58" s="108">
        <f>IF($B58="","",SUMIFS(CC_OT_GIO!$N$6:$N$2005,CC_OT_GIO!$B$6:$B$2005,$B58,CC_OT_GIO!$D$6:$D$2005,"&gt;="&amp;THAM_SO_CC!$B$8,CC_OT_GIO!$D$6:$D$2005,"&lt;="&amp;THAM_SO_CC!$B$9))</f>
        <v/>
      </c>
      <c r="N58" s="108">
        <f>IF($B58="","",SUMIFS(CC_OT_GIO!$O$6:$O$2005,CC_OT_GIO!$B$6:$B$2005,$B58,CC_OT_GIO!$D$6:$D$2005,"&gt;="&amp;THAM_SO_CC!$B$8,CC_OT_GIO!$D$6:$D$2005,"&lt;="&amp;THAM_SO_CC!$B$9))</f>
        <v/>
      </c>
      <c r="O58" s="104">
        <f>IF($B58="","",BANG_CHAM_CONG!AL58)</f>
        <v/>
      </c>
      <c r="P58" s="104">
        <f>IF($B58="","",BANG_CHAM_CONG!AM58)</f>
        <v/>
      </c>
      <c r="Q58" s="104">
        <f>IF($B58="","",BANG_CHAM_CONG!AN58)</f>
        <v/>
      </c>
      <c r="R58" s="104">
        <f>IF($B58="","",BANG_CHAM_CONG!AO58)</f>
        <v/>
      </c>
      <c r="S58" s="104">
        <f>IF($B58="","",BANG_CHAM_CONG!AP58)</f>
        <v/>
      </c>
      <c r="T58" s="104">
        <f>IF($B58="","",BANG_CHAM_CONG!AQ58)</f>
        <v/>
      </c>
      <c r="U58" s="111">
        <f>IF($B58="","",SUM($I58:$N58))</f>
        <v/>
      </c>
      <c r="V58" s="96">
        <f>IF($B58="","",TRIM(BANG_CHAM_CONG!$AU58&amp;IF($U58&gt;60,"OT vượt 60 giờ/tháng – rà soát giới hạn làm thêm; ","")&amp;IF(AND($E58=0,SUM($O58:$T58)=0),"Chưa có dữ liệu chấm công; ","")&amp;IF($H58&gt;$G58,"Giờ đêm trong ca lớn hơn giờ thường; ","")))</f>
        <v/>
      </c>
    </row>
    <row r="59" ht="15" customHeight="1" s="63">
      <c r="A59" s="85">
        <f>IF($B59="","",ROW()-5)</f>
        <v/>
      </c>
      <c r="B59" s="103">
        <f>IF(BANG_CHAM_CONG!B59="","",BANG_CHAM_CONG!B59)</f>
        <v/>
      </c>
      <c r="C59" s="96">
        <f>IF($B59="","",BANG_CHAM_CONG!C59)</f>
        <v/>
      </c>
      <c r="D59" s="96">
        <f>IF($B59="","",BANG_CHAM_CONG!D59)</f>
        <v/>
      </c>
      <c r="E59" s="95">
        <f>IF($B59="","",BANG_CHAM_CONG!AK59)</f>
        <v/>
      </c>
      <c r="F59" s="109">
        <f>IF($B59="","",IF(DM_NHAN_SU!$H59="",THAM_SO_CC!$B$11,DM_NHAN_SU!$H59))</f>
        <v/>
      </c>
      <c r="G59" s="110">
        <f>IF($B59="","",ROUND($E59*$F59,2))</f>
        <v/>
      </c>
      <c r="H59" s="108">
        <f>IF($B59="","",SUMIFS(CC_OT_GIO!$F$6:$F$2005,CC_OT_GIO!$B$6:$B$2005,$B59,CC_OT_GIO!$D$6:$D$2005,"&gt;="&amp;THAM_SO_CC!$B$8,CC_OT_GIO!$D$6:$D$2005,"&lt;="&amp;THAM_SO_CC!$B$9))</f>
        <v/>
      </c>
      <c r="I59" s="108">
        <f>IF($B59="","",SUMIFS(CC_OT_GIO!$J$6:$J$2005,CC_OT_GIO!$B$6:$B$2005,$B59,CC_OT_GIO!$D$6:$D$2005,"&gt;="&amp;THAM_SO_CC!$B$8,CC_OT_GIO!$D$6:$D$2005,"&lt;="&amp;THAM_SO_CC!$B$9))</f>
        <v/>
      </c>
      <c r="J59" s="108">
        <f>IF($B59="","",SUMIFS(CC_OT_GIO!$K$6:$K$2005,CC_OT_GIO!$B$6:$B$2005,$B59,CC_OT_GIO!$D$6:$D$2005,"&gt;="&amp;THAM_SO_CC!$B$8,CC_OT_GIO!$D$6:$D$2005,"&lt;="&amp;THAM_SO_CC!$B$9))</f>
        <v/>
      </c>
      <c r="K59" s="108">
        <f>IF($B59="","",SUMIFS(CC_OT_GIO!$L$6:$L$2005,CC_OT_GIO!$B$6:$B$2005,$B59,CC_OT_GIO!$D$6:$D$2005,"&gt;="&amp;THAM_SO_CC!$B$8,CC_OT_GIO!$D$6:$D$2005,"&lt;="&amp;THAM_SO_CC!$B$9))</f>
        <v/>
      </c>
      <c r="L59" s="108">
        <f>IF($B59="","",SUMIFS(CC_OT_GIO!$M$6:$M$2005,CC_OT_GIO!$B$6:$B$2005,$B59,CC_OT_GIO!$D$6:$D$2005,"&gt;="&amp;THAM_SO_CC!$B$8,CC_OT_GIO!$D$6:$D$2005,"&lt;="&amp;THAM_SO_CC!$B$9))</f>
        <v/>
      </c>
      <c r="M59" s="108">
        <f>IF($B59="","",SUMIFS(CC_OT_GIO!$N$6:$N$2005,CC_OT_GIO!$B$6:$B$2005,$B59,CC_OT_GIO!$D$6:$D$2005,"&gt;="&amp;THAM_SO_CC!$B$8,CC_OT_GIO!$D$6:$D$2005,"&lt;="&amp;THAM_SO_CC!$B$9))</f>
        <v/>
      </c>
      <c r="N59" s="108">
        <f>IF($B59="","",SUMIFS(CC_OT_GIO!$O$6:$O$2005,CC_OT_GIO!$B$6:$B$2005,$B59,CC_OT_GIO!$D$6:$D$2005,"&gt;="&amp;THAM_SO_CC!$B$8,CC_OT_GIO!$D$6:$D$2005,"&lt;="&amp;THAM_SO_CC!$B$9))</f>
        <v/>
      </c>
      <c r="O59" s="104">
        <f>IF($B59="","",BANG_CHAM_CONG!AL59)</f>
        <v/>
      </c>
      <c r="P59" s="104">
        <f>IF($B59="","",BANG_CHAM_CONG!AM59)</f>
        <v/>
      </c>
      <c r="Q59" s="104">
        <f>IF($B59="","",BANG_CHAM_CONG!AN59)</f>
        <v/>
      </c>
      <c r="R59" s="104">
        <f>IF($B59="","",BANG_CHAM_CONG!AO59)</f>
        <v/>
      </c>
      <c r="S59" s="104">
        <f>IF($B59="","",BANG_CHAM_CONG!AP59)</f>
        <v/>
      </c>
      <c r="T59" s="104">
        <f>IF($B59="","",BANG_CHAM_CONG!AQ59)</f>
        <v/>
      </c>
      <c r="U59" s="111">
        <f>IF($B59="","",SUM($I59:$N59))</f>
        <v/>
      </c>
      <c r="V59" s="96">
        <f>IF($B59="","",TRIM(BANG_CHAM_CONG!$AU59&amp;IF($U59&gt;60,"OT vượt 60 giờ/tháng – rà soát giới hạn làm thêm; ","")&amp;IF(AND($E59=0,SUM($O59:$T59)=0),"Chưa có dữ liệu chấm công; ","")&amp;IF($H59&gt;$G59,"Giờ đêm trong ca lớn hơn giờ thường; ","")))</f>
        <v/>
      </c>
    </row>
    <row r="60" ht="15" customHeight="1" s="63">
      <c r="A60" s="85">
        <f>IF($B60="","",ROW()-5)</f>
        <v/>
      </c>
      <c r="B60" s="103">
        <f>IF(BANG_CHAM_CONG!B60="","",BANG_CHAM_CONG!B60)</f>
        <v/>
      </c>
      <c r="C60" s="96">
        <f>IF($B60="","",BANG_CHAM_CONG!C60)</f>
        <v/>
      </c>
      <c r="D60" s="96">
        <f>IF($B60="","",BANG_CHAM_CONG!D60)</f>
        <v/>
      </c>
      <c r="E60" s="95">
        <f>IF($B60="","",BANG_CHAM_CONG!AK60)</f>
        <v/>
      </c>
      <c r="F60" s="109">
        <f>IF($B60="","",IF(DM_NHAN_SU!$H60="",THAM_SO_CC!$B$11,DM_NHAN_SU!$H60))</f>
        <v/>
      </c>
      <c r="G60" s="110">
        <f>IF($B60="","",ROUND($E60*$F60,2))</f>
        <v/>
      </c>
      <c r="H60" s="108">
        <f>IF($B60="","",SUMIFS(CC_OT_GIO!$F$6:$F$2005,CC_OT_GIO!$B$6:$B$2005,$B60,CC_OT_GIO!$D$6:$D$2005,"&gt;="&amp;THAM_SO_CC!$B$8,CC_OT_GIO!$D$6:$D$2005,"&lt;="&amp;THAM_SO_CC!$B$9))</f>
        <v/>
      </c>
      <c r="I60" s="108">
        <f>IF($B60="","",SUMIFS(CC_OT_GIO!$J$6:$J$2005,CC_OT_GIO!$B$6:$B$2005,$B60,CC_OT_GIO!$D$6:$D$2005,"&gt;="&amp;THAM_SO_CC!$B$8,CC_OT_GIO!$D$6:$D$2005,"&lt;="&amp;THAM_SO_CC!$B$9))</f>
        <v/>
      </c>
      <c r="J60" s="108">
        <f>IF($B60="","",SUMIFS(CC_OT_GIO!$K$6:$K$2005,CC_OT_GIO!$B$6:$B$2005,$B60,CC_OT_GIO!$D$6:$D$2005,"&gt;="&amp;THAM_SO_CC!$B$8,CC_OT_GIO!$D$6:$D$2005,"&lt;="&amp;THAM_SO_CC!$B$9))</f>
        <v/>
      </c>
      <c r="K60" s="108">
        <f>IF($B60="","",SUMIFS(CC_OT_GIO!$L$6:$L$2005,CC_OT_GIO!$B$6:$B$2005,$B60,CC_OT_GIO!$D$6:$D$2005,"&gt;="&amp;THAM_SO_CC!$B$8,CC_OT_GIO!$D$6:$D$2005,"&lt;="&amp;THAM_SO_CC!$B$9))</f>
        <v/>
      </c>
      <c r="L60" s="108">
        <f>IF($B60="","",SUMIFS(CC_OT_GIO!$M$6:$M$2005,CC_OT_GIO!$B$6:$B$2005,$B60,CC_OT_GIO!$D$6:$D$2005,"&gt;="&amp;THAM_SO_CC!$B$8,CC_OT_GIO!$D$6:$D$2005,"&lt;="&amp;THAM_SO_CC!$B$9))</f>
        <v/>
      </c>
      <c r="M60" s="108">
        <f>IF($B60="","",SUMIFS(CC_OT_GIO!$N$6:$N$2005,CC_OT_GIO!$B$6:$B$2005,$B60,CC_OT_GIO!$D$6:$D$2005,"&gt;="&amp;THAM_SO_CC!$B$8,CC_OT_GIO!$D$6:$D$2005,"&lt;="&amp;THAM_SO_CC!$B$9))</f>
        <v/>
      </c>
      <c r="N60" s="108">
        <f>IF($B60="","",SUMIFS(CC_OT_GIO!$O$6:$O$2005,CC_OT_GIO!$B$6:$B$2005,$B60,CC_OT_GIO!$D$6:$D$2005,"&gt;="&amp;THAM_SO_CC!$B$8,CC_OT_GIO!$D$6:$D$2005,"&lt;="&amp;THAM_SO_CC!$B$9))</f>
        <v/>
      </c>
      <c r="O60" s="104">
        <f>IF($B60="","",BANG_CHAM_CONG!AL60)</f>
        <v/>
      </c>
      <c r="P60" s="104">
        <f>IF($B60="","",BANG_CHAM_CONG!AM60)</f>
        <v/>
      </c>
      <c r="Q60" s="104">
        <f>IF($B60="","",BANG_CHAM_CONG!AN60)</f>
        <v/>
      </c>
      <c r="R60" s="104">
        <f>IF($B60="","",BANG_CHAM_CONG!AO60)</f>
        <v/>
      </c>
      <c r="S60" s="104">
        <f>IF($B60="","",BANG_CHAM_CONG!AP60)</f>
        <v/>
      </c>
      <c r="T60" s="104">
        <f>IF($B60="","",BANG_CHAM_CONG!AQ60)</f>
        <v/>
      </c>
      <c r="U60" s="111">
        <f>IF($B60="","",SUM($I60:$N60))</f>
        <v/>
      </c>
      <c r="V60" s="96">
        <f>IF($B60="","",TRIM(BANG_CHAM_CONG!$AU60&amp;IF($U60&gt;60,"OT vượt 60 giờ/tháng – rà soát giới hạn làm thêm; ","")&amp;IF(AND($E60=0,SUM($O60:$T60)=0),"Chưa có dữ liệu chấm công; ","")&amp;IF($H60&gt;$G60,"Giờ đêm trong ca lớn hơn giờ thường; ","")))</f>
        <v/>
      </c>
    </row>
    <row r="61" ht="15" customHeight="1" s="63">
      <c r="A61" s="85">
        <f>IF($B61="","",ROW()-5)</f>
        <v/>
      </c>
      <c r="B61" s="103">
        <f>IF(BANG_CHAM_CONG!B61="","",BANG_CHAM_CONG!B61)</f>
        <v/>
      </c>
      <c r="C61" s="96">
        <f>IF($B61="","",BANG_CHAM_CONG!C61)</f>
        <v/>
      </c>
      <c r="D61" s="96">
        <f>IF($B61="","",BANG_CHAM_CONG!D61)</f>
        <v/>
      </c>
      <c r="E61" s="95">
        <f>IF($B61="","",BANG_CHAM_CONG!AK61)</f>
        <v/>
      </c>
      <c r="F61" s="109">
        <f>IF($B61="","",IF(DM_NHAN_SU!$H61="",THAM_SO_CC!$B$11,DM_NHAN_SU!$H61))</f>
        <v/>
      </c>
      <c r="G61" s="110">
        <f>IF($B61="","",ROUND($E61*$F61,2))</f>
        <v/>
      </c>
      <c r="H61" s="108">
        <f>IF($B61="","",SUMIFS(CC_OT_GIO!$F$6:$F$2005,CC_OT_GIO!$B$6:$B$2005,$B61,CC_OT_GIO!$D$6:$D$2005,"&gt;="&amp;THAM_SO_CC!$B$8,CC_OT_GIO!$D$6:$D$2005,"&lt;="&amp;THAM_SO_CC!$B$9))</f>
        <v/>
      </c>
      <c r="I61" s="108">
        <f>IF($B61="","",SUMIFS(CC_OT_GIO!$J$6:$J$2005,CC_OT_GIO!$B$6:$B$2005,$B61,CC_OT_GIO!$D$6:$D$2005,"&gt;="&amp;THAM_SO_CC!$B$8,CC_OT_GIO!$D$6:$D$2005,"&lt;="&amp;THAM_SO_CC!$B$9))</f>
        <v/>
      </c>
      <c r="J61" s="108">
        <f>IF($B61="","",SUMIFS(CC_OT_GIO!$K$6:$K$2005,CC_OT_GIO!$B$6:$B$2005,$B61,CC_OT_GIO!$D$6:$D$2005,"&gt;="&amp;THAM_SO_CC!$B$8,CC_OT_GIO!$D$6:$D$2005,"&lt;="&amp;THAM_SO_CC!$B$9))</f>
        <v/>
      </c>
      <c r="K61" s="108">
        <f>IF($B61="","",SUMIFS(CC_OT_GIO!$L$6:$L$2005,CC_OT_GIO!$B$6:$B$2005,$B61,CC_OT_GIO!$D$6:$D$2005,"&gt;="&amp;THAM_SO_CC!$B$8,CC_OT_GIO!$D$6:$D$2005,"&lt;="&amp;THAM_SO_CC!$B$9))</f>
        <v/>
      </c>
      <c r="L61" s="108">
        <f>IF($B61="","",SUMIFS(CC_OT_GIO!$M$6:$M$2005,CC_OT_GIO!$B$6:$B$2005,$B61,CC_OT_GIO!$D$6:$D$2005,"&gt;="&amp;THAM_SO_CC!$B$8,CC_OT_GIO!$D$6:$D$2005,"&lt;="&amp;THAM_SO_CC!$B$9))</f>
        <v/>
      </c>
      <c r="M61" s="108">
        <f>IF($B61="","",SUMIFS(CC_OT_GIO!$N$6:$N$2005,CC_OT_GIO!$B$6:$B$2005,$B61,CC_OT_GIO!$D$6:$D$2005,"&gt;="&amp;THAM_SO_CC!$B$8,CC_OT_GIO!$D$6:$D$2005,"&lt;="&amp;THAM_SO_CC!$B$9))</f>
        <v/>
      </c>
      <c r="N61" s="108">
        <f>IF($B61="","",SUMIFS(CC_OT_GIO!$O$6:$O$2005,CC_OT_GIO!$B$6:$B$2005,$B61,CC_OT_GIO!$D$6:$D$2005,"&gt;="&amp;THAM_SO_CC!$B$8,CC_OT_GIO!$D$6:$D$2005,"&lt;="&amp;THAM_SO_CC!$B$9))</f>
        <v/>
      </c>
      <c r="O61" s="104">
        <f>IF($B61="","",BANG_CHAM_CONG!AL61)</f>
        <v/>
      </c>
      <c r="P61" s="104">
        <f>IF($B61="","",BANG_CHAM_CONG!AM61)</f>
        <v/>
      </c>
      <c r="Q61" s="104">
        <f>IF($B61="","",BANG_CHAM_CONG!AN61)</f>
        <v/>
      </c>
      <c r="R61" s="104">
        <f>IF($B61="","",BANG_CHAM_CONG!AO61)</f>
        <v/>
      </c>
      <c r="S61" s="104">
        <f>IF($B61="","",BANG_CHAM_CONG!AP61)</f>
        <v/>
      </c>
      <c r="T61" s="104">
        <f>IF($B61="","",BANG_CHAM_CONG!AQ61)</f>
        <v/>
      </c>
      <c r="U61" s="111">
        <f>IF($B61="","",SUM($I61:$N61))</f>
        <v/>
      </c>
      <c r="V61" s="96">
        <f>IF($B61="","",TRIM(BANG_CHAM_CONG!$AU61&amp;IF($U61&gt;60,"OT vượt 60 giờ/tháng – rà soát giới hạn làm thêm; ","")&amp;IF(AND($E61=0,SUM($O61:$T61)=0),"Chưa có dữ liệu chấm công; ","")&amp;IF($H61&gt;$G61,"Giờ đêm trong ca lớn hơn giờ thường; ","")))</f>
        <v/>
      </c>
    </row>
    <row r="62" ht="15" customHeight="1" s="63">
      <c r="A62" s="85">
        <f>IF($B62="","",ROW()-5)</f>
        <v/>
      </c>
      <c r="B62" s="103">
        <f>IF(BANG_CHAM_CONG!B62="","",BANG_CHAM_CONG!B62)</f>
        <v/>
      </c>
      <c r="C62" s="96">
        <f>IF($B62="","",BANG_CHAM_CONG!C62)</f>
        <v/>
      </c>
      <c r="D62" s="96">
        <f>IF($B62="","",BANG_CHAM_CONG!D62)</f>
        <v/>
      </c>
      <c r="E62" s="95">
        <f>IF($B62="","",BANG_CHAM_CONG!AK62)</f>
        <v/>
      </c>
      <c r="F62" s="109">
        <f>IF($B62="","",IF(DM_NHAN_SU!$H62="",THAM_SO_CC!$B$11,DM_NHAN_SU!$H62))</f>
        <v/>
      </c>
      <c r="G62" s="110">
        <f>IF($B62="","",ROUND($E62*$F62,2))</f>
        <v/>
      </c>
      <c r="H62" s="108">
        <f>IF($B62="","",SUMIFS(CC_OT_GIO!$F$6:$F$2005,CC_OT_GIO!$B$6:$B$2005,$B62,CC_OT_GIO!$D$6:$D$2005,"&gt;="&amp;THAM_SO_CC!$B$8,CC_OT_GIO!$D$6:$D$2005,"&lt;="&amp;THAM_SO_CC!$B$9))</f>
        <v/>
      </c>
      <c r="I62" s="108">
        <f>IF($B62="","",SUMIFS(CC_OT_GIO!$J$6:$J$2005,CC_OT_GIO!$B$6:$B$2005,$B62,CC_OT_GIO!$D$6:$D$2005,"&gt;="&amp;THAM_SO_CC!$B$8,CC_OT_GIO!$D$6:$D$2005,"&lt;="&amp;THAM_SO_CC!$B$9))</f>
        <v/>
      </c>
      <c r="J62" s="108">
        <f>IF($B62="","",SUMIFS(CC_OT_GIO!$K$6:$K$2005,CC_OT_GIO!$B$6:$B$2005,$B62,CC_OT_GIO!$D$6:$D$2005,"&gt;="&amp;THAM_SO_CC!$B$8,CC_OT_GIO!$D$6:$D$2005,"&lt;="&amp;THAM_SO_CC!$B$9))</f>
        <v/>
      </c>
      <c r="K62" s="108">
        <f>IF($B62="","",SUMIFS(CC_OT_GIO!$L$6:$L$2005,CC_OT_GIO!$B$6:$B$2005,$B62,CC_OT_GIO!$D$6:$D$2005,"&gt;="&amp;THAM_SO_CC!$B$8,CC_OT_GIO!$D$6:$D$2005,"&lt;="&amp;THAM_SO_CC!$B$9))</f>
        <v/>
      </c>
      <c r="L62" s="108">
        <f>IF($B62="","",SUMIFS(CC_OT_GIO!$M$6:$M$2005,CC_OT_GIO!$B$6:$B$2005,$B62,CC_OT_GIO!$D$6:$D$2005,"&gt;="&amp;THAM_SO_CC!$B$8,CC_OT_GIO!$D$6:$D$2005,"&lt;="&amp;THAM_SO_CC!$B$9))</f>
        <v/>
      </c>
      <c r="M62" s="108">
        <f>IF($B62="","",SUMIFS(CC_OT_GIO!$N$6:$N$2005,CC_OT_GIO!$B$6:$B$2005,$B62,CC_OT_GIO!$D$6:$D$2005,"&gt;="&amp;THAM_SO_CC!$B$8,CC_OT_GIO!$D$6:$D$2005,"&lt;="&amp;THAM_SO_CC!$B$9))</f>
        <v/>
      </c>
      <c r="N62" s="108">
        <f>IF($B62="","",SUMIFS(CC_OT_GIO!$O$6:$O$2005,CC_OT_GIO!$B$6:$B$2005,$B62,CC_OT_GIO!$D$6:$D$2005,"&gt;="&amp;THAM_SO_CC!$B$8,CC_OT_GIO!$D$6:$D$2005,"&lt;="&amp;THAM_SO_CC!$B$9))</f>
        <v/>
      </c>
      <c r="O62" s="104">
        <f>IF($B62="","",BANG_CHAM_CONG!AL62)</f>
        <v/>
      </c>
      <c r="P62" s="104">
        <f>IF($B62="","",BANG_CHAM_CONG!AM62)</f>
        <v/>
      </c>
      <c r="Q62" s="104">
        <f>IF($B62="","",BANG_CHAM_CONG!AN62)</f>
        <v/>
      </c>
      <c r="R62" s="104">
        <f>IF($B62="","",BANG_CHAM_CONG!AO62)</f>
        <v/>
      </c>
      <c r="S62" s="104">
        <f>IF($B62="","",BANG_CHAM_CONG!AP62)</f>
        <v/>
      </c>
      <c r="T62" s="104">
        <f>IF($B62="","",BANG_CHAM_CONG!AQ62)</f>
        <v/>
      </c>
      <c r="U62" s="111">
        <f>IF($B62="","",SUM($I62:$N62))</f>
        <v/>
      </c>
      <c r="V62" s="96">
        <f>IF($B62="","",TRIM(BANG_CHAM_CONG!$AU62&amp;IF($U62&gt;60,"OT vượt 60 giờ/tháng – rà soát giới hạn làm thêm; ","")&amp;IF(AND($E62=0,SUM($O62:$T62)=0),"Chưa có dữ liệu chấm công; ","")&amp;IF($H62&gt;$G62,"Giờ đêm trong ca lớn hơn giờ thường; ","")))</f>
        <v/>
      </c>
    </row>
    <row r="63" ht="15" customHeight="1" s="63">
      <c r="A63" s="85">
        <f>IF($B63="","",ROW()-5)</f>
        <v/>
      </c>
      <c r="B63" s="103">
        <f>IF(BANG_CHAM_CONG!B63="","",BANG_CHAM_CONG!B63)</f>
        <v/>
      </c>
      <c r="C63" s="96">
        <f>IF($B63="","",BANG_CHAM_CONG!C63)</f>
        <v/>
      </c>
      <c r="D63" s="96">
        <f>IF($B63="","",BANG_CHAM_CONG!D63)</f>
        <v/>
      </c>
      <c r="E63" s="95">
        <f>IF($B63="","",BANG_CHAM_CONG!AK63)</f>
        <v/>
      </c>
      <c r="F63" s="109">
        <f>IF($B63="","",IF(DM_NHAN_SU!$H63="",THAM_SO_CC!$B$11,DM_NHAN_SU!$H63))</f>
        <v/>
      </c>
      <c r="G63" s="110">
        <f>IF($B63="","",ROUND($E63*$F63,2))</f>
        <v/>
      </c>
      <c r="H63" s="108">
        <f>IF($B63="","",SUMIFS(CC_OT_GIO!$F$6:$F$2005,CC_OT_GIO!$B$6:$B$2005,$B63,CC_OT_GIO!$D$6:$D$2005,"&gt;="&amp;THAM_SO_CC!$B$8,CC_OT_GIO!$D$6:$D$2005,"&lt;="&amp;THAM_SO_CC!$B$9))</f>
        <v/>
      </c>
      <c r="I63" s="108">
        <f>IF($B63="","",SUMIFS(CC_OT_GIO!$J$6:$J$2005,CC_OT_GIO!$B$6:$B$2005,$B63,CC_OT_GIO!$D$6:$D$2005,"&gt;="&amp;THAM_SO_CC!$B$8,CC_OT_GIO!$D$6:$D$2005,"&lt;="&amp;THAM_SO_CC!$B$9))</f>
        <v/>
      </c>
      <c r="J63" s="108">
        <f>IF($B63="","",SUMIFS(CC_OT_GIO!$K$6:$K$2005,CC_OT_GIO!$B$6:$B$2005,$B63,CC_OT_GIO!$D$6:$D$2005,"&gt;="&amp;THAM_SO_CC!$B$8,CC_OT_GIO!$D$6:$D$2005,"&lt;="&amp;THAM_SO_CC!$B$9))</f>
        <v/>
      </c>
      <c r="K63" s="108">
        <f>IF($B63="","",SUMIFS(CC_OT_GIO!$L$6:$L$2005,CC_OT_GIO!$B$6:$B$2005,$B63,CC_OT_GIO!$D$6:$D$2005,"&gt;="&amp;THAM_SO_CC!$B$8,CC_OT_GIO!$D$6:$D$2005,"&lt;="&amp;THAM_SO_CC!$B$9))</f>
        <v/>
      </c>
      <c r="L63" s="108">
        <f>IF($B63="","",SUMIFS(CC_OT_GIO!$M$6:$M$2005,CC_OT_GIO!$B$6:$B$2005,$B63,CC_OT_GIO!$D$6:$D$2005,"&gt;="&amp;THAM_SO_CC!$B$8,CC_OT_GIO!$D$6:$D$2005,"&lt;="&amp;THAM_SO_CC!$B$9))</f>
        <v/>
      </c>
      <c r="M63" s="108">
        <f>IF($B63="","",SUMIFS(CC_OT_GIO!$N$6:$N$2005,CC_OT_GIO!$B$6:$B$2005,$B63,CC_OT_GIO!$D$6:$D$2005,"&gt;="&amp;THAM_SO_CC!$B$8,CC_OT_GIO!$D$6:$D$2005,"&lt;="&amp;THAM_SO_CC!$B$9))</f>
        <v/>
      </c>
      <c r="N63" s="108">
        <f>IF($B63="","",SUMIFS(CC_OT_GIO!$O$6:$O$2005,CC_OT_GIO!$B$6:$B$2005,$B63,CC_OT_GIO!$D$6:$D$2005,"&gt;="&amp;THAM_SO_CC!$B$8,CC_OT_GIO!$D$6:$D$2005,"&lt;="&amp;THAM_SO_CC!$B$9))</f>
        <v/>
      </c>
      <c r="O63" s="104">
        <f>IF($B63="","",BANG_CHAM_CONG!AL63)</f>
        <v/>
      </c>
      <c r="P63" s="104">
        <f>IF($B63="","",BANG_CHAM_CONG!AM63)</f>
        <v/>
      </c>
      <c r="Q63" s="104">
        <f>IF($B63="","",BANG_CHAM_CONG!AN63)</f>
        <v/>
      </c>
      <c r="R63" s="104">
        <f>IF($B63="","",BANG_CHAM_CONG!AO63)</f>
        <v/>
      </c>
      <c r="S63" s="104">
        <f>IF($B63="","",BANG_CHAM_CONG!AP63)</f>
        <v/>
      </c>
      <c r="T63" s="104">
        <f>IF($B63="","",BANG_CHAM_CONG!AQ63)</f>
        <v/>
      </c>
      <c r="U63" s="111">
        <f>IF($B63="","",SUM($I63:$N63))</f>
        <v/>
      </c>
      <c r="V63" s="96">
        <f>IF($B63="","",TRIM(BANG_CHAM_CONG!$AU63&amp;IF($U63&gt;60,"OT vượt 60 giờ/tháng – rà soát giới hạn làm thêm; ","")&amp;IF(AND($E63=0,SUM($O63:$T63)=0),"Chưa có dữ liệu chấm công; ","")&amp;IF($H63&gt;$G63,"Giờ đêm trong ca lớn hơn giờ thường; ","")))</f>
        <v/>
      </c>
    </row>
    <row r="64" ht="15" customHeight="1" s="63">
      <c r="A64" s="85">
        <f>IF($B64="","",ROW()-5)</f>
        <v/>
      </c>
      <c r="B64" s="103">
        <f>IF(BANG_CHAM_CONG!B64="","",BANG_CHAM_CONG!B64)</f>
        <v/>
      </c>
      <c r="C64" s="96">
        <f>IF($B64="","",BANG_CHAM_CONG!C64)</f>
        <v/>
      </c>
      <c r="D64" s="96">
        <f>IF($B64="","",BANG_CHAM_CONG!D64)</f>
        <v/>
      </c>
      <c r="E64" s="95">
        <f>IF($B64="","",BANG_CHAM_CONG!AK64)</f>
        <v/>
      </c>
      <c r="F64" s="109">
        <f>IF($B64="","",IF(DM_NHAN_SU!$H64="",THAM_SO_CC!$B$11,DM_NHAN_SU!$H64))</f>
        <v/>
      </c>
      <c r="G64" s="110">
        <f>IF($B64="","",ROUND($E64*$F64,2))</f>
        <v/>
      </c>
      <c r="H64" s="108">
        <f>IF($B64="","",SUMIFS(CC_OT_GIO!$F$6:$F$2005,CC_OT_GIO!$B$6:$B$2005,$B64,CC_OT_GIO!$D$6:$D$2005,"&gt;="&amp;THAM_SO_CC!$B$8,CC_OT_GIO!$D$6:$D$2005,"&lt;="&amp;THAM_SO_CC!$B$9))</f>
        <v/>
      </c>
      <c r="I64" s="108">
        <f>IF($B64="","",SUMIFS(CC_OT_GIO!$J$6:$J$2005,CC_OT_GIO!$B$6:$B$2005,$B64,CC_OT_GIO!$D$6:$D$2005,"&gt;="&amp;THAM_SO_CC!$B$8,CC_OT_GIO!$D$6:$D$2005,"&lt;="&amp;THAM_SO_CC!$B$9))</f>
        <v/>
      </c>
      <c r="J64" s="108">
        <f>IF($B64="","",SUMIFS(CC_OT_GIO!$K$6:$K$2005,CC_OT_GIO!$B$6:$B$2005,$B64,CC_OT_GIO!$D$6:$D$2005,"&gt;="&amp;THAM_SO_CC!$B$8,CC_OT_GIO!$D$6:$D$2005,"&lt;="&amp;THAM_SO_CC!$B$9))</f>
        <v/>
      </c>
      <c r="K64" s="108">
        <f>IF($B64="","",SUMIFS(CC_OT_GIO!$L$6:$L$2005,CC_OT_GIO!$B$6:$B$2005,$B64,CC_OT_GIO!$D$6:$D$2005,"&gt;="&amp;THAM_SO_CC!$B$8,CC_OT_GIO!$D$6:$D$2005,"&lt;="&amp;THAM_SO_CC!$B$9))</f>
        <v/>
      </c>
      <c r="L64" s="108">
        <f>IF($B64="","",SUMIFS(CC_OT_GIO!$M$6:$M$2005,CC_OT_GIO!$B$6:$B$2005,$B64,CC_OT_GIO!$D$6:$D$2005,"&gt;="&amp;THAM_SO_CC!$B$8,CC_OT_GIO!$D$6:$D$2005,"&lt;="&amp;THAM_SO_CC!$B$9))</f>
        <v/>
      </c>
      <c r="M64" s="108">
        <f>IF($B64="","",SUMIFS(CC_OT_GIO!$N$6:$N$2005,CC_OT_GIO!$B$6:$B$2005,$B64,CC_OT_GIO!$D$6:$D$2005,"&gt;="&amp;THAM_SO_CC!$B$8,CC_OT_GIO!$D$6:$D$2005,"&lt;="&amp;THAM_SO_CC!$B$9))</f>
        <v/>
      </c>
      <c r="N64" s="108">
        <f>IF($B64="","",SUMIFS(CC_OT_GIO!$O$6:$O$2005,CC_OT_GIO!$B$6:$B$2005,$B64,CC_OT_GIO!$D$6:$D$2005,"&gt;="&amp;THAM_SO_CC!$B$8,CC_OT_GIO!$D$6:$D$2005,"&lt;="&amp;THAM_SO_CC!$B$9))</f>
        <v/>
      </c>
      <c r="O64" s="104">
        <f>IF($B64="","",BANG_CHAM_CONG!AL64)</f>
        <v/>
      </c>
      <c r="P64" s="104">
        <f>IF($B64="","",BANG_CHAM_CONG!AM64)</f>
        <v/>
      </c>
      <c r="Q64" s="104">
        <f>IF($B64="","",BANG_CHAM_CONG!AN64)</f>
        <v/>
      </c>
      <c r="R64" s="104">
        <f>IF($B64="","",BANG_CHAM_CONG!AO64)</f>
        <v/>
      </c>
      <c r="S64" s="104">
        <f>IF($B64="","",BANG_CHAM_CONG!AP64)</f>
        <v/>
      </c>
      <c r="T64" s="104">
        <f>IF($B64="","",BANG_CHAM_CONG!AQ64)</f>
        <v/>
      </c>
      <c r="U64" s="111">
        <f>IF($B64="","",SUM($I64:$N64))</f>
        <v/>
      </c>
      <c r="V64" s="96">
        <f>IF($B64="","",TRIM(BANG_CHAM_CONG!$AU64&amp;IF($U64&gt;60,"OT vượt 60 giờ/tháng – rà soát giới hạn làm thêm; ","")&amp;IF(AND($E64=0,SUM($O64:$T64)=0),"Chưa có dữ liệu chấm công; ","")&amp;IF($H64&gt;$G64,"Giờ đêm trong ca lớn hơn giờ thường; ","")))</f>
        <v/>
      </c>
    </row>
    <row r="65" ht="15" customHeight="1" s="63">
      <c r="A65" s="85">
        <f>IF($B65="","",ROW()-5)</f>
        <v/>
      </c>
      <c r="B65" s="103">
        <f>IF(BANG_CHAM_CONG!B65="","",BANG_CHAM_CONG!B65)</f>
        <v/>
      </c>
      <c r="C65" s="96">
        <f>IF($B65="","",BANG_CHAM_CONG!C65)</f>
        <v/>
      </c>
      <c r="D65" s="96">
        <f>IF($B65="","",BANG_CHAM_CONG!D65)</f>
        <v/>
      </c>
      <c r="E65" s="95">
        <f>IF($B65="","",BANG_CHAM_CONG!AK65)</f>
        <v/>
      </c>
      <c r="F65" s="109">
        <f>IF($B65="","",IF(DM_NHAN_SU!$H65="",THAM_SO_CC!$B$11,DM_NHAN_SU!$H65))</f>
        <v/>
      </c>
      <c r="G65" s="110">
        <f>IF($B65="","",ROUND($E65*$F65,2))</f>
        <v/>
      </c>
      <c r="H65" s="108">
        <f>IF($B65="","",SUMIFS(CC_OT_GIO!$F$6:$F$2005,CC_OT_GIO!$B$6:$B$2005,$B65,CC_OT_GIO!$D$6:$D$2005,"&gt;="&amp;THAM_SO_CC!$B$8,CC_OT_GIO!$D$6:$D$2005,"&lt;="&amp;THAM_SO_CC!$B$9))</f>
        <v/>
      </c>
      <c r="I65" s="108">
        <f>IF($B65="","",SUMIFS(CC_OT_GIO!$J$6:$J$2005,CC_OT_GIO!$B$6:$B$2005,$B65,CC_OT_GIO!$D$6:$D$2005,"&gt;="&amp;THAM_SO_CC!$B$8,CC_OT_GIO!$D$6:$D$2005,"&lt;="&amp;THAM_SO_CC!$B$9))</f>
        <v/>
      </c>
      <c r="J65" s="108">
        <f>IF($B65="","",SUMIFS(CC_OT_GIO!$K$6:$K$2005,CC_OT_GIO!$B$6:$B$2005,$B65,CC_OT_GIO!$D$6:$D$2005,"&gt;="&amp;THAM_SO_CC!$B$8,CC_OT_GIO!$D$6:$D$2005,"&lt;="&amp;THAM_SO_CC!$B$9))</f>
        <v/>
      </c>
      <c r="K65" s="108">
        <f>IF($B65="","",SUMIFS(CC_OT_GIO!$L$6:$L$2005,CC_OT_GIO!$B$6:$B$2005,$B65,CC_OT_GIO!$D$6:$D$2005,"&gt;="&amp;THAM_SO_CC!$B$8,CC_OT_GIO!$D$6:$D$2005,"&lt;="&amp;THAM_SO_CC!$B$9))</f>
        <v/>
      </c>
      <c r="L65" s="108">
        <f>IF($B65="","",SUMIFS(CC_OT_GIO!$M$6:$M$2005,CC_OT_GIO!$B$6:$B$2005,$B65,CC_OT_GIO!$D$6:$D$2005,"&gt;="&amp;THAM_SO_CC!$B$8,CC_OT_GIO!$D$6:$D$2005,"&lt;="&amp;THAM_SO_CC!$B$9))</f>
        <v/>
      </c>
      <c r="M65" s="108">
        <f>IF($B65="","",SUMIFS(CC_OT_GIO!$N$6:$N$2005,CC_OT_GIO!$B$6:$B$2005,$B65,CC_OT_GIO!$D$6:$D$2005,"&gt;="&amp;THAM_SO_CC!$B$8,CC_OT_GIO!$D$6:$D$2005,"&lt;="&amp;THAM_SO_CC!$B$9))</f>
        <v/>
      </c>
      <c r="N65" s="108">
        <f>IF($B65="","",SUMIFS(CC_OT_GIO!$O$6:$O$2005,CC_OT_GIO!$B$6:$B$2005,$B65,CC_OT_GIO!$D$6:$D$2005,"&gt;="&amp;THAM_SO_CC!$B$8,CC_OT_GIO!$D$6:$D$2005,"&lt;="&amp;THAM_SO_CC!$B$9))</f>
        <v/>
      </c>
      <c r="O65" s="104">
        <f>IF($B65="","",BANG_CHAM_CONG!AL65)</f>
        <v/>
      </c>
      <c r="P65" s="104">
        <f>IF($B65="","",BANG_CHAM_CONG!AM65)</f>
        <v/>
      </c>
      <c r="Q65" s="104">
        <f>IF($B65="","",BANG_CHAM_CONG!AN65)</f>
        <v/>
      </c>
      <c r="R65" s="104">
        <f>IF($B65="","",BANG_CHAM_CONG!AO65)</f>
        <v/>
      </c>
      <c r="S65" s="104">
        <f>IF($B65="","",BANG_CHAM_CONG!AP65)</f>
        <v/>
      </c>
      <c r="T65" s="104">
        <f>IF($B65="","",BANG_CHAM_CONG!AQ65)</f>
        <v/>
      </c>
      <c r="U65" s="111">
        <f>IF($B65="","",SUM($I65:$N65))</f>
        <v/>
      </c>
      <c r="V65" s="96">
        <f>IF($B65="","",TRIM(BANG_CHAM_CONG!$AU65&amp;IF($U65&gt;60,"OT vượt 60 giờ/tháng – rà soát giới hạn làm thêm; ","")&amp;IF(AND($E65=0,SUM($O65:$T65)=0),"Chưa có dữ liệu chấm công; ","")&amp;IF($H65&gt;$G65,"Giờ đêm trong ca lớn hơn giờ thường; ","")))</f>
        <v/>
      </c>
    </row>
    <row r="66" ht="15" customHeight="1" s="63">
      <c r="A66" s="85">
        <f>IF($B66="","",ROW()-5)</f>
        <v/>
      </c>
      <c r="B66" s="103">
        <f>IF(BANG_CHAM_CONG!B66="","",BANG_CHAM_CONG!B66)</f>
        <v/>
      </c>
      <c r="C66" s="96">
        <f>IF($B66="","",BANG_CHAM_CONG!C66)</f>
        <v/>
      </c>
      <c r="D66" s="96">
        <f>IF($B66="","",BANG_CHAM_CONG!D66)</f>
        <v/>
      </c>
      <c r="E66" s="95">
        <f>IF($B66="","",BANG_CHAM_CONG!AK66)</f>
        <v/>
      </c>
      <c r="F66" s="109">
        <f>IF($B66="","",IF(DM_NHAN_SU!$H66="",THAM_SO_CC!$B$11,DM_NHAN_SU!$H66))</f>
        <v/>
      </c>
      <c r="G66" s="110">
        <f>IF($B66="","",ROUND($E66*$F66,2))</f>
        <v/>
      </c>
      <c r="H66" s="108">
        <f>IF($B66="","",SUMIFS(CC_OT_GIO!$F$6:$F$2005,CC_OT_GIO!$B$6:$B$2005,$B66,CC_OT_GIO!$D$6:$D$2005,"&gt;="&amp;THAM_SO_CC!$B$8,CC_OT_GIO!$D$6:$D$2005,"&lt;="&amp;THAM_SO_CC!$B$9))</f>
        <v/>
      </c>
      <c r="I66" s="108">
        <f>IF($B66="","",SUMIFS(CC_OT_GIO!$J$6:$J$2005,CC_OT_GIO!$B$6:$B$2005,$B66,CC_OT_GIO!$D$6:$D$2005,"&gt;="&amp;THAM_SO_CC!$B$8,CC_OT_GIO!$D$6:$D$2005,"&lt;="&amp;THAM_SO_CC!$B$9))</f>
        <v/>
      </c>
      <c r="J66" s="108">
        <f>IF($B66="","",SUMIFS(CC_OT_GIO!$K$6:$K$2005,CC_OT_GIO!$B$6:$B$2005,$B66,CC_OT_GIO!$D$6:$D$2005,"&gt;="&amp;THAM_SO_CC!$B$8,CC_OT_GIO!$D$6:$D$2005,"&lt;="&amp;THAM_SO_CC!$B$9))</f>
        <v/>
      </c>
      <c r="K66" s="108">
        <f>IF($B66="","",SUMIFS(CC_OT_GIO!$L$6:$L$2005,CC_OT_GIO!$B$6:$B$2005,$B66,CC_OT_GIO!$D$6:$D$2005,"&gt;="&amp;THAM_SO_CC!$B$8,CC_OT_GIO!$D$6:$D$2005,"&lt;="&amp;THAM_SO_CC!$B$9))</f>
        <v/>
      </c>
      <c r="L66" s="108">
        <f>IF($B66="","",SUMIFS(CC_OT_GIO!$M$6:$M$2005,CC_OT_GIO!$B$6:$B$2005,$B66,CC_OT_GIO!$D$6:$D$2005,"&gt;="&amp;THAM_SO_CC!$B$8,CC_OT_GIO!$D$6:$D$2005,"&lt;="&amp;THAM_SO_CC!$B$9))</f>
        <v/>
      </c>
      <c r="M66" s="108">
        <f>IF($B66="","",SUMIFS(CC_OT_GIO!$N$6:$N$2005,CC_OT_GIO!$B$6:$B$2005,$B66,CC_OT_GIO!$D$6:$D$2005,"&gt;="&amp;THAM_SO_CC!$B$8,CC_OT_GIO!$D$6:$D$2005,"&lt;="&amp;THAM_SO_CC!$B$9))</f>
        <v/>
      </c>
      <c r="N66" s="108">
        <f>IF($B66="","",SUMIFS(CC_OT_GIO!$O$6:$O$2005,CC_OT_GIO!$B$6:$B$2005,$B66,CC_OT_GIO!$D$6:$D$2005,"&gt;="&amp;THAM_SO_CC!$B$8,CC_OT_GIO!$D$6:$D$2005,"&lt;="&amp;THAM_SO_CC!$B$9))</f>
        <v/>
      </c>
      <c r="O66" s="104">
        <f>IF($B66="","",BANG_CHAM_CONG!AL66)</f>
        <v/>
      </c>
      <c r="P66" s="104">
        <f>IF($B66="","",BANG_CHAM_CONG!AM66)</f>
        <v/>
      </c>
      <c r="Q66" s="104">
        <f>IF($B66="","",BANG_CHAM_CONG!AN66)</f>
        <v/>
      </c>
      <c r="R66" s="104">
        <f>IF($B66="","",BANG_CHAM_CONG!AO66)</f>
        <v/>
      </c>
      <c r="S66" s="104">
        <f>IF($B66="","",BANG_CHAM_CONG!AP66)</f>
        <v/>
      </c>
      <c r="T66" s="104">
        <f>IF($B66="","",BANG_CHAM_CONG!AQ66)</f>
        <v/>
      </c>
      <c r="U66" s="111">
        <f>IF($B66="","",SUM($I66:$N66))</f>
        <v/>
      </c>
      <c r="V66" s="96">
        <f>IF($B66="","",TRIM(BANG_CHAM_CONG!$AU66&amp;IF($U66&gt;60,"OT vượt 60 giờ/tháng – rà soát giới hạn làm thêm; ","")&amp;IF(AND($E66=0,SUM($O66:$T66)=0),"Chưa có dữ liệu chấm công; ","")&amp;IF($H66&gt;$G66,"Giờ đêm trong ca lớn hơn giờ thường; ","")))</f>
        <v/>
      </c>
    </row>
    <row r="67" ht="15" customHeight="1" s="63">
      <c r="A67" s="85">
        <f>IF($B67="","",ROW()-5)</f>
        <v/>
      </c>
      <c r="B67" s="103">
        <f>IF(BANG_CHAM_CONG!B67="","",BANG_CHAM_CONG!B67)</f>
        <v/>
      </c>
      <c r="C67" s="96">
        <f>IF($B67="","",BANG_CHAM_CONG!C67)</f>
        <v/>
      </c>
      <c r="D67" s="96">
        <f>IF($B67="","",BANG_CHAM_CONG!D67)</f>
        <v/>
      </c>
      <c r="E67" s="95">
        <f>IF($B67="","",BANG_CHAM_CONG!AK67)</f>
        <v/>
      </c>
      <c r="F67" s="109">
        <f>IF($B67="","",IF(DM_NHAN_SU!$H67="",THAM_SO_CC!$B$11,DM_NHAN_SU!$H67))</f>
        <v/>
      </c>
      <c r="G67" s="110">
        <f>IF($B67="","",ROUND($E67*$F67,2))</f>
        <v/>
      </c>
      <c r="H67" s="108">
        <f>IF($B67="","",SUMIFS(CC_OT_GIO!$F$6:$F$2005,CC_OT_GIO!$B$6:$B$2005,$B67,CC_OT_GIO!$D$6:$D$2005,"&gt;="&amp;THAM_SO_CC!$B$8,CC_OT_GIO!$D$6:$D$2005,"&lt;="&amp;THAM_SO_CC!$B$9))</f>
        <v/>
      </c>
      <c r="I67" s="108">
        <f>IF($B67="","",SUMIFS(CC_OT_GIO!$J$6:$J$2005,CC_OT_GIO!$B$6:$B$2005,$B67,CC_OT_GIO!$D$6:$D$2005,"&gt;="&amp;THAM_SO_CC!$B$8,CC_OT_GIO!$D$6:$D$2005,"&lt;="&amp;THAM_SO_CC!$B$9))</f>
        <v/>
      </c>
      <c r="J67" s="108">
        <f>IF($B67="","",SUMIFS(CC_OT_GIO!$K$6:$K$2005,CC_OT_GIO!$B$6:$B$2005,$B67,CC_OT_GIO!$D$6:$D$2005,"&gt;="&amp;THAM_SO_CC!$B$8,CC_OT_GIO!$D$6:$D$2005,"&lt;="&amp;THAM_SO_CC!$B$9))</f>
        <v/>
      </c>
      <c r="K67" s="108">
        <f>IF($B67="","",SUMIFS(CC_OT_GIO!$L$6:$L$2005,CC_OT_GIO!$B$6:$B$2005,$B67,CC_OT_GIO!$D$6:$D$2005,"&gt;="&amp;THAM_SO_CC!$B$8,CC_OT_GIO!$D$6:$D$2005,"&lt;="&amp;THAM_SO_CC!$B$9))</f>
        <v/>
      </c>
      <c r="L67" s="108">
        <f>IF($B67="","",SUMIFS(CC_OT_GIO!$M$6:$M$2005,CC_OT_GIO!$B$6:$B$2005,$B67,CC_OT_GIO!$D$6:$D$2005,"&gt;="&amp;THAM_SO_CC!$B$8,CC_OT_GIO!$D$6:$D$2005,"&lt;="&amp;THAM_SO_CC!$B$9))</f>
        <v/>
      </c>
      <c r="M67" s="108">
        <f>IF($B67="","",SUMIFS(CC_OT_GIO!$N$6:$N$2005,CC_OT_GIO!$B$6:$B$2005,$B67,CC_OT_GIO!$D$6:$D$2005,"&gt;="&amp;THAM_SO_CC!$B$8,CC_OT_GIO!$D$6:$D$2005,"&lt;="&amp;THAM_SO_CC!$B$9))</f>
        <v/>
      </c>
      <c r="N67" s="108">
        <f>IF($B67="","",SUMIFS(CC_OT_GIO!$O$6:$O$2005,CC_OT_GIO!$B$6:$B$2005,$B67,CC_OT_GIO!$D$6:$D$2005,"&gt;="&amp;THAM_SO_CC!$B$8,CC_OT_GIO!$D$6:$D$2005,"&lt;="&amp;THAM_SO_CC!$B$9))</f>
        <v/>
      </c>
      <c r="O67" s="104">
        <f>IF($B67="","",BANG_CHAM_CONG!AL67)</f>
        <v/>
      </c>
      <c r="P67" s="104">
        <f>IF($B67="","",BANG_CHAM_CONG!AM67)</f>
        <v/>
      </c>
      <c r="Q67" s="104">
        <f>IF($B67="","",BANG_CHAM_CONG!AN67)</f>
        <v/>
      </c>
      <c r="R67" s="104">
        <f>IF($B67="","",BANG_CHAM_CONG!AO67)</f>
        <v/>
      </c>
      <c r="S67" s="104">
        <f>IF($B67="","",BANG_CHAM_CONG!AP67)</f>
        <v/>
      </c>
      <c r="T67" s="104">
        <f>IF($B67="","",BANG_CHAM_CONG!AQ67)</f>
        <v/>
      </c>
      <c r="U67" s="111">
        <f>IF($B67="","",SUM($I67:$N67))</f>
        <v/>
      </c>
      <c r="V67" s="96">
        <f>IF($B67="","",TRIM(BANG_CHAM_CONG!$AU67&amp;IF($U67&gt;60,"OT vượt 60 giờ/tháng – rà soát giới hạn làm thêm; ","")&amp;IF(AND($E67=0,SUM($O67:$T67)=0),"Chưa có dữ liệu chấm công; ","")&amp;IF($H67&gt;$G67,"Giờ đêm trong ca lớn hơn giờ thường; ","")))</f>
        <v/>
      </c>
    </row>
    <row r="68" ht="15" customHeight="1" s="63">
      <c r="A68" s="85">
        <f>IF($B68="","",ROW()-5)</f>
        <v/>
      </c>
      <c r="B68" s="103">
        <f>IF(BANG_CHAM_CONG!B68="","",BANG_CHAM_CONG!B68)</f>
        <v/>
      </c>
      <c r="C68" s="96">
        <f>IF($B68="","",BANG_CHAM_CONG!C68)</f>
        <v/>
      </c>
      <c r="D68" s="96">
        <f>IF($B68="","",BANG_CHAM_CONG!D68)</f>
        <v/>
      </c>
      <c r="E68" s="95">
        <f>IF($B68="","",BANG_CHAM_CONG!AK68)</f>
        <v/>
      </c>
      <c r="F68" s="109">
        <f>IF($B68="","",IF(DM_NHAN_SU!$H68="",THAM_SO_CC!$B$11,DM_NHAN_SU!$H68))</f>
        <v/>
      </c>
      <c r="G68" s="110">
        <f>IF($B68="","",ROUND($E68*$F68,2))</f>
        <v/>
      </c>
      <c r="H68" s="108">
        <f>IF($B68="","",SUMIFS(CC_OT_GIO!$F$6:$F$2005,CC_OT_GIO!$B$6:$B$2005,$B68,CC_OT_GIO!$D$6:$D$2005,"&gt;="&amp;THAM_SO_CC!$B$8,CC_OT_GIO!$D$6:$D$2005,"&lt;="&amp;THAM_SO_CC!$B$9))</f>
        <v/>
      </c>
      <c r="I68" s="108">
        <f>IF($B68="","",SUMIFS(CC_OT_GIO!$J$6:$J$2005,CC_OT_GIO!$B$6:$B$2005,$B68,CC_OT_GIO!$D$6:$D$2005,"&gt;="&amp;THAM_SO_CC!$B$8,CC_OT_GIO!$D$6:$D$2005,"&lt;="&amp;THAM_SO_CC!$B$9))</f>
        <v/>
      </c>
      <c r="J68" s="108">
        <f>IF($B68="","",SUMIFS(CC_OT_GIO!$K$6:$K$2005,CC_OT_GIO!$B$6:$B$2005,$B68,CC_OT_GIO!$D$6:$D$2005,"&gt;="&amp;THAM_SO_CC!$B$8,CC_OT_GIO!$D$6:$D$2005,"&lt;="&amp;THAM_SO_CC!$B$9))</f>
        <v/>
      </c>
      <c r="K68" s="108">
        <f>IF($B68="","",SUMIFS(CC_OT_GIO!$L$6:$L$2005,CC_OT_GIO!$B$6:$B$2005,$B68,CC_OT_GIO!$D$6:$D$2005,"&gt;="&amp;THAM_SO_CC!$B$8,CC_OT_GIO!$D$6:$D$2005,"&lt;="&amp;THAM_SO_CC!$B$9))</f>
        <v/>
      </c>
      <c r="L68" s="108">
        <f>IF($B68="","",SUMIFS(CC_OT_GIO!$M$6:$M$2005,CC_OT_GIO!$B$6:$B$2005,$B68,CC_OT_GIO!$D$6:$D$2005,"&gt;="&amp;THAM_SO_CC!$B$8,CC_OT_GIO!$D$6:$D$2005,"&lt;="&amp;THAM_SO_CC!$B$9))</f>
        <v/>
      </c>
      <c r="M68" s="108">
        <f>IF($B68="","",SUMIFS(CC_OT_GIO!$N$6:$N$2005,CC_OT_GIO!$B$6:$B$2005,$B68,CC_OT_GIO!$D$6:$D$2005,"&gt;="&amp;THAM_SO_CC!$B$8,CC_OT_GIO!$D$6:$D$2005,"&lt;="&amp;THAM_SO_CC!$B$9))</f>
        <v/>
      </c>
      <c r="N68" s="108">
        <f>IF($B68="","",SUMIFS(CC_OT_GIO!$O$6:$O$2005,CC_OT_GIO!$B$6:$B$2005,$B68,CC_OT_GIO!$D$6:$D$2005,"&gt;="&amp;THAM_SO_CC!$B$8,CC_OT_GIO!$D$6:$D$2005,"&lt;="&amp;THAM_SO_CC!$B$9))</f>
        <v/>
      </c>
      <c r="O68" s="104">
        <f>IF($B68="","",BANG_CHAM_CONG!AL68)</f>
        <v/>
      </c>
      <c r="P68" s="104">
        <f>IF($B68="","",BANG_CHAM_CONG!AM68)</f>
        <v/>
      </c>
      <c r="Q68" s="104">
        <f>IF($B68="","",BANG_CHAM_CONG!AN68)</f>
        <v/>
      </c>
      <c r="R68" s="104">
        <f>IF($B68="","",BANG_CHAM_CONG!AO68)</f>
        <v/>
      </c>
      <c r="S68" s="104">
        <f>IF($B68="","",BANG_CHAM_CONG!AP68)</f>
        <v/>
      </c>
      <c r="T68" s="104">
        <f>IF($B68="","",BANG_CHAM_CONG!AQ68)</f>
        <v/>
      </c>
      <c r="U68" s="111">
        <f>IF($B68="","",SUM($I68:$N68))</f>
        <v/>
      </c>
      <c r="V68" s="96">
        <f>IF($B68="","",TRIM(BANG_CHAM_CONG!$AU68&amp;IF($U68&gt;60,"OT vượt 60 giờ/tháng – rà soát giới hạn làm thêm; ","")&amp;IF(AND($E68=0,SUM($O68:$T68)=0),"Chưa có dữ liệu chấm công; ","")&amp;IF($H68&gt;$G68,"Giờ đêm trong ca lớn hơn giờ thường; ","")))</f>
        <v/>
      </c>
    </row>
    <row r="69" ht="15" customHeight="1" s="63">
      <c r="A69" s="85">
        <f>IF($B69="","",ROW()-5)</f>
        <v/>
      </c>
      <c r="B69" s="103">
        <f>IF(BANG_CHAM_CONG!B69="","",BANG_CHAM_CONG!B69)</f>
        <v/>
      </c>
      <c r="C69" s="96">
        <f>IF($B69="","",BANG_CHAM_CONG!C69)</f>
        <v/>
      </c>
      <c r="D69" s="96">
        <f>IF($B69="","",BANG_CHAM_CONG!D69)</f>
        <v/>
      </c>
      <c r="E69" s="95">
        <f>IF($B69="","",BANG_CHAM_CONG!AK69)</f>
        <v/>
      </c>
      <c r="F69" s="109">
        <f>IF($B69="","",IF(DM_NHAN_SU!$H69="",THAM_SO_CC!$B$11,DM_NHAN_SU!$H69))</f>
        <v/>
      </c>
      <c r="G69" s="110">
        <f>IF($B69="","",ROUND($E69*$F69,2))</f>
        <v/>
      </c>
      <c r="H69" s="108">
        <f>IF($B69="","",SUMIFS(CC_OT_GIO!$F$6:$F$2005,CC_OT_GIO!$B$6:$B$2005,$B69,CC_OT_GIO!$D$6:$D$2005,"&gt;="&amp;THAM_SO_CC!$B$8,CC_OT_GIO!$D$6:$D$2005,"&lt;="&amp;THAM_SO_CC!$B$9))</f>
        <v/>
      </c>
      <c r="I69" s="108">
        <f>IF($B69="","",SUMIFS(CC_OT_GIO!$J$6:$J$2005,CC_OT_GIO!$B$6:$B$2005,$B69,CC_OT_GIO!$D$6:$D$2005,"&gt;="&amp;THAM_SO_CC!$B$8,CC_OT_GIO!$D$6:$D$2005,"&lt;="&amp;THAM_SO_CC!$B$9))</f>
        <v/>
      </c>
      <c r="J69" s="108">
        <f>IF($B69="","",SUMIFS(CC_OT_GIO!$K$6:$K$2005,CC_OT_GIO!$B$6:$B$2005,$B69,CC_OT_GIO!$D$6:$D$2005,"&gt;="&amp;THAM_SO_CC!$B$8,CC_OT_GIO!$D$6:$D$2005,"&lt;="&amp;THAM_SO_CC!$B$9))</f>
        <v/>
      </c>
      <c r="K69" s="108">
        <f>IF($B69="","",SUMIFS(CC_OT_GIO!$L$6:$L$2005,CC_OT_GIO!$B$6:$B$2005,$B69,CC_OT_GIO!$D$6:$D$2005,"&gt;="&amp;THAM_SO_CC!$B$8,CC_OT_GIO!$D$6:$D$2005,"&lt;="&amp;THAM_SO_CC!$B$9))</f>
        <v/>
      </c>
      <c r="L69" s="108">
        <f>IF($B69="","",SUMIFS(CC_OT_GIO!$M$6:$M$2005,CC_OT_GIO!$B$6:$B$2005,$B69,CC_OT_GIO!$D$6:$D$2005,"&gt;="&amp;THAM_SO_CC!$B$8,CC_OT_GIO!$D$6:$D$2005,"&lt;="&amp;THAM_SO_CC!$B$9))</f>
        <v/>
      </c>
      <c r="M69" s="108">
        <f>IF($B69="","",SUMIFS(CC_OT_GIO!$N$6:$N$2005,CC_OT_GIO!$B$6:$B$2005,$B69,CC_OT_GIO!$D$6:$D$2005,"&gt;="&amp;THAM_SO_CC!$B$8,CC_OT_GIO!$D$6:$D$2005,"&lt;="&amp;THAM_SO_CC!$B$9))</f>
        <v/>
      </c>
      <c r="N69" s="108">
        <f>IF($B69="","",SUMIFS(CC_OT_GIO!$O$6:$O$2005,CC_OT_GIO!$B$6:$B$2005,$B69,CC_OT_GIO!$D$6:$D$2005,"&gt;="&amp;THAM_SO_CC!$B$8,CC_OT_GIO!$D$6:$D$2005,"&lt;="&amp;THAM_SO_CC!$B$9))</f>
        <v/>
      </c>
      <c r="O69" s="104">
        <f>IF($B69="","",BANG_CHAM_CONG!AL69)</f>
        <v/>
      </c>
      <c r="P69" s="104">
        <f>IF($B69="","",BANG_CHAM_CONG!AM69)</f>
        <v/>
      </c>
      <c r="Q69" s="104">
        <f>IF($B69="","",BANG_CHAM_CONG!AN69)</f>
        <v/>
      </c>
      <c r="R69" s="104">
        <f>IF($B69="","",BANG_CHAM_CONG!AO69)</f>
        <v/>
      </c>
      <c r="S69" s="104">
        <f>IF($B69="","",BANG_CHAM_CONG!AP69)</f>
        <v/>
      </c>
      <c r="T69" s="104">
        <f>IF($B69="","",BANG_CHAM_CONG!AQ69)</f>
        <v/>
      </c>
      <c r="U69" s="111">
        <f>IF($B69="","",SUM($I69:$N69))</f>
        <v/>
      </c>
      <c r="V69" s="96">
        <f>IF($B69="","",TRIM(BANG_CHAM_CONG!$AU69&amp;IF($U69&gt;60,"OT vượt 60 giờ/tháng – rà soát giới hạn làm thêm; ","")&amp;IF(AND($E69=0,SUM($O69:$T69)=0),"Chưa có dữ liệu chấm công; ","")&amp;IF($H69&gt;$G69,"Giờ đêm trong ca lớn hơn giờ thường; ","")))</f>
        <v/>
      </c>
    </row>
    <row r="70" ht="15" customHeight="1" s="63">
      <c r="A70" s="85">
        <f>IF($B70="","",ROW()-5)</f>
        <v/>
      </c>
      <c r="B70" s="103">
        <f>IF(BANG_CHAM_CONG!B70="","",BANG_CHAM_CONG!B70)</f>
        <v/>
      </c>
      <c r="C70" s="96">
        <f>IF($B70="","",BANG_CHAM_CONG!C70)</f>
        <v/>
      </c>
      <c r="D70" s="96">
        <f>IF($B70="","",BANG_CHAM_CONG!D70)</f>
        <v/>
      </c>
      <c r="E70" s="95">
        <f>IF($B70="","",BANG_CHAM_CONG!AK70)</f>
        <v/>
      </c>
      <c r="F70" s="109">
        <f>IF($B70="","",IF(DM_NHAN_SU!$H70="",THAM_SO_CC!$B$11,DM_NHAN_SU!$H70))</f>
        <v/>
      </c>
      <c r="G70" s="110">
        <f>IF($B70="","",ROUND($E70*$F70,2))</f>
        <v/>
      </c>
      <c r="H70" s="108">
        <f>IF($B70="","",SUMIFS(CC_OT_GIO!$F$6:$F$2005,CC_OT_GIO!$B$6:$B$2005,$B70,CC_OT_GIO!$D$6:$D$2005,"&gt;="&amp;THAM_SO_CC!$B$8,CC_OT_GIO!$D$6:$D$2005,"&lt;="&amp;THAM_SO_CC!$B$9))</f>
        <v/>
      </c>
      <c r="I70" s="108">
        <f>IF($B70="","",SUMIFS(CC_OT_GIO!$J$6:$J$2005,CC_OT_GIO!$B$6:$B$2005,$B70,CC_OT_GIO!$D$6:$D$2005,"&gt;="&amp;THAM_SO_CC!$B$8,CC_OT_GIO!$D$6:$D$2005,"&lt;="&amp;THAM_SO_CC!$B$9))</f>
        <v/>
      </c>
      <c r="J70" s="108">
        <f>IF($B70="","",SUMIFS(CC_OT_GIO!$K$6:$K$2005,CC_OT_GIO!$B$6:$B$2005,$B70,CC_OT_GIO!$D$6:$D$2005,"&gt;="&amp;THAM_SO_CC!$B$8,CC_OT_GIO!$D$6:$D$2005,"&lt;="&amp;THAM_SO_CC!$B$9))</f>
        <v/>
      </c>
      <c r="K70" s="108">
        <f>IF($B70="","",SUMIFS(CC_OT_GIO!$L$6:$L$2005,CC_OT_GIO!$B$6:$B$2005,$B70,CC_OT_GIO!$D$6:$D$2005,"&gt;="&amp;THAM_SO_CC!$B$8,CC_OT_GIO!$D$6:$D$2005,"&lt;="&amp;THAM_SO_CC!$B$9))</f>
        <v/>
      </c>
      <c r="L70" s="108">
        <f>IF($B70="","",SUMIFS(CC_OT_GIO!$M$6:$M$2005,CC_OT_GIO!$B$6:$B$2005,$B70,CC_OT_GIO!$D$6:$D$2005,"&gt;="&amp;THAM_SO_CC!$B$8,CC_OT_GIO!$D$6:$D$2005,"&lt;="&amp;THAM_SO_CC!$B$9))</f>
        <v/>
      </c>
      <c r="M70" s="108">
        <f>IF($B70="","",SUMIFS(CC_OT_GIO!$N$6:$N$2005,CC_OT_GIO!$B$6:$B$2005,$B70,CC_OT_GIO!$D$6:$D$2005,"&gt;="&amp;THAM_SO_CC!$B$8,CC_OT_GIO!$D$6:$D$2005,"&lt;="&amp;THAM_SO_CC!$B$9))</f>
        <v/>
      </c>
      <c r="N70" s="108">
        <f>IF($B70="","",SUMIFS(CC_OT_GIO!$O$6:$O$2005,CC_OT_GIO!$B$6:$B$2005,$B70,CC_OT_GIO!$D$6:$D$2005,"&gt;="&amp;THAM_SO_CC!$B$8,CC_OT_GIO!$D$6:$D$2005,"&lt;="&amp;THAM_SO_CC!$B$9))</f>
        <v/>
      </c>
      <c r="O70" s="104">
        <f>IF($B70="","",BANG_CHAM_CONG!AL70)</f>
        <v/>
      </c>
      <c r="P70" s="104">
        <f>IF($B70="","",BANG_CHAM_CONG!AM70)</f>
        <v/>
      </c>
      <c r="Q70" s="104">
        <f>IF($B70="","",BANG_CHAM_CONG!AN70)</f>
        <v/>
      </c>
      <c r="R70" s="104">
        <f>IF($B70="","",BANG_CHAM_CONG!AO70)</f>
        <v/>
      </c>
      <c r="S70" s="104">
        <f>IF($B70="","",BANG_CHAM_CONG!AP70)</f>
        <v/>
      </c>
      <c r="T70" s="104">
        <f>IF($B70="","",BANG_CHAM_CONG!AQ70)</f>
        <v/>
      </c>
      <c r="U70" s="111">
        <f>IF($B70="","",SUM($I70:$N70))</f>
        <v/>
      </c>
      <c r="V70" s="96">
        <f>IF($B70="","",TRIM(BANG_CHAM_CONG!$AU70&amp;IF($U70&gt;60,"OT vượt 60 giờ/tháng – rà soát giới hạn làm thêm; ","")&amp;IF(AND($E70=0,SUM($O70:$T70)=0),"Chưa có dữ liệu chấm công; ","")&amp;IF($H70&gt;$G70,"Giờ đêm trong ca lớn hơn giờ thường; ","")))</f>
        <v/>
      </c>
    </row>
    <row r="71" ht="15" customHeight="1" s="63">
      <c r="A71" s="85">
        <f>IF($B71="","",ROW()-5)</f>
        <v/>
      </c>
      <c r="B71" s="103">
        <f>IF(BANG_CHAM_CONG!B71="","",BANG_CHAM_CONG!B71)</f>
        <v/>
      </c>
      <c r="C71" s="96">
        <f>IF($B71="","",BANG_CHAM_CONG!C71)</f>
        <v/>
      </c>
      <c r="D71" s="96">
        <f>IF($B71="","",BANG_CHAM_CONG!D71)</f>
        <v/>
      </c>
      <c r="E71" s="95">
        <f>IF($B71="","",BANG_CHAM_CONG!AK71)</f>
        <v/>
      </c>
      <c r="F71" s="109">
        <f>IF($B71="","",IF(DM_NHAN_SU!$H71="",THAM_SO_CC!$B$11,DM_NHAN_SU!$H71))</f>
        <v/>
      </c>
      <c r="G71" s="110">
        <f>IF($B71="","",ROUND($E71*$F71,2))</f>
        <v/>
      </c>
      <c r="H71" s="108">
        <f>IF($B71="","",SUMIFS(CC_OT_GIO!$F$6:$F$2005,CC_OT_GIO!$B$6:$B$2005,$B71,CC_OT_GIO!$D$6:$D$2005,"&gt;="&amp;THAM_SO_CC!$B$8,CC_OT_GIO!$D$6:$D$2005,"&lt;="&amp;THAM_SO_CC!$B$9))</f>
        <v/>
      </c>
      <c r="I71" s="108">
        <f>IF($B71="","",SUMIFS(CC_OT_GIO!$J$6:$J$2005,CC_OT_GIO!$B$6:$B$2005,$B71,CC_OT_GIO!$D$6:$D$2005,"&gt;="&amp;THAM_SO_CC!$B$8,CC_OT_GIO!$D$6:$D$2005,"&lt;="&amp;THAM_SO_CC!$B$9))</f>
        <v/>
      </c>
      <c r="J71" s="108">
        <f>IF($B71="","",SUMIFS(CC_OT_GIO!$K$6:$K$2005,CC_OT_GIO!$B$6:$B$2005,$B71,CC_OT_GIO!$D$6:$D$2005,"&gt;="&amp;THAM_SO_CC!$B$8,CC_OT_GIO!$D$6:$D$2005,"&lt;="&amp;THAM_SO_CC!$B$9))</f>
        <v/>
      </c>
      <c r="K71" s="108">
        <f>IF($B71="","",SUMIFS(CC_OT_GIO!$L$6:$L$2005,CC_OT_GIO!$B$6:$B$2005,$B71,CC_OT_GIO!$D$6:$D$2005,"&gt;="&amp;THAM_SO_CC!$B$8,CC_OT_GIO!$D$6:$D$2005,"&lt;="&amp;THAM_SO_CC!$B$9))</f>
        <v/>
      </c>
      <c r="L71" s="108">
        <f>IF($B71="","",SUMIFS(CC_OT_GIO!$M$6:$M$2005,CC_OT_GIO!$B$6:$B$2005,$B71,CC_OT_GIO!$D$6:$D$2005,"&gt;="&amp;THAM_SO_CC!$B$8,CC_OT_GIO!$D$6:$D$2005,"&lt;="&amp;THAM_SO_CC!$B$9))</f>
        <v/>
      </c>
      <c r="M71" s="108">
        <f>IF($B71="","",SUMIFS(CC_OT_GIO!$N$6:$N$2005,CC_OT_GIO!$B$6:$B$2005,$B71,CC_OT_GIO!$D$6:$D$2005,"&gt;="&amp;THAM_SO_CC!$B$8,CC_OT_GIO!$D$6:$D$2005,"&lt;="&amp;THAM_SO_CC!$B$9))</f>
        <v/>
      </c>
      <c r="N71" s="108">
        <f>IF($B71="","",SUMIFS(CC_OT_GIO!$O$6:$O$2005,CC_OT_GIO!$B$6:$B$2005,$B71,CC_OT_GIO!$D$6:$D$2005,"&gt;="&amp;THAM_SO_CC!$B$8,CC_OT_GIO!$D$6:$D$2005,"&lt;="&amp;THAM_SO_CC!$B$9))</f>
        <v/>
      </c>
      <c r="O71" s="104">
        <f>IF($B71="","",BANG_CHAM_CONG!AL71)</f>
        <v/>
      </c>
      <c r="P71" s="104">
        <f>IF($B71="","",BANG_CHAM_CONG!AM71)</f>
        <v/>
      </c>
      <c r="Q71" s="104">
        <f>IF($B71="","",BANG_CHAM_CONG!AN71)</f>
        <v/>
      </c>
      <c r="R71" s="104">
        <f>IF($B71="","",BANG_CHAM_CONG!AO71)</f>
        <v/>
      </c>
      <c r="S71" s="104">
        <f>IF($B71="","",BANG_CHAM_CONG!AP71)</f>
        <v/>
      </c>
      <c r="T71" s="104">
        <f>IF($B71="","",BANG_CHAM_CONG!AQ71)</f>
        <v/>
      </c>
      <c r="U71" s="111">
        <f>IF($B71="","",SUM($I71:$N71))</f>
        <v/>
      </c>
      <c r="V71" s="96">
        <f>IF($B71="","",TRIM(BANG_CHAM_CONG!$AU71&amp;IF($U71&gt;60,"OT vượt 60 giờ/tháng – rà soát giới hạn làm thêm; ","")&amp;IF(AND($E71=0,SUM($O71:$T71)=0),"Chưa có dữ liệu chấm công; ","")&amp;IF($H71&gt;$G71,"Giờ đêm trong ca lớn hơn giờ thường; ","")))</f>
        <v/>
      </c>
    </row>
    <row r="72" ht="15" customHeight="1" s="63">
      <c r="A72" s="85">
        <f>IF($B72="","",ROW()-5)</f>
        <v/>
      </c>
      <c r="B72" s="103">
        <f>IF(BANG_CHAM_CONG!B72="","",BANG_CHAM_CONG!B72)</f>
        <v/>
      </c>
      <c r="C72" s="96">
        <f>IF($B72="","",BANG_CHAM_CONG!C72)</f>
        <v/>
      </c>
      <c r="D72" s="96">
        <f>IF($B72="","",BANG_CHAM_CONG!D72)</f>
        <v/>
      </c>
      <c r="E72" s="95">
        <f>IF($B72="","",BANG_CHAM_CONG!AK72)</f>
        <v/>
      </c>
      <c r="F72" s="109">
        <f>IF($B72="","",IF(DM_NHAN_SU!$H72="",THAM_SO_CC!$B$11,DM_NHAN_SU!$H72))</f>
        <v/>
      </c>
      <c r="G72" s="110">
        <f>IF($B72="","",ROUND($E72*$F72,2))</f>
        <v/>
      </c>
      <c r="H72" s="108">
        <f>IF($B72="","",SUMIFS(CC_OT_GIO!$F$6:$F$2005,CC_OT_GIO!$B$6:$B$2005,$B72,CC_OT_GIO!$D$6:$D$2005,"&gt;="&amp;THAM_SO_CC!$B$8,CC_OT_GIO!$D$6:$D$2005,"&lt;="&amp;THAM_SO_CC!$B$9))</f>
        <v/>
      </c>
      <c r="I72" s="108">
        <f>IF($B72="","",SUMIFS(CC_OT_GIO!$J$6:$J$2005,CC_OT_GIO!$B$6:$B$2005,$B72,CC_OT_GIO!$D$6:$D$2005,"&gt;="&amp;THAM_SO_CC!$B$8,CC_OT_GIO!$D$6:$D$2005,"&lt;="&amp;THAM_SO_CC!$B$9))</f>
        <v/>
      </c>
      <c r="J72" s="108">
        <f>IF($B72="","",SUMIFS(CC_OT_GIO!$K$6:$K$2005,CC_OT_GIO!$B$6:$B$2005,$B72,CC_OT_GIO!$D$6:$D$2005,"&gt;="&amp;THAM_SO_CC!$B$8,CC_OT_GIO!$D$6:$D$2005,"&lt;="&amp;THAM_SO_CC!$B$9))</f>
        <v/>
      </c>
      <c r="K72" s="108">
        <f>IF($B72="","",SUMIFS(CC_OT_GIO!$L$6:$L$2005,CC_OT_GIO!$B$6:$B$2005,$B72,CC_OT_GIO!$D$6:$D$2005,"&gt;="&amp;THAM_SO_CC!$B$8,CC_OT_GIO!$D$6:$D$2005,"&lt;="&amp;THAM_SO_CC!$B$9))</f>
        <v/>
      </c>
      <c r="L72" s="108">
        <f>IF($B72="","",SUMIFS(CC_OT_GIO!$M$6:$M$2005,CC_OT_GIO!$B$6:$B$2005,$B72,CC_OT_GIO!$D$6:$D$2005,"&gt;="&amp;THAM_SO_CC!$B$8,CC_OT_GIO!$D$6:$D$2005,"&lt;="&amp;THAM_SO_CC!$B$9))</f>
        <v/>
      </c>
      <c r="M72" s="108">
        <f>IF($B72="","",SUMIFS(CC_OT_GIO!$N$6:$N$2005,CC_OT_GIO!$B$6:$B$2005,$B72,CC_OT_GIO!$D$6:$D$2005,"&gt;="&amp;THAM_SO_CC!$B$8,CC_OT_GIO!$D$6:$D$2005,"&lt;="&amp;THAM_SO_CC!$B$9))</f>
        <v/>
      </c>
      <c r="N72" s="108">
        <f>IF($B72="","",SUMIFS(CC_OT_GIO!$O$6:$O$2005,CC_OT_GIO!$B$6:$B$2005,$B72,CC_OT_GIO!$D$6:$D$2005,"&gt;="&amp;THAM_SO_CC!$B$8,CC_OT_GIO!$D$6:$D$2005,"&lt;="&amp;THAM_SO_CC!$B$9))</f>
        <v/>
      </c>
      <c r="O72" s="104">
        <f>IF($B72="","",BANG_CHAM_CONG!AL72)</f>
        <v/>
      </c>
      <c r="P72" s="104">
        <f>IF($B72="","",BANG_CHAM_CONG!AM72)</f>
        <v/>
      </c>
      <c r="Q72" s="104">
        <f>IF($B72="","",BANG_CHAM_CONG!AN72)</f>
        <v/>
      </c>
      <c r="R72" s="104">
        <f>IF($B72="","",BANG_CHAM_CONG!AO72)</f>
        <v/>
      </c>
      <c r="S72" s="104">
        <f>IF($B72="","",BANG_CHAM_CONG!AP72)</f>
        <v/>
      </c>
      <c r="T72" s="104">
        <f>IF($B72="","",BANG_CHAM_CONG!AQ72)</f>
        <v/>
      </c>
      <c r="U72" s="111">
        <f>IF($B72="","",SUM($I72:$N72))</f>
        <v/>
      </c>
      <c r="V72" s="96">
        <f>IF($B72="","",TRIM(BANG_CHAM_CONG!$AU72&amp;IF($U72&gt;60,"OT vượt 60 giờ/tháng – rà soát giới hạn làm thêm; ","")&amp;IF(AND($E72=0,SUM($O72:$T72)=0),"Chưa có dữ liệu chấm công; ","")&amp;IF($H72&gt;$G72,"Giờ đêm trong ca lớn hơn giờ thường; ","")))</f>
        <v/>
      </c>
    </row>
    <row r="73" ht="15" customHeight="1" s="63">
      <c r="A73" s="85">
        <f>IF($B73="","",ROW()-5)</f>
        <v/>
      </c>
      <c r="B73" s="103">
        <f>IF(BANG_CHAM_CONG!B73="","",BANG_CHAM_CONG!B73)</f>
        <v/>
      </c>
      <c r="C73" s="96">
        <f>IF($B73="","",BANG_CHAM_CONG!C73)</f>
        <v/>
      </c>
      <c r="D73" s="96">
        <f>IF($B73="","",BANG_CHAM_CONG!D73)</f>
        <v/>
      </c>
      <c r="E73" s="95">
        <f>IF($B73="","",BANG_CHAM_CONG!AK73)</f>
        <v/>
      </c>
      <c r="F73" s="109">
        <f>IF($B73="","",IF(DM_NHAN_SU!$H73="",THAM_SO_CC!$B$11,DM_NHAN_SU!$H73))</f>
        <v/>
      </c>
      <c r="G73" s="110">
        <f>IF($B73="","",ROUND($E73*$F73,2))</f>
        <v/>
      </c>
      <c r="H73" s="108">
        <f>IF($B73="","",SUMIFS(CC_OT_GIO!$F$6:$F$2005,CC_OT_GIO!$B$6:$B$2005,$B73,CC_OT_GIO!$D$6:$D$2005,"&gt;="&amp;THAM_SO_CC!$B$8,CC_OT_GIO!$D$6:$D$2005,"&lt;="&amp;THAM_SO_CC!$B$9))</f>
        <v/>
      </c>
      <c r="I73" s="108">
        <f>IF($B73="","",SUMIFS(CC_OT_GIO!$J$6:$J$2005,CC_OT_GIO!$B$6:$B$2005,$B73,CC_OT_GIO!$D$6:$D$2005,"&gt;="&amp;THAM_SO_CC!$B$8,CC_OT_GIO!$D$6:$D$2005,"&lt;="&amp;THAM_SO_CC!$B$9))</f>
        <v/>
      </c>
      <c r="J73" s="108">
        <f>IF($B73="","",SUMIFS(CC_OT_GIO!$K$6:$K$2005,CC_OT_GIO!$B$6:$B$2005,$B73,CC_OT_GIO!$D$6:$D$2005,"&gt;="&amp;THAM_SO_CC!$B$8,CC_OT_GIO!$D$6:$D$2005,"&lt;="&amp;THAM_SO_CC!$B$9))</f>
        <v/>
      </c>
      <c r="K73" s="108">
        <f>IF($B73="","",SUMIFS(CC_OT_GIO!$L$6:$L$2005,CC_OT_GIO!$B$6:$B$2005,$B73,CC_OT_GIO!$D$6:$D$2005,"&gt;="&amp;THAM_SO_CC!$B$8,CC_OT_GIO!$D$6:$D$2005,"&lt;="&amp;THAM_SO_CC!$B$9))</f>
        <v/>
      </c>
      <c r="L73" s="108">
        <f>IF($B73="","",SUMIFS(CC_OT_GIO!$M$6:$M$2005,CC_OT_GIO!$B$6:$B$2005,$B73,CC_OT_GIO!$D$6:$D$2005,"&gt;="&amp;THAM_SO_CC!$B$8,CC_OT_GIO!$D$6:$D$2005,"&lt;="&amp;THAM_SO_CC!$B$9))</f>
        <v/>
      </c>
      <c r="M73" s="108">
        <f>IF($B73="","",SUMIFS(CC_OT_GIO!$N$6:$N$2005,CC_OT_GIO!$B$6:$B$2005,$B73,CC_OT_GIO!$D$6:$D$2005,"&gt;="&amp;THAM_SO_CC!$B$8,CC_OT_GIO!$D$6:$D$2005,"&lt;="&amp;THAM_SO_CC!$B$9))</f>
        <v/>
      </c>
      <c r="N73" s="108">
        <f>IF($B73="","",SUMIFS(CC_OT_GIO!$O$6:$O$2005,CC_OT_GIO!$B$6:$B$2005,$B73,CC_OT_GIO!$D$6:$D$2005,"&gt;="&amp;THAM_SO_CC!$B$8,CC_OT_GIO!$D$6:$D$2005,"&lt;="&amp;THAM_SO_CC!$B$9))</f>
        <v/>
      </c>
      <c r="O73" s="104">
        <f>IF($B73="","",BANG_CHAM_CONG!AL73)</f>
        <v/>
      </c>
      <c r="P73" s="104">
        <f>IF($B73="","",BANG_CHAM_CONG!AM73)</f>
        <v/>
      </c>
      <c r="Q73" s="104">
        <f>IF($B73="","",BANG_CHAM_CONG!AN73)</f>
        <v/>
      </c>
      <c r="R73" s="104">
        <f>IF($B73="","",BANG_CHAM_CONG!AO73)</f>
        <v/>
      </c>
      <c r="S73" s="104">
        <f>IF($B73="","",BANG_CHAM_CONG!AP73)</f>
        <v/>
      </c>
      <c r="T73" s="104">
        <f>IF($B73="","",BANG_CHAM_CONG!AQ73)</f>
        <v/>
      </c>
      <c r="U73" s="111">
        <f>IF($B73="","",SUM($I73:$N73))</f>
        <v/>
      </c>
      <c r="V73" s="96">
        <f>IF($B73="","",TRIM(BANG_CHAM_CONG!$AU73&amp;IF($U73&gt;60,"OT vượt 60 giờ/tháng – rà soát giới hạn làm thêm; ","")&amp;IF(AND($E73=0,SUM($O73:$T73)=0),"Chưa có dữ liệu chấm công; ","")&amp;IF($H73&gt;$G73,"Giờ đêm trong ca lớn hơn giờ thường; ","")))</f>
        <v/>
      </c>
    </row>
    <row r="74" ht="15" customHeight="1" s="63">
      <c r="A74" s="85">
        <f>IF($B74="","",ROW()-5)</f>
        <v/>
      </c>
      <c r="B74" s="103">
        <f>IF(BANG_CHAM_CONG!B74="","",BANG_CHAM_CONG!B74)</f>
        <v/>
      </c>
      <c r="C74" s="96">
        <f>IF($B74="","",BANG_CHAM_CONG!C74)</f>
        <v/>
      </c>
      <c r="D74" s="96">
        <f>IF($B74="","",BANG_CHAM_CONG!D74)</f>
        <v/>
      </c>
      <c r="E74" s="95">
        <f>IF($B74="","",BANG_CHAM_CONG!AK74)</f>
        <v/>
      </c>
      <c r="F74" s="109">
        <f>IF($B74="","",IF(DM_NHAN_SU!$H74="",THAM_SO_CC!$B$11,DM_NHAN_SU!$H74))</f>
        <v/>
      </c>
      <c r="G74" s="110">
        <f>IF($B74="","",ROUND($E74*$F74,2))</f>
        <v/>
      </c>
      <c r="H74" s="108">
        <f>IF($B74="","",SUMIFS(CC_OT_GIO!$F$6:$F$2005,CC_OT_GIO!$B$6:$B$2005,$B74,CC_OT_GIO!$D$6:$D$2005,"&gt;="&amp;THAM_SO_CC!$B$8,CC_OT_GIO!$D$6:$D$2005,"&lt;="&amp;THAM_SO_CC!$B$9))</f>
        <v/>
      </c>
      <c r="I74" s="108">
        <f>IF($B74="","",SUMIFS(CC_OT_GIO!$J$6:$J$2005,CC_OT_GIO!$B$6:$B$2005,$B74,CC_OT_GIO!$D$6:$D$2005,"&gt;="&amp;THAM_SO_CC!$B$8,CC_OT_GIO!$D$6:$D$2005,"&lt;="&amp;THAM_SO_CC!$B$9))</f>
        <v/>
      </c>
      <c r="J74" s="108">
        <f>IF($B74="","",SUMIFS(CC_OT_GIO!$K$6:$K$2005,CC_OT_GIO!$B$6:$B$2005,$B74,CC_OT_GIO!$D$6:$D$2005,"&gt;="&amp;THAM_SO_CC!$B$8,CC_OT_GIO!$D$6:$D$2005,"&lt;="&amp;THAM_SO_CC!$B$9))</f>
        <v/>
      </c>
      <c r="K74" s="108">
        <f>IF($B74="","",SUMIFS(CC_OT_GIO!$L$6:$L$2005,CC_OT_GIO!$B$6:$B$2005,$B74,CC_OT_GIO!$D$6:$D$2005,"&gt;="&amp;THAM_SO_CC!$B$8,CC_OT_GIO!$D$6:$D$2005,"&lt;="&amp;THAM_SO_CC!$B$9))</f>
        <v/>
      </c>
      <c r="L74" s="108">
        <f>IF($B74="","",SUMIFS(CC_OT_GIO!$M$6:$M$2005,CC_OT_GIO!$B$6:$B$2005,$B74,CC_OT_GIO!$D$6:$D$2005,"&gt;="&amp;THAM_SO_CC!$B$8,CC_OT_GIO!$D$6:$D$2005,"&lt;="&amp;THAM_SO_CC!$B$9))</f>
        <v/>
      </c>
      <c r="M74" s="108">
        <f>IF($B74="","",SUMIFS(CC_OT_GIO!$N$6:$N$2005,CC_OT_GIO!$B$6:$B$2005,$B74,CC_OT_GIO!$D$6:$D$2005,"&gt;="&amp;THAM_SO_CC!$B$8,CC_OT_GIO!$D$6:$D$2005,"&lt;="&amp;THAM_SO_CC!$B$9))</f>
        <v/>
      </c>
      <c r="N74" s="108">
        <f>IF($B74="","",SUMIFS(CC_OT_GIO!$O$6:$O$2005,CC_OT_GIO!$B$6:$B$2005,$B74,CC_OT_GIO!$D$6:$D$2005,"&gt;="&amp;THAM_SO_CC!$B$8,CC_OT_GIO!$D$6:$D$2005,"&lt;="&amp;THAM_SO_CC!$B$9))</f>
        <v/>
      </c>
      <c r="O74" s="104">
        <f>IF($B74="","",BANG_CHAM_CONG!AL74)</f>
        <v/>
      </c>
      <c r="P74" s="104">
        <f>IF($B74="","",BANG_CHAM_CONG!AM74)</f>
        <v/>
      </c>
      <c r="Q74" s="104">
        <f>IF($B74="","",BANG_CHAM_CONG!AN74)</f>
        <v/>
      </c>
      <c r="R74" s="104">
        <f>IF($B74="","",BANG_CHAM_CONG!AO74)</f>
        <v/>
      </c>
      <c r="S74" s="104">
        <f>IF($B74="","",BANG_CHAM_CONG!AP74)</f>
        <v/>
      </c>
      <c r="T74" s="104">
        <f>IF($B74="","",BANG_CHAM_CONG!AQ74)</f>
        <v/>
      </c>
      <c r="U74" s="111">
        <f>IF($B74="","",SUM($I74:$N74))</f>
        <v/>
      </c>
      <c r="V74" s="96">
        <f>IF($B74="","",TRIM(BANG_CHAM_CONG!$AU74&amp;IF($U74&gt;60,"OT vượt 60 giờ/tháng – rà soát giới hạn làm thêm; ","")&amp;IF(AND($E74=0,SUM($O74:$T74)=0),"Chưa có dữ liệu chấm công; ","")&amp;IF($H74&gt;$G74,"Giờ đêm trong ca lớn hơn giờ thường; ","")))</f>
        <v/>
      </c>
    </row>
    <row r="75" ht="15" customHeight="1" s="63">
      <c r="A75" s="85">
        <f>IF($B75="","",ROW()-5)</f>
        <v/>
      </c>
      <c r="B75" s="103">
        <f>IF(BANG_CHAM_CONG!B75="","",BANG_CHAM_CONG!B75)</f>
        <v/>
      </c>
      <c r="C75" s="96">
        <f>IF($B75="","",BANG_CHAM_CONG!C75)</f>
        <v/>
      </c>
      <c r="D75" s="96">
        <f>IF($B75="","",BANG_CHAM_CONG!D75)</f>
        <v/>
      </c>
      <c r="E75" s="95">
        <f>IF($B75="","",BANG_CHAM_CONG!AK75)</f>
        <v/>
      </c>
      <c r="F75" s="109">
        <f>IF($B75="","",IF(DM_NHAN_SU!$H75="",THAM_SO_CC!$B$11,DM_NHAN_SU!$H75))</f>
        <v/>
      </c>
      <c r="G75" s="110">
        <f>IF($B75="","",ROUND($E75*$F75,2))</f>
        <v/>
      </c>
      <c r="H75" s="108">
        <f>IF($B75="","",SUMIFS(CC_OT_GIO!$F$6:$F$2005,CC_OT_GIO!$B$6:$B$2005,$B75,CC_OT_GIO!$D$6:$D$2005,"&gt;="&amp;THAM_SO_CC!$B$8,CC_OT_GIO!$D$6:$D$2005,"&lt;="&amp;THAM_SO_CC!$B$9))</f>
        <v/>
      </c>
      <c r="I75" s="108">
        <f>IF($B75="","",SUMIFS(CC_OT_GIO!$J$6:$J$2005,CC_OT_GIO!$B$6:$B$2005,$B75,CC_OT_GIO!$D$6:$D$2005,"&gt;="&amp;THAM_SO_CC!$B$8,CC_OT_GIO!$D$6:$D$2005,"&lt;="&amp;THAM_SO_CC!$B$9))</f>
        <v/>
      </c>
      <c r="J75" s="108">
        <f>IF($B75="","",SUMIFS(CC_OT_GIO!$K$6:$K$2005,CC_OT_GIO!$B$6:$B$2005,$B75,CC_OT_GIO!$D$6:$D$2005,"&gt;="&amp;THAM_SO_CC!$B$8,CC_OT_GIO!$D$6:$D$2005,"&lt;="&amp;THAM_SO_CC!$B$9))</f>
        <v/>
      </c>
      <c r="K75" s="108">
        <f>IF($B75="","",SUMIFS(CC_OT_GIO!$L$6:$L$2005,CC_OT_GIO!$B$6:$B$2005,$B75,CC_OT_GIO!$D$6:$D$2005,"&gt;="&amp;THAM_SO_CC!$B$8,CC_OT_GIO!$D$6:$D$2005,"&lt;="&amp;THAM_SO_CC!$B$9))</f>
        <v/>
      </c>
      <c r="L75" s="108">
        <f>IF($B75="","",SUMIFS(CC_OT_GIO!$M$6:$M$2005,CC_OT_GIO!$B$6:$B$2005,$B75,CC_OT_GIO!$D$6:$D$2005,"&gt;="&amp;THAM_SO_CC!$B$8,CC_OT_GIO!$D$6:$D$2005,"&lt;="&amp;THAM_SO_CC!$B$9))</f>
        <v/>
      </c>
      <c r="M75" s="108">
        <f>IF($B75="","",SUMIFS(CC_OT_GIO!$N$6:$N$2005,CC_OT_GIO!$B$6:$B$2005,$B75,CC_OT_GIO!$D$6:$D$2005,"&gt;="&amp;THAM_SO_CC!$B$8,CC_OT_GIO!$D$6:$D$2005,"&lt;="&amp;THAM_SO_CC!$B$9))</f>
        <v/>
      </c>
      <c r="N75" s="108">
        <f>IF($B75="","",SUMIFS(CC_OT_GIO!$O$6:$O$2005,CC_OT_GIO!$B$6:$B$2005,$B75,CC_OT_GIO!$D$6:$D$2005,"&gt;="&amp;THAM_SO_CC!$B$8,CC_OT_GIO!$D$6:$D$2005,"&lt;="&amp;THAM_SO_CC!$B$9))</f>
        <v/>
      </c>
      <c r="O75" s="104">
        <f>IF($B75="","",BANG_CHAM_CONG!AL75)</f>
        <v/>
      </c>
      <c r="P75" s="104">
        <f>IF($B75="","",BANG_CHAM_CONG!AM75)</f>
        <v/>
      </c>
      <c r="Q75" s="104">
        <f>IF($B75="","",BANG_CHAM_CONG!AN75)</f>
        <v/>
      </c>
      <c r="R75" s="104">
        <f>IF($B75="","",BANG_CHAM_CONG!AO75)</f>
        <v/>
      </c>
      <c r="S75" s="104">
        <f>IF($B75="","",BANG_CHAM_CONG!AP75)</f>
        <v/>
      </c>
      <c r="T75" s="104">
        <f>IF($B75="","",BANG_CHAM_CONG!AQ75)</f>
        <v/>
      </c>
      <c r="U75" s="111">
        <f>IF($B75="","",SUM($I75:$N75))</f>
        <v/>
      </c>
      <c r="V75" s="96">
        <f>IF($B75="","",TRIM(BANG_CHAM_CONG!$AU75&amp;IF($U75&gt;60,"OT vượt 60 giờ/tháng – rà soát giới hạn làm thêm; ","")&amp;IF(AND($E75=0,SUM($O75:$T75)=0),"Chưa có dữ liệu chấm công; ","")&amp;IF($H75&gt;$G75,"Giờ đêm trong ca lớn hơn giờ thường; ","")))</f>
        <v/>
      </c>
    </row>
    <row r="76" ht="15" customHeight="1" s="63">
      <c r="A76" s="85">
        <f>IF($B76="","",ROW()-5)</f>
        <v/>
      </c>
      <c r="B76" s="103">
        <f>IF(BANG_CHAM_CONG!B76="","",BANG_CHAM_CONG!B76)</f>
        <v/>
      </c>
      <c r="C76" s="96">
        <f>IF($B76="","",BANG_CHAM_CONG!C76)</f>
        <v/>
      </c>
      <c r="D76" s="96">
        <f>IF($B76="","",BANG_CHAM_CONG!D76)</f>
        <v/>
      </c>
      <c r="E76" s="95">
        <f>IF($B76="","",BANG_CHAM_CONG!AK76)</f>
        <v/>
      </c>
      <c r="F76" s="109">
        <f>IF($B76="","",IF(DM_NHAN_SU!$H76="",THAM_SO_CC!$B$11,DM_NHAN_SU!$H76))</f>
        <v/>
      </c>
      <c r="G76" s="110">
        <f>IF($B76="","",ROUND($E76*$F76,2))</f>
        <v/>
      </c>
      <c r="H76" s="108">
        <f>IF($B76="","",SUMIFS(CC_OT_GIO!$F$6:$F$2005,CC_OT_GIO!$B$6:$B$2005,$B76,CC_OT_GIO!$D$6:$D$2005,"&gt;="&amp;THAM_SO_CC!$B$8,CC_OT_GIO!$D$6:$D$2005,"&lt;="&amp;THAM_SO_CC!$B$9))</f>
        <v/>
      </c>
      <c r="I76" s="108">
        <f>IF($B76="","",SUMIFS(CC_OT_GIO!$J$6:$J$2005,CC_OT_GIO!$B$6:$B$2005,$B76,CC_OT_GIO!$D$6:$D$2005,"&gt;="&amp;THAM_SO_CC!$B$8,CC_OT_GIO!$D$6:$D$2005,"&lt;="&amp;THAM_SO_CC!$B$9))</f>
        <v/>
      </c>
      <c r="J76" s="108">
        <f>IF($B76="","",SUMIFS(CC_OT_GIO!$K$6:$K$2005,CC_OT_GIO!$B$6:$B$2005,$B76,CC_OT_GIO!$D$6:$D$2005,"&gt;="&amp;THAM_SO_CC!$B$8,CC_OT_GIO!$D$6:$D$2005,"&lt;="&amp;THAM_SO_CC!$B$9))</f>
        <v/>
      </c>
      <c r="K76" s="108">
        <f>IF($B76="","",SUMIFS(CC_OT_GIO!$L$6:$L$2005,CC_OT_GIO!$B$6:$B$2005,$B76,CC_OT_GIO!$D$6:$D$2005,"&gt;="&amp;THAM_SO_CC!$B$8,CC_OT_GIO!$D$6:$D$2005,"&lt;="&amp;THAM_SO_CC!$B$9))</f>
        <v/>
      </c>
      <c r="L76" s="108">
        <f>IF($B76="","",SUMIFS(CC_OT_GIO!$M$6:$M$2005,CC_OT_GIO!$B$6:$B$2005,$B76,CC_OT_GIO!$D$6:$D$2005,"&gt;="&amp;THAM_SO_CC!$B$8,CC_OT_GIO!$D$6:$D$2005,"&lt;="&amp;THAM_SO_CC!$B$9))</f>
        <v/>
      </c>
      <c r="M76" s="108">
        <f>IF($B76="","",SUMIFS(CC_OT_GIO!$N$6:$N$2005,CC_OT_GIO!$B$6:$B$2005,$B76,CC_OT_GIO!$D$6:$D$2005,"&gt;="&amp;THAM_SO_CC!$B$8,CC_OT_GIO!$D$6:$D$2005,"&lt;="&amp;THAM_SO_CC!$B$9))</f>
        <v/>
      </c>
      <c r="N76" s="108">
        <f>IF($B76="","",SUMIFS(CC_OT_GIO!$O$6:$O$2005,CC_OT_GIO!$B$6:$B$2005,$B76,CC_OT_GIO!$D$6:$D$2005,"&gt;="&amp;THAM_SO_CC!$B$8,CC_OT_GIO!$D$6:$D$2005,"&lt;="&amp;THAM_SO_CC!$B$9))</f>
        <v/>
      </c>
      <c r="O76" s="104">
        <f>IF($B76="","",BANG_CHAM_CONG!AL76)</f>
        <v/>
      </c>
      <c r="P76" s="104">
        <f>IF($B76="","",BANG_CHAM_CONG!AM76)</f>
        <v/>
      </c>
      <c r="Q76" s="104">
        <f>IF($B76="","",BANG_CHAM_CONG!AN76)</f>
        <v/>
      </c>
      <c r="R76" s="104">
        <f>IF($B76="","",BANG_CHAM_CONG!AO76)</f>
        <v/>
      </c>
      <c r="S76" s="104">
        <f>IF($B76="","",BANG_CHAM_CONG!AP76)</f>
        <v/>
      </c>
      <c r="T76" s="104">
        <f>IF($B76="","",BANG_CHAM_CONG!AQ76)</f>
        <v/>
      </c>
      <c r="U76" s="111">
        <f>IF($B76="","",SUM($I76:$N76))</f>
        <v/>
      </c>
      <c r="V76" s="96">
        <f>IF($B76="","",TRIM(BANG_CHAM_CONG!$AU76&amp;IF($U76&gt;60,"OT vượt 60 giờ/tháng – rà soát giới hạn làm thêm; ","")&amp;IF(AND($E76=0,SUM($O76:$T76)=0),"Chưa có dữ liệu chấm công; ","")&amp;IF($H76&gt;$G76,"Giờ đêm trong ca lớn hơn giờ thường; ","")))</f>
        <v/>
      </c>
    </row>
    <row r="77" ht="15" customHeight="1" s="63">
      <c r="A77" s="85">
        <f>IF($B77="","",ROW()-5)</f>
        <v/>
      </c>
      <c r="B77" s="103">
        <f>IF(BANG_CHAM_CONG!B77="","",BANG_CHAM_CONG!B77)</f>
        <v/>
      </c>
      <c r="C77" s="96">
        <f>IF($B77="","",BANG_CHAM_CONG!C77)</f>
        <v/>
      </c>
      <c r="D77" s="96">
        <f>IF($B77="","",BANG_CHAM_CONG!D77)</f>
        <v/>
      </c>
      <c r="E77" s="95">
        <f>IF($B77="","",BANG_CHAM_CONG!AK77)</f>
        <v/>
      </c>
      <c r="F77" s="109">
        <f>IF($B77="","",IF(DM_NHAN_SU!$H77="",THAM_SO_CC!$B$11,DM_NHAN_SU!$H77))</f>
        <v/>
      </c>
      <c r="G77" s="110">
        <f>IF($B77="","",ROUND($E77*$F77,2))</f>
        <v/>
      </c>
      <c r="H77" s="108">
        <f>IF($B77="","",SUMIFS(CC_OT_GIO!$F$6:$F$2005,CC_OT_GIO!$B$6:$B$2005,$B77,CC_OT_GIO!$D$6:$D$2005,"&gt;="&amp;THAM_SO_CC!$B$8,CC_OT_GIO!$D$6:$D$2005,"&lt;="&amp;THAM_SO_CC!$B$9))</f>
        <v/>
      </c>
      <c r="I77" s="108">
        <f>IF($B77="","",SUMIFS(CC_OT_GIO!$J$6:$J$2005,CC_OT_GIO!$B$6:$B$2005,$B77,CC_OT_GIO!$D$6:$D$2005,"&gt;="&amp;THAM_SO_CC!$B$8,CC_OT_GIO!$D$6:$D$2005,"&lt;="&amp;THAM_SO_CC!$B$9))</f>
        <v/>
      </c>
      <c r="J77" s="108">
        <f>IF($B77="","",SUMIFS(CC_OT_GIO!$K$6:$K$2005,CC_OT_GIO!$B$6:$B$2005,$B77,CC_OT_GIO!$D$6:$D$2005,"&gt;="&amp;THAM_SO_CC!$B$8,CC_OT_GIO!$D$6:$D$2005,"&lt;="&amp;THAM_SO_CC!$B$9))</f>
        <v/>
      </c>
      <c r="K77" s="108">
        <f>IF($B77="","",SUMIFS(CC_OT_GIO!$L$6:$L$2005,CC_OT_GIO!$B$6:$B$2005,$B77,CC_OT_GIO!$D$6:$D$2005,"&gt;="&amp;THAM_SO_CC!$B$8,CC_OT_GIO!$D$6:$D$2005,"&lt;="&amp;THAM_SO_CC!$B$9))</f>
        <v/>
      </c>
      <c r="L77" s="108">
        <f>IF($B77="","",SUMIFS(CC_OT_GIO!$M$6:$M$2005,CC_OT_GIO!$B$6:$B$2005,$B77,CC_OT_GIO!$D$6:$D$2005,"&gt;="&amp;THAM_SO_CC!$B$8,CC_OT_GIO!$D$6:$D$2005,"&lt;="&amp;THAM_SO_CC!$B$9))</f>
        <v/>
      </c>
      <c r="M77" s="108">
        <f>IF($B77="","",SUMIFS(CC_OT_GIO!$N$6:$N$2005,CC_OT_GIO!$B$6:$B$2005,$B77,CC_OT_GIO!$D$6:$D$2005,"&gt;="&amp;THAM_SO_CC!$B$8,CC_OT_GIO!$D$6:$D$2005,"&lt;="&amp;THAM_SO_CC!$B$9))</f>
        <v/>
      </c>
      <c r="N77" s="108">
        <f>IF($B77="","",SUMIFS(CC_OT_GIO!$O$6:$O$2005,CC_OT_GIO!$B$6:$B$2005,$B77,CC_OT_GIO!$D$6:$D$2005,"&gt;="&amp;THAM_SO_CC!$B$8,CC_OT_GIO!$D$6:$D$2005,"&lt;="&amp;THAM_SO_CC!$B$9))</f>
        <v/>
      </c>
      <c r="O77" s="104">
        <f>IF($B77="","",BANG_CHAM_CONG!AL77)</f>
        <v/>
      </c>
      <c r="P77" s="104">
        <f>IF($B77="","",BANG_CHAM_CONG!AM77)</f>
        <v/>
      </c>
      <c r="Q77" s="104">
        <f>IF($B77="","",BANG_CHAM_CONG!AN77)</f>
        <v/>
      </c>
      <c r="R77" s="104">
        <f>IF($B77="","",BANG_CHAM_CONG!AO77)</f>
        <v/>
      </c>
      <c r="S77" s="104">
        <f>IF($B77="","",BANG_CHAM_CONG!AP77)</f>
        <v/>
      </c>
      <c r="T77" s="104">
        <f>IF($B77="","",BANG_CHAM_CONG!AQ77)</f>
        <v/>
      </c>
      <c r="U77" s="111">
        <f>IF($B77="","",SUM($I77:$N77))</f>
        <v/>
      </c>
      <c r="V77" s="96">
        <f>IF($B77="","",TRIM(BANG_CHAM_CONG!$AU77&amp;IF($U77&gt;60,"OT vượt 60 giờ/tháng – rà soát giới hạn làm thêm; ","")&amp;IF(AND($E77=0,SUM($O77:$T77)=0),"Chưa có dữ liệu chấm công; ","")&amp;IF($H77&gt;$G77,"Giờ đêm trong ca lớn hơn giờ thường; ","")))</f>
        <v/>
      </c>
    </row>
    <row r="78" ht="15" customHeight="1" s="63">
      <c r="A78" s="85">
        <f>IF($B78="","",ROW()-5)</f>
        <v/>
      </c>
      <c r="B78" s="103">
        <f>IF(BANG_CHAM_CONG!B78="","",BANG_CHAM_CONG!B78)</f>
        <v/>
      </c>
      <c r="C78" s="96">
        <f>IF($B78="","",BANG_CHAM_CONG!C78)</f>
        <v/>
      </c>
      <c r="D78" s="96">
        <f>IF($B78="","",BANG_CHAM_CONG!D78)</f>
        <v/>
      </c>
      <c r="E78" s="95">
        <f>IF($B78="","",BANG_CHAM_CONG!AK78)</f>
        <v/>
      </c>
      <c r="F78" s="109">
        <f>IF($B78="","",IF(DM_NHAN_SU!$H78="",THAM_SO_CC!$B$11,DM_NHAN_SU!$H78))</f>
        <v/>
      </c>
      <c r="G78" s="110">
        <f>IF($B78="","",ROUND($E78*$F78,2))</f>
        <v/>
      </c>
      <c r="H78" s="108">
        <f>IF($B78="","",SUMIFS(CC_OT_GIO!$F$6:$F$2005,CC_OT_GIO!$B$6:$B$2005,$B78,CC_OT_GIO!$D$6:$D$2005,"&gt;="&amp;THAM_SO_CC!$B$8,CC_OT_GIO!$D$6:$D$2005,"&lt;="&amp;THAM_SO_CC!$B$9))</f>
        <v/>
      </c>
      <c r="I78" s="108">
        <f>IF($B78="","",SUMIFS(CC_OT_GIO!$J$6:$J$2005,CC_OT_GIO!$B$6:$B$2005,$B78,CC_OT_GIO!$D$6:$D$2005,"&gt;="&amp;THAM_SO_CC!$B$8,CC_OT_GIO!$D$6:$D$2005,"&lt;="&amp;THAM_SO_CC!$B$9))</f>
        <v/>
      </c>
      <c r="J78" s="108">
        <f>IF($B78="","",SUMIFS(CC_OT_GIO!$K$6:$K$2005,CC_OT_GIO!$B$6:$B$2005,$B78,CC_OT_GIO!$D$6:$D$2005,"&gt;="&amp;THAM_SO_CC!$B$8,CC_OT_GIO!$D$6:$D$2005,"&lt;="&amp;THAM_SO_CC!$B$9))</f>
        <v/>
      </c>
      <c r="K78" s="108">
        <f>IF($B78="","",SUMIFS(CC_OT_GIO!$L$6:$L$2005,CC_OT_GIO!$B$6:$B$2005,$B78,CC_OT_GIO!$D$6:$D$2005,"&gt;="&amp;THAM_SO_CC!$B$8,CC_OT_GIO!$D$6:$D$2005,"&lt;="&amp;THAM_SO_CC!$B$9))</f>
        <v/>
      </c>
      <c r="L78" s="108">
        <f>IF($B78="","",SUMIFS(CC_OT_GIO!$M$6:$M$2005,CC_OT_GIO!$B$6:$B$2005,$B78,CC_OT_GIO!$D$6:$D$2005,"&gt;="&amp;THAM_SO_CC!$B$8,CC_OT_GIO!$D$6:$D$2005,"&lt;="&amp;THAM_SO_CC!$B$9))</f>
        <v/>
      </c>
      <c r="M78" s="108">
        <f>IF($B78="","",SUMIFS(CC_OT_GIO!$N$6:$N$2005,CC_OT_GIO!$B$6:$B$2005,$B78,CC_OT_GIO!$D$6:$D$2005,"&gt;="&amp;THAM_SO_CC!$B$8,CC_OT_GIO!$D$6:$D$2005,"&lt;="&amp;THAM_SO_CC!$B$9))</f>
        <v/>
      </c>
      <c r="N78" s="108">
        <f>IF($B78="","",SUMIFS(CC_OT_GIO!$O$6:$O$2005,CC_OT_GIO!$B$6:$B$2005,$B78,CC_OT_GIO!$D$6:$D$2005,"&gt;="&amp;THAM_SO_CC!$B$8,CC_OT_GIO!$D$6:$D$2005,"&lt;="&amp;THAM_SO_CC!$B$9))</f>
        <v/>
      </c>
      <c r="O78" s="104">
        <f>IF($B78="","",BANG_CHAM_CONG!AL78)</f>
        <v/>
      </c>
      <c r="P78" s="104">
        <f>IF($B78="","",BANG_CHAM_CONG!AM78)</f>
        <v/>
      </c>
      <c r="Q78" s="104">
        <f>IF($B78="","",BANG_CHAM_CONG!AN78)</f>
        <v/>
      </c>
      <c r="R78" s="104">
        <f>IF($B78="","",BANG_CHAM_CONG!AO78)</f>
        <v/>
      </c>
      <c r="S78" s="104">
        <f>IF($B78="","",BANG_CHAM_CONG!AP78)</f>
        <v/>
      </c>
      <c r="T78" s="104">
        <f>IF($B78="","",BANG_CHAM_CONG!AQ78)</f>
        <v/>
      </c>
      <c r="U78" s="111">
        <f>IF($B78="","",SUM($I78:$N78))</f>
        <v/>
      </c>
      <c r="V78" s="96">
        <f>IF($B78="","",TRIM(BANG_CHAM_CONG!$AU78&amp;IF($U78&gt;60,"OT vượt 60 giờ/tháng – rà soát giới hạn làm thêm; ","")&amp;IF(AND($E78=0,SUM($O78:$T78)=0),"Chưa có dữ liệu chấm công; ","")&amp;IF($H78&gt;$G78,"Giờ đêm trong ca lớn hơn giờ thường; ","")))</f>
        <v/>
      </c>
    </row>
    <row r="79" ht="15" customHeight="1" s="63">
      <c r="A79" s="85">
        <f>IF($B79="","",ROW()-5)</f>
        <v/>
      </c>
      <c r="B79" s="103">
        <f>IF(BANG_CHAM_CONG!B79="","",BANG_CHAM_CONG!B79)</f>
        <v/>
      </c>
      <c r="C79" s="96">
        <f>IF($B79="","",BANG_CHAM_CONG!C79)</f>
        <v/>
      </c>
      <c r="D79" s="96">
        <f>IF($B79="","",BANG_CHAM_CONG!D79)</f>
        <v/>
      </c>
      <c r="E79" s="95">
        <f>IF($B79="","",BANG_CHAM_CONG!AK79)</f>
        <v/>
      </c>
      <c r="F79" s="109">
        <f>IF($B79="","",IF(DM_NHAN_SU!$H79="",THAM_SO_CC!$B$11,DM_NHAN_SU!$H79))</f>
        <v/>
      </c>
      <c r="G79" s="110">
        <f>IF($B79="","",ROUND($E79*$F79,2))</f>
        <v/>
      </c>
      <c r="H79" s="108">
        <f>IF($B79="","",SUMIFS(CC_OT_GIO!$F$6:$F$2005,CC_OT_GIO!$B$6:$B$2005,$B79,CC_OT_GIO!$D$6:$D$2005,"&gt;="&amp;THAM_SO_CC!$B$8,CC_OT_GIO!$D$6:$D$2005,"&lt;="&amp;THAM_SO_CC!$B$9))</f>
        <v/>
      </c>
      <c r="I79" s="108">
        <f>IF($B79="","",SUMIFS(CC_OT_GIO!$J$6:$J$2005,CC_OT_GIO!$B$6:$B$2005,$B79,CC_OT_GIO!$D$6:$D$2005,"&gt;="&amp;THAM_SO_CC!$B$8,CC_OT_GIO!$D$6:$D$2005,"&lt;="&amp;THAM_SO_CC!$B$9))</f>
        <v/>
      </c>
      <c r="J79" s="108">
        <f>IF($B79="","",SUMIFS(CC_OT_GIO!$K$6:$K$2005,CC_OT_GIO!$B$6:$B$2005,$B79,CC_OT_GIO!$D$6:$D$2005,"&gt;="&amp;THAM_SO_CC!$B$8,CC_OT_GIO!$D$6:$D$2005,"&lt;="&amp;THAM_SO_CC!$B$9))</f>
        <v/>
      </c>
      <c r="K79" s="108">
        <f>IF($B79="","",SUMIFS(CC_OT_GIO!$L$6:$L$2005,CC_OT_GIO!$B$6:$B$2005,$B79,CC_OT_GIO!$D$6:$D$2005,"&gt;="&amp;THAM_SO_CC!$B$8,CC_OT_GIO!$D$6:$D$2005,"&lt;="&amp;THAM_SO_CC!$B$9))</f>
        <v/>
      </c>
      <c r="L79" s="108">
        <f>IF($B79="","",SUMIFS(CC_OT_GIO!$M$6:$M$2005,CC_OT_GIO!$B$6:$B$2005,$B79,CC_OT_GIO!$D$6:$D$2005,"&gt;="&amp;THAM_SO_CC!$B$8,CC_OT_GIO!$D$6:$D$2005,"&lt;="&amp;THAM_SO_CC!$B$9))</f>
        <v/>
      </c>
      <c r="M79" s="108">
        <f>IF($B79="","",SUMIFS(CC_OT_GIO!$N$6:$N$2005,CC_OT_GIO!$B$6:$B$2005,$B79,CC_OT_GIO!$D$6:$D$2005,"&gt;="&amp;THAM_SO_CC!$B$8,CC_OT_GIO!$D$6:$D$2005,"&lt;="&amp;THAM_SO_CC!$B$9))</f>
        <v/>
      </c>
      <c r="N79" s="108">
        <f>IF($B79="","",SUMIFS(CC_OT_GIO!$O$6:$O$2005,CC_OT_GIO!$B$6:$B$2005,$B79,CC_OT_GIO!$D$6:$D$2005,"&gt;="&amp;THAM_SO_CC!$B$8,CC_OT_GIO!$D$6:$D$2005,"&lt;="&amp;THAM_SO_CC!$B$9))</f>
        <v/>
      </c>
      <c r="O79" s="104">
        <f>IF($B79="","",BANG_CHAM_CONG!AL79)</f>
        <v/>
      </c>
      <c r="P79" s="104">
        <f>IF($B79="","",BANG_CHAM_CONG!AM79)</f>
        <v/>
      </c>
      <c r="Q79" s="104">
        <f>IF($B79="","",BANG_CHAM_CONG!AN79)</f>
        <v/>
      </c>
      <c r="R79" s="104">
        <f>IF($B79="","",BANG_CHAM_CONG!AO79)</f>
        <v/>
      </c>
      <c r="S79" s="104">
        <f>IF($B79="","",BANG_CHAM_CONG!AP79)</f>
        <v/>
      </c>
      <c r="T79" s="104">
        <f>IF($B79="","",BANG_CHAM_CONG!AQ79)</f>
        <v/>
      </c>
      <c r="U79" s="111">
        <f>IF($B79="","",SUM($I79:$N79))</f>
        <v/>
      </c>
      <c r="V79" s="96">
        <f>IF($B79="","",TRIM(BANG_CHAM_CONG!$AU79&amp;IF($U79&gt;60,"OT vượt 60 giờ/tháng – rà soát giới hạn làm thêm; ","")&amp;IF(AND($E79=0,SUM($O79:$T79)=0),"Chưa có dữ liệu chấm công; ","")&amp;IF($H79&gt;$G79,"Giờ đêm trong ca lớn hơn giờ thường; ","")))</f>
        <v/>
      </c>
    </row>
    <row r="80" ht="15" customHeight="1" s="63">
      <c r="A80" s="85">
        <f>IF($B80="","",ROW()-5)</f>
        <v/>
      </c>
      <c r="B80" s="103">
        <f>IF(BANG_CHAM_CONG!B80="","",BANG_CHAM_CONG!B80)</f>
        <v/>
      </c>
      <c r="C80" s="96">
        <f>IF($B80="","",BANG_CHAM_CONG!C80)</f>
        <v/>
      </c>
      <c r="D80" s="96">
        <f>IF($B80="","",BANG_CHAM_CONG!D80)</f>
        <v/>
      </c>
      <c r="E80" s="95">
        <f>IF($B80="","",BANG_CHAM_CONG!AK80)</f>
        <v/>
      </c>
      <c r="F80" s="109">
        <f>IF($B80="","",IF(DM_NHAN_SU!$H80="",THAM_SO_CC!$B$11,DM_NHAN_SU!$H80))</f>
        <v/>
      </c>
      <c r="G80" s="110">
        <f>IF($B80="","",ROUND($E80*$F80,2))</f>
        <v/>
      </c>
      <c r="H80" s="108">
        <f>IF($B80="","",SUMIFS(CC_OT_GIO!$F$6:$F$2005,CC_OT_GIO!$B$6:$B$2005,$B80,CC_OT_GIO!$D$6:$D$2005,"&gt;="&amp;THAM_SO_CC!$B$8,CC_OT_GIO!$D$6:$D$2005,"&lt;="&amp;THAM_SO_CC!$B$9))</f>
        <v/>
      </c>
      <c r="I80" s="108">
        <f>IF($B80="","",SUMIFS(CC_OT_GIO!$J$6:$J$2005,CC_OT_GIO!$B$6:$B$2005,$B80,CC_OT_GIO!$D$6:$D$2005,"&gt;="&amp;THAM_SO_CC!$B$8,CC_OT_GIO!$D$6:$D$2005,"&lt;="&amp;THAM_SO_CC!$B$9))</f>
        <v/>
      </c>
      <c r="J80" s="108">
        <f>IF($B80="","",SUMIFS(CC_OT_GIO!$K$6:$K$2005,CC_OT_GIO!$B$6:$B$2005,$B80,CC_OT_GIO!$D$6:$D$2005,"&gt;="&amp;THAM_SO_CC!$B$8,CC_OT_GIO!$D$6:$D$2005,"&lt;="&amp;THAM_SO_CC!$B$9))</f>
        <v/>
      </c>
      <c r="K80" s="108">
        <f>IF($B80="","",SUMIFS(CC_OT_GIO!$L$6:$L$2005,CC_OT_GIO!$B$6:$B$2005,$B80,CC_OT_GIO!$D$6:$D$2005,"&gt;="&amp;THAM_SO_CC!$B$8,CC_OT_GIO!$D$6:$D$2005,"&lt;="&amp;THAM_SO_CC!$B$9))</f>
        <v/>
      </c>
      <c r="L80" s="108">
        <f>IF($B80="","",SUMIFS(CC_OT_GIO!$M$6:$M$2005,CC_OT_GIO!$B$6:$B$2005,$B80,CC_OT_GIO!$D$6:$D$2005,"&gt;="&amp;THAM_SO_CC!$B$8,CC_OT_GIO!$D$6:$D$2005,"&lt;="&amp;THAM_SO_CC!$B$9))</f>
        <v/>
      </c>
      <c r="M80" s="108">
        <f>IF($B80="","",SUMIFS(CC_OT_GIO!$N$6:$N$2005,CC_OT_GIO!$B$6:$B$2005,$B80,CC_OT_GIO!$D$6:$D$2005,"&gt;="&amp;THAM_SO_CC!$B$8,CC_OT_GIO!$D$6:$D$2005,"&lt;="&amp;THAM_SO_CC!$B$9))</f>
        <v/>
      </c>
      <c r="N80" s="108">
        <f>IF($B80="","",SUMIFS(CC_OT_GIO!$O$6:$O$2005,CC_OT_GIO!$B$6:$B$2005,$B80,CC_OT_GIO!$D$6:$D$2005,"&gt;="&amp;THAM_SO_CC!$B$8,CC_OT_GIO!$D$6:$D$2005,"&lt;="&amp;THAM_SO_CC!$B$9))</f>
        <v/>
      </c>
      <c r="O80" s="104">
        <f>IF($B80="","",BANG_CHAM_CONG!AL80)</f>
        <v/>
      </c>
      <c r="P80" s="104">
        <f>IF($B80="","",BANG_CHAM_CONG!AM80)</f>
        <v/>
      </c>
      <c r="Q80" s="104">
        <f>IF($B80="","",BANG_CHAM_CONG!AN80)</f>
        <v/>
      </c>
      <c r="R80" s="104">
        <f>IF($B80="","",BANG_CHAM_CONG!AO80)</f>
        <v/>
      </c>
      <c r="S80" s="104">
        <f>IF($B80="","",BANG_CHAM_CONG!AP80)</f>
        <v/>
      </c>
      <c r="T80" s="104">
        <f>IF($B80="","",BANG_CHAM_CONG!AQ80)</f>
        <v/>
      </c>
      <c r="U80" s="111">
        <f>IF($B80="","",SUM($I80:$N80))</f>
        <v/>
      </c>
      <c r="V80" s="96">
        <f>IF($B80="","",TRIM(BANG_CHAM_CONG!$AU80&amp;IF($U80&gt;60,"OT vượt 60 giờ/tháng – rà soát giới hạn làm thêm; ","")&amp;IF(AND($E80=0,SUM($O80:$T80)=0),"Chưa có dữ liệu chấm công; ","")&amp;IF($H80&gt;$G80,"Giờ đêm trong ca lớn hơn giờ thường; ","")))</f>
        <v/>
      </c>
    </row>
    <row r="81" ht="15" customHeight="1" s="63">
      <c r="A81" s="85">
        <f>IF($B81="","",ROW()-5)</f>
        <v/>
      </c>
      <c r="B81" s="103">
        <f>IF(BANG_CHAM_CONG!B81="","",BANG_CHAM_CONG!B81)</f>
        <v/>
      </c>
      <c r="C81" s="96">
        <f>IF($B81="","",BANG_CHAM_CONG!C81)</f>
        <v/>
      </c>
      <c r="D81" s="96">
        <f>IF($B81="","",BANG_CHAM_CONG!D81)</f>
        <v/>
      </c>
      <c r="E81" s="95">
        <f>IF($B81="","",BANG_CHAM_CONG!AK81)</f>
        <v/>
      </c>
      <c r="F81" s="109">
        <f>IF($B81="","",IF(DM_NHAN_SU!$H81="",THAM_SO_CC!$B$11,DM_NHAN_SU!$H81))</f>
        <v/>
      </c>
      <c r="G81" s="110">
        <f>IF($B81="","",ROUND($E81*$F81,2))</f>
        <v/>
      </c>
      <c r="H81" s="108">
        <f>IF($B81="","",SUMIFS(CC_OT_GIO!$F$6:$F$2005,CC_OT_GIO!$B$6:$B$2005,$B81,CC_OT_GIO!$D$6:$D$2005,"&gt;="&amp;THAM_SO_CC!$B$8,CC_OT_GIO!$D$6:$D$2005,"&lt;="&amp;THAM_SO_CC!$B$9))</f>
        <v/>
      </c>
      <c r="I81" s="108">
        <f>IF($B81="","",SUMIFS(CC_OT_GIO!$J$6:$J$2005,CC_OT_GIO!$B$6:$B$2005,$B81,CC_OT_GIO!$D$6:$D$2005,"&gt;="&amp;THAM_SO_CC!$B$8,CC_OT_GIO!$D$6:$D$2005,"&lt;="&amp;THAM_SO_CC!$B$9))</f>
        <v/>
      </c>
      <c r="J81" s="108">
        <f>IF($B81="","",SUMIFS(CC_OT_GIO!$K$6:$K$2005,CC_OT_GIO!$B$6:$B$2005,$B81,CC_OT_GIO!$D$6:$D$2005,"&gt;="&amp;THAM_SO_CC!$B$8,CC_OT_GIO!$D$6:$D$2005,"&lt;="&amp;THAM_SO_CC!$B$9))</f>
        <v/>
      </c>
      <c r="K81" s="108">
        <f>IF($B81="","",SUMIFS(CC_OT_GIO!$L$6:$L$2005,CC_OT_GIO!$B$6:$B$2005,$B81,CC_OT_GIO!$D$6:$D$2005,"&gt;="&amp;THAM_SO_CC!$B$8,CC_OT_GIO!$D$6:$D$2005,"&lt;="&amp;THAM_SO_CC!$B$9))</f>
        <v/>
      </c>
      <c r="L81" s="108">
        <f>IF($B81="","",SUMIFS(CC_OT_GIO!$M$6:$M$2005,CC_OT_GIO!$B$6:$B$2005,$B81,CC_OT_GIO!$D$6:$D$2005,"&gt;="&amp;THAM_SO_CC!$B$8,CC_OT_GIO!$D$6:$D$2005,"&lt;="&amp;THAM_SO_CC!$B$9))</f>
        <v/>
      </c>
      <c r="M81" s="108">
        <f>IF($B81="","",SUMIFS(CC_OT_GIO!$N$6:$N$2005,CC_OT_GIO!$B$6:$B$2005,$B81,CC_OT_GIO!$D$6:$D$2005,"&gt;="&amp;THAM_SO_CC!$B$8,CC_OT_GIO!$D$6:$D$2005,"&lt;="&amp;THAM_SO_CC!$B$9))</f>
        <v/>
      </c>
      <c r="N81" s="108">
        <f>IF($B81="","",SUMIFS(CC_OT_GIO!$O$6:$O$2005,CC_OT_GIO!$B$6:$B$2005,$B81,CC_OT_GIO!$D$6:$D$2005,"&gt;="&amp;THAM_SO_CC!$B$8,CC_OT_GIO!$D$6:$D$2005,"&lt;="&amp;THAM_SO_CC!$B$9))</f>
        <v/>
      </c>
      <c r="O81" s="104">
        <f>IF($B81="","",BANG_CHAM_CONG!AL81)</f>
        <v/>
      </c>
      <c r="P81" s="104">
        <f>IF($B81="","",BANG_CHAM_CONG!AM81)</f>
        <v/>
      </c>
      <c r="Q81" s="104">
        <f>IF($B81="","",BANG_CHAM_CONG!AN81)</f>
        <v/>
      </c>
      <c r="R81" s="104">
        <f>IF($B81="","",BANG_CHAM_CONG!AO81)</f>
        <v/>
      </c>
      <c r="S81" s="104">
        <f>IF($B81="","",BANG_CHAM_CONG!AP81)</f>
        <v/>
      </c>
      <c r="T81" s="104">
        <f>IF($B81="","",BANG_CHAM_CONG!AQ81)</f>
        <v/>
      </c>
      <c r="U81" s="111">
        <f>IF($B81="","",SUM($I81:$N81))</f>
        <v/>
      </c>
      <c r="V81" s="96">
        <f>IF($B81="","",TRIM(BANG_CHAM_CONG!$AU81&amp;IF($U81&gt;60,"OT vượt 60 giờ/tháng – rà soát giới hạn làm thêm; ","")&amp;IF(AND($E81=0,SUM($O81:$T81)=0),"Chưa có dữ liệu chấm công; ","")&amp;IF($H81&gt;$G81,"Giờ đêm trong ca lớn hơn giờ thường; ","")))</f>
        <v/>
      </c>
    </row>
    <row r="82" ht="15" customHeight="1" s="63">
      <c r="A82" s="85">
        <f>IF($B82="","",ROW()-5)</f>
        <v/>
      </c>
      <c r="B82" s="103">
        <f>IF(BANG_CHAM_CONG!B82="","",BANG_CHAM_CONG!B82)</f>
        <v/>
      </c>
      <c r="C82" s="96">
        <f>IF($B82="","",BANG_CHAM_CONG!C82)</f>
        <v/>
      </c>
      <c r="D82" s="96">
        <f>IF($B82="","",BANG_CHAM_CONG!D82)</f>
        <v/>
      </c>
      <c r="E82" s="95">
        <f>IF($B82="","",BANG_CHAM_CONG!AK82)</f>
        <v/>
      </c>
      <c r="F82" s="109">
        <f>IF($B82="","",IF(DM_NHAN_SU!$H82="",THAM_SO_CC!$B$11,DM_NHAN_SU!$H82))</f>
        <v/>
      </c>
      <c r="G82" s="110">
        <f>IF($B82="","",ROUND($E82*$F82,2))</f>
        <v/>
      </c>
      <c r="H82" s="108">
        <f>IF($B82="","",SUMIFS(CC_OT_GIO!$F$6:$F$2005,CC_OT_GIO!$B$6:$B$2005,$B82,CC_OT_GIO!$D$6:$D$2005,"&gt;="&amp;THAM_SO_CC!$B$8,CC_OT_GIO!$D$6:$D$2005,"&lt;="&amp;THAM_SO_CC!$B$9))</f>
        <v/>
      </c>
      <c r="I82" s="108">
        <f>IF($B82="","",SUMIFS(CC_OT_GIO!$J$6:$J$2005,CC_OT_GIO!$B$6:$B$2005,$B82,CC_OT_GIO!$D$6:$D$2005,"&gt;="&amp;THAM_SO_CC!$B$8,CC_OT_GIO!$D$6:$D$2005,"&lt;="&amp;THAM_SO_CC!$B$9))</f>
        <v/>
      </c>
      <c r="J82" s="108">
        <f>IF($B82="","",SUMIFS(CC_OT_GIO!$K$6:$K$2005,CC_OT_GIO!$B$6:$B$2005,$B82,CC_OT_GIO!$D$6:$D$2005,"&gt;="&amp;THAM_SO_CC!$B$8,CC_OT_GIO!$D$6:$D$2005,"&lt;="&amp;THAM_SO_CC!$B$9))</f>
        <v/>
      </c>
      <c r="K82" s="108">
        <f>IF($B82="","",SUMIFS(CC_OT_GIO!$L$6:$L$2005,CC_OT_GIO!$B$6:$B$2005,$B82,CC_OT_GIO!$D$6:$D$2005,"&gt;="&amp;THAM_SO_CC!$B$8,CC_OT_GIO!$D$6:$D$2005,"&lt;="&amp;THAM_SO_CC!$B$9))</f>
        <v/>
      </c>
      <c r="L82" s="108">
        <f>IF($B82="","",SUMIFS(CC_OT_GIO!$M$6:$M$2005,CC_OT_GIO!$B$6:$B$2005,$B82,CC_OT_GIO!$D$6:$D$2005,"&gt;="&amp;THAM_SO_CC!$B$8,CC_OT_GIO!$D$6:$D$2005,"&lt;="&amp;THAM_SO_CC!$B$9))</f>
        <v/>
      </c>
      <c r="M82" s="108">
        <f>IF($B82="","",SUMIFS(CC_OT_GIO!$N$6:$N$2005,CC_OT_GIO!$B$6:$B$2005,$B82,CC_OT_GIO!$D$6:$D$2005,"&gt;="&amp;THAM_SO_CC!$B$8,CC_OT_GIO!$D$6:$D$2005,"&lt;="&amp;THAM_SO_CC!$B$9))</f>
        <v/>
      </c>
      <c r="N82" s="108">
        <f>IF($B82="","",SUMIFS(CC_OT_GIO!$O$6:$O$2005,CC_OT_GIO!$B$6:$B$2005,$B82,CC_OT_GIO!$D$6:$D$2005,"&gt;="&amp;THAM_SO_CC!$B$8,CC_OT_GIO!$D$6:$D$2005,"&lt;="&amp;THAM_SO_CC!$B$9))</f>
        <v/>
      </c>
      <c r="O82" s="104">
        <f>IF($B82="","",BANG_CHAM_CONG!AL82)</f>
        <v/>
      </c>
      <c r="P82" s="104">
        <f>IF($B82="","",BANG_CHAM_CONG!AM82)</f>
        <v/>
      </c>
      <c r="Q82" s="104">
        <f>IF($B82="","",BANG_CHAM_CONG!AN82)</f>
        <v/>
      </c>
      <c r="R82" s="104">
        <f>IF($B82="","",BANG_CHAM_CONG!AO82)</f>
        <v/>
      </c>
      <c r="S82" s="104">
        <f>IF($B82="","",BANG_CHAM_CONG!AP82)</f>
        <v/>
      </c>
      <c r="T82" s="104">
        <f>IF($B82="","",BANG_CHAM_CONG!AQ82)</f>
        <v/>
      </c>
      <c r="U82" s="111">
        <f>IF($B82="","",SUM($I82:$N82))</f>
        <v/>
      </c>
      <c r="V82" s="96">
        <f>IF($B82="","",TRIM(BANG_CHAM_CONG!$AU82&amp;IF($U82&gt;60,"OT vượt 60 giờ/tháng – rà soát giới hạn làm thêm; ","")&amp;IF(AND($E82=0,SUM($O82:$T82)=0),"Chưa có dữ liệu chấm công; ","")&amp;IF($H82&gt;$G82,"Giờ đêm trong ca lớn hơn giờ thường; ","")))</f>
        <v/>
      </c>
    </row>
    <row r="83" ht="15" customHeight="1" s="63">
      <c r="A83" s="85">
        <f>IF($B83="","",ROW()-5)</f>
        <v/>
      </c>
      <c r="B83" s="103">
        <f>IF(BANG_CHAM_CONG!B83="","",BANG_CHAM_CONG!B83)</f>
        <v/>
      </c>
      <c r="C83" s="96">
        <f>IF($B83="","",BANG_CHAM_CONG!C83)</f>
        <v/>
      </c>
      <c r="D83" s="96">
        <f>IF($B83="","",BANG_CHAM_CONG!D83)</f>
        <v/>
      </c>
      <c r="E83" s="95">
        <f>IF($B83="","",BANG_CHAM_CONG!AK83)</f>
        <v/>
      </c>
      <c r="F83" s="109">
        <f>IF($B83="","",IF(DM_NHAN_SU!$H83="",THAM_SO_CC!$B$11,DM_NHAN_SU!$H83))</f>
        <v/>
      </c>
      <c r="G83" s="110">
        <f>IF($B83="","",ROUND($E83*$F83,2))</f>
        <v/>
      </c>
      <c r="H83" s="108">
        <f>IF($B83="","",SUMIFS(CC_OT_GIO!$F$6:$F$2005,CC_OT_GIO!$B$6:$B$2005,$B83,CC_OT_GIO!$D$6:$D$2005,"&gt;="&amp;THAM_SO_CC!$B$8,CC_OT_GIO!$D$6:$D$2005,"&lt;="&amp;THAM_SO_CC!$B$9))</f>
        <v/>
      </c>
      <c r="I83" s="108">
        <f>IF($B83="","",SUMIFS(CC_OT_GIO!$J$6:$J$2005,CC_OT_GIO!$B$6:$B$2005,$B83,CC_OT_GIO!$D$6:$D$2005,"&gt;="&amp;THAM_SO_CC!$B$8,CC_OT_GIO!$D$6:$D$2005,"&lt;="&amp;THAM_SO_CC!$B$9))</f>
        <v/>
      </c>
      <c r="J83" s="108">
        <f>IF($B83="","",SUMIFS(CC_OT_GIO!$K$6:$K$2005,CC_OT_GIO!$B$6:$B$2005,$B83,CC_OT_GIO!$D$6:$D$2005,"&gt;="&amp;THAM_SO_CC!$B$8,CC_OT_GIO!$D$6:$D$2005,"&lt;="&amp;THAM_SO_CC!$B$9))</f>
        <v/>
      </c>
      <c r="K83" s="108">
        <f>IF($B83="","",SUMIFS(CC_OT_GIO!$L$6:$L$2005,CC_OT_GIO!$B$6:$B$2005,$B83,CC_OT_GIO!$D$6:$D$2005,"&gt;="&amp;THAM_SO_CC!$B$8,CC_OT_GIO!$D$6:$D$2005,"&lt;="&amp;THAM_SO_CC!$B$9))</f>
        <v/>
      </c>
      <c r="L83" s="108">
        <f>IF($B83="","",SUMIFS(CC_OT_GIO!$M$6:$M$2005,CC_OT_GIO!$B$6:$B$2005,$B83,CC_OT_GIO!$D$6:$D$2005,"&gt;="&amp;THAM_SO_CC!$B$8,CC_OT_GIO!$D$6:$D$2005,"&lt;="&amp;THAM_SO_CC!$B$9))</f>
        <v/>
      </c>
      <c r="M83" s="108">
        <f>IF($B83="","",SUMIFS(CC_OT_GIO!$N$6:$N$2005,CC_OT_GIO!$B$6:$B$2005,$B83,CC_OT_GIO!$D$6:$D$2005,"&gt;="&amp;THAM_SO_CC!$B$8,CC_OT_GIO!$D$6:$D$2005,"&lt;="&amp;THAM_SO_CC!$B$9))</f>
        <v/>
      </c>
      <c r="N83" s="108">
        <f>IF($B83="","",SUMIFS(CC_OT_GIO!$O$6:$O$2005,CC_OT_GIO!$B$6:$B$2005,$B83,CC_OT_GIO!$D$6:$D$2005,"&gt;="&amp;THAM_SO_CC!$B$8,CC_OT_GIO!$D$6:$D$2005,"&lt;="&amp;THAM_SO_CC!$B$9))</f>
        <v/>
      </c>
      <c r="O83" s="104">
        <f>IF($B83="","",BANG_CHAM_CONG!AL83)</f>
        <v/>
      </c>
      <c r="P83" s="104">
        <f>IF($B83="","",BANG_CHAM_CONG!AM83)</f>
        <v/>
      </c>
      <c r="Q83" s="104">
        <f>IF($B83="","",BANG_CHAM_CONG!AN83)</f>
        <v/>
      </c>
      <c r="R83" s="104">
        <f>IF($B83="","",BANG_CHAM_CONG!AO83)</f>
        <v/>
      </c>
      <c r="S83" s="104">
        <f>IF($B83="","",BANG_CHAM_CONG!AP83)</f>
        <v/>
      </c>
      <c r="T83" s="104">
        <f>IF($B83="","",BANG_CHAM_CONG!AQ83)</f>
        <v/>
      </c>
      <c r="U83" s="111">
        <f>IF($B83="","",SUM($I83:$N83))</f>
        <v/>
      </c>
      <c r="V83" s="96">
        <f>IF($B83="","",TRIM(BANG_CHAM_CONG!$AU83&amp;IF($U83&gt;60,"OT vượt 60 giờ/tháng – rà soát giới hạn làm thêm; ","")&amp;IF(AND($E83=0,SUM($O83:$T83)=0),"Chưa có dữ liệu chấm công; ","")&amp;IF($H83&gt;$G83,"Giờ đêm trong ca lớn hơn giờ thường; ","")))</f>
        <v/>
      </c>
    </row>
    <row r="84" ht="15" customHeight="1" s="63">
      <c r="A84" s="85">
        <f>IF($B84="","",ROW()-5)</f>
        <v/>
      </c>
      <c r="B84" s="103">
        <f>IF(BANG_CHAM_CONG!B84="","",BANG_CHAM_CONG!B84)</f>
        <v/>
      </c>
      <c r="C84" s="96">
        <f>IF($B84="","",BANG_CHAM_CONG!C84)</f>
        <v/>
      </c>
      <c r="D84" s="96">
        <f>IF($B84="","",BANG_CHAM_CONG!D84)</f>
        <v/>
      </c>
      <c r="E84" s="95">
        <f>IF($B84="","",BANG_CHAM_CONG!AK84)</f>
        <v/>
      </c>
      <c r="F84" s="109">
        <f>IF($B84="","",IF(DM_NHAN_SU!$H84="",THAM_SO_CC!$B$11,DM_NHAN_SU!$H84))</f>
        <v/>
      </c>
      <c r="G84" s="110">
        <f>IF($B84="","",ROUND($E84*$F84,2))</f>
        <v/>
      </c>
      <c r="H84" s="108">
        <f>IF($B84="","",SUMIFS(CC_OT_GIO!$F$6:$F$2005,CC_OT_GIO!$B$6:$B$2005,$B84,CC_OT_GIO!$D$6:$D$2005,"&gt;="&amp;THAM_SO_CC!$B$8,CC_OT_GIO!$D$6:$D$2005,"&lt;="&amp;THAM_SO_CC!$B$9))</f>
        <v/>
      </c>
      <c r="I84" s="108">
        <f>IF($B84="","",SUMIFS(CC_OT_GIO!$J$6:$J$2005,CC_OT_GIO!$B$6:$B$2005,$B84,CC_OT_GIO!$D$6:$D$2005,"&gt;="&amp;THAM_SO_CC!$B$8,CC_OT_GIO!$D$6:$D$2005,"&lt;="&amp;THAM_SO_CC!$B$9))</f>
        <v/>
      </c>
      <c r="J84" s="108">
        <f>IF($B84="","",SUMIFS(CC_OT_GIO!$K$6:$K$2005,CC_OT_GIO!$B$6:$B$2005,$B84,CC_OT_GIO!$D$6:$D$2005,"&gt;="&amp;THAM_SO_CC!$B$8,CC_OT_GIO!$D$6:$D$2005,"&lt;="&amp;THAM_SO_CC!$B$9))</f>
        <v/>
      </c>
      <c r="K84" s="108">
        <f>IF($B84="","",SUMIFS(CC_OT_GIO!$L$6:$L$2005,CC_OT_GIO!$B$6:$B$2005,$B84,CC_OT_GIO!$D$6:$D$2005,"&gt;="&amp;THAM_SO_CC!$B$8,CC_OT_GIO!$D$6:$D$2005,"&lt;="&amp;THAM_SO_CC!$B$9))</f>
        <v/>
      </c>
      <c r="L84" s="108">
        <f>IF($B84="","",SUMIFS(CC_OT_GIO!$M$6:$M$2005,CC_OT_GIO!$B$6:$B$2005,$B84,CC_OT_GIO!$D$6:$D$2005,"&gt;="&amp;THAM_SO_CC!$B$8,CC_OT_GIO!$D$6:$D$2005,"&lt;="&amp;THAM_SO_CC!$B$9))</f>
        <v/>
      </c>
      <c r="M84" s="108">
        <f>IF($B84="","",SUMIFS(CC_OT_GIO!$N$6:$N$2005,CC_OT_GIO!$B$6:$B$2005,$B84,CC_OT_GIO!$D$6:$D$2005,"&gt;="&amp;THAM_SO_CC!$B$8,CC_OT_GIO!$D$6:$D$2005,"&lt;="&amp;THAM_SO_CC!$B$9))</f>
        <v/>
      </c>
      <c r="N84" s="108">
        <f>IF($B84="","",SUMIFS(CC_OT_GIO!$O$6:$O$2005,CC_OT_GIO!$B$6:$B$2005,$B84,CC_OT_GIO!$D$6:$D$2005,"&gt;="&amp;THAM_SO_CC!$B$8,CC_OT_GIO!$D$6:$D$2005,"&lt;="&amp;THAM_SO_CC!$B$9))</f>
        <v/>
      </c>
      <c r="O84" s="104">
        <f>IF($B84="","",BANG_CHAM_CONG!AL84)</f>
        <v/>
      </c>
      <c r="P84" s="104">
        <f>IF($B84="","",BANG_CHAM_CONG!AM84)</f>
        <v/>
      </c>
      <c r="Q84" s="104">
        <f>IF($B84="","",BANG_CHAM_CONG!AN84)</f>
        <v/>
      </c>
      <c r="R84" s="104">
        <f>IF($B84="","",BANG_CHAM_CONG!AO84)</f>
        <v/>
      </c>
      <c r="S84" s="104">
        <f>IF($B84="","",BANG_CHAM_CONG!AP84)</f>
        <v/>
      </c>
      <c r="T84" s="104">
        <f>IF($B84="","",BANG_CHAM_CONG!AQ84)</f>
        <v/>
      </c>
      <c r="U84" s="111">
        <f>IF($B84="","",SUM($I84:$N84))</f>
        <v/>
      </c>
      <c r="V84" s="96">
        <f>IF($B84="","",TRIM(BANG_CHAM_CONG!$AU84&amp;IF($U84&gt;60,"OT vượt 60 giờ/tháng – rà soát giới hạn làm thêm; ","")&amp;IF(AND($E84=0,SUM($O84:$T84)=0),"Chưa có dữ liệu chấm công; ","")&amp;IF($H84&gt;$G84,"Giờ đêm trong ca lớn hơn giờ thường; ","")))</f>
        <v/>
      </c>
    </row>
    <row r="85" ht="15" customHeight="1" s="63">
      <c r="A85" s="85">
        <f>IF($B85="","",ROW()-5)</f>
        <v/>
      </c>
      <c r="B85" s="103">
        <f>IF(BANG_CHAM_CONG!B85="","",BANG_CHAM_CONG!B85)</f>
        <v/>
      </c>
      <c r="C85" s="96">
        <f>IF($B85="","",BANG_CHAM_CONG!C85)</f>
        <v/>
      </c>
      <c r="D85" s="96">
        <f>IF($B85="","",BANG_CHAM_CONG!D85)</f>
        <v/>
      </c>
      <c r="E85" s="95">
        <f>IF($B85="","",BANG_CHAM_CONG!AK85)</f>
        <v/>
      </c>
      <c r="F85" s="109">
        <f>IF($B85="","",IF(DM_NHAN_SU!$H85="",THAM_SO_CC!$B$11,DM_NHAN_SU!$H85))</f>
        <v/>
      </c>
      <c r="G85" s="110">
        <f>IF($B85="","",ROUND($E85*$F85,2))</f>
        <v/>
      </c>
      <c r="H85" s="108">
        <f>IF($B85="","",SUMIFS(CC_OT_GIO!$F$6:$F$2005,CC_OT_GIO!$B$6:$B$2005,$B85,CC_OT_GIO!$D$6:$D$2005,"&gt;="&amp;THAM_SO_CC!$B$8,CC_OT_GIO!$D$6:$D$2005,"&lt;="&amp;THAM_SO_CC!$B$9))</f>
        <v/>
      </c>
      <c r="I85" s="108">
        <f>IF($B85="","",SUMIFS(CC_OT_GIO!$J$6:$J$2005,CC_OT_GIO!$B$6:$B$2005,$B85,CC_OT_GIO!$D$6:$D$2005,"&gt;="&amp;THAM_SO_CC!$B$8,CC_OT_GIO!$D$6:$D$2005,"&lt;="&amp;THAM_SO_CC!$B$9))</f>
        <v/>
      </c>
      <c r="J85" s="108">
        <f>IF($B85="","",SUMIFS(CC_OT_GIO!$K$6:$K$2005,CC_OT_GIO!$B$6:$B$2005,$B85,CC_OT_GIO!$D$6:$D$2005,"&gt;="&amp;THAM_SO_CC!$B$8,CC_OT_GIO!$D$6:$D$2005,"&lt;="&amp;THAM_SO_CC!$B$9))</f>
        <v/>
      </c>
      <c r="K85" s="108">
        <f>IF($B85="","",SUMIFS(CC_OT_GIO!$L$6:$L$2005,CC_OT_GIO!$B$6:$B$2005,$B85,CC_OT_GIO!$D$6:$D$2005,"&gt;="&amp;THAM_SO_CC!$B$8,CC_OT_GIO!$D$6:$D$2005,"&lt;="&amp;THAM_SO_CC!$B$9))</f>
        <v/>
      </c>
      <c r="L85" s="108">
        <f>IF($B85="","",SUMIFS(CC_OT_GIO!$M$6:$M$2005,CC_OT_GIO!$B$6:$B$2005,$B85,CC_OT_GIO!$D$6:$D$2005,"&gt;="&amp;THAM_SO_CC!$B$8,CC_OT_GIO!$D$6:$D$2005,"&lt;="&amp;THAM_SO_CC!$B$9))</f>
        <v/>
      </c>
      <c r="M85" s="108">
        <f>IF($B85="","",SUMIFS(CC_OT_GIO!$N$6:$N$2005,CC_OT_GIO!$B$6:$B$2005,$B85,CC_OT_GIO!$D$6:$D$2005,"&gt;="&amp;THAM_SO_CC!$B$8,CC_OT_GIO!$D$6:$D$2005,"&lt;="&amp;THAM_SO_CC!$B$9))</f>
        <v/>
      </c>
      <c r="N85" s="108">
        <f>IF($B85="","",SUMIFS(CC_OT_GIO!$O$6:$O$2005,CC_OT_GIO!$B$6:$B$2005,$B85,CC_OT_GIO!$D$6:$D$2005,"&gt;="&amp;THAM_SO_CC!$B$8,CC_OT_GIO!$D$6:$D$2005,"&lt;="&amp;THAM_SO_CC!$B$9))</f>
        <v/>
      </c>
      <c r="O85" s="104">
        <f>IF($B85="","",BANG_CHAM_CONG!AL85)</f>
        <v/>
      </c>
      <c r="P85" s="104">
        <f>IF($B85="","",BANG_CHAM_CONG!AM85)</f>
        <v/>
      </c>
      <c r="Q85" s="104">
        <f>IF($B85="","",BANG_CHAM_CONG!AN85)</f>
        <v/>
      </c>
      <c r="R85" s="104">
        <f>IF($B85="","",BANG_CHAM_CONG!AO85)</f>
        <v/>
      </c>
      <c r="S85" s="104">
        <f>IF($B85="","",BANG_CHAM_CONG!AP85)</f>
        <v/>
      </c>
      <c r="T85" s="104">
        <f>IF($B85="","",BANG_CHAM_CONG!AQ85)</f>
        <v/>
      </c>
      <c r="U85" s="111">
        <f>IF($B85="","",SUM($I85:$N85))</f>
        <v/>
      </c>
      <c r="V85" s="96">
        <f>IF($B85="","",TRIM(BANG_CHAM_CONG!$AU85&amp;IF($U85&gt;60,"OT vượt 60 giờ/tháng – rà soát giới hạn làm thêm; ","")&amp;IF(AND($E85=0,SUM($O85:$T85)=0),"Chưa có dữ liệu chấm công; ","")&amp;IF($H85&gt;$G85,"Giờ đêm trong ca lớn hơn giờ thường; ","")))</f>
        <v/>
      </c>
    </row>
    <row r="86" ht="15" customHeight="1" s="63">
      <c r="A86" s="85">
        <f>IF($B86="","",ROW()-5)</f>
        <v/>
      </c>
      <c r="B86" s="103">
        <f>IF(BANG_CHAM_CONG!B86="","",BANG_CHAM_CONG!B86)</f>
        <v/>
      </c>
      <c r="C86" s="96">
        <f>IF($B86="","",BANG_CHAM_CONG!C86)</f>
        <v/>
      </c>
      <c r="D86" s="96">
        <f>IF($B86="","",BANG_CHAM_CONG!D86)</f>
        <v/>
      </c>
      <c r="E86" s="95">
        <f>IF($B86="","",BANG_CHAM_CONG!AK86)</f>
        <v/>
      </c>
      <c r="F86" s="109">
        <f>IF($B86="","",IF(DM_NHAN_SU!$H86="",THAM_SO_CC!$B$11,DM_NHAN_SU!$H86))</f>
        <v/>
      </c>
      <c r="G86" s="110">
        <f>IF($B86="","",ROUND($E86*$F86,2))</f>
        <v/>
      </c>
      <c r="H86" s="108">
        <f>IF($B86="","",SUMIFS(CC_OT_GIO!$F$6:$F$2005,CC_OT_GIO!$B$6:$B$2005,$B86,CC_OT_GIO!$D$6:$D$2005,"&gt;="&amp;THAM_SO_CC!$B$8,CC_OT_GIO!$D$6:$D$2005,"&lt;="&amp;THAM_SO_CC!$B$9))</f>
        <v/>
      </c>
      <c r="I86" s="108">
        <f>IF($B86="","",SUMIFS(CC_OT_GIO!$J$6:$J$2005,CC_OT_GIO!$B$6:$B$2005,$B86,CC_OT_GIO!$D$6:$D$2005,"&gt;="&amp;THAM_SO_CC!$B$8,CC_OT_GIO!$D$6:$D$2005,"&lt;="&amp;THAM_SO_CC!$B$9))</f>
        <v/>
      </c>
      <c r="J86" s="108">
        <f>IF($B86="","",SUMIFS(CC_OT_GIO!$K$6:$K$2005,CC_OT_GIO!$B$6:$B$2005,$B86,CC_OT_GIO!$D$6:$D$2005,"&gt;="&amp;THAM_SO_CC!$B$8,CC_OT_GIO!$D$6:$D$2005,"&lt;="&amp;THAM_SO_CC!$B$9))</f>
        <v/>
      </c>
      <c r="K86" s="108">
        <f>IF($B86="","",SUMIFS(CC_OT_GIO!$L$6:$L$2005,CC_OT_GIO!$B$6:$B$2005,$B86,CC_OT_GIO!$D$6:$D$2005,"&gt;="&amp;THAM_SO_CC!$B$8,CC_OT_GIO!$D$6:$D$2005,"&lt;="&amp;THAM_SO_CC!$B$9))</f>
        <v/>
      </c>
      <c r="L86" s="108">
        <f>IF($B86="","",SUMIFS(CC_OT_GIO!$M$6:$M$2005,CC_OT_GIO!$B$6:$B$2005,$B86,CC_OT_GIO!$D$6:$D$2005,"&gt;="&amp;THAM_SO_CC!$B$8,CC_OT_GIO!$D$6:$D$2005,"&lt;="&amp;THAM_SO_CC!$B$9))</f>
        <v/>
      </c>
      <c r="M86" s="108">
        <f>IF($B86="","",SUMIFS(CC_OT_GIO!$N$6:$N$2005,CC_OT_GIO!$B$6:$B$2005,$B86,CC_OT_GIO!$D$6:$D$2005,"&gt;="&amp;THAM_SO_CC!$B$8,CC_OT_GIO!$D$6:$D$2005,"&lt;="&amp;THAM_SO_CC!$B$9))</f>
        <v/>
      </c>
      <c r="N86" s="108">
        <f>IF($B86="","",SUMIFS(CC_OT_GIO!$O$6:$O$2005,CC_OT_GIO!$B$6:$B$2005,$B86,CC_OT_GIO!$D$6:$D$2005,"&gt;="&amp;THAM_SO_CC!$B$8,CC_OT_GIO!$D$6:$D$2005,"&lt;="&amp;THAM_SO_CC!$B$9))</f>
        <v/>
      </c>
      <c r="O86" s="104">
        <f>IF($B86="","",BANG_CHAM_CONG!AL86)</f>
        <v/>
      </c>
      <c r="P86" s="104">
        <f>IF($B86="","",BANG_CHAM_CONG!AM86)</f>
        <v/>
      </c>
      <c r="Q86" s="104">
        <f>IF($B86="","",BANG_CHAM_CONG!AN86)</f>
        <v/>
      </c>
      <c r="R86" s="104">
        <f>IF($B86="","",BANG_CHAM_CONG!AO86)</f>
        <v/>
      </c>
      <c r="S86" s="104">
        <f>IF($B86="","",BANG_CHAM_CONG!AP86)</f>
        <v/>
      </c>
      <c r="T86" s="104">
        <f>IF($B86="","",BANG_CHAM_CONG!AQ86)</f>
        <v/>
      </c>
      <c r="U86" s="111">
        <f>IF($B86="","",SUM($I86:$N86))</f>
        <v/>
      </c>
      <c r="V86" s="96">
        <f>IF($B86="","",TRIM(BANG_CHAM_CONG!$AU86&amp;IF($U86&gt;60,"OT vượt 60 giờ/tháng – rà soát giới hạn làm thêm; ","")&amp;IF(AND($E86=0,SUM($O86:$T86)=0),"Chưa có dữ liệu chấm công; ","")&amp;IF($H86&gt;$G86,"Giờ đêm trong ca lớn hơn giờ thường; ","")))</f>
        <v/>
      </c>
    </row>
    <row r="87" ht="15" customHeight="1" s="63">
      <c r="A87" s="85">
        <f>IF($B87="","",ROW()-5)</f>
        <v/>
      </c>
      <c r="B87" s="103">
        <f>IF(BANG_CHAM_CONG!B87="","",BANG_CHAM_CONG!B87)</f>
        <v/>
      </c>
      <c r="C87" s="96">
        <f>IF($B87="","",BANG_CHAM_CONG!C87)</f>
        <v/>
      </c>
      <c r="D87" s="96">
        <f>IF($B87="","",BANG_CHAM_CONG!D87)</f>
        <v/>
      </c>
      <c r="E87" s="95">
        <f>IF($B87="","",BANG_CHAM_CONG!AK87)</f>
        <v/>
      </c>
      <c r="F87" s="109">
        <f>IF($B87="","",IF(DM_NHAN_SU!$H87="",THAM_SO_CC!$B$11,DM_NHAN_SU!$H87))</f>
        <v/>
      </c>
      <c r="G87" s="110">
        <f>IF($B87="","",ROUND($E87*$F87,2))</f>
        <v/>
      </c>
      <c r="H87" s="108">
        <f>IF($B87="","",SUMIFS(CC_OT_GIO!$F$6:$F$2005,CC_OT_GIO!$B$6:$B$2005,$B87,CC_OT_GIO!$D$6:$D$2005,"&gt;="&amp;THAM_SO_CC!$B$8,CC_OT_GIO!$D$6:$D$2005,"&lt;="&amp;THAM_SO_CC!$B$9))</f>
        <v/>
      </c>
      <c r="I87" s="108">
        <f>IF($B87="","",SUMIFS(CC_OT_GIO!$J$6:$J$2005,CC_OT_GIO!$B$6:$B$2005,$B87,CC_OT_GIO!$D$6:$D$2005,"&gt;="&amp;THAM_SO_CC!$B$8,CC_OT_GIO!$D$6:$D$2005,"&lt;="&amp;THAM_SO_CC!$B$9))</f>
        <v/>
      </c>
      <c r="J87" s="108">
        <f>IF($B87="","",SUMIFS(CC_OT_GIO!$K$6:$K$2005,CC_OT_GIO!$B$6:$B$2005,$B87,CC_OT_GIO!$D$6:$D$2005,"&gt;="&amp;THAM_SO_CC!$B$8,CC_OT_GIO!$D$6:$D$2005,"&lt;="&amp;THAM_SO_CC!$B$9))</f>
        <v/>
      </c>
      <c r="K87" s="108">
        <f>IF($B87="","",SUMIFS(CC_OT_GIO!$L$6:$L$2005,CC_OT_GIO!$B$6:$B$2005,$B87,CC_OT_GIO!$D$6:$D$2005,"&gt;="&amp;THAM_SO_CC!$B$8,CC_OT_GIO!$D$6:$D$2005,"&lt;="&amp;THAM_SO_CC!$B$9))</f>
        <v/>
      </c>
      <c r="L87" s="108">
        <f>IF($B87="","",SUMIFS(CC_OT_GIO!$M$6:$M$2005,CC_OT_GIO!$B$6:$B$2005,$B87,CC_OT_GIO!$D$6:$D$2005,"&gt;="&amp;THAM_SO_CC!$B$8,CC_OT_GIO!$D$6:$D$2005,"&lt;="&amp;THAM_SO_CC!$B$9))</f>
        <v/>
      </c>
      <c r="M87" s="108">
        <f>IF($B87="","",SUMIFS(CC_OT_GIO!$N$6:$N$2005,CC_OT_GIO!$B$6:$B$2005,$B87,CC_OT_GIO!$D$6:$D$2005,"&gt;="&amp;THAM_SO_CC!$B$8,CC_OT_GIO!$D$6:$D$2005,"&lt;="&amp;THAM_SO_CC!$B$9))</f>
        <v/>
      </c>
      <c r="N87" s="108">
        <f>IF($B87="","",SUMIFS(CC_OT_GIO!$O$6:$O$2005,CC_OT_GIO!$B$6:$B$2005,$B87,CC_OT_GIO!$D$6:$D$2005,"&gt;="&amp;THAM_SO_CC!$B$8,CC_OT_GIO!$D$6:$D$2005,"&lt;="&amp;THAM_SO_CC!$B$9))</f>
        <v/>
      </c>
      <c r="O87" s="104">
        <f>IF($B87="","",BANG_CHAM_CONG!AL87)</f>
        <v/>
      </c>
      <c r="P87" s="104">
        <f>IF($B87="","",BANG_CHAM_CONG!AM87)</f>
        <v/>
      </c>
      <c r="Q87" s="104">
        <f>IF($B87="","",BANG_CHAM_CONG!AN87)</f>
        <v/>
      </c>
      <c r="R87" s="104">
        <f>IF($B87="","",BANG_CHAM_CONG!AO87)</f>
        <v/>
      </c>
      <c r="S87" s="104">
        <f>IF($B87="","",BANG_CHAM_CONG!AP87)</f>
        <v/>
      </c>
      <c r="T87" s="104">
        <f>IF($B87="","",BANG_CHAM_CONG!AQ87)</f>
        <v/>
      </c>
      <c r="U87" s="111">
        <f>IF($B87="","",SUM($I87:$N87))</f>
        <v/>
      </c>
      <c r="V87" s="96">
        <f>IF($B87="","",TRIM(BANG_CHAM_CONG!$AU87&amp;IF($U87&gt;60,"OT vượt 60 giờ/tháng – rà soát giới hạn làm thêm; ","")&amp;IF(AND($E87=0,SUM($O87:$T87)=0),"Chưa có dữ liệu chấm công; ","")&amp;IF($H87&gt;$G87,"Giờ đêm trong ca lớn hơn giờ thường; ","")))</f>
        <v/>
      </c>
    </row>
    <row r="88" ht="15" customHeight="1" s="63">
      <c r="A88" s="85">
        <f>IF($B88="","",ROW()-5)</f>
        <v/>
      </c>
      <c r="B88" s="103">
        <f>IF(BANG_CHAM_CONG!B88="","",BANG_CHAM_CONG!B88)</f>
        <v/>
      </c>
      <c r="C88" s="96">
        <f>IF($B88="","",BANG_CHAM_CONG!C88)</f>
        <v/>
      </c>
      <c r="D88" s="96">
        <f>IF($B88="","",BANG_CHAM_CONG!D88)</f>
        <v/>
      </c>
      <c r="E88" s="95">
        <f>IF($B88="","",BANG_CHAM_CONG!AK88)</f>
        <v/>
      </c>
      <c r="F88" s="109">
        <f>IF($B88="","",IF(DM_NHAN_SU!$H88="",THAM_SO_CC!$B$11,DM_NHAN_SU!$H88))</f>
        <v/>
      </c>
      <c r="G88" s="110">
        <f>IF($B88="","",ROUND($E88*$F88,2))</f>
        <v/>
      </c>
      <c r="H88" s="108">
        <f>IF($B88="","",SUMIFS(CC_OT_GIO!$F$6:$F$2005,CC_OT_GIO!$B$6:$B$2005,$B88,CC_OT_GIO!$D$6:$D$2005,"&gt;="&amp;THAM_SO_CC!$B$8,CC_OT_GIO!$D$6:$D$2005,"&lt;="&amp;THAM_SO_CC!$B$9))</f>
        <v/>
      </c>
      <c r="I88" s="108">
        <f>IF($B88="","",SUMIFS(CC_OT_GIO!$J$6:$J$2005,CC_OT_GIO!$B$6:$B$2005,$B88,CC_OT_GIO!$D$6:$D$2005,"&gt;="&amp;THAM_SO_CC!$B$8,CC_OT_GIO!$D$6:$D$2005,"&lt;="&amp;THAM_SO_CC!$B$9))</f>
        <v/>
      </c>
      <c r="J88" s="108">
        <f>IF($B88="","",SUMIFS(CC_OT_GIO!$K$6:$K$2005,CC_OT_GIO!$B$6:$B$2005,$B88,CC_OT_GIO!$D$6:$D$2005,"&gt;="&amp;THAM_SO_CC!$B$8,CC_OT_GIO!$D$6:$D$2005,"&lt;="&amp;THAM_SO_CC!$B$9))</f>
        <v/>
      </c>
      <c r="K88" s="108">
        <f>IF($B88="","",SUMIFS(CC_OT_GIO!$L$6:$L$2005,CC_OT_GIO!$B$6:$B$2005,$B88,CC_OT_GIO!$D$6:$D$2005,"&gt;="&amp;THAM_SO_CC!$B$8,CC_OT_GIO!$D$6:$D$2005,"&lt;="&amp;THAM_SO_CC!$B$9))</f>
        <v/>
      </c>
      <c r="L88" s="108">
        <f>IF($B88="","",SUMIFS(CC_OT_GIO!$M$6:$M$2005,CC_OT_GIO!$B$6:$B$2005,$B88,CC_OT_GIO!$D$6:$D$2005,"&gt;="&amp;THAM_SO_CC!$B$8,CC_OT_GIO!$D$6:$D$2005,"&lt;="&amp;THAM_SO_CC!$B$9))</f>
        <v/>
      </c>
      <c r="M88" s="108">
        <f>IF($B88="","",SUMIFS(CC_OT_GIO!$N$6:$N$2005,CC_OT_GIO!$B$6:$B$2005,$B88,CC_OT_GIO!$D$6:$D$2005,"&gt;="&amp;THAM_SO_CC!$B$8,CC_OT_GIO!$D$6:$D$2005,"&lt;="&amp;THAM_SO_CC!$B$9))</f>
        <v/>
      </c>
      <c r="N88" s="108">
        <f>IF($B88="","",SUMIFS(CC_OT_GIO!$O$6:$O$2005,CC_OT_GIO!$B$6:$B$2005,$B88,CC_OT_GIO!$D$6:$D$2005,"&gt;="&amp;THAM_SO_CC!$B$8,CC_OT_GIO!$D$6:$D$2005,"&lt;="&amp;THAM_SO_CC!$B$9))</f>
        <v/>
      </c>
      <c r="O88" s="104">
        <f>IF($B88="","",BANG_CHAM_CONG!AL88)</f>
        <v/>
      </c>
      <c r="P88" s="104">
        <f>IF($B88="","",BANG_CHAM_CONG!AM88)</f>
        <v/>
      </c>
      <c r="Q88" s="104">
        <f>IF($B88="","",BANG_CHAM_CONG!AN88)</f>
        <v/>
      </c>
      <c r="R88" s="104">
        <f>IF($B88="","",BANG_CHAM_CONG!AO88)</f>
        <v/>
      </c>
      <c r="S88" s="104">
        <f>IF($B88="","",BANG_CHAM_CONG!AP88)</f>
        <v/>
      </c>
      <c r="T88" s="104">
        <f>IF($B88="","",BANG_CHAM_CONG!AQ88)</f>
        <v/>
      </c>
      <c r="U88" s="111">
        <f>IF($B88="","",SUM($I88:$N88))</f>
        <v/>
      </c>
      <c r="V88" s="96">
        <f>IF($B88="","",TRIM(BANG_CHAM_CONG!$AU88&amp;IF($U88&gt;60,"OT vượt 60 giờ/tháng – rà soát giới hạn làm thêm; ","")&amp;IF(AND($E88=0,SUM($O88:$T88)=0),"Chưa có dữ liệu chấm công; ","")&amp;IF($H88&gt;$G88,"Giờ đêm trong ca lớn hơn giờ thường; ","")))</f>
        <v/>
      </c>
    </row>
    <row r="89" ht="15" customHeight="1" s="63">
      <c r="A89" s="85">
        <f>IF($B89="","",ROW()-5)</f>
        <v/>
      </c>
      <c r="B89" s="103">
        <f>IF(BANG_CHAM_CONG!B89="","",BANG_CHAM_CONG!B89)</f>
        <v/>
      </c>
      <c r="C89" s="96">
        <f>IF($B89="","",BANG_CHAM_CONG!C89)</f>
        <v/>
      </c>
      <c r="D89" s="96">
        <f>IF($B89="","",BANG_CHAM_CONG!D89)</f>
        <v/>
      </c>
      <c r="E89" s="95">
        <f>IF($B89="","",BANG_CHAM_CONG!AK89)</f>
        <v/>
      </c>
      <c r="F89" s="109">
        <f>IF($B89="","",IF(DM_NHAN_SU!$H89="",THAM_SO_CC!$B$11,DM_NHAN_SU!$H89))</f>
        <v/>
      </c>
      <c r="G89" s="110">
        <f>IF($B89="","",ROUND($E89*$F89,2))</f>
        <v/>
      </c>
      <c r="H89" s="108">
        <f>IF($B89="","",SUMIFS(CC_OT_GIO!$F$6:$F$2005,CC_OT_GIO!$B$6:$B$2005,$B89,CC_OT_GIO!$D$6:$D$2005,"&gt;="&amp;THAM_SO_CC!$B$8,CC_OT_GIO!$D$6:$D$2005,"&lt;="&amp;THAM_SO_CC!$B$9))</f>
        <v/>
      </c>
      <c r="I89" s="108">
        <f>IF($B89="","",SUMIFS(CC_OT_GIO!$J$6:$J$2005,CC_OT_GIO!$B$6:$B$2005,$B89,CC_OT_GIO!$D$6:$D$2005,"&gt;="&amp;THAM_SO_CC!$B$8,CC_OT_GIO!$D$6:$D$2005,"&lt;="&amp;THAM_SO_CC!$B$9))</f>
        <v/>
      </c>
      <c r="J89" s="108">
        <f>IF($B89="","",SUMIFS(CC_OT_GIO!$K$6:$K$2005,CC_OT_GIO!$B$6:$B$2005,$B89,CC_OT_GIO!$D$6:$D$2005,"&gt;="&amp;THAM_SO_CC!$B$8,CC_OT_GIO!$D$6:$D$2005,"&lt;="&amp;THAM_SO_CC!$B$9))</f>
        <v/>
      </c>
      <c r="K89" s="108">
        <f>IF($B89="","",SUMIFS(CC_OT_GIO!$L$6:$L$2005,CC_OT_GIO!$B$6:$B$2005,$B89,CC_OT_GIO!$D$6:$D$2005,"&gt;="&amp;THAM_SO_CC!$B$8,CC_OT_GIO!$D$6:$D$2005,"&lt;="&amp;THAM_SO_CC!$B$9))</f>
        <v/>
      </c>
      <c r="L89" s="108">
        <f>IF($B89="","",SUMIFS(CC_OT_GIO!$M$6:$M$2005,CC_OT_GIO!$B$6:$B$2005,$B89,CC_OT_GIO!$D$6:$D$2005,"&gt;="&amp;THAM_SO_CC!$B$8,CC_OT_GIO!$D$6:$D$2005,"&lt;="&amp;THAM_SO_CC!$B$9))</f>
        <v/>
      </c>
      <c r="M89" s="108">
        <f>IF($B89="","",SUMIFS(CC_OT_GIO!$N$6:$N$2005,CC_OT_GIO!$B$6:$B$2005,$B89,CC_OT_GIO!$D$6:$D$2005,"&gt;="&amp;THAM_SO_CC!$B$8,CC_OT_GIO!$D$6:$D$2005,"&lt;="&amp;THAM_SO_CC!$B$9))</f>
        <v/>
      </c>
      <c r="N89" s="108">
        <f>IF($B89="","",SUMIFS(CC_OT_GIO!$O$6:$O$2005,CC_OT_GIO!$B$6:$B$2005,$B89,CC_OT_GIO!$D$6:$D$2005,"&gt;="&amp;THAM_SO_CC!$B$8,CC_OT_GIO!$D$6:$D$2005,"&lt;="&amp;THAM_SO_CC!$B$9))</f>
        <v/>
      </c>
      <c r="O89" s="104">
        <f>IF($B89="","",BANG_CHAM_CONG!AL89)</f>
        <v/>
      </c>
      <c r="P89" s="104">
        <f>IF($B89="","",BANG_CHAM_CONG!AM89)</f>
        <v/>
      </c>
      <c r="Q89" s="104">
        <f>IF($B89="","",BANG_CHAM_CONG!AN89)</f>
        <v/>
      </c>
      <c r="R89" s="104">
        <f>IF($B89="","",BANG_CHAM_CONG!AO89)</f>
        <v/>
      </c>
      <c r="S89" s="104">
        <f>IF($B89="","",BANG_CHAM_CONG!AP89)</f>
        <v/>
      </c>
      <c r="T89" s="104">
        <f>IF($B89="","",BANG_CHAM_CONG!AQ89)</f>
        <v/>
      </c>
      <c r="U89" s="111">
        <f>IF($B89="","",SUM($I89:$N89))</f>
        <v/>
      </c>
      <c r="V89" s="96">
        <f>IF($B89="","",TRIM(BANG_CHAM_CONG!$AU89&amp;IF($U89&gt;60,"OT vượt 60 giờ/tháng – rà soát giới hạn làm thêm; ","")&amp;IF(AND($E89=0,SUM($O89:$T89)=0),"Chưa có dữ liệu chấm công; ","")&amp;IF($H89&gt;$G89,"Giờ đêm trong ca lớn hơn giờ thường; ","")))</f>
        <v/>
      </c>
    </row>
    <row r="90" ht="15" customHeight="1" s="63">
      <c r="A90" s="85">
        <f>IF($B90="","",ROW()-5)</f>
        <v/>
      </c>
      <c r="B90" s="103">
        <f>IF(BANG_CHAM_CONG!B90="","",BANG_CHAM_CONG!B90)</f>
        <v/>
      </c>
      <c r="C90" s="96">
        <f>IF($B90="","",BANG_CHAM_CONG!C90)</f>
        <v/>
      </c>
      <c r="D90" s="96">
        <f>IF($B90="","",BANG_CHAM_CONG!D90)</f>
        <v/>
      </c>
      <c r="E90" s="95">
        <f>IF($B90="","",BANG_CHAM_CONG!AK90)</f>
        <v/>
      </c>
      <c r="F90" s="109">
        <f>IF($B90="","",IF(DM_NHAN_SU!$H90="",THAM_SO_CC!$B$11,DM_NHAN_SU!$H90))</f>
        <v/>
      </c>
      <c r="G90" s="110">
        <f>IF($B90="","",ROUND($E90*$F90,2))</f>
        <v/>
      </c>
      <c r="H90" s="108">
        <f>IF($B90="","",SUMIFS(CC_OT_GIO!$F$6:$F$2005,CC_OT_GIO!$B$6:$B$2005,$B90,CC_OT_GIO!$D$6:$D$2005,"&gt;="&amp;THAM_SO_CC!$B$8,CC_OT_GIO!$D$6:$D$2005,"&lt;="&amp;THAM_SO_CC!$B$9))</f>
        <v/>
      </c>
      <c r="I90" s="108">
        <f>IF($B90="","",SUMIFS(CC_OT_GIO!$J$6:$J$2005,CC_OT_GIO!$B$6:$B$2005,$B90,CC_OT_GIO!$D$6:$D$2005,"&gt;="&amp;THAM_SO_CC!$B$8,CC_OT_GIO!$D$6:$D$2005,"&lt;="&amp;THAM_SO_CC!$B$9))</f>
        <v/>
      </c>
      <c r="J90" s="108">
        <f>IF($B90="","",SUMIFS(CC_OT_GIO!$K$6:$K$2005,CC_OT_GIO!$B$6:$B$2005,$B90,CC_OT_GIO!$D$6:$D$2005,"&gt;="&amp;THAM_SO_CC!$B$8,CC_OT_GIO!$D$6:$D$2005,"&lt;="&amp;THAM_SO_CC!$B$9))</f>
        <v/>
      </c>
      <c r="K90" s="108">
        <f>IF($B90="","",SUMIFS(CC_OT_GIO!$L$6:$L$2005,CC_OT_GIO!$B$6:$B$2005,$B90,CC_OT_GIO!$D$6:$D$2005,"&gt;="&amp;THAM_SO_CC!$B$8,CC_OT_GIO!$D$6:$D$2005,"&lt;="&amp;THAM_SO_CC!$B$9))</f>
        <v/>
      </c>
      <c r="L90" s="108">
        <f>IF($B90="","",SUMIFS(CC_OT_GIO!$M$6:$M$2005,CC_OT_GIO!$B$6:$B$2005,$B90,CC_OT_GIO!$D$6:$D$2005,"&gt;="&amp;THAM_SO_CC!$B$8,CC_OT_GIO!$D$6:$D$2005,"&lt;="&amp;THAM_SO_CC!$B$9))</f>
        <v/>
      </c>
      <c r="M90" s="108">
        <f>IF($B90="","",SUMIFS(CC_OT_GIO!$N$6:$N$2005,CC_OT_GIO!$B$6:$B$2005,$B90,CC_OT_GIO!$D$6:$D$2005,"&gt;="&amp;THAM_SO_CC!$B$8,CC_OT_GIO!$D$6:$D$2005,"&lt;="&amp;THAM_SO_CC!$B$9))</f>
        <v/>
      </c>
      <c r="N90" s="108">
        <f>IF($B90="","",SUMIFS(CC_OT_GIO!$O$6:$O$2005,CC_OT_GIO!$B$6:$B$2005,$B90,CC_OT_GIO!$D$6:$D$2005,"&gt;="&amp;THAM_SO_CC!$B$8,CC_OT_GIO!$D$6:$D$2005,"&lt;="&amp;THAM_SO_CC!$B$9))</f>
        <v/>
      </c>
      <c r="O90" s="104">
        <f>IF($B90="","",BANG_CHAM_CONG!AL90)</f>
        <v/>
      </c>
      <c r="P90" s="104">
        <f>IF($B90="","",BANG_CHAM_CONG!AM90)</f>
        <v/>
      </c>
      <c r="Q90" s="104">
        <f>IF($B90="","",BANG_CHAM_CONG!AN90)</f>
        <v/>
      </c>
      <c r="R90" s="104">
        <f>IF($B90="","",BANG_CHAM_CONG!AO90)</f>
        <v/>
      </c>
      <c r="S90" s="104">
        <f>IF($B90="","",BANG_CHAM_CONG!AP90)</f>
        <v/>
      </c>
      <c r="T90" s="104">
        <f>IF($B90="","",BANG_CHAM_CONG!AQ90)</f>
        <v/>
      </c>
      <c r="U90" s="111">
        <f>IF($B90="","",SUM($I90:$N90))</f>
        <v/>
      </c>
      <c r="V90" s="96">
        <f>IF($B90="","",TRIM(BANG_CHAM_CONG!$AU90&amp;IF($U90&gt;60,"OT vượt 60 giờ/tháng – rà soát giới hạn làm thêm; ","")&amp;IF(AND($E90=0,SUM($O90:$T90)=0),"Chưa có dữ liệu chấm công; ","")&amp;IF($H90&gt;$G90,"Giờ đêm trong ca lớn hơn giờ thường; ","")))</f>
        <v/>
      </c>
    </row>
    <row r="91" ht="15" customHeight="1" s="63">
      <c r="A91" s="85">
        <f>IF($B91="","",ROW()-5)</f>
        <v/>
      </c>
      <c r="B91" s="103">
        <f>IF(BANG_CHAM_CONG!B91="","",BANG_CHAM_CONG!B91)</f>
        <v/>
      </c>
      <c r="C91" s="96">
        <f>IF($B91="","",BANG_CHAM_CONG!C91)</f>
        <v/>
      </c>
      <c r="D91" s="96">
        <f>IF($B91="","",BANG_CHAM_CONG!D91)</f>
        <v/>
      </c>
      <c r="E91" s="95">
        <f>IF($B91="","",BANG_CHAM_CONG!AK91)</f>
        <v/>
      </c>
      <c r="F91" s="109">
        <f>IF($B91="","",IF(DM_NHAN_SU!$H91="",THAM_SO_CC!$B$11,DM_NHAN_SU!$H91))</f>
        <v/>
      </c>
      <c r="G91" s="110">
        <f>IF($B91="","",ROUND($E91*$F91,2))</f>
        <v/>
      </c>
      <c r="H91" s="108">
        <f>IF($B91="","",SUMIFS(CC_OT_GIO!$F$6:$F$2005,CC_OT_GIO!$B$6:$B$2005,$B91,CC_OT_GIO!$D$6:$D$2005,"&gt;="&amp;THAM_SO_CC!$B$8,CC_OT_GIO!$D$6:$D$2005,"&lt;="&amp;THAM_SO_CC!$B$9))</f>
        <v/>
      </c>
      <c r="I91" s="108">
        <f>IF($B91="","",SUMIFS(CC_OT_GIO!$J$6:$J$2005,CC_OT_GIO!$B$6:$B$2005,$B91,CC_OT_GIO!$D$6:$D$2005,"&gt;="&amp;THAM_SO_CC!$B$8,CC_OT_GIO!$D$6:$D$2005,"&lt;="&amp;THAM_SO_CC!$B$9))</f>
        <v/>
      </c>
      <c r="J91" s="108">
        <f>IF($B91="","",SUMIFS(CC_OT_GIO!$K$6:$K$2005,CC_OT_GIO!$B$6:$B$2005,$B91,CC_OT_GIO!$D$6:$D$2005,"&gt;="&amp;THAM_SO_CC!$B$8,CC_OT_GIO!$D$6:$D$2005,"&lt;="&amp;THAM_SO_CC!$B$9))</f>
        <v/>
      </c>
      <c r="K91" s="108">
        <f>IF($B91="","",SUMIFS(CC_OT_GIO!$L$6:$L$2005,CC_OT_GIO!$B$6:$B$2005,$B91,CC_OT_GIO!$D$6:$D$2005,"&gt;="&amp;THAM_SO_CC!$B$8,CC_OT_GIO!$D$6:$D$2005,"&lt;="&amp;THAM_SO_CC!$B$9))</f>
        <v/>
      </c>
      <c r="L91" s="108">
        <f>IF($B91="","",SUMIFS(CC_OT_GIO!$M$6:$M$2005,CC_OT_GIO!$B$6:$B$2005,$B91,CC_OT_GIO!$D$6:$D$2005,"&gt;="&amp;THAM_SO_CC!$B$8,CC_OT_GIO!$D$6:$D$2005,"&lt;="&amp;THAM_SO_CC!$B$9))</f>
        <v/>
      </c>
      <c r="M91" s="108">
        <f>IF($B91="","",SUMIFS(CC_OT_GIO!$N$6:$N$2005,CC_OT_GIO!$B$6:$B$2005,$B91,CC_OT_GIO!$D$6:$D$2005,"&gt;="&amp;THAM_SO_CC!$B$8,CC_OT_GIO!$D$6:$D$2005,"&lt;="&amp;THAM_SO_CC!$B$9))</f>
        <v/>
      </c>
      <c r="N91" s="108">
        <f>IF($B91="","",SUMIFS(CC_OT_GIO!$O$6:$O$2005,CC_OT_GIO!$B$6:$B$2005,$B91,CC_OT_GIO!$D$6:$D$2005,"&gt;="&amp;THAM_SO_CC!$B$8,CC_OT_GIO!$D$6:$D$2005,"&lt;="&amp;THAM_SO_CC!$B$9))</f>
        <v/>
      </c>
      <c r="O91" s="104">
        <f>IF($B91="","",BANG_CHAM_CONG!AL91)</f>
        <v/>
      </c>
      <c r="P91" s="104">
        <f>IF($B91="","",BANG_CHAM_CONG!AM91)</f>
        <v/>
      </c>
      <c r="Q91" s="104">
        <f>IF($B91="","",BANG_CHAM_CONG!AN91)</f>
        <v/>
      </c>
      <c r="R91" s="104">
        <f>IF($B91="","",BANG_CHAM_CONG!AO91)</f>
        <v/>
      </c>
      <c r="S91" s="104">
        <f>IF($B91="","",BANG_CHAM_CONG!AP91)</f>
        <v/>
      </c>
      <c r="T91" s="104">
        <f>IF($B91="","",BANG_CHAM_CONG!AQ91)</f>
        <v/>
      </c>
      <c r="U91" s="111">
        <f>IF($B91="","",SUM($I91:$N91))</f>
        <v/>
      </c>
      <c r="V91" s="96">
        <f>IF($B91="","",TRIM(BANG_CHAM_CONG!$AU91&amp;IF($U91&gt;60,"OT vượt 60 giờ/tháng – rà soát giới hạn làm thêm; ","")&amp;IF(AND($E91=0,SUM($O91:$T91)=0),"Chưa có dữ liệu chấm công; ","")&amp;IF($H91&gt;$G91,"Giờ đêm trong ca lớn hơn giờ thường; ","")))</f>
        <v/>
      </c>
    </row>
    <row r="92" ht="15" customHeight="1" s="63">
      <c r="A92" s="85">
        <f>IF($B92="","",ROW()-5)</f>
        <v/>
      </c>
      <c r="B92" s="103">
        <f>IF(BANG_CHAM_CONG!B92="","",BANG_CHAM_CONG!B92)</f>
        <v/>
      </c>
      <c r="C92" s="96">
        <f>IF($B92="","",BANG_CHAM_CONG!C92)</f>
        <v/>
      </c>
      <c r="D92" s="96">
        <f>IF($B92="","",BANG_CHAM_CONG!D92)</f>
        <v/>
      </c>
      <c r="E92" s="95">
        <f>IF($B92="","",BANG_CHAM_CONG!AK92)</f>
        <v/>
      </c>
      <c r="F92" s="109">
        <f>IF($B92="","",IF(DM_NHAN_SU!$H92="",THAM_SO_CC!$B$11,DM_NHAN_SU!$H92))</f>
        <v/>
      </c>
      <c r="G92" s="110">
        <f>IF($B92="","",ROUND($E92*$F92,2))</f>
        <v/>
      </c>
      <c r="H92" s="108">
        <f>IF($B92="","",SUMIFS(CC_OT_GIO!$F$6:$F$2005,CC_OT_GIO!$B$6:$B$2005,$B92,CC_OT_GIO!$D$6:$D$2005,"&gt;="&amp;THAM_SO_CC!$B$8,CC_OT_GIO!$D$6:$D$2005,"&lt;="&amp;THAM_SO_CC!$B$9))</f>
        <v/>
      </c>
      <c r="I92" s="108">
        <f>IF($B92="","",SUMIFS(CC_OT_GIO!$J$6:$J$2005,CC_OT_GIO!$B$6:$B$2005,$B92,CC_OT_GIO!$D$6:$D$2005,"&gt;="&amp;THAM_SO_CC!$B$8,CC_OT_GIO!$D$6:$D$2005,"&lt;="&amp;THAM_SO_CC!$B$9))</f>
        <v/>
      </c>
      <c r="J92" s="108">
        <f>IF($B92="","",SUMIFS(CC_OT_GIO!$K$6:$K$2005,CC_OT_GIO!$B$6:$B$2005,$B92,CC_OT_GIO!$D$6:$D$2005,"&gt;="&amp;THAM_SO_CC!$B$8,CC_OT_GIO!$D$6:$D$2005,"&lt;="&amp;THAM_SO_CC!$B$9))</f>
        <v/>
      </c>
      <c r="K92" s="108">
        <f>IF($B92="","",SUMIFS(CC_OT_GIO!$L$6:$L$2005,CC_OT_GIO!$B$6:$B$2005,$B92,CC_OT_GIO!$D$6:$D$2005,"&gt;="&amp;THAM_SO_CC!$B$8,CC_OT_GIO!$D$6:$D$2005,"&lt;="&amp;THAM_SO_CC!$B$9))</f>
        <v/>
      </c>
      <c r="L92" s="108">
        <f>IF($B92="","",SUMIFS(CC_OT_GIO!$M$6:$M$2005,CC_OT_GIO!$B$6:$B$2005,$B92,CC_OT_GIO!$D$6:$D$2005,"&gt;="&amp;THAM_SO_CC!$B$8,CC_OT_GIO!$D$6:$D$2005,"&lt;="&amp;THAM_SO_CC!$B$9))</f>
        <v/>
      </c>
      <c r="M92" s="108">
        <f>IF($B92="","",SUMIFS(CC_OT_GIO!$N$6:$N$2005,CC_OT_GIO!$B$6:$B$2005,$B92,CC_OT_GIO!$D$6:$D$2005,"&gt;="&amp;THAM_SO_CC!$B$8,CC_OT_GIO!$D$6:$D$2005,"&lt;="&amp;THAM_SO_CC!$B$9))</f>
        <v/>
      </c>
      <c r="N92" s="108">
        <f>IF($B92="","",SUMIFS(CC_OT_GIO!$O$6:$O$2005,CC_OT_GIO!$B$6:$B$2005,$B92,CC_OT_GIO!$D$6:$D$2005,"&gt;="&amp;THAM_SO_CC!$B$8,CC_OT_GIO!$D$6:$D$2005,"&lt;="&amp;THAM_SO_CC!$B$9))</f>
        <v/>
      </c>
      <c r="O92" s="104">
        <f>IF($B92="","",BANG_CHAM_CONG!AL92)</f>
        <v/>
      </c>
      <c r="P92" s="104">
        <f>IF($B92="","",BANG_CHAM_CONG!AM92)</f>
        <v/>
      </c>
      <c r="Q92" s="104">
        <f>IF($B92="","",BANG_CHAM_CONG!AN92)</f>
        <v/>
      </c>
      <c r="R92" s="104">
        <f>IF($B92="","",BANG_CHAM_CONG!AO92)</f>
        <v/>
      </c>
      <c r="S92" s="104">
        <f>IF($B92="","",BANG_CHAM_CONG!AP92)</f>
        <v/>
      </c>
      <c r="T92" s="104">
        <f>IF($B92="","",BANG_CHAM_CONG!AQ92)</f>
        <v/>
      </c>
      <c r="U92" s="111">
        <f>IF($B92="","",SUM($I92:$N92))</f>
        <v/>
      </c>
      <c r="V92" s="96">
        <f>IF($B92="","",TRIM(BANG_CHAM_CONG!$AU92&amp;IF($U92&gt;60,"OT vượt 60 giờ/tháng – rà soát giới hạn làm thêm; ","")&amp;IF(AND($E92=0,SUM($O92:$T92)=0),"Chưa có dữ liệu chấm công; ","")&amp;IF($H92&gt;$G92,"Giờ đêm trong ca lớn hơn giờ thường; ","")))</f>
        <v/>
      </c>
    </row>
    <row r="93" ht="15" customHeight="1" s="63">
      <c r="A93" s="85">
        <f>IF($B93="","",ROW()-5)</f>
        <v/>
      </c>
      <c r="B93" s="103">
        <f>IF(BANG_CHAM_CONG!B93="","",BANG_CHAM_CONG!B93)</f>
        <v/>
      </c>
      <c r="C93" s="96">
        <f>IF($B93="","",BANG_CHAM_CONG!C93)</f>
        <v/>
      </c>
      <c r="D93" s="96">
        <f>IF($B93="","",BANG_CHAM_CONG!D93)</f>
        <v/>
      </c>
      <c r="E93" s="95">
        <f>IF($B93="","",BANG_CHAM_CONG!AK93)</f>
        <v/>
      </c>
      <c r="F93" s="109">
        <f>IF($B93="","",IF(DM_NHAN_SU!$H93="",THAM_SO_CC!$B$11,DM_NHAN_SU!$H93))</f>
        <v/>
      </c>
      <c r="G93" s="110">
        <f>IF($B93="","",ROUND($E93*$F93,2))</f>
        <v/>
      </c>
      <c r="H93" s="108">
        <f>IF($B93="","",SUMIFS(CC_OT_GIO!$F$6:$F$2005,CC_OT_GIO!$B$6:$B$2005,$B93,CC_OT_GIO!$D$6:$D$2005,"&gt;="&amp;THAM_SO_CC!$B$8,CC_OT_GIO!$D$6:$D$2005,"&lt;="&amp;THAM_SO_CC!$B$9))</f>
        <v/>
      </c>
      <c r="I93" s="108">
        <f>IF($B93="","",SUMIFS(CC_OT_GIO!$J$6:$J$2005,CC_OT_GIO!$B$6:$B$2005,$B93,CC_OT_GIO!$D$6:$D$2005,"&gt;="&amp;THAM_SO_CC!$B$8,CC_OT_GIO!$D$6:$D$2005,"&lt;="&amp;THAM_SO_CC!$B$9))</f>
        <v/>
      </c>
      <c r="J93" s="108">
        <f>IF($B93="","",SUMIFS(CC_OT_GIO!$K$6:$K$2005,CC_OT_GIO!$B$6:$B$2005,$B93,CC_OT_GIO!$D$6:$D$2005,"&gt;="&amp;THAM_SO_CC!$B$8,CC_OT_GIO!$D$6:$D$2005,"&lt;="&amp;THAM_SO_CC!$B$9))</f>
        <v/>
      </c>
      <c r="K93" s="108">
        <f>IF($B93="","",SUMIFS(CC_OT_GIO!$L$6:$L$2005,CC_OT_GIO!$B$6:$B$2005,$B93,CC_OT_GIO!$D$6:$D$2005,"&gt;="&amp;THAM_SO_CC!$B$8,CC_OT_GIO!$D$6:$D$2005,"&lt;="&amp;THAM_SO_CC!$B$9))</f>
        <v/>
      </c>
      <c r="L93" s="108">
        <f>IF($B93="","",SUMIFS(CC_OT_GIO!$M$6:$M$2005,CC_OT_GIO!$B$6:$B$2005,$B93,CC_OT_GIO!$D$6:$D$2005,"&gt;="&amp;THAM_SO_CC!$B$8,CC_OT_GIO!$D$6:$D$2005,"&lt;="&amp;THAM_SO_CC!$B$9))</f>
        <v/>
      </c>
      <c r="M93" s="108">
        <f>IF($B93="","",SUMIFS(CC_OT_GIO!$N$6:$N$2005,CC_OT_GIO!$B$6:$B$2005,$B93,CC_OT_GIO!$D$6:$D$2005,"&gt;="&amp;THAM_SO_CC!$B$8,CC_OT_GIO!$D$6:$D$2005,"&lt;="&amp;THAM_SO_CC!$B$9))</f>
        <v/>
      </c>
      <c r="N93" s="108">
        <f>IF($B93="","",SUMIFS(CC_OT_GIO!$O$6:$O$2005,CC_OT_GIO!$B$6:$B$2005,$B93,CC_OT_GIO!$D$6:$D$2005,"&gt;="&amp;THAM_SO_CC!$B$8,CC_OT_GIO!$D$6:$D$2005,"&lt;="&amp;THAM_SO_CC!$B$9))</f>
        <v/>
      </c>
      <c r="O93" s="104">
        <f>IF($B93="","",BANG_CHAM_CONG!AL93)</f>
        <v/>
      </c>
      <c r="P93" s="104">
        <f>IF($B93="","",BANG_CHAM_CONG!AM93)</f>
        <v/>
      </c>
      <c r="Q93" s="104">
        <f>IF($B93="","",BANG_CHAM_CONG!AN93)</f>
        <v/>
      </c>
      <c r="R93" s="104">
        <f>IF($B93="","",BANG_CHAM_CONG!AO93)</f>
        <v/>
      </c>
      <c r="S93" s="104">
        <f>IF($B93="","",BANG_CHAM_CONG!AP93)</f>
        <v/>
      </c>
      <c r="T93" s="104">
        <f>IF($B93="","",BANG_CHAM_CONG!AQ93)</f>
        <v/>
      </c>
      <c r="U93" s="111">
        <f>IF($B93="","",SUM($I93:$N93))</f>
        <v/>
      </c>
      <c r="V93" s="96">
        <f>IF($B93="","",TRIM(BANG_CHAM_CONG!$AU93&amp;IF($U93&gt;60,"OT vượt 60 giờ/tháng – rà soát giới hạn làm thêm; ","")&amp;IF(AND($E93=0,SUM($O93:$T93)=0),"Chưa có dữ liệu chấm công; ","")&amp;IF($H93&gt;$G93,"Giờ đêm trong ca lớn hơn giờ thường; ","")))</f>
        <v/>
      </c>
    </row>
    <row r="94" ht="15" customHeight="1" s="63">
      <c r="A94" s="85">
        <f>IF($B94="","",ROW()-5)</f>
        <v/>
      </c>
      <c r="B94" s="103">
        <f>IF(BANG_CHAM_CONG!B94="","",BANG_CHAM_CONG!B94)</f>
        <v/>
      </c>
      <c r="C94" s="96">
        <f>IF($B94="","",BANG_CHAM_CONG!C94)</f>
        <v/>
      </c>
      <c r="D94" s="96">
        <f>IF($B94="","",BANG_CHAM_CONG!D94)</f>
        <v/>
      </c>
      <c r="E94" s="95">
        <f>IF($B94="","",BANG_CHAM_CONG!AK94)</f>
        <v/>
      </c>
      <c r="F94" s="109">
        <f>IF($B94="","",IF(DM_NHAN_SU!$H94="",THAM_SO_CC!$B$11,DM_NHAN_SU!$H94))</f>
        <v/>
      </c>
      <c r="G94" s="110">
        <f>IF($B94="","",ROUND($E94*$F94,2))</f>
        <v/>
      </c>
      <c r="H94" s="108">
        <f>IF($B94="","",SUMIFS(CC_OT_GIO!$F$6:$F$2005,CC_OT_GIO!$B$6:$B$2005,$B94,CC_OT_GIO!$D$6:$D$2005,"&gt;="&amp;THAM_SO_CC!$B$8,CC_OT_GIO!$D$6:$D$2005,"&lt;="&amp;THAM_SO_CC!$B$9))</f>
        <v/>
      </c>
      <c r="I94" s="108">
        <f>IF($B94="","",SUMIFS(CC_OT_GIO!$J$6:$J$2005,CC_OT_GIO!$B$6:$B$2005,$B94,CC_OT_GIO!$D$6:$D$2005,"&gt;="&amp;THAM_SO_CC!$B$8,CC_OT_GIO!$D$6:$D$2005,"&lt;="&amp;THAM_SO_CC!$B$9))</f>
        <v/>
      </c>
      <c r="J94" s="108">
        <f>IF($B94="","",SUMIFS(CC_OT_GIO!$K$6:$K$2005,CC_OT_GIO!$B$6:$B$2005,$B94,CC_OT_GIO!$D$6:$D$2005,"&gt;="&amp;THAM_SO_CC!$B$8,CC_OT_GIO!$D$6:$D$2005,"&lt;="&amp;THAM_SO_CC!$B$9))</f>
        <v/>
      </c>
      <c r="K94" s="108">
        <f>IF($B94="","",SUMIFS(CC_OT_GIO!$L$6:$L$2005,CC_OT_GIO!$B$6:$B$2005,$B94,CC_OT_GIO!$D$6:$D$2005,"&gt;="&amp;THAM_SO_CC!$B$8,CC_OT_GIO!$D$6:$D$2005,"&lt;="&amp;THAM_SO_CC!$B$9))</f>
        <v/>
      </c>
      <c r="L94" s="108">
        <f>IF($B94="","",SUMIFS(CC_OT_GIO!$M$6:$M$2005,CC_OT_GIO!$B$6:$B$2005,$B94,CC_OT_GIO!$D$6:$D$2005,"&gt;="&amp;THAM_SO_CC!$B$8,CC_OT_GIO!$D$6:$D$2005,"&lt;="&amp;THAM_SO_CC!$B$9))</f>
        <v/>
      </c>
      <c r="M94" s="108">
        <f>IF($B94="","",SUMIFS(CC_OT_GIO!$N$6:$N$2005,CC_OT_GIO!$B$6:$B$2005,$B94,CC_OT_GIO!$D$6:$D$2005,"&gt;="&amp;THAM_SO_CC!$B$8,CC_OT_GIO!$D$6:$D$2005,"&lt;="&amp;THAM_SO_CC!$B$9))</f>
        <v/>
      </c>
      <c r="N94" s="108">
        <f>IF($B94="","",SUMIFS(CC_OT_GIO!$O$6:$O$2005,CC_OT_GIO!$B$6:$B$2005,$B94,CC_OT_GIO!$D$6:$D$2005,"&gt;="&amp;THAM_SO_CC!$B$8,CC_OT_GIO!$D$6:$D$2005,"&lt;="&amp;THAM_SO_CC!$B$9))</f>
        <v/>
      </c>
      <c r="O94" s="104">
        <f>IF($B94="","",BANG_CHAM_CONG!AL94)</f>
        <v/>
      </c>
      <c r="P94" s="104">
        <f>IF($B94="","",BANG_CHAM_CONG!AM94)</f>
        <v/>
      </c>
      <c r="Q94" s="104">
        <f>IF($B94="","",BANG_CHAM_CONG!AN94)</f>
        <v/>
      </c>
      <c r="R94" s="104">
        <f>IF($B94="","",BANG_CHAM_CONG!AO94)</f>
        <v/>
      </c>
      <c r="S94" s="104">
        <f>IF($B94="","",BANG_CHAM_CONG!AP94)</f>
        <v/>
      </c>
      <c r="T94" s="104">
        <f>IF($B94="","",BANG_CHAM_CONG!AQ94)</f>
        <v/>
      </c>
      <c r="U94" s="111">
        <f>IF($B94="","",SUM($I94:$N94))</f>
        <v/>
      </c>
      <c r="V94" s="96">
        <f>IF($B94="","",TRIM(BANG_CHAM_CONG!$AU94&amp;IF($U94&gt;60,"OT vượt 60 giờ/tháng – rà soát giới hạn làm thêm; ","")&amp;IF(AND($E94=0,SUM($O94:$T94)=0),"Chưa có dữ liệu chấm công; ","")&amp;IF($H94&gt;$G94,"Giờ đêm trong ca lớn hơn giờ thường; ","")))</f>
        <v/>
      </c>
    </row>
    <row r="95" ht="15" customHeight="1" s="63">
      <c r="A95" s="85">
        <f>IF($B95="","",ROW()-5)</f>
        <v/>
      </c>
      <c r="B95" s="103">
        <f>IF(BANG_CHAM_CONG!B95="","",BANG_CHAM_CONG!B95)</f>
        <v/>
      </c>
      <c r="C95" s="96">
        <f>IF($B95="","",BANG_CHAM_CONG!C95)</f>
        <v/>
      </c>
      <c r="D95" s="96">
        <f>IF($B95="","",BANG_CHAM_CONG!D95)</f>
        <v/>
      </c>
      <c r="E95" s="95">
        <f>IF($B95="","",BANG_CHAM_CONG!AK95)</f>
        <v/>
      </c>
      <c r="F95" s="109">
        <f>IF($B95="","",IF(DM_NHAN_SU!$H95="",THAM_SO_CC!$B$11,DM_NHAN_SU!$H95))</f>
        <v/>
      </c>
      <c r="G95" s="110">
        <f>IF($B95="","",ROUND($E95*$F95,2))</f>
        <v/>
      </c>
      <c r="H95" s="108">
        <f>IF($B95="","",SUMIFS(CC_OT_GIO!$F$6:$F$2005,CC_OT_GIO!$B$6:$B$2005,$B95,CC_OT_GIO!$D$6:$D$2005,"&gt;="&amp;THAM_SO_CC!$B$8,CC_OT_GIO!$D$6:$D$2005,"&lt;="&amp;THAM_SO_CC!$B$9))</f>
        <v/>
      </c>
      <c r="I95" s="108">
        <f>IF($B95="","",SUMIFS(CC_OT_GIO!$J$6:$J$2005,CC_OT_GIO!$B$6:$B$2005,$B95,CC_OT_GIO!$D$6:$D$2005,"&gt;="&amp;THAM_SO_CC!$B$8,CC_OT_GIO!$D$6:$D$2005,"&lt;="&amp;THAM_SO_CC!$B$9))</f>
        <v/>
      </c>
      <c r="J95" s="108">
        <f>IF($B95="","",SUMIFS(CC_OT_GIO!$K$6:$K$2005,CC_OT_GIO!$B$6:$B$2005,$B95,CC_OT_GIO!$D$6:$D$2005,"&gt;="&amp;THAM_SO_CC!$B$8,CC_OT_GIO!$D$6:$D$2005,"&lt;="&amp;THAM_SO_CC!$B$9))</f>
        <v/>
      </c>
      <c r="K95" s="108">
        <f>IF($B95="","",SUMIFS(CC_OT_GIO!$L$6:$L$2005,CC_OT_GIO!$B$6:$B$2005,$B95,CC_OT_GIO!$D$6:$D$2005,"&gt;="&amp;THAM_SO_CC!$B$8,CC_OT_GIO!$D$6:$D$2005,"&lt;="&amp;THAM_SO_CC!$B$9))</f>
        <v/>
      </c>
      <c r="L95" s="108">
        <f>IF($B95="","",SUMIFS(CC_OT_GIO!$M$6:$M$2005,CC_OT_GIO!$B$6:$B$2005,$B95,CC_OT_GIO!$D$6:$D$2005,"&gt;="&amp;THAM_SO_CC!$B$8,CC_OT_GIO!$D$6:$D$2005,"&lt;="&amp;THAM_SO_CC!$B$9))</f>
        <v/>
      </c>
      <c r="M95" s="108">
        <f>IF($B95="","",SUMIFS(CC_OT_GIO!$N$6:$N$2005,CC_OT_GIO!$B$6:$B$2005,$B95,CC_OT_GIO!$D$6:$D$2005,"&gt;="&amp;THAM_SO_CC!$B$8,CC_OT_GIO!$D$6:$D$2005,"&lt;="&amp;THAM_SO_CC!$B$9))</f>
        <v/>
      </c>
      <c r="N95" s="108">
        <f>IF($B95="","",SUMIFS(CC_OT_GIO!$O$6:$O$2005,CC_OT_GIO!$B$6:$B$2005,$B95,CC_OT_GIO!$D$6:$D$2005,"&gt;="&amp;THAM_SO_CC!$B$8,CC_OT_GIO!$D$6:$D$2005,"&lt;="&amp;THAM_SO_CC!$B$9))</f>
        <v/>
      </c>
      <c r="O95" s="104">
        <f>IF($B95="","",BANG_CHAM_CONG!AL95)</f>
        <v/>
      </c>
      <c r="P95" s="104">
        <f>IF($B95="","",BANG_CHAM_CONG!AM95)</f>
        <v/>
      </c>
      <c r="Q95" s="104">
        <f>IF($B95="","",BANG_CHAM_CONG!AN95)</f>
        <v/>
      </c>
      <c r="R95" s="104">
        <f>IF($B95="","",BANG_CHAM_CONG!AO95)</f>
        <v/>
      </c>
      <c r="S95" s="104">
        <f>IF($B95="","",BANG_CHAM_CONG!AP95)</f>
        <v/>
      </c>
      <c r="T95" s="104">
        <f>IF($B95="","",BANG_CHAM_CONG!AQ95)</f>
        <v/>
      </c>
      <c r="U95" s="111">
        <f>IF($B95="","",SUM($I95:$N95))</f>
        <v/>
      </c>
      <c r="V95" s="96">
        <f>IF($B95="","",TRIM(BANG_CHAM_CONG!$AU95&amp;IF($U95&gt;60,"OT vượt 60 giờ/tháng – rà soát giới hạn làm thêm; ","")&amp;IF(AND($E95=0,SUM($O95:$T95)=0),"Chưa có dữ liệu chấm công; ","")&amp;IF($H95&gt;$G95,"Giờ đêm trong ca lớn hơn giờ thường; ","")))</f>
        <v/>
      </c>
    </row>
    <row r="96" ht="15" customHeight="1" s="63">
      <c r="A96" s="85">
        <f>IF($B96="","",ROW()-5)</f>
        <v/>
      </c>
      <c r="B96" s="103">
        <f>IF(BANG_CHAM_CONG!B96="","",BANG_CHAM_CONG!B96)</f>
        <v/>
      </c>
      <c r="C96" s="96">
        <f>IF($B96="","",BANG_CHAM_CONG!C96)</f>
        <v/>
      </c>
      <c r="D96" s="96">
        <f>IF($B96="","",BANG_CHAM_CONG!D96)</f>
        <v/>
      </c>
      <c r="E96" s="95">
        <f>IF($B96="","",BANG_CHAM_CONG!AK96)</f>
        <v/>
      </c>
      <c r="F96" s="109">
        <f>IF($B96="","",IF(DM_NHAN_SU!$H96="",THAM_SO_CC!$B$11,DM_NHAN_SU!$H96))</f>
        <v/>
      </c>
      <c r="G96" s="110">
        <f>IF($B96="","",ROUND($E96*$F96,2))</f>
        <v/>
      </c>
      <c r="H96" s="108">
        <f>IF($B96="","",SUMIFS(CC_OT_GIO!$F$6:$F$2005,CC_OT_GIO!$B$6:$B$2005,$B96,CC_OT_GIO!$D$6:$D$2005,"&gt;="&amp;THAM_SO_CC!$B$8,CC_OT_GIO!$D$6:$D$2005,"&lt;="&amp;THAM_SO_CC!$B$9))</f>
        <v/>
      </c>
      <c r="I96" s="108">
        <f>IF($B96="","",SUMIFS(CC_OT_GIO!$J$6:$J$2005,CC_OT_GIO!$B$6:$B$2005,$B96,CC_OT_GIO!$D$6:$D$2005,"&gt;="&amp;THAM_SO_CC!$B$8,CC_OT_GIO!$D$6:$D$2005,"&lt;="&amp;THAM_SO_CC!$B$9))</f>
        <v/>
      </c>
      <c r="J96" s="108">
        <f>IF($B96="","",SUMIFS(CC_OT_GIO!$K$6:$K$2005,CC_OT_GIO!$B$6:$B$2005,$B96,CC_OT_GIO!$D$6:$D$2005,"&gt;="&amp;THAM_SO_CC!$B$8,CC_OT_GIO!$D$6:$D$2005,"&lt;="&amp;THAM_SO_CC!$B$9))</f>
        <v/>
      </c>
      <c r="K96" s="108">
        <f>IF($B96="","",SUMIFS(CC_OT_GIO!$L$6:$L$2005,CC_OT_GIO!$B$6:$B$2005,$B96,CC_OT_GIO!$D$6:$D$2005,"&gt;="&amp;THAM_SO_CC!$B$8,CC_OT_GIO!$D$6:$D$2005,"&lt;="&amp;THAM_SO_CC!$B$9))</f>
        <v/>
      </c>
      <c r="L96" s="108">
        <f>IF($B96="","",SUMIFS(CC_OT_GIO!$M$6:$M$2005,CC_OT_GIO!$B$6:$B$2005,$B96,CC_OT_GIO!$D$6:$D$2005,"&gt;="&amp;THAM_SO_CC!$B$8,CC_OT_GIO!$D$6:$D$2005,"&lt;="&amp;THAM_SO_CC!$B$9))</f>
        <v/>
      </c>
      <c r="M96" s="108">
        <f>IF($B96="","",SUMIFS(CC_OT_GIO!$N$6:$N$2005,CC_OT_GIO!$B$6:$B$2005,$B96,CC_OT_GIO!$D$6:$D$2005,"&gt;="&amp;THAM_SO_CC!$B$8,CC_OT_GIO!$D$6:$D$2005,"&lt;="&amp;THAM_SO_CC!$B$9))</f>
        <v/>
      </c>
      <c r="N96" s="108">
        <f>IF($B96="","",SUMIFS(CC_OT_GIO!$O$6:$O$2005,CC_OT_GIO!$B$6:$B$2005,$B96,CC_OT_GIO!$D$6:$D$2005,"&gt;="&amp;THAM_SO_CC!$B$8,CC_OT_GIO!$D$6:$D$2005,"&lt;="&amp;THAM_SO_CC!$B$9))</f>
        <v/>
      </c>
      <c r="O96" s="104">
        <f>IF($B96="","",BANG_CHAM_CONG!AL96)</f>
        <v/>
      </c>
      <c r="P96" s="104">
        <f>IF($B96="","",BANG_CHAM_CONG!AM96)</f>
        <v/>
      </c>
      <c r="Q96" s="104">
        <f>IF($B96="","",BANG_CHAM_CONG!AN96)</f>
        <v/>
      </c>
      <c r="R96" s="104">
        <f>IF($B96="","",BANG_CHAM_CONG!AO96)</f>
        <v/>
      </c>
      <c r="S96" s="104">
        <f>IF($B96="","",BANG_CHAM_CONG!AP96)</f>
        <v/>
      </c>
      <c r="T96" s="104">
        <f>IF($B96="","",BANG_CHAM_CONG!AQ96)</f>
        <v/>
      </c>
      <c r="U96" s="111">
        <f>IF($B96="","",SUM($I96:$N96))</f>
        <v/>
      </c>
      <c r="V96" s="96">
        <f>IF($B96="","",TRIM(BANG_CHAM_CONG!$AU96&amp;IF($U96&gt;60,"OT vượt 60 giờ/tháng – rà soát giới hạn làm thêm; ","")&amp;IF(AND($E96=0,SUM($O96:$T96)=0),"Chưa có dữ liệu chấm công; ","")&amp;IF($H96&gt;$G96,"Giờ đêm trong ca lớn hơn giờ thường; ","")))</f>
        <v/>
      </c>
    </row>
    <row r="97" ht="15" customHeight="1" s="63">
      <c r="A97" s="85">
        <f>IF($B97="","",ROW()-5)</f>
        <v/>
      </c>
      <c r="B97" s="103">
        <f>IF(BANG_CHAM_CONG!B97="","",BANG_CHAM_CONG!B97)</f>
        <v/>
      </c>
      <c r="C97" s="96">
        <f>IF($B97="","",BANG_CHAM_CONG!C97)</f>
        <v/>
      </c>
      <c r="D97" s="96">
        <f>IF($B97="","",BANG_CHAM_CONG!D97)</f>
        <v/>
      </c>
      <c r="E97" s="95">
        <f>IF($B97="","",BANG_CHAM_CONG!AK97)</f>
        <v/>
      </c>
      <c r="F97" s="109">
        <f>IF($B97="","",IF(DM_NHAN_SU!$H97="",THAM_SO_CC!$B$11,DM_NHAN_SU!$H97))</f>
        <v/>
      </c>
      <c r="G97" s="110">
        <f>IF($B97="","",ROUND($E97*$F97,2))</f>
        <v/>
      </c>
      <c r="H97" s="108">
        <f>IF($B97="","",SUMIFS(CC_OT_GIO!$F$6:$F$2005,CC_OT_GIO!$B$6:$B$2005,$B97,CC_OT_GIO!$D$6:$D$2005,"&gt;="&amp;THAM_SO_CC!$B$8,CC_OT_GIO!$D$6:$D$2005,"&lt;="&amp;THAM_SO_CC!$B$9))</f>
        <v/>
      </c>
      <c r="I97" s="108">
        <f>IF($B97="","",SUMIFS(CC_OT_GIO!$J$6:$J$2005,CC_OT_GIO!$B$6:$B$2005,$B97,CC_OT_GIO!$D$6:$D$2005,"&gt;="&amp;THAM_SO_CC!$B$8,CC_OT_GIO!$D$6:$D$2005,"&lt;="&amp;THAM_SO_CC!$B$9))</f>
        <v/>
      </c>
      <c r="J97" s="108">
        <f>IF($B97="","",SUMIFS(CC_OT_GIO!$K$6:$K$2005,CC_OT_GIO!$B$6:$B$2005,$B97,CC_OT_GIO!$D$6:$D$2005,"&gt;="&amp;THAM_SO_CC!$B$8,CC_OT_GIO!$D$6:$D$2005,"&lt;="&amp;THAM_SO_CC!$B$9))</f>
        <v/>
      </c>
      <c r="K97" s="108">
        <f>IF($B97="","",SUMIFS(CC_OT_GIO!$L$6:$L$2005,CC_OT_GIO!$B$6:$B$2005,$B97,CC_OT_GIO!$D$6:$D$2005,"&gt;="&amp;THAM_SO_CC!$B$8,CC_OT_GIO!$D$6:$D$2005,"&lt;="&amp;THAM_SO_CC!$B$9))</f>
        <v/>
      </c>
      <c r="L97" s="108">
        <f>IF($B97="","",SUMIFS(CC_OT_GIO!$M$6:$M$2005,CC_OT_GIO!$B$6:$B$2005,$B97,CC_OT_GIO!$D$6:$D$2005,"&gt;="&amp;THAM_SO_CC!$B$8,CC_OT_GIO!$D$6:$D$2005,"&lt;="&amp;THAM_SO_CC!$B$9))</f>
        <v/>
      </c>
      <c r="M97" s="108">
        <f>IF($B97="","",SUMIFS(CC_OT_GIO!$N$6:$N$2005,CC_OT_GIO!$B$6:$B$2005,$B97,CC_OT_GIO!$D$6:$D$2005,"&gt;="&amp;THAM_SO_CC!$B$8,CC_OT_GIO!$D$6:$D$2005,"&lt;="&amp;THAM_SO_CC!$B$9))</f>
        <v/>
      </c>
      <c r="N97" s="108">
        <f>IF($B97="","",SUMIFS(CC_OT_GIO!$O$6:$O$2005,CC_OT_GIO!$B$6:$B$2005,$B97,CC_OT_GIO!$D$6:$D$2005,"&gt;="&amp;THAM_SO_CC!$B$8,CC_OT_GIO!$D$6:$D$2005,"&lt;="&amp;THAM_SO_CC!$B$9))</f>
        <v/>
      </c>
      <c r="O97" s="104">
        <f>IF($B97="","",BANG_CHAM_CONG!AL97)</f>
        <v/>
      </c>
      <c r="P97" s="104">
        <f>IF($B97="","",BANG_CHAM_CONG!AM97)</f>
        <v/>
      </c>
      <c r="Q97" s="104">
        <f>IF($B97="","",BANG_CHAM_CONG!AN97)</f>
        <v/>
      </c>
      <c r="R97" s="104">
        <f>IF($B97="","",BANG_CHAM_CONG!AO97)</f>
        <v/>
      </c>
      <c r="S97" s="104">
        <f>IF($B97="","",BANG_CHAM_CONG!AP97)</f>
        <v/>
      </c>
      <c r="T97" s="104">
        <f>IF($B97="","",BANG_CHAM_CONG!AQ97)</f>
        <v/>
      </c>
      <c r="U97" s="111">
        <f>IF($B97="","",SUM($I97:$N97))</f>
        <v/>
      </c>
      <c r="V97" s="96">
        <f>IF($B97="","",TRIM(BANG_CHAM_CONG!$AU97&amp;IF($U97&gt;60,"OT vượt 60 giờ/tháng – rà soát giới hạn làm thêm; ","")&amp;IF(AND($E97=0,SUM($O97:$T97)=0),"Chưa có dữ liệu chấm công; ","")&amp;IF($H97&gt;$G97,"Giờ đêm trong ca lớn hơn giờ thường; ","")))</f>
        <v/>
      </c>
    </row>
    <row r="98" ht="15" customHeight="1" s="63">
      <c r="A98" s="85">
        <f>IF($B98="","",ROW()-5)</f>
        <v/>
      </c>
      <c r="B98" s="103">
        <f>IF(BANG_CHAM_CONG!B98="","",BANG_CHAM_CONG!B98)</f>
        <v/>
      </c>
      <c r="C98" s="96">
        <f>IF($B98="","",BANG_CHAM_CONG!C98)</f>
        <v/>
      </c>
      <c r="D98" s="96">
        <f>IF($B98="","",BANG_CHAM_CONG!D98)</f>
        <v/>
      </c>
      <c r="E98" s="95">
        <f>IF($B98="","",BANG_CHAM_CONG!AK98)</f>
        <v/>
      </c>
      <c r="F98" s="109">
        <f>IF($B98="","",IF(DM_NHAN_SU!$H98="",THAM_SO_CC!$B$11,DM_NHAN_SU!$H98))</f>
        <v/>
      </c>
      <c r="G98" s="110">
        <f>IF($B98="","",ROUND($E98*$F98,2))</f>
        <v/>
      </c>
      <c r="H98" s="108">
        <f>IF($B98="","",SUMIFS(CC_OT_GIO!$F$6:$F$2005,CC_OT_GIO!$B$6:$B$2005,$B98,CC_OT_GIO!$D$6:$D$2005,"&gt;="&amp;THAM_SO_CC!$B$8,CC_OT_GIO!$D$6:$D$2005,"&lt;="&amp;THAM_SO_CC!$B$9))</f>
        <v/>
      </c>
      <c r="I98" s="108">
        <f>IF($B98="","",SUMIFS(CC_OT_GIO!$J$6:$J$2005,CC_OT_GIO!$B$6:$B$2005,$B98,CC_OT_GIO!$D$6:$D$2005,"&gt;="&amp;THAM_SO_CC!$B$8,CC_OT_GIO!$D$6:$D$2005,"&lt;="&amp;THAM_SO_CC!$B$9))</f>
        <v/>
      </c>
      <c r="J98" s="108">
        <f>IF($B98="","",SUMIFS(CC_OT_GIO!$K$6:$K$2005,CC_OT_GIO!$B$6:$B$2005,$B98,CC_OT_GIO!$D$6:$D$2005,"&gt;="&amp;THAM_SO_CC!$B$8,CC_OT_GIO!$D$6:$D$2005,"&lt;="&amp;THAM_SO_CC!$B$9))</f>
        <v/>
      </c>
      <c r="K98" s="108">
        <f>IF($B98="","",SUMIFS(CC_OT_GIO!$L$6:$L$2005,CC_OT_GIO!$B$6:$B$2005,$B98,CC_OT_GIO!$D$6:$D$2005,"&gt;="&amp;THAM_SO_CC!$B$8,CC_OT_GIO!$D$6:$D$2005,"&lt;="&amp;THAM_SO_CC!$B$9))</f>
        <v/>
      </c>
      <c r="L98" s="108">
        <f>IF($B98="","",SUMIFS(CC_OT_GIO!$M$6:$M$2005,CC_OT_GIO!$B$6:$B$2005,$B98,CC_OT_GIO!$D$6:$D$2005,"&gt;="&amp;THAM_SO_CC!$B$8,CC_OT_GIO!$D$6:$D$2005,"&lt;="&amp;THAM_SO_CC!$B$9))</f>
        <v/>
      </c>
      <c r="M98" s="108">
        <f>IF($B98="","",SUMIFS(CC_OT_GIO!$N$6:$N$2005,CC_OT_GIO!$B$6:$B$2005,$B98,CC_OT_GIO!$D$6:$D$2005,"&gt;="&amp;THAM_SO_CC!$B$8,CC_OT_GIO!$D$6:$D$2005,"&lt;="&amp;THAM_SO_CC!$B$9))</f>
        <v/>
      </c>
      <c r="N98" s="108">
        <f>IF($B98="","",SUMIFS(CC_OT_GIO!$O$6:$O$2005,CC_OT_GIO!$B$6:$B$2005,$B98,CC_OT_GIO!$D$6:$D$2005,"&gt;="&amp;THAM_SO_CC!$B$8,CC_OT_GIO!$D$6:$D$2005,"&lt;="&amp;THAM_SO_CC!$B$9))</f>
        <v/>
      </c>
      <c r="O98" s="104">
        <f>IF($B98="","",BANG_CHAM_CONG!AL98)</f>
        <v/>
      </c>
      <c r="P98" s="104">
        <f>IF($B98="","",BANG_CHAM_CONG!AM98)</f>
        <v/>
      </c>
      <c r="Q98" s="104">
        <f>IF($B98="","",BANG_CHAM_CONG!AN98)</f>
        <v/>
      </c>
      <c r="R98" s="104">
        <f>IF($B98="","",BANG_CHAM_CONG!AO98)</f>
        <v/>
      </c>
      <c r="S98" s="104">
        <f>IF($B98="","",BANG_CHAM_CONG!AP98)</f>
        <v/>
      </c>
      <c r="T98" s="104">
        <f>IF($B98="","",BANG_CHAM_CONG!AQ98)</f>
        <v/>
      </c>
      <c r="U98" s="111">
        <f>IF($B98="","",SUM($I98:$N98))</f>
        <v/>
      </c>
      <c r="V98" s="96">
        <f>IF($B98="","",TRIM(BANG_CHAM_CONG!$AU98&amp;IF($U98&gt;60,"OT vượt 60 giờ/tháng – rà soát giới hạn làm thêm; ","")&amp;IF(AND($E98=0,SUM($O98:$T98)=0),"Chưa có dữ liệu chấm công; ","")&amp;IF($H98&gt;$G98,"Giờ đêm trong ca lớn hơn giờ thường; ","")))</f>
        <v/>
      </c>
    </row>
    <row r="99" ht="15" customHeight="1" s="63">
      <c r="A99" s="85">
        <f>IF($B99="","",ROW()-5)</f>
        <v/>
      </c>
      <c r="B99" s="103">
        <f>IF(BANG_CHAM_CONG!B99="","",BANG_CHAM_CONG!B99)</f>
        <v/>
      </c>
      <c r="C99" s="96">
        <f>IF($B99="","",BANG_CHAM_CONG!C99)</f>
        <v/>
      </c>
      <c r="D99" s="96">
        <f>IF($B99="","",BANG_CHAM_CONG!D99)</f>
        <v/>
      </c>
      <c r="E99" s="95">
        <f>IF($B99="","",BANG_CHAM_CONG!AK99)</f>
        <v/>
      </c>
      <c r="F99" s="109">
        <f>IF($B99="","",IF(DM_NHAN_SU!$H99="",THAM_SO_CC!$B$11,DM_NHAN_SU!$H99))</f>
        <v/>
      </c>
      <c r="G99" s="110">
        <f>IF($B99="","",ROUND($E99*$F99,2))</f>
        <v/>
      </c>
      <c r="H99" s="108">
        <f>IF($B99="","",SUMIFS(CC_OT_GIO!$F$6:$F$2005,CC_OT_GIO!$B$6:$B$2005,$B99,CC_OT_GIO!$D$6:$D$2005,"&gt;="&amp;THAM_SO_CC!$B$8,CC_OT_GIO!$D$6:$D$2005,"&lt;="&amp;THAM_SO_CC!$B$9))</f>
        <v/>
      </c>
      <c r="I99" s="108">
        <f>IF($B99="","",SUMIFS(CC_OT_GIO!$J$6:$J$2005,CC_OT_GIO!$B$6:$B$2005,$B99,CC_OT_GIO!$D$6:$D$2005,"&gt;="&amp;THAM_SO_CC!$B$8,CC_OT_GIO!$D$6:$D$2005,"&lt;="&amp;THAM_SO_CC!$B$9))</f>
        <v/>
      </c>
      <c r="J99" s="108">
        <f>IF($B99="","",SUMIFS(CC_OT_GIO!$K$6:$K$2005,CC_OT_GIO!$B$6:$B$2005,$B99,CC_OT_GIO!$D$6:$D$2005,"&gt;="&amp;THAM_SO_CC!$B$8,CC_OT_GIO!$D$6:$D$2005,"&lt;="&amp;THAM_SO_CC!$B$9))</f>
        <v/>
      </c>
      <c r="K99" s="108">
        <f>IF($B99="","",SUMIFS(CC_OT_GIO!$L$6:$L$2005,CC_OT_GIO!$B$6:$B$2005,$B99,CC_OT_GIO!$D$6:$D$2005,"&gt;="&amp;THAM_SO_CC!$B$8,CC_OT_GIO!$D$6:$D$2005,"&lt;="&amp;THAM_SO_CC!$B$9))</f>
        <v/>
      </c>
      <c r="L99" s="108">
        <f>IF($B99="","",SUMIFS(CC_OT_GIO!$M$6:$M$2005,CC_OT_GIO!$B$6:$B$2005,$B99,CC_OT_GIO!$D$6:$D$2005,"&gt;="&amp;THAM_SO_CC!$B$8,CC_OT_GIO!$D$6:$D$2005,"&lt;="&amp;THAM_SO_CC!$B$9))</f>
        <v/>
      </c>
      <c r="M99" s="108">
        <f>IF($B99="","",SUMIFS(CC_OT_GIO!$N$6:$N$2005,CC_OT_GIO!$B$6:$B$2005,$B99,CC_OT_GIO!$D$6:$D$2005,"&gt;="&amp;THAM_SO_CC!$B$8,CC_OT_GIO!$D$6:$D$2005,"&lt;="&amp;THAM_SO_CC!$B$9))</f>
        <v/>
      </c>
      <c r="N99" s="108">
        <f>IF($B99="","",SUMIFS(CC_OT_GIO!$O$6:$O$2005,CC_OT_GIO!$B$6:$B$2005,$B99,CC_OT_GIO!$D$6:$D$2005,"&gt;="&amp;THAM_SO_CC!$B$8,CC_OT_GIO!$D$6:$D$2005,"&lt;="&amp;THAM_SO_CC!$B$9))</f>
        <v/>
      </c>
      <c r="O99" s="104">
        <f>IF($B99="","",BANG_CHAM_CONG!AL99)</f>
        <v/>
      </c>
      <c r="P99" s="104">
        <f>IF($B99="","",BANG_CHAM_CONG!AM99)</f>
        <v/>
      </c>
      <c r="Q99" s="104">
        <f>IF($B99="","",BANG_CHAM_CONG!AN99)</f>
        <v/>
      </c>
      <c r="R99" s="104">
        <f>IF($B99="","",BANG_CHAM_CONG!AO99)</f>
        <v/>
      </c>
      <c r="S99" s="104">
        <f>IF($B99="","",BANG_CHAM_CONG!AP99)</f>
        <v/>
      </c>
      <c r="T99" s="104">
        <f>IF($B99="","",BANG_CHAM_CONG!AQ99)</f>
        <v/>
      </c>
      <c r="U99" s="111">
        <f>IF($B99="","",SUM($I99:$N99))</f>
        <v/>
      </c>
      <c r="V99" s="96">
        <f>IF($B99="","",TRIM(BANG_CHAM_CONG!$AU99&amp;IF($U99&gt;60,"OT vượt 60 giờ/tháng – rà soát giới hạn làm thêm; ","")&amp;IF(AND($E99=0,SUM($O99:$T99)=0),"Chưa có dữ liệu chấm công; ","")&amp;IF($H99&gt;$G99,"Giờ đêm trong ca lớn hơn giờ thường; ","")))</f>
        <v/>
      </c>
    </row>
    <row r="100" ht="15" customHeight="1" s="63">
      <c r="A100" s="85">
        <f>IF($B100="","",ROW()-5)</f>
        <v/>
      </c>
      <c r="B100" s="103">
        <f>IF(BANG_CHAM_CONG!B100="","",BANG_CHAM_CONG!B100)</f>
        <v/>
      </c>
      <c r="C100" s="96">
        <f>IF($B100="","",BANG_CHAM_CONG!C100)</f>
        <v/>
      </c>
      <c r="D100" s="96">
        <f>IF($B100="","",BANG_CHAM_CONG!D100)</f>
        <v/>
      </c>
      <c r="E100" s="95">
        <f>IF($B100="","",BANG_CHAM_CONG!AK100)</f>
        <v/>
      </c>
      <c r="F100" s="109">
        <f>IF($B100="","",IF(DM_NHAN_SU!$H100="",THAM_SO_CC!$B$11,DM_NHAN_SU!$H100))</f>
        <v/>
      </c>
      <c r="G100" s="110">
        <f>IF($B100="","",ROUND($E100*$F100,2))</f>
        <v/>
      </c>
      <c r="H100" s="108">
        <f>IF($B100="","",SUMIFS(CC_OT_GIO!$F$6:$F$2005,CC_OT_GIO!$B$6:$B$2005,$B100,CC_OT_GIO!$D$6:$D$2005,"&gt;="&amp;THAM_SO_CC!$B$8,CC_OT_GIO!$D$6:$D$2005,"&lt;="&amp;THAM_SO_CC!$B$9))</f>
        <v/>
      </c>
      <c r="I100" s="108">
        <f>IF($B100="","",SUMIFS(CC_OT_GIO!$J$6:$J$2005,CC_OT_GIO!$B$6:$B$2005,$B100,CC_OT_GIO!$D$6:$D$2005,"&gt;="&amp;THAM_SO_CC!$B$8,CC_OT_GIO!$D$6:$D$2005,"&lt;="&amp;THAM_SO_CC!$B$9))</f>
        <v/>
      </c>
      <c r="J100" s="108">
        <f>IF($B100="","",SUMIFS(CC_OT_GIO!$K$6:$K$2005,CC_OT_GIO!$B$6:$B$2005,$B100,CC_OT_GIO!$D$6:$D$2005,"&gt;="&amp;THAM_SO_CC!$B$8,CC_OT_GIO!$D$6:$D$2005,"&lt;="&amp;THAM_SO_CC!$B$9))</f>
        <v/>
      </c>
      <c r="K100" s="108">
        <f>IF($B100="","",SUMIFS(CC_OT_GIO!$L$6:$L$2005,CC_OT_GIO!$B$6:$B$2005,$B100,CC_OT_GIO!$D$6:$D$2005,"&gt;="&amp;THAM_SO_CC!$B$8,CC_OT_GIO!$D$6:$D$2005,"&lt;="&amp;THAM_SO_CC!$B$9))</f>
        <v/>
      </c>
      <c r="L100" s="108">
        <f>IF($B100="","",SUMIFS(CC_OT_GIO!$M$6:$M$2005,CC_OT_GIO!$B$6:$B$2005,$B100,CC_OT_GIO!$D$6:$D$2005,"&gt;="&amp;THAM_SO_CC!$B$8,CC_OT_GIO!$D$6:$D$2005,"&lt;="&amp;THAM_SO_CC!$B$9))</f>
        <v/>
      </c>
      <c r="M100" s="108">
        <f>IF($B100="","",SUMIFS(CC_OT_GIO!$N$6:$N$2005,CC_OT_GIO!$B$6:$B$2005,$B100,CC_OT_GIO!$D$6:$D$2005,"&gt;="&amp;THAM_SO_CC!$B$8,CC_OT_GIO!$D$6:$D$2005,"&lt;="&amp;THAM_SO_CC!$B$9))</f>
        <v/>
      </c>
      <c r="N100" s="108">
        <f>IF($B100="","",SUMIFS(CC_OT_GIO!$O$6:$O$2005,CC_OT_GIO!$B$6:$B$2005,$B100,CC_OT_GIO!$D$6:$D$2005,"&gt;="&amp;THAM_SO_CC!$B$8,CC_OT_GIO!$D$6:$D$2005,"&lt;="&amp;THAM_SO_CC!$B$9))</f>
        <v/>
      </c>
      <c r="O100" s="104">
        <f>IF($B100="","",BANG_CHAM_CONG!AL100)</f>
        <v/>
      </c>
      <c r="P100" s="104">
        <f>IF($B100="","",BANG_CHAM_CONG!AM100)</f>
        <v/>
      </c>
      <c r="Q100" s="104">
        <f>IF($B100="","",BANG_CHAM_CONG!AN100)</f>
        <v/>
      </c>
      <c r="R100" s="104">
        <f>IF($B100="","",BANG_CHAM_CONG!AO100)</f>
        <v/>
      </c>
      <c r="S100" s="104">
        <f>IF($B100="","",BANG_CHAM_CONG!AP100)</f>
        <v/>
      </c>
      <c r="T100" s="104">
        <f>IF($B100="","",BANG_CHAM_CONG!AQ100)</f>
        <v/>
      </c>
      <c r="U100" s="111">
        <f>IF($B100="","",SUM($I100:$N100))</f>
        <v/>
      </c>
      <c r="V100" s="96">
        <f>IF($B100="","",TRIM(BANG_CHAM_CONG!$AU100&amp;IF($U100&gt;60,"OT vượt 60 giờ/tháng – rà soát giới hạn làm thêm; ","")&amp;IF(AND($E100=0,SUM($O100:$T100)=0),"Chưa có dữ liệu chấm công; ","")&amp;IF($H100&gt;$G100,"Giờ đêm trong ca lớn hơn giờ thường; ","")))</f>
        <v/>
      </c>
    </row>
    <row r="101" ht="15" customHeight="1" s="63">
      <c r="A101" s="85">
        <f>IF($B101="","",ROW()-5)</f>
        <v/>
      </c>
      <c r="B101" s="103">
        <f>IF(BANG_CHAM_CONG!B101="","",BANG_CHAM_CONG!B101)</f>
        <v/>
      </c>
      <c r="C101" s="96">
        <f>IF($B101="","",BANG_CHAM_CONG!C101)</f>
        <v/>
      </c>
      <c r="D101" s="96">
        <f>IF($B101="","",BANG_CHAM_CONG!D101)</f>
        <v/>
      </c>
      <c r="E101" s="95">
        <f>IF($B101="","",BANG_CHAM_CONG!AK101)</f>
        <v/>
      </c>
      <c r="F101" s="109">
        <f>IF($B101="","",IF(DM_NHAN_SU!$H101="",THAM_SO_CC!$B$11,DM_NHAN_SU!$H101))</f>
        <v/>
      </c>
      <c r="G101" s="110">
        <f>IF($B101="","",ROUND($E101*$F101,2))</f>
        <v/>
      </c>
      <c r="H101" s="108">
        <f>IF($B101="","",SUMIFS(CC_OT_GIO!$F$6:$F$2005,CC_OT_GIO!$B$6:$B$2005,$B101,CC_OT_GIO!$D$6:$D$2005,"&gt;="&amp;THAM_SO_CC!$B$8,CC_OT_GIO!$D$6:$D$2005,"&lt;="&amp;THAM_SO_CC!$B$9))</f>
        <v/>
      </c>
      <c r="I101" s="108">
        <f>IF($B101="","",SUMIFS(CC_OT_GIO!$J$6:$J$2005,CC_OT_GIO!$B$6:$B$2005,$B101,CC_OT_GIO!$D$6:$D$2005,"&gt;="&amp;THAM_SO_CC!$B$8,CC_OT_GIO!$D$6:$D$2005,"&lt;="&amp;THAM_SO_CC!$B$9))</f>
        <v/>
      </c>
      <c r="J101" s="108">
        <f>IF($B101="","",SUMIFS(CC_OT_GIO!$K$6:$K$2005,CC_OT_GIO!$B$6:$B$2005,$B101,CC_OT_GIO!$D$6:$D$2005,"&gt;="&amp;THAM_SO_CC!$B$8,CC_OT_GIO!$D$6:$D$2005,"&lt;="&amp;THAM_SO_CC!$B$9))</f>
        <v/>
      </c>
      <c r="K101" s="108">
        <f>IF($B101="","",SUMIFS(CC_OT_GIO!$L$6:$L$2005,CC_OT_GIO!$B$6:$B$2005,$B101,CC_OT_GIO!$D$6:$D$2005,"&gt;="&amp;THAM_SO_CC!$B$8,CC_OT_GIO!$D$6:$D$2005,"&lt;="&amp;THAM_SO_CC!$B$9))</f>
        <v/>
      </c>
      <c r="L101" s="108">
        <f>IF($B101="","",SUMIFS(CC_OT_GIO!$M$6:$M$2005,CC_OT_GIO!$B$6:$B$2005,$B101,CC_OT_GIO!$D$6:$D$2005,"&gt;="&amp;THAM_SO_CC!$B$8,CC_OT_GIO!$D$6:$D$2005,"&lt;="&amp;THAM_SO_CC!$B$9))</f>
        <v/>
      </c>
      <c r="M101" s="108">
        <f>IF($B101="","",SUMIFS(CC_OT_GIO!$N$6:$N$2005,CC_OT_GIO!$B$6:$B$2005,$B101,CC_OT_GIO!$D$6:$D$2005,"&gt;="&amp;THAM_SO_CC!$B$8,CC_OT_GIO!$D$6:$D$2005,"&lt;="&amp;THAM_SO_CC!$B$9))</f>
        <v/>
      </c>
      <c r="N101" s="108">
        <f>IF($B101="","",SUMIFS(CC_OT_GIO!$O$6:$O$2005,CC_OT_GIO!$B$6:$B$2005,$B101,CC_OT_GIO!$D$6:$D$2005,"&gt;="&amp;THAM_SO_CC!$B$8,CC_OT_GIO!$D$6:$D$2005,"&lt;="&amp;THAM_SO_CC!$B$9))</f>
        <v/>
      </c>
      <c r="O101" s="104">
        <f>IF($B101="","",BANG_CHAM_CONG!AL101)</f>
        <v/>
      </c>
      <c r="P101" s="104">
        <f>IF($B101="","",BANG_CHAM_CONG!AM101)</f>
        <v/>
      </c>
      <c r="Q101" s="104">
        <f>IF($B101="","",BANG_CHAM_CONG!AN101)</f>
        <v/>
      </c>
      <c r="R101" s="104">
        <f>IF($B101="","",BANG_CHAM_CONG!AO101)</f>
        <v/>
      </c>
      <c r="S101" s="104">
        <f>IF($B101="","",BANG_CHAM_CONG!AP101)</f>
        <v/>
      </c>
      <c r="T101" s="104">
        <f>IF($B101="","",BANG_CHAM_CONG!AQ101)</f>
        <v/>
      </c>
      <c r="U101" s="111">
        <f>IF($B101="","",SUM($I101:$N101))</f>
        <v/>
      </c>
      <c r="V101" s="96">
        <f>IF($B101="","",TRIM(BANG_CHAM_CONG!$AU101&amp;IF($U101&gt;60,"OT vượt 60 giờ/tháng – rà soát giới hạn làm thêm; ","")&amp;IF(AND($E101=0,SUM($O101:$T101)=0),"Chưa có dữ liệu chấm công; ","")&amp;IF($H101&gt;$G101,"Giờ đêm trong ca lớn hơn giờ thường; ","")))</f>
        <v/>
      </c>
    </row>
    <row r="102" ht="15" customHeight="1" s="63">
      <c r="A102" s="85">
        <f>IF($B102="","",ROW()-5)</f>
        <v/>
      </c>
      <c r="B102" s="103">
        <f>IF(BANG_CHAM_CONG!B102="","",BANG_CHAM_CONG!B102)</f>
        <v/>
      </c>
      <c r="C102" s="96">
        <f>IF($B102="","",BANG_CHAM_CONG!C102)</f>
        <v/>
      </c>
      <c r="D102" s="96">
        <f>IF($B102="","",BANG_CHAM_CONG!D102)</f>
        <v/>
      </c>
      <c r="E102" s="95">
        <f>IF($B102="","",BANG_CHAM_CONG!AK102)</f>
        <v/>
      </c>
      <c r="F102" s="109">
        <f>IF($B102="","",IF(DM_NHAN_SU!$H102="",THAM_SO_CC!$B$11,DM_NHAN_SU!$H102))</f>
        <v/>
      </c>
      <c r="G102" s="110">
        <f>IF($B102="","",ROUND($E102*$F102,2))</f>
        <v/>
      </c>
      <c r="H102" s="108">
        <f>IF($B102="","",SUMIFS(CC_OT_GIO!$F$6:$F$2005,CC_OT_GIO!$B$6:$B$2005,$B102,CC_OT_GIO!$D$6:$D$2005,"&gt;="&amp;THAM_SO_CC!$B$8,CC_OT_GIO!$D$6:$D$2005,"&lt;="&amp;THAM_SO_CC!$B$9))</f>
        <v/>
      </c>
      <c r="I102" s="108">
        <f>IF($B102="","",SUMIFS(CC_OT_GIO!$J$6:$J$2005,CC_OT_GIO!$B$6:$B$2005,$B102,CC_OT_GIO!$D$6:$D$2005,"&gt;="&amp;THAM_SO_CC!$B$8,CC_OT_GIO!$D$6:$D$2005,"&lt;="&amp;THAM_SO_CC!$B$9))</f>
        <v/>
      </c>
      <c r="J102" s="108">
        <f>IF($B102="","",SUMIFS(CC_OT_GIO!$K$6:$K$2005,CC_OT_GIO!$B$6:$B$2005,$B102,CC_OT_GIO!$D$6:$D$2005,"&gt;="&amp;THAM_SO_CC!$B$8,CC_OT_GIO!$D$6:$D$2005,"&lt;="&amp;THAM_SO_CC!$B$9))</f>
        <v/>
      </c>
      <c r="K102" s="108">
        <f>IF($B102="","",SUMIFS(CC_OT_GIO!$L$6:$L$2005,CC_OT_GIO!$B$6:$B$2005,$B102,CC_OT_GIO!$D$6:$D$2005,"&gt;="&amp;THAM_SO_CC!$B$8,CC_OT_GIO!$D$6:$D$2005,"&lt;="&amp;THAM_SO_CC!$B$9))</f>
        <v/>
      </c>
      <c r="L102" s="108">
        <f>IF($B102="","",SUMIFS(CC_OT_GIO!$M$6:$M$2005,CC_OT_GIO!$B$6:$B$2005,$B102,CC_OT_GIO!$D$6:$D$2005,"&gt;="&amp;THAM_SO_CC!$B$8,CC_OT_GIO!$D$6:$D$2005,"&lt;="&amp;THAM_SO_CC!$B$9))</f>
        <v/>
      </c>
      <c r="M102" s="108">
        <f>IF($B102="","",SUMIFS(CC_OT_GIO!$N$6:$N$2005,CC_OT_GIO!$B$6:$B$2005,$B102,CC_OT_GIO!$D$6:$D$2005,"&gt;="&amp;THAM_SO_CC!$B$8,CC_OT_GIO!$D$6:$D$2005,"&lt;="&amp;THAM_SO_CC!$B$9))</f>
        <v/>
      </c>
      <c r="N102" s="108">
        <f>IF($B102="","",SUMIFS(CC_OT_GIO!$O$6:$O$2005,CC_OT_GIO!$B$6:$B$2005,$B102,CC_OT_GIO!$D$6:$D$2005,"&gt;="&amp;THAM_SO_CC!$B$8,CC_OT_GIO!$D$6:$D$2005,"&lt;="&amp;THAM_SO_CC!$B$9))</f>
        <v/>
      </c>
      <c r="O102" s="104">
        <f>IF($B102="","",BANG_CHAM_CONG!AL102)</f>
        <v/>
      </c>
      <c r="P102" s="104">
        <f>IF($B102="","",BANG_CHAM_CONG!AM102)</f>
        <v/>
      </c>
      <c r="Q102" s="104">
        <f>IF($B102="","",BANG_CHAM_CONG!AN102)</f>
        <v/>
      </c>
      <c r="R102" s="104">
        <f>IF($B102="","",BANG_CHAM_CONG!AO102)</f>
        <v/>
      </c>
      <c r="S102" s="104">
        <f>IF($B102="","",BANG_CHAM_CONG!AP102)</f>
        <v/>
      </c>
      <c r="T102" s="104">
        <f>IF($B102="","",BANG_CHAM_CONG!AQ102)</f>
        <v/>
      </c>
      <c r="U102" s="111">
        <f>IF($B102="","",SUM($I102:$N102))</f>
        <v/>
      </c>
      <c r="V102" s="96">
        <f>IF($B102="","",TRIM(BANG_CHAM_CONG!$AU102&amp;IF($U102&gt;60,"OT vượt 60 giờ/tháng – rà soát giới hạn làm thêm; ","")&amp;IF(AND($E102=0,SUM($O102:$T102)=0),"Chưa có dữ liệu chấm công; ","")&amp;IF($H102&gt;$G102,"Giờ đêm trong ca lớn hơn giờ thường; ","")))</f>
        <v/>
      </c>
    </row>
    <row r="103" ht="15" customHeight="1" s="63">
      <c r="A103" s="85">
        <f>IF($B103="","",ROW()-5)</f>
        <v/>
      </c>
      <c r="B103" s="103">
        <f>IF(BANG_CHAM_CONG!B103="","",BANG_CHAM_CONG!B103)</f>
        <v/>
      </c>
      <c r="C103" s="96">
        <f>IF($B103="","",BANG_CHAM_CONG!C103)</f>
        <v/>
      </c>
      <c r="D103" s="96">
        <f>IF($B103="","",BANG_CHAM_CONG!D103)</f>
        <v/>
      </c>
      <c r="E103" s="95">
        <f>IF($B103="","",BANG_CHAM_CONG!AK103)</f>
        <v/>
      </c>
      <c r="F103" s="109">
        <f>IF($B103="","",IF(DM_NHAN_SU!$H103="",THAM_SO_CC!$B$11,DM_NHAN_SU!$H103))</f>
        <v/>
      </c>
      <c r="G103" s="110">
        <f>IF($B103="","",ROUND($E103*$F103,2))</f>
        <v/>
      </c>
      <c r="H103" s="108">
        <f>IF($B103="","",SUMIFS(CC_OT_GIO!$F$6:$F$2005,CC_OT_GIO!$B$6:$B$2005,$B103,CC_OT_GIO!$D$6:$D$2005,"&gt;="&amp;THAM_SO_CC!$B$8,CC_OT_GIO!$D$6:$D$2005,"&lt;="&amp;THAM_SO_CC!$B$9))</f>
        <v/>
      </c>
      <c r="I103" s="108">
        <f>IF($B103="","",SUMIFS(CC_OT_GIO!$J$6:$J$2005,CC_OT_GIO!$B$6:$B$2005,$B103,CC_OT_GIO!$D$6:$D$2005,"&gt;="&amp;THAM_SO_CC!$B$8,CC_OT_GIO!$D$6:$D$2005,"&lt;="&amp;THAM_SO_CC!$B$9))</f>
        <v/>
      </c>
      <c r="J103" s="108">
        <f>IF($B103="","",SUMIFS(CC_OT_GIO!$K$6:$K$2005,CC_OT_GIO!$B$6:$B$2005,$B103,CC_OT_GIO!$D$6:$D$2005,"&gt;="&amp;THAM_SO_CC!$B$8,CC_OT_GIO!$D$6:$D$2005,"&lt;="&amp;THAM_SO_CC!$B$9))</f>
        <v/>
      </c>
      <c r="K103" s="108">
        <f>IF($B103="","",SUMIFS(CC_OT_GIO!$L$6:$L$2005,CC_OT_GIO!$B$6:$B$2005,$B103,CC_OT_GIO!$D$6:$D$2005,"&gt;="&amp;THAM_SO_CC!$B$8,CC_OT_GIO!$D$6:$D$2005,"&lt;="&amp;THAM_SO_CC!$B$9))</f>
        <v/>
      </c>
      <c r="L103" s="108">
        <f>IF($B103="","",SUMIFS(CC_OT_GIO!$M$6:$M$2005,CC_OT_GIO!$B$6:$B$2005,$B103,CC_OT_GIO!$D$6:$D$2005,"&gt;="&amp;THAM_SO_CC!$B$8,CC_OT_GIO!$D$6:$D$2005,"&lt;="&amp;THAM_SO_CC!$B$9))</f>
        <v/>
      </c>
      <c r="M103" s="108">
        <f>IF($B103="","",SUMIFS(CC_OT_GIO!$N$6:$N$2005,CC_OT_GIO!$B$6:$B$2005,$B103,CC_OT_GIO!$D$6:$D$2005,"&gt;="&amp;THAM_SO_CC!$B$8,CC_OT_GIO!$D$6:$D$2005,"&lt;="&amp;THAM_SO_CC!$B$9))</f>
        <v/>
      </c>
      <c r="N103" s="108">
        <f>IF($B103="","",SUMIFS(CC_OT_GIO!$O$6:$O$2005,CC_OT_GIO!$B$6:$B$2005,$B103,CC_OT_GIO!$D$6:$D$2005,"&gt;="&amp;THAM_SO_CC!$B$8,CC_OT_GIO!$D$6:$D$2005,"&lt;="&amp;THAM_SO_CC!$B$9))</f>
        <v/>
      </c>
      <c r="O103" s="104">
        <f>IF($B103="","",BANG_CHAM_CONG!AL103)</f>
        <v/>
      </c>
      <c r="P103" s="104">
        <f>IF($B103="","",BANG_CHAM_CONG!AM103)</f>
        <v/>
      </c>
      <c r="Q103" s="104">
        <f>IF($B103="","",BANG_CHAM_CONG!AN103)</f>
        <v/>
      </c>
      <c r="R103" s="104">
        <f>IF($B103="","",BANG_CHAM_CONG!AO103)</f>
        <v/>
      </c>
      <c r="S103" s="104">
        <f>IF($B103="","",BANG_CHAM_CONG!AP103)</f>
        <v/>
      </c>
      <c r="T103" s="104">
        <f>IF($B103="","",BANG_CHAM_CONG!AQ103)</f>
        <v/>
      </c>
      <c r="U103" s="111">
        <f>IF($B103="","",SUM($I103:$N103))</f>
        <v/>
      </c>
      <c r="V103" s="96">
        <f>IF($B103="","",TRIM(BANG_CHAM_CONG!$AU103&amp;IF($U103&gt;60,"OT vượt 60 giờ/tháng – rà soát giới hạn làm thêm; ","")&amp;IF(AND($E103=0,SUM($O103:$T103)=0),"Chưa có dữ liệu chấm công; ","")&amp;IF($H103&gt;$G103,"Giờ đêm trong ca lớn hơn giờ thường; ","")))</f>
        <v/>
      </c>
    </row>
    <row r="104" ht="15" customHeight="1" s="63">
      <c r="A104" s="85">
        <f>IF($B104="","",ROW()-5)</f>
        <v/>
      </c>
      <c r="B104" s="103">
        <f>IF(BANG_CHAM_CONG!B104="","",BANG_CHAM_CONG!B104)</f>
        <v/>
      </c>
      <c r="C104" s="96">
        <f>IF($B104="","",BANG_CHAM_CONG!C104)</f>
        <v/>
      </c>
      <c r="D104" s="96">
        <f>IF($B104="","",BANG_CHAM_CONG!D104)</f>
        <v/>
      </c>
      <c r="E104" s="95">
        <f>IF($B104="","",BANG_CHAM_CONG!AK104)</f>
        <v/>
      </c>
      <c r="F104" s="109">
        <f>IF($B104="","",IF(DM_NHAN_SU!$H104="",THAM_SO_CC!$B$11,DM_NHAN_SU!$H104))</f>
        <v/>
      </c>
      <c r="G104" s="110">
        <f>IF($B104="","",ROUND($E104*$F104,2))</f>
        <v/>
      </c>
      <c r="H104" s="108">
        <f>IF($B104="","",SUMIFS(CC_OT_GIO!$F$6:$F$2005,CC_OT_GIO!$B$6:$B$2005,$B104,CC_OT_GIO!$D$6:$D$2005,"&gt;="&amp;THAM_SO_CC!$B$8,CC_OT_GIO!$D$6:$D$2005,"&lt;="&amp;THAM_SO_CC!$B$9))</f>
        <v/>
      </c>
      <c r="I104" s="108">
        <f>IF($B104="","",SUMIFS(CC_OT_GIO!$J$6:$J$2005,CC_OT_GIO!$B$6:$B$2005,$B104,CC_OT_GIO!$D$6:$D$2005,"&gt;="&amp;THAM_SO_CC!$B$8,CC_OT_GIO!$D$6:$D$2005,"&lt;="&amp;THAM_SO_CC!$B$9))</f>
        <v/>
      </c>
      <c r="J104" s="108">
        <f>IF($B104="","",SUMIFS(CC_OT_GIO!$K$6:$K$2005,CC_OT_GIO!$B$6:$B$2005,$B104,CC_OT_GIO!$D$6:$D$2005,"&gt;="&amp;THAM_SO_CC!$B$8,CC_OT_GIO!$D$6:$D$2005,"&lt;="&amp;THAM_SO_CC!$B$9))</f>
        <v/>
      </c>
      <c r="K104" s="108">
        <f>IF($B104="","",SUMIFS(CC_OT_GIO!$L$6:$L$2005,CC_OT_GIO!$B$6:$B$2005,$B104,CC_OT_GIO!$D$6:$D$2005,"&gt;="&amp;THAM_SO_CC!$B$8,CC_OT_GIO!$D$6:$D$2005,"&lt;="&amp;THAM_SO_CC!$B$9))</f>
        <v/>
      </c>
      <c r="L104" s="108">
        <f>IF($B104="","",SUMIFS(CC_OT_GIO!$M$6:$M$2005,CC_OT_GIO!$B$6:$B$2005,$B104,CC_OT_GIO!$D$6:$D$2005,"&gt;="&amp;THAM_SO_CC!$B$8,CC_OT_GIO!$D$6:$D$2005,"&lt;="&amp;THAM_SO_CC!$B$9))</f>
        <v/>
      </c>
      <c r="M104" s="108">
        <f>IF($B104="","",SUMIFS(CC_OT_GIO!$N$6:$N$2005,CC_OT_GIO!$B$6:$B$2005,$B104,CC_OT_GIO!$D$6:$D$2005,"&gt;="&amp;THAM_SO_CC!$B$8,CC_OT_GIO!$D$6:$D$2005,"&lt;="&amp;THAM_SO_CC!$B$9))</f>
        <v/>
      </c>
      <c r="N104" s="108">
        <f>IF($B104="","",SUMIFS(CC_OT_GIO!$O$6:$O$2005,CC_OT_GIO!$B$6:$B$2005,$B104,CC_OT_GIO!$D$6:$D$2005,"&gt;="&amp;THAM_SO_CC!$B$8,CC_OT_GIO!$D$6:$D$2005,"&lt;="&amp;THAM_SO_CC!$B$9))</f>
        <v/>
      </c>
      <c r="O104" s="104">
        <f>IF($B104="","",BANG_CHAM_CONG!AL104)</f>
        <v/>
      </c>
      <c r="P104" s="104">
        <f>IF($B104="","",BANG_CHAM_CONG!AM104)</f>
        <v/>
      </c>
      <c r="Q104" s="104">
        <f>IF($B104="","",BANG_CHAM_CONG!AN104)</f>
        <v/>
      </c>
      <c r="R104" s="104">
        <f>IF($B104="","",BANG_CHAM_CONG!AO104)</f>
        <v/>
      </c>
      <c r="S104" s="104">
        <f>IF($B104="","",BANG_CHAM_CONG!AP104)</f>
        <v/>
      </c>
      <c r="T104" s="104">
        <f>IF($B104="","",BANG_CHAM_CONG!AQ104)</f>
        <v/>
      </c>
      <c r="U104" s="111">
        <f>IF($B104="","",SUM($I104:$N104))</f>
        <v/>
      </c>
      <c r="V104" s="96">
        <f>IF($B104="","",TRIM(BANG_CHAM_CONG!$AU104&amp;IF($U104&gt;60,"OT vượt 60 giờ/tháng – rà soát giới hạn làm thêm; ","")&amp;IF(AND($E104=0,SUM($O104:$T104)=0),"Chưa có dữ liệu chấm công; ","")&amp;IF($H104&gt;$G104,"Giờ đêm trong ca lớn hơn giờ thường; ","")))</f>
        <v/>
      </c>
    </row>
    <row r="105" ht="15" customHeight="1" s="63">
      <c r="A105" s="85">
        <f>IF($B105="","",ROW()-5)</f>
        <v/>
      </c>
      <c r="B105" s="103">
        <f>IF(BANG_CHAM_CONG!B105="","",BANG_CHAM_CONG!B105)</f>
        <v/>
      </c>
      <c r="C105" s="96">
        <f>IF($B105="","",BANG_CHAM_CONG!C105)</f>
        <v/>
      </c>
      <c r="D105" s="96">
        <f>IF($B105="","",BANG_CHAM_CONG!D105)</f>
        <v/>
      </c>
      <c r="E105" s="95">
        <f>IF($B105="","",BANG_CHAM_CONG!AK105)</f>
        <v/>
      </c>
      <c r="F105" s="109">
        <f>IF($B105="","",IF(DM_NHAN_SU!$H105="",THAM_SO_CC!$B$11,DM_NHAN_SU!$H105))</f>
        <v/>
      </c>
      <c r="G105" s="110">
        <f>IF($B105="","",ROUND($E105*$F105,2))</f>
        <v/>
      </c>
      <c r="H105" s="108">
        <f>IF($B105="","",SUMIFS(CC_OT_GIO!$F$6:$F$2005,CC_OT_GIO!$B$6:$B$2005,$B105,CC_OT_GIO!$D$6:$D$2005,"&gt;="&amp;THAM_SO_CC!$B$8,CC_OT_GIO!$D$6:$D$2005,"&lt;="&amp;THAM_SO_CC!$B$9))</f>
        <v/>
      </c>
      <c r="I105" s="108">
        <f>IF($B105="","",SUMIFS(CC_OT_GIO!$J$6:$J$2005,CC_OT_GIO!$B$6:$B$2005,$B105,CC_OT_GIO!$D$6:$D$2005,"&gt;="&amp;THAM_SO_CC!$B$8,CC_OT_GIO!$D$6:$D$2005,"&lt;="&amp;THAM_SO_CC!$B$9))</f>
        <v/>
      </c>
      <c r="J105" s="108">
        <f>IF($B105="","",SUMIFS(CC_OT_GIO!$K$6:$K$2005,CC_OT_GIO!$B$6:$B$2005,$B105,CC_OT_GIO!$D$6:$D$2005,"&gt;="&amp;THAM_SO_CC!$B$8,CC_OT_GIO!$D$6:$D$2005,"&lt;="&amp;THAM_SO_CC!$B$9))</f>
        <v/>
      </c>
      <c r="K105" s="108">
        <f>IF($B105="","",SUMIFS(CC_OT_GIO!$L$6:$L$2005,CC_OT_GIO!$B$6:$B$2005,$B105,CC_OT_GIO!$D$6:$D$2005,"&gt;="&amp;THAM_SO_CC!$B$8,CC_OT_GIO!$D$6:$D$2005,"&lt;="&amp;THAM_SO_CC!$B$9))</f>
        <v/>
      </c>
      <c r="L105" s="108">
        <f>IF($B105="","",SUMIFS(CC_OT_GIO!$M$6:$M$2005,CC_OT_GIO!$B$6:$B$2005,$B105,CC_OT_GIO!$D$6:$D$2005,"&gt;="&amp;THAM_SO_CC!$B$8,CC_OT_GIO!$D$6:$D$2005,"&lt;="&amp;THAM_SO_CC!$B$9))</f>
        <v/>
      </c>
      <c r="M105" s="108">
        <f>IF($B105="","",SUMIFS(CC_OT_GIO!$N$6:$N$2005,CC_OT_GIO!$B$6:$B$2005,$B105,CC_OT_GIO!$D$6:$D$2005,"&gt;="&amp;THAM_SO_CC!$B$8,CC_OT_GIO!$D$6:$D$2005,"&lt;="&amp;THAM_SO_CC!$B$9))</f>
        <v/>
      </c>
      <c r="N105" s="108">
        <f>IF($B105="","",SUMIFS(CC_OT_GIO!$O$6:$O$2005,CC_OT_GIO!$B$6:$B$2005,$B105,CC_OT_GIO!$D$6:$D$2005,"&gt;="&amp;THAM_SO_CC!$B$8,CC_OT_GIO!$D$6:$D$2005,"&lt;="&amp;THAM_SO_CC!$B$9))</f>
        <v/>
      </c>
      <c r="O105" s="104">
        <f>IF($B105="","",BANG_CHAM_CONG!AL105)</f>
        <v/>
      </c>
      <c r="P105" s="104">
        <f>IF($B105="","",BANG_CHAM_CONG!AM105)</f>
        <v/>
      </c>
      <c r="Q105" s="104">
        <f>IF($B105="","",BANG_CHAM_CONG!AN105)</f>
        <v/>
      </c>
      <c r="R105" s="104">
        <f>IF($B105="","",BANG_CHAM_CONG!AO105)</f>
        <v/>
      </c>
      <c r="S105" s="104">
        <f>IF($B105="","",BANG_CHAM_CONG!AP105)</f>
        <v/>
      </c>
      <c r="T105" s="104">
        <f>IF($B105="","",BANG_CHAM_CONG!AQ105)</f>
        <v/>
      </c>
      <c r="U105" s="111">
        <f>IF($B105="","",SUM($I105:$N105))</f>
        <v/>
      </c>
      <c r="V105" s="96">
        <f>IF($B105="","",TRIM(BANG_CHAM_CONG!$AU105&amp;IF($U105&gt;60,"OT vượt 60 giờ/tháng – rà soát giới hạn làm thêm; ","")&amp;IF(AND($E105=0,SUM($O105:$T105)=0),"Chưa có dữ liệu chấm công; ","")&amp;IF($H105&gt;$G105,"Giờ đêm trong ca lớn hơn giờ thường; ","")))</f>
        <v/>
      </c>
    </row>
    <row r="106" ht="15" customHeight="1" s="63">
      <c r="A106" s="85">
        <f>IF($B106="","",ROW()-5)</f>
        <v/>
      </c>
      <c r="B106" s="103">
        <f>IF(BANG_CHAM_CONG!B106="","",BANG_CHAM_CONG!B106)</f>
        <v/>
      </c>
      <c r="C106" s="96">
        <f>IF($B106="","",BANG_CHAM_CONG!C106)</f>
        <v/>
      </c>
      <c r="D106" s="96">
        <f>IF($B106="","",BANG_CHAM_CONG!D106)</f>
        <v/>
      </c>
      <c r="E106" s="95">
        <f>IF($B106="","",BANG_CHAM_CONG!AK106)</f>
        <v/>
      </c>
      <c r="F106" s="109">
        <f>IF($B106="","",IF(DM_NHAN_SU!$H106="",THAM_SO_CC!$B$11,DM_NHAN_SU!$H106))</f>
        <v/>
      </c>
      <c r="G106" s="110">
        <f>IF($B106="","",ROUND($E106*$F106,2))</f>
        <v/>
      </c>
      <c r="H106" s="108">
        <f>IF($B106="","",SUMIFS(CC_OT_GIO!$F$6:$F$2005,CC_OT_GIO!$B$6:$B$2005,$B106,CC_OT_GIO!$D$6:$D$2005,"&gt;="&amp;THAM_SO_CC!$B$8,CC_OT_GIO!$D$6:$D$2005,"&lt;="&amp;THAM_SO_CC!$B$9))</f>
        <v/>
      </c>
      <c r="I106" s="108">
        <f>IF($B106="","",SUMIFS(CC_OT_GIO!$J$6:$J$2005,CC_OT_GIO!$B$6:$B$2005,$B106,CC_OT_GIO!$D$6:$D$2005,"&gt;="&amp;THAM_SO_CC!$B$8,CC_OT_GIO!$D$6:$D$2005,"&lt;="&amp;THAM_SO_CC!$B$9))</f>
        <v/>
      </c>
      <c r="J106" s="108">
        <f>IF($B106="","",SUMIFS(CC_OT_GIO!$K$6:$K$2005,CC_OT_GIO!$B$6:$B$2005,$B106,CC_OT_GIO!$D$6:$D$2005,"&gt;="&amp;THAM_SO_CC!$B$8,CC_OT_GIO!$D$6:$D$2005,"&lt;="&amp;THAM_SO_CC!$B$9))</f>
        <v/>
      </c>
      <c r="K106" s="108">
        <f>IF($B106="","",SUMIFS(CC_OT_GIO!$L$6:$L$2005,CC_OT_GIO!$B$6:$B$2005,$B106,CC_OT_GIO!$D$6:$D$2005,"&gt;="&amp;THAM_SO_CC!$B$8,CC_OT_GIO!$D$6:$D$2005,"&lt;="&amp;THAM_SO_CC!$B$9))</f>
        <v/>
      </c>
      <c r="L106" s="108">
        <f>IF($B106="","",SUMIFS(CC_OT_GIO!$M$6:$M$2005,CC_OT_GIO!$B$6:$B$2005,$B106,CC_OT_GIO!$D$6:$D$2005,"&gt;="&amp;THAM_SO_CC!$B$8,CC_OT_GIO!$D$6:$D$2005,"&lt;="&amp;THAM_SO_CC!$B$9))</f>
        <v/>
      </c>
      <c r="M106" s="108">
        <f>IF($B106="","",SUMIFS(CC_OT_GIO!$N$6:$N$2005,CC_OT_GIO!$B$6:$B$2005,$B106,CC_OT_GIO!$D$6:$D$2005,"&gt;="&amp;THAM_SO_CC!$B$8,CC_OT_GIO!$D$6:$D$2005,"&lt;="&amp;THAM_SO_CC!$B$9))</f>
        <v/>
      </c>
      <c r="N106" s="108">
        <f>IF($B106="","",SUMIFS(CC_OT_GIO!$O$6:$O$2005,CC_OT_GIO!$B$6:$B$2005,$B106,CC_OT_GIO!$D$6:$D$2005,"&gt;="&amp;THAM_SO_CC!$B$8,CC_OT_GIO!$D$6:$D$2005,"&lt;="&amp;THAM_SO_CC!$B$9))</f>
        <v/>
      </c>
      <c r="O106" s="104">
        <f>IF($B106="","",BANG_CHAM_CONG!AL106)</f>
        <v/>
      </c>
      <c r="P106" s="104">
        <f>IF($B106="","",BANG_CHAM_CONG!AM106)</f>
        <v/>
      </c>
      <c r="Q106" s="104">
        <f>IF($B106="","",BANG_CHAM_CONG!AN106)</f>
        <v/>
      </c>
      <c r="R106" s="104">
        <f>IF($B106="","",BANG_CHAM_CONG!AO106)</f>
        <v/>
      </c>
      <c r="S106" s="104">
        <f>IF($B106="","",BANG_CHAM_CONG!AP106)</f>
        <v/>
      </c>
      <c r="T106" s="104">
        <f>IF($B106="","",BANG_CHAM_CONG!AQ106)</f>
        <v/>
      </c>
      <c r="U106" s="111">
        <f>IF($B106="","",SUM($I106:$N106))</f>
        <v/>
      </c>
      <c r="V106" s="96">
        <f>IF($B106="","",TRIM(BANG_CHAM_CONG!$AU106&amp;IF($U106&gt;60,"OT vượt 60 giờ/tháng – rà soát giới hạn làm thêm; ","")&amp;IF(AND($E106=0,SUM($O106:$T106)=0),"Chưa có dữ liệu chấm công; ","")&amp;IF($H106&gt;$G106,"Giờ đêm trong ca lớn hơn giờ thường; ","")))</f>
        <v/>
      </c>
    </row>
    <row r="107" ht="15" customHeight="1" s="63">
      <c r="A107" s="85">
        <f>IF($B107="","",ROW()-5)</f>
        <v/>
      </c>
      <c r="B107" s="103">
        <f>IF(BANG_CHAM_CONG!B107="","",BANG_CHAM_CONG!B107)</f>
        <v/>
      </c>
      <c r="C107" s="96">
        <f>IF($B107="","",BANG_CHAM_CONG!C107)</f>
        <v/>
      </c>
      <c r="D107" s="96">
        <f>IF($B107="","",BANG_CHAM_CONG!D107)</f>
        <v/>
      </c>
      <c r="E107" s="95">
        <f>IF($B107="","",BANG_CHAM_CONG!AK107)</f>
        <v/>
      </c>
      <c r="F107" s="109">
        <f>IF($B107="","",IF(DM_NHAN_SU!$H107="",THAM_SO_CC!$B$11,DM_NHAN_SU!$H107))</f>
        <v/>
      </c>
      <c r="G107" s="110">
        <f>IF($B107="","",ROUND($E107*$F107,2))</f>
        <v/>
      </c>
      <c r="H107" s="108">
        <f>IF($B107="","",SUMIFS(CC_OT_GIO!$F$6:$F$2005,CC_OT_GIO!$B$6:$B$2005,$B107,CC_OT_GIO!$D$6:$D$2005,"&gt;="&amp;THAM_SO_CC!$B$8,CC_OT_GIO!$D$6:$D$2005,"&lt;="&amp;THAM_SO_CC!$B$9))</f>
        <v/>
      </c>
      <c r="I107" s="108">
        <f>IF($B107="","",SUMIFS(CC_OT_GIO!$J$6:$J$2005,CC_OT_GIO!$B$6:$B$2005,$B107,CC_OT_GIO!$D$6:$D$2005,"&gt;="&amp;THAM_SO_CC!$B$8,CC_OT_GIO!$D$6:$D$2005,"&lt;="&amp;THAM_SO_CC!$B$9))</f>
        <v/>
      </c>
      <c r="J107" s="108">
        <f>IF($B107="","",SUMIFS(CC_OT_GIO!$K$6:$K$2005,CC_OT_GIO!$B$6:$B$2005,$B107,CC_OT_GIO!$D$6:$D$2005,"&gt;="&amp;THAM_SO_CC!$B$8,CC_OT_GIO!$D$6:$D$2005,"&lt;="&amp;THAM_SO_CC!$B$9))</f>
        <v/>
      </c>
      <c r="K107" s="108">
        <f>IF($B107="","",SUMIFS(CC_OT_GIO!$L$6:$L$2005,CC_OT_GIO!$B$6:$B$2005,$B107,CC_OT_GIO!$D$6:$D$2005,"&gt;="&amp;THAM_SO_CC!$B$8,CC_OT_GIO!$D$6:$D$2005,"&lt;="&amp;THAM_SO_CC!$B$9))</f>
        <v/>
      </c>
      <c r="L107" s="108">
        <f>IF($B107="","",SUMIFS(CC_OT_GIO!$M$6:$M$2005,CC_OT_GIO!$B$6:$B$2005,$B107,CC_OT_GIO!$D$6:$D$2005,"&gt;="&amp;THAM_SO_CC!$B$8,CC_OT_GIO!$D$6:$D$2005,"&lt;="&amp;THAM_SO_CC!$B$9))</f>
        <v/>
      </c>
      <c r="M107" s="108">
        <f>IF($B107="","",SUMIFS(CC_OT_GIO!$N$6:$N$2005,CC_OT_GIO!$B$6:$B$2005,$B107,CC_OT_GIO!$D$6:$D$2005,"&gt;="&amp;THAM_SO_CC!$B$8,CC_OT_GIO!$D$6:$D$2005,"&lt;="&amp;THAM_SO_CC!$B$9))</f>
        <v/>
      </c>
      <c r="N107" s="108">
        <f>IF($B107="","",SUMIFS(CC_OT_GIO!$O$6:$O$2005,CC_OT_GIO!$B$6:$B$2005,$B107,CC_OT_GIO!$D$6:$D$2005,"&gt;="&amp;THAM_SO_CC!$B$8,CC_OT_GIO!$D$6:$D$2005,"&lt;="&amp;THAM_SO_CC!$B$9))</f>
        <v/>
      </c>
      <c r="O107" s="104">
        <f>IF($B107="","",BANG_CHAM_CONG!AL107)</f>
        <v/>
      </c>
      <c r="P107" s="104">
        <f>IF($B107="","",BANG_CHAM_CONG!AM107)</f>
        <v/>
      </c>
      <c r="Q107" s="104">
        <f>IF($B107="","",BANG_CHAM_CONG!AN107)</f>
        <v/>
      </c>
      <c r="R107" s="104">
        <f>IF($B107="","",BANG_CHAM_CONG!AO107)</f>
        <v/>
      </c>
      <c r="S107" s="104">
        <f>IF($B107="","",BANG_CHAM_CONG!AP107)</f>
        <v/>
      </c>
      <c r="T107" s="104">
        <f>IF($B107="","",BANG_CHAM_CONG!AQ107)</f>
        <v/>
      </c>
      <c r="U107" s="111">
        <f>IF($B107="","",SUM($I107:$N107))</f>
        <v/>
      </c>
      <c r="V107" s="96">
        <f>IF($B107="","",TRIM(BANG_CHAM_CONG!$AU107&amp;IF($U107&gt;60,"OT vượt 60 giờ/tháng – rà soát giới hạn làm thêm; ","")&amp;IF(AND($E107=0,SUM($O107:$T107)=0),"Chưa có dữ liệu chấm công; ","")&amp;IF($H107&gt;$G107,"Giờ đêm trong ca lớn hơn giờ thường; ","")))</f>
        <v/>
      </c>
    </row>
    <row r="108" ht="15" customHeight="1" s="63">
      <c r="A108" s="85">
        <f>IF($B108="","",ROW()-5)</f>
        <v/>
      </c>
      <c r="B108" s="103">
        <f>IF(BANG_CHAM_CONG!B108="","",BANG_CHAM_CONG!B108)</f>
        <v/>
      </c>
      <c r="C108" s="96">
        <f>IF($B108="","",BANG_CHAM_CONG!C108)</f>
        <v/>
      </c>
      <c r="D108" s="96">
        <f>IF($B108="","",BANG_CHAM_CONG!D108)</f>
        <v/>
      </c>
      <c r="E108" s="95">
        <f>IF($B108="","",BANG_CHAM_CONG!AK108)</f>
        <v/>
      </c>
      <c r="F108" s="109">
        <f>IF($B108="","",IF(DM_NHAN_SU!$H108="",THAM_SO_CC!$B$11,DM_NHAN_SU!$H108))</f>
        <v/>
      </c>
      <c r="G108" s="110">
        <f>IF($B108="","",ROUND($E108*$F108,2))</f>
        <v/>
      </c>
      <c r="H108" s="108">
        <f>IF($B108="","",SUMIFS(CC_OT_GIO!$F$6:$F$2005,CC_OT_GIO!$B$6:$B$2005,$B108,CC_OT_GIO!$D$6:$D$2005,"&gt;="&amp;THAM_SO_CC!$B$8,CC_OT_GIO!$D$6:$D$2005,"&lt;="&amp;THAM_SO_CC!$B$9))</f>
        <v/>
      </c>
      <c r="I108" s="108">
        <f>IF($B108="","",SUMIFS(CC_OT_GIO!$J$6:$J$2005,CC_OT_GIO!$B$6:$B$2005,$B108,CC_OT_GIO!$D$6:$D$2005,"&gt;="&amp;THAM_SO_CC!$B$8,CC_OT_GIO!$D$6:$D$2005,"&lt;="&amp;THAM_SO_CC!$B$9))</f>
        <v/>
      </c>
      <c r="J108" s="108">
        <f>IF($B108="","",SUMIFS(CC_OT_GIO!$K$6:$K$2005,CC_OT_GIO!$B$6:$B$2005,$B108,CC_OT_GIO!$D$6:$D$2005,"&gt;="&amp;THAM_SO_CC!$B$8,CC_OT_GIO!$D$6:$D$2005,"&lt;="&amp;THAM_SO_CC!$B$9))</f>
        <v/>
      </c>
      <c r="K108" s="108">
        <f>IF($B108="","",SUMIFS(CC_OT_GIO!$L$6:$L$2005,CC_OT_GIO!$B$6:$B$2005,$B108,CC_OT_GIO!$D$6:$D$2005,"&gt;="&amp;THAM_SO_CC!$B$8,CC_OT_GIO!$D$6:$D$2005,"&lt;="&amp;THAM_SO_CC!$B$9))</f>
        <v/>
      </c>
      <c r="L108" s="108">
        <f>IF($B108="","",SUMIFS(CC_OT_GIO!$M$6:$M$2005,CC_OT_GIO!$B$6:$B$2005,$B108,CC_OT_GIO!$D$6:$D$2005,"&gt;="&amp;THAM_SO_CC!$B$8,CC_OT_GIO!$D$6:$D$2005,"&lt;="&amp;THAM_SO_CC!$B$9))</f>
        <v/>
      </c>
      <c r="M108" s="108">
        <f>IF($B108="","",SUMIFS(CC_OT_GIO!$N$6:$N$2005,CC_OT_GIO!$B$6:$B$2005,$B108,CC_OT_GIO!$D$6:$D$2005,"&gt;="&amp;THAM_SO_CC!$B$8,CC_OT_GIO!$D$6:$D$2005,"&lt;="&amp;THAM_SO_CC!$B$9))</f>
        <v/>
      </c>
      <c r="N108" s="108">
        <f>IF($B108="","",SUMIFS(CC_OT_GIO!$O$6:$O$2005,CC_OT_GIO!$B$6:$B$2005,$B108,CC_OT_GIO!$D$6:$D$2005,"&gt;="&amp;THAM_SO_CC!$B$8,CC_OT_GIO!$D$6:$D$2005,"&lt;="&amp;THAM_SO_CC!$B$9))</f>
        <v/>
      </c>
      <c r="O108" s="104">
        <f>IF($B108="","",BANG_CHAM_CONG!AL108)</f>
        <v/>
      </c>
      <c r="P108" s="104">
        <f>IF($B108="","",BANG_CHAM_CONG!AM108)</f>
        <v/>
      </c>
      <c r="Q108" s="104">
        <f>IF($B108="","",BANG_CHAM_CONG!AN108)</f>
        <v/>
      </c>
      <c r="R108" s="104">
        <f>IF($B108="","",BANG_CHAM_CONG!AO108)</f>
        <v/>
      </c>
      <c r="S108" s="104">
        <f>IF($B108="","",BANG_CHAM_CONG!AP108)</f>
        <v/>
      </c>
      <c r="T108" s="104">
        <f>IF($B108="","",BANG_CHAM_CONG!AQ108)</f>
        <v/>
      </c>
      <c r="U108" s="111">
        <f>IF($B108="","",SUM($I108:$N108))</f>
        <v/>
      </c>
      <c r="V108" s="96">
        <f>IF($B108="","",TRIM(BANG_CHAM_CONG!$AU108&amp;IF($U108&gt;60,"OT vượt 60 giờ/tháng – rà soát giới hạn làm thêm; ","")&amp;IF(AND($E108=0,SUM($O108:$T108)=0),"Chưa có dữ liệu chấm công; ","")&amp;IF($H108&gt;$G108,"Giờ đêm trong ca lớn hơn giờ thường; ","")))</f>
        <v/>
      </c>
    </row>
    <row r="109" ht="15" customHeight="1" s="63">
      <c r="A109" s="85">
        <f>IF($B109="","",ROW()-5)</f>
        <v/>
      </c>
      <c r="B109" s="103">
        <f>IF(BANG_CHAM_CONG!B109="","",BANG_CHAM_CONG!B109)</f>
        <v/>
      </c>
      <c r="C109" s="96">
        <f>IF($B109="","",BANG_CHAM_CONG!C109)</f>
        <v/>
      </c>
      <c r="D109" s="96">
        <f>IF($B109="","",BANG_CHAM_CONG!D109)</f>
        <v/>
      </c>
      <c r="E109" s="95">
        <f>IF($B109="","",BANG_CHAM_CONG!AK109)</f>
        <v/>
      </c>
      <c r="F109" s="109">
        <f>IF($B109="","",IF(DM_NHAN_SU!$H109="",THAM_SO_CC!$B$11,DM_NHAN_SU!$H109))</f>
        <v/>
      </c>
      <c r="G109" s="110">
        <f>IF($B109="","",ROUND($E109*$F109,2))</f>
        <v/>
      </c>
      <c r="H109" s="108">
        <f>IF($B109="","",SUMIFS(CC_OT_GIO!$F$6:$F$2005,CC_OT_GIO!$B$6:$B$2005,$B109,CC_OT_GIO!$D$6:$D$2005,"&gt;="&amp;THAM_SO_CC!$B$8,CC_OT_GIO!$D$6:$D$2005,"&lt;="&amp;THAM_SO_CC!$B$9))</f>
        <v/>
      </c>
      <c r="I109" s="108">
        <f>IF($B109="","",SUMIFS(CC_OT_GIO!$J$6:$J$2005,CC_OT_GIO!$B$6:$B$2005,$B109,CC_OT_GIO!$D$6:$D$2005,"&gt;="&amp;THAM_SO_CC!$B$8,CC_OT_GIO!$D$6:$D$2005,"&lt;="&amp;THAM_SO_CC!$B$9))</f>
        <v/>
      </c>
      <c r="J109" s="108">
        <f>IF($B109="","",SUMIFS(CC_OT_GIO!$K$6:$K$2005,CC_OT_GIO!$B$6:$B$2005,$B109,CC_OT_GIO!$D$6:$D$2005,"&gt;="&amp;THAM_SO_CC!$B$8,CC_OT_GIO!$D$6:$D$2005,"&lt;="&amp;THAM_SO_CC!$B$9))</f>
        <v/>
      </c>
      <c r="K109" s="108">
        <f>IF($B109="","",SUMIFS(CC_OT_GIO!$L$6:$L$2005,CC_OT_GIO!$B$6:$B$2005,$B109,CC_OT_GIO!$D$6:$D$2005,"&gt;="&amp;THAM_SO_CC!$B$8,CC_OT_GIO!$D$6:$D$2005,"&lt;="&amp;THAM_SO_CC!$B$9))</f>
        <v/>
      </c>
      <c r="L109" s="108">
        <f>IF($B109="","",SUMIFS(CC_OT_GIO!$M$6:$M$2005,CC_OT_GIO!$B$6:$B$2005,$B109,CC_OT_GIO!$D$6:$D$2005,"&gt;="&amp;THAM_SO_CC!$B$8,CC_OT_GIO!$D$6:$D$2005,"&lt;="&amp;THAM_SO_CC!$B$9))</f>
        <v/>
      </c>
      <c r="M109" s="108">
        <f>IF($B109="","",SUMIFS(CC_OT_GIO!$N$6:$N$2005,CC_OT_GIO!$B$6:$B$2005,$B109,CC_OT_GIO!$D$6:$D$2005,"&gt;="&amp;THAM_SO_CC!$B$8,CC_OT_GIO!$D$6:$D$2005,"&lt;="&amp;THAM_SO_CC!$B$9))</f>
        <v/>
      </c>
      <c r="N109" s="108">
        <f>IF($B109="","",SUMIFS(CC_OT_GIO!$O$6:$O$2005,CC_OT_GIO!$B$6:$B$2005,$B109,CC_OT_GIO!$D$6:$D$2005,"&gt;="&amp;THAM_SO_CC!$B$8,CC_OT_GIO!$D$6:$D$2005,"&lt;="&amp;THAM_SO_CC!$B$9))</f>
        <v/>
      </c>
      <c r="O109" s="104">
        <f>IF($B109="","",BANG_CHAM_CONG!AL109)</f>
        <v/>
      </c>
      <c r="P109" s="104">
        <f>IF($B109="","",BANG_CHAM_CONG!AM109)</f>
        <v/>
      </c>
      <c r="Q109" s="104">
        <f>IF($B109="","",BANG_CHAM_CONG!AN109)</f>
        <v/>
      </c>
      <c r="R109" s="104">
        <f>IF($B109="","",BANG_CHAM_CONG!AO109)</f>
        <v/>
      </c>
      <c r="S109" s="104">
        <f>IF($B109="","",BANG_CHAM_CONG!AP109)</f>
        <v/>
      </c>
      <c r="T109" s="104">
        <f>IF($B109="","",BANG_CHAM_CONG!AQ109)</f>
        <v/>
      </c>
      <c r="U109" s="111">
        <f>IF($B109="","",SUM($I109:$N109))</f>
        <v/>
      </c>
      <c r="V109" s="96">
        <f>IF($B109="","",TRIM(BANG_CHAM_CONG!$AU109&amp;IF($U109&gt;60,"OT vượt 60 giờ/tháng – rà soát giới hạn làm thêm; ","")&amp;IF(AND($E109=0,SUM($O109:$T109)=0),"Chưa có dữ liệu chấm công; ","")&amp;IF($H109&gt;$G109,"Giờ đêm trong ca lớn hơn giờ thường; ","")))</f>
        <v/>
      </c>
    </row>
    <row r="110" ht="15" customHeight="1" s="63">
      <c r="A110" s="85">
        <f>IF($B110="","",ROW()-5)</f>
        <v/>
      </c>
      <c r="B110" s="103">
        <f>IF(BANG_CHAM_CONG!B110="","",BANG_CHAM_CONG!B110)</f>
        <v/>
      </c>
      <c r="C110" s="96">
        <f>IF($B110="","",BANG_CHAM_CONG!C110)</f>
        <v/>
      </c>
      <c r="D110" s="96">
        <f>IF($B110="","",BANG_CHAM_CONG!D110)</f>
        <v/>
      </c>
      <c r="E110" s="95">
        <f>IF($B110="","",BANG_CHAM_CONG!AK110)</f>
        <v/>
      </c>
      <c r="F110" s="109">
        <f>IF($B110="","",IF(DM_NHAN_SU!$H110="",THAM_SO_CC!$B$11,DM_NHAN_SU!$H110))</f>
        <v/>
      </c>
      <c r="G110" s="110">
        <f>IF($B110="","",ROUND($E110*$F110,2))</f>
        <v/>
      </c>
      <c r="H110" s="108">
        <f>IF($B110="","",SUMIFS(CC_OT_GIO!$F$6:$F$2005,CC_OT_GIO!$B$6:$B$2005,$B110,CC_OT_GIO!$D$6:$D$2005,"&gt;="&amp;THAM_SO_CC!$B$8,CC_OT_GIO!$D$6:$D$2005,"&lt;="&amp;THAM_SO_CC!$B$9))</f>
        <v/>
      </c>
      <c r="I110" s="108">
        <f>IF($B110="","",SUMIFS(CC_OT_GIO!$J$6:$J$2005,CC_OT_GIO!$B$6:$B$2005,$B110,CC_OT_GIO!$D$6:$D$2005,"&gt;="&amp;THAM_SO_CC!$B$8,CC_OT_GIO!$D$6:$D$2005,"&lt;="&amp;THAM_SO_CC!$B$9))</f>
        <v/>
      </c>
      <c r="J110" s="108">
        <f>IF($B110="","",SUMIFS(CC_OT_GIO!$K$6:$K$2005,CC_OT_GIO!$B$6:$B$2005,$B110,CC_OT_GIO!$D$6:$D$2005,"&gt;="&amp;THAM_SO_CC!$B$8,CC_OT_GIO!$D$6:$D$2005,"&lt;="&amp;THAM_SO_CC!$B$9))</f>
        <v/>
      </c>
      <c r="K110" s="108">
        <f>IF($B110="","",SUMIFS(CC_OT_GIO!$L$6:$L$2005,CC_OT_GIO!$B$6:$B$2005,$B110,CC_OT_GIO!$D$6:$D$2005,"&gt;="&amp;THAM_SO_CC!$B$8,CC_OT_GIO!$D$6:$D$2005,"&lt;="&amp;THAM_SO_CC!$B$9))</f>
        <v/>
      </c>
      <c r="L110" s="108">
        <f>IF($B110="","",SUMIFS(CC_OT_GIO!$M$6:$M$2005,CC_OT_GIO!$B$6:$B$2005,$B110,CC_OT_GIO!$D$6:$D$2005,"&gt;="&amp;THAM_SO_CC!$B$8,CC_OT_GIO!$D$6:$D$2005,"&lt;="&amp;THAM_SO_CC!$B$9))</f>
        <v/>
      </c>
      <c r="M110" s="108">
        <f>IF($B110="","",SUMIFS(CC_OT_GIO!$N$6:$N$2005,CC_OT_GIO!$B$6:$B$2005,$B110,CC_OT_GIO!$D$6:$D$2005,"&gt;="&amp;THAM_SO_CC!$B$8,CC_OT_GIO!$D$6:$D$2005,"&lt;="&amp;THAM_SO_CC!$B$9))</f>
        <v/>
      </c>
      <c r="N110" s="108">
        <f>IF($B110="","",SUMIFS(CC_OT_GIO!$O$6:$O$2005,CC_OT_GIO!$B$6:$B$2005,$B110,CC_OT_GIO!$D$6:$D$2005,"&gt;="&amp;THAM_SO_CC!$B$8,CC_OT_GIO!$D$6:$D$2005,"&lt;="&amp;THAM_SO_CC!$B$9))</f>
        <v/>
      </c>
      <c r="O110" s="104">
        <f>IF($B110="","",BANG_CHAM_CONG!AL110)</f>
        <v/>
      </c>
      <c r="P110" s="104">
        <f>IF($B110="","",BANG_CHAM_CONG!AM110)</f>
        <v/>
      </c>
      <c r="Q110" s="104">
        <f>IF($B110="","",BANG_CHAM_CONG!AN110)</f>
        <v/>
      </c>
      <c r="R110" s="104">
        <f>IF($B110="","",BANG_CHAM_CONG!AO110)</f>
        <v/>
      </c>
      <c r="S110" s="104">
        <f>IF($B110="","",BANG_CHAM_CONG!AP110)</f>
        <v/>
      </c>
      <c r="T110" s="104">
        <f>IF($B110="","",BANG_CHAM_CONG!AQ110)</f>
        <v/>
      </c>
      <c r="U110" s="111">
        <f>IF($B110="","",SUM($I110:$N110))</f>
        <v/>
      </c>
      <c r="V110" s="96">
        <f>IF($B110="","",TRIM(BANG_CHAM_CONG!$AU110&amp;IF($U110&gt;60,"OT vượt 60 giờ/tháng – rà soát giới hạn làm thêm; ","")&amp;IF(AND($E110=0,SUM($O110:$T110)=0),"Chưa có dữ liệu chấm công; ","")&amp;IF($H110&gt;$G110,"Giờ đêm trong ca lớn hơn giờ thường; ","")))</f>
        <v/>
      </c>
    </row>
    <row r="111" ht="15" customHeight="1" s="63">
      <c r="A111" s="85">
        <f>IF($B111="","",ROW()-5)</f>
        <v/>
      </c>
      <c r="B111" s="103">
        <f>IF(BANG_CHAM_CONG!B111="","",BANG_CHAM_CONG!B111)</f>
        <v/>
      </c>
      <c r="C111" s="96">
        <f>IF($B111="","",BANG_CHAM_CONG!C111)</f>
        <v/>
      </c>
      <c r="D111" s="96">
        <f>IF($B111="","",BANG_CHAM_CONG!D111)</f>
        <v/>
      </c>
      <c r="E111" s="95">
        <f>IF($B111="","",BANG_CHAM_CONG!AK111)</f>
        <v/>
      </c>
      <c r="F111" s="109">
        <f>IF($B111="","",IF(DM_NHAN_SU!$H111="",THAM_SO_CC!$B$11,DM_NHAN_SU!$H111))</f>
        <v/>
      </c>
      <c r="G111" s="110">
        <f>IF($B111="","",ROUND($E111*$F111,2))</f>
        <v/>
      </c>
      <c r="H111" s="108">
        <f>IF($B111="","",SUMIFS(CC_OT_GIO!$F$6:$F$2005,CC_OT_GIO!$B$6:$B$2005,$B111,CC_OT_GIO!$D$6:$D$2005,"&gt;="&amp;THAM_SO_CC!$B$8,CC_OT_GIO!$D$6:$D$2005,"&lt;="&amp;THAM_SO_CC!$B$9))</f>
        <v/>
      </c>
      <c r="I111" s="108">
        <f>IF($B111="","",SUMIFS(CC_OT_GIO!$J$6:$J$2005,CC_OT_GIO!$B$6:$B$2005,$B111,CC_OT_GIO!$D$6:$D$2005,"&gt;="&amp;THAM_SO_CC!$B$8,CC_OT_GIO!$D$6:$D$2005,"&lt;="&amp;THAM_SO_CC!$B$9))</f>
        <v/>
      </c>
      <c r="J111" s="108">
        <f>IF($B111="","",SUMIFS(CC_OT_GIO!$K$6:$K$2005,CC_OT_GIO!$B$6:$B$2005,$B111,CC_OT_GIO!$D$6:$D$2005,"&gt;="&amp;THAM_SO_CC!$B$8,CC_OT_GIO!$D$6:$D$2005,"&lt;="&amp;THAM_SO_CC!$B$9))</f>
        <v/>
      </c>
      <c r="K111" s="108">
        <f>IF($B111="","",SUMIFS(CC_OT_GIO!$L$6:$L$2005,CC_OT_GIO!$B$6:$B$2005,$B111,CC_OT_GIO!$D$6:$D$2005,"&gt;="&amp;THAM_SO_CC!$B$8,CC_OT_GIO!$D$6:$D$2005,"&lt;="&amp;THAM_SO_CC!$B$9))</f>
        <v/>
      </c>
      <c r="L111" s="108">
        <f>IF($B111="","",SUMIFS(CC_OT_GIO!$M$6:$M$2005,CC_OT_GIO!$B$6:$B$2005,$B111,CC_OT_GIO!$D$6:$D$2005,"&gt;="&amp;THAM_SO_CC!$B$8,CC_OT_GIO!$D$6:$D$2005,"&lt;="&amp;THAM_SO_CC!$B$9))</f>
        <v/>
      </c>
      <c r="M111" s="108">
        <f>IF($B111="","",SUMIFS(CC_OT_GIO!$N$6:$N$2005,CC_OT_GIO!$B$6:$B$2005,$B111,CC_OT_GIO!$D$6:$D$2005,"&gt;="&amp;THAM_SO_CC!$B$8,CC_OT_GIO!$D$6:$D$2005,"&lt;="&amp;THAM_SO_CC!$B$9))</f>
        <v/>
      </c>
      <c r="N111" s="108">
        <f>IF($B111="","",SUMIFS(CC_OT_GIO!$O$6:$O$2005,CC_OT_GIO!$B$6:$B$2005,$B111,CC_OT_GIO!$D$6:$D$2005,"&gt;="&amp;THAM_SO_CC!$B$8,CC_OT_GIO!$D$6:$D$2005,"&lt;="&amp;THAM_SO_CC!$B$9))</f>
        <v/>
      </c>
      <c r="O111" s="104">
        <f>IF($B111="","",BANG_CHAM_CONG!AL111)</f>
        <v/>
      </c>
      <c r="P111" s="104">
        <f>IF($B111="","",BANG_CHAM_CONG!AM111)</f>
        <v/>
      </c>
      <c r="Q111" s="104">
        <f>IF($B111="","",BANG_CHAM_CONG!AN111)</f>
        <v/>
      </c>
      <c r="R111" s="104">
        <f>IF($B111="","",BANG_CHAM_CONG!AO111)</f>
        <v/>
      </c>
      <c r="S111" s="104">
        <f>IF($B111="","",BANG_CHAM_CONG!AP111)</f>
        <v/>
      </c>
      <c r="T111" s="104">
        <f>IF($B111="","",BANG_CHAM_CONG!AQ111)</f>
        <v/>
      </c>
      <c r="U111" s="111">
        <f>IF($B111="","",SUM($I111:$N111))</f>
        <v/>
      </c>
      <c r="V111" s="96">
        <f>IF($B111="","",TRIM(BANG_CHAM_CONG!$AU111&amp;IF($U111&gt;60,"OT vượt 60 giờ/tháng – rà soát giới hạn làm thêm; ","")&amp;IF(AND($E111=0,SUM($O111:$T111)=0),"Chưa có dữ liệu chấm công; ","")&amp;IF($H111&gt;$G111,"Giờ đêm trong ca lớn hơn giờ thường; ","")))</f>
        <v/>
      </c>
    </row>
    <row r="112" ht="15" customHeight="1" s="63">
      <c r="A112" s="85">
        <f>IF($B112="","",ROW()-5)</f>
        <v/>
      </c>
      <c r="B112" s="103">
        <f>IF(BANG_CHAM_CONG!B112="","",BANG_CHAM_CONG!B112)</f>
        <v/>
      </c>
      <c r="C112" s="96">
        <f>IF($B112="","",BANG_CHAM_CONG!C112)</f>
        <v/>
      </c>
      <c r="D112" s="96">
        <f>IF($B112="","",BANG_CHAM_CONG!D112)</f>
        <v/>
      </c>
      <c r="E112" s="95">
        <f>IF($B112="","",BANG_CHAM_CONG!AK112)</f>
        <v/>
      </c>
      <c r="F112" s="109">
        <f>IF($B112="","",IF(DM_NHAN_SU!$H112="",THAM_SO_CC!$B$11,DM_NHAN_SU!$H112))</f>
        <v/>
      </c>
      <c r="G112" s="110">
        <f>IF($B112="","",ROUND($E112*$F112,2))</f>
        <v/>
      </c>
      <c r="H112" s="108">
        <f>IF($B112="","",SUMIFS(CC_OT_GIO!$F$6:$F$2005,CC_OT_GIO!$B$6:$B$2005,$B112,CC_OT_GIO!$D$6:$D$2005,"&gt;="&amp;THAM_SO_CC!$B$8,CC_OT_GIO!$D$6:$D$2005,"&lt;="&amp;THAM_SO_CC!$B$9))</f>
        <v/>
      </c>
      <c r="I112" s="108">
        <f>IF($B112="","",SUMIFS(CC_OT_GIO!$J$6:$J$2005,CC_OT_GIO!$B$6:$B$2005,$B112,CC_OT_GIO!$D$6:$D$2005,"&gt;="&amp;THAM_SO_CC!$B$8,CC_OT_GIO!$D$6:$D$2005,"&lt;="&amp;THAM_SO_CC!$B$9))</f>
        <v/>
      </c>
      <c r="J112" s="108">
        <f>IF($B112="","",SUMIFS(CC_OT_GIO!$K$6:$K$2005,CC_OT_GIO!$B$6:$B$2005,$B112,CC_OT_GIO!$D$6:$D$2005,"&gt;="&amp;THAM_SO_CC!$B$8,CC_OT_GIO!$D$6:$D$2005,"&lt;="&amp;THAM_SO_CC!$B$9))</f>
        <v/>
      </c>
      <c r="K112" s="108">
        <f>IF($B112="","",SUMIFS(CC_OT_GIO!$L$6:$L$2005,CC_OT_GIO!$B$6:$B$2005,$B112,CC_OT_GIO!$D$6:$D$2005,"&gt;="&amp;THAM_SO_CC!$B$8,CC_OT_GIO!$D$6:$D$2005,"&lt;="&amp;THAM_SO_CC!$B$9))</f>
        <v/>
      </c>
      <c r="L112" s="108">
        <f>IF($B112="","",SUMIFS(CC_OT_GIO!$M$6:$M$2005,CC_OT_GIO!$B$6:$B$2005,$B112,CC_OT_GIO!$D$6:$D$2005,"&gt;="&amp;THAM_SO_CC!$B$8,CC_OT_GIO!$D$6:$D$2005,"&lt;="&amp;THAM_SO_CC!$B$9))</f>
        <v/>
      </c>
      <c r="M112" s="108">
        <f>IF($B112="","",SUMIFS(CC_OT_GIO!$N$6:$N$2005,CC_OT_GIO!$B$6:$B$2005,$B112,CC_OT_GIO!$D$6:$D$2005,"&gt;="&amp;THAM_SO_CC!$B$8,CC_OT_GIO!$D$6:$D$2005,"&lt;="&amp;THAM_SO_CC!$B$9))</f>
        <v/>
      </c>
      <c r="N112" s="108">
        <f>IF($B112="","",SUMIFS(CC_OT_GIO!$O$6:$O$2005,CC_OT_GIO!$B$6:$B$2005,$B112,CC_OT_GIO!$D$6:$D$2005,"&gt;="&amp;THAM_SO_CC!$B$8,CC_OT_GIO!$D$6:$D$2005,"&lt;="&amp;THAM_SO_CC!$B$9))</f>
        <v/>
      </c>
      <c r="O112" s="104">
        <f>IF($B112="","",BANG_CHAM_CONG!AL112)</f>
        <v/>
      </c>
      <c r="P112" s="104">
        <f>IF($B112="","",BANG_CHAM_CONG!AM112)</f>
        <v/>
      </c>
      <c r="Q112" s="104">
        <f>IF($B112="","",BANG_CHAM_CONG!AN112)</f>
        <v/>
      </c>
      <c r="R112" s="104">
        <f>IF($B112="","",BANG_CHAM_CONG!AO112)</f>
        <v/>
      </c>
      <c r="S112" s="104">
        <f>IF($B112="","",BANG_CHAM_CONG!AP112)</f>
        <v/>
      </c>
      <c r="T112" s="104">
        <f>IF($B112="","",BANG_CHAM_CONG!AQ112)</f>
        <v/>
      </c>
      <c r="U112" s="111">
        <f>IF($B112="","",SUM($I112:$N112))</f>
        <v/>
      </c>
      <c r="V112" s="96">
        <f>IF($B112="","",TRIM(BANG_CHAM_CONG!$AU112&amp;IF($U112&gt;60,"OT vượt 60 giờ/tháng – rà soát giới hạn làm thêm; ","")&amp;IF(AND($E112=0,SUM($O112:$T112)=0),"Chưa có dữ liệu chấm công; ","")&amp;IF($H112&gt;$G112,"Giờ đêm trong ca lớn hơn giờ thường; ","")))</f>
        <v/>
      </c>
    </row>
    <row r="113" ht="15" customHeight="1" s="63">
      <c r="A113" s="85">
        <f>IF($B113="","",ROW()-5)</f>
        <v/>
      </c>
      <c r="B113" s="103">
        <f>IF(BANG_CHAM_CONG!B113="","",BANG_CHAM_CONG!B113)</f>
        <v/>
      </c>
      <c r="C113" s="96">
        <f>IF($B113="","",BANG_CHAM_CONG!C113)</f>
        <v/>
      </c>
      <c r="D113" s="96">
        <f>IF($B113="","",BANG_CHAM_CONG!D113)</f>
        <v/>
      </c>
      <c r="E113" s="95">
        <f>IF($B113="","",BANG_CHAM_CONG!AK113)</f>
        <v/>
      </c>
      <c r="F113" s="109">
        <f>IF($B113="","",IF(DM_NHAN_SU!$H113="",THAM_SO_CC!$B$11,DM_NHAN_SU!$H113))</f>
        <v/>
      </c>
      <c r="G113" s="110">
        <f>IF($B113="","",ROUND($E113*$F113,2))</f>
        <v/>
      </c>
      <c r="H113" s="108">
        <f>IF($B113="","",SUMIFS(CC_OT_GIO!$F$6:$F$2005,CC_OT_GIO!$B$6:$B$2005,$B113,CC_OT_GIO!$D$6:$D$2005,"&gt;="&amp;THAM_SO_CC!$B$8,CC_OT_GIO!$D$6:$D$2005,"&lt;="&amp;THAM_SO_CC!$B$9))</f>
        <v/>
      </c>
      <c r="I113" s="108">
        <f>IF($B113="","",SUMIFS(CC_OT_GIO!$J$6:$J$2005,CC_OT_GIO!$B$6:$B$2005,$B113,CC_OT_GIO!$D$6:$D$2005,"&gt;="&amp;THAM_SO_CC!$B$8,CC_OT_GIO!$D$6:$D$2005,"&lt;="&amp;THAM_SO_CC!$B$9))</f>
        <v/>
      </c>
      <c r="J113" s="108">
        <f>IF($B113="","",SUMIFS(CC_OT_GIO!$K$6:$K$2005,CC_OT_GIO!$B$6:$B$2005,$B113,CC_OT_GIO!$D$6:$D$2005,"&gt;="&amp;THAM_SO_CC!$B$8,CC_OT_GIO!$D$6:$D$2005,"&lt;="&amp;THAM_SO_CC!$B$9))</f>
        <v/>
      </c>
      <c r="K113" s="108">
        <f>IF($B113="","",SUMIFS(CC_OT_GIO!$L$6:$L$2005,CC_OT_GIO!$B$6:$B$2005,$B113,CC_OT_GIO!$D$6:$D$2005,"&gt;="&amp;THAM_SO_CC!$B$8,CC_OT_GIO!$D$6:$D$2005,"&lt;="&amp;THAM_SO_CC!$B$9))</f>
        <v/>
      </c>
      <c r="L113" s="108">
        <f>IF($B113="","",SUMIFS(CC_OT_GIO!$M$6:$M$2005,CC_OT_GIO!$B$6:$B$2005,$B113,CC_OT_GIO!$D$6:$D$2005,"&gt;="&amp;THAM_SO_CC!$B$8,CC_OT_GIO!$D$6:$D$2005,"&lt;="&amp;THAM_SO_CC!$B$9))</f>
        <v/>
      </c>
      <c r="M113" s="108">
        <f>IF($B113="","",SUMIFS(CC_OT_GIO!$N$6:$N$2005,CC_OT_GIO!$B$6:$B$2005,$B113,CC_OT_GIO!$D$6:$D$2005,"&gt;="&amp;THAM_SO_CC!$B$8,CC_OT_GIO!$D$6:$D$2005,"&lt;="&amp;THAM_SO_CC!$B$9))</f>
        <v/>
      </c>
      <c r="N113" s="108">
        <f>IF($B113="","",SUMIFS(CC_OT_GIO!$O$6:$O$2005,CC_OT_GIO!$B$6:$B$2005,$B113,CC_OT_GIO!$D$6:$D$2005,"&gt;="&amp;THAM_SO_CC!$B$8,CC_OT_GIO!$D$6:$D$2005,"&lt;="&amp;THAM_SO_CC!$B$9))</f>
        <v/>
      </c>
      <c r="O113" s="104">
        <f>IF($B113="","",BANG_CHAM_CONG!AL113)</f>
        <v/>
      </c>
      <c r="P113" s="104">
        <f>IF($B113="","",BANG_CHAM_CONG!AM113)</f>
        <v/>
      </c>
      <c r="Q113" s="104">
        <f>IF($B113="","",BANG_CHAM_CONG!AN113)</f>
        <v/>
      </c>
      <c r="R113" s="104">
        <f>IF($B113="","",BANG_CHAM_CONG!AO113)</f>
        <v/>
      </c>
      <c r="S113" s="104">
        <f>IF($B113="","",BANG_CHAM_CONG!AP113)</f>
        <v/>
      </c>
      <c r="T113" s="104">
        <f>IF($B113="","",BANG_CHAM_CONG!AQ113)</f>
        <v/>
      </c>
      <c r="U113" s="111">
        <f>IF($B113="","",SUM($I113:$N113))</f>
        <v/>
      </c>
      <c r="V113" s="96">
        <f>IF($B113="","",TRIM(BANG_CHAM_CONG!$AU113&amp;IF($U113&gt;60,"OT vượt 60 giờ/tháng – rà soát giới hạn làm thêm; ","")&amp;IF(AND($E113=0,SUM($O113:$T113)=0),"Chưa có dữ liệu chấm công; ","")&amp;IF($H113&gt;$G113,"Giờ đêm trong ca lớn hơn giờ thường; ","")))</f>
        <v/>
      </c>
    </row>
    <row r="114" ht="15" customHeight="1" s="63">
      <c r="A114" s="85">
        <f>IF($B114="","",ROW()-5)</f>
        <v/>
      </c>
      <c r="B114" s="103">
        <f>IF(BANG_CHAM_CONG!B114="","",BANG_CHAM_CONG!B114)</f>
        <v/>
      </c>
      <c r="C114" s="96">
        <f>IF($B114="","",BANG_CHAM_CONG!C114)</f>
        <v/>
      </c>
      <c r="D114" s="96">
        <f>IF($B114="","",BANG_CHAM_CONG!D114)</f>
        <v/>
      </c>
      <c r="E114" s="95">
        <f>IF($B114="","",BANG_CHAM_CONG!AK114)</f>
        <v/>
      </c>
      <c r="F114" s="109">
        <f>IF($B114="","",IF(DM_NHAN_SU!$H114="",THAM_SO_CC!$B$11,DM_NHAN_SU!$H114))</f>
        <v/>
      </c>
      <c r="G114" s="110">
        <f>IF($B114="","",ROUND($E114*$F114,2))</f>
        <v/>
      </c>
      <c r="H114" s="108">
        <f>IF($B114="","",SUMIFS(CC_OT_GIO!$F$6:$F$2005,CC_OT_GIO!$B$6:$B$2005,$B114,CC_OT_GIO!$D$6:$D$2005,"&gt;="&amp;THAM_SO_CC!$B$8,CC_OT_GIO!$D$6:$D$2005,"&lt;="&amp;THAM_SO_CC!$B$9))</f>
        <v/>
      </c>
      <c r="I114" s="108">
        <f>IF($B114="","",SUMIFS(CC_OT_GIO!$J$6:$J$2005,CC_OT_GIO!$B$6:$B$2005,$B114,CC_OT_GIO!$D$6:$D$2005,"&gt;="&amp;THAM_SO_CC!$B$8,CC_OT_GIO!$D$6:$D$2005,"&lt;="&amp;THAM_SO_CC!$B$9))</f>
        <v/>
      </c>
      <c r="J114" s="108">
        <f>IF($B114="","",SUMIFS(CC_OT_GIO!$K$6:$K$2005,CC_OT_GIO!$B$6:$B$2005,$B114,CC_OT_GIO!$D$6:$D$2005,"&gt;="&amp;THAM_SO_CC!$B$8,CC_OT_GIO!$D$6:$D$2005,"&lt;="&amp;THAM_SO_CC!$B$9))</f>
        <v/>
      </c>
      <c r="K114" s="108">
        <f>IF($B114="","",SUMIFS(CC_OT_GIO!$L$6:$L$2005,CC_OT_GIO!$B$6:$B$2005,$B114,CC_OT_GIO!$D$6:$D$2005,"&gt;="&amp;THAM_SO_CC!$B$8,CC_OT_GIO!$D$6:$D$2005,"&lt;="&amp;THAM_SO_CC!$B$9))</f>
        <v/>
      </c>
      <c r="L114" s="108">
        <f>IF($B114="","",SUMIFS(CC_OT_GIO!$M$6:$M$2005,CC_OT_GIO!$B$6:$B$2005,$B114,CC_OT_GIO!$D$6:$D$2005,"&gt;="&amp;THAM_SO_CC!$B$8,CC_OT_GIO!$D$6:$D$2005,"&lt;="&amp;THAM_SO_CC!$B$9))</f>
        <v/>
      </c>
      <c r="M114" s="108">
        <f>IF($B114="","",SUMIFS(CC_OT_GIO!$N$6:$N$2005,CC_OT_GIO!$B$6:$B$2005,$B114,CC_OT_GIO!$D$6:$D$2005,"&gt;="&amp;THAM_SO_CC!$B$8,CC_OT_GIO!$D$6:$D$2005,"&lt;="&amp;THAM_SO_CC!$B$9))</f>
        <v/>
      </c>
      <c r="N114" s="108">
        <f>IF($B114="","",SUMIFS(CC_OT_GIO!$O$6:$O$2005,CC_OT_GIO!$B$6:$B$2005,$B114,CC_OT_GIO!$D$6:$D$2005,"&gt;="&amp;THAM_SO_CC!$B$8,CC_OT_GIO!$D$6:$D$2005,"&lt;="&amp;THAM_SO_CC!$B$9))</f>
        <v/>
      </c>
      <c r="O114" s="104">
        <f>IF($B114="","",BANG_CHAM_CONG!AL114)</f>
        <v/>
      </c>
      <c r="P114" s="104">
        <f>IF($B114="","",BANG_CHAM_CONG!AM114)</f>
        <v/>
      </c>
      <c r="Q114" s="104">
        <f>IF($B114="","",BANG_CHAM_CONG!AN114)</f>
        <v/>
      </c>
      <c r="R114" s="104">
        <f>IF($B114="","",BANG_CHAM_CONG!AO114)</f>
        <v/>
      </c>
      <c r="S114" s="104">
        <f>IF($B114="","",BANG_CHAM_CONG!AP114)</f>
        <v/>
      </c>
      <c r="T114" s="104">
        <f>IF($B114="","",BANG_CHAM_CONG!AQ114)</f>
        <v/>
      </c>
      <c r="U114" s="111">
        <f>IF($B114="","",SUM($I114:$N114))</f>
        <v/>
      </c>
      <c r="V114" s="96">
        <f>IF($B114="","",TRIM(BANG_CHAM_CONG!$AU114&amp;IF($U114&gt;60,"OT vượt 60 giờ/tháng – rà soát giới hạn làm thêm; ","")&amp;IF(AND($E114=0,SUM($O114:$T114)=0),"Chưa có dữ liệu chấm công; ","")&amp;IF($H114&gt;$G114,"Giờ đêm trong ca lớn hơn giờ thường; ","")))</f>
        <v/>
      </c>
    </row>
    <row r="115" ht="15" customHeight="1" s="63">
      <c r="A115" s="85">
        <f>IF($B115="","",ROW()-5)</f>
        <v/>
      </c>
      <c r="B115" s="103">
        <f>IF(BANG_CHAM_CONG!B115="","",BANG_CHAM_CONG!B115)</f>
        <v/>
      </c>
      <c r="C115" s="96">
        <f>IF($B115="","",BANG_CHAM_CONG!C115)</f>
        <v/>
      </c>
      <c r="D115" s="96">
        <f>IF($B115="","",BANG_CHAM_CONG!D115)</f>
        <v/>
      </c>
      <c r="E115" s="95">
        <f>IF($B115="","",BANG_CHAM_CONG!AK115)</f>
        <v/>
      </c>
      <c r="F115" s="109">
        <f>IF($B115="","",IF(DM_NHAN_SU!$H115="",THAM_SO_CC!$B$11,DM_NHAN_SU!$H115))</f>
        <v/>
      </c>
      <c r="G115" s="110">
        <f>IF($B115="","",ROUND($E115*$F115,2))</f>
        <v/>
      </c>
      <c r="H115" s="108">
        <f>IF($B115="","",SUMIFS(CC_OT_GIO!$F$6:$F$2005,CC_OT_GIO!$B$6:$B$2005,$B115,CC_OT_GIO!$D$6:$D$2005,"&gt;="&amp;THAM_SO_CC!$B$8,CC_OT_GIO!$D$6:$D$2005,"&lt;="&amp;THAM_SO_CC!$B$9))</f>
        <v/>
      </c>
      <c r="I115" s="108">
        <f>IF($B115="","",SUMIFS(CC_OT_GIO!$J$6:$J$2005,CC_OT_GIO!$B$6:$B$2005,$B115,CC_OT_GIO!$D$6:$D$2005,"&gt;="&amp;THAM_SO_CC!$B$8,CC_OT_GIO!$D$6:$D$2005,"&lt;="&amp;THAM_SO_CC!$B$9))</f>
        <v/>
      </c>
      <c r="J115" s="108">
        <f>IF($B115="","",SUMIFS(CC_OT_GIO!$K$6:$K$2005,CC_OT_GIO!$B$6:$B$2005,$B115,CC_OT_GIO!$D$6:$D$2005,"&gt;="&amp;THAM_SO_CC!$B$8,CC_OT_GIO!$D$6:$D$2005,"&lt;="&amp;THAM_SO_CC!$B$9))</f>
        <v/>
      </c>
      <c r="K115" s="108">
        <f>IF($B115="","",SUMIFS(CC_OT_GIO!$L$6:$L$2005,CC_OT_GIO!$B$6:$B$2005,$B115,CC_OT_GIO!$D$6:$D$2005,"&gt;="&amp;THAM_SO_CC!$B$8,CC_OT_GIO!$D$6:$D$2005,"&lt;="&amp;THAM_SO_CC!$B$9))</f>
        <v/>
      </c>
      <c r="L115" s="108">
        <f>IF($B115="","",SUMIFS(CC_OT_GIO!$M$6:$M$2005,CC_OT_GIO!$B$6:$B$2005,$B115,CC_OT_GIO!$D$6:$D$2005,"&gt;="&amp;THAM_SO_CC!$B$8,CC_OT_GIO!$D$6:$D$2005,"&lt;="&amp;THAM_SO_CC!$B$9))</f>
        <v/>
      </c>
      <c r="M115" s="108">
        <f>IF($B115="","",SUMIFS(CC_OT_GIO!$N$6:$N$2005,CC_OT_GIO!$B$6:$B$2005,$B115,CC_OT_GIO!$D$6:$D$2005,"&gt;="&amp;THAM_SO_CC!$B$8,CC_OT_GIO!$D$6:$D$2005,"&lt;="&amp;THAM_SO_CC!$B$9))</f>
        <v/>
      </c>
      <c r="N115" s="108">
        <f>IF($B115="","",SUMIFS(CC_OT_GIO!$O$6:$O$2005,CC_OT_GIO!$B$6:$B$2005,$B115,CC_OT_GIO!$D$6:$D$2005,"&gt;="&amp;THAM_SO_CC!$B$8,CC_OT_GIO!$D$6:$D$2005,"&lt;="&amp;THAM_SO_CC!$B$9))</f>
        <v/>
      </c>
      <c r="O115" s="104">
        <f>IF($B115="","",BANG_CHAM_CONG!AL115)</f>
        <v/>
      </c>
      <c r="P115" s="104">
        <f>IF($B115="","",BANG_CHAM_CONG!AM115)</f>
        <v/>
      </c>
      <c r="Q115" s="104">
        <f>IF($B115="","",BANG_CHAM_CONG!AN115)</f>
        <v/>
      </c>
      <c r="R115" s="104">
        <f>IF($B115="","",BANG_CHAM_CONG!AO115)</f>
        <v/>
      </c>
      <c r="S115" s="104">
        <f>IF($B115="","",BANG_CHAM_CONG!AP115)</f>
        <v/>
      </c>
      <c r="T115" s="104">
        <f>IF($B115="","",BANG_CHAM_CONG!AQ115)</f>
        <v/>
      </c>
      <c r="U115" s="111">
        <f>IF($B115="","",SUM($I115:$N115))</f>
        <v/>
      </c>
      <c r="V115" s="96">
        <f>IF($B115="","",TRIM(BANG_CHAM_CONG!$AU115&amp;IF($U115&gt;60,"OT vượt 60 giờ/tháng – rà soát giới hạn làm thêm; ","")&amp;IF(AND($E115=0,SUM($O115:$T115)=0),"Chưa có dữ liệu chấm công; ","")&amp;IF($H115&gt;$G115,"Giờ đêm trong ca lớn hơn giờ thường; ","")))</f>
        <v/>
      </c>
    </row>
    <row r="116" ht="15" customHeight="1" s="63">
      <c r="A116" s="85">
        <f>IF($B116="","",ROW()-5)</f>
        <v/>
      </c>
      <c r="B116" s="103">
        <f>IF(BANG_CHAM_CONG!B116="","",BANG_CHAM_CONG!B116)</f>
        <v/>
      </c>
      <c r="C116" s="96">
        <f>IF($B116="","",BANG_CHAM_CONG!C116)</f>
        <v/>
      </c>
      <c r="D116" s="96">
        <f>IF($B116="","",BANG_CHAM_CONG!D116)</f>
        <v/>
      </c>
      <c r="E116" s="95">
        <f>IF($B116="","",BANG_CHAM_CONG!AK116)</f>
        <v/>
      </c>
      <c r="F116" s="109">
        <f>IF($B116="","",IF(DM_NHAN_SU!$H116="",THAM_SO_CC!$B$11,DM_NHAN_SU!$H116))</f>
        <v/>
      </c>
      <c r="G116" s="110">
        <f>IF($B116="","",ROUND($E116*$F116,2))</f>
        <v/>
      </c>
      <c r="H116" s="108">
        <f>IF($B116="","",SUMIFS(CC_OT_GIO!$F$6:$F$2005,CC_OT_GIO!$B$6:$B$2005,$B116,CC_OT_GIO!$D$6:$D$2005,"&gt;="&amp;THAM_SO_CC!$B$8,CC_OT_GIO!$D$6:$D$2005,"&lt;="&amp;THAM_SO_CC!$B$9))</f>
        <v/>
      </c>
      <c r="I116" s="108">
        <f>IF($B116="","",SUMIFS(CC_OT_GIO!$J$6:$J$2005,CC_OT_GIO!$B$6:$B$2005,$B116,CC_OT_GIO!$D$6:$D$2005,"&gt;="&amp;THAM_SO_CC!$B$8,CC_OT_GIO!$D$6:$D$2005,"&lt;="&amp;THAM_SO_CC!$B$9))</f>
        <v/>
      </c>
      <c r="J116" s="108">
        <f>IF($B116="","",SUMIFS(CC_OT_GIO!$K$6:$K$2005,CC_OT_GIO!$B$6:$B$2005,$B116,CC_OT_GIO!$D$6:$D$2005,"&gt;="&amp;THAM_SO_CC!$B$8,CC_OT_GIO!$D$6:$D$2005,"&lt;="&amp;THAM_SO_CC!$B$9))</f>
        <v/>
      </c>
      <c r="K116" s="108">
        <f>IF($B116="","",SUMIFS(CC_OT_GIO!$L$6:$L$2005,CC_OT_GIO!$B$6:$B$2005,$B116,CC_OT_GIO!$D$6:$D$2005,"&gt;="&amp;THAM_SO_CC!$B$8,CC_OT_GIO!$D$6:$D$2005,"&lt;="&amp;THAM_SO_CC!$B$9))</f>
        <v/>
      </c>
      <c r="L116" s="108">
        <f>IF($B116="","",SUMIFS(CC_OT_GIO!$M$6:$M$2005,CC_OT_GIO!$B$6:$B$2005,$B116,CC_OT_GIO!$D$6:$D$2005,"&gt;="&amp;THAM_SO_CC!$B$8,CC_OT_GIO!$D$6:$D$2005,"&lt;="&amp;THAM_SO_CC!$B$9))</f>
        <v/>
      </c>
      <c r="M116" s="108">
        <f>IF($B116="","",SUMIFS(CC_OT_GIO!$N$6:$N$2005,CC_OT_GIO!$B$6:$B$2005,$B116,CC_OT_GIO!$D$6:$D$2005,"&gt;="&amp;THAM_SO_CC!$B$8,CC_OT_GIO!$D$6:$D$2005,"&lt;="&amp;THAM_SO_CC!$B$9))</f>
        <v/>
      </c>
      <c r="N116" s="108">
        <f>IF($B116="","",SUMIFS(CC_OT_GIO!$O$6:$O$2005,CC_OT_GIO!$B$6:$B$2005,$B116,CC_OT_GIO!$D$6:$D$2005,"&gt;="&amp;THAM_SO_CC!$B$8,CC_OT_GIO!$D$6:$D$2005,"&lt;="&amp;THAM_SO_CC!$B$9))</f>
        <v/>
      </c>
      <c r="O116" s="104">
        <f>IF($B116="","",BANG_CHAM_CONG!AL116)</f>
        <v/>
      </c>
      <c r="P116" s="104">
        <f>IF($B116="","",BANG_CHAM_CONG!AM116)</f>
        <v/>
      </c>
      <c r="Q116" s="104">
        <f>IF($B116="","",BANG_CHAM_CONG!AN116)</f>
        <v/>
      </c>
      <c r="R116" s="104">
        <f>IF($B116="","",BANG_CHAM_CONG!AO116)</f>
        <v/>
      </c>
      <c r="S116" s="104">
        <f>IF($B116="","",BANG_CHAM_CONG!AP116)</f>
        <v/>
      </c>
      <c r="T116" s="104">
        <f>IF($B116="","",BANG_CHAM_CONG!AQ116)</f>
        <v/>
      </c>
      <c r="U116" s="111">
        <f>IF($B116="","",SUM($I116:$N116))</f>
        <v/>
      </c>
      <c r="V116" s="96">
        <f>IF($B116="","",TRIM(BANG_CHAM_CONG!$AU116&amp;IF($U116&gt;60,"OT vượt 60 giờ/tháng – rà soát giới hạn làm thêm; ","")&amp;IF(AND($E116=0,SUM($O116:$T116)=0),"Chưa có dữ liệu chấm công; ","")&amp;IF($H116&gt;$G116,"Giờ đêm trong ca lớn hơn giờ thường; ","")))</f>
        <v/>
      </c>
    </row>
    <row r="117" ht="15" customHeight="1" s="63">
      <c r="A117" s="85">
        <f>IF($B117="","",ROW()-5)</f>
        <v/>
      </c>
      <c r="B117" s="103">
        <f>IF(BANG_CHAM_CONG!B117="","",BANG_CHAM_CONG!B117)</f>
        <v/>
      </c>
      <c r="C117" s="96">
        <f>IF($B117="","",BANG_CHAM_CONG!C117)</f>
        <v/>
      </c>
      <c r="D117" s="96">
        <f>IF($B117="","",BANG_CHAM_CONG!D117)</f>
        <v/>
      </c>
      <c r="E117" s="95">
        <f>IF($B117="","",BANG_CHAM_CONG!AK117)</f>
        <v/>
      </c>
      <c r="F117" s="109">
        <f>IF($B117="","",IF(DM_NHAN_SU!$H117="",THAM_SO_CC!$B$11,DM_NHAN_SU!$H117))</f>
        <v/>
      </c>
      <c r="G117" s="110">
        <f>IF($B117="","",ROUND($E117*$F117,2))</f>
        <v/>
      </c>
      <c r="H117" s="108">
        <f>IF($B117="","",SUMIFS(CC_OT_GIO!$F$6:$F$2005,CC_OT_GIO!$B$6:$B$2005,$B117,CC_OT_GIO!$D$6:$D$2005,"&gt;="&amp;THAM_SO_CC!$B$8,CC_OT_GIO!$D$6:$D$2005,"&lt;="&amp;THAM_SO_CC!$B$9))</f>
        <v/>
      </c>
      <c r="I117" s="108">
        <f>IF($B117="","",SUMIFS(CC_OT_GIO!$J$6:$J$2005,CC_OT_GIO!$B$6:$B$2005,$B117,CC_OT_GIO!$D$6:$D$2005,"&gt;="&amp;THAM_SO_CC!$B$8,CC_OT_GIO!$D$6:$D$2005,"&lt;="&amp;THAM_SO_CC!$B$9))</f>
        <v/>
      </c>
      <c r="J117" s="108">
        <f>IF($B117="","",SUMIFS(CC_OT_GIO!$K$6:$K$2005,CC_OT_GIO!$B$6:$B$2005,$B117,CC_OT_GIO!$D$6:$D$2005,"&gt;="&amp;THAM_SO_CC!$B$8,CC_OT_GIO!$D$6:$D$2005,"&lt;="&amp;THAM_SO_CC!$B$9))</f>
        <v/>
      </c>
      <c r="K117" s="108">
        <f>IF($B117="","",SUMIFS(CC_OT_GIO!$L$6:$L$2005,CC_OT_GIO!$B$6:$B$2005,$B117,CC_OT_GIO!$D$6:$D$2005,"&gt;="&amp;THAM_SO_CC!$B$8,CC_OT_GIO!$D$6:$D$2005,"&lt;="&amp;THAM_SO_CC!$B$9))</f>
        <v/>
      </c>
      <c r="L117" s="108">
        <f>IF($B117="","",SUMIFS(CC_OT_GIO!$M$6:$M$2005,CC_OT_GIO!$B$6:$B$2005,$B117,CC_OT_GIO!$D$6:$D$2005,"&gt;="&amp;THAM_SO_CC!$B$8,CC_OT_GIO!$D$6:$D$2005,"&lt;="&amp;THAM_SO_CC!$B$9))</f>
        <v/>
      </c>
      <c r="M117" s="108">
        <f>IF($B117="","",SUMIFS(CC_OT_GIO!$N$6:$N$2005,CC_OT_GIO!$B$6:$B$2005,$B117,CC_OT_GIO!$D$6:$D$2005,"&gt;="&amp;THAM_SO_CC!$B$8,CC_OT_GIO!$D$6:$D$2005,"&lt;="&amp;THAM_SO_CC!$B$9))</f>
        <v/>
      </c>
      <c r="N117" s="108">
        <f>IF($B117="","",SUMIFS(CC_OT_GIO!$O$6:$O$2005,CC_OT_GIO!$B$6:$B$2005,$B117,CC_OT_GIO!$D$6:$D$2005,"&gt;="&amp;THAM_SO_CC!$B$8,CC_OT_GIO!$D$6:$D$2005,"&lt;="&amp;THAM_SO_CC!$B$9))</f>
        <v/>
      </c>
      <c r="O117" s="104">
        <f>IF($B117="","",BANG_CHAM_CONG!AL117)</f>
        <v/>
      </c>
      <c r="P117" s="104">
        <f>IF($B117="","",BANG_CHAM_CONG!AM117)</f>
        <v/>
      </c>
      <c r="Q117" s="104">
        <f>IF($B117="","",BANG_CHAM_CONG!AN117)</f>
        <v/>
      </c>
      <c r="R117" s="104">
        <f>IF($B117="","",BANG_CHAM_CONG!AO117)</f>
        <v/>
      </c>
      <c r="S117" s="104">
        <f>IF($B117="","",BANG_CHAM_CONG!AP117)</f>
        <v/>
      </c>
      <c r="T117" s="104">
        <f>IF($B117="","",BANG_CHAM_CONG!AQ117)</f>
        <v/>
      </c>
      <c r="U117" s="111">
        <f>IF($B117="","",SUM($I117:$N117))</f>
        <v/>
      </c>
      <c r="V117" s="96">
        <f>IF($B117="","",TRIM(BANG_CHAM_CONG!$AU117&amp;IF($U117&gt;60,"OT vượt 60 giờ/tháng – rà soát giới hạn làm thêm; ","")&amp;IF(AND($E117=0,SUM($O117:$T117)=0),"Chưa có dữ liệu chấm công; ","")&amp;IF($H117&gt;$G117,"Giờ đêm trong ca lớn hơn giờ thường; ","")))</f>
        <v/>
      </c>
    </row>
    <row r="118" ht="15" customHeight="1" s="63">
      <c r="A118" s="85">
        <f>IF($B118="","",ROW()-5)</f>
        <v/>
      </c>
      <c r="B118" s="103">
        <f>IF(BANG_CHAM_CONG!B118="","",BANG_CHAM_CONG!B118)</f>
        <v/>
      </c>
      <c r="C118" s="96">
        <f>IF($B118="","",BANG_CHAM_CONG!C118)</f>
        <v/>
      </c>
      <c r="D118" s="96">
        <f>IF($B118="","",BANG_CHAM_CONG!D118)</f>
        <v/>
      </c>
      <c r="E118" s="95">
        <f>IF($B118="","",BANG_CHAM_CONG!AK118)</f>
        <v/>
      </c>
      <c r="F118" s="109">
        <f>IF($B118="","",IF(DM_NHAN_SU!$H118="",THAM_SO_CC!$B$11,DM_NHAN_SU!$H118))</f>
        <v/>
      </c>
      <c r="G118" s="110">
        <f>IF($B118="","",ROUND($E118*$F118,2))</f>
        <v/>
      </c>
      <c r="H118" s="108">
        <f>IF($B118="","",SUMIFS(CC_OT_GIO!$F$6:$F$2005,CC_OT_GIO!$B$6:$B$2005,$B118,CC_OT_GIO!$D$6:$D$2005,"&gt;="&amp;THAM_SO_CC!$B$8,CC_OT_GIO!$D$6:$D$2005,"&lt;="&amp;THAM_SO_CC!$B$9))</f>
        <v/>
      </c>
      <c r="I118" s="108">
        <f>IF($B118="","",SUMIFS(CC_OT_GIO!$J$6:$J$2005,CC_OT_GIO!$B$6:$B$2005,$B118,CC_OT_GIO!$D$6:$D$2005,"&gt;="&amp;THAM_SO_CC!$B$8,CC_OT_GIO!$D$6:$D$2005,"&lt;="&amp;THAM_SO_CC!$B$9))</f>
        <v/>
      </c>
      <c r="J118" s="108">
        <f>IF($B118="","",SUMIFS(CC_OT_GIO!$K$6:$K$2005,CC_OT_GIO!$B$6:$B$2005,$B118,CC_OT_GIO!$D$6:$D$2005,"&gt;="&amp;THAM_SO_CC!$B$8,CC_OT_GIO!$D$6:$D$2005,"&lt;="&amp;THAM_SO_CC!$B$9))</f>
        <v/>
      </c>
      <c r="K118" s="108">
        <f>IF($B118="","",SUMIFS(CC_OT_GIO!$L$6:$L$2005,CC_OT_GIO!$B$6:$B$2005,$B118,CC_OT_GIO!$D$6:$D$2005,"&gt;="&amp;THAM_SO_CC!$B$8,CC_OT_GIO!$D$6:$D$2005,"&lt;="&amp;THAM_SO_CC!$B$9))</f>
        <v/>
      </c>
      <c r="L118" s="108">
        <f>IF($B118="","",SUMIFS(CC_OT_GIO!$M$6:$M$2005,CC_OT_GIO!$B$6:$B$2005,$B118,CC_OT_GIO!$D$6:$D$2005,"&gt;="&amp;THAM_SO_CC!$B$8,CC_OT_GIO!$D$6:$D$2005,"&lt;="&amp;THAM_SO_CC!$B$9))</f>
        <v/>
      </c>
      <c r="M118" s="108">
        <f>IF($B118="","",SUMIFS(CC_OT_GIO!$N$6:$N$2005,CC_OT_GIO!$B$6:$B$2005,$B118,CC_OT_GIO!$D$6:$D$2005,"&gt;="&amp;THAM_SO_CC!$B$8,CC_OT_GIO!$D$6:$D$2005,"&lt;="&amp;THAM_SO_CC!$B$9))</f>
        <v/>
      </c>
      <c r="N118" s="108">
        <f>IF($B118="","",SUMIFS(CC_OT_GIO!$O$6:$O$2005,CC_OT_GIO!$B$6:$B$2005,$B118,CC_OT_GIO!$D$6:$D$2005,"&gt;="&amp;THAM_SO_CC!$B$8,CC_OT_GIO!$D$6:$D$2005,"&lt;="&amp;THAM_SO_CC!$B$9))</f>
        <v/>
      </c>
      <c r="O118" s="104">
        <f>IF($B118="","",BANG_CHAM_CONG!AL118)</f>
        <v/>
      </c>
      <c r="P118" s="104">
        <f>IF($B118="","",BANG_CHAM_CONG!AM118)</f>
        <v/>
      </c>
      <c r="Q118" s="104">
        <f>IF($B118="","",BANG_CHAM_CONG!AN118)</f>
        <v/>
      </c>
      <c r="R118" s="104">
        <f>IF($B118="","",BANG_CHAM_CONG!AO118)</f>
        <v/>
      </c>
      <c r="S118" s="104">
        <f>IF($B118="","",BANG_CHAM_CONG!AP118)</f>
        <v/>
      </c>
      <c r="T118" s="104">
        <f>IF($B118="","",BANG_CHAM_CONG!AQ118)</f>
        <v/>
      </c>
      <c r="U118" s="111">
        <f>IF($B118="","",SUM($I118:$N118))</f>
        <v/>
      </c>
      <c r="V118" s="96">
        <f>IF($B118="","",TRIM(BANG_CHAM_CONG!$AU118&amp;IF($U118&gt;60,"OT vượt 60 giờ/tháng – rà soát giới hạn làm thêm; ","")&amp;IF(AND($E118=0,SUM($O118:$T118)=0),"Chưa có dữ liệu chấm công; ","")&amp;IF($H118&gt;$G118,"Giờ đêm trong ca lớn hơn giờ thường; ","")))</f>
        <v/>
      </c>
    </row>
    <row r="119" ht="15" customHeight="1" s="63">
      <c r="A119" s="85">
        <f>IF($B119="","",ROW()-5)</f>
        <v/>
      </c>
      <c r="B119" s="103">
        <f>IF(BANG_CHAM_CONG!B119="","",BANG_CHAM_CONG!B119)</f>
        <v/>
      </c>
      <c r="C119" s="96">
        <f>IF($B119="","",BANG_CHAM_CONG!C119)</f>
        <v/>
      </c>
      <c r="D119" s="96">
        <f>IF($B119="","",BANG_CHAM_CONG!D119)</f>
        <v/>
      </c>
      <c r="E119" s="95">
        <f>IF($B119="","",BANG_CHAM_CONG!AK119)</f>
        <v/>
      </c>
      <c r="F119" s="109">
        <f>IF($B119="","",IF(DM_NHAN_SU!$H119="",THAM_SO_CC!$B$11,DM_NHAN_SU!$H119))</f>
        <v/>
      </c>
      <c r="G119" s="110">
        <f>IF($B119="","",ROUND($E119*$F119,2))</f>
        <v/>
      </c>
      <c r="H119" s="108">
        <f>IF($B119="","",SUMIFS(CC_OT_GIO!$F$6:$F$2005,CC_OT_GIO!$B$6:$B$2005,$B119,CC_OT_GIO!$D$6:$D$2005,"&gt;="&amp;THAM_SO_CC!$B$8,CC_OT_GIO!$D$6:$D$2005,"&lt;="&amp;THAM_SO_CC!$B$9))</f>
        <v/>
      </c>
      <c r="I119" s="108">
        <f>IF($B119="","",SUMIFS(CC_OT_GIO!$J$6:$J$2005,CC_OT_GIO!$B$6:$B$2005,$B119,CC_OT_GIO!$D$6:$D$2005,"&gt;="&amp;THAM_SO_CC!$B$8,CC_OT_GIO!$D$6:$D$2005,"&lt;="&amp;THAM_SO_CC!$B$9))</f>
        <v/>
      </c>
      <c r="J119" s="108">
        <f>IF($B119="","",SUMIFS(CC_OT_GIO!$K$6:$K$2005,CC_OT_GIO!$B$6:$B$2005,$B119,CC_OT_GIO!$D$6:$D$2005,"&gt;="&amp;THAM_SO_CC!$B$8,CC_OT_GIO!$D$6:$D$2005,"&lt;="&amp;THAM_SO_CC!$B$9))</f>
        <v/>
      </c>
      <c r="K119" s="108">
        <f>IF($B119="","",SUMIFS(CC_OT_GIO!$L$6:$L$2005,CC_OT_GIO!$B$6:$B$2005,$B119,CC_OT_GIO!$D$6:$D$2005,"&gt;="&amp;THAM_SO_CC!$B$8,CC_OT_GIO!$D$6:$D$2005,"&lt;="&amp;THAM_SO_CC!$B$9))</f>
        <v/>
      </c>
      <c r="L119" s="108">
        <f>IF($B119="","",SUMIFS(CC_OT_GIO!$M$6:$M$2005,CC_OT_GIO!$B$6:$B$2005,$B119,CC_OT_GIO!$D$6:$D$2005,"&gt;="&amp;THAM_SO_CC!$B$8,CC_OT_GIO!$D$6:$D$2005,"&lt;="&amp;THAM_SO_CC!$B$9))</f>
        <v/>
      </c>
      <c r="M119" s="108">
        <f>IF($B119="","",SUMIFS(CC_OT_GIO!$N$6:$N$2005,CC_OT_GIO!$B$6:$B$2005,$B119,CC_OT_GIO!$D$6:$D$2005,"&gt;="&amp;THAM_SO_CC!$B$8,CC_OT_GIO!$D$6:$D$2005,"&lt;="&amp;THAM_SO_CC!$B$9))</f>
        <v/>
      </c>
      <c r="N119" s="108">
        <f>IF($B119="","",SUMIFS(CC_OT_GIO!$O$6:$O$2005,CC_OT_GIO!$B$6:$B$2005,$B119,CC_OT_GIO!$D$6:$D$2005,"&gt;="&amp;THAM_SO_CC!$B$8,CC_OT_GIO!$D$6:$D$2005,"&lt;="&amp;THAM_SO_CC!$B$9))</f>
        <v/>
      </c>
      <c r="O119" s="104">
        <f>IF($B119="","",BANG_CHAM_CONG!AL119)</f>
        <v/>
      </c>
      <c r="P119" s="104">
        <f>IF($B119="","",BANG_CHAM_CONG!AM119)</f>
        <v/>
      </c>
      <c r="Q119" s="104">
        <f>IF($B119="","",BANG_CHAM_CONG!AN119)</f>
        <v/>
      </c>
      <c r="R119" s="104">
        <f>IF($B119="","",BANG_CHAM_CONG!AO119)</f>
        <v/>
      </c>
      <c r="S119" s="104">
        <f>IF($B119="","",BANG_CHAM_CONG!AP119)</f>
        <v/>
      </c>
      <c r="T119" s="104">
        <f>IF($B119="","",BANG_CHAM_CONG!AQ119)</f>
        <v/>
      </c>
      <c r="U119" s="111">
        <f>IF($B119="","",SUM($I119:$N119))</f>
        <v/>
      </c>
      <c r="V119" s="96">
        <f>IF($B119="","",TRIM(BANG_CHAM_CONG!$AU119&amp;IF($U119&gt;60,"OT vượt 60 giờ/tháng – rà soát giới hạn làm thêm; ","")&amp;IF(AND($E119=0,SUM($O119:$T119)=0),"Chưa có dữ liệu chấm công; ","")&amp;IF($H119&gt;$G119,"Giờ đêm trong ca lớn hơn giờ thường; ","")))</f>
        <v/>
      </c>
    </row>
    <row r="120" ht="15" customHeight="1" s="63">
      <c r="A120" s="85">
        <f>IF($B120="","",ROW()-5)</f>
        <v/>
      </c>
      <c r="B120" s="103">
        <f>IF(BANG_CHAM_CONG!B120="","",BANG_CHAM_CONG!B120)</f>
        <v/>
      </c>
      <c r="C120" s="96">
        <f>IF($B120="","",BANG_CHAM_CONG!C120)</f>
        <v/>
      </c>
      <c r="D120" s="96">
        <f>IF($B120="","",BANG_CHAM_CONG!D120)</f>
        <v/>
      </c>
      <c r="E120" s="95">
        <f>IF($B120="","",BANG_CHAM_CONG!AK120)</f>
        <v/>
      </c>
      <c r="F120" s="109">
        <f>IF($B120="","",IF(DM_NHAN_SU!$H120="",THAM_SO_CC!$B$11,DM_NHAN_SU!$H120))</f>
        <v/>
      </c>
      <c r="G120" s="110">
        <f>IF($B120="","",ROUND($E120*$F120,2))</f>
        <v/>
      </c>
      <c r="H120" s="108">
        <f>IF($B120="","",SUMIFS(CC_OT_GIO!$F$6:$F$2005,CC_OT_GIO!$B$6:$B$2005,$B120,CC_OT_GIO!$D$6:$D$2005,"&gt;="&amp;THAM_SO_CC!$B$8,CC_OT_GIO!$D$6:$D$2005,"&lt;="&amp;THAM_SO_CC!$B$9))</f>
        <v/>
      </c>
      <c r="I120" s="108">
        <f>IF($B120="","",SUMIFS(CC_OT_GIO!$J$6:$J$2005,CC_OT_GIO!$B$6:$B$2005,$B120,CC_OT_GIO!$D$6:$D$2005,"&gt;="&amp;THAM_SO_CC!$B$8,CC_OT_GIO!$D$6:$D$2005,"&lt;="&amp;THAM_SO_CC!$B$9))</f>
        <v/>
      </c>
      <c r="J120" s="108">
        <f>IF($B120="","",SUMIFS(CC_OT_GIO!$K$6:$K$2005,CC_OT_GIO!$B$6:$B$2005,$B120,CC_OT_GIO!$D$6:$D$2005,"&gt;="&amp;THAM_SO_CC!$B$8,CC_OT_GIO!$D$6:$D$2005,"&lt;="&amp;THAM_SO_CC!$B$9))</f>
        <v/>
      </c>
      <c r="K120" s="108">
        <f>IF($B120="","",SUMIFS(CC_OT_GIO!$L$6:$L$2005,CC_OT_GIO!$B$6:$B$2005,$B120,CC_OT_GIO!$D$6:$D$2005,"&gt;="&amp;THAM_SO_CC!$B$8,CC_OT_GIO!$D$6:$D$2005,"&lt;="&amp;THAM_SO_CC!$B$9))</f>
        <v/>
      </c>
      <c r="L120" s="108">
        <f>IF($B120="","",SUMIFS(CC_OT_GIO!$M$6:$M$2005,CC_OT_GIO!$B$6:$B$2005,$B120,CC_OT_GIO!$D$6:$D$2005,"&gt;="&amp;THAM_SO_CC!$B$8,CC_OT_GIO!$D$6:$D$2005,"&lt;="&amp;THAM_SO_CC!$B$9))</f>
        <v/>
      </c>
      <c r="M120" s="108">
        <f>IF($B120="","",SUMIFS(CC_OT_GIO!$N$6:$N$2005,CC_OT_GIO!$B$6:$B$2005,$B120,CC_OT_GIO!$D$6:$D$2005,"&gt;="&amp;THAM_SO_CC!$B$8,CC_OT_GIO!$D$6:$D$2005,"&lt;="&amp;THAM_SO_CC!$B$9))</f>
        <v/>
      </c>
      <c r="N120" s="108">
        <f>IF($B120="","",SUMIFS(CC_OT_GIO!$O$6:$O$2005,CC_OT_GIO!$B$6:$B$2005,$B120,CC_OT_GIO!$D$6:$D$2005,"&gt;="&amp;THAM_SO_CC!$B$8,CC_OT_GIO!$D$6:$D$2005,"&lt;="&amp;THAM_SO_CC!$B$9))</f>
        <v/>
      </c>
      <c r="O120" s="104">
        <f>IF($B120="","",BANG_CHAM_CONG!AL120)</f>
        <v/>
      </c>
      <c r="P120" s="104">
        <f>IF($B120="","",BANG_CHAM_CONG!AM120)</f>
        <v/>
      </c>
      <c r="Q120" s="104">
        <f>IF($B120="","",BANG_CHAM_CONG!AN120)</f>
        <v/>
      </c>
      <c r="R120" s="104">
        <f>IF($B120="","",BANG_CHAM_CONG!AO120)</f>
        <v/>
      </c>
      <c r="S120" s="104">
        <f>IF($B120="","",BANG_CHAM_CONG!AP120)</f>
        <v/>
      </c>
      <c r="T120" s="104">
        <f>IF($B120="","",BANG_CHAM_CONG!AQ120)</f>
        <v/>
      </c>
      <c r="U120" s="111">
        <f>IF($B120="","",SUM($I120:$N120))</f>
        <v/>
      </c>
      <c r="V120" s="96">
        <f>IF($B120="","",TRIM(BANG_CHAM_CONG!$AU120&amp;IF($U120&gt;60,"OT vượt 60 giờ/tháng – rà soát giới hạn làm thêm; ","")&amp;IF(AND($E120=0,SUM($O120:$T120)=0),"Chưa có dữ liệu chấm công; ","")&amp;IF($H120&gt;$G120,"Giờ đêm trong ca lớn hơn giờ thường; ","")))</f>
        <v/>
      </c>
    </row>
    <row r="121" ht="15" customHeight="1" s="63">
      <c r="A121" s="85">
        <f>IF($B121="","",ROW()-5)</f>
        <v/>
      </c>
      <c r="B121" s="103">
        <f>IF(BANG_CHAM_CONG!B121="","",BANG_CHAM_CONG!B121)</f>
        <v/>
      </c>
      <c r="C121" s="96">
        <f>IF($B121="","",BANG_CHAM_CONG!C121)</f>
        <v/>
      </c>
      <c r="D121" s="96">
        <f>IF($B121="","",BANG_CHAM_CONG!D121)</f>
        <v/>
      </c>
      <c r="E121" s="95">
        <f>IF($B121="","",BANG_CHAM_CONG!AK121)</f>
        <v/>
      </c>
      <c r="F121" s="109">
        <f>IF($B121="","",IF(DM_NHAN_SU!$H121="",THAM_SO_CC!$B$11,DM_NHAN_SU!$H121))</f>
        <v/>
      </c>
      <c r="G121" s="110">
        <f>IF($B121="","",ROUND($E121*$F121,2))</f>
        <v/>
      </c>
      <c r="H121" s="108">
        <f>IF($B121="","",SUMIFS(CC_OT_GIO!$F$6:$F$2005,CC_OT_GIO!$B$6:$B$2005,$B121,CC_OT_GIO!$D$6:$D$2005,"&gt;="&amp;THAM_SO_CC!$B$8,CC_OT_GIO!$D$6:$D$2005,"&lt;="&amp;THAM_SO_CC!$B$9))</f>
        <v/>
      </c>
      <c r="I121" s="108">
        <f>IF($B121="","",SUMIFS(CC_OT_GIO!$J$6:$J$2005,CC_OT_GIO!$B$6:$B$2005,$B121,CC_OT_GIO!$D$6:$D$2005,"&gt;="&amp;THAM_SO_CC!$B$8,CC_OT_GIO!$D$6:$D$2005,"&lt;="&amp;THAM_SO_CC!$B$9))</f>
        <v/>
      </c>
      <c r="J121" s="108">
        <f>IF($B121="","",SUMIFS(CC_OT_GIO!$K$6:$K$2005,CC_OT_GIO!$B$6:$B$2005,$B121,CC_OT_GIO!$D$6:$D$2005,"&gt;="&amp;THAM_SO_CC!$B$8,CC_OT_GIO!$D$6:$D$2005,"&lt;="&amp;THAM_SO_CC!$B$9))</f>
        <v/>
      </c>
      <c r="K121" s="108">
        <f>IF($B121="","",SUMIFS(CC_OT_GIO!$L$6:$L$2005,CC_OT_GIO!$B$6:$B$2005,$B121,CC_OT_GIO!$D$6:$D$2005,"&gt;="&amp;THAM_SO_CC!$B$8,CC_OT_GIO!$D$6:$D$2005,"&lt;="&amp;THAM_SO_CC!$B$9))</f>
        <v/>
      </c>
      <c r="L121" s="108">
        <f>IF($B121="","",SUMIFS(CC_OT_GIO!$M$6:$M$2005,CC_OT_GIO!$B$6:$B$2005,$B121,CC_OT_GIO!$D$6:$D$2005,"&gt;="&amp;THAM_SO_CC!$B$8,CC_OT_GIO!$D$6:$D$2005,"&lt;="&amp;THAM_SO_CC!$B$9))</f>
        <v/>
      </c>
      <c r="M121" s="108">
        <f>IF($B121="","",SUMIFS(CC_OT_GIO!$N$6:$N$2005,CC_OT_GIO!$B$6:$B$2005,$B121,CC_OT_GIO!$D$6:$D$2005,"&gt;="&amp;THAM_SO_CC!$B$8,CC_OT_GIO!$D$6:$D$2005,"&lt;="&amp;THAM_SO_CC!$B$9))</f>
        <v/>
      </c>
      <c r="N121" s="108">
        <f>IF($B121="","",SUMIFS(CC_OT_GIO!$O$6:$O$2005,CC_OT_GIO!$B$6:$B$2005,$B121,CC_OT_GIO!$D$6:$D$2005,"&gt;="&amp;THAM_SO_CC!$B$8,CC_OT_GIO!$D$6:$D$2005,"&lt;="&amp;THAM_SO_CC!$B$9))</f>
        <v/>
      </c>
      <c r="O121" s="104">
        <f>IF($B121="","",BANG_CHAM_CONG!AL121)</f>
        <v/>
      </c>
      <c r="P121" s="104">
        <f>IF($B121="","",BANG_CHAM_CONG!AM121)</f>
        <v/>
      </c>
      <c r="Q121" s="104">
        <f>IF($B121="","",BANG_CHAM_CONG!AN121)</f>
        <v/>
      </c>
      <c r="R121" s="104">
        <f>IF($B121="","",BANG_CHAM_CONG!AO121)</f>
        <v/>
      </c>
      <c r="S121" s="104">
        <f>IF($B121="","",BANG_CHAM_CONG!AP121)</f>
        <v/>
      </c>
      <c r="T121" s="104">
        <f>IF($B121="","",BANG_CHAM_CONG!AQ121)</f>
        <v/>
      </c>
      <c r="U121" s="111">
        <f>IF($B121="","",SUM($I121:$N121))</f>
        <v/>
      </c>
      <c r="V121" s="96">
        <f>IF($B121="","",TRIM(BANG_CHAM_CONG!$AU121&amp;IF($U121&gt;60,"OT vượt 60 giờ/tháng – rà soát giới hạn làm thêm; ","")&amp;IF(AND($E121=0,SUM($O121:$T121)=0),"Chưa có dữ liệu chấm công; ","")&amp;IF($H121&gt;$G121,"Giờ đêm trong ca lớn hơn giờ thường; ","")))</f>
        <v/>
      </c>
    </row>
    <row r="122" ht="15" customHeight="1" s="63">
      <c r="A122" s="85">
        <f>IF($B122="","",ROW()-5)</f>
        <v/>
      </c>
      <c r="B122" s="103">
        <f>IF(BANG_CHAM_CONG!B122="","",BANG_CHAM_CONG!B122)</f>
        <v/>
      </c>
      <c r="C122" s="96">
        <f>IF($B122="","",BANG_CHAM_CONG!C122)</f>
        <v/>
      </c>
      <c r="D122" s="96">
        <f>IF($B122="","",BANG_CHAM_CONG!D122)</f>
        <v/>
      </c>
      <c r="E122" s="95">
        <f>IF($B122="","",BANG_CHAM_CONG!AK122)</f>
        <v/>
      </c>
      <c r="F122" s="109">
        <f>IF($B122="","",IF(DM_NHAN_SU!$H122="",THAM_SO_CC!$B$11,DM_NHAN_SU!$H122))</f>
        <v/>
      </c>
      <c r="G122" s="110">
        <f>IF($B122="","",ROUND($E122*$F122,2))</f>
        <v/>
      </c>
      <c r="H122" s="108">
        <f>IF($B122="","",SUMIFS(CC_OT_GIO!$F$6:$F$2005,CC_OT_GIO!$B$6:$B$2005,$B122,CC_OT_GIO!$D$6:$D$2005,"&gt;="&amp;THAM_SO_CC!$B$8,CC_OT_GIO!$D$6:$D$2005,"&lt;="&amp;THAM_SO_CC!$B$9))</f>
        <v/>
      </c>
      <c r="I122" s="108">
        <f>IF($B122="","",SUMIFS(CC_OT_GIO!$J$6:$J$2005,CC_OT_GIO!$B$6:$B$2005,$B122,CC_OT_GIO!$D$6:$D$2005,"&gt;="&amp;THAM_SO_CC!$B$8,CC_OT_GIO!$D$6:$D$2005,"&lt;="&amp;THAM_SO_CC!$B$9))</f>
        <v/>
      </c>
      <c r="J122" s="108">
        <f>IF($B122="","",SUMIFS(CC_OT_GIO!$K$6:$K$2005,CC_OT_GIO!$B$6:$B$2005,$B122,CC_OT_GIO!$D$6:$D$2005,"&gt;="&amp;THAM_SO_CC!$B$8,CC_OT_GIO!$D$6:$D$2005,"&lt;="&amp;THAM_SO_CC!$B$9))</f>
        <v/>
      </c>
      <c r="K122" s="108">
        <f>IF($B122="","",SUMIFS(CC_OT_GIO!$L$6:$L$2005,CC_OT_GIO!$B$6:$B$2005,$B122,CC_OT_GIO!$D$6:$D$2005,"&gt;="&amp;THAM_SO_CC!$B$8,CC_OT_GIO!$D$6:$D$2005,"&lt;="&amp;THAM_SO_CC!$B$9))</f>
        <v/>
      </c>
      <c r="L122" s="108">
        <f>IF($B122="","",SUMIFS(CC_OT_GIO!$M$6:$M$2005,CC_OT_GIO!$B$6:$B$2005,$B122,CC_OT_GIO!$D$6:$D$2005,"&gt;="&amp;THAM_SO_CC!$B$8,CC_OT_GIO!$D$6:$D$2005,"&lt;="&amp;THAM_SO_CC!$B$9))</f>
        <v/>
      </c>
      <c r="M122" s="108">
        <f>IF($B122="","",SUMIFS(CC_OT_GIO!$N$6:$N$2005,CC_OT_GIO!$B$6:$B$2005,$B122,CC_OT_GIO!$D$6:$D$2005,"&gt;="&amp;THAM_SO_CC!$B$8,CC_OT_GIO!$D$6:$D$2005,"&lt;="&amp;THAM_SO_CC!$B$9))</f>
        <v/>
      </c>
      <c r="N122" s="108">
        <f>IF($B122="","",SUMIFS(CC_OT_GIO!$O$6:$O$2005,CC_OT_GIO!$B$6:$B$2005,$B122,CC_OT_GIO!$D$6:$D$2005,"&gt;="&amp;THAM_SO_CC!$B$8,CC_OT_GIO!$D$6:$D$2005,"&lt;="&amp;THAM_SO_CC!$B$9))</f>
        <v/>
      </c>
      <c r="O122" s="104">
        <f>IF($B122="","",BANG_CHAM_CONG!AL122)</f>
        <v/>
      </c>
      <c r="P122" s="104">
        <f>IF($B122="","",BANG_CHAM_CONG!AM122)</f>
        <v/>
      </c>
      <c r="Q122" s="104">
        <f>IF($B122="","",BANG_CHAM_CONG!AN122)</f>
        <v/>
      </c>
      <c r="R122" s="104">
        <f>IF($B122="","",BANG_CHAM_CONG!AO122)</f>
        <v/>
      </c>
      <c r="S122" s="104">
        <f>IF($B122="","",BANG_CHAM_CONG!AP122)</f>
        <v/>
      </c>
      <c r="T122" s="104">
        <f>IF($B122="","",BANG_CHAM_CONG!AQ122)</f>
        <v/>
      </c>
      <c r="U122" s="111">
        <f>IF($B122="","",SUM($I122:$N122))</f>
        <v/>
      </c>
      <c r="V122" s="96">
        <f>IF($B122="","",TRIM(BANG_CHAM_CONG!$AU122&amp;IF($U122&gt;60,"OT vượt 60 giờ/tháng – rà soát giới hạn làm thêm; ","")&amp;IF(AND($E122=0,SUM($O122:$T122)=0),"Chưa có dữ liệu chấm công; ","")&amp;IF($H122&gt;$G122,"Giờ đêm trong ca lớn hơn giờ thường; ","")))</f>
        <v/>
      </c>
    </row>
    <row r="123" ht="15" customHeight="1" s="63">
      <c r="A123" s="85">
        <f>IF($B123="","",ROW()-5)</f>
        <v/>
      </c>
      <c r="B123" s="103">
        <f>IF(BANG_CHAM_CONG!B123="","",BANG_CHAM_CONG!B123)</f>
        <v/>
      </c>
      <c r="C123" s="96">
        <f>IF($B123="","",BANG_CHAM_CONG!C123)</f>
        <v/>
      </c>
      <c r="D123" s="96">
        <f>IF($B123="","",BANG_CHAM_CONG!D123)</f>
        <v/>
      </c>
      <c r="E123" s="95">
        <f>IF($B123="","",BANG_CHAM_CONG!AK123)</f>
        <v/>
      </c>
      <c r="F123" s="109">
        <f>IF($B123="","",IF(DM_NHAN_SU!$H123="",THAM_SO_CC!$B$11,DM_NHAN_SU!$H123))</f>
        <v/>
      </c>
      <c r="G123" s="110">
        <f>IF($B123="","",ROUND($E123*$F123,2))</f>
        <v/>
      </c>
      <c r="H123" s="108">
        <f>IF($B123="","",SUMIFS(CC_OT_GIO!$F$6:$F$2005,CC_OT_GIO!$B$6:$B$2005,$B123,CC_OT_GIO!$D$6:$D$2005,"&gt;="&amp;THAM_SO_CC!$B$8,CC_OT_GIO!$D$6:$D$2005,"&lt;="&amp;THAM_SO_CC!$B$9))</f>
        <v/>
      </c>
      <c r="I123" s="108">
        <f>IF($B123="","",SUMIFS(CC_OT_GIO!$J$6:$J$2005,CC_OT_GIO!$B$6:$B$2005,$B123,CC_OT_GIO!$D$6:$D$2005,"&gt;="&amp;THAM_SO_CC!$B$8,CC_OT_GIO!$D$6:$D$2005,"&lt;="&amp;THAM_SO_CC!$B$9))</f>
        <v/>
      </c>
      <c r="J123" s="108">
        <f>IF($B123="","",SUMIFS(CC_OT_GIO!$K$6:$K$2005,CC_OT_GIO!$B$6:$B$2005,$B123,CC_OT_GIO!$D$6:$D$2005,"&gt;="&amp;THAM_SO_CC!$B$8,CC_OT_GIO!$D$6:$D$2005,"&lt;="&amp;THAM_SO_CC!$B$9))</f>
        <v/>
      </c>
      <c r="K123" s="108">
        <f>IF($B123="","",SUMIFS(CC_OT_GIO!$L$6:$L$2005,CC_OT_GIO!$B$6:$B$2005,$B123,CC_OT_GIO!$D$6:$D$2005,"&gt;="&amp;THAM_SO_CC!$B$8,CC_OT_GIO!$D$6:$D$2005,"&lt;="&amp;THAM_SO_CC!$B$9))</f>
        <v/>
      </c>
      <c r="L123" s="108">
        <f>IF($B123="","",SUMIFS(CC_OT_GIO!$M$6:$M$2005,CC_OT_GIO!$B$6:$B$2005,$B123,CC_OT_GIO!$D$6:$D$2005,"&gt;="&amp;THAM_SO_CC!$B$8,CC_OT_GIO!$D$6:$D$2005,"&lt;="&amp;THAM_SO_CC!$B$9))</f>
        <v/>
      </c>
      <c r="M123" s="108">
        <f>IF($B123="","",SUMIFS(CC_OT_GIO!$N$6:$N$2005,CC_OT_GIO!$B$6:$B$2005,$B123,CC_OT_GIO!$D$6:$D$2005,"&gt;="&amp;THAM_SO_CC!$B$8,CC_OT_GIO!$D$6:$D$2005,"&lt;="&amp;THAM_SO_CC!$B$9))</f>
        <v/>
      </c>
      <c r="N123" s="108">
        <f>IF($B123="","",SUMIFS(CC_OT_GIO!$O$6:$O$2005,CC_OT_GIO!$B$6:$B$2005,$B123,CC_OT_GIO!$D$6:$D$2005,"&gt;="&amp;THAM_SO_CC!$B$8,CC_OT_GIO!$D$6:$D$2005,"&lt;="&amp;THAM_SO_CC!$B$9))</f>
        <v/>
      </c>
      <c r="O123" s="104">
        <f>IF($B123="","",BANG_CHAM_CONG!AL123)</f>
        <v/>
      </c>
      <c r="P123" s="104">
        <f>IF($B123="","",BANG_CHAM_CONG!AM123)</f>
        <v/>
      </c>
      <c r="Q123" s="104">
        <f>IF($B123="","",BANG_CHAM_CONG!AN123)</f>
        <v/>
      </c>
      <c r="R123" s="104">
        <f>IF($B123="","",BANG_CHAM_CONG!AO123)</f>
        <v/>
      </c>
      <c r="S123" s="104">
        <f>IF($B123="","",BANG_CHAM_CONG!AP123)</f>
        <v/>
      </c>
      <c r="T123" s="104">
        <f>IF($B123="","",BANG_CHAM_CONG!AQ123)</f>
        <v/>
      </c>
      <c r="U123" s="111">
        <f>IF($B123="","",SUM($I123:$N123))</f>
        <v/>
      </c>
      <c r="V123" s="96">
        <f>IF($B123="","",TRIM(BANG_CHAM_CONG!$AU123&amp;IF($U123&gt;60,"OT vượt 60 giờ/tháng – rà soát giới hạn làm thêm; ","")&amp;IF(AND($E123=0,SUM($O123:$T123)=0),"Chưa có dữ liệu chấm công; ","")&amp;IF($H123&gt;$G123,"Giờ đêm trong ca lớn hơn giờ thường; ","")))</f>
        <v/>
      </c>
    </row>
    <row r="124" ht="15" customHeight="1" s="63">
      <c r="A124" s="85">
        <f>IF($B124="","",ROW()-5)</f>
        <v/>
      </c>
      <c r="B124" s="103">
        <f>IF(BANG_CHAM_CONG!B124="","",BANG_CHAM_CONG!B124)</f>
        <v/>
      </c>
      <c r="C124" s="96">
        <f>IF($B124="","",BANG_CHAM_CONG!C124)</f>
        <v/>
      </c>
      <c r="D124" s="96">
        <f>IF($B124="","",BANG_CHAM_CONG!D124)</f>
        <v/>
      </c>
      <c r="E124" s="95">
        <f>IF($B124="","",BANG_CHAM_CONG!AK124)</f>
        <v/>
      </c>
      <c r="F124" s="109">
        <f>IF($B124="","",IF(DM_NHAN_SU!$H124="",THAM_SO_CC!$B$11,DM_NHAN_SU!$H124))</f>
        <v/>
      </c>
      <c r="G124" s="110">
        <f>IF($B124="","",ROUND($E124*$F124,2))</f>
        <v/>
      </c>
      <c r="H124" s="108">
        <f>IF($B124="","",SUMIFS(CC_OT_GIO!$F$6:$F$2005,CC_OT_GIO!$B$6:$B$2005,$B124,CC_OT_GIO!$D$6:$D$2005,"&gt;="&amp;THAM_SO_CC!$B$8,CC_OT_GIO!$D$6:$D$2005,"&lt;="&amp;THAM_SO_CC!$B$9))</f>
        <v/>
      </c>
      <c r="I124" s="108">
        <f>IF($B124="","",SUMIFS(CC_OT_GIO!$J$6:$J$2005,CC_OT_GIO!$B$6:$B$2005,$B124,CC_OT_GIO!$D$6:$D$2005,"&gt;="&amp;THAM_SO_CC!$B$8,CC_OT_GIO!$D$6:$D$2005,"&lt;="&amp;THAM_SO_CC!$B$9))</f>
        <v/>
      </c>
      <c r="J124" s="108">
        <f>IF($B124="","",SUMIFS(CC_OT_GIO!$K$6:$K$2005,CC_OT_GIO!$B$6:$B$2005,$B124,CC_OT_GIO!$D$6:$D$2005,"&gt;="&amp;THAM_SO_CC!$B$8,CC_OT_GIO!$D$6:$D$2005,"&lt;="&amp;THAM_SO_CC!$B$9))</f>
        <v/>
      </c>
      <c r="K124" s="108">
        <f>IF($B124="","",SUMIFS(CC_OT_GIO!$L$6:$L$2005,CC_OT_GIO!$B$6:$B$2005,$B124,CC_OT_GIO!$D$6:$D$2005,"&gt;="&amp;THAM_SO_CC!$B$8,CC_OT_GIO!$D$6:$D$2005,"&lt;="&amp;THAM_SO_CC!$B$9))</f>
        <v/>
      </c>
      <c r="L124" s="108">
        <f>IF($B124="","",SUMIFS(CC_OT_GIO!$M$6:$M$2005,CC_OT_GIO!$B$6:$B$2005,$B124,CC_OT_GIO!$D$6:$D$2005,"&gt;="&amp;THAM_SO_CC!$B$8,CC_OT_GIO!$D$6:$D$2005,"&lt;="&amp;THAM_SO_CC!$B$9))</f>
        <v/>
      </c>
      <c r="M124" s="108">
        <f>IF($B124="","",SUMIFS(CC_OT_GIO!$N$6:$N$2005,CC_OT_GIO!$B$6:$B$2005,$B124,CC_OT_GIO!$D$6:$D$2005,"&gt;="&amp;THAM_SO_CC!$B$8,CC_OT_GIO!$D$6:$D$2005,"&lt;="&amp;THAM_SO_CC!$B$9))</f>
        <v/>
      </c>
      <c r="N124" s="108">
        <f>IF($B124="","",SUMIFS(CC_OT_GIO!$O$6:$O$2005,CC_OT_GIO!$B$6:$B$2005,$B124,CC_OT_GIO!$D$6:$D$2005,"&gt;="&amp;THAM_SO_CC!$B$8,CC_OT_GIO!$D$6:$D$2005,"&lt;="&amp;THAM_SO_CC!$B$9))</f>
        <v/>
      </c>
      <c r="O124" s="104">
        <f>IF($B124="","",BANG_CHAM_CONG!AL124)</f>
        <v/>
      </c>
      <c r="P124" s="104">
        <f>IF($B124="","",BANG_CHAM_CONG!AM124)</f>
        <v/>
      </c>
      <c r="Q124" s="104">
        <f>IF($B124="","",BANG_CHAM_CONG!AN124)</f>
        <v/>
      </c>
      <c r="R124" s="104">
        <f>IF($B124="","",BANG_CHAM_CONG!AO124)</f>
        <v/>
      </c>
      <c r="S124" s="104">
        <f>IF($B124="","",BANG_CHAM_CONG!AP124)</f>
        <v/>
      </c>
      <c r="T124" s="104">
        <f>IF($B124="","",BANG_CHAM_CONG!AQ124)</f>
        <v/>
      </c>
      <c r="U124" s="111">
        <f>IF($B124="","",SUM($I124:$N124))</f>
        <v/>
      </c>
      <c r="V124" s="96">
        <f>IF($B124="","",TRIM(BANG_CHAM_CONG!$AU124&amp;IF($U124&gt;60,"OT vượt 60 giờ/tháng – rà soát giới hạn làm thêm; ","")&amp;IF(AND($E124=0,SUM($O124:$T124)=0),"Chưa có dữ liệu chấm công; ","")&amp;IF($H124&gt;$G124,"Giờ đêm trong ca lớn hơn giờ thường; ","")))</f>
        <v/>
      </c>
    </row>
    <row r="125" ht="15" customHeight="1" s="63">
      <c r="A125" s="85">
        <f>IF($B125="","",ROW()-5)</f>
        <v/>
      </c>
      <c r="B125" s="103">
        <f>IF(BANG_CHAM_CONG!B125="","",BANG_CHAM_CONG!B125)</f>
        <v/>
      </c>
      <c r="C125" s="96">
        <f>IF($B125="","",BANG_CHAM_CONG!C125)</f>
        <v/>
      </c>
      <c r="D125" s="96">
        <f>IF($B125="","",BANG_CHAM_CONG!D125)</f>
        <v/>
      </c>
      <c r="E125" s="95">
        <f>IF($B125="","",BANG_CHAM_CONG!AK125)</f>
        <v/>
      </c>
      <c r="F125" s="109">
        <f>IF($B125="","",IF(DM_NHAN_SU!$H125="",THAM_SO_CC!$B$11,DM_NHAN_SU!$H125))</f>
        <v/>
      </c>
      <c r="G125" s="110">
        <f>IF($B125="","",ROUND($E125*$F125,2))</f>
        <v/>
      </c>
      <c r="H125" s="108">
        <f>IF($B125="","",SUMIFS(CC_OT_GIO!$F$6:$F$2005,CC_OT_GIO!$B$6:$B$2005,$B125,CC_OT_GIO!$D$6:$D$2005,"&gt;="&amp;THAM_SO_CC!$B$8,CC_OT_GIO!$D$6:$D$2005,"&lt;="&amp;THAM_SO_CC!$B$9))</f>
        <v/>
      </c>
      <c r="I125" s="108">
        <f>IF($B125="","",SUMIFS(CC_OT_GIO!$J$6:$J$2005,CC_OT_GIO!$B$6:$B$2005,$B125,CC_OT_GIO!$D$6:$D$2005,"&gt;="&amp;THAM_SO_CC!$B$8,CC_OT_GIO!$D$6:$D$2005,"&lt;="&amp;THAM_SO_CC!$B$9))</f>
        <v/>
      </c>
      <c r="J125" s="108">
        <f>IF($B125="","",SUMIFS(CC_OT_GIO!$K$6:$K$2005,CC_OT_GIO!$B$6:$B$2005,$B125,CC_OT_GIO!$D$6:$D$2005,"&gt;="&amp;THAM_SO_CC!$B$8,CC_OT_GIO!$D$6:$D$2005,"&lt;="&amp;THAM_SO_CC!$B$9))</f>
        <v/>
      </c>
      <c r="K125" s="108">
        <f>IF($B125="","",SUMIFS(CC_OT_GIO!$L$6:$L$2005,CC_OT_GIO!$B$6:$B$2005,$B125,CC_OT_GIO!$D$6:$D$2005,"&gt;="&amp;THAM_SO_CC!$B$8,CC_OT_GIO!$D$6:$D$2005,"&lt;="&amp;THAM_SO_CC!$B$9))</f>
        <v/>
      </c>
      <c r="L125" s="108">
        <f>IF($B125="","",SUMIFS(CC_OT_GIO!$M$6:$M$2005,CC_OT_GIO!$B$6:$B$2005,$B125,CC_OT_GIO!$D$6:$D$2005,"&gt;="&amp;THAM_SO_CC!$B$8,CC_OT_GIO!$D$6:$D$2005,"&lt;="&amp;THAM_SO_CC!$B$9))</f>
        <v/>
      </c>
      <c r="M125" s="108">
        <f>IF($B125="","",SUMIFS(CC_OT_GIO!$N$6:$N$2005,CC_OT_GIO!$B$6:$B$2005,$B125,CC_OT_GIO!$D$6:$D$2005,"&gt;="&amp;THAM_SO_CC!$B$8,CC_OT_GIO!$D$6:$D$2005,"&lt;="&amp;THAM_SO_CC!$B$9))</f>
        <v/>
      </c>
      <c r="N125" s="108">
        <f>IF($B125="","",SUMIFS(CC_OT_GIO!$O$6:$O$2005,CC_OT_GIO!$B$6:$B$2005,$B125,CC_OT_GIO!$D$6:$D$2005,"&gt;="&amp;THAM_SO_CC!$B$8,CC_OT_GIO!$D$6:$D$2005,"&lt;="&amp;THAM_SO_CC!$B$9))</f>
        <v/>
      </c>
      <c r="O125" s="104">
        <f>IF($B125="","",BANG_CHAM_CONG!AL125)</f>
        <v/>
      </c>
      <c r="P125" s="104">
        <f>IF($B125="","",BANG_CHAM_CONG!AM125)</f>
        <v/>
      </c>
      <c r="Q125" s="104">
        <f>IF($B125="","",BANG_CHAM_CONG!AN125)</f>
        <v/>
      </c>
      <c r="R125" s="104">
        <f>IF($B125="","",BANG_CHAM_CONG!AO125)</f>
        <v/>
      </c>
      <c r="S125" s="104">
        <f>IF($B125="","",BANG_CHAM_CONG!AP125)</f>
        <v/>
      </c>
      <c r="T125" s="104">
        <f>IF($B125="","",BANG_CHAM_CONG!AQ125)</f>
        <v/>
      </c>
      <c r="U125" s="111">
        <f>IF($B125="","",SUM($I125:$N125))</f>
        <v/>
      </c>
      <c r="V125" s="96">
        <f>IF($B125="","",TRIM(BANG_CHAM_CONG!$AU125&amp;IF($U125&gt;60,"OT vượt 60 giờ/tháng – rà soát giới hạn làm thêm; ","")&amp;IF(AND($E125=0,SUM($O125:$T125)=0),"Chưa có dữ liệu chấm công; ","")&amp;IF($H125&gt;$G125,"Giờ đêm trong ca lớn hơn giờ thường; ","")))</f>
        <v/>
      </c>
    </row>
    <row r="126" ht="15" customHeight="1" s="63">
      <c r="A126" s="85">
        <f>IF($B126="","",ROW()-5)</f>
        <v/>
      </c>
      <c r="B126" s="103">
        <f>IF(BANG_CHAM_CONG!B126="","",BANG_CHAM_CONG!B126)</f>
        <v/>
      </c>
      <c r="C126" s="96">
        <f>IF($B126="","",BANG_CHAM_CONG!C126)</f>
        <v/>
      </c>
      <c r="D126" s="96">
        <f>IF($B126="","",BANG_CHAM_CONG!D126)</f>
        <v/>
      </c>
      <c r="E126" s="95">
        <f>IF($B126="","",BANG_CHAM_CONG!AK126)</f>
        <v/>
      </c>
      <c r="F126" s="109">
        <f>IF($B126="","",IF(DM_NHAN_SU!$H126="",THAM_SO_CC!$B$11,DM_NHAN_SU!$H126))</f>
        <v/>
      </c>
      <c r="G126" s="110">
        <f>IF($B126="","",ROUND($E126*$F126,2))</f>
        <v/>
      </c>
      <c r="H126" s="108">
        <f>IF($B126="","",SUMIFS(CC_OT_GIO!$F$6:$F$2005,CC_OT_GIO!$B$6:$B$2005,$B126,CC_OT_GIO!$D$6:$D$2005,"&gt;="&amp;THAM_SO_CC!$B$8,CC_OT_GIO!$D$6:$D$2005,"&lt;="&amp;THAM_SO_CC!$B$9))</f>
        <v/>
      </c>
      <c r="I126" s="108">
        <f>IF($B126="","",SUMIFS(CC_OT_GIO!$J$6:$J$2005,CC_OT_GIO!$B$6:$B$2005,$B126,CC_OT_GIO!$D$6:$D$2005,"&gt;="&amp;THAM_SO_CC!$B$8,CC_OT_GIO!$D$6:$D$2005,"&lt;="&amp;THAM_SO_CC!$B$9))</f>
        <v/>
      </c>
      <c r="J126" s="108">
        <f>IF($B126="","",SUMIFS(CC_OT_GIO!$K$6:$K$2005,CC_OT_GIO!$B$6:$B$2005,$B126,CC_OT_GIO!$D$6:$D$2005,"&gt;="&amp;THAM_SO_CC!$B$8,CC_OT_GIO!$D$6:$D$2005,"&lt;="&amp;THAM_SO_CC!$B$9))</f>
        <v/>
      </c>
      <c r="K126" s="108">
        <f>IF($B126="","",SUMIFS(CC_OT_GIO!$L$6:$L$2005,CC_OT_GIO!$B$6:$B$2005,$B126,CC_OT_GIO!$D$6:$D$2005,"&gt;="&amp;THAM_SO_CC!$B$8,CC_OT_GIO!$D$6:$D$2005,"&lt;="&amp;THAM_SO_CC!$B$9))</f>
        <v/>
      </c>
      <c r="L126" s="108">
        <f>IF($B126="","",SUMIFS(CC_OT_GIO!$M$6:$M$2005,CC_OT_GIO!$B$6:$B$2005,$B126,CC_OT_GIO!$D$6:$D$2005,"&gt;="&amp;THAM_SO_CC!$B$8,CC_OT_GIO!$D$6:$D$2005,"&lt;="&amp;THAM_SO_CC!$B$9))</f>
        <v/>
      </c>
      <c r="M126" s="108">
        <f>IF($B126="","",SUMIFS(CC_OT_GIO!$N$6:$N$2005,CC_OT_GIO!$B$6:$B$2005,$B126,CC_OT_GIO!$D$6:$D$2005,"&gt;="&amp;THAM_SO_CC!$B$8,CC_OT_GIO!$D$6:$D$2005,"&lt;="&amp;THAM_SO_CC!$B$9))</f>
        <v/>
      </c>
      <c r="N126" s="108">
        <f>IF($B126="","",SUMIFS(CC_OT_GIO!$O$6:$O$2005,CC_OT_GIO!$B$6:$B$2005,$B126,CC_OT_GIO!$D$6:$D$2005,"&gt;="&amp;THAM_SO_CC!$B$8,CC_OT_GIO!$D$6:$D$2005,"&lt;="&amp;THAM_SO_CC!$B$9))</f>
        <v/>
      </c>
      <c r="O126" s="104">
        <f>IF($B126="","",BANG_CHAM_CONG!AL126)</f>
        <v/>
      </c>
      <c r="P126" s="104">
        <f>IF($B126="","",BANG_CHAM_CONG!AM126)</f>
        <v/>
      </c>
      <c r="Q126" s="104">
        <f>IF($B126="","",BANG_CHAM_CONG!AN126)</f>
        <v/>
      </c>
      <c r="R126" s="104">
        <f>IF($B126="","",BANG_CHAM_CONG!AO126)</f>
        <v/>
      </c>
      <c r="S126" s="104">
        <f>IF($B126="","",BANG_CHAM_CONG!AP126)</f>
        <v/>
      </c>
      <c r="T126" s="104">
        <f>IF($B126="","",BANG_CHAM_CONG!AQ126)</f>
        <v/>
      </c>
      <c r="U126" s="111">
        <f>IF($B126="","",SUM($I126:$N126))</f>
        <v/>
      </c>
      <c r="V126" s="96">
        <f>IF($B126="","",TRIM(BANG_CHAM_CONG!$AU126&amp;IF($U126&gt;60,"OT vượt 60 giờ/tháng – rà soát giới hạn làm thêm; ","")&amp;IF(AND($E126=0,SUM($O126:$T126)=0),"Chưa có dữ liệu chấm công; ","")&amp;IF($H126&gt;$G126,"Giờ đêm trong ca lớn hơn giờ thường; ","")))</f>
        <v/>
      </c>
    </row>
    <row r="127" ht="15" customHeight="1" s="63">
      <c r="A127" s="85">
        <f>IF($B127="","",ROW()-5)</f>
        <v/>
      </c>
      <c r="B127" s="103">
        <f>IF(BANG_CHAM_CONG!B127="","",BANG_CHAM_CONG!B127)</f>
        <v/>
      </c>
      <c r="C127" s="96">
        <f>IF($B127="","",BANG_CHAM_CONG!C127)</f>
        <v/>
      </c>
      <c r="D127" s="96">
        <f>IF($B127="","",BANG_CHAM_CONG!D127)</f>
        <v/>
      </c>
      <c r="E127" s="95">
        <f>IF($B127="","",BANG_CHAM_CONG!AK127)</f>
        <v/>
      </c>
      <c r="F127" s="109">
        <f>IF($B127="","",IF(DM_NHAN_SU!$H127="",THAM_SO_CC!$B$11,DM_NHAN_SU!$H127))</f>
        <v/>
      </c>
      <c r="G127" s="110">
        <f>IF($B127="","",ROUND($E127*$F127,2))</f>
        <v/>
      </c>
      <c r="H127" s="108">
        <f>IF($B127="","",SUMIFS(CC_OT_GIO!$F$6:$F$2005,CC_OT_GIO!$B$6:$B$2005,$B127,CC_OT_GIO!$D$6:$D$2005,"&gt;="&amp;THAM_SO_CC!$B$8,CC_OT_GIO!$D$6:$D$2005,"&lt;="&amp;THAM_SO_CC!$B$9))</f>
        <v/>
      </c>
      <c r="I127" s="108">
        <f>IF($B127="","",SUMIFS(CC_OT_GIO!$J$6:$J$2005,CC_OT_GIO!$B$6:$B$2005,$B127,CC_OT_GIO!$D$6:$D$2005,"&gt;="&amp;THAM_SO_CC!$B$8,CC_OT_GIO!$D$6:$D$2005,"&lt;="&amp;THAM_SO_CC!$B$9))</f>
        <v/>
      </c>
      <c r="J127" s="108">
        <f>IF($B127="","",SUMIFS(CC_OT_GIO!$K$6:$K$2005,CC_OT_GIO!$B$6:$B$2005,$B127,CC_OT_GIO!$D$6:$D$2005,"&gt;="&amp;THAM_SO_CC!$B$8,CC_OT_GIO!$D$6:$D$2005,"&lt;="&amp;THAM_SO_CC!$B$9))</f>
        <v/>
      </c>
      <c r="K127" s="108">
        <f>IF($B127="","",SUMIFS(CC_OT_GIO!$L$6:$L$2005,CC_OT_GIO!$B$6:$B$2005,$B127,CC_OT_GIO!$D$6:$D$2005,"&gt;="&amp;THAM_SO_CC!$B$8,CC_OT_GIO!$D$6:$D$2005,"&lt;="&amp;THAM_SO_CC!$B$9))</f>
        <v/>
      </c>
      <c r="L127" s="108">
        <f>IF($B127="","",SUMIFS(CC_OT_GIO!$M$6:$M$2005,CC_OT_GIO!$B$6:$B$2005,$B127,CC_OT_GIO!$D$6:$D$2005,"&gt;="&amp;THAM_SO_CC!$B$8,CC_OT_GIO!$D$6:$D$2005,"&lt;="&amp;THAM_SO_CC!$B$9))</f>
        <v/>
      </c>
      <c r="M127" s="108">
        <f>IF($B127="","",SUMIFS(CC_OT_GIO!$N$6:$N$2005,CC_OT_GIO!$B$6:$B$2005,$B127,CC_OT_GIO!$D$6:$D$2005,"&gt;="&amp;THAM_SO_CC!$B$8,CC_OT_GIO!$D$6:$D$2005,"&lt;="&amp;THAM_SO_CC!$B$9))</f>
        <v/>
      </c>
      <c r="N127" s="108">
        <f>IF($B127="","",SUMIFS(CC_OT_GIO!$O$6:$O$2005,CC_OT_GIO!$B$6:$B$2005,$B127,CC_OT_GIO!$D$6:$D$2005,"&gt;="&amp;THAM_SO_CC!$B$8,CC_OT_GIO!$D$6:$D$2005,"&lt;="&amp;THAM_SO_CC!$B$9))</f>
        <v/>
      </c>
      <c r="O127" s="104">
        <f>IF($B127="","",BANG_CHAM_CONG!AL127)</f>
        <v/>
      </c>
      <c r="P127" s="104">
        <f>IF($B127="","",BANG_CHAM_CONG!AM127)</f>
        <v/>
      </c>
      <c r="Q127" s="104">
        <f>IF($B127="","",BANG_CHAM_CONG!AN127)</f>
        <v/>
      </c>
      <c r="R127" s="104">
        <f>IF($B127="","",BANG_CHAM_CONG!AO127)</f>
        <v/>
      </c>
      <c r="S127" s="104">
        <f>IF($B127="","",BANG_CHAM_CONG!AP127)</f>
        <v/>
      </c>
      <c r="T127" s="104">
        <f>IF($B127="","",BANG_CHAM_CONG!AQ127)</f>
        <v/>
      </c>
      <c r="U127" s="111">
        <f>IF($B127="","",SUM($I127:$N127))</f>
        <v/>
      </c>
      <c r="V127" s="96">
        <f>IF($B127="","",TRIM(BANG_CHAM_CONG!$AU127&amp;IF($U127&gt;60,"OT vượt 60 giờ/tháng – rà soát giới hạn làm thêm; ","")&amp;IF(AND($E127=0,SUM($O127:$T127)=0),"Chưa có dữ liệu chấm công; ","")&amp;IF($H127&gt;$G127,"Giờ đêm trong ca lớn hơn giờ thường; ","")))</f>
        <v/>
      </c>
    </row>
    <row r="128" ht="15" customHeight="1" s="63">
      <c r="A128" s="85">
        <f>IF($B128="","",ROW()-5)</f>
        <v/>
      </c>
      <c r="B128" s="103">
        <f>IF(BANG_CHAM_CONG!B128="","",BANG_CHAM_CONG!B128)</f>
        <v/>
      </c>
      <c r="C128" s="96">
        <f>IF($B128="","",BANG_CHAM_CONG!C128)</f>
        <v/>
      </c>
      <c r="D128" s="96">
        <f>IF($B128="","",BANG_CHAM_CONG!D128)</f>
        <v/>
      </c>
      <c r="E128" s="95">
        <f>IF($B128="","",BANG_CHAM_CONG!AK128)</f>
        <v/>
      </c>
      <c r="F128" s="109">
        <f>IF($B128="","",IF(DM_NHAN_SU!$H128="",THAM_SO_CC!$B$11,DM_NHAN_SU!$H128))</f>
        <v/>
      </c>
      <c r="G128" s="110">
        <f>IF($B128="","",ROUND($E128*$F128,2))</f>
        <v/>
      </c>
      <c r="H128" s="108">
        <f>IF($B128="","",SUMIFS(CC_OT_GIO!$F$6:$F$2005,CC_OT_GIO!$B$6:$B$2005,$B128,CC_OT_GIO!$D$6:$D$2005,"&gt;="&amp;THAM_SO_CC!$B$8,CC_OT_GIO!$D$6:$D$2005,"&lt;="&amp;THAM_SO_CC!$B$9))</f>
        <v/>
      </c>
      <c r="I128" s="108">
        <f>IF($B128="","",SUMIFS(CC_OT_GIO!$J$6:$J$2005,CC_OT_GIO!$B$6:$B$2005,$B128,CC_OT_GIO!$D$6:$D$2005,"&gt;="&amp;THAM_SO_CC!$B$8,CC_OT_GIO!$D$6:$D$2005,"&lt;="&amp;THAM_SO_CC!$B$9))</f>
        <v/>
      </c>
      <c r="J128" s="108">
        <f>IF($B128="","",SUMIFS(CC_OT_GIO!$K$6:$K$2005,CC_OT_GIO!$B$6:$B$2005,$B128,CC_OT_GIO!$D$6:$D$2005,"&gt;="&amp;THAM_SO_CC!$B$8,CC_OT_GIO!$D$6:$D$2005,"&lt;="&amp;THAM_SO_CC!$B$9))</f>
        <v/>
      </c>
      <c r="K128" s="108">
        <f>IF($B128="","",SUMIFS(CC_OT_GIO!$L$6:$L$2005,CC_OT_GIO!$B$6:$B$2005,$B128,CC_OT_GIO!$D$6:$D$2005,"&gt;="&amp;THAM_SO_CC!$B$8,CC_OT_GIO!$D$6:$D$2005,"&lt;="&amp;THAM_SO_CC!$B$9))</f>
        <v/>
      </c>
      <c r="L128" s="108">
        <f>IF($B128="","",SUMIFS(CC_OT_GIO!$M$6:$M$2005,CC_OT_GIO!$B$6:$B$2005,$B128,CC_OT_GIO!$D$6:$D$2005,"&gt;="&amp;THAM_SO_CC!$B$8,CC_OT_GIO!$D$6:$D$2005,"&lt;="&amp;THAM_SO_CC!$B$9))</f>
        <v/>
      </c>
      <c r="M128" s="108">
        <f>IF($B128="","",SUMIFS(CC_OT_GIO!$N$6:$N$2005,CC_OT_GIO!$B$6:$B$2005,$B128,CC_OT_GIO!$D$6:$D$2005,"&gt;="&amp;THAM_SO_CC!$B$8,CC_OT_GIO!$D$6:$D$2005,"&lt;="&amp;THAM_SO_CC!$B$9))</f>
        <v/>
      </c>
      <c r="N128" s="108">
        <f>IF($B128="","",SUMIFS(CC_OT_GIO!$O$6:$O$2005,CC_OT_GIO!$B$6:$B$2005,$B128,CC_OT_GIO!$D$6:$D$2005,"&gt;="&amp;THAM_SO_CC!$B$8,CC_OT_GIO!$D$6:$D$2005,"&lt;="&amp;THAM_SO_CC!$B$9))</f>
        <v/>
      </c>
      <c r="O128" s="104">
        <f>IF($B128="","",BANG_CHAM_CONG!AL128)</f>
        <v/>
      </c>
      <c r="P128" s="104">
        <f>IF($B128="","",BANG_CHAM_CONG!AM128)</f>
        <v/>
      </c>
      <c r="Q128" s="104">
        <f>IF($B128="","",BANG_CHAM_CONG!AN128)</f>
        <v/>
      </c>
      <c r="R128" s="104">
        <f>IF($B128="","",BANG_CHAM_CONG!AO128)</f>
        <v/>
      </c>
      <c r="S128" s="104">
        <f>IF($B128="","",BANG_CHAM_CONG!AP128)</f>
        <v/>
      </c>
      <c r="T128" s="104">
        <f>IF($B128="","",BANG_CHAM_CONG!AQ128)</f>
        <v/>
      </c>
      <c r="U128" s="111">
        <f>IF($B128="","",SUM($I128:$N128))</f>
        <v/>
      </c>
      <c r="V128" s="96">
        <f>IF($B128="","",TRIM(BANG_CHAM_CONG!$AU128&amp;IF($U128&gt;60,"OT vượt 60 giờ/tháng – rà soát giới hạn làm thêm; ","")&amp;IF(AND($E128=0,SUM($O128:$T128)=0),"Chưa có dữ liệu chấm công; ","")&amp;IF($H128&gt;$G128,"Giờ đêm trong ca lớn hơn giờ thường; ","")))</f>
        <v/>
      </c>
    </row>
    <row r="129" ht="15" customHeight="1" s="63">
      <c r="A129" s="85">
        <f>IF($B129="","",ROW()-5)</f>
        <v/>
      </c>
      <c r="B129" s="103">
        <f>IF(BANG_CHAM_CONG!B129="","",BANG_CHAM_CONG!B129)</f>
        <v/>
      </c>
      <c r="C129" s="96">
        <f>IF($B129="","",BANG_CHAM_CONG!C129)</f>
        <v/>
      </c>
      <c r="D129" s="96">
        <f>IF($B129="","",BANG_CHAM_CONG!D129)</f>
        <v/>
      </c>
      <c r="E129" s="95">
        <f>IF($B129="","",BANG_CHAM_CONG!AK129)</f>
        <v/>
      </c>
      <c r="F129" s="109">
        <f>IF($B129="","",IF(DM_NHAN_SU!$H129="",THAM_SO_CC!$B$11,DM_NHAN_SU!$H129))</f>
        <v/>
      </c>
      <c r="G129" s="110">
        <f>IF($B129="","",ROUND($E129*$F129,2))</f>
        <v/>
      </c>
      <c r="H129" s="108">
        <f>IF($B129="","",SUMIFS(CC_OT_GIO!$F$6:$F$2005,CC_OT_GIO!$B$6:$B$2005,$B129,CC_OT_GIO!$D$6:$D$2005,"&gt;="&amp;THAM_SO_CC!$B$8,CC_OT_GIO!$D$6:$D$2005,"&lt;="&amp;THAM_SO_CC!$B$9))</f>
        <v/>
      </c>
      <c r="I129" s="108">
        <f>IF($B129="","",SUMIFS(CC_OT_GIO!$J$6:$J$2005,CC_OT_GIO!$B$6:$B$2005,$B129,CC_OT_GIO!$D$6:$D$2005,"&gt;="&amp;THAM_SO_CC!$B$8,CC_OT_GIO!$D$6:$D$2005,"&lt;="&amp;THAM_SO_CC!$B$9))</f>
        <v/>
      </c>
      <c r="J129" s="108">
        <f>IF($B129="","",SUMIFS(CC_OT_GIO!$K$6:$K$2005,CC_OT_GIO!$B$6:$B$2005,$B129,CC_OT_GIO!$D$6:$D$2005,"&gt;="&amp;THAM_SO_CC!$B$8,CC_OT_GIO!$D$6:$D$2005,"&lt;="&amp;THAM_SO_CC!$B$9))</f>
        <v/>
      </c>
      <c r="K129" s="108">
        <f>IF($B129="","",SUMIFS(CC_OT_GIO!$L$6:$L$2005,CC_OT_GIO!$B$6:$B$2005,$B129,CC_OT_GIO!$D$6:$D$2005,"&gt;="&amp;THAM_SO_CC!$B$8,CC_OT_GIO!$D$6:$D$2005,"&lt;="&amp;THAM_SO_CC!$B$9))</f>
        <v/>
      </c>
      <c r="L129" s="108">
        <f>IF($B129="","",SUMIFS(CC_OT_GIO!$M$6:$M$2005,CC_OT_GIO!$B$6:$B$2005,$B129,CC_OT_GIO!$D$6:$D$2005,"&gt;="&amp;THAM_SO_CC!$B$8,CC_OT_GIO!$D$6:$D$2005,"&lt;="&amp;THAM_SO_CC!$B$9))</f>
        <v/>
      </c>
      <c r="M129" s="108">
        <f>IF($B129="","",SUMIFS(CC_OT_GIO!$N$6:$N$2005,CC_OT_GIO!$B$6:$B$2005,$B129,CC_OT_GIO!$D$6:$D$2005,"&gt;="&amp;THAM_SO_CC!$B$8,CC_OT_GIO!$D$6:$D$2005,"&lt;="&amp;THAM_SO_CC!$B$9))</f>
        <v/>
      </c>
      <c r="N129" s="108">
        <f>IF($B129="","",SUMIFS(CC_OT_GIO!$O$6:$O$2005,CC_OT_GIO!$B$6:$B$2005,$B129,CC_OT_GIO!$D$6:$D$2005,"&gt;="&amp;THAM_SO_CC!$B$8,CC_OT_GIO!$D$6:$D$2005,"&lt;="&amp;THAM_SO_CC!$B$9))</f>
        <v/>
      </c>
      <c r="O129" s="104">
        <f>IF($B129="","",BANG_CHAM_CONG!AL129)</f>
        <v/>
      </c>
      <c r="P129" s="104">
        <f>IF($B129="","",BANG_CHAM_CONG!AM129)</f>
        <v/>
      </c>
      <c r="Q129" s="104">
        <f>IF($B129="","",BANG_CHAM_CONG!AN129)</f>
        <v/>
      </c>
      <c r="R129" s="104">
        <f>IF($B129="","",BANG_CHAM_CONG!AO129)</f>
        <v/>
      </c>
      <c r="S129" s="104">
        <f>IF($B129="","",BANG_CHAM_CONG!AP129)</f>
        <v/>
      </c>
      <c r="T129" s="104">
        <f>IF($B129="","",BANG_CHAM_CONG!AQ129)</f>
        <v/>
      </c>
      <c r="U129" s="111">
        <f>IF($B129="","",SUM($I129:$N129))</f>
        <v/>
      </c>
      <c r="V129" s="96">
        <f>IF($B129="","",TRIM(BANG_CHAM_CONG!$AU129&amp;IF($U129&gt;60,"OT vượt 60 giờ/tháng – rà soát giới hạn làm thêm; ","")&amp;IF(AND($E129=0,SUM($O129:$T129)=0),"Chưa có dữ liệu chấm công; ","")&amp;IF($H129&gt;$G129,"Giờ đêm trong ca lớn hơn giờ thường; ","")))</f>
        <v/>
      </c>
    </row>
    <row r="130" ht="15" customHeight="1" s="63">
      <c r="A130" s="85">
        <f>IF($B130="","",ROW()-5)</f>
        <v/>
      </c>
      <c r="B130" s="103">
        <f>IF(BANG_CHAM_CONG!B130="","",BANG_CHAM_CONG!B130)</f>
        <v/>
      </c>
      <c r="C130" s="96">
        <f>IF($B130="","",BANG_CHAM_CONG!C130)</f>
        <v/>
      </c>
      <c r="D130" s="96">
        <f>IF($B130="","",BANG_CHAM_CONG!D130)</f>
        <v/>
      </c>
      <c r="E130" s="95">
        <f>IF($B130="","",BANG_CHAM_CONG!AK130)</f>
        <v/>
      </c>
      <c r="F130" s="109">
        <f>IF($B130="","",IF(DM_NHAN_SU!$H130="",THAM_SO_CC!$B$11,DM_NHAN_SU!$H130))</f>
        <v/>
      </c>
      <c r="G130" s="110">
        <f>IF($B130="","",ROUND($E130*$F130,2))</f>
        <v/>
      </c>
      <c r="H130" s="108">
        <f>IF($B130="","",SUMIFS(CC_OT_GIO!$F$6:$F$2005,CC_OT_GIO!$B$6:$B$2005,$B130,CC_OT_GIO!$D$6:$D$2005,"&gt;="&amp;THAM_SO_CC!$B$8,CC_OT_GIO!$D$6:$D$2005,"&lt;="&amp;THAM_SO_CC!$B$9))</f>
        <v/>
      </c>
      <c r="I130" s="108">
        <f>IF($B130="","",SUMIFS(CC_OT_GIO!$J$6:$J$2005,CC_OT_GIO!$B$6:$B$2005,$B130,CC_OT_GIO!$D$6:$D$2005,"&gt;="&amp;THAM_SO_CC!$B$8,CC_OT_GIO!$D$6:$D$2005,"&lt;="&amp;THAM_SO_CC!$B$9))</f>
        <v/>
      </c>
      <c r="J130" s="108">
        <f>IF($B130="","",SUMIFS(CC_OT_GIO!$K$6:$K$2005,CC_OT_GIO!$B$6:$B$2005,$B130,CC_OT_GIO!$D$6:$D$2005,"&gt;="&amp;THAM_SO_CC!$B$8,CC_OT_GIO!$D$6:$D$2005,"&lt;="&amp;THAM_SO_CC!$B$9))</f>
        <v/>
      </c>
      <c r="K130" s="108">
        <f>IF($B130="","",SUMIFS(CC_OT_GIO!$L$6:$L$2005,CC_OT_GIO!$B$6:$B$2005,$B130,CC_OT_GIO!$D$6:$D$2005,"&gt;="&amp;THAM_SO_CC!$B$8,CC_OT_GIO!$D$6:$D$2005,"&lt;="&amp;THAM_SO_CC!$B$9))</f>
        <v/>
      </c>
      <c r="L130" s="108">
        <f>IF($B130="","",SUMIFS(CC_OT_GIO!$M$6:$M$2005,CC_OT_GIO!$B$6:$B$2005,$B130,CC_OT_GIO!$D$6:$D$2005,"&gt;="&amp;THAM_SO_CC!$B$8,CC_OT_GIO!$D$6:$D$2005,"&lt;="&amp;THAM_SO_CC!$B$9))</f>
        <v/>
      </c>
      <c r="M130" s="108">
        <f>IF($B130="","",SUMIFS(CC_OT_GIO!$N$6:$N$2005,CC_OT_GIO!$B$6:$B$2005,$B130,CC_OT_GIO!$D$6:$D$2005,"&gt;="&amp;THAM_SO_CC!$B$8,CC_OT_GIO!$D$6:$D$2005,"&lt;="&amp;THAM_SO_CC!$B$9))</f>
        <v/>
      </c>
      <c r="N130" s="108">
        <f>IF($B130="","",SUMIFS(CC_OT_GIO!$O$6:$O$2005,CC_OT_GIO!$B$6:$B$2005,$B130,CC_OT_GIO!$D$6:$D$2005,"&gt;="&amp;THAM_SO_CC!$B$8,CC_OT_GIO!$D$6:$D$2005,"&lt;="&amp;THAM_SO_CC!$B$9))</f>
        <v/>
      </c>
      <c r="O130" s="104">
        <f>IF($B130="","",BANG_CHAM_CONG!AL130)</f>
        <v/>
      </c>
      <c r="P130" s="104">
        <f>IF($B130="","",BANG_CHAM_CONG!AM130)</f>
        <v/>
      </c>
      <c r="Q130" s="104">
        <f>IF($B130="","",BANG_CHAM_CONG!AN130)</f>
        <v/>
      </c>
      <c r="R130" s="104">
        <f>IF($B130="","",BANG_CHAM_CONG!AO130)</f>
        <v/>
      </c>
      <c r="S130" s="104">
        <f>IF($B130="","",BANG_CHAM_CONG!AP130)</f>
        <v/>
      </c>
      <c r="T130" s="104">
        <f>IF($B130="","",BANG_CHAM_CONG!AQ130)</f>
        <v/>
      </c>
      <c r="U130" s="111">
        <f>IF($B130="","",SUM($I130:$N130))</f>
        <v/>
      </c>
      <c r="V130" s="96">
        <f>IF($B130="","",TRIM(BANG_CHAM_CONG!$AU130&amp;IF($U130&gt;60,"OT vượt 60 giờ/tháng – rà soát giới hạn làm thêm; ","")&amp;IF(AND($E130=0,SUM($O130:$T130)=0),"Chưa có dữ liệu chấm công; ","")&amp;IF($H130&gt;$G130,"Giờ đêm trong ca lớn hơn giờ thường; ","")))</f>
        <v/>
      </c>
    </row>
    <row r="131" ht="15" customHeight="1" s="63">
      <c r="A131" s="85">
        <f>IF($B131="","",ROW()-5)</f>
        <v/>
      </c>
      <c r="B131" s="103">
        <f>IF(BANG_CHAM_CONG!B131="","",BANG_CHAM_CONG!B131)</f>
        <v/>
      </c>
      <c r="C131" s="96">
        <f>IF($B131="","",BANG_CHAM_CONG!C131)</f>
        <v/>
      </c>
      <c r="D131" s="96">
        <f>IF($B131="","",BANG_CHAM_CONG!D131)</f>
        <v/>
      </c>
      <c r="E131" s="95">
        <f>IF($B131="","",BANG_CHAM_CONG!AK131)</f>
        <v/>
      </c>
      <c r="F131" s="109">
        <f>IF($B131="","",IF(DM_NHAN_SU!$H131="",THAM_SO_CC!$B$11,DM_NHAN_SU!$H131))</f>
        <v/>
      </c>
      <c r="G131" s="110">
        <f>IF($B131="","",ROUND($E131*$F131,2))</f>
        <v/>
      </c>
      <c r="H131" s="108">
        <f>IF($B131="","",SUMIFS(CC_OT_GIO!$F$6:$F$2005,CC_OT_GIO!$B$6:$B$2005,$B131,CC_OT_GIO!$D$6:$D$2005,"&gt;="&amp;THAM_SO_CC!$B$8,CC_OT_GIO!$D$6:$D$2005,"&lt;="&amp;THAM_SO_CC!$B$9))</f>
        <v/>
      </c>
      <c r="I131" s="108">
        <f>IF($B131="","",SUMIFS(CC_OT_GIO!$J$6:$J$2005,CC_OT_GIO!$B$6:$B$2005,$B131,CC_OT_GIO!$D$6:$D$2005,"&gt;="&amp;THAM_SO_CC!$B$8,CC_OT_GIO!$D$6:$D$2005,"&lt;="&amp;THAM_SO_CC!$B$9))</f>
        <v/>
      </c>
      <c r="J131" s="108">
        <f>IF($B131="","",SUMIFS(CC_OT_GIO!$K$6:$K$2005,CC_OT_GIO!$B$6:$B$2005,$B131,CC_OT_GIO!$D$6:$D$2005,"&gt;="&amp;THAM_SO_CC!$B$8,CC_OT_GIO!$D$6:$D$2005,"&lt;="&amp;THAM_SO_CC!$B$9))</f>
        <v/>
      </c>
      <c r="K131" s="108">
        <f>IF($B131="","",SUMIFS(CC_OT_GIO!$L$6:$L$2005,CC_OT_GIO!$B$6:$B$2005,$B131,CC_OT_GIO!$D$6:$D$2005,"&gt;="&amp;THAM_SO_CC!$B$8,CC_OT_GIO!$D$6:$D$2005,"&lt;="&amp;THAM_SO_CC!$B$9))</f>
        <v/>
      </c>
      <c r="L131" s="108">
        <f>IF($B131="","",SUMIFS(CC_OT_GIO!$M$6:$M$2005,CC_OT_GIO!$B$6:$B$2005,$B131,CC_OT_GIO!$D$6:$D$2005,"&gt;="&amp;THAM_SO_CC!$B$8,CC_OT_GIO!$D$6:$D$2005,"&lt;="&amp;THAM_SO_CC!$B$9))</f>
        <v/>
      </c>
      <c r="M131" s="108">
        <f>IF($B131="","",SUMIFS(CC_OT_GIO!$N$6:$N$2005,CC_OT_GIO!$B$6:$B$2005,$B131,CC_OT_GIO!$D$6:$D$2005,"&gt;="&amp;THAM_SO_CC!$B$8,CC_OT_GIO!$D$6:$D$2005,"&lt;="&amp;THAM_SO_CC!$B$9))</f>
        <v/>
      </c>
      <c r="N131" s="108">
        <f>IF($B131="","",SUMIFS(CC_OT_GIO!$O$6:$O$2005,CC_OT_GIO!$B$6:$B$2005,$B131,CC_OT_GIO!$D$6:$D$2005,"&gt;="&amp;THAM_SO_CC!$B$8,CC_OT_GIO!$D$6:$D$2005,"&lt;="&amp;THAM_SO_CC!$B$9))</f>
        <v/>
      </c>
      <c r="O131" s="104">
        <f>IF($B131="","",BANG_CHAM_CONG!AL131)</f>
        <v/>
      </c>
      <c r="P131" s="104">
        <f>IF($B131="","",BANG_CHAM_CONG!AM131)</f>
        <v/>
      </c>
      <c r="Q131" s="104">
        <f>IF($B131="","",BANG_CHAM_CONG!AN131)</f>
        <v/>
      </c>
      <c r="R131" s="104">
        <f>IF($B131="","",BANG_CHAM_CONG!AO131)</f>
        <v/>
      </c>
      <c r="S131" s="104">
        <f>IF($B131="","",BANG_CHAM_CONG!AP131)</f>
        <v/>
      </c>
      <c r="T131" s="104">
        <f>IF($B131="","",BANG_CHAM_CONG!AQ131)</f>
        <v/>
      </c>
      <c r="U131" s="111">
        <f>IF($B131="","",SUM($I131:$N131))</f>
        <v/>
      </c>
      <c r="V131" s="96">
        <f>IF($B131="","",TRIM(BANG_CHAM_CONG!$AU131&amp;IF($U131&gt;60,"OT vượt 60 giờ/tháng – rà soát giới hạn làm thêm; ","")&amp;IF(AND($E131=0,SUM($O131:$T131)=0),"Chưa có dữ liệu chấm công; ","")&amp;IF($H131&gt;$G131,"Giờ đêm trong ca lớn hơn giờ thường; ","")))</f>
        <v/>
      </c>
    </row>
    <row r="132" ht="15" customHeight="1" s="63">
      <c r="A132" s="85">
        <f>IF($B132="","",ROW()-5)</f>
        <v/>
      </c>
      <c r="B132" s="103">
        <f>IF(BANG_CHAM_CONG!B132="","",BANG_CHAM_CONG!B132)</f>
        <v/>
      </c>
      <c r="C132" s="96">
        <f>IF($B132="","",BANG_CHAM_CONG!C132)</f>
        <v/>
      </c>
      <c r="D132" s="96">
        <f>IF($B132="","",BANG_CHAM_CONG!D132)</f>
        <v/>
      </c>
      <c r="E132" s="95">
        <f>IF($B132="","",BANG_CHAM_CONG!AK132)</f>
        <v/>
      </c>
      <c r="F132" s="109">
        <f>IF($B132="","",IF(DM_NHAN_SU!$H132="",THAM_SO_CC!$B$11,DM_NHAN_SU!$H132))</f>
        <v/>
      </c>
      <c r="G132" s="110">
        <f>IF($B132="","",ROUND($E132*$F132,2))</f>
        <v/>
      </c>
      <c r="H132" s="108">
        <f>IF($B132="","",SUMIFS(CC_OT_GIO!$F$6:$F$2005,CC_OT_GIO!$B$6:$B$2005,$B132,CC_OT_GIO!$D$6:$D$2005,"&gt;="&amp;THAM_SO_CC!$B$8,CC_OT_GIO!$D$6:$D$2005,"&lt;="&amp;THAM_SO_CC!$B$9))</f>
        <v/>
      </c>
      <c r="I132" s="108">
        <f>IF($B132="","",SUMIFS(CC_OT_GIO!$J$6:$J$2005,CC_OT_GIO!$B$6:$B$2005,$B132,CC_OT_GIO!$D$6:$D$2005,"&gt;="&amp;THAM_SO_CC!$B$8,CC_OT_GIO!$D$6:$D$2005,"&lt;="&amp;THAM_SO_CC!$B$9))</f>
        <v/>
      </c>
      <c r="J132" s="108">
        <f>IF($B132="","",SUMIFS(CC_OT_GIO!$K$6:$K$2005,CC_OT_GIO!$B$6:$B$2005,$B132,CC_OT_GIO!$D$6:$D$2005,"&gt;="&amp;THAM_SO_CC!$B$8,CC_OT_GIO!$D$6:$D$2005,"&lt;="&amp;THAM_SO_CC!$B$9))</f>
        <v/>
      </c>
      <c r="K132" s="108">
        <f>IF($B132="","",SUMIFS(CC_OT_GIO!$L$6:$L$2005,CC_OT_GIO!$B$6:$B$2005,$B132,CC_OT_GIO!$D$6:$D$2005,"&gt;="&amp;THAM_SO_CC!$B$8,CC_OT_GIO!$D$6:$D$2005,"&lt;="&amp;THAM_SO_CC!$B$9))</f>
        <v/>
      </c>
      <c r="L132" s="108">
        <f>IF($B132="","",SUMIFS(CC_OT_GIO!$M$6:$M$2005,CC_OT_GIO!$B$6:$B$2005,$B132,CC_OT_GIO!$D$6:$D$2005,"&gt;="&amp;THAM_SO_CC!$B$8,CC_OT_GIO!$D$6:$D$2005,"&lt;="&amp;THAM_SO_CC!$B$9))</f>
        <v/>
      </c>
      <c r="M132" s="108">
        <f>IF($B132="","",SUMIFS(CC_OT_GIO!$N$6:$N$2005,CC_OT_GIO!$B$6:$B$2005,$B132,CC_OT_GIO!$D$6:$D$2005,"&gt;="&amp;THAM_SO_CC!$B$8,CC_OT_GIO!$D$6:$D$2005,"&lt;="&amp;THAM_SO_CC!$B$9))</f>
        <v/>
      </c>
      <c r="N132" s="108">
        <f>IF($B132="","",SUMIFS(CC_OT_GIO!$O$6:$O$2005,CC_OT_GIO!$B$6:$B$2005,$B132,CC_OT_GIO!$D$6:$D$2005,"&gt;="&amp;THAM_SO_CC!$B$8,CC_OT_GIO!$D$6:$D$2005,"&lt;="&amp;THAM_SO_CC!$B$9))</f>
        <v/>
      </c>
      <c r="O132" s="104">
        <f>IF($B132="","",BANG_CHAM_CONG!AL132)</f>
        <v/>
      </c>
      <c r="P132" s="104">
        <f>IF($B132="","",BANG_CHAM_CONG!AM132)</f>
        <v/>
      </c>
      <c r="Q132" s="104">
        <f>IF($B132="","",BANG_CHAM_CONG!AN132)</f>
        <v/>
      </c>
      <c r="R132" s="104">
        <f>IF($B132="","",BANG_CHAM_CONG!AO132)</f>
        <v/>
      </c>
      <c r="S132" s="104">
        <f>IF($B132="","",BANG_CHAM_CONG!AP132)</f>
        <v/>
      </c>
      <c r="T132" s="104">
        <f>IF($B132="","",BANG_CHAM_CONG!AQ132)</f>
        <v/>
      </c>
      <c r="U132" s="111">
        <f>IF($B132="","",SUM($I132:$N132))</f>
        <v/>
      </c>
      <c r="V132" s="96">
        <f>IF($B132="","",TRIM(BANG_CHAM_CONG!$AU132&amp;IF($U132&gt;60,"OT vượt 60 giờ/tháng – rà soát giới hạn làm thêm; ","")&amp;IF(AND($E132=0,SUM($O132:$T132)=0),"Chưa có dữ liệu chấm công; ","")&amp;IF($H132&gt;$G132,"Giờ đêm trong ca lớn hơn giờ thường; ","")))</f>
        <v/>
      </c>
    </row>
    <row r="133" ht="15" customHeight="1" s="63">
      <c r="A133" s="85">
        <f>IF($B133="","",ROW()-5)</f>
        <v/>
      </c>
      <c r="B133" s="103">
        <f>IF(BANG_CHAM_CONG!B133="","",BANG_CHAM_CONG!B133)</f>
        <v/>
      </c>
      <c r="C133" s="96">
        <f>IF($B133="","",BANG_CHAM_CONG!C133)</f>
        <v/>
      </c>
      <c r="D133" s="96">
        <f>IF($B133="","",BANG_CHAM_CONG!D133)</f>
        <v/>
      </c>
      <c r="E133" s="95">
        <f>IF($B133="","",BANG_CHAM_CONG!AK133)</f>
        <v/>
      </c>
      <c r="F133" s="109">
        <f>IF($B133="","",IF(DM_NHAN_SU!$H133="",THAM_SO_CC!$B$11,DM_NHAN_SU!$H133))</f>
        <v/>
      </c>
      <c r="G133" s="110">
        <f>IF($B133="","",ROUND($E133*$F133,2))</f>
        <v/>
      </c>
      <c r="H133" s="108">
        <f>IF($B133="","",SUMIFS(CC_OT_GIO!$F$6:$F$2005,CC_OT_GIO!$B$6:$B$2005,$B133,CC_OT_GIO!$D$6:$D$2005,"&gt;="&amp;THAM_SO_CC!$B$8,CC_OT_GIO!$D$6:$D$2005,"&lt;="&amp;THAM_SO_CC!$B$9))</f>
        <v/>
      </c>
      <c r="I133" s="108">
        <f>IF($B133="","",SUMIFS(CC_OT_GIO!$J$6:$J$2005,CC_OT_GIO!$B$6:$B$2005,$B133,CC_OT_GIO!$D$6:$D$2005,"&gt;="&amp;THAM_SO_CC!$B$8,CC_OT_GIO!$D$6:$D$2005,"&lt;="&amp;THAM_SO_CC!$B$9))</f>
        <v/>
      </c>
      <c r="J133" s="108">
        <f>IF($B133="","",SUMIFS(CC_OT_GIO!$K$6:$K$2005,CC_OT_GIO!$B$6:$B$2005,$B133,CC_OT_GIO!$D$6:$D$2005,"&gt;="&amp;THAM_SO_CC!$B$8,CC_OT_GIO!$D$6:$D$2005,"&lt;="&amp;THAM_SO_CC!$B$9))</f>
        <v/>
      </c>
      <c r="K133" s="108">
        <f>IF($B133="","",SUMIFS(CC_OT_GIO!$L$6:$L$2005,CC_OT_GIO!$B$6:$B$2005,$B133,CC_OT_GIO!$D$6:$D$2005,"&gt;="&amp;THAM_SO_CC!$B$8,CC_OT_GIO!$D$6:$D$2005,"&lt;="&amp;THAM_SO_CC!$B$9))</f>
        <v/>
      </c>
      <c r="L133" s="108">
        <f>IF($B133="","",SUMIFS(CC_OT_GIO!$M$6:$M$2005,CC_OT_GIO!$B$6:$B$2005,$B133,CC_OT_GIO!$D$6:$D$2005,"&gt;="&amp;THAM_SO_CC!$B$8,CC_OT_GIO!$D$6:$D$2005,"&lt;="&amp;THAM_SO_CC!$B$9))</f>
        <v/>
      </c>
      <c r="M133" s="108">
        <f>IF($B133="","",SUMIFS(CC_OT_GIO!$N$6:$N$2005,CC_OT_GIO!$B$6:$B$2005,$B133,CC_OT_GIO!$D$6:$D$2005,"&gt;="&amp;THAM_SO_CC!$B$8,CC_OT_GIO!$D$6:$D$2005,"&lt;="&amp;THAM_SO_CC!$B$9))</f>
        <v/>
      </c>
      <c r="N133" s="108">
        <f>IF($B133="","",SUMIFS(CC_OT_GIO!$O$6:$O$2005,CC_OT_GIO!$B$6:$B$2005,$B133,CC_OT_GIO!$D$6:$D$2005,"&gt;="&amp;THAM_SO_CC!$B$8,CC_OT_GIO!$D$6:$D$2005,"&lt;="&amp;THAM_SO_CC!$B$9))</f>
        <v/>
      </c>
      <c r="O133" s="104">
        <f>IF($B133="","",BANG_CHAM_CONG!AL133)</f>
        <v/>
      </c>
      <c r="P133" s="104">
        <f>IF($B133="","",BANG_CHAM_CONG!AM133)</f>
        <v/>
      </c>
      <c r="Q133" s="104">
        <f>IF($B133="","",BANG_CHAM_CONG!AN133)</f>
        <v/>
      </c>
      <c r="R133" s="104">
        <f>IF($B133="","",BANG_CHAM_CONG!AO133)</f>
        <v/>
      </c>
      <c r="S133" s="104">
        <f>IF($B133="","",BANG_CHAM_CONG!AP133)</f>
        <v/>
      </c>
      <c r="T133" s="104">
        <f>IF($B133="","",BANG_CHAM_CONG!AQ133)</f>
        <v/>
      </c>
      <c r="U133" s="111">
        <f>IF($B133="","",SUM($I133:$N133))</f>
        <v/>
      </c>
      <c r="V133" s="96">
        <f>IF($B133="","",TRIM(BANG_CHAM_CONG!$AU133&amp;IF($U133&gt;60,"OT vượt 60 giờ/tháng – rà soát giới hạn làm thêm; ","")&amp;IF(AND($E133=0,SUM($O133:$T133)=0),"Chưa có dữ liệu chấm công; ","")&amp;IF($H133&gt;$G133,"Giờ đêm trong ca lớn hơn giờ thường; ","")))</f>
        <v/>
      </c>
    </row>
    <row r="134" ht="15" customHeight="1" s="63">
      <c r="A134" s="85">
        <f>IF($B134="","",ROW()-5)</f>
        <v/>
      </c>
      <c r="B134" s="103">
        <f>IF(BANG_CHAM_CONG!B134="","",BANG_CHAM_CONG!B134)</f>
        <v/>
      </c>
      <c r="C134" s="96">
        <f>IF($B134="","",BANG_CHAM_CONG!C134)</f>
        <v/>
      </c>
      <c r="D134" s="96">
        <f>IF($B134="","",BANG_CHAM_CONG!D134)</f>
        <v/>
      </c>
      <c r="E134" s="95">
        <f>IF($B134="","",BANG_CHAM_CONG!AK134)</f>
        <v/>
      </c>
      <c r="F134" s="109">
        <f>IF($B134="","",IF(DM_NHAN_SU!$H134="",THAM_SO_CC!$B$11,DM_NHAN_SU!$H134))</f>
        <v/>
      </c>
      <c r="G134" s="110">
        <f>IF($B134="","",ROUND($E134*$F134,2))</f>
        <v/>
      </c>
      <c r="H134" s="108">
        <f>IF($B134="","",SUMIFS(CC_OT_GIO!$F$6:$F$2005,CC_OT_GIO!$B$6:$B$2005,$B134,CC_OT_GIO!$D$6:$D$2005,"&gt;="&amp;THAM_SO_CC!$B$8,CC_OT_GIO!$D$6:$D$2005,"&lt;="&amp;THAM_SO_CC!$B$9))</f>
        <v/>
      </c>
      <c r="I134" s="108">
        <f>IF($B134="","",SUMIFS(CC_OT_GIO!$J$6:$J$2005,CC_OT_GIO!$B$6:$B$2005,$B134,CC_OT_GIO!$D$6:$D$2005,"&gt;="&amp;THAM_SO_CC!$B$8,CC_OT_GIO!$D$6:$D$2005,"&lt;="&amp;THAM_SO_CC!$B$9))</f>
        <v/>
      </c>
      <c r="J134" s="108">
        <f>IF($B134="","",SUMIFS(CC_OT_GIO!$K$6:$K$2005,CC_OT_GIO!$B$6:$B$2005,$B134,CC_OT_GIO!$D$6:$D$2005,"&gt;="&amp;THAM_SO_CC!$B$8,CC_OT_GIO!$D$6:$D$2005,"&lt;="&amp;THAM_SO_CC!$B$9))</f>
        <v/>
      </c>
      <c r="K134" s="108">
        <f>IF($B134="","",SUMIFS(CC_OT_GIO!$L$6:$L$2005,CC_OT_GIO!$B$6:$B$2005,$B134,CC_OT_GIO!$D$6:$D$2005,"&gt;="&amp;THAM_SO_CC!$B$8,CC_OT_GIO!$D$6:$D$2005,"&lt;="&amp;THAM_SO_CC!$B$9))</f>
        <v/>
      </c>
      <c r="L134" s="108">
        <f>IF($B134="","",SUMIFS(CC_OT_GIO!$M$6:$M$2005,CC_OT_GIO!$B$6:$B$2005,$B134,CC_OT_GIO!$D$6:$D$2005,"&gt;="&amp;THAM_SO_CC!$B$8,CC_OT_GIO!$D$6:$D$2005,"&lt;="&amp;THAM_SO_CC!$B$9))</f>
        <v/>
      </c>
      <c r="M134" s="108">
        <f>IF($B134="","",SUMIFS(CC_OT_GIO!$N$6:$N$2005,CC_OT_GIO!$B$6:$B$2005,$B134,CC_OT_GIO!$D$6:$D$2005,"&gt;="&amp;THAM_SO_CC!$B$8,CC_OT_GIO!$D$6:$D$2005,"&lt;="&amp;THAM_SO_CC!$B$9))</f>
        <v/>
      </c>
      <c r="N134" s="108">
        <f>IF($B134="","",SUMIFS(CC_OT_GIO!$O$6:$O$2005,CC_OT_GIO!$B$6:$B$2005,$B134,CC_OT_GIO!$D$6:$D$2005,"&gt;="&amp;THAM_SO_CC!$B$8,CC_OT_GIO!$D$6:$D$2005,"&lt;="&amp;THAM_SO_CC!$B$9))</f>
        <v/>
      </c>
      <c r="O134" s="104">
        <f>IF($B134="","",BANG_CHAM_CONG!AL134)</f>
        <v/>
      </c>
      <c r="P134" s="104">
        <f>IF($B134="","",BANG_CHAM_CONG!AM134)</f>
        <v/>
      </c>
      <c r="Q134" s="104">
        <f>IF($B134="","",BANG_CHAM_CONG!AN134)</f>
        <v/>
      </c>
      <c r="R134" s="104">
        <f>IF($B134="","",BANG_CHAM_CONG!AO134)</f>
        <v/>
      </c>
      <c r="S134" s="104">
        <f>IF($B134="","",BANG_CHAM_CONG!AP134)</f>
        <v/>
      </c>
      <c r="T134" s="104">
        <f>IF($B134="","",BANG_CHAM_CONG!AQ134)</f>
        <v/>
      </c>
      <c r="U134" s="111">
        <f>IF($B134="","",SUM($I134:$N134))</f>
        <v/>
      </c>
      <c r="V134" s="96">
        <f>IF($B134="","",TRIM(BANG_CHAM_CONG!$AU134&amp;IF($U134&gt;60,"OT vượt 60 giờ/tháng – rà soát giới hạn làm thêm; ","")&amp;IF(AND($E134=0,SUM($O134:$T134)=0),"Chưa có dữ liệu chấm công; ","")&amp;IF($H134&gt;$G134,"Giờ đêm trong ca lớn hơn giờ thường; ","")))</f>
        <v/>
      </c>
    </row>
    <row r="135" ht="15" customHeight="1" s="63">
      <c r="A135" s="85">
        <f>IF($B135="","",ROW()-5)</f>
        <v/>
      </c>
      <c r="B135" s="103">
        <f>IF(BANG_CHAM_CONG!B135="","",BANG_CHAM_CONG!B135)</f>
        <v/>
      </c>
      <c r="C135" s="96">
        <f>IF($B135="","",BANG_CHAM_CONG!C135)</f>
        <v/>
      </c>
      <c r="D135" s="96">
        <f>IF($B135="","",BANG_CHAM_CONG!D135)</f>
        <v/>
      </c>
      <c r="E135" s="95">
        <f>IF($B135="","",BANG_CHAM_CONG!AK135)</f>
        <v/>
      </c>
      <c r="F135" s="109">
        <f>IF($B135="","",IF(DM_NHAN_SU!$H135="",THAM_SO_CC!$B$11,DM_NHAN_SU!$H135))</f>
        <v/>
      </c>
      <c r="G135" s="110">
        <f>IF($B135="","",ROUND($E135*$F135,2))</f>
        <v/>
      </c>
      <c r="H135" s="108">
        <f>IF($B135="","",SUMIFS(CC_OT_GIO!$F$6:$F$2005,CC_OT_GIO!$B$6:$B$2005,$B135,CC_OT_GIO!$D$6:$D$2005,"&gt;="&amp;THAM_SO_CC!$B$8,CC_OT_GIO!$D$6:$D$2005,"&lt;="&amp;THAM_SO_CC!$B$9))</f>
        <v/>
      </c>
      <c r="I135" s="108">
        <f>IF($B135="","",SUMIFS(CC_OT_GIO!$J$6:$J$2005,CC_OT_GIO!$B$6:$B$2005,$B135,CC_OT_GIO!$D$6:$D$2005,"&gt;="&amp;THAM_SO_CC!$B$8,CC_OT_GIO!$D$6:$D$2005,"&lt;="&amp;THAM_SO_CC!$B$9))</f>
        <v/>
      </c>
      <c r="J135" s="108">
        <f>IF($B135="","",SUMIFS(CC_OT_GIO!$K$6:$K$2005,CC_OT_GIO!$B$6:$B$2005,$B135,CC_OT_GIO!$D$6:$D$2005,"&gt;="&amp;THAM_SO_CC!$B$8,CC_OT_GIO!$D$6:$D$2005,"&lt;="&amp;THAM_SO_CC!$B$9))</f>
        <v/>
      </c>
      <c r="K135" s="108">
        <f>IF($B135="","",SUMIFS(CC_OT_GIO!$L$6:$L$2005,CC_OT_GIO!$B$6:$B$2005,$B135,CC_OT_GIO!$D$6:$D$2005,"&gt;="&amp;THAM_SO_CC!$B$8,CC_OT_GIO!$D$6:$D$2005,"&lt;="&amp;THAM_SO_CC!$B$9))</f>
        <v/>
      </c>
      <c r="L135" s="108">
        <f>IF($B135="","",SUMIFS(CC_OT_GIO!$M$6:$M$2005,CC_OT_GIO!$B$6:$B$2005,$B135,CC_OT_GIO!$D$6:$D$2005,"&gt;="&amp;THAM_SO_CC!$B$8,CC_OT_GIO!$D$6:$D$2005,"&lt;="&amp;THAM_SO_CC!$B$9))</f>
        <v/>
      </c>
      <c r="M135" s="108">
        <f>IF($B135="","",SUMIFS(CC_OT_GIO!$N$6:$N$2005,CC_OT_GIO!$B$6:$B$2005,$B135,CC_OT_GIO!$D$6:$D$2005,"&gt;="&amp;THAM_SO_CC!$B$8,CC_OT_GIO!$D$6:$D$2005,"&lt;="&amp;THAM_SO_CC!$B$9))</f>
        <v/>
      </c>
      <c r="N135" s="108">
        <f>IF($B135="","",SUMIFS(CC_OT_GIO!$O$6:$O$2005,CC_OT_GIO!$B$6:$B$2005,$B135,CC_OT_GIO!$D$6:$D$2005,"&gt;="&amp;THAM_SO_CC!$B$8,CC_OT_GIO!$D$6:$D$2005,"&lt;="&amp;THAM_SO_CC!$B$9))</f>
        <v/>
      </c>
      <c r="O135" s="104">
        <f>IF($B135="","",BANG_CHAM_CONG!AL135)</f>
        <v/>
      </c>
      <c r="P135" s="104">
        <f>IF($B135="","",BANG_CHAM_CONG!AM135)</f>
        <v/>
      </c>
      <c r="Q135" s="104">
        <f>IF($B135="","",BANG_CHAM_CONG!AN135)</f>
        <v/>
      </c>
      <c r="R135" s="104">
        <f>IF($B135="","",BANG_CHAM_CONG!AO135)</f>
        <v/>
      </c>
      <c r="S135" s="104">
        <f>IF($B135="","",BANG_CHAM_CONG!AP135)</f>
        <v/>
      </c>
      <c r="T135" s="104">
        <f>IF($B135="","",BANG_CHAM_CONG!AQ135)</f>
        <v/>
      </c>
      <c r="U135" s="111">
        <f>IF($B135="","",SUM($I135:$N135))</f>
        <v/>
      </c>
      <c r="V135" s="96">
        <f>IF($B135="","",TRIM(BANG_CHAM_CONG!$AU135&amp;IF($U135&gt;60,"OT vượt 60 giờ/tháng – rà soát giới hạn làm thêm; ","")&amp;IF(AND($E135=0,SUM($O135:$T135)=0),"Chưa có dữ liệu chấm công; ","")&amp;IF($H135&gt;$G135,"Giờ đêm trong ca lớn hơn giờ thường; ","")))</f>
        <v/>
      </c>
    </row>
    <row r="136" ht="15" customHeight="1" s="63">
      <c r="A136" s="85">
        <f>IF($B136="","",ROW()-5)</f>
        <v/>
      </c>
      <c r="B136" s="103">
        <f>IF(BANG_CHAM_CONG!B136="","",BANG_CHAM_CONG!B136)</f>
        <v/>
      </c>
      <c r="C136" s="96">
        <f>IF($B136="","",BANG_CHAM_CONG!C136)</f>
        <v/>
      </c>
      <c r="D136" s="96">
        <f>IF($B136="","",BANG_CHAM_CONG!D136)</f>
        <v/>
      </c>
      <c r="E136" s="95">
        <f>IF($B136="","",BANG_CHAM_CONG!AK136)</f>
        <v/>
      </c>
      <c r="F136" s="109">
        <f>IF($B136="","",IF(DM_NHAN_SU!$H136="",THAM_SO_CC!$B$11,DM_NHAN_SU!$H136))</f>
        <v/>
      </c>
      <c r="G136" s="110">
        <f>IF($B136="","",ROUND($E136*$F136,2))</f>
        <v/>
      </c>
      <c r="H136" s="108">
        <f>IF($B136="","",SUMIFS(CC_OT_GIO!$F$6:$F$2005,CC_OT_GIO!$B$6:$B$2005,$B136,CC_OT_GIO!$D$6:$D$2005,"&gt;="&amp;THAM_SO_CC!$B$8,CC_OT_GIO!$D$6:$D$2005,"&lt;="&amp;THAM_SO_CC!$B$9))</f>
        <v/>
      </c>
      <c r="I136" s="108">
        <f>IF($B136="","",SUMIFS(CC_OT_GIO!$J$6:$J$2005,CC_OT_GIO!$B$6:$B$2005,$B136,CC_OT_GIO!$D$6:$D$2005,"&gt;="&amp;THAM_SO_CC!$B$8,CC_OT_GIO!$D$6:$D$2005,"&lt;="&amp;THAM_SO_CC!$B$9))</f>
        <v/>
      </c>
      <c r="J136" s="108">
        <f>IF($B136="","",SUMIFS(CC_OT_GIO!$K$6:$K$2005,CC_OT_GIO!$B$6:$B$2005,$B136,CC_OT_GIO!$D$6:$D$2005,"&gt;="&amp;THAM_SO_CC!$B$8,CC_OT_GIO!$D$6:$D$2005,"&lt;="&amp;THAM_SO_CC!$B$9))</f>
        <v/>
      </c>
      <c r="K136" s="108">
        <f>IF($B136="","",SUMIFS(CC_OT_GIO!$L$6:$L$2005,CC_OT_GIO!$B$6:$B$2005,$B136,CC_OT_GIO!$D$6:$D$2005,"&gt;="&amp;THAM_SO_CC!$B$8,CC_OT_GIO!$D$6:$D$2005,"&lt;="&amp;THAM_SO_CC!$B$9))</f>
        <v/>
      </c>
      <c r="L136" s="108">
        <f>IF($B136="","",SUMIFS(CC_OT_GIO!$M$6:$M$2005,CC_OT_GIO!$B$6:$B$2005,$B136,CC_OT_GIO!$D$6:$D$2005,"&gt;="&amp;THAM_SO_CC!$B$8,CC_OT_GIO!$D$6:$D$2005,"&lt;="&amp;THAM_SO_CC!$B$9))</f>
        <v/>
      </c>
      <c r="M136" s="108">
        <f>IF($B136="","",SUMIFS(CC_OT_GIO!$N$6:$N$2005,CC_OT_GIO!$B$6:$B$2005,$B136,CC_OT_GIO!$D$6:$D$2005,"&gt;="&amp;THAM_SO_CC!$B$8,CC_OT_GIO!$D$6:$D$2005,"&lt;="&amp;THAM_SO_CC!$B$9))</f>
        <v/>
      </c>
      <c r="N136" s="108">
        <f>IF($B136="","",SUMIFS(CC_OT_GIO!$O$6:$O$2005,CC_OT_GIO!$B$6:$B$2005,$B136,CC_OT_GIO!$D$6:$D$2005,"&gt;="&amp;THAM_SO_CC!$B$8,CC_OT_GIO!$D$6:$D$2005,"&lt;="&amp;THAM_SO_CC!$B$9))</f>
        <v/>
      </c>
      <c r="O136" s="104">
        <f>IF($B136="","",BANG_CHAM_CONG!AL136)</f>
        <v/>
      </c>
      <c r="P136" s="104">
        <f>IF($B136="","",BANG_CHAM_CONG!AM136)</f>
        <v/>
      </c>
      <c r="Q136" s="104">
        <f>IF($B136="","",BANG_CHAM_CONG!AN136)</f>
        <v/>
      </c>
      <c r="R136" s="104">
        <f>IF($B136="","",BANG_CHAM_CONG!AO136)</f>
        <v/>
      </c>
      <c r="S136" s="104">
        <f>IF($B136="","",BANG_CHAM_CONG!AP136)</f>
        <v/>
      </c>
      <c r="T136" s="104">
        <f>IF($B136="","",BANG_CHAM_CONG!AQ136)</f>
        <v/>
      </c>
      <c r="U136" s="111">
        <f>IF($B136="","",SUM($I136:$N136))</f>
        <v/>
      </c>
      <c r="V136" s="96">
        <f>IF($B136="","",TRIM(BANG_CHAM_CONG!$AU136&amp;IF($U136&gt;60,"OT vượt 60 giờ/tháng – rà soát giới hạn làm thêm; ","")&amp;IF(AND($E136=0,SUM($O136:$T136)=0),"Chưa có dữ liệu chấm công; ","")&amp;IF($H136&gt;$G136,"Giờ đêm trong ca lớn hơn giờ thường; ","")))</f>
        <v/>
      </c>
    </row>
    <row r="137" ht="15" customHeight="1" s="63">
      <c r="A137" s="85">
        <f>IF($B137="","",ROW()-5)</f>
        <v/>
      </c>
      <c r="B137" s="103">
        <f>IF(BANG_CHAM_CONG!B137="","",BANG_CHAM_CONG!B137)</f>
        <v/>
      </c>
      <c r="C137" s="96">
        <f>IF($B137="","",BANG_CHAM_CONG!C137)</f>
        <v/>
      </c>
      <c r="D137" s="96">
        <f>IF($B137="","",BANG_CHAM_CONG!D137)</f>
        <v/>
      </c>
      <c r="E137" s="95">
        <f>IF($B137="","",BANG_CHAM_CONG!AK137)</f>
        <v/>
      </c>
      <c r="F137" s="109">
        <f>IF($B137="","",IF(DM_NHAN_SU!$H137="",THAM_SO_CC!$B$11,DM_NHAN_SU!$H137))</f>
        <v/>
      </c>
      <c r="G137" s="110">
        <f>IF($B137="","",ROUND($E137*$F137,2))</f>
        <v/>
      </c>
      <c r="H137" s="108">
        <f>IF($B137="","",SUMIFS(CC_OT_GIO!$F$6:$F$2005,CC_OT_GIO!$B$6:$B$2005,$B137,CC_OT_GIO!$D$6:$D$2005,"&gt;="&amp;THAM_SO_CC!$B$8,CC_OT_GIO!$D$6:$D$2005,"&lt;="&amp;THAM_SO_CC!$B$9))</f>
        <v/>
      </c>
      <c r="I137" s="108">
        <f>IF($B137="","",SUMIFS(CC_OT_GIO!$J$6:$J$2005,CC_OT_GIO!$B$6:$B$2005,$B137,CC_OT_GIO!$D$6:$D$2005,"&gt;="&amp;THAM_SO_CC!$B$8,CC_OT_GIO!$D$6:$D$2005,"&lt;="&amp;THAM_SO_CC!$B$9))</f>
        <v/>
      </c>
      <c r="J137" s="108">
        <f>IF($B137="","",SUMIFS(CC_OT_GIO!$K$6:$K$2005,CC_OT_GIO!$B$6:$B$2005,$B137,CC_OT_GIO!$D$6:$D$2005,"&gt;="&amp;THAM_SO_CC!$B$8,CC_OT_GIO!$D$6:$D$2005,"&lt;="&amp;THAM_SO_CC!$B$9))</f>
        <v/>
      </c>
      <c r="K137" s="108">
        <f>IF($B137="","",SUMIFS(CC_OT_GIO!$L$6:$L$2005,CC_OT_GIO!$B$6:$B$2005,$B137,CC_OT_GIO!$D$6:$D$2005,"&gt;="&amp;THAM_SO_CC!$B$8,CC_OT_GIO!$D$6:$D$2005,"&lt;="&amp;THAM_SO_CC!$B$9))</f>
        <v/>
      </c>
      <c r="L137" s="108">
        <f>IF($B137="","",SUMIFS(CC_OT_GIO!$M$6:$M$2005,CC_OT_GIO!$B$6:$B$2005,$B137,CC_OT_GIO!$D$6:$D$2005,"&gt;="&amp;THAM_SO_CC!$B$8,CC_OT_GIO!$D$6:$D$2005,"&lt;="&amp;THAM_SO_CC!$B$9))</f>
        <v/>
      </c>
      <c r="M137" s="108">
        <f>IF($B137="","",SUMIFS(CC_OT_GIO!$N$6:$N$2005,CC_OT_GIO!$B$6:$B$2005,$B137,CC_OT_GIO!$D$6:$D$2005,"&gt;="&amp;THAM_SO_CC!$B$8,CC_OT_GIO!$D$6:$D$2005,"&lt;="&amp;THAM_SO_CC!$B$9))</f>
        <v/>
      </c>
      <c r="N137" s="108">
        <f>IF($B137="","",SUMIFS(CC_OT_GIO!$O$6:$O$2005,CC_OT_GIO!$B$6:$B$2005,$B137,CC_OT_GIO!$D$6:$D$2005,"&gt;="&amp;THAM_SO_CC!$B$8,CC_OT_GIO!$D$6:$D$2005,"&lt;="&amp;THAM_SO_CC!$B$9))</f>
        <v/>
      </c>
      <c r="O137" s="104">
        <f>IF($B137="","",BANG_CHAM_CONG!AL137)</f>
        <v/>
      </c>
      <c r="P137" s="104">
        <f>IF($B137="","",BANG_CHAM_CONG!AM137)</f>
        <v/>
      </c>
      <c r="Q137" s="104">
        <f>IF($B137="","",BANG_CHAM_CONG!AN137)</f>
        <v/>
      </c>
      <c r="R137" s="104">
        <f>IF($B137="","",BANG_CHAM_CONG!AO137)</f>
        <v/>
      </c>
      <c r="S137" s="104">
        <f>IF($B137="","",BANG_CHAM_CONG!AP137)</f>
        <v/>
      </c>
      <c r="T137" s="104">
        <f>IF($B137="","",BANG_CHAM_CONG!AQ137)</f>
        <v/>
      </c>
      <c r="U137" s="111">
        <f>IF($B137="","",SUM($I137:$N137))</f>
        <v/>
      </c>
      <c r="V137" s="96">
        <f>IF($B137="","",TRIM(BANG_CHAM_CONG!$AU137&amp;IF($U137&gt;60,"OT vượt 60 giờ/tháng – rà soát giới hạn làm thêm; ","")&amp;IF(AND($E137=0,SUM($O137:$T137)=0),"Chưa có dữ liệu chấm công; ","")&amp;IF($H137&gt;$G137,"Giờ đêm trong ca lớn hơn giờ thường; ","")))</f>
        <v/>
      </c>
    </row>
    <row r="138" ht="15" customHeight="1" s="63">
      <c r="A138" s="85">
        <f>IF($B138="","",ROW()-5)</f>
        <v/>
      </c>
      <c r="B138" s="103">
        <f>IF(BANG_CHAM_CONG!B138="","",BANG_CHAM_CONG!B138)</f>
        <v/>
      </c>
      <c r="C138" s="96">
        <f>IF($B138="","",BANG_CHAM_CONG!C138)</f>
        <v/>
      </c>
      <c r="D138" s="96">
        <f>IF($B138="","",BANG_CHAM_CONG!D138)</f>
        <v/>
      </c>
      <c r="E138" s="95">
        <f>IF($B138="","",BANG_CHAM_CONG!AK138)</f>
        <v/>
      </c>
      <c r="F138" s="109">
        <f>IF($B138="","",IF(DM_NHAN_SU!$H138="",THAM_SO_CC!$B$11,DM_NHAN_SU!$H138))</f>
        <v/>
      </c>
      <c r="G138" s="110">
        <f>IF($B138="","",ROUND($E138*$F138,2))</f>
        <v/>
      </c>
      <c r="H138" s="108">
        <f>IF($B138="","",SUMIFS(CC_OT_GIO!$F$6:$F$2005,CC_OT_GIO!$B$6:$B$2005,$B138,CC_OT_GIO!$D$6:$D$2005,"&gt;="&amp;THAM_SO_CC!$B$8,CC_OT_GIO!$D$6:$D$2005,"&lt;="&amp;THAM_SO_CC!$B$9))</f>
        <v/>
      </c>
      <c r="I138" s="108">
        <f>IF($B138="","",SUMIFS(CC_OT_GIO!$J$6:$J$2005,CC_OT_GIO!$B$6:$B$2005,$B138,CC_OT_GIO!$D$6:$D$2005,"&gt;="&amp;THAM_SO_CC!$B$8,CC_OT_GIO!$D$6:$D$2005,"&lt;="&amp;THAM_SO_CC!$B$9))</f>
        <v/>
      </c>
      <c r="J138" s="108">
        <f>IF($B138="","",SUMIFS(CC_OT_GIO!$K$6:$K$2005,CC_OT_GIO!$B$6:$B$2005,$B138,CC_OT_GIO!$D$6:$D$2005,"&gt;="&amp;THAM_SO_CC!$B$8,CC_OT_GIO!$D$6:$D$2005,"&lt;="&amp;THAM_SO_CC!$B$9))</f>
        <v/>
      </c>
      <c r="K138" s="108">
        <f>IF($B138="","",SUMIFS(CC_OT_GIO!$L$6:$L$2005,CC_OT_GIO!$B$6:$B$2005,$B138,CC_OT_GIO!$D$6:$D$2005,"&gt;="&amp;THAM_SO_CC!$B$8,CC_OT_GIO!$D$6:$D$2005,"&lt;="&amp;THAM_SO_CC!$B$9))</f>
        <v/>
      </c>
      <c r="L138" s="108">
        <f>IF($B138="","",SUMIFS(CC_OT_GIO!$M$6:$M$2005,CC_OT_GIO!$B$6:$B$2005,$B138,CC_OT_GIO!$D$6:$D$2005,"&gt;="&amp;THAM_SO_CC!$B$8,CC_OT_GIO!$D$6:$D$2005,"&lt;="&amp;THAM_SO_CC!$B$9))</f>
        <v/>
      </c>
      <c r="M138" s="108">
        <f>IF($B138="","",SUMIFS(CC_OT_GIO!$N$6:$N$2005,CC_OT_GIO!$B$6:$B$2005,$B138,CC_OT_GIO!$D$6:$D$2005,"&gt;="&amp;THAM_SO_CC!$B$8,CC_OT_GIO!$D$6:$D$2005,"&lt;="&amp;THAM_SO_CC!$B$9))</f>
        <v/>
      </c>
      <c r="N138" s="108">
        <f>IF($B138="","",SUMIFS(CC_OT_GIO!$O$6:$O$2005,CC_OT_GIO!$B$6:$B$2005,$B138,CC_OT_GIO!$D$6:$D$2005,"&gt;="&amp;THAM_SO_CC!$B$8,CC_OT_GIO!$D$6:$D$2005,"&lt;="&amp;THAM_SO_CC!$B$9))</f>
        <v/>
      </c>
      <c r="O138" s="104">
        <f>IF($B138="","",BANG_CHAM_CONG!AL138)</f>
        <v/>
      </c>
      <c r="P138" s="104">
        <f>IF($B138="","",BANG_CHAM_CONG!AM138)</f>
        <v/>
      </c>
      <c r="Q138" s="104">
        <f>IF($B138="","",BANG_CHAM_CONG!AN138)</f>
        <v/>
      </c>
      <c r="R138" s="104">
        <f>IF($B138="","",BANG_CHAM_CONG!AO138)</f>
        <v/>
      </c>
      <c r="S138" s="104">
        <f>IF($B138="","",BANG_CHAM_CONG!AP138)</f>
        <v/>
      </c>
      <c r="T138" s="104">
        <f>IF($B138="","",BANG_CHAM_CONG!AQ138)</f>
        <v/>
      </c>
      <c r="U138" s="111">
        <f>IF($B138="","",SUM($I138:$N138))</f>
        <v/>
      </c>
      <c r="V138" s="96">
        <f>IF($B138="","",TRIM(BANG_CHAM_CONG!$AU138&amp;IF($U138&gt;60,"OT vượt 60 giờ/tháng – rà soát giới hạn làm thêm; ","")&amp;IF(AND($E138=0,SUM($O138:$T138)=0),"Chưa có dữ liệu chấm công; ","")&amp;IF($H138&gt;$G138,"Giờ đêm trong ca lớn hơn giờ thường; ","")))</f>
        <v/>
      </c>
    </row>
    <row r="139" ht="15" customHeight="1" s="63">
      <c r="A139" s="85">
        <f>IF($B139="","",ROW()-5)</f>
        <v/>
      </c>
      <c r="B139" s="103">
        <f>IF(BANG_CHAM_CONG!B139="","",BANG_CHAM_CONG!B139)</f>
        <v/>
      </c>
      <c r="C139" s="96">
        <f>IF($B139="","",BANG_CHAM_CONG!C139)</f>
        <v/>
      </c>
      <c r="D139" s="96">
        <f>IF($B139="","",BANG_CHAM_CONG!D139)</f>
        <v/>
      </c>
      <c r="E139" s="95">
        <f>IF($B139="","",BANG_CHAM_CONG!AK139)</f>
        <v/>
      </c>
      <c r="F139" s="109">
        <f>IF($B139="","",IF(DM_NHAN_SU!$H139="",THAM_SO_CC!$B$11,DM_NHAN_SU!$H139))</f>
        <v/>
      </c>
      <c r="G139" s="110">
        <f>IF($B139="","",ROUND($E139*$F139,2))</f>
        <v/>
      </c>
      <c r="H139" s="108">
        <f>IF($B139="","",SUMIFS(CC_OT_GIO!$F$6:$F$2005,CC_OT_GIO!$B$6:$B$2005,$B139,CC_OT_GIO!$D$6:$D$2005,"&gt;="&amp;THAM_SO_CC!$B$8,CC_OT_GIO!$D$6:$D$2005,"&lt;="&amp;THAM_SO_CC!$B$9))</f>
        <v/>
      </c>
      <c r="I139" s="108">
        <f>IF($B139="","",SUMIFS(CC_OT_GIO!$J$6:$J$2005,CC_OT_GIO!$B$6:$B$2005,$B139,CC_OT_GIO!$D$6:$D$2005,"&gt;="&amp;THAM_SO_CC!$B$8,CC_OT_GIO!$D$6:$D$2005,"&lt;="&amp;THAM_SO_CC!$B$9))</f>
        <v/>
      </c>
      <c r="J139" s="108">
        <f>IF($B139="","",SUMIFS(CC_OT_GIO!$K$6:$K$2005,CC_OT_GIO!$B$6:$B$2005,$B139,CC_OT_GIO!$D$6:$D$2005,"&gt;="&amp;THAM_SO_CC!$B$8,CC_OT_GIO!$D$6:$D$2005,"&lt;="&amp;THAM_SO_CC!$B$9))</f>
        <v/>
      </c>
      <c r="K139" s="108">
        <f>IF($B139="","",SUMIFS(CC_OT_GIO!$L$6:$L$2005,CC_OT_GIO!$B$6:$B$2005,$B139,CC_OT_GIO!$D$6:$D$2005,"&gt;="&amp;THAM_SO_CC!$B$8,CC_OT_GIO!$D$6:$D$2005,"&lt;="&amp;THAM_SO_CC!$B$9))</f>
        <v/>
      </c>
      <c r="L139" s="108">
        <f>IF($B139="","",SUMIFS(CC_OT_GIO!$M$6:$M$2005,CC_OT_GIO!$B$6:$B$2005,$B139,CC_OT_GIO!$D$6:$D$2005,"&gt;="&amp;THAM_SO_CC!$B$8,CC_OT_GIO!$D$6:$D$2005,"&lt;="&amp;THAM_SO_CC!$B$9))</f>
        <v/>
      </c>
      <c r="M139" s="108">
        <f>IF($B139="","",SUMIFS(CC_OT_GIO!$N$6:$N$2005,CC_OT_GIO!$B$6:$B$2005,$B139,CC_OT_GIO!$D$6:$D$2005,"&gt;="&amp;THAM_SO_CC!$B$8,CC_OT_GIO!$D$6:$D$2005,"&lt;="&amp;THAM_SO_CC!$B$9))</f>
        <v/>
      </c>
      <c r="N139" s="108">
        <f>IF($B139="","",SUMIFS(CC_OT_GIO!$O$6:$O$2005,CC_OT_GIO!$B$6:$B$2005,$B139,CC_OT_GIO!$D$6:$D$2005,"&gt;="&amp;THAM_SO_CC!$B$8,CC_OT_GIO!$D$6:$D$2005,"&lt;="&amp;THAM_SO_CC!$B$9))</f>
        <v/>
      </c>
      <c r="O139" s="104">
        <f>IF($B139="","",BANG_CHAM_CONG!AL139)</f>
        <v/>
      </c>
      <c r="P139" s="104">
        <f>IF($B139="","",BANG_CHAM_CONG!AM139)</f>
        <v/>
      </c>
      <c r="Q139" s="104">
        <f>IF($B139="","",BANG_CHAM_CONG!AN139)</f>
        <v/>
      </c>
      <c r="R139" s="104">
        <f>IF($B139="","",BANG_CHAM_CONG!AO139)</f>
        <v/>
      </c>
      <c r="S139" s="104">
        <f>IF($B139="","",BANG_CHAM_CONG!AP139)</f>
        <v/>
      </c>
      <c r="T139" s="104">
        <f>IF($B139="","",BANG_CHAM_CONG!AQ139)</f>
        <v/>
      </c>
      <c r="U139" s="111">
        <f>IF($B139="","",SUM($I139:$N139))</f>
        <v/>
      </c>
      <c r="V139" s="96">
        <f>IF($B139="","",TRIM(BANG_CHAM_CONG!$AU139&amp;IF($U139&gt;60,"OT vượt 60 giờ/tháng – rà soát giới hạn làm thêm; ","")&amp;IF(AND($E139=0,SUM($O139:$T139)=0),"Chưa có dữ liệu chấm công; ","")&amp;IF($H139&gt;$G139,"Giờ đêm trong ca lớn hơn giờ thường; ","")))</f>
        <v/>
      </c>
    </row>
    <row r="140" ht="15" customHeight="1" s="63">
      <c r="A140" s="85">
        <f>IF($B140="","",ROW()-5)</f>
        <v/>
      </c>
      <c r="B140" s="103">
        <f>IF(BANG_CHAM_CONG!B140="","",BANG_CHAM_CONG!B140)</f>
        <v/>
      </c>
      <c r="C140" s="96">
        <f>IF($B140="","",BANG_CHAM_CONG!C140)</f>
        <v/>
      </c>
      <c r="D140" s="96">
        <f>IF($B140="","",BANG_CHAM_CONG!D140)</f>
        <v/>
      </c>
      <c r="E140" s="95">
        <f>IF($B140="","",BANG_CHAM_CONG!AK140)</f>
        <v/>
      </c>
      <c r="F140" s="109">
        <f>IF($B140="","",IF(DM_NHAN_SU!$H140="",THAM_SO_CC!$B$11,DM_NHAN_SU!$H140))</f>
        <v/>
      </c>
      <c r="G140" s="110">
        <f>IF($B140="","",ROUND($E140*$F140,2))</f>
        <v/>
      </c>
      <c r="H140" s="108">
        <f>IF($B140="","",SUMIFS(CC_OT_GIO!$F$6:$F$2005,CC_OT_GIO!$B$6:$B$2005,$B140,CC_OT_GIO!$D$6:$D$2005,"&gt;="&amp;THAM_SO_CC!$B$8,CC_OT_GIO!$D$6:$D$2005,"&lt;="&amp;THAM_SO_CC!$B$9))</f>
        <v/>
      </c>
      <c r="I140" s="108">
        <f>IF($B140="","",SUMIFS(CC_OT_GIO!$J$6:$J$2005,CC_OT_GIO!$B$6:$B$2005,$B140,CC_OT_GIO!$D$6:$D$2005,"&gt;="&amp;THAM_SO_CC!$B$8,CC_OT_GIO!$D$6:$D$2005,"&lt;="&amp;THAM_SO_CC!$B$9))</f>
        <v/>
      </c>
      <c r="J140" s="108">
        <f>IF($B140="","",SUMIFS(CC_OT_GIO!$K$6:$K$2005,CC_OT_GIO!$B$6:$B$2005,$B140,CC_OT_GIO!$D$6:$D$2005,"&gt;="&amp;THAM_SO_CC!$B$8,CC_OT_GIO!$D$6:$D$2005,"&lt;="&amp;THAM_SO_CC!$B$9))</f>
        <v/>
      </c>
      <c r="K140" s="108">
        <f>IF($B140="","",SUMIFS(CC_OT_GIO!$L$6:$L$2005,CC_OT_GIO!$B$6:$B$2005,$B140,CC_OT_GIO!$D$6:$D$2005,"&gt;="&amp;THAM_SO_CC!$B$8,CC_OT_GIO!$D$6:$D$2005,"&lt;="&amp;THAM_SO_CC!$B$9))</f>
        <v/>
      </c>
      <c r="L140" s="108">
        <f>IF($B140="","",SUMIFS(CC_OT_GIO!$M$6:$M$2005,CC_OT_GIO!$B$6:$B$2005,$B140,CC_OT_GIO!$D$6:$D$2005,"&gt;="&amp;THAM_SO_CC!$B$8,CC_OT_GIO!$D$6:$D$2005,"&lt;="&amp;THAM_SO_CC!$B$9))</f>
        <v/>
      </c>
      <c r="M140" s="108">
        <f>IF($B140="","",SUMIFS(CC_OT_GIO!$N$6:$N$2005,CC_OT_GIO!$B$6:$B$2005,$B140,CC_OT_GIO!$D$6:$D$2005,"&gt;="&amp;THAM_SO_CC!$B$8,CC_OT_GIO!$D$6:$D$2005,"&lt;="&amp;THAM_SO_CC!$B$9))</f>
        <v/>
      </c>
      <c r="N140" s="108">
        <f>IF($B140="","",SUMIFS(CC_OT_GIO!$O$6:$O$2005,CC_OT_GIO!$B$6:$B$2005,$B140,CC_OT_GIO!$D$6:$D$2005,"&gt;="&amp;THAM_SO_CC!$B$8,CC_OT_GIO!$D$6:$D$2005,"&lt;="&amp;THAM_SO_CC!$B$9))</f>
        <v/>
      </c>
      <c r="O140" s="104">
        <f>IF($B140="","",BANG_CHAM_CONG!AL140)</f>
        <v/>
      </c>
      <c r="P140" s="104">
        <f>IF($B140="","",BANG_CHAM_CONG!AM140)</f>
        <v/>
      </c>
      <c r="Q140" s="104">
        <f>IF($B140="","",BANG_CHAM_CONG!AN140)</f>
        <v/>
      </c>
      <c r="R140" s="104">
        <f>IF($B140="","",BANG_CHAM_CONG!AO140)</f>
        <v/>
      </c>
      <c r="S140" s="104">
        <f>IF($B140="","",BANG_CHAM_CONG!AP140)</f>
        <v/>
      </c>
      <c r="T140" s="104">
        <f>IF($B140="","",BANG_CHAM_CONG!AQ140)</f>
        <v/>
      </c>
      <c r="U140" s="111">
        <f>IF($B140="","",SUM($I140:$N140))</f>
        <v/>
      </c>
      <c r="V140" s="96">
        <f>IF($B140="","",TRIM(BANG_CHAM_CONG!$AU140&amp;IF($U140&gt;60,"OT vượt 60 giờ/tháng – rà soát giới hạn làm thêm; ","")&amp;IF(AND($E140=0,SUM($O140:$T140)=0),"Chưa có dữ liệu chấm công; ","")&amp;IF($H140&gt;$G140,"Giờ đêm trong ca lớn hơn giờ thường; ","")))</f>
        <v/>
      </c>
    </row>
    <row r="141" ht="15" customHeight="1" s="63">
      <c r="A141" s="85">
        <f>IF($B141="","",ROW()-5)</f>
        <v/>
      </c>
      <c r="B141" s="103">
        <f>IF(BANG_CHAM_CONG!B141="","",BANG_CHAM_CONG!B141)</f>
        <v/>
      </c>
      <c r="C141" s="96">
        <f>IF($B141="","",BANG_CHAM_CONG!C141)</f>
        <v/>
      </c>
      <c r="D141" s="96">
        <f>IF($B141="","",BANG_CHAM_CONG!D141)</f>
        <v/>
      </c>
      <c r="E141" s="95">
        <f>IF($B141="","",BANG_CHAM_CONG!AK141)</f>
        <v/>
      </c>
      <c r="F141" s="109">
        <f>IF($B141="","",IF(DM_NHAN_SU!$H141="",THAM_SO_CC!$B$11,DM_NHAN_SU!$H141))</f>
        <v/>
      </c>
      <c r="G141" s="110">
        <f>IF($B141="","",ROUND($E141*$F141,2))</f>
        <v/>
      </c>
      <c r="H141" s="108">
        <f>IF($B141="","",SUMIFS(CC_OT_GIO!$F$6:$F$2005,CC_OT_GIO!$B$6:$B$2005,$B141,CC_OT_GIO!$D$6:$D$2005,"&gt;="&amp;THAM_SO_CC!$B$8,CC_OT_GIO!$D$6:$D$2005,"&lt;="&amp;THAM_SO_CC!$B$9))</f>
        <v/>
      </c>
      <c r="I141" s="108">
        <f>IF($B141="","",SUMIFS(CC_OT_GIO!$J$6:$J$2005,CC_OT_GIO!$B$6:$B$2005,$B141,CC_OT_GIO!$D$6:$D$2005,"&gt;="&amp;THAM_SO_CC!$B$8,CC_OT_GIO!$D$6:$D$2005,"&lt;="&amp;THAM_SO_CC!$B$9))</f>
        <v/>
      </c>
      <c r="J141" s="108">
        <f>IF($B141="","",SUMIFS(CC_OT_GIO!$K$6:$K$2005,CC_OT_GIO!$B$6:$B$2005,$B141,CC_OT_GIO!$D$6:$D$2005,"&gt;="&amp;THAM_SO_CC!$B$8,CC_OT_GIO!$D$6:$D$2005,"&lt;="&amp;THAM_SO_CC!$B$9))</f>
        <v/>
      </c>
      <c r="K141" s="108">
        <f>IF($B141="","",SUMIFS(CC_OT_GIO!$L$6:$L$2005,CC_OT_GIO!$B$6:$B$2005,$B141,CC_OT_GIO!$D$6:$D$2005,"&gt;="&amp;THAM_SO_CC!$B$8,CC_OT_GIO!$D$6:$D$2005,"&lt;="&amp;THAM_SO_CC!$B$9))</f>
        <v/>
      </c>
      <c r="L141" s="108">
        <f>IF($B141="","",SUMIFS(CC_OT_GIO!$M$6:$M$2005,CC_OT_GIO!$B$6:$B$2005,$B141,CC_OT_GIO!$D$6:$D$2005,"&gt;="&amp;THAM_SO_CC!$B$8,CC_OT_GIO!$D$6:$D$2005,"&lt;="&amp;THAM_SO_CC!$B$9))</f>
        <v/>
      </c>
      <c r="M141" s="108">
        <f>IF($B141="","",SUMIFS(CC_OT_GIO!$N$6:$N$2005,CC_OT_GIO!$B$6:$B$2005,$B141,CC_OT_GIO!$D$6:$D$2005,"&gt;="&amp;THAM_SO_CC!$B$8,CC_OT_GIO!$D$6:$D$2005,"&lt;="&amp;THAM_SO_CC!$B$9))</f>
        <v/>
      </c>
      <c r="N141" s="108">
        <f>IF($B141="","",SUMIFS(CC_OT_GIO!$O$6:$O$2005,CC_OT_GIO!$B$6:$B$2005,$B141,CC_OT_GIO!$D$6:$D$2005,"&gt;="&amp;THAM_SO_CC!$B$8,CC_OT_GIO!$D$6:$D$2005,"&lt;="&amp;THAM_SO_CC!$B$9))</f>
        <v/>
      </c>
      <c r="O141" s="104">
        <f>IF($B141="","",BANG_CHAM_CONG!AL141)</f>
        <v/>
      </c>
      <c r="P141" s="104">
        <f>IF($B141="","",BANG_CHAM_CONG!AM141)</f>
        <v/>
      </c>
      <c r="Q141" s="104">
        <f>IF($B141="","",BANG_CHAM_CONG!AN141)</f>
        <v/>
      </c>
      <c r="R141" s="104">
        <f>IF($B141="","",BANG_CHAM_CONG!AO141)</f>
        <v/>
      </c>
      <c r="S141" s="104">
        <f>IF($B141="","",BANG_CHAM_CONG!AP141)</f>
        <v/>
      </c>
      <c r="T141" s="104">
        <f>IF($B141="","",BANG_CHAM_CONG!AQ141)</f>
        <v/>
      </c>
      <c r="U141" s="111">
        <f>IF($B141="","",SUM($I141:$N141))</f>
        <v/>
      </c>
      <c r="V141" s="96">
        <f>IF($B141="","",TRIM(BANG_CHAM_CONG!$AU141&amp;IF($U141&gt;60,"OT vượt 60 giờ/tháng – rà soát giới hạn làm thêm; ","")&amp;IF(AND($E141=0,SUM($O141:$T141)=0),"Chưa có dữ liệu chấm công; ","")&amp;IF($H141&gt;$G141,"Giờ đêm trong ca lớn hơn giờ thường; ","")))</f>
        <v/>
      </c>
    </row>
    <row r="142" ht="15" customHeight="1" s="63">
      <c r="A142" s="85">
        <f>IF($B142="","",ROW()-5)</f>
        <v/>
      </c>
      <c r="B142" s="103">
        <f>IF(BANG_CHAM_CONG!B142="","",BANG_CHAM_CONG!B142)</f>
        <v/>
      </c>
      <c r="C142" s="96">
        <f>IF($B142="","",BANG_CHAM_CONG!C142)</f>
        <v/>
      </c>
      <c r="D142" s="96">
        <f>IF($B142="","",BANG_CHAM_CONG!D142)</f>
        <v/>
      </c>
      <c r="E142" s="95">
        <f>IF($B142="","",BANG_CHAM_CONG!AK142)</f>
        <v/>
      </c>
      <c r="F142" s="109">
        <f>IF($B142="","",IF(DM_NHAN_SU!$H142="",THAM_SO_CC!$B$11,DM_NHAN_SU!$H142))</f>
        <v/>
      </c>
      <c r="G142" s="110">
        <f>IF($B142="","",ROUND($E142*$F142,2))</f>
        <v/>
      </c>
      <c r="H142" s="108">
        <f>IF($B142="","",SUMIFS(CC_OT_GIO!$F$6:$F$2005,CC_OT_GIO!$B$6:$B$2005,$B142,CC_OT_GIO!$D$6:$D$2005,"&gt;="&amp;THAM_SO_CC!$B$8,CC_OT_GIO!$D$6:$D$2005,"&lt;="&amp;THAM_SO_CC!$B$9))</f>
        <v/>
      </c>
      <c r="I142" s="108">
        <f>IF($B142="","",SUMIFS(CC_OT_GIO!$J$6:$J$2005,CC_OT_GIO!$B$6:$B$2005,$B142,CC_OT_GIO!$D$6:$D$2005,"&gt;="&amp;THAM_SO_CC!$B$8,CC_OT_GIO!$D$6:$D$2005,"&lt;="&amp;THAM_SO_CC!$B$9))</f>
        <v/>
      </c>
      <c r="J142" s="108">
        <f>IF($B142="","",SUMIFS(CC_OT_GIO!$K$6:$K$2005,CC_OT_GIO!$B$6:$B$2005,$B142,CC_OT_GIO!$D$6:$D$2005,"&gt;="&amp;THAM_SO_CC!$B$8,CC_OT_GIO!$D$6:$D$2005,"&lt;="&amp;THAM_SO_CC!$B$9))</f>
        <v/>
      </c>
      <c r="K142" s="108">
        <f>IF($B142="","",SUMIFS(CC_OT_GIO!$L$6:$L$2005,CC_OT_GIO!$B$6:$B$2005,$B142,CC_OT_GIO!$D$6:$D$2005,"&gt;="&amp;THAM_SO_CC!$B$8,CC_OT_GIO!$D$6:$D$2005,"&lt;="&amp;THAM_SO_CC!$B$9))</f>
        <v/>
      </c>
      <c r="L142" s="108">
        <f>IF($B142="","",SUMIFS(CC_OT_GIO!$M$6:$M$2005,CC_OT_GIO!$B$6:$B$2005,$B142,CC_OT_GIO!$D$6:$D$2005,"&gt;="&amp;THAM_SO_CC!$B$8,CC_OT_GIO!$D$6:$D$2005,"&lt;="&amp;THAM_SO_CC!$B$9))</f>
        <v/>
      </c>
      <c r="M142" s="108">
        <f>IF($B142="","",SUMIFS(CC_OT_GIO!$N$6:$N$2005,CC_OT_GIO!$B$6:$B$2005,$B142,CC_OT_GIO!$D$6:$D$2005,"&gt;="&amp;THAM_SO_CC!$B$8,CC_OT_GIO!$D$6:$D$2005,"&lt;="&amp;THAM_SO_CC!$B$9))</f>
        <v/>
      </c>
      <c r="N142" s="108">
        <f>IF($B142="","",SUMIFS(CC_OT_GIO!$O$6:$O$2005,CC_OT_GIO!$B$6:$B$2005,$B142,CC_OT_GIO!$D$6:$D$2005,"&gt;="&amp;THAM_SO_CC!$B$8,CC_OT_GIO!$D$6:$D$2005,"&lt;="&amp;THAM_SO_CC!$B$9))</f>
        <v/>
      </c>
      <c r="O142" s="104">
        <f>IF($B142="","",BANG_CHAM_CONG!AL142)</f>
        <v/>
      </c>
      <c r="P142" s="104">
        <f>IF($B142="","",BANG_CHAM_CONG!AM142)</f>
        <v/>
      </c>
      <c r="Q142" s="104">
        <f>IF($B142="","",BANG_CHAM_CONG!AN142)</f>
        <v/>
      </c>
      <c r="R142" s="104">
        <f>IF($B142="","",BANG_CHAM_CONG!AO142)</f>
        <v/>
      </c>
      <c r="S142" s="104">
        <f>IF($B142="","",BANG_CHAM_CONG!AP142)</f>
        <v/>
      </c>
      <c r="T142" s="104">
        <f>IF($B142="","",BANG_CHAM_CONG!AQ142)</f>
        <v/>
      </c>
      <c r="U142" s="111">
        <f>IF($B142="","",SUM($I142:$N142))</f>
        <v/>
      </c>
      <c r="V142" s="96">
        <f>IF($B142="","",TRIM(BANG_CHAM_CONG!$AU142&amp;IF($U142&gt;60,"OT vượt 60 giờ/tháng – rà soát giới hạn làm thêm; ","")&amp;IF(AND($E142=0,SUM($O142:$T142)=0),"Chưa có dữ liệu chấm công; ","")&amp;IF($H142&gt;$G142,"Giờ đêm trong ca lớn hơn giờ thường; ","")))</f>
        <v/>
      </c>
    </row>
    <row r="143" ht="15" customHeight="1" s="63">
      <c r="A143" s="85">
        <f>IF($B143="","",ROW()-5)</f>
        <v/>
      </c>
      <c r="B143" s="103">
        <f>IF(BANG_CHAM_CONG!B143="","",BANG_CHAM_CONG!B143)</f>
        <v/>
      </c>
      <c r="C143" s="96">
        <f>IF($B143="","",BANG_CHAM_CONG!C143)</f>
        <v/>
      </c>
      <c r="D143" s="96">
        <f>IF($B143="","",BANG_CHAM_CONG!D143)</f>
        <v/>
      </c>
      <c r="E143" s="95">
        <f>IF($B143="","",BANG_CHAM_CONG!AK143)</f>
        <v/>
      </c>
      <c r="F143" s="109">
        <f>IF($B143="","",IF(DM_NHAN_SU!$H143="",THAM_SO_CC!$B$11,DM_NHAN_SU!$H143))</f>
        <v/>
      </c>
      <c r="G143" s="110">
        <f>IF($B143="","",ROUND($E143*$F143,2))</f>
        <v/>
      </c>
      <c r="H143" s="108">
        <f>IF($B143="","",SUMIFS(CC_OT_GIO!$F$6:$F$2005,CC_OT_GIO!$B$6:$B$2005,$B143,CC_OT_GIO!$D$6:$D$2005,"&gt;="&amp;THAM_SO_CC!$B$8,CC_OT_GIO!$D$6:$D$2005,"&lt;="&amp;THAM_SO_CC!$B$9))</f>
        <v/>
      </c>
      <c r="I143" s="108">
        <f>IF($B143="","",SUMIFS(CC_OT_GIO!$J$6:$J$2005,CC_OT_GIO!$B$6:$B$2005,$B143,CC_OT_GIO!$D$6:$D$2005,"&gt;="&amp;THAM_SO_CC!$B$8,CC_OT_GIO!$D$6:$D$2005,"&lt;="&amp;THAM_SO_CC!$B$9))</f>
        <v/>
      </c>
      <c r="J143" s="108">
        <f>IF($B143="","",SUMIFS(CC_OT_GIO!$K$6:$K$2005,CC_OT_GIO!$B$6:$B$2005,$B143,CC_OT_GIO!$D$6:$D$2005,"&gt;="&amp;THAM_SO_CC!$B$8,CC_OT_GIO!$D$6:$D$2005,"&lt;="&amp;THAM_SO_CC!$B$9))</f>
        <v/>
      </c>
      <c r="K143" s="108">
        <f>IF($B143="","",SUMIFS(CC_OT_GIO!$L$6:$L$2005,CC_OT_GIO!$B$6:$B$2005,$B143,CC_OT_GIO!$D$6:$D$2005,"&gt;="&amp;THAM_SO_CC!$B$8,CC_OT_GIO!$D$6:$D$2005,"&lt;="&amp;THAM_SO_CC!$B$9))</f>
        <v/>
      </c>
      <c r="L143" s="108">
        <f>IF($B143="","",SUMIFS(CC_OT_GIO!$M$6:$M$2005,CC_OT_GIO!$B$6:$B$2005,$B143,CC_OT_GIO!$D$6:$D$2005,"&gt;="&amp;THAM_SO_CC!$B$8,CC_OT_GIO!$D$6:$D$2005,"&lt;="&amp;THAM_SO_CC!$B$9))</f>
        <v/>
      </c>
      <c r="M143" s="108">
        <f>IF($B143="","",SUMIFS(CC_OT_GIO!$N$6:$N$2005,CC_OT_GIO!$B$6:$B$2005,$B143,CC_OT_GIO!$D$6:$D$2005,"&gt;="&amp;THAM_SO_CC!$B$8,CC_OT_GIO!$D$6:$D$2005,"&lt;="&amp;THAM_SO_CC!$B$9))</f>
        <v/>
      </c>
      <c r="N143" s="108">
        <f>IF($B143="","",SUMIFS(CC_OT_GIO!$O$6:$O$2005,CC_OT_GIO!$B$6:$B$2005,$B143,CC_OT_GIO!$D$6:$D$2005,"&gt;="&amp;THAM_SO_CC!$B$8,CC_OT_GIO!$D$6:$D$2005,"&lt;="&amp;THAM_SO_CC!$B$9))</f>
        <v/>
      </c>
      <c r="O143" s="104">
        <f>IF($B143="","",BANG_CHAM_CONG!AL143)</f>
        <v/>
      </c>
      <c r="P143" s="104">
        <f>IF($B143="","",BANG_CHAM_CONG!AM143)</f>
        <v/>
      </c>
      <c r="Q143" s="104">
        <f>IF($B143="","",BANG_CHAM_CONG!AN143)</f>
        <v/>
      </c>
      <c r="R143" s="104">
        <f>IF($B143="","",BANG_CHAM_CONG!AO143)</f>
        <v/>
      </c>
      <c r="S143" s="104">
        <f>IF($B143="","",BANG_CHAM_CONG!AP143)</f>
        <v/>
      </c>
      <c r="T143" s="104">
        <f>IF($B143="","",BANG_CHAM_CONG!AQ143)</f>
        <v/>
      </c>
      <c r="U143" s="111">
        <f>IF($B143="","",SUM($I143:$N143))</f>
        <v/>
      </c>
      <c r="V143" s="96">
        <f>IF($B143="","",TRIM(BANG_CHAM_CONG!$AU143&amp;IF($U143&gt;60,"OT vượt 60 giờ/tháng – rà soát giới hạn làm thêm; ","")&amp;IF(AND($E143=0,SUM($O143:$T143)=0),"Chưa có dữ liệu chấm công; ","")&amp;IF($H143&gt;$G143,"Giờ đêm trong ca lớn hơn giờ thường; ","")))</f>
        <v/>
      </c>
    </row>
    <row r="144" ht="15" customHeight="1" s="63">
      <c r="A144" s="85">
        <f>IF($B144="","",ROW()-5)</f>
        <v/>
      </c>
      <c r="B144" s="103">
        <f>IF(BANG_CHAM_CONG!B144="","",BANG_CHAM_CONG!B144)</f>
        <v/>
      </c>
      <c r="C144" s="96">
        <f>IF($B144="","",BANG_CHAM_CONG!C144)</f>
        <v/>
      </c>
      <c r="D144" s="96">
        <f>IF($B144="","",BANG_CHAM_CONG!D144)</f>
        <v/>
      </c>
      <c r="E144" s="95">
        <f>IF($B144="","",BANG_CHAM_CONG!AK144)</f>
        <v/>
      </c>
      <c r="F144" s="109">
        <f>IF($B144="","",IF(DM_NHAN_SU!$H144="",THAM_SO_CC!$B$11,DM_NHAN_SU!$H144))</f>
        <v/>
      </c>
      <c r="G144" s="110">
        <f>IF($B144="","",ROUND($E144*$F144,2))</f>
        <v/>
      </c>
      <c r="H144" s="108">
        <f>IF($B144="","",SUMIFS(CC_OT_GIO!$F$6:$F$2005,CC_OT_GIO!$B$6:$B$2005,$B144,CC_OT_GIO!$D$6:$D$2005,"&gt;="&amp;THAM_SO_CC!$B$8,CC_OT_GIO!$D$6:$D$2005,"&lt;="&amp;THAM_SO_CC!$B$9))</f>
        <v/>
      </c>
      <c r="I144" s="108">
        <f>IF($B144="","",SUMIFS(CC_OT_GIO!$J$6:$J$2005,CC_OT_GIO!$B$6:$B$2005,$B144,CC_OT_GIO!$D$6:$D$2005,"&gt;="&amp;THAM_SO_CC!$B$8,CC_OT_GIO!$D$6:$D$2005,"&lt;="&amp;THAM_SO_CC!$B$9))</f>
        <v/>
      </c>
      <c r="J144" s="108">
        <f>IF($B144="","",SUMIFS(CC_OT_GIO!$K$6:$K$2005,CC_OT_GIO!$B$6:$B$2005,$B144,CC_OT_GIO!$D$6:$D$2005,"&gt;="&amp;THAM_SO_CC!$B$8,CC_OT_GIO!$D$6:$D$2005,"&lt;="&amp;THAM_SO_CC!$B$9))</f>
        <v/>
      </c>
      <c r="K144" s="108">
        <f>IF($B144="","",SUMIFS(CC_OT_GIO!$L$6:$L$2005,CC_OT_GIO!$B$6:$B$2005,$B144,CC_OT_GIO!$D$6:$D$2005,"&gt;="&amp;THAM_SO_CC!$B$8,CC_OT_GIO!$D$6:$D$2005,"&lt;="&amp;THAM_SO_CC!$B$9))</f>
        <v/>
      </c>
      <c r="L144" s="108">
        <f>IF($B144="","",SUMIFS(CC_OT_GIO!$M$6:$M$2005,CC_OT_GIO!$B$6:$B$2005,$B144,CC_OT_GIO!$D$6:$D$2005,"&gt;="&amp;THAM_SO_CC!$B$8,CC_OT_GIO!$D$6:$D$2005,"&lt;="&amp;THAM_SO_CC!$B$9))</f>
        <v/>
      </c>
      <c r="M144" s="108">
        <f>IF($B144="","",SUMIFS(CC_OT_GIO!$N$6:$N$2005,CC_OT_GIO!$B$6:$B$2005,$B144,CC_OT_GIO!$D$6:$D$2005,"&gt;="&amp;THAM_SO_CC!$B$8,CC_OT_GIO!$D$6:$D$2005,"&lt;="&amp;THAM_SO_CC!$B$9))</f>
        <v/>
      </c>
      <c r="N144" s="108">
        <f>IF($B144="","",SUMIFS(CC_OT_GIO!$O$6:$O$2005,CC_OT_GIO!$B$6:$B$2005,$B144,CC_OT_GIO!$D$6:$D$2005,"&gt;="&amp;THAM_SO_CC!$B$8,CC_OT_GIO!$D$6:$D$2005,"&lt;="&amp;THAM_SO_CC!$B$9))</f>
        <v/>
      </c>
      <c r="O144" s="104">
        <f>IF($B144="","",BANG_CHAM_CONG!AL144)</f>
        <v/>
      </c>
      <c r="P144" s="104">
        <f>IF($B144="","",BANG_CHAM_CONG!AM144)</f>
        <v/>
      </c>
      <c r="Q144" s="104">
        <f>IF($B144="","",BANG_CHAM_CONG!AN144)</f>
        <v/>
      </c>
      <c r="R144" s="104">
        <f>IF($B144="","",BANG_CHAM_CONG!AO144)</f>
        <v/>
      </c>
      <c r="S144" s="104">
        <f>IF($B144="","",BANG_CHAM_CONG!AP144)</f>
        <v/>
      </c>
      <c r="T144" s="104">
        <f>IF($B144="","",BANG_CHAM_CONG!AQ144)</f>
        <v/>
      </c>
      <c r="U144" s="111">
        <f>IF($B144="","",SUM($I144:$N144))</f>
        <v/>
      </c>
      <c r="V144" s="96">
        <f>IF($B144="","",TRIM(BANG_CHAM_CONG!$AU144&amp;IF($U144&gt;60,"OT vượt 60 giờ/tháng – rà soát giới hạn làm thêm; ","")&amp;IF(AND($E144=0,SUM($O144:$T144)=0),"Chưa có dữ liệu chấm công; ","")&amp;IF($H144&gt;$G144,"Giờ đêm trong ca lớn hơn giờ thường; ","")))</f>
        <v/>
      </c>
    </row>
    <row r="145" ht="15" customHeight="1" s="63">
      <c r="A145" s="85">
        <f>IF($B145="","",ROW()-5)</f>
        <v/>
      </c>
      <c r="B145" s="103">
        <f>IF(BANG_CHAM_CONG!B145="","",BANG_CHAM_CONG!B145)</f>
        <v/>
      </c>
      <c r="C145" s="96">
        <f>IF($B145="","",BANG_CHAM_CONG!C145)</f>
        <v/>
      </c>
      <c r="D145" s="96">
        <f>IF($B145="","",BANG_CHAM_CONG!D145)</f>
        <v/>
      </c>
      <c r="E145" s="95">
        <f>IF($B145="","",BANG_CHAM_CONG!AK145)</f>
        <v/>
      </c>
      <c r="F145" s="109">
        <f>IF($B145="","",IF(DM_NHAN_SU!$H145="",THAM_SO_CC!$B$11,DM_NHAN_SU!$H145))</f>
        <v/>
      </c>
      <c r="G145" s="110">
        <f>IF($B145="","",ROUND($E145*$F145,2))</f>
        <v/>
      </c>
      <c r="H145" s="108">
        <f>IF($B145="","",SUMIFS(CC_OT_GIO!$F$6:$F$2005,CC_OT_GIO!$B$6:$B$2005,$B145,CC_OT_GIO!$D$6:$D$2005,"&gt;="&amp;THAM_SO_CC!$B$8,CC_OT_GIO!$D$6:$D$2005,"&lt;="&amp;THAM_SO_CC!$B$9))</f>
        <v/>
      </c>
      <c r="I145" s="108">
        <f>IF($B145="","",SUMIFS(CC_OT_GIO!$J$6:$J$2005,CC_OT_GIO!$B$6:$B$2005,$B145,CC_OT_GIO!$D$6:$D$2005,"&gt;="&amp;THAM_SO_CC!$B$8,CC_OT_GIO!$D$6:$D$2005,"&lt;="&amp;THAM_SO_CC!$B$9))</f>
        <v/>
      </c>
      <c r="J145" s="108">
        <f>IF($B145="","",SUMIFS(CC_OT_GIO!$K$6:$K$2005,CC_OT_GIO!$B$6:$B$2005,$B145,CC_OT_GIO!$D$6:$D$2005,"&gt;="&amp;THAM_SO_CC!$B$8,CC_OT_GIO!$D$6:$D$2005,"&lt;="&amp;THAM_SO_CC!$B$9))</f>
        <v/>
      </c>
      <c r="K145" s="108">
        <f>IF($B145="","",SUMIFS(CC_OT_GIO!$L$6:$L$2005,CC_OT_GIO!$B$6:$B$2005,$B145,CC_OT_GIO!$D$6:$D$2005,"&gt;="&amp;THAM_SO_CC!$B$8,CC_OT_GIO!$D$6:$D$2005,"&lt;="&amp;THAM_SO_CC!$B$9))</f>
        <v/>
      </c>
      <c r="L145" s="108">
        <f>IF($B145="","",SUMIFS(CC_OT_GIO!$M$6:$M$2005,CC_OT_GIO!$B$6:$B$2005,$B145,CC_OT_GIO!$D$6:$D$2005,"&gt;="&amp;THAM_SO_CC!$B$8,CC_OT_GIO!$D$6:$D$2005,"&lt;="&amp;THAM_SO_CC!$B$9))</f>
        <v/>
      </c>
      <c r="M145" s="108">
        <f>IF($B145="","",SUMIFS(CC_OT_GIO!$N$6:$N$2005,CC_OT_GIO!$B$6:$B$2005,$B145,CC_OT_GIO!$D$6:$D$2005,"&gt;="&amp;THAM_SO_CC!$B$8,CC_OT_GIO!$D$6:$D$2005,"&lt;="&amp;THAM_SO_CC!$B$9))</f>
        <v/>
      </c>
      <c r="N145" s="108">
        <f>IF($B145="","",SUMIFS(CC_OT_GIO!$O$6:$O$2005,CC_OT_GIO!$B$6:$B$2005,$B145,CC_OT_GIO!$D$6:$D$2005,"&gt;="&amp;THAM_SO_CC!$B$8,CC_OT_GIO!$D$6:$D$2005,"&lt;="&amp;THAM_SO_CC!$B$9))</f>
        <v/>
      </c>
      <c r="O145" s="104">
        <f>IF($B145="","",BANG_CHAM_CONG!AL145)</f>
        <v/>
      </c>
      <c r="P145" s="104">
        <f>IF($B145="","",BANG_CHAM_CONG!AM145)</f>
        <v/>
      </c>
      <c r="Q145" s="104">
        <f>IF($B145="","",BANG_CHAM_CONG!AN145)</f>
        <v/>
      </c>
      <c r="R145" s="104">
        <f>IF($B145="","",BANG_CHAM_CONG!AO145)</f>
        <v/>
      </c>
      <c r="S145" s="104">
        <f>IF($B145="","",BANG_CHAM_CONG!AP145)</f>
        <v/>
      </c>
      <c r="T145" s="104">
        <f>IF($B145="","",BANG_CHAM_CONG!AQ145)</f>
        <v/>
      </c>
      <c r="U145" s="111">
        <f>IF($B145="","",SUM($I145:$N145))</f>
        <v/>
      </c>
      <c r="V145" s="96">
        <f>IF($B145="","",TRIM(BANG_CHAM_CONG!$AU145&amp;IF($U145&gt;60,"OT vượt 60 giờ/tháng – rà soát giới hạn làm thêm; ","")&amp;IF(AND($E145=0,SUM($O145:$T145)=0),"Chưa có dữ liệu chấm công; ","")&amp;IF($H145&gt;$G145,"Giờ đêm trong ca lớn hơn giờ thường; ","")))</f>
        <v/>
      </c>
    </row>
    <row r="146" ht="15" customHeight="1" s="63">
      <c r="A146" s="85">
        <f>IF($B146="","",ROW()-5)</f>
        <v/>
      </c>
      <c r="B146" s="103">
        <f>IF(BANG_CHAM_CONG!B146="","",BANG_CHAM_CONG!B146)</f>
        <v/>
      </c>
      <c r="C146" s="96">
        <f>IF($B146="","",BANG_CHAM_CONG!C146)</f>
        <v/>
      </c>
      <c r="D146" s="96">
        <f>IF($B146="","",BANG_CHAM_CONG!D146)</f>
        <v/>
      </c>
      <c r="E146" s="95">
        <f>IF($B146="","",BANG_CHAM_CONG!AK146)</f>
        <v/>
      </c>
      <c r="F146" s="109">
        <f>IF($B146="","",IF(DM_NHAN_SU!$H146="",THAM_SO_CC!$B$11,DM_NHAN_SU!$H146))</f>
        <v/>
      </c>
      <c r="G146" s="110">
        <f>IF($B146="","",ROUND($E146*$F146,2))</f>
        <v/>
      </c>
      <c r="H146" s="108">
        <f>IF($B146="","",SUMIFS(CC_OT_GIO!$F$6:$F$2005,CC_OT_GIO!$B$6:$B$2005,$B146,CC_OT_GIO!$D$6:$D$2005,"&gt;="&amp;THAM_SO_CC!$B$8,CC_OT_GIO!$D$6:$D$2005,"&lt;="&amp;THAM_SO_CC!$B$9))</f>
        <v/>
      </c>
      <c r="I146" s="108">
        <f>IF($B146="","",SUMIFS(CC_OT_GIO!$J$6:$J$2005,CC_OT_GIO!$B$6:$B$2005,$B146,CC_OT_GIO!$D$6:$D$2005,"&gt;="&amp;THAM_SO_CC!$B$8,CC_OT_GIO!$D$6:$D$2005,"&lt;="&amp;THAM_SO_CC!$B$9))</f>
        <v/>
      </c>
      <c r="J146" s="108">
        <f>IF($B146="","",SUMIFS(CC_OT_GIO!$K$6:$K$2005,CC_OT_GIO!$B$6:$B$2005,$B146,CC_OT_GIO!$D$6:$D$2005,"&gt;="&amp;THAM_SO_CC!$B$8,CC_OT_GIO!$D$6:$D$2005,"&lt;="&amp;THAM_SO_CC!$B$9))</f>
        <v/>
      </c>
      <c r="K146" s="108">
        <f>IF($B146="","",SUMIFS(CC_OT_GIO!$L$6:$L$2005,CC_OT_GIO!$B$6:$B$2005,$B146,CC_OT_GIO!$D$6:$D$2005,"&gt;="&amp;THAM_SO_CC!$B$8,CC_OT_GIO!$D$6:$D$2005,"&lt;="&amp;THAM_SO_CC!$B$9))</f>
        <v/>
      </c>
      <c r="L146" s="108">
        <f>IF($B146="","",SUMIFS(CC_OT_GIO!$M$6:$M$2005,CC_OT_GIO!$B$6:$B$2005,$B146,CC_OT_GIO!$D$6:$D$2005,"&gt;="&amp;THAM_SO_CC!$B$8,CC_OT_GIO!$D$6:$D$2005,"&lt;="&amp;THAM_SO_CC!$B$9))</f>
        <v/>
      </c>
      <c r="M146" s="108">
        <f>IF($B146="","",SUMIFS(CC_OT_GIO!$N$6:$N$2005,CC_OT_GIO!$B$6:$B$2005,$B146,CC_OT_GIO!$D$6:$D$2005,"&gt;="&amp;THAM_SO_CC!$B$8,CC_OT_GIO!$D$6:$D$2005,"&lt;="&amp;THAM_SO_CC!$B$9))</f>
        <v/>
      </c>
      <c r="N146" s="108">
        <f>IF($B146="","",SUMIFS(CC_OT_GIO!$O$6:$O$2005,CC_OT_GIO!$B$6:$B$2005,$B146,CC_OT_GIO!$D$6:$D$2005,"&gt;="&amp;THAM_SO_CC!$B$8,CC_OT_GIO!$D$6:$D$2005,"&lt;="&amp;THAM_SO_CC!$B$9))</f>
        <v/>
      </c>
      <c r="O146" s="104">
        <f>IF($B146="","",BANG_CHAM_CONG!AL146)</f>
        <v/>
      </c>
      <c r="P146" s="104">
        <f>IF($B146="","",BANG_CHAM_CONG!AM146)</f>
        <v/>
      </c>
      <c r="Q146" s="104">
        <f>IF($B146="","",BANG_CHAM_CONG!AN146)</f>
        <v/>
      </c>
      <c r="R146" s="104">
        <f>IF($B146="","",BANG_CHAM_CONG!AO146)</f>
        <v/>
      </c>
      <c r="S146" s="104">
        <f>IF($B146="","",BANG_CHAM_CONG!AP146)</f>
        <v/>
      </c>
      <c r="T146" s="104">
        <f>IF($B146="","",BANG_CHAM_CONG!AQ146)</f>
        <v/>
      </c>
      <c r="U146" s="111">
        <f>IF($B146="","",SUM($I146:$N146))</f>
        <v/>
      </c>
      <c r="V146" s="96">
        <f>IF($B146="","",TRIM(BANG_CHAM_CONG!$AU146&amp;IF($U146&gt;60,"OT vượt 60 giờ/tháng – rà soát giới hạn làm thêm; ","")&amp;IF(AND($E146=0,SUM($O146:$T146)=0),"Chưa có dữ liệu chấm công; ","")&amp;IF($H146&gt;$G146,"Giờ đêm trong ca lớn hơn giờ thường; ","")))</f>
        <v/>
      </c>
    </row>
    <row r="147" ht="15" customHeight="1" s="63">
      <c r="A147" s="85">
        <f>IF($B147="","",ROW()-5)</f>
        <v/>
      </c>
      <c r="B147" s="103">
        <f>IF(BANG_CHAM_CONG!B147="","",BANG_CHAM_CONG!B147)</f>
        <v/>
      </c>
      <c r="C147" s="96">
        <f>IF($B147="","",BANG_CHAM_CONG!C147)</f>
        <v/>
      </c>
      <c r="D147" s="96">
        <f>IF($B147="","",BANG_CHAM_CONG!D147)</f>
        <v/>
      </c>
      <c r="E147" s="95">
        <f>IF($B147="","",BANG_CHAM_CONG!AK147)</f>
        <v/>
      </c>
      <c r="F147" s="109">
        <f>IF($B147="","",IF(DM_NHAN_SU!$H147="",THAM_SO_CC!$B$11,DM_NHAN_SU!$H147))</f>
        <v/>
      </c>
      <c r="G147" s="110">
        <f>IF($B147="","",ROUND($E147*$F147,2))</f>
        <v/>
      </c>
      <c r="H147" s="108">
        <f>IF($B147="","",SUMIFS(CC_OT_GIO!$F$6:$F$2005,CC_OT_GIO!$B$6:$B$2005,$B147,CC_OT_GIO!$D$6:$D$2005,"&gt;="&amp;THAM_SO_CC!$B$8,CC_OT_GIO!$D$6:$D$2005,"&lt;="&amp;THAM_SO_CC!$B$9))</f>
        <v/>
      </c>
      <c r="I147" s="108">
        <f>IF($B147="","",SUMIFS(CC_OT_GIO!$J$6:$J$2005,CC_OT_GIO!$B$6:$B$2005,$B147,CC_OT_GIO!$D$6:$D$2005,"&gt;="&amp;THAM_SO_CC!$B$8,CC_OT_GIO!$D$6:$D$2005,"&lt;="&amp;THAM_SO_CC!$B$9))</f>
        <v/>
      </c>
      <c r="J147" s="108">
        <f>IF($B147="","",SUMIFS(CC_OT_GIO!$K$6:$K$2005,CC_OT_GIO!$B$6:$B$2005,$B147,CC_OT_GIO!$D$6:$D$2005,"&gt;="&amp;THAM_SO_CC!$B$8,CC_OT_GIO!$D$6:$D$2005,"&lt;="&amp;THAM_SO_CC!$B$9))</f>
        <v/>
      </c>
      <c r="K147" s="108">
        <f>IF($B147="","",SUMIFS(CC_OT_GIO!$L$6:$L$2005,CC_OT_GIO!$B$6:$B$2005,$B147,CC_OT_GIO!$D$6:$D$2005,"&gt;="&amp;THAM_SO_CC!$B$8,CC_OT_GIO!$D$6:$D$2005,"&lt;="&amp;THAM_SO_CC!$B$9))</f>
        <v/>
      </c>
      <c r="L147" s="108">
        <f>IF($B147="","",SUMIFS(CC_OT_GIO!$M$6:$M$2005,CC_OT_GIO!$B$6:$B$2005,$B147,CC_OT_GIO!$D$6:$D$2005,"&gt;="&amp;THAM_SO_CC!$B$8,CC_OT_GIO!$D$6:$D$2005,"&lt;="&amp;THAM_SO_CC!$B$9))</f>
        <v/>
      </c>
      <c r="M147" s="108">
        <f>IF($B147="","",SUMIFS(CC_OT_GIO!$N$6:$N$2005,CC_OT_GIO!$B$6:$B$2005,$B147,CC_OT_GIO!$D$6:$D$2005,"&gt;="&amp;THAM_SO_CC!$B$8,CC_OT_GIO!$D$6:$D$2005,"&lt;="&amp;THAM_SO_CC!$B$9))</f>
        <v/>
      </c>
      <c r="N147" s="108">
        <f>IF($B147="","",SUMIFS(CC_OT_GIO!$O$6:$O$2005,CC_OT_GIO!$B$6:$B$2005,$B147,CC_OT_GIO!$D$6:$D$2005,"&gt;="&amp;THAM_SO_CC!$B$8,CC_OT_GIO!$D$6:$D$2005,"&lt;="&amp;THAM_SO_CC!$B$9))</f>
        <v/>
      </c>
      <c r="O147" s="104">
        <f>IF($B147="","",BANG_CHAM_CONG!AL147)</f>
        <v/>
      </c>
      <c r="P147" s="104">
        <f>IF($B147="","",BANG_CHAM_CONG!AM147)</f>
        <v/>
      </c>
      <c r="Q147" s="104">
        <f>IF($B147="","",BANG_CHAM_CONG!AN147)</f>
        <v/>
      </c>
      <c r="R147" s="104">
        <f>IF($B147="","",BANG_CHAM_CONG!AO147)</f>
        <v/>
      </c>
      <c r="S147" s="104">
        <f>IF($B147="","",BANG_CHAM_CONG!AP147)</f>
        <v/>
      </c>
      <c r="T147" s="104">
        <f>IF($B147="","",BANG_CHAM_CONG!AQ147)</f>
        <v/>
      </c>
      <c r="U147" s="111">
        <f>IF($B147="","",SUM($I147:$N147))</f>
        <v/>
      </c>
      <c r="V147" s="96">
        <f>IF($B147="","",TRIM(BANG_CHAM_CONG!$AU147&amp;IF($U147&gt;60,"OT vượt 60 giờ/tháng – rà soát giới hạn làm thêm; ","")&amp;IF(AND($E147=0,SUM($O147:$T147)=0),"Chưa có dữ liệu chấm công; ","")&amp;IF($H147&gt;$G147,"Giờ đêm trong ca lớn hơn giờ thường; ","")))</f>
        <v/>
      </c>
    </row>
    <row r="148" ht="15" customHeight="1" s="63">
      <c r="A148" s="85">
        <f>IF($B148="","",ROW()-5)</f>
        <v/>
      </c>
      <c r="B148" s="103">
        <f>IF(BANG_CHAM_CONG!B148="","",BANG_CHAM_CONG!B148)</f>
        <v/>
      </c>
      <c r="C148" s="96">
        <f>IF($B148="","",BANG_CHAM_CONG!C148)</f>
        <v/>
      </c>
      <c r="D148" s="96">
        <f>IF($B148="","",BANG_CHAM_CONG!D148)</f>
        <v/>
      </c>
      <c r="E148" s="95">
        <f>IF($B148="","",BANG_CHAM_CONG!AK148)</f>
        <v/>
      </c>
      <c r="F148" s="109">
        <f>IF($B148="","",IF(DM_NHAN_SU!$H148="",THAM_SO_CC!$B$11,DM_NHAN_SU!$H148))</f>
        <v/>
      </c>
      <c r="G148" s="110">
        <f>IF($B148="","",ROUND($E148*$F148,2))</f>
        <v/>
      </c>
      <c r="H148" s="108">
        <f>IF($B148="","",SUMIFS(CC_OT_GIO!$F$6:$F$2005,CC_OT_GIO!$B$6:$B$2005,$B148,CC_OT_GIO!$D$6:$D$2005,"&gt;="&amp;THAM_SO_CC!$B$8,CC_OT_GIO!$D$6:$D$2005,"&lt;="&amp;THAM_SO_CC!$B$9))</f>
        <v/>
      </c>
      <c r="I148" s="108">
        <f>IF($B148="","",SUMIFS(CC_OT_GIO!$J$6:$J$2005,CC_OT_GIO!$B$6:$B$2005,$B148,CC_OT_GIO!$D$6:$D$2005,"&gt;="&amp;THAM_SO_CC!$B$8,CC_OT_GIO!$D$6:$D$2005,"&lt;="&amp;THAM_SO_CC!$B$9))</f>
        <v/>
      </c>
      <c r="J148" s="108">
        <f>IF($B148="","",SUMIFS(CC_OT_GIO!$K$6:$K$2005,CC_OT_GIO!$B$6:$B$2005,$B148,CC_OT_GIO!$D$6:$D$2005,"&gt;="&amp;THAM_SO_CC!$B$8,CC_OT_GIO!$D$6:$D$2005,"&lt;="&amp;THAM_SO_CC!$B$9))</f>
        <v/>
      </c>
      <c r="K148" s="108">
        <f>IF($B148="","",SUMIFS(CC_OT_GIO!$L$6:$L$2005,CC_OT_GIO!$B$6:$B$2005,$B148,CC_OT_GIO!$D$6:$D$2005,"&gt;="&amp;THAM_SO_CC!$B$8,CC_OT_GIO!$D$6:$D$2005,"&lt;="&amp;THAM_SO_CC!$B$9))</f>
        <v/>
      </c>
      <c r="L148" s="108">
        <f>IF($B148="","",SUMIFS(CC_OT_GIO!$M$6:$M$2005,CC_OT_GIO!$B$6:$B$2005,$B148,CC_OT_GIO!$D$6:$D$2005,"&gt;="&amp;THAM_SO_CC!$B$8,CC_OT_GIO!$D$6:$D$2005,"&lt;="&amp;THAM_SO_CC!$B$9))</f>
        <v/>
      </c>
      <c r="M148" s="108">
        <f>IF($B148="","",SUMIFS(CC_OT_GIO!$N$6:$N$2005,CC_OT_GIO!$B$6:$B$2005,$B148,CC_OT_GIO!$D$6:$D$2005,"&gt;="&amp;THAM_SO_CC!$B$8,CC_OT_GIO!$D$6:$D$2005,"&lt;="&amp;THAM_SO_CC!$B$9))</f>
        <v/>
      </c>
      <c r="N148" s="108">
        <f>IF($B148="","",SUMIFS(CC_OT_GIO!$O$6:$O$2005,CC_OT_GIO!$B$6:$B$2005,$B148,CC_OT_GIO!$D$6:$D$2005,"&gt;="&amp;THAM_SO_CC!$B$8,CC_OT_GIO!$D$6:$D$2005,"&lt;="&amp;THAM_SO_CC!$B$9))</f>
        <v/>
      </c>
      <c r="O148" s="104">
        <f>IF($B148="","",BANG_CHAM_CONG!AL148)</f>
        <v/>
      </c>
      <c r="P148" s="104">
        <f>IF($B148="","",BANG_CHAM_CONG!AM148)</f>
        <v/>
      </c>
      <c r="Q148" s="104">
        <f>IF($B148="","",BANG_CHAM_CONG!AN148)</f>
        <v/>
      </c>
      <c r="R148" s="104">
        <f>IF($B148="","",BANG_CHAM_CONG!AO148)</f>
        <v/>
      </c>
      <c r="S148" s="104">
        <f>IF($B148="","",BANG_CHAM_CONG!AP148)</f>
        <v/>
      </c>
      <c r="T148" s="104">
        <f>IF($B148="","",BANG_CHAM_CONG!AQ148)</f>
        <v/>
      </c>
      <c r="U148" s="111">
        <f>IF($B148="","",SUM($I148:$N148))</f>
        <v/>
      </c>
      <c r="V148" s="96">
        <f>IF($B148="","",TRIM(BANG_CHAM_CONG!$AU148&amp;IF($U148&gt;60,"OT vượt 60 giờ/tháng – rà soát giới hạn làm thêm; ","")&amp;IF(AND($E148=0,SUM($O148:$T148)=0),"Chưa có dữ liệu chấm công; ","")&amp;IF($H148&gt;$G148,"Giờ đêm trong ca lớn hơn giờ thường; ","")))</f>
        <v/>
      </c>
    </row>
    <row r="149" ht="15" customHeight="1" s="63">
      <c r="A149" s="85">
        <f>IF($B149="","",ROW()-5)</f>
        <v/>
      </c>
      <c r="B149" s="103">
        <f>IF(BANG_CHAM_CONG!B149="","",BANG_CHAM_CONG!B149)</f>
        <v/>
      </c>
      <c r="C149" s="96">
        <f>IF($B149="","",BANG_CHAM_CONG!C149)</f>
        <v/>
      </c>
      <c r="D149" s="96">
        <f>IF($B149="","",BANG_CHAM_CONG!D149)</f>
        <v/>
      </c>
      <c r="E149" s="95">
        <f>IF($B149="","",BANG_CHAM_CONG!AK149)</f>
        <v/>
      </c>
      <c r="F149" s="109">
        <f>IF($B149="","",IF(DM_NHAN_SU!$H149="",THAM_SO_CC!$B$11,DM_NHAN_SU!$H149))</f>
        <v/>
      </c>
      <c r="G149" s="110">
        <f>IF($B149="","",ROUND($E149*$F149,2))</f>
        <v/>
      </c>
      <c r="H149" s="108">
        <f>IF($B149="","",SUMIFS(CC_OT_GIO!$F$6:$F$2005,CC_OT_GIO!$B$6:$B$2005,$B149,CC_OT_GIO!$D$6:$D$2005,"&gt;="&amp;THAM_SO_CC!$B$8,CC_OT_GIO!$D$6:$D$2005,"&lt;="&amp;THAM_SO_CC!$B$9))</f>
        <v/>
      </c>
      <c r="I149" s="108">
        <f>IF($B149="","",SUMIFS(CC_OT_GIO!$J$6:$J$2005,CC_OT_GIO!$B$6:$B$2005,$B149,CC_OT_GIO!$D$6:$D$2005,"&gt;="&amp;THAM_SO_CC!$B$8,CC_OT_GIO!$D$6:$D$2005,"&lt;="&amp;THAM_SO_CC!$B$9))</f>
        <v/>
      </c>
      <c r="J149" s="108">
        <f>IF($B149="","",SUMIFS(CC_OT_GIO!$K$6:$K$2005,CC_OT_GIO!$B$6:$B$2005,$B149,CC_OT_GIO!$D$6:$D$2005,"&gt;="&amp;THAM_SO_CC!$B$8,CC_OT_GIO!$D$6:$D$2005,"&lt;="&amp;THAM_SO_CC!$B$9))</f>
        <v/>
      </c>
      <c r="K149" s="108">
        <f>IF($B149="","",SUMIFS(CC_OT_GIO!$L$6:$L$2005,CC_OT_GIO!$B$6:$B$2005,$B149,CC_OT_GIO!$D$6:$D$2005,"&gt;="&amp;THAM_SO_CC!$B$8,CC_OT_GIO!$D$6:$D$2005,"&lt;="&amp;THAM_SO_CC!$B$9))</f>
        <v/>
      </c>
      <c r="L149" s="108">
        <f>IF($B149="","",SUMIFS(CC_OT_GIO!$M$6:$M$2005,CC_OT_GIO!$B$6:$B$2005,$B149,CC_OT_GIO!$D$6:$D$2005,"&gt;="&amp;THAM_SO_CC!$B$8,CC_OT_GIO!$D$6:$D$2005,"&lt;="&amp;THAM_SO_CC!$B$9))</f>
        <v/>
      </c>
      <c r="M149" s="108">
        <f>IF($B149="","",SUMIFS(CC_OT_GIO!$N$6:$N$2005,CC_OT_GIO!$B$6:$B$2005,$B149,CC_OT_GIO!$D$6:$D$2005,"&gt;="&amp;THAM_SO_CC!$B$8,CC_OT_GIO!$D$6:$D$2005,"&lt;="&amp;THAM_SO_CC!$B$9))</f>
        <v/>
      </c>
      <c r="N149" s="108">
        <f>IF($B149="","",SUMIFS(CC_OT_GIO!$O$6:$O$2005,CC_OT_GIO!$B$6:$B$2005,$B149,CC_OT_GIO!$D$6:$D$2005,"&gt;="&amp;THAM_SO_CC!$B$8,CC_OT_GIO!$D$6:$D$2005,"&lt;="&amp;THAM_SO_CC!$B$9))</f>
        <v/>
      </c>
      <c r="O149" s="104">
        <f>IF($B149="","",BANG_CHAM_CONG!AL149)</f>
        <v/>
      </c>
      <c r="P149" s="104">
        <f>IF($B149="","",BANG_CHAM_CONG!AM149)</f>
        <v/>
      </c>
      <c r="Q149" s="104">
        <f>IF($B149="","",BANG_CHAM_CONG!AN149)</f>
        <v/>
      </c>
      <c r="R149" s="104">
        <f>IF($B149="","",BANG_CHAM_CONG!AO149)</f>
        <v/>
      </c>
      <c r="S149" s="104">
        <f>IF($B149="","",BANG_CHAM_CONG!AP149)</f>
        <v/>
      </c>
      <c r="T149" s="104">
        <f>IF($B149="","",BANG_CHAM_CONG!AQ149)</f>
        <v/>
      </c>
      <c r="U149" s="111">
        <f>IF($B149="","",SUM($I149:$N149))</f>
        <v/>
      </c>
      <c r="V149" s="96">
        <f>IF($B149="","",TRIM(BANG_CHAM_CONG!$AU149&amp;IF($U149&gt;60,"OT vượt 60 giờ/tháng – rà soát giới hạn làm thêm; ","")&amp;IF(AND($E149=0,SUM($O149:$T149)=0),"Chưa có dữ liệu chấm công; ","")&amp;IF($H149&gt;$G149,"Giờ đêm trong ca lớn hơn giờ thường; ","")))</f>
        <v/>
      </c>
    </row>
    <row r="150" ht="15" customHeight="1" s="63">
      <c r="A150" s="85">
        <f>IF($B150="","",ROW()-5)</f>
        <v/>
      </c>
      <c r="B150" s="103">
        <f>IF(BANG_CHAM_CONG!B150="","",BANG_CHAM_CONG!B150)</f>
        <v/>
      </c>
      <c r="C150" s="96">
        <f>IF($B150="","",BANG_CHAM_CONG!C150)</f>
        <v/>
      </c>
      <c r="D150" s="96">
        <f>IF($B150="","",BANG_CHAM_CONG!D150)</f>
        <v/>
      </c>
      <c r="E150" s="95">
        <f>IF($B150="","",BANG_CHAM_CONG!AK150)</f>
        <v/>
      </c>
      <c r="F150" s="109">
        <f>IF($B150="","",IF(DM_NHAN_SU!$H150="",THAM_SO_CC!$B$11,DM_NHAN_SU!$H150))</f>
        <v/>
      </c>
      <c r="G150" s="110">
        <f>IF($B150="","",ROUND($E150*$F150,2))</f>
        <v/>
      </c>
      <c r="H150" s="108">
        <f>IF($B150="","",SUMIFS(CC_OT_GIO!$F$6:$F$2005,CC_OT_GIO!$B$6:$B$2005,$B150,CC_OT_GIO!$D$6:$D$2005,"&gt;="&amp;THAM_SO_CC!$B$8,CC_OT_GIO!$D$6:$D$2005,"&lt;="&amp;THAM_SO_CC!$B$9))</f>
        <v/>
      </c>
      <c r="I150" s="108">
        <f>IF($B150="","",SUMIFS(CC_OT_GIO!$J$6:$J$2005,CC_OT_GIO!$B$6:$B$2005,$B150,CC_OT_GIO!$D$6:$D$2005,"&gt;="&amp;THAM_SO_CC!$B$8,CC_OT_GIO!$D$6:$D$2005,"&lt;="&amp;THAM_SO_CC!$B$9))</f>
        <v/>
      </c>
      <c r="J150" s="108">
        <f>IF($B150="","",SUMIFS(CC_OT_GIO!$K$6:$K$2005,CC_OT_GIO!$B$6:$B$2005,$B150,CC_OT_GIO!$D$6:$D$2005,"&gt;="&amp;THAM_SO_CC!$B$8,CC_OT_GIO!$D$6:$D$2005,"&lt;="&amp;THAM_SO_CC!$B$9))</f>
        <v/>
      </c>
      <c r="K150" s="108">
        <f>IF($B150="","",SUMIFS(CC_OT_GIO!$L$6:$L$2005,CC_OT_GIO!$B$6:$B$2005,$B150,CC_OT_GIO!$D$6:$D$2005,"&gt;="&amp;THAM_SO_CC!$B$8,CC_OT_GIO!$D$6:$D$2005,"&lt;="&amp;THAM_SO_CC!$B$9))</f>
        <v/>
      </c>
      <c r="L150" s="108">
        <f>IF($B150="","",SUMIFS(CC_OT_GIO!$M$6:$M$2005,CC_OT_GIO!$B$6:$B$2005,$B150,CC_OT_GIO!$D$6:$D$2005,"&gt;="&amp;THAM_SO_CC!$B$8,CC_OT_GIO!$D$6:$D$2005,"&lt;="&amp;THAM_SO_CC!$B$9))</f>
        <v/>
      </c>
      <c r="M150" s="108">
        <f>IF($B150="","",SUMIFS(CC_OT_GIO!$N$6:$N$2005,CC_OT_GIO!$B$6:$B$2005,$B150,CC_OT_GIO!$D$6:$D$2005,"&gt;="&amp;THAM_SO_CC!$B$8,CC_OT_GIO!$D$6:$D$2005,"&lt;="&amp;THAM_SO_CC!$B$9))</f>
        <v/>
      </c>
      <c r="N150" s="108">
        <f>IF($B150="","",SUMIFS(CC_OT_GIO!$O$6:$O$2005,CC_OT_GIO!$B$6:$B$2005,$B150,CC_OT_GIO!$D$6:$D$2005,"&gt;="&amp;THAM_SO_CC!$B$8,CC_OT_GIO!$D$6:$D$2005,"&lt;="&amp;THAM_SO_CC!$B$9))</f>
        <v/>
      </c>
      <c r="O150" s="104">
        <f>IF($B150="","",BANG_CHAM_CONG!AL150)</f>
        <v/>
      </c>
      <c r="P150" s="104">
        <f>IF($B150="","",BANG_CHAM_CONG!AM150)</f>
        <v/>
      </c>
      <c r="Q150" s="104">
        <f>IF($B150="","",BANG_CHAM_CONG!AN150)</f>
        <v/>
      </c>
      <c r="R150" s="104">
        <f>IF($B150="","",BANG_CHAM_CONG!AO150)</f>
        <v/>
      </c>
      <c r="S150" s="104">
        <f>IF($B150="","",BANG_CHAM_CONG!AP150)</f>
        <v/>
      </c>
      <c r="T150" s="104">
        <f>IF($B150="","",BANG_CHAM_CONG!AQ150)</f>
        <v/>
      </c>
      <c r="U150" s="111">
        <f>IF($B150="","",SUM($I150:$N150))</f>
        <v/>
      </c>
      <c r="V150" s="96">
        <f>IF($B150="","",TRIM(BANG_CHAM_CONG!$AU150&amp;IF($U150&gt;60,"OT vượt 60 giờ/tháng – rà soát giới hạn làm thêm; ","")&amp;IF(AND($E150=0,SUM($O150:$T150)=0),"Chưa có dữ liệu chấm công; ","")&amp;IF($H150&gt;$G150,"Giờ đêm trong ca lớn hơn giờ thường; ","")))</f>
        <v/>
      </c>
    </row>
    <row r="151" ht="15" customHeight="1" s="63">
      <c r="A151" s="85">
        <f>IF($B151="","",ROW()-5)</f>
        <v/>
      </c>
      <c r="B151" s="103">
        <f>IF(BANG_CHAM_CONG!B151="","",BANG_CHAM_CONG!B151)</f>
        <v/>
      </c>
      <c r="C151" s="96">
        <f>IF($B151="","",BANG_CHAM_CONG!C151)</f>
        <v/>
      </c>
      <c r="D151" s="96">
        <f>IF($B151="","",BANG_CHAM_CONG!D151)</f>
        <v/>
      </c>
      <c r="E151" s="95">
        <f>IF($B151="","",BANG_CHAM_CONG!AK151)</f>
        <v/>
      </c>
      <c r="F151" s="109">
        <f>IF($B151="","",IF(DM_NHAN_SU!$H151="",THAM_SO_CC!$B$11,DM_NHAN_SU!$H151))</f>
        <v/>
      </c>
      <c r="G151" s="110">
        <f>IF($B151="","",ROUND($E151*$F151,2))</f>
        <v/>
      </c>
      <c r="H151" s="108">
        <f>IF($B151="","",SUMIFS(CC_OT_GIO!$F$6:$F$2005,CC_OT_GIO!$B$6:$B$2005,$B151,CC_OT_GIO!$D$6:$D$2005,"&gt;="&amp;THAM_SO_CC!$B$8,CC_OT_GIO!$D$6:$D$2005,"&lt;="&amp;THAM_SO_CC!$B$9))</f>
        <v/>
      </c>
      <c r="I151" s="108">
        <f>IF($B151="","",SUMIFS(CC_OT_GIO!$J$6:$J$2005,CC_OT_GIO!$B$6:$B$2005,$B151,CC_OT_GIO!$D$6:$D$2005,"&gt;="&amp;THAM_SO_CC!$B$8,CC_OT_GIO!$D$6:$D$2005,"&lt;="&amp;THAM_SO_CC!$B$9))</f>
        <v/>
      </c>
      <c r="J151" s="108">
        <f>IF($B151="","",SUMIFS(CC_OT_GIO!$K$6:$K$2005,CC_OT_GIO!$B$6:$B$2005,$B151,CC_OT_GIO!$D$6:$D$2005,"&gt;="&amp;THAM_SO_CC!$B$8,CC_OT_GIO!$D$6:$D$2005,"&lt;="&amp;THAM_SO_CC!$B$9))</f>
        <v/>
      </c>
      <c r="K151" s="108">
        <f>IF($B151="","",SUMIFS(CC_OT_GIO!$L$6:$L$2005,CC_OT_GIO!$B$6:$B$2005,$B151,CC_OT_GIO!$D$6:$D$2005,"&gt;="&amp;THAM_SO_CC!$B$8,CC_OT_GIO!$D$6:$D$2005,"&lt;="&amp;THAM_SO_CC!$B$9))</f>
        <v/>
      </c>
      <c r="L151" s="108">
        <f>IF($B151="","",SUMIFS(CC_OT_GIO!$M$6:$M$2005,CC_OT_GIO!$B$6:$B$2005,$B151,CC_OT_GIO!$D$6:$D$2005,"&gt;="&amp;THAM_SO_CC!$B$8,CC_OT_GIO!$D$6:$D$2005,"&lt;="&amp;THAM_SO_CC!$B$9))</f>
        <v/>
      </c>
      <c r="M151" s="108">
        <f>IF($B151="","",SUMIFS(CC_OT_GIO!$N$6:$N$2005,CC_OT_GIO!$B$6:$B$2005,$B151,CC_OT_GIO!$D$6:$D$2005,"&gt;="&amp;THAM_SO_CC!$B$8,CC_OT_GIO!$D$6:$D$2005,"&lt;="&amp;THAM_SO_CC!$B$9))</f>
        <v/>
      </c>
      <c r="N151" s="108">
        <f>IF($B151="","",SUMIFS(CC_OT_GIO!$O$6:$O$2005,CC_OT_GIO!$B$6:$B$2005,$B151,CC_OT_GIO!$D$6:$D$2005,"&gt;="&amp;THAM_SO_CC!$B$8,CC_OT_GIO!$D$6:$D$2005,"&lt;="&amp;THAM_SO_CC!$B$9))</f>
        <v/>
      </c>
      <c r="O151" s="104">
        <f>IF($B151="","",BANG_CHAM_CONG!AL151)</f>
        <v/>
      </c>
      <c r="P151" s="104">
        <f>IF($B151="","",BANG_CHAM_CONG!AM151)</f>
        <v/>
      </c>
      <c r="Q151" s="104">
        <f>IF($B151="","",BANG_CHAM_CONG!AN151)</f>
        <v/>
      </c>
      <c r="R151" s="104">
        <f>IF($B151="","",BANG_CHAM_CONG!AO151)</f>
        <v/>
      </c>
      <c r="S151" s="104">
        <f>IF($B151="","",BANG_CHAM_CONG!AP151)</f>
        <v/>
      </c>
      <c r="T151" s="104">
        <f>IF($B151="","",BANG_CHAM_CONG!AQ151)</f>
        <v/>
      </c>
      <c r="U151" s="111">
        <f>IF($B151="","",SUM($I151:$N151))</f>
        <v/>
      </c>
      <c r="V151" s="96">
        <f>IF($B151="","",TRIM(BANG_CHAM_CONG!$AU151&amp;IF($U151&gt;60,"OT vượt 60 giờ/tháng – rà soát giới hạn làm thêm; ","")&amp;IF(AND($E151=0,SUM($O151:$T151)=0),"Chưa có dữ liệu chấm công; ","")&amp;IF($H151&gt;$G151,"Giờ đêm trong ca lớn hơn giờ thường; ","")))</f>
        <v/>
      </c>
    </row>
    <row r="152" ht="15" customHeight="1" s="63">
      <c r="A152" s="85">
        <f>IF($B152="","",ROW()-5)</f>
        <v/>
      </c>
      <c r="B152" s="103">
        <f>IF(BANG_CHAM_CONG!B152="","",BANG_CHAM_CONG!B152)</f>
        <v/>
      </c>
      <c r="C152" s="96">
        <f>IF($B152="","",BANG_CHAM_CONG!C152)</f>
        <v/>
      </c>
      <c r="D152" s="96">
        <f>IF($B152="","",BANG_CHAM_CONG!D152)</f>
        <v/>
      </c>
      <c r="E152" s="95">
        <f>IF($B152="","",BANG_CHAM_CONG!AK152)</f>
        <v/>
      </c>
      <c r="F152" s="109">
        <f>IF($B152="","",IF(DM_NHAN_SU!$H152="",THAM_SO_CC!$B$11,DM_NHAN_SU!$H152))</f>
        <v/>
      </c>
      <c r="G152" s="110">
        <f>IF($B152="","",ROUND($E152*$F152,2))</f>
        <v/>
      </c>
      <c r="H152" s="108">
        <f>IF($B152="","",SUMIFS(CC_OT_GIO!$F$6:$F$2005,CC_OT_GIO!$B$6:$B$2005,$B152,CC_OT_GIO!$D$6:$D$2005,"&gt;="&amp;THAM_SO_CC!$B$8,CC_OT_GIO!$D$6:$D$2005,"&lt;="&amp;THAM_SO_CC!$B$9))</f>
        <v/>
      </c>
      <c r="I152" s="108">
        <f>IF($B152="","",SUMIFS(CC_OT_GIO!$J$6:$J$2005,CC_OT_GIO!$B$6:$B$2005,$B152,CC_OT_GIO!$D$6:$D$2005,"&gt;="&amp;THAM_SO_CC!$B$8,CC_OT_GIO!$D$6:$D$2005,"&lt;="&amp;THAM_SO_CC!$B$9))</f>
        <v/>
      </c>
      <c r="J152" s="108">
        <f>IF($B152="","",SUMIFS(CC_OT_GIO!$K$6:$K$2005,CC_OT_GIO!$B$6:$B$2005,$B152,CC_OT_GIO!$D$6:$D$2005,"&gt;="&amp;THAM_SO_CC!$B$8,CC_OT_GIO!$D$6:$D$2005,"&lt;="&amp;THAM_SO_CC!$B$9))</f>
        <v/>
      </c>
      <c r="K152" s="108">
        <f>IF($B152="","",SUMIFS(CC_OT_GIO!$L$6:$L$2005,CC_OT_GIO!$B$6:$B$2005,$B152,CC_OT_GIO!$D$6:$D$2005,"&gt;="&amp;THAM_SO_CC!$B$8,CC_OT_GIO!$D$6:$D$2005,"&lt;="&amp;THAM_SO_CC!$B$9))</f>
        <v/>
      </c>
      <c r="L152" s="108">
        <f>IF($B152="","",SUMIFS(CC_OT_GIO!$M$6:$M$2005,CC_OT_GIO!$B$6:$B$2005,$B152,CC_OT_GIO!$D$6:$D$2005,"&gt;="&amp;THAM_SO_CC!$B$8,CC_OT_GIO!$D$6:$D$2005,"&lt;="&amp;THAM_SO_CC!$B$9))</f>
        <v/>
      </c>
      <c r="M152" s="108">
        <f>IF($B152="","",SUMIFS(CC_OT_GIO!$N$6:$N$2005,CC_OT_GIO!$B$6:$B$2005,$B152,CC_OT_GIO!$D$6:$D$2005,"&gt;="&amp;THAM_SO_CC!$B$8,CC_OT_GIO!$D$6:$D$2005,"&lt;="&amp;THAM_SO_CC!$B$9))</f>
        <v/>
      </c>
      <c r="N152" s="108">
        <f>IF($B152="","",SUMIFS(CC_OT_GIO!$O$6:$O$2005,CC_OT_GIO!$B$6:$B$2005,$B152,CC_OT_GIO!$D$6:$D$2005,"&gt;="&amp;THAM_SO_CC!$B$8,CC_OT_GIO!$D$6:$D$2005,"&lt;="&amp;THAM_SO_CC!$B$9))</f>
        <v/>
      </c>
      <c r="O152" s="104">
        <f>IF($B152="","",BANG_CHAM_CONG!AL152)</f>
        <v/>
      </c>
      <c r="P152" s="104">
        <f>IF($B152="","",BANG_CHAM_CONG!AM152)</f>
        <v/>
      </c>
      <c r="Q152" s="104">
        <f>IF($B152="","",BANG_CHAM_CONG!AN152)</f>
        <v/>
      </c>
      <c r="R152" s="104">
        <f>IF($B152="","",BANG_CHAM_CONG!AO152)</f>
        <v/>
      </c>
      <c r="S152" s="104">
        <f>IF($B152="","",BANG_CHAM_CONG!AP152)</f>
        <v/>
      </c>
      <c r="T152" s="104">
        <f>IF($B152="","",BANG_CHAM_CONG!AQ152)</f>
        <v/>
      </c>
      <c r="U152" s="111">
        <f>IF($B152="","",SUM($I152:$N152))</f>
        <v/>
      </c>
      <c r="V152" s="96">
        <f>IF($B152="","",TRIM(BANG_CHAM_CONG!$AU152&amp;IF($U152&gt;60,"OT vượt 60 giờ/tháng – rà soát giới hạn làm thêm; ","")&amp;IF(AND($E152=0,SUM($O152:$T152)=0),"Chưa có dữ liệu chấm công; ","")&amp;IF($H152&gt;$G152,"Giờ đêm trong ca lớn hơn giờ thường; ","")))</f>
        <v/>
      </c>
    </row>
    <row r="153" ht="15" customHeight="1" s="63">
      <c r="A153" s="85">
        <f>IF($B153="","",ROW()-5)</f>
        <v/>
      </c>
      <c r="B153" s="103">
        <f>IF(BANG_CHAM_CONG!B153="","",BANG_CHAM_CONG!B153)</f>
        <v/>
      </c>
      <c r="C153" s="96">
        <f>IF($B153="","",BANG_CHAM_CONG!C153)</f>
        <v/>
      </c>
      <c r="D153" s="96">
        <f>IF($B153="","",BANG_CHAM_CONG!D153)</f>
        <v/>
      </c>
      <c r="E153" s="95">
        <f>IF($B153="","",BANG_CHAM_CONG!AK153)</f>
        <v/>
      </c>
      <c r="F153" s="109">
        <f>IF($B153="","",IF(DM_NHAN_SU!$H153="",THAM_SO_CC!$B$11,DM_NHAN_SU!$H153))</f>
        <v/>
      </c>
      <c r="G153" s="110">
        <f>IF($B153="","",ROUND($E153*$F153,2))</f>
        <v/>
      </c>
      <c r="H153" s="108">
        <f>IF($B153="","",SUMIFS(CC_OT_GIO!$F$6:$F$2005,CC_OT_GIO!$B$6:$B$2005,$B153,CC_OT_GIO!$D$6:$D$2005,"&gt;="&amp;THAM_SO_CC!$B$8,CC_OT_GIO!$D$6:$D$2005,"&lt;="&amp;THAM_SO_CC!$B$9))</f>
        <v/>
      </c>
      <c r="I153" s="108">
        <f>IF($B153="","",SUMIFS(CC_OT_GIO!$J$6:$J$2005,CC_OT_GIO!$B$6:$B$2005,$B153,CC_OT_GIO!$D$6:$D$2005,"&gt;="&amp;THAM_SO_CC!$B$8,CC_OT_GIO!$D$6:$D$2005,"&lt;="&amp;THAM_SO_CC!$B$9))</f>
        <v/>
      </c>
      <c r="J153" s="108">
        <f>IF($B153="","",SUMIFS(CC_OT_GIO!$K$6:$K$2005,CC_OT_GIO!$B$6:$B$2005,$B153,CC_OT_GIO!$D$6:$D$2005,"&gt;="&amp;THAM_SO_CC!$B$8,CC_OT_GIO!$D$6:$D$2005,"&lt;="&amp;THAM_SO_CC!$B$9))</f>
        <v/>
      </c>
      <c r="K153" s="108">
        <f>IF($B153="","",SUMIFS(CC_OT_GIO!$L$6:$L$2005,CC_OT_GIO!$B$6:$B$2005,$B153,CC_OT_GIO!$D$6:$D$2005,"&gt;="&amp;THAM_SO_CC!$B$8,CC_OT_GIO!$D$6:$D$2005,"&lt;="&amp;THAM_SO_CC!$B$9))</f>
        <v/>
      </c>
      <c r="L153" s="108">
        <f>IF($B153="","",SUMIFS(CC_OT_GIO!$M$6:$M$2005,CC_OT_GIO!$B$6:$B$2005,$B153,CC_OT_GIO!$D$6:$D$2005,"&gt;="&amp;THAM_SO_CC!$B$8,CC_OT_GIO!$D$6:$D$2005,"&lt;="&amp;THAM_SO_CC!$B$9))</f>
        <v/>
      </c>
      <c r="M153" s="108">
        <f>IF($B153="","",SUMIFS(CC_OT_GIO!$N$6:$N$2005,CC_OT_GIO!$B$6:$B$2005,$B153,CC_OT_GIO!$D$6:$D$2005,"&gt;="&amp;THAM_SO_CC!$B$8,CC_OT_GIO!$D$6:$D$2005,"&lt;="&amp;THAM_SO_CC!$B$9))</f>
        <v/>
      </c>
      <c r="N153" s="108">
        <f>IF($B153="","",SUMIFS(CC_OT_GIO!$O$6:$O$2005,CC_OT_GIO!$B$6:$B$2005,$B153,CC_OT_GIO!$D$6:$D$2005,"&gt;="&amp;THAM_SO_CC!$B$8,CC_OT_GIO!$D$6:$D$2005,"&lt;="&amp;THAM_SO_CC!$B$9))</f>
        <v/>
      </c>
      <c r="O153" s="104">
        <f>IF($B153="","",BANG_CHAM_CONG!AL153)</f>
        <v/>
      </c>
      <c r="P153" s="104">
        <f>IF($B153="","",BANG_CHAM_CONG!AM153)</f>
        <v/>
      </c>
      <c r="Q153" s="104">
        <f>IF($B153="","",BANG_CHAM_CONG!AN153)</f>
        <v/>
      </c>
      <c r="R153" s="104">
        <f>IF($B153="","",BANG_CHAM_CONG!AO153)</f>
        <v/>
      </c>
      <c r="S153" s="104">
        <f>IF($B153="","",BANG_CHAM_CONG!AP153)</f>
        <v/>
      </c>
      <c r="T153" s="104">
        <f>IF($B153="","",BANG_CHAM_CONG!AQ153)</f>
        <v/>
      </c>
      <c r="U153" s="111">
        <f>IF($B153="","",SUM($I153:$N153))</f>
        <v/>
      </c>
      <c r="V153" s="96">
        <f>IF($B153="","",TRIM(BANG_CHAM_CONG!$AU153&amp;IF($U153&gt;60,"OT vượt 60 giờ/tháng – rà soát giới hạn làm thêm; ","")&amp;IF(AND($E153=0,SUM($O153:$T153)=0),"Chưa có dữ liệu chấm công; ","")&amp;IF($H153&gt;$G153,"Giờ đêm trong ca lớn hơn giờ thường; ","")))</f>
        <v/>
      </c>
    </row>
    <row r="154" ht="15" customHeight="1" s="63">
      <c r="A154" s="85">
        <f>IF($B154="","",ROW()-5)</f>
        <v/>
      </c>
      <c r="B154" s="103">
        <f>IF(BANG_CHAM_CONG!B154="","",BANG_CHAM_CONG!B154)</f>
        <v/>
      </c>
      <c r="C154" s="96">
        <f>IF($B154="","",BANG_CHAM_CONG!C154)</f>
        <v/>
      </c>
      <c r="D154" s="96">
        <f>IF($B154="","",BANG_CHAM_CONG!D154)</f>
        <v/>
      </c>
      <c r="E154" s="95">
        <f>IF($B154="","",BANG_CHAM_CONG!AK154)</f>
        <v/>
      </c>
      <c r="F154" s="109">
        <f>IF($B154="","",IF(DM_NHAN_SU!$H154="",THAM_SO_CC!$B$11,DM_NHAN_SU!$H154))</f>
        <v/>
      </c>
      <c r="G154" s="110">
        <f>IF($B154="","",ROUND($E154*$F154,2))</f>
        <v/>
      </c>
      <c r="H154" s="108">
        <f>IF($B154="","",SUMIFS(CC_OT_GIO!$F$6:$F$2005,CC_OT_GIO!$B$6:$B$2005,$B154,CC_OT_GIO!$D$6:$D$2005,"&gt;="&amp;THAM_SO_CC!$B$8,CC_OT_GIO!$D$6:$D$2005,"&lt;="&amp;THAM_SO_CC!$B$9))</f>
        <v/>
      </c>
      <c r="I154" s="108">
        <f>IF($B154="","",SUMIFS(CC_OT_GIO!$J$6:$J$2005,CC_OT_GIO!$B$6:$B$2005,$B154,CC_OT_GIO!$D$6:$D$2005,"&gt;="&amp;THAM_SO_CC!$B$8,CC_OT_GIO!$D$6:$D$2005,"&lt;="&amp;THAM_SO_CC!$B$9))</f>
        <v/>
      </c>
      <c r="J154" s="108">
        <f>IF($B154="","",SUMIFS(CC_OT_GIO!$K$6:$K$2005,CC_OT_GIO!$B$6:$B$2005,$B154,CC_OT_GIO!$D$6:$D$2005,"&gt;="&amp;THAM_SO_CC!$B$8,CC_OT_GIO!$D$6:$D$2005,"&lt;="&amp;THAM_SO_CC!$B$9))</f>
        <v/>
      </c>
      <c r="K154" s="108">
        <f>IF($B154="","",SUMIFS(CC_OT_GIO!$L$6:$L$2005,CC_OT_GIO!$B$6:$B$2005,$B154,CC_OT_GIO!$D$6:$D$2005,"&gt;="&amp;THAM_SO_CC!$B$8,CC_OT_GIO!$D$6:$D$2005,"&lt;="&amp;THAM_SO_CC!$B$9))</f>
        <v/>
      </c>
      <c r="L154" s="108">
        <f>IF($B154="","",SUMIFS(CC_OT_GIO!$M$6:$M$2005,CC_OT_GIO!$B$6:$B$2005,$B154,CC_OT_GIO!$D$6:$D$2005,"&gt;="&amp;THAM_SO_CC!$B$8,CC_OT_GIO!$D$6:$D$2005,"&lt;="&amp;THAM_SO_CC!$B$9))</f>
        <v/>
      </c>
      <c r="M154" s="108">
        <f>IF($B154="","",SUMIFS(CC_OT_GIO!$N$6:$N$2005,CC_OT_GIO!$B$6:$B$2005,$B154,CC_OT_GIO!$D$6:$D$2005,"&gt;="&amp;THAM_SO_CC!$B$8,CC_OT_GIO!$D$6:$D$2005,"&lt;="&amp;THAM_SO_CC!$B$9))</f>
        <v/>
      </c>
      <c r="N154" s="108">
        <f>IF($B154="","",SUMIFS(CC_OT_GIO!$O$6:$O$2005,CC_OT_GIO!$B$6:$B$2005,$B154,CC_OT_GIO!$D$6:$D$2005,"&gt;="&amp;THAM_SO_CC!$B$8,CC_OT_GIO!$D$6:$D$2005,"&lt;="&amp;THAM_SO_CC!$B$9))</f>
        <v/>
      </c>
      <c r="O154" s="104">
        <f>IF($B154="","",BANG_CHAM_CONG!AL154)</f>
        <v/>
      </c>
      <c r="P154" s="104">
        <f>IF($B154="","",BANG_CHAM_CONG!AM154)</f>
        <v/>
      </c>
      <c r="Q154" s="104">
        <f>IF($B154="","",BANG_CHAM_CONG!AN154)</f>
        <v/>
      </c>
      <c r="R154" s="104">
        <f>IF($B154="","",BANG_CHAM_CONG!AO154)</f>
        <v/>
      </c>
      <c r="S154" s="104">
        <f>IF($B154="","",BANG_CHAM_CONG!AP154)</f>
        <v/>
      </c>
      <c r="T154" s="104">
        <f>IF($B154="","",BANG_CHAM_CONG!AQ154)</f>
        <v/>
      </c>
      <c r="U154" s="111">
        <f>IF($B154="","",SUM($I154:$N154))</f>
        <v/>
      </c>
      <c r="V154" s="96">
        <f>IF($B154="","",TRIM(BANG_CHAM_CONG!$AU154&amp;IF($U154&gt;60,"OT vượt 60 giờ/tháng – rà soát giới hạn làm thêm; ","")&amp;IF(AND($E154=0,SUM($O154:$T154)=0),"Chưa có dữ liệu chấm công; ","")&amp;IF($H154&gt;$G154,"Giờ đêm trong ca lớn hơn giờ thường; ","")))</f>
        <v/>
      </c>
    </row>
    <row r="155" ht="15" customHeight="1" s="63">
      <c r="A155" s="85">
        <f>IF($B155="","",ROW()-5)</f>
        <v/>
      </c>
      <c r="B155" s="103">
        <f>IF(BANG_CHAM_CONG!B155="","",BANG_CHAM_CONG!B155)</f>
        <v/>
      </c>
      <c r="C155" s="96">
        <f>IF($B155="","",BANG_CHAM_CONG!C155)</f>
        <v/>
      </c>
      <c r="D155" s="96">
        <f>IF($B155="","",BANG_CHAM_CONG!D155)</f>
        <v/>
      </c>
      <c r="E155" s="95">
        <f>IF($B155="","",BANG_CHAM_CONG!AK155)</f>
        <v/>
      </c>
      <c r="F155" s="109">
        <f>IF($B155="","",IF(DM_NHAN_SU!$H155="",THAM_SO_CC!$B$11,DM_NHAN_SU!$H155))</f>
        <v/>
      </c>
      <c r="G155" s="110">
        <f>IF($B155="","",ROUND($E155*$F155,2))</f>
        <v/>
      </c>
      <c r="H155" s="108">
        <f>IF($B155="","",SUMIFS(CC_OT_GIO!$F$6:$F$2005,CC_OT_GIO!$B$6:$B$2005,$B155,CC_OT_GIO!$D$6:$D$2005,"&gt;="&amp;THAM_SO_CC!$B$8,CC_OT_GIO!$D$6:$D$2005,"&lt;="&amp;THAM_SO_CC!$B$9))</f>
        <v/>
      </c>
      <c r="I155" s="108">
        <f>IF($B155="","",SUMIFS(CC_OT_GIO!$J$6:$J$2005,CC_OT_GIO!$B$6:$B$2005,$B155,CC_OT_GIO!$D$6:$D$2005,"&gt;="&amp;THAM_SO_CC!$B$8,CC_OT_GIO!$D$6:$D$2005,"&lt;="&amp;THAM_SO_CC!$B$9))</f>
        <v/>
      </c>
      <c r="J155" s="108">
        <f>IF($B155="","",SUMIFS(CC_OT_GIO!$K$6:$K$2005,CC_OT_GIO!$B$6:$B$2005,$B155,CC_OT_GIO!$D$6:$D$2005,"&gt;="&amp;THAM_SO_CC!$B$8,CC_OT_GIO!$D$6:$D$2005,"&lt;="&amp;THAM_SO_CC!$B$9))</f>
        <v/>
      </c>
      <c r="K155" s="108">
        <f>IF($B155="","",SUMIFS(CC_OT_GIO!$L$6:$L$2005,CC_OT_GIO!$B$6:$B$2005,$B155,CC_OT_GIO!$D$6:$D$2005,"&gt;="&amp;THAM_SO_CC!$B$8,CC_OT_GIO!$D$6:$D$2005,"&lt;="&amp;THAM_SO_CC!$B$9))</f>
        <v/>
      </c>
      <c r="L155" s="108">
        <f>IF($B155="","",SUMIFS(CC_OT_GIO!$M$6:$M$2005,CC_OT_GIO!$B$6:$B$2005,$B155,CC_OT_GIO!$D$6:$D$2005,"&gt;="&amp;THAM_SO_CC!$B$8,CC_OT_GIO!$D$6:$D$2005,"&lt;="&amp;THAM_SO_CC!$B$9))</f>
        <v/>
      </c>
      <c r="M155" s="108">
        <f>IF($B155="","",SUMIFS(CC_OT_GIO!$N$6:$N$2005,CC_OT_GIO!$B$6:$B$2005,$B155,CC_OT_GIO!$D$6:$D$2005,"&gt;="&amp;THAM_SO_CC!$B$8,CC_OT_GIO!$D$6:$D$2005,"&lt;="&amp;THAM_SO_CC!$B$9))</f>
        <v/>
      </c>
      <c r="N155" s="108">
        <f>IF($B155="","",SUMIFS(CC_OT_GIO!$O$6:$O$2005,CC_OT_GIO!$B$6:$B$2005,$B155,CC_OT_GIO!$D$6:$D$2005,"&gt;="&amp;THAM_SO_CC!$B$8,CC_OT_GIO!$D$6:$D$2005,"&lt;="&amp;THAM_SO_CC!$B$9))</f>
        <v/>
      </c>
      <c r="O155" s="104">
        <f>IF($B155="","",BANG_CHAM_CONG!AL155)</f>
        <v/>
      </c>
      <c r="P155" s="104">
        <f>IF($B155="","",BANG_CHAM_CONG!AM155)</f>
        <v/>
      </c>
      <c r="Q155" s="104">
        <f>IF($B155="","",BANG_CHAM_CONG!AN155)</f>
        <v/>
      </c>
      <c r="R155" s="104">
        <f>IF($B155="","",BANG_CHAM_CONG!AO155)</f>
        <v/>
      </c>
      <c r="S155" s="104">
        <f>IF($B155="","",BANG_CHAM_CONG!AP155)</f>
        <v/>
      </c>
      <c r="T155" s="104">
        <f>IF($B155="","",BANG_CHAM_CONG!AQ155)</f>
        <v/>
      </c>
      <c r="U155" s="111">
        <f>IF($B155="","",SUM($I155:$N155))</f>
        <v/>
      </c>
      <c r="V155" s="96">
        <f>IF($B155="","",TRIM(BANG_CHAM_CONG!$AU155&amp;IF($U155&gt;60,"OT vượt 60 giờ/tháng – rà soát giới hạn làm thêm; ","")&amp;IF(AND($E155=0,SUM($O155:$T155)=0),"Chưa có dữ liệu chấm công; ","")&amp;IF($H155&gt;$G155,"Giờ đêm trong ca lớn hơn giờ thường; ","")))</f>
        <v/>
      </c>
    </row>
  </sheetData>
  <mergeCells count="2">
    <mergeCell ref="A1:V1"/>
    <mergeCell ref="A2:V3"/>
  </mergeCells>
  <conditionalFormatting sqref="V6:V155">
    <cfRule type="expression" rank="0" priority="2" equalAverage="0" aboveAverage="0" dxfId="4" text="" percent="0" bottom="0">
      <formula>LEN(V6)&gt;0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B155"/>
  <sheetViews>
    <sheetView showFormulas="0" showGridLines="0" showRowColHeaders="1" showZeros="1" rightToLeft="0" tabSelected="0" showOutlineSymbols="1" defaultGridColor="1"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baseColWidth="8" defaultColWidth="8.6796875" defaultRowHeight="15" zeroHeight="0" outlineLevelRow="0"/>
  <cols>
    <col width="5" customWidth="1" style="62" min="1" max="1"/>
    <col width="11" customWidth="1" style="62" min="2" max="2"/>
    <col width="24" customWidth="1" style="62" min="3" max="3"/>
    <col width="2" customWidth="1" style="62" min="4" max="4"/>
    <col width="12" customWidth="1" style="62" min="5" max="6"/>
    <col width="11" customWidth="1" style="62" min="7" max="7"/>
    <col width="12" customWidth="1" style="62" min="8" max="9"/>
    <col width="13" customWidth="1" style="62" min="10" max="10"/>
    <col width="11" customWidth="1" style="62" min="11" max="11"/>
    <col width="12" customWidth="1" style="62" min="12" max="12"/>
    <col width="13" customWidth="1" style="62" min="13" max="13"/>
    <col width="11" customWidth="1" style="62" min="14" max="14"/>
    <col width="2" customWidth="1" style="62" min="15" max="15"/>
    <col width="12" customWidth="1" style="62" min="16" max="17"/>
    <col width="13" customWidth="1" style="62" min="18" max="18"/>
    <col width="12" customWidth="1" style="62" min="19" max="19"/>
    <col width="11" customWidth="1" style="62" min="20" max="20"/>
    <col width="12" customWidth="1" style="62" min="21" max="21"/>
    <col width="2" customWidth="1" style="62" min="22" max="22"/>
    <col width="11" customWidth="1" style="62" min="23" max="23"/>
    <col width="24" customWidth="1" style="62" min="24" max="24"/>
    <col width="16" customWidth="1" style="62" min="25" max="25"/>
    <col width="22" customWidth="1" style="62" min="26" max="26"/>
    <col width="12" customWidth="1" style="62" min="27" max="28"/>
  </cols>
  <sheetData>
    <row r="1" ht="30" customHeight="1" s="63">
      <c r="A1" s="64" t="inlineStr">
        <is>
          <t>KẾT XUẤT SANG FILE NS06_Bang_Luong_Tu_Dong_2026.xlsx</t>
        </is>
      </c>
    </row>
    <row r="2" ht="15" customHeight="1" s="63">
      <c r="A2" s="65" t="inlineStr">
        <is>
          <t>Copy từng khối rồi dán vào file lương bằng Paste Values (Ctrl+Alt+V → Values). Dán Khối 0 trước để hai file cùng thứ tự dòng, sau đó dán Khối 1 và Khối 2. Không dán đè lên vùng công thức AC:AK và AR:AW của sheet CHAM_CONG_THANG.</t>
        </is>
      </c>
    </row>
    <row r="3" ht="15" customHeight="1" s="63"/>
    <row r="4" ht="33.75" customHeight="1" s="63">
      <c r="A4" s="66" t="inlineStr">
        <is>
          <t>ĐỐI CHIẾU – KHÔNG DÁN</t>
        </is>
      </c>
      <c r="B4" s="67" t="n"/>
      <c r="C4" s="68" t="n"/>
      <c r="E4" s="101" t="inlineStr">
        <is>
          <t>KHỐI 1 → dán Paste Values vào ô D6 sheet CHAM_CONG_THANG (10 cột D:M)</t>
        </is>
      </c>
      <c r="F4" s="67" t="n"/>
      <c r="G4" s="67" t="n"/>
      <c r="H4" s="67" t="n"/>
      <c r="I4" s="67" t="n"/>
      <c r="J4" s="67" t="n"/>
      <c r="K4" s="67" t="n"/>
      <c r="L4" s="67" t="n"/>
      <c r="M4" s="67" t="n"/>
      <c r="N4" s="68" t="n"/>
      <c r="P4" s="101" t="inlineStr">
        <is>
          <t>KHỐI 2 → dán vào ô AL6 sheet CHAM_CONG_THANG (6 cột AL:AQ)</t>
        </is>
      </c>
      <c r="Q4" s="67" t="n"/>
      <c r="R4" s="67" t="n"/>
      <c r="S4" s="67" t="n"/>
      <c r="T4" s="67" t="n"/>
      <c r="U4" s="68" t="n"/>
      <c r="W4" s="101" t="inlineStr">
        <is>
          <t>KHỐI 0 → dán vào ô B6 sheet DM_NHAN_SU (6 cột B:G) – làm trước tiên</t>
        </is>
      </c>
      <c r="X4" s="67" t="n"/>
      <c r="Y4" s="67" t="n"/>
      <c r="Z4" s="67" t="n"/>
      <c r="AA4" s="67" t="n"/>
      <c r="AB4" s="68" t="n"/>
    </row>
    <row r="5" ht="63.75" customHeight="1" s="63">
      <c r="A5" s="92" t="inlineStr">
        <is>
          <t>STT</t>
        </is>
      </c>
      <c r="B5" s="92" t="inlineStr">
        <is>
          <t>Mã NV</t>
        </is>
      </c>
      <c r="C5" s="92" t="inlineStr">
        <is>
          <t>Họ và tên</t>
        </is>
      </c>
      <c r="E5" s="92" t="inlineStr">
        <is>
          <t>Nguồn công</t>
        </is>
      </c>
      <c r="F5" s="92" t="inlineStr">
        <is>
          <t>Công làm việc</t>
        </is>
      </c>
      <c r="G5" s="92" t="inlineStr">
        <is>
          <t>Giờ thường</t>
        </is>
      </c>
      <c r="H5" s="92" t="inlineStr">
        <is>
          <t>Giờ đêm trong ca</t>
        </is>
      </c>
      <c r="I5" s="92" t="inlineStr">
        <is>
          <t>OT thường ngày</t>
        </is>
      </c>
      <c r="J5" s="92" t="inlineStr">
        <is>
          <t>OT nghỉ tuần ngày</t>
        </is>
      </c>
      <c r="K5" s="92" t="inlineStr">
        <is>
          <t>OT lễ ngày</t>
        </is>
      </c>
      <c r="L5" s="92" t="inlineStr">
        <is>
          <t>OT thường đêm</t>
        </is>
      </c>
      <c r="M5" s="92" t="inlineStr">
        <is>
          <t>OT nghỉ tuần đêm</t>
        </is>
      </c>
      <c r="N5" s="92" t="inlineStr">
        <is>
          <t>OT lễ đêm</t>
        </is>
      </c>
      <c r="P5" s="92" t="inlineStr">
        <is>
          <t>Phép năm hưởng lương</t>
        </is>
      </c>
      <c r="Q5" s="92" t="inlineStr">
        <is>
          <t>Lễ/Tết hưởng lương</t>
        </is>
      </c>
      <c r="R5" s="92" t="inlineStr">
        <is>
          <t>Việc riêng hưởng lương</t>
        </is>
      </c>
      <c r="S5" s="92" t="inlineStr">
        <is>
          <t>Nghỉ ốm hưởng BHXH</t>
        </is>
      </c>
      <c r="T5" s="92" t="inlineStr">
        <is>
          <t>Nghỉ thai sản</t>
        </is>
      </c>
      <c r="U5" s="92" t="inlineStr">
        <is>
          <t>Nghỉ không lương</t>
        </is>
      </c>
      <c r="W5" s="92" t="inlineStr">
        <is>
          <t>Mã NV</t>
        </is>
      </c>
      <c r="X5" s="92" t="inlineStr">
        <is>
          <t>Họ và tên</t>
        </is>
      </c>
      <c r="Y5" s="92" t="inlineStr">
        <is>
          <t>Bộ phận</t>
        </is>
      </c>
      <c r="Z5" s="92" t="inlineStr">
        <is>
          <t>Chức danh</t>
        </is>
      </c>
      <c r="AA5" s="92" t="inlineStr">
        <is>
          <t>Ngày vào</t>
        </is>
      </c>
      <c r="AB5" s="92" t="inlineStr">
        <is>
          <t>Ngày nghỉ</t>
        </is>
      </c>
    </row>
    <row r="6" ht="15" customHeight="1" s="63">
      <c r="A6" s="85">
        <f>IF($B6="","",ROW()-5)</f>
        <v/>
      </c>
      <c r="B6" s="103">
        <f>IF(TONG_HOP_CC!B6="","",TONG_HOP_CC!B6)</f>
        <v/>
      </c>
      <c r="C6" s="96">
        <f>IF($B6="","",TONG_HOP_CC!C6)</f>
        <v/>
      </c>
      <c r="E6" s="112">
        <f>IF($B6="","","Tổng hợp")</f>
        <v/>
      </c>
      <c r="F6" s="110">
        <f>IF($B6="","",TONG_HOP_CC!E6)</f>
        <v/>
      </c>
      <c r="G6" s="110">
        <f>IF($B6="","",TONG_HOP_CC!G6)</f>
        <v/>
      </c>
      <c r="H6" s="110">
        <f>IF($B6="","",TONG_HOP_CC!H6)</f>
        <v/>
      </c>
      <c r="I6" s="110">
        <f>IF($B6="","",TONG_HOP_CC!I6)</f>
        <v/>
      </c>
      <c r="J6" s="110">
        <f>IF($B6="","",TONG_HOP_CC!J6)</f>
        <v/>
      </c>
      <c r="K6" s="110">
        <f>IF($B6="","",TONG_HOP_CC!K6)</f>
        <v/>
      </c>
      <c r="L6" s="110">
        <f>IF($B6="","",TONG_HOP_CC!L6)</f>
        <v/>
      </c>
      <c r="M6" s="110">
        <f>IF($B6="","",TONG_HOP_CC!M6)</f>
        <v/>
      </c>
      <c r="N6" s="110">
        <f>IF($B6="","",TONG_HOP_CC!N6)</f>
        <v/>
      </c>
      <c r="P6" s="110">
        <f>IF($B6="","",TONG_HOP_CC!O6)</f>
        <v/>
      </c>
      <c r="Q6" s="110">
        <f>IF($B6="","",TONG_HOP_CC!P6)</f>
        <v/>
      </c>
      <c r="R6" s="110">
        <f>IF($B6="","",TONG_HOP_CC!Q6)</f>
        <v/>
      </c>
      <c r="S6" s="110">
        <f>IF($B6="","",TONG_HOP_CC!R6)</f>
        <v/>
      </c>
      <c r="T6" s="110">
        <f>IF($B6="","",TONG_HOP_CC!S6)</f>
        <v/>
      </c>
      <c r="U6" s="110">
        <f>IF($B6="","",TONG_HOP_CC!T6)</f>
        <v/>
      </c>
      <c r="W6" s="112">
        <f>IF(DM_NHAN_SU!$B6="","",IF(DM_NHAN_SU!$B6="","",DM_NHAN_SU!$B6))</f>
        <v/>
      </c>
      <c r="X6" s="113">
        <f>IF(DM_NHAN_SU!$B6="","",IF(DM_NHAN_SU!$C6="","",DM_NHAN_SU!$C6))</f>
        <v/>
      </c>
      <c r="Y6" s="113">
        <f>IF(DM_NHAN_SU!$B6="","",IF(DM_NHAN_SU!$D6="","",DM_NHAN_SU!$D6))</f>
        <v/>
      </c>
      <c r="Z6" s="113">
        <f>IF(DM_NHAN_SU!$B6="","",IF(DM_NHAN_SU!$E6="","",DM_NHAN_SU!$E6))</f>
        <v/>
      </c>
      <c r="AA6" s="114">
        <f>IF(DM_NHAN_SU!$B6="","",IF(DM_NHAN_SU!$F6="","",DM_NHAN_SU!$F6))</f>
        <v/>
      </c>
      <c r="AB6" s="114">
        <f>IF(DM_NHAN_SU!$B6="","",IF(DM_NHAN_SU!$G6="","",DM_NHAN_SU!$G6))</f>
        <v/>
      </c>
    </row>
    <row r="7" ht="15" customHeight="1" s="63">
      <c r="A7" s="85">
        <f>IF($B7="","",ROW()-5)</f>
        <v/>
      </c>
      <c r="B7" s="103">
        <f>IF(TONG_HOP_CC!B7="","",TONG_HOP_CC!B7)</f>
        <v/>
      </c>
      <c r="C7" s="96">
        <f>IF($B7="","",TONG_HOP_CC!C7)</f>
        <v/>
      </c>
      <c r="E7" s="112">
        <f>IF($B7="","","Tổng hợp")</f>
        <v/>
      </c>
      <c r="F7" s="110">
        <f>IF($B7="","",TONG_HOP_CC!E7)</f>
        <v/>
      </c>
      <c r="G7" s="110">
        <f>IF($B7="","",TONG_HOP_CC!G7)</f>
        <v/>
      </c>
      <c r="H7" s="110">
        <f>IF($B7="","",TONG_HOP_CC!H7)</f>
        <v/>
      </c>
      <c r="I7" s="110">
        <f>IF($B7="","",TONG_HOP_CC!I7)</f>
        <v/>
      </c>
      <c r="J7" s="110">
        <f>IF($B7="","",TONG_HOP_CC!J7)</f>
        <v/>
      </c>
      <c r="K7" s="110">
        <f>IF($B7="","",TONG_HOP_CC!K7)</f>
        <v/>
      </c>
      <c r="L7" s="110">
        <f>IF($B7="","",TONG_HOP_CC!L7)</f>
        <v/>
      </c>
      <c r="M7" s="110">
        <f>IF($B7="","",TONG_HOP_CC!M7)</f>
        <v/>
      </c>
      <c r="N7" s="110">
        <f>IF($B7="","",TONG_HOP_CC!N7)</f>
        <v/>
      </c>
      <c r="P7" s="110">
        <f>IF($B7="","",TONG_HOP_CC!O7)</f>
        <v/>
      </c>
      <c r="Q7" s="110">
        <f>IF($B7="","",TONG_HOP_CC!P7)</f>
        <v/>
      </c>
      <c r="R7" s="110">
        <f>IF($B7="","",TONG_HOP_CC!Q7)</f>
        <v/>
      </c>
      <c r="S7" s="110">
        <f>IF($B7="","",TONG_HOP_CC!R7)</f>
        <v/>
      </c>
      <c r="T7" s="110">
        <f>IF($B7="","",TONG_HOP_CC!S7)</f>
        <v/>
      </c>
      <c r="U7" s="110">
        <f>IF($B7="","",TONG_HOP_CC!T7)</f>
        <v/>
      </c>
      <c r="W7" s="112">
        <f>IF(DM_NHAN_SU!$B7="","",IF(DM_NHAN_SU!$B7="","",DM_NHAN_SU!$B7))</f>
        <v/>
      </c>
      <c r="X7" s="113">
        <f>IF(DM_NHAN_SU!$B7="","",IF(DM_NHAN_SU!$C7="","",DM_NHAN_SU!$C7))</f>
        <v/>
      </c>
      <c r="Y7" s="113">
        <f>IF(DM_NHAN_SU!$B7="","",IF(DM_NHAN_SU!$D7="","",DM_NHAN_SU!$D7))</f>
        <v/>
      </c>
      <c r="Z7" s="113">
        <f>IF(DM_NHAN_SU!$B7="","",IF(DM_NHAN_SU!$E7="","",DM_NHAN_SU!$E7))</f>
        <v/>
      </c>
      <c r="AA7" s="114">
        <f>IF(DM_NHAN_SU!$B7="","",IF(DM_NHAN_SU!$F7="","",DM_NHAN_SU!$F7))</f>
        <v/>
      </c>
      <c r="AB7" s="114">
        <f>IF(DM_NHAN_SU!$B7="","",IF(DM_NHAN_SU!$G7="","",DM_NHAN_SU!$G7))</f>
        <v/>
      </c>
    </row>
    <row r="8" ht="15" customHeight="1" s="63">
      <c r="A8" s="85">
        <f>IF($B8="","",ROW()-5)</f>
        <v/>
      </c>
      <c r="B8" s="103">
        <f>IF(TONG_HOP_CC!B8="","",TONG_HOP_CC!B8)</f>
        <v/>
      </c>
      <c r="C8" s="96">
        <f>IF($B8="","",TONG_HOP_CC!C8)</f>
        <v/>
      </c>
      <c r="E8" s="112">
        <f>IF($B8="","","Tổng hợp")</f>
        <v/>
      </c>
      <c r="F8" s="110">
        <f>IF($B8="","",TONG_HOP_CC!E8)</f>
        <v/>
      </c>
      <c r="G8" s="110">
        <f>IF($B8="","",TONG_HOP_CC!G8)</f>
        <v/>
      </c>
      <c r="H8" s="110">
        <f>IF($B8="","",TONG_HOP_CC!H8)</f>
        <v/>
      </c>
      <c r="I8" s="110">
        <f>IF($B8="","",TONG_HOP_CC!I8)</f>
        <v/>
      </c>
      <c r="J8" s="110">
        <f>IF($B8="","",TONG_HOP_CC!J8)</f>
        <v/>
      </c>
      <c r="K8" s="110">
        <f>IF($B8="","",TONG_HOP_CC!K8)</f>
        <v/>
      </c>
      <c r="L8" s="110">
        <f>IF($B8="","",TONG_HOP_CC!L8)</f>
        <v/>
      </c>
      <c r="M8" s="110">
        <f>IF($B8="","",TONG_HOP_CC!M8)</f>
        <v/>
      </c>
      <c r="N8" s="110">
        <f>IF($B8="","",TONG_HOP_CC!N8)</f>
        <v/>
      </c>
      <c r="P8" s="110">
        <f>IF($B8="","",TONG_HOP_CC!O8)</f>
        <v/>
      </c>
      <c r="Q8" s="110">
        <f>IF($B8="","",TONG_HOP_CC!P8)</f>
        <v/>
      </c>
      <c r="R8" s="110">
        <f>IF($B8="","",TONG_HOP_CC!Q8)</f>
        <v/>
      </c>
      <c r="S8" s="110">
        <f>IF($B8="","",TONG_HOP_CC!R8)</f>
        <v/>
      </c>
      <c r="T8" s="110">
        <f>IF($B8="","",TONG_HOP_CC!S8)</f>
        <v/>
      </c>
      <c r="U8" s="110">
        <f>IF($B8="","",TONG_HOP_CC!T8)</f>
        <v/>
      </c>
      <c r="W8" s="112">
        <f>IF(DM_NHAN_SU!$B8="","",IF(DM_NHAN_SU!$B8="","",DM_NHAN_SU!$B8))</f>
        <v/>
      </c>
      <c r="X8" s="113">
        <f>IF(DM_NHAN_SU!$B8="","",IF(DM_NHAN_SU!$C8="","",DM_NHAN_SU!$C8))</f>
        <v/>
      </c>
      <c r="Y8" s="113">
        <f>IF(DM_NHAN_SU!$B8="","",IF(DM_NHAN_SU!$D8="","",DM_NHAN_SU!$D8))</f>
        <v/>
      </c>
      <c r="Z8" s="113">
        <f>IF(DM_NHAN_SU!$B8="","",IF(DM_NHAN_SU!$E8="","",DM_NHAN_SU!$E8))</f>
        <v/>
      </c>
      <c r="AA8" s="114">
        <f>IF(DM_NHAN_SU!$B8="","",IF(DM_NHAN_SU!$F8="","",DM_NHAN_SU!$F8))</f>
        <v/>
      </c>
      <c r="AB8" s="114">
        <f>IF(DM_NHAN_SU!$B8="","",IF(DM_NHAN_SU!$G8="","",DM_NHAN_SU!$G8))</f>
        <v/>
      </c>
    </row>
    <row r="9" ht="15" customHeight="1" s="63">
      <c r="A9" s="85">
        <f>IF($B9="","",ROW()-5)</f>
        <v/>
      </c>
      <c r="B9" s="103">
        <f>IF(TONG_HOP_CC!B9="","",TONG_HOP_CC!B9)</f>
        <v/>
      </c>
      <c r="C9" s="96">
        <f>IF($B9="","",TONG_HOP_CC!C9)</f>
        <v/>
      </c>
      <c r="E9" s="112">
        <f>IF($B9="","","Tổng hợp")</f>
        <v/>
      </c>
      <c r="F9" s="110">
        <f>IF($B9="","",TONG_HOP_CC!E9)</f>
        <v/>
      </c>
      <c r="G9" s="110">
        <f>IF($B9="","",TONG_HOP_CC!G9)</f>
        <v/>
      </c>
      <c r="H9" s="110">
        <f>IF($B9="","",TONG_HOP_CC!H9)</f>
        <v/>
      </c>
      <c r="I9" s="110">
        <f>IF($B9="","",TONG_HOP_CC!I9)</f>
        <v/>
      </c>
      <c r="J9" s="110">
        <f>IF($B9="","",TONG_HOP_CC!J9)</f>
        <v/>
      </c>
      <c r="K9" s="110">
        <f>IF($B9="","",TONG_HOP_CC!K9)</f>
        <v/>
      </c>
      <c r="L9" s="110">
        <f>IF($B9="","",TONG_HOP_CC!L9)</f>
        <v/>
      </c>
      <c r="M9" s="110">
        <f>IF($B9="","",TONG_HOP_CC!M9)</f>
        <v/>
      </c>
      <c r="N9" s="110">
        <f>IF($B9="","",TONG_HOP_CC!N9)</f>
        <v/>
      </c>
      <c r="P9" s="110">
        <f>IF($B9="","",TONG_HOP_CC!O9)</f>
        <v/>
      </c>
      <c r="Q9" s="110">
        <f>IF($B9="","",TONG_HOP_CC!P9)</f>
        <v/>
      </c>
      <c r="R9" s="110">
        <f>IF($B9="","",TONG_HOP_CC!Q9)</f>
        <v/>
      </c>
      <c r="S9" s="110">
        <f>IF($B9="","",TONG_HOP_CC!R9)</f>
        <v/>
      </c>
      <c r="T9" s="110">
        <f>IF($B9="","",TONG_HOP_CC!S9)</f>
        <v/>
      </c>
      <c r="U9" s="110">
        <f>IF($B9="","",TONG_HOP_CC!T9)</f>
        <v/>
      </c>
      <c r="W9" s="112">
        <f>IF(DM_NHAN_SU!$B9="","",IF(DM_NHAN_SU!$B9="","",DM_NHAN_SU!$B9))</f>
        <v/>
      </c>
      <c r="X9" s="113">
        <f>IF(DM_NHAN_SU!$B9="","",IF(DM_NHAN_SU!$C9="","",DM_NHAN_SU!$C9))</f>
        <v/>
      </c>
      <c r="Y9" s="113">
        <f>IF(DM_NHAN_SU!$B9="","",IF(DM_NHAN_SU!$D9="","",DM_NHAN_SU!$D9))</f>
        <v/>
      </c>
      <c r="Z9" s="113">
        <f>IF(DM_NHAN_SU!$B9="","",IF(DM_NHAN_SU!$E9="","",DM_NHAN_SU!$E9))</f>
        <v/>
      </c>
      <c r="AA9" s="114">
        <f>IF(DM_NHAN_SU!$B9="","",IF(DM_NHAN_SU!$F9="","",DM_NHAN_SU!$F9))</f>
        <v/>
      </c>
      <c r="AB9" s="114">
        <f>IF(DM_NHAN_SU!$B9="","",IF(DM_NHAN_SU!$G9="","",DM_NHAN_SU!$G9))</f>
        <v/>
      </c>
    </row>
    <row r="10" ht="15" customHeight="1" s="63">
      <c r="A10" s="85">
        <f>IF($B10="","",ROW()-5)</f>
        <v/>
      </c>
      <c r="B10" s="103">
        <f>IF(TONG_HOP_CC!B10="","",TONG_HOP_CC!B10)</f>
        <v/>
      </c>
      <c r="C10" s="96">
        <f>IF($B10="","",TONG_HOP_CC!C10)</f>
        <v/>
      </c>
      <c r="E10" s="112">
        <f>IF($B10="","","Tổng hợp")</f>
        <v/>
      </c>
      <c r="F10" s="110">
        <f>IF($B10="","",TONG_HOP_CC!E10)</f>
        <v/>
      </c>
      <c r="G10" s="110">
        <f>IF($B10="","",TONG_HOP_CC!G10)</f>
        <v/>
      </c>
      <c r="H10" s="110">
        <f>IF($B10="","",TONG_HOP_CC!H10)</f>
        <v/>
      </c>
      <c r="I10" s="110">
        <f>IF($B10="","",TONG_HOP_CC!I10)</f>
        <v/>
      </c>
      <c r="J10" s="110">
        <f>IF($B10="","",TONG_HOP_CC!J10)</f>
        <v/>
      </c>
      <c r="K10" s="110">
        <f>IF($B10="","",TONG_HOP_CC!K10)</f>
        <v/>
      </c>
      <c r="L10" s="110">
        <f>IF($B10="","",TONG_HOP_CC!L10)</f>
        <v/>
      </c>
      <c r="M10" s="110">
        <f>IF($B10="","",TONG_HOP_CC!M10)</f>
        <v/>
      </c>
      <c r="N10" s="110">
        <f>IF($B10="","",TONG_HOP_CC!N10)</f>
        <v/>
      </c>
      <c r="P10" s="110">
        <f>IF($B10="","",TONG_HOP_CC!O10)</f>
        <v/>
      </c>
      <c r="Q10" s="110">
        <f>IF($B10="","",TONG_HOP_CC!P10)</f>
        <v/>
      </c>
      <c r="R10" s="110">
        <f>IF($B10="","",TONG_HOP_CC!Q10)</f>
        <v/>
      </c>
      <c r="S10" s="110">
        <f>IF($B10="","",TONG_HOP_CC!R10)</f>
        <v/>
      </c>
      <c r="T10" s="110">
        <f>IF($B10="","",TONG_HOP_CC!S10)</f>
        <v/>
      </c>
      <c r="U10" s="110">
        <f>IF($B10="","",TONG_HOP_CC!T10)</f>
        <v/>
      </c>
      <c r="W10" s="112">
        <f>IF(DM_NHAN_SU!$B10="","",IF(DM_NHAN_SU!$B10="","",DM_NHAN_SU!$B10))</f>
        <v/>
      </c>
      <c r="X10" s="113">
        <f>IF(DM_NHAN_SU!$B10="","",IF(DM_NHAN_SU!$C10="","",DM_NHAN_SU!$C10))</f>
        <v/>
      </c>
      <c r="Y10" s="113">
        <f>IF(DM_NHAN_SU!$B10="","",IF(DM_NHAN_SU!$D10="","",DM_NHAN_SU!$D10))</f>
        <v/>
      </c>
      <c r="Z10" s="113">
        <f>IF(DM_NHAN_SU!$B10="","",IF(DM_NHAN_SU!$E10="","",DM_NHAN_SU!$E10))</f>
        <v/>
      </c>
      <c r="AA10" s="114">
        <f>IF(DM_NHAN_SU!$B10="","",IF(DM_NHAN_SU!$F10="","",DM_NHAN_SU!$F10))</f>
        <v/>
      </c>
      <c r="AB10" s="114">
        <f>IF(DM_NHAN_SU!$B10="","",IF(DM_NHAN_SU!$G10="","",DM_NHAN_SU!$G10))</f>
        <v/>
      </c>
    </row>
    <row r="11" ht="15" customHeight="1" s="63">
      <c r="A11" s="85">
        <f>IF($B11="","",ROW()-5)</f>
        <v/>
      </c>
      <c r="B11" s="103">
        <f>IF(TONG_HOP_CC!B11="","",TONG_HOP_CC!B11)</f>
        <v/>
      </c>
      <c r="C11" s="96">
        <f>IF($B11="","",TONG_HOP_CC!C11)</f>
        <v/>
      </c>
      <c r="E11" s="112">
        <f>IF($B11="","","Tổng hợp")</f>
        <v/>
      </c>
      <c r="F11" s="110">
        <f>IF($B11="","",TONG_HOP_CC!E11)</f>
        <v/>
      </c>
      <c r="G11" s="110">
        <f>IF($B11="","",TONG_HOP_CC!G11)</f>
        <v/>
      </c>
      <c r="H11" s="110">
        <f>IF($B11="","",TONG_HOP_CC!H11)</f>
        <v/>
      </c>
      <c r="I11" s="110">
        <f>IF($B11="","",TONG_HOP_CC!I11)</f>
        <v/>
      </c>
      <c r="J11" s="110">
        <f>IF($B11="","",TONG_HOP_CC!J11)</f>
        <v/>
      </c>
      <c r="K11" s="110">
        <f>IF($B11="","",TONG_HOP_CC!K11)</f>
        <v/>
      </c>
      <c r="L11" s="110">
        <f>IF($B11="","",TONG_HOP_CC!L11)</f>
        <v/>
      </c>
      <c r="M11" s="110">
        <f>IF($B11="","",TONG_HOP_CC!M11)</f>
        <v/>
      </c>
      <c r="N11" s="110">
        <f>IF($B11="","",TONG_HOP_CC!N11)</f>
        <v/>
      </c>
      <c r="P11" s="110">
        <f>IF($B11="","",TONG_HOP_CC!O11)</f>
        <v/>
      </c>
      <c r="Q11" s="110">
        <f>IF($B11="","",TONG_HOP_CC!P11)</f>
        <v/>
      </c>
      <c r="R11" s="110">
        <f>IF($B11="","",TONG_HOP_CC!Q11)</f>
        <v/>
      </c>
      <c r="S11" s="110">
        <f>IF($B11="","",TONG_HOP_CC!R11)</f>
        <v/>
      </c>
      <c r="T11" s="110">
        <f>IF($B11="","",TONG_HOP_CC!S11)</f>
        <v/>
      </c>
      <c r="U11" s="110">
        <f>IF($B11="","",TONG_HOP_CC!T11)</f>
        <v/>
      </c>
      <c r="W11" s="112">
        <f>IF(DM_NHAN_SU!$B11="","",IF(DM_NHAN_SU!$B11="","",DM_NHAN_SU!$B11))</f>
        <v/>
      </c>
      <c r="X11" s="113">
        <f>IF(DM_NHAN_SU!$B11="","",IF(DM_NHAN_SU!$C11="","",DM_NHAN_SU!$C11))</f>
        <v/>
      </c>
      <c r="Y11" s="113">
        <f>IF(DM_NHAN_SU!$B11="","",IF(DM_NHAN_SU!$D11="","",DM_NHAN_SU!$D11))</f>
        <v/>
      </c>
      <c r="Z11" s="113">
        <f>IF(DM_NHAN_SU!$B11="","",IF(DM_NHAN_SU!$E11="","",DM_NHAN_SU!$E11))</f>
        <v/>
      </c>
      <c r="AA11" s="114">
        <f>IF(DM_NHAN_SU!$B11="","",IF(DM_NHAN_SU!$F11="","",DM_NHAN_SU!$F11))</f>
        <v/>
      </c>
      <c r="AB11" s="114">
        <f>IF(DM_NHAN_SU!$B11="","",IF(DM_NHAN_SU!$G11="","",DM_NHAN_SU!$G11))</f>
        <v/>
      </c>
    </row>
    <row r="12" ht="15" customHeight="1" s="63">
      <c r="A12" s="85">
        <f>IF($B12="","",ROW()-5)</f>
        <v/>
      </c>
      <c r="B12" s="103">
        <f>IF(TONG_HOP_CC!B12="","",TONG_HOP_CC!B12)</f>
        <v/>
      </c>
      <c r="C12" s="96">
        <f>IF($B12="","",TONG_HOP_CC!C12)</f>
        <v/>
      </c>
      <c r="E12" s="112">
        <f>IF($B12="","","Tổng hợp")</f>
        <v/>
      </c>
      <c r="F12" s="110">
        <f>IF($B12="","",TONG_HOP_CC!E12)</f>
        <v/>
      </c>
      <c r="G12" s="110">
        <f>IF($B12="","",TONG_HOP_CC!G12)</f>
        <v/>
      </c>
      <c r="H12" s="110">
        <f>IF($B12="","",TONG_HOP_CC!H12)</f>
        <v/>
      </c>
      <c r="I12" s="110">
        <f>IF($B12="","",TONG_HOP_CC!I12)</f>
        <v/>
      </c>
      <c r="J12" s="110">
        <f>IF($B12="","",TONG_HOP_CC!J12)</f>
        <v/>
      </c>
      <c r="K12" s="110">
        <f>IF($B12="","",TONG_HOP_CC!K12)</f>
        <v/>
      </c>
      <c r="L12" s="110">
        <f>IF($B12="","",TONG_HOP_CC!L12)</f>
        <v/>
      </c>
      <c r="M12" s="110">
        <f>IF($B12="","",TONG_HOP_CC!M12)</f>
        <v/>
      </c>
      <c r="N12" s="110">
        <f>IF($B12="","",TONG_HOP_CC!N12)</f>
        <v/>
      </c>
      <c r="P12" s="110">
        <f>IF($B12="","",TONG_HOP_CC!O12)</f>
        <v/>
      </c>
      <c r="Q12" s="110">
        <f>IF($B12="","",TONG_HOP_CC!P12)</f>
        <v/>
      </c>
      <c r="R12" s="110">
        <f>IF($B12="","",TONG_HOP_CC!Q12)</f>
        <v/>
      </c>
      <c r="S12" s="110">
        <f>IF($B12="","",TONG_HOP_CC!R12)</f>
        <v/>
      </c>
      <c r="T12" s="110">
        <f>IF($B12="","",TONG_HOP_CC!S12)</f>
        <v/>
      </c>
      <c r="U12" s="110">
        <f>IF($B12="","",TONG_HOP_CC!T12)</f>
        <v/>
      </c>
      <c r="W12" s="112">
        <f>IF(DM_NHAN_SU!$B12="","",IF(DM_NHAN_SU!$B12="","",DM_NHAN_SU!$B12))</f>
        <v/>
      </c>
      <c r="X12" s="113">
        <f>IF(DM_NHAN_SU!$B12="","",IF(DM_NHAN_SU!$C12="","",DM_NHAN_SU!$C12))</f>
        <v/>
      </c>
      <c r="Y12" s="113">
        <f>IF(DM_NHAN_SU!$B12="","",IF(DM_NHAN_SU!$D12="","",DM_NHAN_SU!$D12))</f>
        <v/>
      </c>
      <c r="Z12" s="113">
        <f>IF(DM_NHAN_SU!$B12="","",IF(DM_NHAN_SU!$E12="","",DM_NHAN_SU!$E12))</f>
        <v/>
      </c>
      <c r="AA12" s="114">
        <f>IF(DM_NHAN_SU!$B12="","",IF(DM_NHAN_SU!$F12="","",DM_NHAN_SU!$F12))</f>
        <v/>
      </c>
      <c r="AB12" s="114">
        <f>IF(DM_NHAN_SU!$B12="","",IF(DM_NHAN_SU!$G12="","",DM_NHAN_SU!$G12))</f>
        <v/>
      </c>
    </row>
    <row r="13" ht="15" customHeight="1" s="63">
      <c r="A13" s="85">
        <f>IF($B13="","",ROW()-5)</f>
        <v/>
      </c>
      <c r="B13" s="103">
        <f>IF(TONG_HOP_CC!B13="","",TONG_HOP_CC!B13)</f>
        <v/>
      </c>
      <c r="C13" s="96">
        <f>IF($B13="","",TONG_HOP_CC!C13)</f>
        <v/>
      </c>
      <c r="E13" s="112">
        <f>IF($B13="","","Tổng hợp")</f>
        <v/>
      </c>
      <c r="F13" s="110">
        <f>IF($B13="","",TONG_HOP_CC!E13)</f>
        <v/>
      </c>
      <c r="G13" s="110">
        <f>IF($B13="","",TONG_HOP_CC!G13)</f>
        <v/>
      </c>
      <c r="H13" s="110">
        <f>IF($B13="","",TONG_HOP_CC!H13)</f>
        <v/>
      </c>
      <c r="I13" s="110">
        <f>IF($B13="","",TONG_HOP_CC!I13)</f>
        <v/>
      </c>
      <c r="J13" s="110">
        <f>IF($B13="","",TONG_HOP_CC!J13)</f>
        <v/>
      </c>
      <c r="K13" s="110">
        <f>IF($B13="","",TONG_HOP_CC!K13)</f>
        <v/>
      </c>
      <c r="L13" s="110">
        <f>IF($B13="","",TONG_HOP_CC!L13)</f>
        <v/>
      </c>
      <c r="M13" s="110">
        <f>IF($B13="","",TONG_HOP_CC!M13)</f>
        <v/>
      </c>
      <c r="N13" s="110">
        <f>IF($B13="","",TONG_HOP_CC!N13)</f>
        <v/>
      </c>
      <c r="P13" s="110">
        <f>IF($B13="","",TONG_HOP_CC!O13)</f>
        <v/>
      </c>
      <c r="Q13" s="110">
        <f>IF($B13="","",TONG_HOP_CC!P13)</f>
        <v/>
      </c>
      <c r="R13" s="110">
        <f>IF($B13="","",TONG_HOP_CC!Q13)</f>
        <v/>
      </c>
      <c r="S13" s="110">
        <f>IF($B13="","",TONG_HOP_CC!R13)</f>
        <v/>
      </c>
      <c r="T13" s="110">
        <f>IF($B13="","",TONG_HOP_CC!S13)</f>
        <v/>
      </c>
      <c r="U13" s="110">
        <f>IF($B13="","",TONG_HOP_CC!T13)</f>
        <v/>
      </c>
      <c r="W13" s="112">
        <f>IF(DM_NHAN_SU!$B13="","",IF(DM_NHAN_SU!$B13="","",DM_NHAN_SU!$B13))</f>
        <v/>
      </c>
      <c r="X13" s="113">
        <f>IF(DM_NHAN_SU!$B13="","",IF(DM_NHAN_SU!$C13="","",DM_NHAN_SU!$C13))</f>
        <v/>
      </c>
      <c r="Y13" s="113">
        <f>IF(DM_NHAN_SU!$B13="","",IF(DM_NHAN_SU!$D13="","",DM_NHAN_SU!$D13))</f>
        <v/>
      </c>
      <c r="Z13" s="113">
        <f>IF(DM_NHAN_SU!$B13="","",IF(DM_NHAN_SU!$E13="","",DM_NHAN_SU!$E13))</f>
        <v/>
      </c>
      <c r="AA13" s="114">
        <f>IF(DM_NHAN_SU!$B13="","",IF(DM_NHAN_SU!$F13="","",DM_NHAN_SU!$F13))</f>
        <v/>
      </c>
      <c r="AB13" s="114">
        <f>IF(DM_NHAN_SU!$B13="","",IF(DM_NHAN_SU!$G13="","",DM_NHAN_SU!$G13))</f>
        <v/>
      </c>
    </row>
    <row r="14" ht="15" customHeight="1" s="63">
      <c r="A14" s="85">
        <f>IF($B14="","",ROW()-5)</f>
        <v/>
      </c>
      <c r="B14" s="103">
        <f>IF(TONG_HOP_CC!B14="","",TONG_HOP_CC!B14)</f>
        <v/>
      </c>
      <c r="C14" s="96">
        <f>IF($B14="","",TONG_HOP_CC!C14)</f>
        <v/>
      </c>
      <c r="E14" s="112">
        <f>IF($B14="","","Tổng hợp")</f>
        <v/>
      </c>
      <c r="F14" s="110">
        <f>IF($B14="","",TONG_HOP_CC!E14)</f>
        <v/>
      </c>
      <c r="G14" s="110">
        <f>IF($B14="","",TONG_HOP_CC!G14)</f>
        <v/>
      </c>
      <c r="H14" s="110">
        <f>IF($B14="","",TONG_HOP_CC!H14)</f>
        <v/>
      </c>
      <c r="I14" s="110">
        <f>IF($B14="","",TONG_HOP_CC!I14)</f>
        <v/>
      </c>
      <c r="J14" s="110">
        <f>IF($B14="","",TONG_HOP_CC!J14)</f>
        <v/>
      </c>
      <c r="K14" s="110">
        <f>IF($B14="","",TONG_HOP_CC!K14)</f>
        <v/>
      </c>
      <c r="L14" s="110">
        <f>IF($B14="","",TONG_HOP_CC!L14)</f>
        <v/>
      </c>
      <c r="M14" s="110">
        <f>IF($B14="","",TONG_HOP_CC!M14)</f>
        <v/>
      </c>
      <c r="N14" s="110">
        <f>IF($B14="","",TONG_HOP_CC!N14)</f>
        <v/>
      </c>
      <c r="P14" s="110">
        <f>IF($B14="","",TONG_HOP_CC!O14)</f>
        <v/>
      </c>
      <c r="Q14" s="110">
        <f>IF($B14="","",TONG_HOP_CC!P14)</f>
        <v/>
      </c>
      <c r="R14" s="110">
        <f>IF($B14="","",TONG_HOP_CC!Q14)</f>
        <v/>
      </c>
      <c r="S14" s="110">
        <f>IF($B14="","",TONG_HOP_CC!R14)</f>
        <v/>
      </c>
      <c r="T14" s="110">
        <f>IF($B14="","",TONG_HOP_CC!S14)</f>
        <v/>
      </c>
      <c r="U14" s="110">
        <f>IF($B14="","",TONG_HOP_CC!T14)</f>
        <v/>
      </c>
      <c r="W14" s="112">
        <f>IF(DM_NHAN_SU!$B14="","",IF(DM_NHAN_SU!$B14="","",DM_NHAN_SU!$B14))</f>
        <v/>
      </c>
      <c r="X14" s="113">
        <f>IF(DM_NHAN_SU!$B14="","",IF(DM_NHAN_SU!$C14="","",DM_NHAN_SU!$C14))</f>
        <v/>
      </c>
      <c r="Y14" s="113">
        <f>IF(DM_NHAN_SU!$B14="","",IF(DM_NHAN_SU!$D14="","",DM_NHAN_SU!$D14))</f>
        <v/>
      </c>
      <c r="Z14" s="113">
        <f>IF(DM_NHAN_SU!$B14="","",IF(DM_NHAN_SU!$E14="","",DM_NHAN_SU!$E14))</f>
        <v/>
      </c>
      <c r="AA14" s="114">
        <f>IF(DM_NHAN_SU!$B14="","",IF(DM_NHAN_SU!$F14="","",DM_NHAN_SU!$F14))</f>
        <v/>
      </c>
      <c r="AB14" s="114">
        <f>IF(DM_NHAN_SU!$B14="","",IF(DM_NHAN_SU!$G14="","",DM_NHAN_SU!$G14))</f>
        <v/>
      </c>
    </row>
    <row r="15" ht="15" customHeight="1" s="63">
      <c r="A15" s="85">
        <f>IF($B15="","",ROW()-5)</f>
        <v/>
      </c>
      <c r="B15" s="103">
        <f>IF(TONG_HOP_CC!B15="","",TONG_HOP_CC!B15)</f>
        <v/>
      </c>
      <c r="C15" s="96">
        <f>IF($B15="","",TONG_HOP_CC!C15)</f>
        <v/>
      </c>
      <c r="E15" s="112">
        <f>IF($B15="","","Tổng hợp")</f>
        <v/>
      </c>
      <c r="F15" s="110">
        <f>IF($B15="","",TONG_HOP_CC!E15)</f>
        <v/>
      </c>
      <c r="G15" s="110">
        <f>IF($B15="","",TONG_HOP_CC!G15)</f>
        <v/>
      </c>
      <c r="H15" s="110">
        <f>IF($B15="","",TONG_HOP_CC!H15)</f>
        <v/>
      </c>
      <c r="I15" s="110">
        <f>IF($B15="","",TONG_HOP_CC!I15)</f>
        <v/>
      </c>
      <c r="J15" s="110">
        <f>IF($B15="","",TONG_HOP_CC!J15)</f>
        <v/>
      </c>
      <c r="K15" s="110">
        <f>IF($B15="","",TONG_HOP_CC!K15)</f>
        <v/>
      </c>
      <c r="L15" s="110">
        <f>IF($B15="","",TONG_HOP_CC!L15)</f>
        <v/>
      </c>
      <c r="M15" s="110">
        <f>IF($B15="","",TONG_HOP_CC!M15)</f>
        <v/>
      </c>
      <c r="N15" s="110">
        <f>IF($B15="","",TONG_HOP_CC!N15)</f>
        <v/>
      </c>
      <c r="P15" s="110">
        <f>IF($B15="","",TONG_HOP_CC!O15)</f>
        <v/>
      </c>
      <c r="Q15" s="110">
        <f>IF($B15="","",TONG_HOP_CC!P15)</f>
        <v/>
      </c>
      <c r="R15" s="110">
        <f>IF($B15="","",TONG_HOP_CC!Q15)</f>
        <v/>
      </c>
      <c r="S15" s="110">
        <f>IF($B15="","",TONG_HOP_CC!R15)</f>
        <v/>
      </c>
      <c r="T15" s="110">
        <f>IF($B15="","",TONG_HOP_CC!S15)</f>
        <v/>
      </c>
      <c r="U15" s="110">
        <f>IF($B15="","",TONG_HOP_CC!T15)</f>
        <v/>
      </c>
      <c r="W15" s="112">
        <f>IF(DM_NHAN_SU!$B15="","",IF(DM_NHAN_SU!$B15="","",DM_NHAN_SU!$B15))</f>
        <v/>
      </c>
      <c r="X15" s="113">
        <f>IF(DM_NHAN_SU!$B15="","",IF(DM_NHAN_SU!$C15="","",DM_NHAN_SU!$C15))</f>
        <v/>
      </c>
      <c r="Y15" s="113">
        <f>IF(DM_NHAN_SU!$B15="","",IF(DM_NHAN_SU!$D15="","",DM_NHAN_SU!$D15))</f>
        <v/>
      </c>
      <c r="Z15" s="113">
        <f>IF(DM_NHAN_SU!$B15="","",IF(DM_NHAN_SU!$E15="","",DM_NHAN_SU!$E15))</f>
        <v/>
      </c>
      <c r="AA15" s="114">
        <f>IF(DM_NHAN_SU!$B15="","",IF(DM_NHAN_SU!$F15="","",DM_NHAN_SU!$F15))</f>
        <v/>
      </c>
      <c r="AB15" s="114">
        <f>IF(DM_NHAN_SU!$B15="","",IF(DM_NHAN_SU!$G15="","",DM_NHAN_SU!$G15))</f>
        <v/>
      </c>
    </row>
    <row r="16" ht="15" customHeight="1" s="63">
      <c r="A16" s="85">
        <f>IF($B16="","",ROW()-5)</f>
        <v/>
      </c>
      <c r="B16" s="103">
        <f>IF(TONG_HOP_CC!B16="","",TONG_HOP_CC!B16)</f>
        <v/>
      </c>
      <c r="C16" s="96">
        <f>IF($B16="","",TONG_HOP_CC!C16)</f>
        <v/>
      </c>
      <c r="E16" s="112">
        <f>IF($B16="","","Tổng hợp")</f>
        <v/>
      </c>
      <c r="F16" s="110">
        <f>IF($B16="","",TONG_HOP_CC!E16)</f>
        <v/>
      </c>
      <c r="G16" s="110">
        <f>IF($B16="","",TONG_HOP_CC!G16)</f>
        <v/>
      </c>
      <c r="H16" s="110">
        <f>IF($B16="","",TONG_HOP_CC!H16)</f>
        <v/>
      </c>
      <c r="I16" s="110">
        <f>IF($B16="","",TONG_HOP_CC!I16)</f>
        <v/>
      </c>
      <c r="J16" s="110">
        <f>IF($B16="","",TONG_HOP_CC!J16)</f>
        <v/>
      </c>
      <c r="K16" s="110">
        <f>IF($B16="","",TONG_HOP_CC!K16)</f>
        <v/>
      </c>
      <c r="L16" s="110">
        <f>IF($B16="","",TONG_HOP_CC!L16)</f>
        <v/>
      </c>
      <c r="M16" s="110">
        <f>IF($B16="","",TONG_HOP_CC!M16)</f>
        <v/>
      </c>
      <c r="N16" s="110">
        <f>IF($B16="","",TONG_HOP_CC!N16)</f>
        <v/>
      </c>
      <c r="P16" s="110">
        <f>IF($B16="","",TONG_HOP_CC!O16)</f>
        <v/>
      </c>
      <c r="Q16" s="110">
        <f>IF($B16="","",TONG_HOP_CC!P16)</f>
        <v/>
      </c>
      <c r="R16" s="110">
        <f>IF($B16="","",TONG_HOP_CC!Q16)</f>
        <v/>
      </c>
      <c r="S16" s="110">
        <f>IF($B16="","",TONG_HOP_CC!R16)</f>
        <v/>
      </c>
      <c r="T16" s="110">
        <f>IF($B16="","",TONG_HOP_CC!S16)</f>
        <v/>
      </c>
      <c r="U16" s="110">
        <f>IF($B16="","",TONG_HOP_CC!T16)</f>
        <v/>
      </c>
      <c r="W16" s="112">
        <f>IF(DM_NHAN_SU!$B16="","",IF(DM_NHAN_SU!$B16="","",DM_NHAN_SU!$B16))</f>
        <v/>
      </c>
      <c r="X16" s="113">
        <f>IF(DM_NHAN_SU!$B16="","",IF(DM_NHAN_SU!$C16="","",DM_NHAN_SU!$C16))</f>
        <v/>
      </c>
      <c r="Y16" s="113">
        <f>IF(DM_NHAN_SU!$B16="","",IF(DM_NHAN_SU!$D16="","",DM_NHAN_SU!$D16))</f>
        <v/>
      </c>
      <c r="Z16" s="113">
        <f>IF(DM_NHAN_SU!$B16="","",IF(DM_NHAN_SU!$E16="","",DM_NHAN_SU!$E16))</f>
        <v/>
      </c>
      <c r="AA16" s="114">
        <f>IF(DM_NHAN_SU!$B16="","",IF(DM_NHAN_SU!$F16="","",DM_NHAN_SU!$F16))</f>
        <v/>
      </c>
      <c r="AB16" s="114">
        <f>IF(DM_NHAN_SU!$B16="","",IF(DM_NHAN_SU!$G16="","",DM_NHAN_SU!$G16))</f>
        <v/>
      </c>
    </row>
    <row r="17" ht="15" customHeight="1" s="63">
      <c r="A17" s="85">
        <f>IF($B17="","",ROW()-5)</f>
        <v/>
      </c>
      <c r="B17" s="103">
        <f>IF(TONG_HOP_CC!B17="","",TONG_HOP_CC!B17)</f>
        <v/>
      </c>
      <c r="C17" s="96">
        <f>IF($B17="","",TONG_HOP_CC!C17)</f>
        <v/>
      </c>
      <c r="E17" s="112">
        <f>IF($B17="","","Tổng hợp")</f>
        <v/>
      </c>
      <c r="F17" s="110">
        <f>IF($B17="","",TONG_HOP_CC!E17)</f>
        <v/>
      </c>
      <c r="G17" s="110">
        <f>IF($B17="","",TONG_HOP_CC!G17)</f>
        <v/>
      </c>
      <c r="H17" s="110">
        <f>IF($B17="","",TONG_HOP_CC!H17)</f>
        <v/>
      </c>
      <c r="I17" s="110">
        <f>IF($B17="","",TONG_HOP_CC!I17)</f>
        <v/>
      </c>
      <c r="J17" s="110">
        <f>IF($B17="","",TONG_HOP_CC!J17)</f>
        <v/>
      </c>
      <c r="K17" s="110">
        <f>IF($B17="","",TONG_HOP_CC!K17)</f>
        <v/>
      </c>
      <c r="L17" s="110">
        <f>IF($B17="","",TONG_HOP_CC!L17)</f>
        <v/>
      </c>
      <c r="M17" s="110">
        <f>IF($B17="","",TONG_HOP_CC!M17)</f>
        <v/>
      </c>
      <c r="N17" s="110">
        <f>IF($B17="","",TONG_HOP_CC!N17)</f>
        <v/>
      </c>
      <c r="P17" s="110">
        <f>IF($B17="","",TONG_HOP_CC!O17)</f>
        <v/>
      </c>
      <c r="Q17" s="110">
        <f>IF($B17="","",TONG_HOP_CC!P17)</f>
        <v/>
      </c>
      <c r="R17" s="110">
        <f>IF($B17="","",TONG_HOP_CC!Q17)</f>
        <v/>
      </c>
      <c r="S17" s="110">
        <f>IF($B17="","",TONG_HOP_CC!R17)</f>
        <v/>
      </c>
      <c r="T17" s="110">
        <f>IF($B17="","",TONG_HOP_CC!S17)</f>
        <v/>
      </c>
      <c r="U17" s="110">
        <f>IF($B17="","",TONG_HOP_CC!T17)</f>
        <v/>
      </c>
      <c r="W17" s="112">
        <f>IF(DM_NHAN_SU!$B17="","",IF(DM_NHAN_SU!$B17="","",DM_NHAN_SU!$B17))</f>
        <v/>
      </c>
      <c r="X17" s="113">
        <f>IF(DM_NHAN_SU!$B17="","",IF(DM_NHAN_SU!$C17="","",DM_NHAN_SU!$C17))</f>
        <v/>
      </c>
      <c r="Y17" s="113">
        <f>IF(DM_NHAN_SU!$B17="","",IF(DM_NHAN_SU!$D17="","",DM_NHAN_SU!$D17))</f>
        <v/>
      </c>
      <c r="Z17" s="113">
        <f>IF(DM_NHAN_SU!$B17="","",IF(DM_NHAN_SU!$E17="","",DM_NHAN_SU!$E17))</f>
        <v/>
      </c>
      <c r="AA17" s="114">
        <f>IF(DM_NHAN_SU!$B17="","",IF(DM_NHAN_SU!$F17="","",DM_NHAN_SU!$F17))</f>
        <v/>
      </c>
      <c r="AB17" s="114">
        <f>IF(DM_NHAN_SU!$B17="","",IF(DM_NHAN_SU!$G17="","",DM_NHAN_SU!$G17))</f>
        <v/>
      </c>
    </row>
    <row r="18" ht="15" customHeight="1" s="63">
      <c r="A18" s="85">
        <f>IF($B18="","",ROW()-5)</f>
        <v/>
      </c>
      <c r="B18" s="103">
        <f>IF(TONG_HOP_CC!B18="","",TONG_HOP_CC!B18)</f>
        <v/>
      </c>
      <c r="C18" s="96">
        <f>IF($B18="","",TONG_HOP_CC!C18)</f>
        <v/>
      </c>
      <c r="E18" s="112">
        <f>IF($B18="","","Tổng hợp")</f>
        <v/>
      </c>
      <c r="F18" s="110">
        <f>IF($B18="","",TONG_HOP_CC!E18)</f>
        <v/>
      </c>
      <c r="G18" s="110">
        <f>IF($B18="","",TONG_HOP_CC!G18)</f>
        <v/>
      </c>
      <c r="H18" s="110">
        <f>IF($B18="","",TONG_HOP_CC!H18)</f>
        <v/>
      </c>
      <c r="I18" s="110">
        <f>IF($B18="","",TONG_HOP_CC!I18)</f>
        <v/>
      </c>
      <c r="J18" s="110">
        <f>IF($B18="","",TONG_HOP_CC!J18)</f>
        <v/>
      </c>
      <c r="K18" s="110">
        <f>IF($B18="","",TONG_HOP_CC!K18)</f>
        <v/>
      </c>
      <c r="L18" s="110">
        <f>IF($B18="","",TONG_HOP_CC!L18)</f>
        <v/>
      </c>
      <c r="M18" s="110">
        <f>IF($B18="","",TONG_HOP_CC!M18)</f>
        <v/>
      </c>
      <c r="N18" s="110">
        <f>IF($B18="","",TONG_HOP_CC!N18)</f>
        <v/>
      </c>
      <c r="P18" s="110">
        <f>IF($B18="","",TONG_HOP_CC!O18)</f>
        <v/>
      </c>
      <c r="Q18" s="110">
        <f>IF($B18="","",TONG_HOP_CC!P18)</f>
        <v/>
      </c>
      <c r="R18" s="110">
        <f>IF($B18="","",TONG_HOP_CC!Q18)</f>
        <v/>
      </c>
      <c r="S18" s="110">
        <f>IF($B18="","",TONG_HOP_CC!R18)</f>
        <v/>
      </c>
      <c r="T18" s="110">
        <f>IF($B18="","",TONG_HOP_CC!S18)</f>
        <v/>
      </c>
      <c r="U18" s="110">
        <f>IF($B18="","",TONG_HOP_CC!T18)</f>
        <v/>
      </c>
      <c r="W18" s="112">
        <f>IF(DM_NHAN_SU!$B18="","",IF(DM_NHAN_SU!$B18="","",DM_NHAN_SU!$B18))</f>
        <v/>
      </c>
      <c r="X18" s="113">
        <f>IF(DM_NHAN_SU!$B18="","",IF(DM_NHAN_SU!$C18="","",DM_NHAN_SU!$C18))</f>
        <v/>
      </c>
      <c r="Y18" s="113">
        <f>IF(DM_NHAN_SU!$B18="","",IF(DM_NHAN_SU!$D18="","",DM_NHAN_SU!$D18))</f>
        <v/>
      </c>
      <c r="Z18" s="113">
        <f>IF(DM_NHAN_SU!$B18="","",IF(DM_NHAN_SU!$E18="","",DM_NHAN_SU!$E18))</f>
        <v/>
      </c>
      <c r="AA18" s="114">
        <f>IF(DM_NHAN_SU!$B18="","",IF(DM_NHAN_SU!$F18="","",DM_NHAN_SU!$F18))</f>
        <v/>
      </c>
      <c r="AB18" s="114">
        <f>IF(DM_NHAN_SU!$B18="","",IF(DM_NHAN_SU!$G18="","",DM_NHAN_SU!$G18))</f>
        <v/>
      </c>
    </row>
    <row r="19" ht="15" customHeight="1" s="63">
      <c r="A19" s="85">
        <f>IF($B19="","",ROW()-5)</f>
        <v/>
      </c>
      <c r="B19" s="103">
        <f>IF(TONG_HOP_CC!B19="","",TONG_HOP_CC!B19)</f>
        <v/>
      </c>
      <c r="C19" s="96">
        <f>IF($B19="","",TONG_HOP_CC!C19)</f>
        <v/>
      </c>
      <c r="E19" s="112">
        <f>IF($B19="","","Tổng hợp")</f>
        <v/>
      </c>
      <c r="F19" s="110">
        <f>IF($B19="","",TONG_HOP_CC!E19)</f>
        <v/>
      </c>
      <c r="G19" s="110">
        <f>IF($B19="","",TONG_HOP_CC!G19)</f>
        <v/>
      </c>
      <c r="H19" s="110">
        <f>IF($B19="","",TONG_HOP_CC!H19)</f>
        <v/>
      </c>
      <c r="I19" s="110">
        <f>IF($B19="","",TONG_HOP_CC!I19)</f>
        <v/>
      </c>
      <c r="J19" s="110">
        <f>IF($B19="","",TONG_HOP_CC!J19)</f>
        <v/>
      </c>
      <c r="K19" s="110">
        <f>IF($B19="","",TONG_HOP_CC!K19)</f>
        <v/>
      </c>
      <c r="L19" s="110">
        <f>IF($B19="","",TONG_HOP_CC!L19)</f>
        <v/>
      </c>
      <c r="M19" s="110">
        <f>IF($B19="","",TONG_HOP_CC!M19)</f>
        <v/>
      </c>
      <c r="N19" s="110">
        <f>IF($B19="","",TONG_HOP_CC!N19)</f>
        <v/>
      </c>
      <c r="P19" s="110">
        <f>IF($B19="","",TONG_HOP_CC!O19)</f>
        <v/>
      </c>
      <c r="Q19" s="110">
        <f>IF($B19="","",TONG_HOP_CC!P19)</f>
        <v/>
      </c>
      <c r="R19" s="110">
        <f>IF($B19="","",TONG_HOP_CC!Q19)</f>
        <v/>
      </c>
      <c r="S19" s="110">
        <f>IF($B19="","",TONG_HOP_CC!R19)</f>
        <v/>
      </c>
      <c r="T19" s="110">
        <f>IF($B19="","",TONG_HOP_CC!S19)</f>
        <v/>
      </c>
      <c r="U19" s="110">
        <f>IF($B19="","",TONG_HOP_CC!T19)</f>
        <v/>
      </c>
      <c r="W19" s="112">
        <f>IF(DM_NHAN_SU!$B19="","",IF(DM_NHAN_SU!$B19="","",DM_NHAN_SU!$B19))</f>
        <v/>
      </c>
      <c r="X19" s="113">
        <f>IF(DM_NHAN_SU!$B19="","",IF(DM_NHAN_SU!$C19="","",DM_NHAN_SU!$C19))</f>
        <v/>
      </c>
      <c r="Y19" s="113">
        <f>IF(DM_NHAN_SU!$B19="","",IF(DM_NHAN_SU!$D19="","",DM_NHAN_SU!$D19))</f>
        <v/>
      </c>
      <c r="Z19" s="113">
        <f>IF(DM_NHAN_SU!$B19="","",IF(DM_NHAN_SU!$E19="","",DM_NHAN_SU!$E19))</f>
        <v/>
      </c>
      <c r="AA19" s="114">
        <f>IF(DM_NHAN_SU!$B19="","",IF(DM_NHAN_SU!$F19="","",DM_NHAN_SU!$F19))</f>
        <v/>
      </c>
      <c r="AB19" s="114">
        <f>IF(DM_NHAN_SU!$B19="","",IF(DM_NHAN_SU!$G19="","",DM_NHAN_SU!$G19))</f>
        <v/>
      </c>
    </row>
    <row r="20" ht="15" customHeight="1" s="63">
      <c r="A20" s="85">
        <f>IF($B20="","",ROW()-5)</f>
        <v/>
      </c>
      <c r="B20" s="103">
        <f>IF(TONG_HOP_CC!B20="","",TONG_HOP_CC!B20)</f>
        <v/>
      </c>
      <c r="C20" s="96">
        <f>IF($B20="","",TONG_HOP_CC!C20)</f>
        <v/>
      </c>
      <c r="E20" s="112">
        <f>IF($B20="","","Tổng hợp")</f>
        <v/>
      </c>
      <c r="F20" s="110">
        <f>IF($B20="","",TONG_HOP_CC!E20)</f>
        <v/>
      </c>
      <c r="G20" s="110">
        <f>IF($B20="","",TONG_HOP_CC!G20)</f>
        <v/>
      </c>
      <c r="H20" s="110">
        <f>IF($B20="","",TONG_HOP_CC!H20)</f>
        <v/>
      </c>
      <c r="I20" s="110">
        <f>IF($B20="","",TONG_HOP_CC!I20)</f>
        <v/>
      </c>
      <c r="J20" s="110">
        <f>IF($B20="","",TONG_HOP_CC!J20)</f>
        <v/>
      </c>
      <c r="K20" s="110">
        <f>IF($B20="","",TONG_HOP_CC!K20)</f>
        <v/>
      </c>
      <c r="L20" s="110">
        <f>IF($B20="","",TONG_HOP_CC!L20)</f>
        <v/>
      </c>
      <c r="M20" s="110">
        <f>IF($B20="","",TONG_HOP_CC!M20)</f>
        <v/>
      </c>
      <c r="N20" s="110">
        <f>IF($B20="","",TONG_HOP_CC!N20)</f>
        <v/>
      </c>
      <c r="P20" s="110">
        <f>IF($B20="","",TONG_HOP_CC!O20)</f>
        <v/>
      </c>
      <c r="Q20" s="110">
        <f>IF($B20="","",TONG_HOP_CC!P20)</f>
        <v/>
      </c>
      <c r="R20" s="110">
        <f>IF($B20="","",TONG_HOP_CC!Q20)</f>
        <v/>
      </c>
      <c r="S20" s="110">
        <f>IF($B20="","",TONG_HOP_CC!R20)</f>
        <v/>
      </c>
      <c r="T20" s="110">
        <f>IF($B20="","",TONG_HOP_CC!S20)</f>
        <v/>
      </c>
      <c r="U20" s="110">
        <f>IF($B20="","",TONG_HOP_CC!T20)</f>
        <v/>
      </c>
      <c r="W20" s="112">
        <f>IF(DM_NHAN_SU!$B20="","",IF(DM_NHAN_SU!$B20="","",DM_NHAN_SU!$B20))</f>
        <v/>
      </c>
      <c r="X20" s="113">
        <f>IF(DM_NHAN_SU!$B20="","",IF(DM_NHAN_SU!$C20="","",DM_NHAN_SU!$C20))</f>
        <v/>
      </c>
      <c r="Y20" s="113">
        <f>IF(DM_NHAN_SU!$B20="","",IF(DM_NHAN_SU!$D20="","",DM_NHAN_SU!$D20))</f>
        <v/>
      </c>
      <c r="Z20" s="113">
        <f>IF(DM_NHAN_SU!$B20="","",IF(DM_NHAN_SU!$E20="","",DM_NHAN_SU!$E20))</f>
        <v/>
      </c>
      <c r="AA20" s="114">
        <f>IF(DM_NHAN_SU!$B20="","",IF(DM_NHAN_SU!$F20="","",DM_NHAN_SU!$F20))</f>
        <v/>
      </c>
      <c r="AB20" s="114">
        <f>IF(DM_NHAN_SU!$B20="","",IF(DM_NHAN_SU!$G20="","",DM_NHAN_SU!$G20))</f>
        <v/>
      </c>
    </row>
    <row r="21" ht="15" customHeight="1" s="63">
      <c r="A21" s="85">
        <f>IF($B21="","",ROW()-5)</f>
        <v/>
      </c>
      <c r="B21" s="103">
        <f>IF(TONG_HOP_CC!B21="","",TONG_HOP_CC!B21)</f>
        <v/>
      </c>
      <c r="C21" s="96">
        <f>IF($B21="","",TONG_HOP_CC!C21)</f>
        <v/>
      </c>
      <c r="E21" s="112">
        <f>IF($B21="","","Tổng hợp")</f>
        <v/>
      </c>
      <c r="F21" s="110">
        <f>IF($B21="","",TONG_HOP_CC!E21)</f>
        <v/>
      </c>
      <c r="G21" s="110">
        <f>IF($B21="","",TONG_HOP_CC!G21)</f>
        <v/>
      </c>
      <c r="H21" s="110">
        <f>IF($B21="","",TONG_HOP_CC!H21)</f>
        <v/>
      </c>
      <c r="I21" s="110">
        <f>IF($B21="","",TONG_HOP_CC!I21)</f>
        <v/>
      </c>
      <c r="J21" s="110">
        <f>IF($B21="","",TONG_HOP_CC!J21)</f>
        <v/>
      </c>
      <c r="K21" s="110">
        <f>IF($B21="","",TONG_HOP_CC!K21)</f>
        <v/>
      </c>
      <c r="L21" s="110">
        <f>IF($B21="","",TONG_HOP_CC!L21)</f>
        <v/>
      </c>
      <c r="M21" s="110">
        <f>IF($B21="","",TONG_HOP_CC!M21)</f>
        <v/>
      </c>
      <c r="N21" s="110">
        <f>IF($B21="","",TONG_HOP_CC!N21)</f>
        <v/>
      </c>
      <c r="P21" s="110">
        <f>IF($B21="","",TONG_HOP_CC!O21)</f>
        <v/>
      </c>
      <c r="Q21" s="110">
        <f>IF($B21="","",TONG_HOP_CC!P21)</f>
        <v/>
      </c>
      <c r="R21" s="110">
        <f>IF($B21="","",TONG_HOP_CC!Q21)</f>
        <v/>
      </c>
      <c r="S21" s="110">
        <f>IF($B21="","",TONG_HOP_CC!R21)</f>
        <v/>
      </c>
      <c r="T21" s="110">
        <f>IF($B21="","",TONG_HOP_CC!S21)</f>
        <v/>
      </c>
      <c r="U21" s="110">
        <f>IF($B21="","",TONG_HOP_CC!T21)</f>
        <v/>
      </c>
      <c r="W21" s="112">
        <f>IF(DM_NHAN_SU!$B21="","",IF(DM_NHAN_SU!$B21="","",DM_NHAN_SU!$B21))</f>
        <v/>
      </c>
      <c r="X21" s="113">
        <f>IF(DM_NHAN_SU!$B21="","",IF(DM_NHAN_SU!$C21="","",DM_NHAN_SU!$C21))</f>
        <v/>
      </c>
      <c r="Y21" s="113">
        <f>IF(DM_NHAN_SU!$B21="","",IF(DM_NHAN_SU!$D21="","",DM_NHAN_SU!$D21))</f>
        <v/>
      </c>
      <c r="Z21" s="113">
        <f>IF(DM_NHAN_SU!$B21="","",IF(DM_NHAN_SU!$E21="","",DM_NHAN_SU!$E21))</f>
        <v/>
      </c>
      <c r="AA21" s="114">
        <f>IF(DM_NHAN_SU!$B21="","",IF(DM_NHAN_SU!$F21="","",DM_NHAN_SU!$F21))</f>
        <v/>
      </c>
      <c r="AB21" s="114">
        <f>IF(DM_NHAN_SU!$B21="","",IF(DM_NHAN_SU!$G21="","",DM_NHAN_SU!$G21))</f>
        <v/>
      </c>
    </row>
    <row r="22" ht="15" customHeight="1" s="63">
      <c r="A22" s="85">
        <f>IF($B22="","",ROW()-5)</f>
        <v/>
      </c>
      <c r="B22" s="103">
        <f>IF(TONG_HOP_CC!B22="","",TONG_HOP_CC!B22)</f>
        <v/>
      </c>
      <c r="C22" s="96">
        <f>IF($B22="","",TONG_HOP_CC!C22)</f>
        <v/>
      </c>
      <c r="E22" s="112">
        <f>IF($B22="","","Tổng hợp")</f>
        <v/>
      </c>
      <c r="F22" s="110">
        <f>IF($B22="","",TONG_HOP_CC!E22)</f>
        <v/>
      </c>
      <c r="G22" s="110">
        <f>IF($B22="","",TONG_HOP_CC!G22)</f>
        <v/>
      </c>
      <c r="H22" s="110">
        <f>IF($B22="","",TONG_HOP_CC!H22)</f>
        <v/>
      </c>
      <c r="I22" s="110">
        <f>IF($B22="","",TONG_HOP_CC!I22)</f>
        <v/>
      </c>
      <c r="J22" s="110">
        <f>IF($B22="","",TONG_HOP_CC!J22)</f>
        <v/>
      </c>
      <c r="K22" s="110">
        <f>IF($B22="","",TONG_HOP_CC!K22)</f>
        <v/>
      </c>
      <c r="L22" s="110">
        <f>IF($B22="","",TONG_HOP_CC!L22)</f>
        <v/>
      </c>
      <c r="M22" s="110">
        <f>IF($B22="","",TONG_HOP_CC!M22)</f>
        <v/>
      </c>
      <c r="N22" s="110">
        <f>IF($B22="","",TONG_HOP_CC!N22)</f>
        <v/>
      </c>
      <c r="P22" s="110">
        <f>IF($B22="","",TONG_HOP_CC!O22)</f>
        <v/>
      </c>
      <c r="Q22" s="110">
        <f>IF($B22="","",TONG_HOP_CC!P22)</f>
        <v/>
      </c>
      <c r="R22" s="110">
        <f>IF($B22="","",TONG_HOP_CC!Q22)</f>
        <v/>
      </c>
      <c r="S22" s="110">
        <f>IF($B22="","",TONG_HOP_CC!R22)</f>
        <v/>
      </c>
      <c r="T22" s="110">
        <f>IF($B22="","",TONG_HOP_CC!S22)</f>
        <v/>
      </c>
      <c r="U22" s="110">
        <f>IF($B22="","",TONG_HOP_CC!T22)</f>
        <v/>
      </c>
      <c r="W22" s="112">
        <f>IF(DM_NHAN_SU!$B22="","",IF(DM_NHAN_SU!$B22="","",DM_NHAN_SU!$B22))</f>
        <v/>
      </c>
      <c r="X22" s="113">
        <f>IF(DM_NHAN_SU!$B22="","",IF(DM_NHAN_SU!$C22="","",DM_NHAN_SU!$C22))</f>
        <v/>
      </c>
      <c r="Y22" s="113">
        <f>IF(DM_NHAN_SU!$B22="","",IF(DM_NHAN_SU!$D22="","",DM_NHAN_SU!$D22))</f>
        <v/>
      </c>
      <c r="Z22" s="113">
        <f>IF(DM_NHAN_SU!$B22="","",IF(DM_NHAN_SU!$E22="","",DM_NHAN_SU!$E22))</f>
        <v/>
      </c>
      <c r="AA22" s="114">
        <f>IF(DM_NHAN_SU!$B22="","",IF(DM_NHAN_SU!$F22="","",DM_NHAN_SU!$F22))</f>
        <v/>
      </c>
      <c r="AB22" s="114">
        <f>IF(DM_NHAN_SU!$B22="","",IF(DM_NHAN_SU!$G22="","",DM_NHAN_SU!$G22))</f>
        <v/>
      </c>
    </row>
    <row r="23" ht="15" customHeight="1" s="63">
      <c r="A23" s="85">
        <f>IF($B23="","",ROW()-5)</f>
        <v/>
      </c>
      <c r="B23" s="103">
        <f>IF(TONG_HOP_CC!B23="","",TONG_HOP_CC!B23)</f>
        <v/>
      </c>
      <c r="C23" s="96">
        <f>IF($B23="","",TONG_HOP_CC!C23)</f>
        <v/>
      </c>
      <c r="E23" s="112">
        <f>IF($B23="","","Tổng hợp")</f>
        <v/>
      </c>
      <c r="F23" s="110">
        <f>IF($B23="","",TONG_HOP_CC!E23)</f>
        <v/>
      </c>
      <c r="G23" s="110">
        <f>IF($B23="","",TONG_HOP_CC!G23)</f>
        <v/>
      </c>
      <c r="H23" s="110">
        <f>IF($B23="","",TONG_HOP_CC!H23)</f>
        <v/>
      </c>
      <c r="I23" s="110">
        <f>IF($B23="","",TONG_HOP_CC!I23)</f>
        <v/>
      </c>
      <c r="J23" s="110">
        <f>IF($B23="","",TONG_HOP_CC!J23)</f>
        <v/>
      </c>
      <c r="K23" s="110">
        <f>IF($B23="","",TONG_HOP_CC!K23)</f>
        <v/>
      </c>
      <c r="L23" s="110">
        <f>IF($B23="","",TONG_HOP_CC!L23)</f>
        <v/>
      </c>
      <c r="M23" s="110">
        <f>IF($B23="","",TONG_HOP_CC!M23)</f>
        <v/>
      </c>
      <c r="N23" s="110">
        <f>IF($B23="","",TONG_HOP_CC!N23)</f>
        <v/>
      </c>
      <c r="P23" s="110">
        <f>IF($B23="","",TONG_HOP_CC!O23)</f>
        <v/>
      </c>
      <c r="Q23" s="110">
        <f>IF($B23="","",TONG_HOP_CC!P23)</f>
        <v/>
      </c>
      <c r="R23" s="110">
        <f>IF($B23="","",TONG_HOP_CC!Q23)</f>
        <v/>
      </c>
      <c r="S23" s="110">
        <f>IF($B23="","",TONG_HOP_CC!R23)</f>
        <v/>
      </c>
      <c r="T23" s="110">
        <f>IF($B23="","",TONG_HOP_CC!S23)</f>
        <v/>
      </c>
      <c r="U23" s="110">
        <f>IF($B23="","",TONG_HOP_CC!T23)</f>
        <v/>
      </c>
      <c r="W23" s="112">
        <f>IF(DM_NHAN_SU!$B23="","",IF(DM_NHAN_SU!$B23="","",DM_NHAN_SU!$B23))</f>
        <v/>
      </c>
      <c r="X23" s="113">
        <f>IF(DM_NHAN_SU!$B23="","",IF(DM_NHAN_SU!$C23="","",DM_NHAN_SU!$C23))</f>
        <v/>
      </c>
      <c r="Y23" s="113">
        <f>IF(DM_NHAN_SU!$B23="","",IF(DM_NHAN_SU!$D23="","",DM_NHAN_SU!$D23))</f>
        <v/>
      </c>
      <c r="Z23" s="113">
        <f>IF(DM_NHAN_SU!$B23="","",IF(DM_NHAN_SU!$E23="","",DM_NHAN_SU!$E23))</f>
        <v/>
      </c>
      <c r="AA23" s="114">
        <f>IF(DM_NHAN_SU!$B23="","",IF(DM_NHAN_SU!$F23="","",DM_NHAN_SU!$F23))</f>
        <v/>
      </c>
      <c r="AB23" s="114">
        <f>IF(DM_NHAN_SU!$B23="","",IF(DM_NHAN_SU!$G23="","",DM_NHAN_SU!$G23))</f>
        <v/>
      </c>
    </row>
    <row r="24" ht="15" customHeight="1" s="63">
      <c r="A24" s="85">
        <f>IF($B24="","",ROW()-5)</f>
        <v/>
      </c>
      <c r="B24" s="103">
        <f>IF(TONG_HOP_CC!B24="","",TONG_HOP_CC!B24)</f>
        <v/>
      </c>
      <c r="C24" s="96">
        <f>IF($B24="","",TONG_HOP_CC!C24)</f>
        <v/>
      </c>
      <c r="E24" s="112">
        <f>IF($B24="","","Tổng hợp")</f>
        <v/>
      </c>
      <c r="F24" s="110">
        <f>IF($B24="","",TONG_HOP_CC!E24)</f>
        <v/>
      </c>
      <c r="G24" s="110">
        <f>IF($B24="","",TONG_HOP_CC!G24)</f>
        <v/>
      </c>
      <c r="H24" s="110">
        <f>IF($B24="","",TONG_HOP_CC!H24)</f>
        <v/>
      </c>
      <c r="I24" s="110">
        <f>IF($B24="","",TONG_HOP_CC!I24)</f>
        <v/>
      </c>
      <c r="J24" s="110">
        <f>IF($B24="","",TONG_HOP_CC!J24)</f>
        <v/>
      </c>
      <c r="K24" s="110">
        <f>IF($B24="","",TONG_HOP_CC!K24)</f>
        <v/>
      </c>
      <c r="L24" s="110">
        <f>IF($B24="","",TONG_HOP_CC!L24)</f>
        <v/>
      </c>
      <c r="M24" s="110">
        <f>IF($B24="","",TONG_HOP_CC!M24)</f>
        <v/>
      </c>
      <c r="N24" s="110">
        <f>IF($B24="","",TONG_HOP_CC!N24)</f>
        <v/>
      </c>
      <c r="P24" s="110">
        <f>IF($B24="","",TONG_HOP_CC!O24)</f>
        <v/>
      </c>
      <c r="Q24" s="110">
        <f>IF($B24="","",TONG_HOP_CC!P24)</f>
        <v/>
      </c>
      <c r="R24" s="110">
        <f>IF($B24="","",TONG_HOP_CC!Q24)</f>
        <v/>
      </c>
      <c r="S24" s="110">
        <f>IF($B24="","",TONG_HOP_CC!R24)</f>
        <v/>
      </c>
      <c r="T24" s="110">
        <f>IF($B24="","",TONG_HOP_CC!S24)</f>
        <v/>
      </c>
      <c r="U24" s="110">
        <f>IF($B24="","",TONG_HOP_CC!T24)</f>
        <v/>
      </c>
      <c r="W24" s="112">
        <f>IF(DM_NHAN_SU!$B24="","",IF(DM_NHAN_SU!$B24="","",DM_NHAN_SU!$B24))</f>
        <v/>
      </c>
      <c r="X24" s="113">
        <f>IF(DM_NHAN_SU!$B24="","",IF(DM_NHAN_SU!$C24="","",DM_NHAN_SU!$C24))</f>
        <v/>
      </c>
      <c r="Y24" s="113">
        <f>IF(DM_NHAN_SU!$B24="","",IF(DM_NHAN_SU!$D24="","",DM_NHAN_SU!$D24))</f>
        <v/>
      </c>
      <c r="Z24" s="113">
        <f>IF(DM_NHAN_SU!$B24="","",IF(DM_NHAN_SU!$E24="","",DM_NHAN_SU!$E24))</f>
        <v/>
      </c>
      <c r="AA24" s="114">
        <f>IF(DM_NHAN_SU!$B24="","",IF(DM_NHAN_SU!$F24="","",DM_NHAN_SU!$F24))</f>
        <v/>
      </c>
      <c r="AB24" s="114">
        <f>IF(DM_NHAN_SU!$B24="","",IF(DM_NHAN_SU!$G24="","",DM_NHAN_SU!$G24))</f>
        <v/>
      </c>
    </row>
    <row r="25" ht="15" customHeight="1" s="63">
      <c r="A25" s="85">
        <f>IF($B25="","",ROW()-5)</f>
        <v/>
      </c>
      <c r="B25" s="103">
        <f>IF(TONG_HOP_CC!B25="","",TONG_HOP_CC!B25)</f>
        <v/>
      </c>
      <c r="C25" s="96">
        <f>IF($B25="","",TONG_HOP_CC!C25)</f>
        <v/>
      </c>
      <c r="E25" s="112">
        <f>IF($B25="","","Tổng hợp")</f>
        <v/>
      </c>
      <c r="F25" s="110">
        <f>IF($B25="","",TONG_HOP_CC!E25)</f>
        <v/>
      </c>
      <c r="G25" s="110">
        <f>IF($B25="","",TONG_HOP_CC!G25)</f>
        <v/>
      </c>
      <c r="H25" s="110">
        <f>IF($B25="","",TONG_HOP_CC!H25)</f>
        <v/>
      </c>
      <c r="I25" s="110">
        <f>IF($B25="","",TONG_HOP_CC!I25)</f>
        <v/>
      </c>
      <c r="J25" s="110">
        <f>IF($B25="","",TONG_HOP_CC!J25)</f>
        <v/>
      </c>
      <c r="K25" s="110">
        <f>IF($B25="","",TONG_HOP_CC!K25)</f>
        <v/>
      </c>
      <c r="L25" s="110">
        <f>IF($B25="","",TONG_HOP_CC!L25)</f>
        <v/>
      </c>
      <c r="M25" s="110">
        <f>IF($B25="","",TONG_HOP_CC!M25)</f>
        <v/>
      </c>
      <c r="N25" s="110">
        <f>IF($B25="","",TONG_HOP_CC!N25)</f>
        <v/>
      </c>
      <c r="P25" s="110">
        <f>IF($B25="","",TONG_HOP_CC!O25)</f>
        <v/>
      </c>
      <c r="Q25" s="110">
        <f>IF($B25="","",TONG_HOP_CC!P25)</f>
        <v/>
      </c>
      <c r="R25" s="110">
        <f>IF($B25="","",TONG_HOP_CC!Q25)</f>
        <v/>
      </c>
      <c r="S25" s="110">
        <f>IF($B25="","",TONG_HOP_CC!R25)</f>
        <v/>
      </c>
      <c r="T25" s="110">
        <f>IF($B25="","",TONG_HOP_CC!S25)</f>
        <v/>
      </c>
      <c r="U25" s="110">
        <f>IF($B25="","",TONG_HOP_CC!T25)</f>
        <v/>
      </c>
      <c r="W25" s="112">
        <f>IF(DM_NHAN_SU!$B25="","",IF(DM_NHAN_SU!$B25="","",DM_NHAN_SU!$B25))</f>
        <v/>
      </c>
      <c r="X25" s="113">
        <f>IF(DM_NHAN_SU!$B25="","",IF(DM_NHAN_SU!$C25="","",DM_NHAN_SU!$C25))</f>
        <v/>
      </c>
      <c r="Y25" s="113">
        <f>IF(DM_NHAN_SU!$B25="","",IF(DM_NHAN_SU!$D25="","",DM_NHAN_SU!$D25))</f>
        <v/>
      </c>
      <c r="Z25" s="113">
        <f>IF(DM_NHAN_SU!$B25="","",IF(DM_NHAN_SU!$E25="","",DM_NHAN_SU!$E25))</f>
        <v/>
      </c>
      <c r="AA25" s="114">
        <f>IF(DM_NHAN_SU!$B25="","",IF(DM_NHAN_SU!$F25="","",DM_NHAN_SU!$F25))</f>
        <v/>
      </c>
      <c r="AB25" s="114">
        <f>IF(DM_NHAN_SU!$B25="","",IF(DM_NHAN_SU!$G25="","",DM_NHAN_SU!$G25))</f>
        <v/>
      </c>
    </row>
    <row r="26" ht="15" customHeight="1" s="63">
      <c r="A26" s="85">
        <f>IF($B26="","",ROW()-5)</f>
        <v/>
      </c>
      <c r="B26" s="103">
        <f>IF(TONG_HOP_CC!B26="","",TONG_HOP_CC!B26)</f>
        <v/>
      </c>
      <c r="C26" s="96">
        <f>IF($B26="","",TONG_HOP_CC!C26)</f>
        <v/>
      </c>
      <c r="E26" s="112">
        <f>IF($B26="","","Tổng hợp")</f>
        <v/>
      </c>
      <c r="F26" s="110">
        <f>IF($B26="","",TONG_HOP_CC!E26)</f>
        <v/>
      </c>
      <c r="G26" s="110">
        <f>IF($B26="","",TONG_HOP_CC!G26)</f>
        <v/>
      </c>
      <c r="H26" s="110">
        <f>IF($B26="","",TONG_HOP_CC!H26)</f>
        <v/>
      </c>
      <c r="I26" s="110">
        <f>IF($B26="","",TONG_HOP_CC!I26)</f>
        <v/>
      </c>
      <c r="J26" s="110">
        <f>IF($B26="","",TONG_HOP_CC!J26)</f>
        <v/>
      </c>
      <c r="K26" s="110">
        <f>IF($B26="","",TONG_HOP_CC!K26)</f>
        <v/>
      </c>
      <c r="L26" s="110">
        <f>IF($B26="","",TONG_HOP_CC!L26)</f>
        <v/>
      </c>
      <c r="M26" s="110">
        <f>IF($B26="","",TONG_HOP_CC!M26)</f>
        <v/>
      </c>
      <c r="N26" s="110">
        <f>IF($B26="","",TONG_HOP_CC!N26)</f>
        <v/>
      </c>
      <c r="P26" s="110">
        <f>IF($B26="","",TONG_HOP_CC!O26)</f>
        <v/>
      </c>
      <c r="Q26" s="110">
        <f>IF($B26="","",TONG_HOP_CC!P26)</f>
        <v/>
      </c>
      <c r="R26" s="110">
        <f>IF($B26="","",TONG_HOP_CC!Q26)</f>
        <v/>
      </c>
      <c r="S26" s="110">
        <f>IF($B26="","",TONG_HOP_CC!R26)</f>
        <v/>
      </c>
      <c r="T26" s="110">
        <f>IF($B26="","",TONG_HOP_CC!S26)</f>
        <v/>
      </c>
      <c r="U26" s="110">
        <f>IF($B26="","",TONG_HOP_CC!T26)</f>
        <v/>
      </c>
      <c r="W26" s="112">
        <f>IF(DM_NHAN_SU!$B26="","",IF(DM_NHAN_SU!$B26="","",DM_NHAN_SU!$B26))</f>
        <v/>
      </c>
      <c r="X26" s="113">
        <f>IF(DM_NHAN_SU!$B26="","",IF(DM_NHAN_SU!$C26="","",DM_NHAN_SU!$C26))</f>
        <v/>
      </c>
      <c r="Y26" s="113">
        <f>IF(DM_NHAN_SU!$B26="","",IF(DM_NHAN_SU!$D26="","",DM_NHAN_SU!$D26))</f>
        <v/>
      </c>
      <c r="Z26" s="113">
        <f>IF(DM_NHAN_SU!$B26="","",IF(DM_NHAN_SU!$E26="","",DM_NHAN_SU!$E26))</f>
        <v/>
      </c>
      <c r="AA26" s="114">
        <f>IF(DM_NHAN_SU!$B26="","",IF(DM_NHAN_SU!$F26="","",DM_NHAN_SU!$F26))</f>
        <v/>
      </c>
      <c r="AB26" s="114">
        <f>IF(DM_NHAN_SU!$B26="","",IF(DM_NHAN_SU!$G26="","",DM_NHAN_SU!$G26))</f>
        <v/>
      </c>
    </row>
    <row r="27" ht="15" customHeight="1" s="63">
      <c r="A27" s="85">
        <f>IF($B27="","",ROW()-5)</f>
        <v/>
      </c>
      <c r="B27" s="103">
        <f>IF(TONG_HOP_CC!B27="","",TONG_HOP_CC!B27)</f>
        <v/>
      </c>
      <c r="C27" s="96">
        <f>IF($B27="","",TONG_HOP_CC!C27)</f>
        <v/>
      </c>
      <c r="E27" s="112">
        <f>IF($B27="","","Tổng hợp")</f>
        <v/>
      </c>
      <c r="F27" s="110">
        <f>IF($B27="","",TONG_HOP_CC!E27)</f>
        <v/>
      </c>
      <c r="G27" s="110">
        <f>IF($B27="","",TONG_HOP_CC!G27)</f>
        <v/>
      </c>
      <c r="H27" s="110">
        <f>IF($B27="","",TONG_HOP_CC!H27)</f>
        <v/>
      </c>
      <c r="I27" s="110">
        <f>IF($B27="","",TONG_HOP_CC!I27)</f>
        <v/>
      </c>
      <c r="J27" s="110">
        <f>IF($B27="","",TONG_HOP_CC!J27)</f>
        <v/>
      </c>
      <c r="K27" s="110">
        <f>IF($B27="","",TONG_HOP_CC!K27)</f>
        <v/>
      </c>
      <c r="L27" s="110">
        <f>IF($B27="","",TONG_HOP_CC!L27)</f>
        <v/>
      </c>
      <c r="M27" s="110">
        <f>IF($B27="","",TONG_HOP_CC!M27)</f>
        <v/>
      </c>
      <c r="N27" s="110">
        <f>IF($B27="","",TONG_HOP_CC!N27)</f>
        <v/>
      </c>
      <c r="P27" s="110">
        <f>IF($B27="","",TONG_HOP_CC!O27)</f>
        <v/>
      </c>
      <c r="Q27" s="110">
        <f>IF($B27="","",TONG_HOP_CC!P27)</f>
        <v/>
      </c>
      <c r="R27" s="110">
        <f>IF($B27="","",TONG_HOP_CC!Q27)</f>
        <v/>
      </c>
      <c r="S27" s="110">
        <f>IF($B27="","",TONG_HOP_CC!R27)</f>
        <v/>
      </c>
      <c r="T27" s="110">
        <f>IF($B27="","",TONG_HOP_CC!S27)</f>
        <v/>
      </c>
      <c r="U27" s="110">
        <f>IF($B27="","",TONG_HOP_CC!T27)</f>
        <v/>
      </c>
      <c r="W27" s="112">
        <f>IF(DM_NHAN_SU!$B27="","",IF(DM_NHAN_SU!$B27="","",DM_NHAN_SU!$B27))</f>
        <v/>
      </c>
      <c r="X27" s="113">
        <f>IF(DM_NHAN_SU!$B27="","",IF(DM_NHAN_SU!$C27="","",DM_NHAN_SU!$C27))</f>
        <v/>
      </c>
      <c r="Y27" s="113">
        <f>IF(DM_NHAN_SU!$B27="","",IF(DM_NHAN_SU!$D27="","",DM_NHAN_SU!$D27))</f>
        <v/>
      </c>
      <c r="Z27" s="113">
        <f>IF(DM_NHAN_SU!$B27="","",IF(DM_NHAN_SU!$E27="","",DM_NHAN_SU!$E27))</f>
        <v/>
      </c>
      <c r="AA27" s="114">
        <f>IF(DM_NHAN_SU!$B27="","",IF(DM_NHAN_SU!$F27="","",DM_NHAN_SU!$F27))</f>
        <v/>
      </c>
      <c r="AB27" s="114">
        <f>IF(DM_NHAN_SU!$B27="","",IF(DM_NHAN_SU!$G27="","",DM_NHAN_SU!$G27))</f>
        <v/>
      </c>
    </row>
    <row r="28" ht="15" customHeight="1" s="63">
      <c r="A28" s="85">
        <f>IF($B28="","",ROW()-5)</f>
        <v/>
      </c>
      <c r="B28" s="103">
        <f>IF(TONG_HOP_CC!B28="","",TONG_HOP_CC!B28)</f>
        <v/>
      </c>
      <c r="C28" s="96">
        <f>IF($B28="","",TONG_HOP_CC!C28)</f>
        <v/>
      </c>
      <c r="E28" s="112">
        <f>IF($B28="","","Tổng hợp")</f>
        <v/>
      </c>
      <c r="F28" s="110">
        <f>IF($B28="","",TONG_HOP_CC!E28)</f>
        <v/>
      </c>
      <c r="G28" s="110">
        <f>IF($B28="","",TONG_HOP_CC!G28)</f>
        <v/>
      </c>
      <c r="H28" s="110">
        <f>IF($B28="","",TONG_HOP_CC!H28)</f>
        <v/>
      </c>
      <c r="I28" s="110">
        <f>IF($B28="","",TONG_HOP_CC!I28)</f>
        <v/>
      </c>
      <c r="J28" s="110">
        <f>IF($B28="","",TONG_HOP_CC!J28)</f>
        <v/>
      </c>
      <c r="K28" s="110">
        <f>IF($B28="","",TONG_HOP_CC!K28)</f>
        <v/>
      </c>
      <c r="L28" s="110">
        <f>IF($B28="","",TONG_HOP_CC!L28)</f>
        <v/>
      </c>
      <c r="M28" s="110">
        <f>IF($B28="","",TONG_HOP_CC!M28)</f>
        <v/>
      </c>
      <c r="N28" s="110">
        <f>IF($B28="","",TONG_HOP_CC!N28)</f>
        <v/>
      </c>
      <c r="P28" s="110">
        <f>IF($B28="","",TONG_HOP_CC!O28)</f>
        <v/>
      </c>
      <c r="Q28" s="110">
        <f>IF($B28="","",TONG_HOP_CC!P28)</f>
        <v/>
      </c>
      <c r="R28" s="110">
        <f>IF($B28="","",TONG_HOP_CC!Q28)</f>
        <v/>
      </c>
      <c r="S28" s="110">
        <f>IF($B28="","",TONG_HOP_CC!R28)</f>
        <v/>
      </c>
      <c r="T28" s="110">
        <f>IF($B28="","",TONG_HOP_CC!S28)</f>
        <v/>
      </c>
      <c r="U28" s="110">
        <f>IF($B28="","",TONG_HOP_CC!T28)</f>
        <v/>
      </c>
      <c r="W28" s="112">
        <f>IF(DM_NHAN_SU!$B28="","",IF(DM_NHAN_SU!$B28="","",DM_NHAN_SU!$B28))</f>
        <v/>
      </c>
      <c r="X28" s="113">
        <f>IF(DM_NHAN_SU!$B28="","",IF(DM_NHAN_SU!$C28="","",DM_NHAN_SU!$C28))</f>
        <v/>
      </c>
      <c r="Y28" s="113">
        <f>IF(DM_NHAN_SU!$B28="","",IF(DM_NHAN_SU!$D28="","",DM_NHAN_SU!$D28))</f>
        <v/>
      </c>
      <c r="Z28" s="113">
        <f>IF(DM_NHAN_SU!$B28="","",IF(DM_NHAN_SU!$E28="","",DM_NHAN_SU!$E28))</f>
        <v/>
      </c>
      <c r="AA28" s="114">
        <f>IF(DM_NHAN_SU!$B28="","",IF(DM_NHAN_SU!$F28="","",DM_NHAN_SU!$F28))</f>
        <v/>
      </c>
      <c r="AB28" s="114">
        <f>IF(DM_NHAN_SU!$B28="","",IF(DM_NHAN_SU!$G28="","",DM_NHAN_SU!$G28))</f>
        <v/>
      </c>
    </row>
    <row r="29" ht="15" customHeight="1" s="63">
      <c r="A29" s="85">
        <f>IF($B29="","",ROW()-5)</f>
        <v/>
      </c>
      <c r="B29" s="103">
        <f>IF(TONG_HOP_CC!B29="","",TONG_HOP_CC!B29)</f>
        <v/>
      </c>
      <c r="C29" s="96">
        <f>IF($B29="","",TONG_HOP_CC!C29)</f>
        <v/>
      </c>
      <c r="E29" s="112">
        <f>IF($B29="","","Tổng hợp")</f>
        <v/>
      </c>
      <c r="F29" s="110">
        <f>IF($B29="","",TONG_HOP_CC!E29)</f>
        <v/>
      </c>
      <c r="G29" s="110">
        <f>IF($B29="","",TONG_HOP_CC!G29)</f>
        <v/>
      </c>
      <c r="H29" s="110">
        <f>IF($B29="","",TONG_HOP_CC!H29)</f>
        <v/>
      </c>
      <c r="I29" s="110">
        <f>IF($B29="","",TONG_HOP_CC!I29)</f>
        <v/>
      </c>
      <c r="J29" s="110">
        <f>IF($B29="","",TONG_HOP_CC!J29)</f>
        <v/>
      </c>
      <c r="K29" s="110">
        <f>IF($B29="","",TONG_HOP_CC!K29)</f>
        <v/>
      </c>
      <c r="L29" s="110">
        <f>IF($B29="","",TONG_HOP_CC!L29)</f>
        <v/>
      </c>
      <c r="M29" s="110">
        <f>IF($B29="","",TONG_HOP_CC!M29)</f>
        <v/>
      </c>
      <c r="N29" s="110">
        <f>IF($B29="","",TONG_HOP_CC!N29)</f>
        <v/>
      </c>
      <c r="P29" s="110">
        <f>IF($B29="","",TONG_HOP_CC!O29)</f>
        <v/>
      </c>
      <c r="Q29" s="110">
        <f>IF($B29="","",TONG_HOP_CC!P29)</f>
        <v/>
      </c>
      <c r="R29" s="110">
        <f>IF($B29="","",TONG_HOP_CC!Q29)</f>
        <v/>
      </c>
      <c r="S29" s="110">
        <f>IF($B29="","",TONG_HOP_CC!R29)</f>
        <v/>
      </c>
      <c r="T29" s="110">
        <f>IF($B29="","",TONG_HOP_CC!S29)</f>
        <v/>
      </c>
      <c r="U29" s="110">
        <f>IF($B29="","",TONG_HOP_CC!T29)</f>
        <v/>
      </c>
      <c r="W29" s="112">
        <f>IF(DM_NHAN_SU!$B29="","",IF(DM_NHAN_SU!$B29="","",DM_NHAN_SU!$B29))</f>
        <v/>
      </c>
      <c r="X29" s="113">
        <f>IF(DM_NHAN_SU!$B29="","",IF(DM_NHAN_SU!$C29="","",DM_NHAN_SU!$C29))</f>
        <v/>
      </c>
      <c r="Y29" s="113">
        <f>IF(DM_NHAN_SU!$B29="","",IF(DM_NHAN_SU!$D29="","",DM_NHAN_SU!$D29))</f>
        <v/>
      </c>
      <c r="Z29" s="113">
        <f>IF(DM_NHAN_SU!$B29="","",IF(DM_NHAN_SU!$E29="","",DM_NHAN_SU!$E29))</f>
        <v/>
      </c>
      <c r="AA29" s="114">
        <f>IF(DM_NHAN_SU!$B29="","",IF(DM_NHAN_SU!$F29="","",DM_NHAN_SU!$F29))</f>
        <v/>
      </c>
      <c r="AB29" s="114">
        <f>IF(DM_NHAN_SU!$B29="","",IF(DM_NHAN_SU!$G29="","",DM_NHAN_SU!$G29))</f>
        <v/>
      </c>
    </row>
    <row r="30" ht="15" customHeight="1" s="63">
      <c r="A30" s="85">
        <f>IF($B30="","",ROW()-5)</f>
        <v/>
      </c>
      <c r="B30" s="103">
        <f>IF(TONG_HOP_CC!B30="","",TONG_HOP_CC!B30)</f>
        <v/>
      </c>
      <c r="C30" s="96">
        <f>IF($B30="","",TONG_HOP_CC!C30)</f>
        <v/>
      </c>
      <c r="E30" s="112">
        <f>IF($B30="","","Tổng hợp")</f>
        <v/>
      </c>
      <c r="F30" s="110">
        <f>IF($B30="","",TONG_HOP_CC!E30)</f>
        <v/>
      </c>
      <c r="G30" s="110">
        <f>IF($B30="","",TONG_HOP_CC!G30)</f>
        <v/>
      </c>
      <c r="H30" s="110">
        <f>IF($B30="","",TONG_HOP_CC!H30)</f>
        <v/>
      </c>
      <c r="I30" s="110">
        <f>IF($B30="","",TONG_HOP_CC!I30)</f>
        <v/>
      </c>
      <c r="J30" s="110">
        <f>IF($B30="","",TONG_HOP_CC!J30)</f>
        <v/>
      </c>
      <c r="K30" s="110">
        <f>IF($B30="","",TONG_HOP_CC!K30)</f>
        <v/>
      </c>
      <c r="L30" s="110">
        <f>IF($B30="","",TONG_HOP_CC!L30)</f>
        <v/>
      </c>
      <c r="M30" s="110">
        <f>IF($B30="","",TONG_HOP_CC!M30)</f>
        <v/>
      </c>
      <c r="N30" s="110">
        <f>IF($B30="","",TONG_HOP_CC!N30)</f>
        <v/>
      </c>
      <c r="P30" s="110">
        <f>IF($B30="","",TONG_HOP_CC!O30)</f>
        <v/>
      </c>
      <c r="Q30" s="110">
        <f>IF($B30="","",TONG_HOP_CC!P30)</f>
        <v/>
      </c>
      <c r="R30" s="110">
        <f>IF($B30="","",TONG_HOP_CC!Q30)</f>
        <v/>
      </c>
      <c r="S30" s="110">
        <f>IF($B30="","",TONG_HOP_CC!R30)</f>
        <v/>
      </c>
      <c r="T30" s="110">
        <f>IF($B30="","",TONG_HOP_CC!S30)</f>
        <v/>
      </c>
      <c r="U30" s="110">
        <f>IF($B30="","",TONG_HOP_CC!T30)</f>
        <v/>
      </c>
      <c r="W30" s="112">
        <f>IF(DM_NHAN_SU!$B30="","",IF(DM_NHAN_SU!$B30="","",DM_NHAN_SU!$B30))</f>
        <v/>
      </c>
      <c r="X30" s="113">
        <f>IF(DM_NHAN_SU!$B30="","",IF(DM_NHAN_SU!$C30="","",DM_NHAN_SU!$C30))</f>
        <v/>
      </c>
      <c r="Y30" s="113">
        <f>IF(DM_NHAN_SU!$B30="","",IF(DM_NHAN_SU!$D30="","",DM_NHAN_SU!$D30))</f>
        <v/>
      </c>
      <c r="Z30" s="113">
        <f>IF(DM_NHAN_SU!$B30="","",IF(DM_NHAN_SU!$E30="","",DM_NHAN_SU!$E30))</f>
        <v/>
      </c>
      <c r="AA30" s="114">
        <f>IF(DM_NHAN_SU!$B30="","",IF(DM_NHAN_SU!$F30="","",DM_NHAN_SU!$F30))</f>
        <v/>
      </c>
      <c r="AB30" s="114">
        <f>IF(DM_NHAN_SU!$B30="","",IF(DM_NHAN_SU!$G30="","",DM_NHAN_SU!$G30))</f>
        <v/>
      </c>
    </row>
    <row r="31" ht="15" customHeight="1" s="63">
      <c r="A31" s="85">
        <f>IF($B31="","",ROW()-5)</f>
        <v/>
      </c>
      <c r="B31" s="103">
        <f>IF(TONG_HOP_CC!B31="","",TONG_HOP_CC!B31)</f>
        <v/>
      </c>
      <c r="C31" s="96">
        <f>IF($B31="","",TONG_HOP_CC!C31)</f>
        <v/>
      </c>
      <c r="E31" s="112">
        <f>IF($B31="","","Tổng hợp")</f>
        <v/>
      </c>
      <c r="F31" s="110">
        <f>IF($B31="","",TONG_HOP_CC!E31)</f>
        <v/>
      </c>
      <c r="G31" s="110">
        <f>IF($B31="","",TONG_HOP_CC!G31)</f>
        <v/>
      </c>
      <c r="H31" s="110">
        <f>IF($B31="","",TONG_HOP_CC!H31)</f>
        <v/>
      </c>
      <c r="I31" s="110">
        <f>IF($B31="","",TONG_HOP_CC!I31)</f>
        <v/>
      </c>
      <c r="J31" s="110">
        <f>IF($B31="","",TONG_HOP_CC!J31)</f>
        <v/>
      </c>
      <c r="K31" s="110">
        <f>IF($B31="","",TONG_HOP_CC!K31)</f>
        <v/>
      </c>
      <c r="L31" s="110">
        <f>IF($B31="","",TONG_HOP_CC!L31)</f>
        <v/>
      </c>
      <c r="M31" s="110">
        <f>IF($B31="","",TONG_HOP_CC!M31)</f>
        <v/>
      </c>
      <c r="N31" s="110">
        <f>IF($B31="","",TONG_HOP_CC!N31)</f>
        <v/>
      </c>
      <c r="P31" s="110">
        <f>IF($B31="","",TONG_HOP_CC!O31)</f>
        <v/>
      </c>
      <c r="Q31" s="110">
        <f>IF($B31="","",TONG_HOP_CC!P31)</f>
        <v/>
      </c>
      <c r="R31" s="110">
        <f>IF($B31="","",TONG_HOP_CC!Q31)</f>
        <v/>
      </c>
      <c r="S31" s="110">
        <f>IF($B31="","",TONG_HOP_CC!R31)</f>
        <v/>
      </c>
      <c r="T31" s="110">
        <f>IF($B31="","",TONG_HOP_CC!S31)</f>
        <v/>
      </c>
      <c r="U31" s="110">
        <f>IF($B31="","",TONG_HOP_CC!T31)</f>
        <v/>
      </c>
      <c r="W31" s="112">
        <f>IF(DM_NHAN_SU!$B31="","",IF(DM_NHAN_SU!$B31="","",DM_NHAN_SU!$B31))</f>
        <v/>
      </c>
      <c r="X31" s="113">
        <f>IF(DM_NHAN_SU!$B31="","",IF(DM_NHAN_SU!$C31="","",DM_NHAN_SU!$C31))</f>
        <v/>
      </c>
      <c r="Y31" s="113">
        <f>IF(DM_NHAN_SU!$B31="","",IF(DM_NHAN_SU!$D31="","",DM_NHAN_SU!$D31))</f>
        <v/>
      </c>
      <c r="Z31" s="113">
        <f>IF(DM_NHAN_SU!$B31="","",IF(DM_NHAN_SU!$E31="","",DM_NHAN_SU!$E31))</f>
        <v/>
      </c>
      <c r="AA31" s="114">
        <f>IF(DM_NHAN_SU!$B31="","",IF(DM_NHAN_SU!$F31="","",DM_NHAN_SU!$F31))</f>
        <v/>
      </c>
      <c r="AB31" s="114">
        <f>IF(DM_NHAN_SU!$B31="","",IF(DM_NHAN_SU!$G31="","",DM_NHAN_SU!$G31))</f>
        <v/>
      </c>
    </row>
    <row r="32" ht="15" customHeight="1" s="63">
      <c r="A32" s="85">
        <f>IF($B32="","",ROW()-5)</f>
        <v/>
      </c>
      <c r="B32" s="103">
        <f>IF(TONG_HOP_CC!B32="","",TONG_HOP_CC!B32)</f>
        <v/>
      </c>
      <c r="C32" s="96">
        <f>IF($B32="","",TONG_HOP_CC!C32)</f>
        <v/>
      </c>
      <c r="E32" s="112">
        <f>IF($B32="","","Tổng hợp")</f>
        <v/>
      </c>
      <c r="F32" s="110">
        <f>IF($B32="","",TONG_HOP_CC!E32)</f>
        <v/>
      </c>
      <c r="G32" s="110">
        <f>IF($B32="","",TONG_HOP_CC!G32)</f>
        <v/>
      </c>
      <c r="H32" s="110">
        <f>IF($B32="","",TONG_HOP_CC!H32)</f>
        <v/>
      </c>
      <c r="I32" s="110">
        <f>IF($B32="","",TONG_HOP_CC!I32)</f>
        <v/>
      </c>
      <c r="J32" s="110">
        <f>IF($B32="","",TONG_HOP_CC!J32)</f>
        <v/>
      </c>
      <c r="K32" s="110">
        <f>IF($B32="","",TONG_HOP_CC!K32)</f>
        <v/>
      </c>
      <c r="L32" s="110">
        <f>IF($B32="","",TONG_HOP_CC!L32)</f>
        <v/>
      </c>
      <c r="M32" s="110">
        <f>IF($B32="","",TONG_HOP_CC!M32)</f>
        <v/>
      </c>
      <c r="N32" s="110">
        <f>IF($B32="","",TONG_HOP_CC!N32)</f>
        <v/>
      </c>
      <c r="P32" s="110">
        <f>IF($B32="","",TONG_HOP_CC!O32)</f>
        <v/>
      </c>
      <c r="Q32" s="110">
        <f>IF($B32="","",TONG_HOP_CC!P32)</f>
        <v/>
      </c>
      <c r="R32" s="110">
        <f>IF($B32="","",TONG_HOP_CC!Q32)</f>
        <v/>
      </c>
      <c r="S32" s="110">
        <f>IF($B32="","",TONG_HOP_CC!R32)</f>
        <v/>
      </c>
      <c r="T32" s="110">
        <f>IF($B32="","",TONG_HOP_CC!S32)</f>
        <v/>
      </c>
      <c r="U32" s="110">
        <f>IF($B32="","",TONG_HOP_CC!T32)</f>
        <v/>
      </c>
      <c r="W32" s="112">
        <f>IF(DM_NHAN_SU!$B32="","",IF(DM_NHAN_SU!$B32="","",DM_NHAN_SU!$B32))</f>
        <v/>
      </c>
      <c r="X32" s="113">
        <f>IF(DM_NHAN_SU!$B32="","",IF(DM_NHAN_SU!$C32="","",DM_NHAN_SU!$C32))</f>
        <v/>
      </c>
      <c r="Y32" s="113">
        <f>IF(DM_NHAN_SU!$B32="","",IF(DM_NHAN_SU!$D32="","",DM_NHAN_SU!$D32))</f>
        <v/>
      </c>
      <c r="Z32" s="113">
        <f>IF(DM_NHAN_SU!$B32="","",IF(DM_NHAN_SU!$E32="","",DM_NHAN_SU!$E32))</f>
        <v/>
      </c>
      <c r="AA32" s="114">
        <f>IF(DM_NHAN_SU!$B32="","",IF(DM_NHAN_SU!$F32="","",DM_NHAN_SU!$F32))</f>
        <v/>
      </c>
      <c r="AB32" s="114">
        <f>IF(DM_NHAN_SU!$B32="","",IF(DM_NHAN_SU!$G32="","",DM_NHAN_SU!$G32))</f>
        <v/>
      </c>
    </row>
    <row r="33" ht="15" customHeight="1" s="63">
      <c r="A33" s="85">
        <f>IF($B33="","",ROW()-5)</f>
        <v/>
      </c>
      <c r="B33" s="103">
        <f>IF(TONG_HOP_CC!B33="","",TONG_HOP_CC!B33)</f>
        <v/>
      </c>
      <c r="C33" s="96">
        <f>IF($B33="","",TONG_HOP_CC!C33)</f>
        <v/>
      </c>
      <c r="E33" s="112">
        <f>IF($B33="","","Tổng hợp")</f>
        <v/>
      </c>
      <c r="F33" s="110">
        <f>IF($B33="","",TONG_HOP_CC!E33)</f>
        <v/>
      </c>
      <c r="G33" s="110">
        <f>IF($B33="","",TONG_HOP_CC!G33)</f>
        <v/>
      </c>
      <c r="H33" s="110">
        <f>IF($B33="","",TONG_HOP_CC!H33)</f>
        <v/>
      </c>
      <c r="I33" s="110">
        <f>IF($B33="","",TONG_HOP_CC!I33)</f>
        <v/>
      </c>
      <c r="J33" s="110">
        <f>IF($B33="","",TONG_HOP_CC!J33)</f>
        <v/>
      </c>
      <c r="K33" s="110">
        <f>IF($B33="","",TONG_HOP_CC!K33)</f>
        <v/>
      </c>
      <c r="L33" s="110">
        <f>IF($B33="","",TONG_HOP_CC!L33)</f>
        <v/>
      </c>
      <c r="M33" s="110">
        <f>IF($B33="","",TONG_HOP_CC!M33)</f>
        <v/>
      </c>
      <c r="N33" s="110">
        <f>IF($B33="","",TONG_HOP_CC!N33)</f>
        <v/>
      </c>
      <c r="P33" s="110">
        <f>IF($B33="","",TONG_HOP_CC!O33)</f>
        <v/>
      </c>
      <c r="Q33" s="110">
        <f>IF($B33="","",TONG_HOP_CC!P33)</f>
        <v/>
      </c>
      <c r="R33" s="110">
        <f>IF($B33="","",TONG_HOP_CC!Q33)</f>
        <v/>
      </c>
      <c r="S33" s="110">
        <f>IF($B33="","",TONG_HOP_CC!R33)</f>
        <v/>
      </c>
      <c r="T33" s="110">
        <f>IF($B33="","",TONG_HOP_CC!S33)</f>
        <v/>
      </c>
      <c r="U33" s="110">
        <f>IF($B33="","",TONG_HOP_CC!T33)</f>
        <v/>
      </c>
      <c r="W33" s="112">
        <f>IF(DM_NHAN_SU!$B33="","",IF(DM_NHAN_SU!$B33="","",DM_NHAN_SU!$B33))</f>
        <v/>
      </c>
      <c r="X33" s="113">
        <f>IF(DM_NHAN_SU!$B33="","",IF(DM_NHAN_SU!$C33="","",DM_NHAN_SU!$C33))</f>
        <v/>
      </c>
      <c r="Y33" s="113">
        <f>IF(DM_NHAN_SU!$B33="","",IF(DM_NHAN_SU!$D33="","",DM_NHAN_SU!$D33))</f>
        <v/>
      </c>
      <c r="Z33" s="113">
        <f>IF(DM_NHAN_SU!$B33="","",IF(DM_NHAN_SU!$E33="","",DM_NHAN_SU!$E33))</f>
        <v/>
      </c>
      <c r="AA33" s="114">
        <f>IF(DM_NHAN_SU!$B33="","",IF(DM_NHAN_SU!$F33="","",DM_NHAN_SU!$F33))</f>
        <v/>
      </c>
      <c r="AB33" s="114">
        <f>IF(DM_NHAN_SU!$B33="","",IF(DM_NHAN_SU!$G33="","",DM_NHAN_SU!$G33))</f>
        <v/>
      </c>
    </row>
    <row r="34" ht="15" customHeight="1" s="63">
      <c r="A34" s="85">
        <f>IF($B34="","",ROW()-5)</f>
        <v/>
      </c>
      <c r="B34" s="103">
        <f>IF(TONG_HOP_CC!B34="","",TONG_HOP_CC!B34)</f>
        <v/>
      </c>
      <c r="C34" s="96">
        <f>IF($B34="","",TONG_HOP_CC!C34)</f>
        <v/>
      </c>
      <c r="E34" s="112">
        <f>IF($B34="","","Tổng hợp")</f>
        <v/>
      </c>
      <c r="F34" s="110">
        <f>IF($B34="","",TONG_HOP_CC!E34)</f>
        <v/>
      </c>
      <c r="G34" s="110">
        <f>IF($B34="","",TONG_HOP_CC!G34)</f>
        <v/>
      </c>
      <c r="H34" s="110">
        <f>IF($B34="","",TONG_HOP_CC!H34)</f>
        <v/>
      </c>
      <c r="I34" s="110">
        <f>IF($B34="","",TONG_HOP_CC!I34)</f>
        <v/>
      </c>
      <c r="J34" s="110">
        <f>IF($B34="","",TONG_HOP_CC!J34)</f>
        <v/>
      </c>
      <c r="K34" s="110">
        <f>IF($B34="","",TONG_HOP_CC!K34)</f>
        <v/>
      </c>
      <c r="L34" s="110">
        <f>IF($B34="","",TONG_HOP_CC!L34)</f>
        <v/>
      </c>
      <c r="M34" s="110">
        <f>IF($B34="","",TONG_HOP_CC!M34)</f>
        <v/>
      </c>
      <c r="N34" s="110">
        <f>IF($B34="","",TONG_HOP_CC!N34)</f>
        <v/>
      </c>
      <c r="P34" s="110">
        <f>IF($B34="","",TONG_HOP_CC!O34)</f>
        <v/>
      </c>
      <c r="Q34" s="110">
        <f>IF($B34="","",TONG_HOP_CC!P34)</f>
        <v/>
      </c>
      <c r="R34" s="110">
        <f>IF($B34="","",TONG_HOP_CC!Q34)</f>
        <v/>
      </c>
      <c r="S34" s="110">
        <f>IF($B34="","",TONG_HOP_CC!R34)</f>
        <v/>
      </c>
      <c r="T34" s="110">
        <f>IF($B34="","",TONG_HOP_CC!S34)</f>
        <v/>
      </c>
      <c r="U34" s="110">
        <f>IF($B34="","",TONG_HOP_CC!T34)</f>
        <v/>
      </c>
      <c r="W34" s="112">
        <f>IF(DM_NHAN_SU!$B34="","",IF(DM_NHAN_SU!$B34="","",DM_NHAN_SU!$B34))</f>
        <v/>
      </c>
      <c r="X34" s="113">
        <f>IF(DM_NHAN_SU!$B34="","",IF(DM_NHAN_SU!$C34="","",DM_NHAN_SU!$C34))</f>
        <v/>
      </c>
      <c r="Y34" s="113">
        <f>IF(DM_NHAN_SU!$B34="","",IF(DM_NHAN_SU!$D34="","",DM_NHAN_SU!$D34))</f>
        <v/>
      </c>
      <c r="Z34" s="113">
        <f>IF(DM_NHAN_SU!$B34="","",IF(DM_NHAN_SU!$E34="","",DM_NHAN_SU!$E34))</f>
        <v/>
      </c>
      <c r="AA34" s="114">
        <f>IF(DM_NHAN_SU!$B34="","",IF(DM_NHAN_SU!$F34="","",DM_NHAN_SU!$F34))</f>
        <v/>
      </c>
      <c r="AB34" s="114">
        <f>IF(DM_NHAN_SU!$B34="","",IF(DM_NHAN_SU!$G34="","",DM_NHAN_SU!$G34))</f>
        <v/>
      </c>
    </row>
    <row r="35" ht="15" customHeight="1" s="63">
      <c r="A35" s="85">
        <f>IF($B35="","",ROW()-5)</f>
        <v/>
      </c>
      <c r="B35" s="103">
        <f>IF(TONG_HOP_CC!B35="","",TONG_HOP_CC!B35)</f>
        <v/>
      </c>
      <c r="C35" s="96">
        <f>IF($B35="","",TONG_HOP_CC!C35)</f>
        <v/>
      </c>
      <c r="E35" s="112">
        <f>IF($B35="","","Tổng hợp")</f>
        <v/>
      </c>
      <c r="F35" s="110">
        <f>IF($B35="","",TONG_HOP_CC!E35)</f>
        <v/>
      </c>
      <c r="G35" s="110">
        <f>IF($B35="","",TONG_HOP_CC!G35)</f>
        <v/>
      </c>
      <c r="H35" s="110">
        <f>IF($B35="","",TONG_HOP_CC!H35)</f>
        <v/>
      </c>
      <c r="I35" s="110">
        <f>IF($B35="","",TONG_HOP_CC!I35)</f>
        <v/>
      </c>
      <c r="J35" s="110">
        <f>IF($B35="","",TONG_HOP_CC!J35)</f>
        <v/>
      </c>
      <c r="K35" s="110">
        <f>IF($B35="","",TONG_HOP_CC!K35)</f>
        <v/>
      </c>
      <c r="L35" s="110">
        <f>IF($B35="","",TONG_HOP_CC!L35)</f>
        <v/>
      </c>
      <c r="M35" s="110">
        <f>IF($B35="","",TONG_HOP_CC!M35)</f>
        <v/>
      </c>
      <c r="N35" s="110">
        <f>IF($B35="","",TONG_HOP_CC!N35)</f>
        <v/>
      </c>
      <c r="P35" s="110">
        <f>IF($B35="","",TONG_HOP_CC!O35)</f>
        <v/>
      </c>
      <c r="Q35" s="110">
        <f>IF($B35="","",TONG_HOP_CC!P35)</f>
        <v/>
      </c>
      <c r="R35" s="110">
        <f>IF($B35="","",TONG_HOP_CC!Q35)</f>
        <v/>
      </c>
      <c r="S35" s="110">
        <f>IF($B35="","",TONG_HOP_CC!R35)</f>
        <v/>
      </c>
      <c r="T35" s="110">
        <f>IF($B35="","",TONG_HOP_CC!S35)</f>
        <v/>
      </c>
      <c r="U35" s="110">
        <f>IF($B35="","",TONG_HOP_CC!T35)</f>
        <v/>
      </c>
      <c r="W35" s="112">
        <f>IF(DM_NHAN_SU!$B35="","",IF(DM_NHAN_SU!$B35="","",DM_NHAN_SU!$B35))</f>
        <v/>
      </c>
      <c r="X35" s="113">
        <f>IF(DM_NHAN_SU!$B35="","",IF(DM_NHAN_SU!$C35="","",DM_NHAN_SU!$C35))</f>
        <v/>
      </c>
      <c r="Y35" s="113">
        <f>IF(DM_NHAN_SU!$B35="","",IF(DM_NHAN_SU!$D35="","",DM_NHAN_SU!$D35))</f>
        <v/>
      </c>
      <c r="Z35" s="113">
        <f>IF(DM_NHAN_SU!$B35="","",IF(DM_NHAN_SU!$E35="","",DM_NHAN_SU!$E35))</f>
        <v/>
      </c>
      <c r="AA35" s="114">
        <f>IF(DM_NHAN_SU!$B35="","",IF(DM_NHAN_SU!$F35="","",DM_NHAN_SU!$F35))</f>
        <v/>
      </c>
      <c r="AB35" s="114">
        <f>IF(DM_NHAN_SU!$B35="","",IF(DM_NHAN_SU!$G35="","",DM_NHAN_SU!$G35))</f>
        <v/>
      </c>
    </row>
    <row r="36" ht="15" customHeight="1" s="63">
      <c r="A36" s="85">
        <f>IF($B36="","",ROW()-5)</f>
        <v/>
      </c>
      <c r="B36" s="103">
        <f>IF(TONG_HOP_CC!B36="","",TONG_HOP_CC!B36)</f>
        <v/>
      </c>
      <c r="C36" s="96">
        <f>IF($B36="","",TONG_HOP_CC!C36)</f>
        <v/>
      </c>
      <c r="E36" s="112">
        <f>IF($B36="","","Tổng hợp")</f>
        <v/>
      </c>
      <c r="F36" s="110">
        <f>IF($B36="","",TONG_HOP_CC!E36)</f>
        <v/>
      </c>
      <c r="G36" s="110">
        <f>IF($B36="","",TONG_HOP_CC!G36)</f>
        <v/>
      </c>
      <c r="H36" s="110">
        <f>IF($B36="","",TONG_HOP_CC!H36)</f>
        <v/>
      </c>
      <c r="I36" s="110">
        <f>IF($B36="","",TONG_HOP_CC!I36)</f>
        <v/>
      </c>
      <c r="J36" s="110">
        <f>IF($B36="","",TONG_HOP_CC!J36)</f>
        <v/>
      </c>
      <c r="K36" s="110">
        <f>IF($B36="","",TONG_HOP_CC!K36)</f>
        <v/>
      </c>
      <c r="L36" s="110">
        <f>IF($B36="","",TONG_HOP_CC!L36)</f>
        <v/>
      </c>
      <c r="M36" s="110">
        <f>IF($B36="","",TONG_HOP_CC!M36)</f>
        <v/>
      </c>
      <c r="N36" s="110">
        <f>IF($B36="","",TONG_HOP_CC!N36)</f>
        <v/>
      </c>
      <c r="P36" s="110">
        <f>IF($B36="","",TONG_HOP_CC!O36)</f>
        <v/>
      </c>
      <c r="Q36" s="110">
        <f>IF($B36="","",TONG_HOP_CC!P36)</f>
        <v/>
      </c>
      <c r="R36" s="110">
        <f>IF($B36="","",TONG_HOP_CC!Q36)</f>
        <v/>
      </c>
      <c r="S36" s="110">
        <f>IF($B36="","",TONG_HOP_CC!R36)</f>
        <v/>
      </c>
      <c r="T36" s="110">
        <f>IF($B36="","",TONG_HOP_CC!S36)</f>
        <v/>
      </c>
      <c r="U36" s="110">
        <f>IF($B36="","",TONG_HOP_CC!T36)</f>
        <v/>
      </c>
      <c r="W36" s="112">
        <f>IF(DM_NHAN_SU!$B36="","",IF(DM_NHAN_SU!$B36="","",DM_NHAN_SU!$B36))</f>
        <v/>
      </c>
      <c r="X36" s="113">
        <f>IF(DM_NHAN_SU!$B36="","",IF(DM_NHAN_SU!$C36="","",DM_NHAN_SU!$C36))</f>
        <v/>
      </c>
      <c r="Y36" s="113">
        <f>IF(DM_NHAN_SU!$B36="","",IF(DM_NHAN_SU!$D36="","",DM_NHAN_SU!$D36))</f>
        <v/>
      </c>
      <c r="Z36" s="113">
        <f>IF(DM_NHAN_SU!$B36="","",IF(DM_NHAN_SU!$E36="","",DM_NHAN_SU!$E36))</f>
        <v/>
      </c>
      <c r="AA36" s="114">
        <f>IF(DM_NHAN_SU!$B36="","",IF(DM_NHAN_SU!$F36="","",DM_NHAN_SU!$F36))</f>
        <v/>
      </c>
      <c r="AB36" s="114">
        <f>IF(DM_NHAN_SU!$B36="","",IF(DM_NHAN_SU!$G36="","",DM_NHAN_SU!$G36))</f>
        <v/>
      </c>
    </row>
    <row r="37" ht="15" customHeight="1" s="63">
      <c r="A37" s="85">
        <f>IF($B37="","",ROW()-5)</f>
        <v/>
      </c>
      <c r="B37" s="103">
        <f>IF(TONG_HOP_CC!B37="","",TONG_HOP_CC!B37)</f>
        <v/>
      </c>
      <c r="C37" s="96">
        <f>IF($B37="","",TONG_HOP_CC!C37)</f>
        <v/>
      </c>
      <c r="E37" s="112">
        <f>IF($B37="","","Tổng hợp")</f>
        <v/>
      </c>
      <c r="F37" s="110">
        <f>IF($B37="","",TONG_HOP_CC!E37)</f>
        <v/>
      </c>
      <c r="G37" s="110">
        <f>IF($B37="","",TONG_HOP_CC!G37)</f>
        <v/>
      </c>
      <c r="H37" s="110">
        <f>IF($B37="","",TONG_HOP_CC!H37)</f>
        <v/>
      </c>
      <c r="I37" s="110">
        <f>IF($B37="","",TONG_HOP_CC!I37)</f>
        <v/>
      </c>
      <c r="J37" s="110">
        <f>IF($B37="","",TONG_HOP_CC!J37)</f>
        <v/>
      </c>
      <c r="K37" s="110">
        <f>IF($B37="","",TONG_HOP_CC!K37)</f>
        <v/>
      </c>
      <c r="L37" s="110">
        <f>IF($B37="","",TONG_HOP_CC!L37)</f>
        <v/>
      </c>
      <c r="M37" s="110">
        <f>IF($B37="","",TONG_HOP_CC!M37)</f>
        <v/>
      </c>
      <c r="N37" s="110">
        <f>IF($B37="","",TONG_HOP_CC!N37)</f>
        <v/>
      </c>
      <c r="P37" s="110">
        <f>IF($B37="","",TONG_HOP_CC!O37)</f>
        <v/>
      </c>
      <c r="Q37" s="110">
        <f>IF($B37="","",TONG_HOP_CC!P37)</f>
        <v/>
      </c>
      <c r="R37" s="110">
        <f>IF($B37="","",TONG_HOP_CC!Q37)</f>
        <v/>
      </c>
      <c r="S37" s="110">
        <f>IF($B37="","",TONG_HOP_CC!R37)</f>
        <v/>
      </c>
      <c r="T37" s="110">
        <f>IF($B37="","",TONG_HOP_CC!S37)</f>
        <v/>
      </c>
      <c r="U37" s="110">
        <f>IF($B37="","",TONG_HOP_CC!T37)</f>
        <v/>
      </c>
      <c r="W37" s="112">
        <f>IF(DM_NHAN_SU!$B37="","",IF(DM_NHAN_SU!$B37="","",DM_NHAN_SU!$B37))</f>
        <v/>
      </c>
      <c r="X37" s="113">
        <f>IF(DM_NHAN_SU!$B37="","",IF(DM_NHAN_SU!$C37="","",DM_NHAN_SU!$C37))</f>
        <v/>
      </c>
      <c r="Y37" s="113">
        <f>IF(DM_NHAN_SU!$B37="","",IF(DM_NHAN_SU!$D37="","",DM_NHAN_SU!$D37))</f>
        <v/>
      </c>
      <c r="Z37" s="113">
        <f>IF(DM_NHAN_SU!$B37="","",IF(DM_NHAN_SU!$E37="","",DM_NHAN_SU!$E37))</f>
        <v/>
      </c>
      <c r="AA37" s="114">
        <f>IF(DM_NHAN_SU!$B37="","",IF(DM_NHAN_SU!$F37="","",DM_NHAN_SU!$F37))</f>
        <v/>
      </c>
      <c r="AB37" s="114">
        <f>IF(DM_NHAN_SU!$B37="","",IF(DM_NHAN_SU!$G37="","",DM_NHAN_SU!$G37))</f>
        <v/>
      </c>
    </row>
    <row r="38" ht="15" customHeight="1" s="63">
      <c r="A38" s="85">
        <f>IF($B38="","",ROW()-5)</f>
        <v/>
      </c>
      <c r="B38" s="103">
        <f>IF(TONG_HOP_CC!B38="","",TONG_HOP_CC!B38)</f>
        <v/>
      </c>
      <c r="C38" s="96">
        <f>IF($B38="","",TONG_HOP_CC!C38)</f>
        <v/>
      </c>
      <c r="E38" s="112">
        <f>IF($B38="","","Tổng hợp")</f>
        <v/>
      </c>
      <c r="F38" s="110">
        <f>IF($B38="","",TONG_HOP_CC!E38)</f>
        <v/>
      </c>
      <c r="G38" s="110">
        <f>IF($B38="","",TONG_HOP_CC!G38)</f>
        <v/>
      </c>
      <c r="H38" s="110">
        <f>IF($B38="","",TONG_HOP_CC!H38)</f>
        <v/>
      </c>
      <c r="I38" s="110">
        <f>IF($B38="","",TONG_HOP_CC!I38)</f>
        <v/>
      </c>
      <c r="J38" s="110">
        <f>IF($B38="","",TONG_HOP_CC!J38)</f>
        <v/>
      </c>
      <c r="K38" s="110">
        <f>IF($B38="","",TONG_HOP_CC!K38)</f>
        <v/>
      </c>
      <c r="L38" s="110">
        <f>IF($B38="","",TONG_HOP_CC!L38)</f>
        <v/>
      </c>
      <c r="M38" s="110">
        <f>IF($B38="","",TONG_HOP_CC!M38)</f>
        <v/>
      </c>
      <c r="N38" s="110">
        <f>IF($B38="","",TONG_HOP_CC!N38)</f>
        <v/>
      </c>
      <c r="P38" s="110">
        <f>IF($B38="","",TONG_HOP_CC!O38)</f>
        <v/>
      </c>
      <c r="Q38" s="110">
        <f>IF($B38="","",TONG_HOP_CC!P38)</f>
        <v/>
      </c>
      <c r="R38" s="110">
        <f>IF($B38="","",TONG_HOP_CC!Q38)</f>
        <v/>
      </c>
      <c r="S38" s="110">
        <f>IF($B38="","",TONG_HOP_CC!R38)</f>
        <v/>
      </c>
      <c r="T38" s="110">
        <f>IF($B38="","",TONG_HOP_CC!S38)</f>
        <v/>
      </c>
      <c r="U38" s="110">
        <f>IF($B38="","",TONG_HOP_CC!T38)</f>
        <v/>
      </c>
      <c r="W38" s="112">
        <f>IF(DM_NHAN_SU!$B38="","",IF(DM_NHAN_SU!$B38="","",DM_NHAN_SU!$B38))</f>
        <v/>
      </c>
      <c r="X38" s="113">
        <f>IF(DM_NHAN_SU!$B38="","",IF(DM_NHAN_SU!$C38="","",DM_NHAN_SU!$C38))</f>
        <v/>
      </c>
      <c r="Y38" s="113">
        <f>IF(DM_NHAN_SU!$B38="","",IF(DM_NHAN_SU!$D38="","",DM_NHAN_SU!$D38))</f>
        <v/>
      </c>
      <c r="Z38" s="113">
        <f>IF(DM_NHAN_SU!$B38="","",IF(DM_NHAN_SU!$E38="","",DM_NHAN_SU!$E38))</f>
        <v/>
      </c>
      <c r="AA38" s="114">
        <f>IF(DM_NHAN_SU!$B38="","",IF(DM_NHAN_SU!$F38="","",DM_NHAN_SU!$F38))</f>
        <v/>
      </c>
      <c r="AB38" s="114">
        <f>IF(DM_NHAN_SU!$B38="","",IF(DM_NHAN_SU!$G38="","",DM_NHAN_SU!$G38))</f>
        <v/>
      </c>
    </row>
    <row r="39" ht="15" customHeight="1" s="63">
      <c r="A39" s="85">
        <f>IF($B39="","",ROW()-5)</f>
        <v/>
      </c>
      <c r="B39" s="103">
        <f>IF(TONG_HOP_CC!B39="","",TONG_HOP_CC!B39)</f>
        <v/>
      </c>
      <c r="C39" s="96">
        <f>IF($B39="","",TONG_HOP_CC!C39)</f>
        <v/>
      </c>
      <c r="E39" s="112">
        <f>IF($B39="","","Tổng hợp")</f>
        <v/>
      </c>
      <c r="F39" s="110">
        <f>IF($B39="","",TONG_HOP_CC!E39)</f>
        <v/>
      </c>
      <c r="G39" s="110">
        <f>IF($B39="","",TONG_HOP_CC!G39)</f>
        <v/>
      </c>
      <c r="H39" s="110">
        <f>IF($B39="","",TONG_HOP_CC!H39)</f>
        <v/>
      </c>
      <c r="I39" s="110">
        <f>IF($B39="","",TONG_HOP_CC!I39)</f>
        <v/>
      </c>
      <c r="J39" s="110">
        <f>IF($B39="","",TONG_HOP_CC!J39)</f>
        <v/>
      </c>
      <c r="K39" s="110">
        <f>IF($B39="","",TONG_HOP_CC!K39)</f>
        <v/>
      </c>
      <c r="L39" s="110">
        <f>IF($B39="","",TONG_HOP_CC!L39)</f>
        <v/>
      </c>
      <c r="M39" s="110">
        <f>IF($B39="","",TONG_HOP_CC!M39)</f>
        <v/>
      </c>
      <c r="N39" s="110">
        <f>IF($B39="","",TONG_HOP_CC!N39)</f>
        <v/>
      </c>
      <c r="P39" s="110">
        <f>IF($B39="","",TONG_HOP_CC!O39)</f>
        <v/>
      </c>
      <c r="Q39" s="110">
        <f>IF($B39="","",TONG_HOP_CC!P39)</f>
        <v/>
      </c>
      <c r="R39" s="110">
        <f>IF($B39="","",TONG_HOP_CC!Q39)</f>
        <v/>
      </c>
      <c r="S39" s="110">
        <f>IF($B39="","",TONG_HOP_CC!R39)</f>
        <v/>
      </c>
      <c r="T39" s="110">
        <f>IF($B39="","",TONG_HOP_CC!S39)</f>
        <v/>
      </c>
      <c r="U39" s="110">
        <f>IF($B39="","",TONG_HOP_CC!T39)</f>
        <v/>
      </c>
      <c r="W39" s="112">
        <f>IF(DM_NHAN_SU!$B39="","",IF(DM_NHAN_SU!$B39="","",DM_NHAN_SU!$B39))</f>
        <v/>
      </c>
      <c r="X39" s="113">
        <f>IF(DM_NHAN_SU!$B39="","",IF(DM_NHAN_SU!$C39="","",DM_NHAN_SU!$C39))</f>
        <v/>
      </c>
      <c r="Y39" s="113">
        <f>IF(DM_NHAN_SU!$B39="","",IF(DM_NHAN_SU!$D39="","",DM_NHAN_SU!$D39))</f>
        <v/>
      </c>
      <c r="Z39" s="113">
        <f>IF(DM_NHAN_SU!$B39="","",IF(DM_NHAN_SU!$E39="","",DM_NHAN_SU!$E39))</f>
        <v/>
      </c>
      <c r="AA39" s="114">
        <f>IF(DM_NHAN_SU!$B39="","",IF(DM_NHAN_SU!$F39="","",DM_NHAN_SU!$F39))</f>
        <v/>
      </c>
      <c r="AB39" s="114">
        <f>IF(DM_NHAN_SU!$B39="","",IF(DM_NHAN_SU!$G39="","",DM_NHAN_SU!$G39))</f>
        <v/>
      </c>
    </row>
    <row r="40" ht="15" customHeight="1" s="63">
      <c r="A40" s="85">
        <f>IF($B40="","",ROW()-5)</f>
        <v/>
      </c>
      <c r="B40" s="103">
        <f>IF(TONG_HOP_CC!B40="","",TONG_HOP_CC!B40)</f>
        <v/>
      </c>
      <c r="C40" s="96">
        <f>IF($B40="","",TONG_HOP_CC!C40)</f>
        <v/>
      </c>
      <c r="E40" s="112">
        <f>IF($B40="","","Tổng hợp")</f>
        <v/>
      </c>
      <c r="F40" s="110">
        <f>IF($B40="","",TONG_HOP_CC!E40)</f>
        <v/>
      </c>
      <c r="G40" s="110">
        <f>IF($B40="","",TONG_HOP_CC!G40)</f>
        <v/>
      </c>
      <c r="H40" s="110">
        <f>IF($B40="","",TONG_HOP_CC!H40)</f>
        <v/>
      </c>
      <c r="I40" s="110">
        <f>IF($B40="","",TONG_HOP_CC!I40)</f>
        <v/>
      </c>
      <c r="J40" s="110">
        <f>IF($B40="","",TONG_HOP_CC!J40)</f>
        <v/>
      </c>
      <c r="K40" s="110">
        <f>IF($B40="","",TONG_HOP_CC!K40)</f>
        <v/>
      </c>
      <c r="L40" s="110">
        <f>IF($B40="","",TONG_HOP_CC!L40)</f>
        <v/>
      </c>
      <c r="M40" s="110">
        <f>IF($B40="","",TONG_HOP_CC!M40)</f>
        <v/>
      </c>
      <c r="N40" s="110">
        <f>IF($B40="","",TONG_HOP_CC!N40)</f>
        <v/>
      </c>
      <c r="P40" s="110">
        <f>IF($B40="","",TONG_HOP_CC!O40)</f>
        <v/>
      </c>
      <c r="Q40" s="110">
        <f>IF($B40="","",TONG_HOP_CC!P40)</f>
        <v/>
      </c>
      <c r="R40" s="110">
        <f>IF($B40="","",TONG_HOP_CC!Q40)</f>
        <v/>
      </c>
      <c r="S40" s="110">
        <f>IF($B40="","",TONG_HOP_CC!R40)</f>
        <v/>
      </c>
      <c r="T40" s="110">
        <f>IF($B40="","",TONG_HOP_CC!S40)</f>
        <v/>
      </c>
      <c r="U40" s="110">
        <f>IF($B40="","",TONG_HOP_CC!T40)</f>
        <v/>
      </c>
      <c r="W40" s="112">
        <f>IF(DM_NHAN_SU!$B40="","",IF(DM_NHAN_SU!$B40="","",DM_NHAN_SU!$B40))</f>
        <v/>
      </c>
      <c r="X40" s="113">
        <f>IF(DM_NHAN_SU!$B40="","",IF(DM_NHAN_SU!$C40="","",DM_NHAN_SU!$C40))</f>
        <v/>
      </c>
      <c r="Y40" s="113">
        <f>IF(DM_NHAN_SU!$B40="","",IF(DM_NHAN_SU!$D40="","",DM_NHAN_SU!$D40))</f>
        <v/>
      </c>
      <c r="Z40" s="113">
        <f>IF(DM_NHAN_SU!$B40="","",IF(DM_NHAN_SU!$E40="","",DM_NHAN_SU!$E40))</f>
        <v/>
      </c>
      <c r="AA40" s="114">
        <f>IF(DM_NHAN_SU!$B40="","",IF(DM_NHAN_SU!$F40="","",DM_NHAN_SU!$F40))</f>
        <v/>
      </c>
      <c r="AB40" s="114">
        <f>IF(DM_NHAN_SU!$B40="","",IF(DM_NHAN_SU!$G40="","",DM_NHAN_SU!$G40))</f>
        <v/>
      </c>
    </row>
    <row r="41" ht="15" customHeight="1" s="63">
      <c r="A41" s="85">
        <f>IF($B41="","",ROW()-5)</f>
        <v/>
      </c>
      <c r="B41" s="103">
        <f>IF(TONG_HOP_CC!B41="","",TONG_HOP_CC!B41)</f>
        <v/>
      </c>
      <c r="C41" s="96">
        <f>IF($B41="","",TONG_HOP_CC!C41)</f>
        <v/>
      </c>
      <c r="E41" s="112">
        <f>IF($B41="","","Tổng hợp")</f>
        <v/>
      </c>
      <c r="F41" s="110">
        <f>IF($B41="","",TONG_HOP_CC!E41)</f>
        <v/>
      </c>
      <c r="G41" s="110">
        <f>IF($B41="","",TONG_HOP_CC!G41)</f>
        <v/>
      </c>
      <c r="H41" s="110">
        <f>IF($B41="","",TONG_HOP_CC!H41)</f>
        <v/>
      </c>
      <c r="I41" s="110">
        <f>IF($B41="","",TONG_HOP_CC!I41)</f>
        <v/>
      </c>
      <c r="J41" s="110">
        <f>IF($B41="","",TONG_HOP_CC!J41)</f>
        <v/>
      </c>
      <c r="K41" s="110">
        <f>IF($B41="","",TONG_HOP_CC!K41)</f>
        <v/>
      </c>
      <c r="L41" s="110">
        <f>IF($B41="","",TONG_HOP_CC!L41)</f>
        <v/>
      </c>
      <c r="M41" s="110">
        <f>IF($B41="","",TONG_HOP_CC!M41)</f>
        <v/>
      </c>
      <c r="N41" s="110">
        <f>IF($B41="","",TONG_HOP_CC!N41)</f>
        <v/>
      </c>
      <c r="P41" s="110">
        <f>IF($B41="","",TONG_HOP_CC!O41)</f>
        <v/>
      </c>
      <c r="Q41" s="110">
        <f>IF($B41="","",TONG_HOP_CC!P41)</f>
        <v/>
      </c>
      <c r="R41" s="110">
        <f>IF($B41="","",TONG_HOP_CC!Q41)</f>
        <v/>
      </c>
      <c r="S41" s="110">
        <f>IF($B41="","",TONG_HOP_CC!R41)</f>
        <v/>
      </c>
      <c r="T41" s="110">
        <f>IF($B41="","",TONG_HOP_CC!S41)</f>
        <v/>
      </c>
      <c r="U41" s="110">
        <f>IF($B41="","",TONG_HOP_CC!T41)</f>
        <v/>
      </c>
      <c r="W41" s="112">
        <f>IF(DM_NHAN_SU!$B41="","",IF(DM_NHAN_SU!$B41="","",DM_NHAN_SU!$B41))</f>
        <v/>
      </c>
      <c r="X41" s="113">
        <f>IF(DM_NHAN_SU!$B41="","",IF(DM_NHAN_SU!$C41="","",DM_NHAN_SU!$C41))</f>
        <v/>
      </c>
      <c r="Y41" s="113">
        <f>IF(DM_NHAN_SU!$B41="","",IF(DM_NHAN_SU!$D41="","",DM_NHAN_SU!$D41))</f>
        <v/>
      </c>
      <c r="Z41" s="113">
        <f>IF(DM_NHAN_SU!$B41="","",IF(DM_NHAN_SU!$E41="","",DM_NHAN_SU!$E41))</f>
        <v/>
      </c>
      <c r="AA41" s="114">
        <f>IF(DM_NHAN_SU!$B41="","",IF(DM_NHAN_SU!$F41="","",DM_NHAN_SU!$F41))</f>
        <v/>
      </c>
      <c r="AB41" s="114">
        <f>IF(DM_NHAN_SU!$B41="","",IF(DM_NHAN_SU!$G41="","",DM_NHAN_SU!$G41))</f>
        <v/>
      </c>
    </row>
    <row r="42" ht="15" customHeight="1" s="63">
      <c r="A42" s="85">
        <f>IF($B42="","",ROW()-5)</f>
        <v/>
      </c>
      <c r="B42" s="103">
        <f>IF(TONG_HOP_CC!B42="","",TONG_HOP_CC!B42)</f>
        <v/>
      </c>
      <c r="C42" s="96">
        <f>IF($B42="","",TONG_HOP_CC!C42)</f>
        <v/>
      </c>
      <c r="E42" s="112">
        <f>IF($B42="","","Tổng hợp")</f>
        <v/>
      </c>
      <c r="F42" s="110">
        <f>IF($B42="","",TONG_HOP_CC!E42)</f>
        <v/>
      </c>
      <c r="G42" s="110">
        <f>IF($B42="","",TONG_HOP_CC!G42)</f>
        <v/>
      </c>
      <c r="H42" s="110">
        <f>IF($B42="","",TONG_HOP_CC!H42)</f>
        <v/>
      </c>
      <c r="I42" s="110">
        <f>IF($B42="","",TONG_HOP_CC!I42)</f>
        <v/>
      </c>
      <c r="J42" s="110">
        <f>IF($B42="","",TONG_HOP_CC!J42)</f>
        <v/>
      </c>
      <c r="K42" s="110">
        <f>IF($B42="","",TONG_HOP_CC!K42)</f>
        <v/>
      </c>
      <c r="L42" s="110">
        <f>IF($B42="","",TONG_HOP_CC!L42)</f>
        <v/>
      </c>
      <c r="M42" s="110">
        <f>IF($B42="","",TONG_HOP_CC!M42)</f>
        <v/>
      </c>
      <c r="N42" s="110">
        <f>IF($B42="","",TONG_HOP_CC!N42)</f>
        <v/>
      </c>
      <c r="P42" s="110">
        <f>IF($B42="","",TONG_HOP_CC!O42)</f>
        <v/>
      </c>
      <c r="Q42" s="110">
        <f>IF($B42="","",TONG_HOP_CC!P42)</f>
        <v/>
      </c>
      <c r="R42" s="110">
        <f>IF($B42="","",TONG_HOP_CC!Q42)</f>
        <v/>
      </c>
      <c r="S42" s="110">
        <f>IF($B42="","",TONG_HOP_CC!R42)</f>
        <v/>
      </c>
      <c r="T42" s="110">
        <f>IF($B42="","",TONG_HOP_CC!S42)</f>
        <v/>
      </c>
      <c r="U42" s="110">
        <f>IF($B42="","",TONG_HOP_CC!T42)</f>
        <v/>
      </c>
      <c r="W42" s="112">
        <f>IF(DM_NHAN_SU!$B42="","",IF(DM_NHAN_SU!$B42="","",DM_NHAN_SU!$B42))</f>
        <v/>
      </c>
      <c r="X42" s="113">
        <f>IF(DM_NHAN_SU!$B42="","",IF(DM_NHAN_SU!$C42="","",DM_NHAN_SU!$C42))</f>
        <v/>
      </c>
      <c r="Y42" s="113">
        <f>IF(DM_NHAN_SU!$B42="","",IF(DM_NHAN_SU!$D42="","",DM_NHAN_SU!$D42))</f>
        <v/>
      </c>
      <c r="Z42" s="113">
        <f>IF(DM_NHAN_SU!$B42="","",IF(DM_NHAN_SU!$E42="","",DM_NHAN_SU!$E42))</f>
        <v/>
      </c>
      <c r="AA42" s="114">
        <f>IF(DM_NHAN_SU!$B42="","",IF(DM_NHAN_SU!$F42="","",DM_NHAN_SU!$F42))</f>
        <v/>
      </c>
      <c r="AB42" s="114">
        <f>IF(DM_NHAN_SU!$B42="","",IF(DM_NHAN_SU!$G42="","",DM_NHAN_SU!$G42))</f>
        <v/>
      </c>
    </row>
    <row r="43" ht="15" customHeight="1" s="63">
      <c r="A43" s="85">
        <f>IF($B43="","",ROW()-5)</f>
        <v/>
      </c>
      <c r="B43" s="103">
        <f>IF(TONG_HOP_CC!B43="","",TONG_HOP_CC!B43)</f>
        <v/>
      </c>
      <c r="C43" s="96">
        <f>IF($B43="","",TONG_HOP_CC!C43)</f>
        <v/>
      </c>
      <c r="E43" s="112">
        <f>IF($B43="","","Tổng hợp")</f>
        <v/>
      </c>
      <c r="F43" s="110">
        <f>IF($B43="","",TONG_HOP_CC!E43)</f>
        <v/>
      </c>
      <c r="G43" s="110">
        <f>IF($B43="","",TONG_HOP_CC!G43)</f>
        <v/>
      </c>
      <c r="H43" s="110">
        <f>IF($B43="","",TONG_HOP_CC!H43)</f>
        <v/>
      </c>
      <c r="I43" s="110">
        <f>IF($B43="","",TONG_HOP_CC!I43)</f>
        <v/>
      </c>
      <c r="J43" s="110">
        <f>IF($B43="","",TONG_HOP_CC!J43)</f>
        <v/>
      </c>
      <c r="K43" s="110">
        <f>IF($B43="","",TONG_HOP_CC!K43)</f>
        <v/>
      </c>
      <c r="L43" s="110">
        <f>IF($B43="","",TONG_HOP_CC!L43)</f>
        <v/>
      </c>
      <c r="M43" s="110">
        <f>IF($B43="","",TONG_HOP_CC!M43)</f>
        <v/>
      </c>
      <c r="N43" s="110">
        <f>IF($B43="","",TONG_HOP_CC!N43)</f>
        <v/>
      </c>
      <c r="P43" s="110">
        <f>IF($B43="","",TONG_HOP_CC!O43)</f>
        <v/>
      </c>
      <c r="Q43" s="110">
        <f>IF($B43="","",TONG_HOP_CC!P43)</f>
        <v/>
      </c>
      <c r="R43" s="110">
        <f>IF($B43="","",TONG_HOP_CC!Q43)</f>
        <v/>
      </c>
      <c r="S43" s="110">
        <f>IF($B43="","",TONG_HOP_CC!R43)</f>
        <v/>
      </c>
      <c r="T43" s="110">
        <f>IF($B43="","",TONG_HOP_CC!S43)</f>
        <v/>
      </c>
      <c r="U43" s="110">
        <f>IF($B43="","",TONG_HOP_CC!T43)</f>
        <v/>
      </c>
      <c r="W43" s="112">
        <f>IF(DM_NHAN_SU!$B43="","",IF(DM_NHAN_SU!$B43="","",DM_NHAN_SU!$B43))</f>
        <v/>
      </c>
      <c r="X43" s="113">
        <f>IF(DM_NHAN_SU!$B43="","",IF(DM_NHAN_SU!$C43="","",DM_NHAN_SU!$C43))</f>
        <v/>
      </c>
      <c r="Y43" s="113">
        <f>IF(DM_NHAN_SU!$B43="","",IF(DM_NHAN_SU!$D43="","",DM_NHAN_SU!$D43))</f>
        <v/>
      </c>
      <c r="Z43" s="113">
        <f>IF(DM_NHAN_SU!$B43="","",IF(DM_NHAN_SU!$E43="","",DM_NHAN_SU!$E43))</f>
        <v/>
      </c>
      <c r="AA43" s="114">
        <f>IF(DM_NHAN_SU!$B43="","",IF(DM_NHAN_SU!$F43="","",DM_NHAN_SU!$F43))</f>
        <v/>
      </c>
      <c r="AB43" s="114">
        <f>IF(DM_NHAN_SU!$B43="","",IF(DM_NHAN_SU!$G43="","",DM_NHAN_SU!$G43))</f>
        <v/>
      </c>
    </row>
    <row r="44" ht="15" customHeight="1" s="63">
      <c r="A44" s="85">
        <f>IF($B44="","",ROW()-5)</f>
        <v/>
      </c>
      <c r="B44" s="103">
        <f>IF(TONG_HOP_CC!B44="","",TONG_HOP_CC!B44)</f>
        <v/>
      </c>
      <c r="C44" s="96">
        <f>IF($B44="","",TONG_HOP_CC!C44)</f>
        <v/>
      </c>
      <c r="E44" s="112">
        <f>IF($B44="","","Tổng hợp")</f>
        <v/>
      </c>
      <c r="F44" s="110">
        <f>IF($B44="","",TONG_HOP_CC!E44)</f>
        <v/>
      </c>
      <c r="G44" s="110">
        <f>IF($B44="","",TONG_HOP_CC!G44)</f>
        <v/>
      </c>
      <c r="H44" s="110">
        <f>IF($B44="","",TONG_HOP_CC!H44)</f>
        <v/>
      </c>
      <c r="I44" s="110">
        <f>IF($B44="","",TONG_HOP_CC!I44)</f>
        <v/>
      </c>
      <c r="J44" s="110">
        <f>IF($B44="","",TONG_HOP_CC!J44)</f>
        <v/>
      </c>
      <c r="K44" s="110">
        <f>IF($B44="","",TONG_HOP_CC!K44)</f>
        <v/>
      </c>
      <c r="L44" s="110">
        <f>IF($B44="","",TONG_HOP_CC!L44)</f>
        <v/>
      </c>
      <c r="M44" s="110">
        <f>IF($B44="","",TONG_HOP_CC!M44)</f>
        <v/>
      </c>
      <c r="N44" s="110">
        <f>IF($B44="","",TONG_HOP_CC!N44)</f>
        <v/>
      </c>
      <c r="P44" s="110">
        <f>IF($B44="","",TONG_HOP_CC!O44)</f>
        <v/>
      </c>
      <c r="Q44" s="110">
        <f>IF($B44="","",TONG_HOP_CC!P44)</f>
        <v/>
      </c>
      <c r="R44" s="110">
        <f>IF($B44="","",TONG_HOP_CC!Q44)</f>
        <v/>
      </c>
      <c r="S44" s="110">
        <f>IF($B44="","",TONG_HOP_CC!R44)</f>
        <v/>
      </c>
      <c r="T44" s="110">
        <f>IF($B44="","",TONG_HOP_CC!S44)</f>
        <v/>
      </c>
      <c r="U44" s="110">
        <f>IF($B44="","",TONG_HOP_CC!T44)</f>
        <v/>
      </c>
      <c r="W44" s="112">
        <f>IF(DM_NHAN_SU!$B44="","",IF(DM_NHAN_SU!$B44="","",DM_NHAN_SU!$B44))</f>
        <v/>
      </c>
      <c r="X44" s="113">
        <f>IF(DM_NHAN_SU!$B44="","",IF(DM_NHAN_SU!$C44="","",DM_NHAN_SU!$C44))</f>
        <v/>
      </c>
      <c r="Y44" s="113">
        <f>IF(DM_NHAN_SU!$B44="","",IF(DM_NHAN_SU!$D44="","",DM_NHAN_SU!$D44))</f>
        <v/>
      </c>
      <c r="Z44" s="113">
        <f>IF(DM_NHAN_SU!$B44="","",IF(DM_NHAN_SU!$E44="","",DM_NHAN_SU!$E44))</f>
        <v/>
      </c>
      <c r="AA44" s="114">
        <f>IF(DM_NHAN_SU!$B44="","",IF(DM_NHAN_SU!$F44="","",DM_NHAN_SU!$F44))</f>
        <v/>
      </c>
      <c r="AB44" s="114">
        <f>IF(DM_NHAN_SU!$B44="","",IF(DM_NHAN_SU!$G44="","",DM_NHAN_SU!$G44))</f>
        <v/>
      </c>
    </row>
    <row r="45" ht="15" customHeight="1" s="63">
      <c r="A45" s="85">
        <f>IF($B45="","",ROW()-5)</f>
        <v/>
      </c>
      <c r="B45" s="103">
        <f>IF(TONG_HOP_CC!B45="","",TONG_HOP_CC!B45)</f>
        <v/>
      </c>
      <c r="C45" s="96">
        <f>IF($B45="","",TONG_HOP_CC!C45)</f>
        <v/>
      </c>
      <c r="E45" s="112">
        <f>IF($B45="","","Tổng hợp")</f>
        <v/>
      </c>
      <c r="F45" s="110">
        <f>IF($B45="","",TONG_HOP_CC!E45)</f>
        <v/>
      </c>
      <c r="G45" s="110">
        <f>IF($B45="","",TONG_HOP_CC!G45)</f>
        <v/>
      </c>
      <c r="H45" s="110">
        <f>IF($B45="","",TONG_HOP_CC!H45)</f>
        <v/>
      </c>
      <c r="I45" s="110">
        <f>IF($B45="","",TONG_HOP_CC!I45)</f>
        <v/>
      </c>
      <c r="J45" s="110">
        <f>IF($B45="","",TONG_HOP_CC!J45)</f>
        <v/>
      </c>
      <c r="K45" s="110">
        <f>IF($B45="","",TONG_HOP_CC!K45)</f>
        <v/>
      </c>
      <c r="L45" s="110">
        <f>IF($B45="","",TONG_HOP_CC!L45)</f>
        <v/>
      </c>
      <c r="M45" s="110">
        <f>IF($B45="","",TONG_HOP_CC!M45)</f>
        <v/>
      </c>
      <c r="N45" s="110">
        <f>IF($B45="","",TONG_HOP_CC!N45)</f>
        <v/>
      </c>
      <c r="P45" s="110">
        <f>IF($B45="","",TONG_HOP_CC!O45)</f>
        <v/>
      </c>
      <c r="Q45" s="110">
        <f>IF($B45="","",TONG_HOP_CC!P45)</f>
        <v/>
      </c>
      <c r="R45" s="110">
        <f>IF($B45="","",TONG_HOP_CC!Q45)</f>
        <v/>
      </c>
      <c r="S45" s="110">
        <f>IF($B45="","",TONG_HOP_CC!R45)</f>
        <v/>
      </c>
      <c r="T45" s="110">
        <f>IF($B45="","",TONG_HOP_CC!S45)</f>
        <v/>
      </c>
      <c r="U45" s="110">
        <f>IF($B45="","",TONG_HOP_CC!T45)</f>
        <v/>
      </c>
      <c r="W45" s="112">
        <f>IF(DM_NHAN_SU!$B45="","",IF(DM_NHAN_SU!$B45="","",DM_NHAN_SU!$B45))</f>
        <v/>
      </c>
      <c r="X45" s="113">
        <f>IF(DM_NHAN_SU!$B45="","",IF(DM_NHAN_SU!$C45="","",DM_NHAN_SU!$C45))</f>
        <v/>
      </c>
      <c r="Y45" s="113">
        <f>IF(DM_NHAN_SU!$B45="","",IF(DM_NHAN_SU!$D45="","",DM_NHAN_SU!$D45))</f>
        <v/>
      </c>
      <c r="Z45" s="113">
        <f>IF(DM_NHAN_SU!$B45="","",IF(DM_NHAN_SU!$E45="","",DM_NHAN_SU!$E45))</f>
        <v/>
      </c>
      <c r="AA45" s="114">
        <f>IF(DM_NHAN_SU!$B45="","",IF(DM_NHAN_SU!$F45="","",DM_NHAN_SU!$F45))</f>
        <v/>
      </c>
      <c r="AB45" s="114">
        <f>IF(DM_NHAN_SU!$B45="","",IF(DM_NHAN_SU!$G45="","",DM_NHAN_SU!$G45))</f>
        <v/>
      </c>
    </row>
    <row r="46" ht="15" customHeight="1" s="63">
      <c r="A46" s="85">
        <f>IF($B46="","",ROW()-5)</f>
        <v/>
      </c>
      <c r="B46" s="103">
        <f>IF(TONG_HOP_CC!B46="","",TONG_HOP_CC!B46)</f>
        <v/>
      </c>
      <c r="C46" s="96">
        <f>IF($B46="","",TONG_HOP_CC!C46)</f>
        <v/>
      </c>
      <c r="E46" s="112">
        <f>IF($B46="","","Tổng hợp")</f>
        <v/>
      </c>
      <c r="F46" s="110">
        <f>IF($B46="","",TONG_HOP_CC!E46)</f>
        <v/>
      </c>
      <c r="G46" s="110">
        <f>IF($B46="","",TONG_HOP_CC!G46)</f>
        <v/>
      </c>
      <c r="H46" s="110">
        <f>IF($B46="","",TONG_HOP_CC!H46)</f>
        <v/>
      </c>
      <c r="I46" s="110">
        <f>IF($B46="","",TONG_HOP_CC!I46)</f>
        <v/>
      </c>
      <c r="J46" s="110">
        <f>IF($B46="","",TONG_HOP_CC!J46)</f>
        <v/>
      </c>
      <c r="K46" s="110">
        <f>IF($B46="","",TONG_HOP_CC!K46)</f>
        <v/>
      </c>
      <c r="L46" s="110">
        <f>IF($B46="","",TONG_HOP_CC!L46)</f>
        <v/>
      </c>
      <c r="M46" s="110">
        <f>IF($B46="","",TONG_HOP_CC!M46)</f>
        <v/>
      </c>
      <c r="N46" s="110">
        <f>IF($B46="","",TONG_HOP_CC!N46)</f>
        <v/>
      </c>
      <c r="P46" s="110">
        <f>IF($B46="","",TONG_HOP_CC!O46)</f>
        <v/>
      </c>
      <c r="Q46" s="110">
        <f>IF($B46="","",TONG_HOP_CC!P46)</f>
        <v/>
      </c>
      <c r="R46" s="110">
        <f>IF($B46="","",TONG_HOP_CC!Q46)</f>
        <v/>
      </c>
      <c r="S46" s="110">
        <f>IF($B46="","",TONG_HOP_CC!R46)</f>
        <v/>
      </c>
      <c r="T46" s="110">
        <f>IF($B46="","",TONG_HOP_CC!S46)</f>
        <v/>
      </c>
      <c r="U46" s="110">
        <f>IF($B46="","",TONG_HOP_CC!T46)</f>
        <v/>
      </c>
      <c r="W46" s="112">
        <f>IF(DM_NHAN_SU!$B46="","",IF(DM_NHAN_SU!$B46="","",DM_NHAN_SU!$B46))</f>
        <v/>
      </c>
      <c r="X46" s="113">
        <f>IF(DM_NHAN_SU!$B46="","",IF(DM_NHAN_SU!$C46="","",DM_NHAN_SU!$C46))</f>
        <v/>
      </c>
      <c r="Y46" s="113">
        <f>IF(DM_NHAN_SU!$B46="","",IF(DM_NHAN_SU!$D46="","",DM_NHAN_SU!$D46))</f>
        <v/>
      </c>
      <c r="Z46" s="113">
        <f>IF(DM_NHAN_SU!$B46="","",IF(DM_NHAN_SU!$E46="","",DM_NHAN_SU!$E46))</f>
        <v/>
      </c>
      <c r="AA46" s="114">
        <f>IF(DM_NHAN_SU!$B46="","",IF(DM_NHAN_SU!$F46="","",DM_NHAN_SU!$F46))</f>
        <v/>
      </c>
      <c r="AB46" s="114">
        <f>IF(DM_NHAN_SU!$B46="","",IF(DM_NHAN_SU!$G46="","",DM_NHAN_SU!$G46))</f>
        <v/>
      </c>
    </row>
    <row r="47" ht="15" customHeight="1" s="63">
      <c r="A47" s="85">
        <f>IF($B47="","",ROW()-5)</f>
        <v/>
      </c>
      <c r="B47" s="103">
        <f>IF(TONG_HOP_CC!B47="","",TONG_HOP_CC!B47)</f>
        <v/>
      </c>
      <c r="C47" s="96">
        <f>IF($B47="","",TONG_HOP_CC!C47)</f>
        <v/>
      </c>
      <c r="E47" s="112">
        <f>IF($B47="","","Tổng hợp")</f>
        <v/>
      </c>
      <c r="F47" s="110">
        <f>IF($B47="","",TONG_HOP_CC!E47)</f>
        <v/>
      </c>
      <c r="G47" s="110">
        <f>IF($B47="","",TONG_HOP_CC!G47)</f>
        <v/>
      </c>
      <c r="H47" s="110">
        <f>IF($B47="","",TONG_HOP_CC!H47)</f>
        <v/>
      </c>
      <c r="I47" s="110">
        <f>IF($B47="","",TONG_HOP_CC!I47)</f>
        <v/>
      </c>
      <c r="J47" s="110">
        <f>IF($B47="","",TONG_HOP_CC!J47)</f>
        <v/>
      </c>
      <c r="K47" s="110">
        <f>IF($B47="","",TONG_HOP_CC!K47)</f>
        <v/>
      </c>
      <c r="L47" s="110">
        <f>IF($B47="","",TONG_HOP_CC!L47)</f>
        <v/>
      </c>
      <c r="M47" s="110">
        <f>IF($B47="","",TONG_HOP_CC!M47)</f>
        <v/>
      </c>
      <c r="N47" s="110">
        <f>IF($B47="","",TONG_HOP_CC!N47)</f>
        <v/>
      </c>
      <c r="P47" s="110">
        <f>IF($B47="","",TONG_HOP_CC!O47)</f>
        <v/>
      </c>
      <c r="Q47" s="110">
        <f>IF($B47="","",TONG_HOP_CC!P47)</f>
        <v/>
      </c>
      <c r="R47" s="110">
        <f>IF($B47="","",TONG_HOP_CC!Q47)</f>
        <v/>
      </c>
      <c r="S47" s="110">
        <f>IF($B47="","",TONG_HOP_CC!R47)</f>
        <v/>
      </c>
      <c r="T47" s="110">
        <f>IF($B47="","",TONG_HOP_CC!S47)</f>
        <v/>
      </c>
      <c r="U47" s="110">
        <f>IF($B47="","",TONG_HOP_CC!T47)</f>
        <v/>
      </c>
      <c r="W47" s="112">
        <f>IF(DM_NHAN_SU!$B47="","",IF(DM_NHAN_SU!$B47="","",DM_NHAN_SU!$B47))</f>
        <v/>
      </c>
      <c r="X47" s="113">
        <f>IF(DM_NHAN_SU!$B47="","",IF(DM_NHAN_SU!$C47="","",DM_NHAN_SU!$C47))</f>
        <v/>
      </c>
      <c r="Y47" s="113">
        <f>IF(DM_NHAN_SU!$B47="","",IF(DM_NHAN_SU!$D47="","",DM_NHAN_SU!$D47))</f>
        <v/>
      </c>
      <c r="Z47" s="113">
        <f>IF(DM_NHAN_SU!$B47="","",IF(DM_NHAN_SU!$E47="","",DM_NHAN_SU!$E47))</f>
        <v/>
      </c>
      <c r="AA47" s="114">
        <f>IF(DM_NHAN_SU!$B47="","",IF(DM_NHAN_SU!$F47="","",DM_NHAN_SU!$F47))</f>
        <v/>
      </c>
      <c r="AB47" s="114">
        <f>IF(DM_NHAN_SU!$B47="","",IF(DM_NHAN_SU!$G47="","",DM_NHAN_SU!$G47))</f>
        <v/>
      </c>
    </row>
    <row r="48" ht="15" customHeight="1" s="63">
      <c r="A48" s="85">
        <f>IF($B48="","",ROW()-5)</f>
        <v/>
      </c>
      <c r="B48" s="103">
        <f>IF(TONG_HOP_CC!B48="","",TONG_HOP_CC!B48)</f>
        <v/>
      </c>
      <c r="C48" s="96">
        <f>IF($B48="","",TONG_HOP_CC!C48)</f>
        <v/>
      </c>
      <c r="E48" s="112">
        <f>IF($B48="","","Tổng hợp")</f>
        <v/>
      </c>
      <c r="F48" s="110">
        <f>IF($B48="","",TONG_HOP_CC!E48)</f>
        <v/>
      </c>
      <c r="G48" s="110">
        <f>IF($B48="","",TONG_HOP_CC!G48)</f>
        <v/>
      </c>
      <c r="H48" s="110">
        <f>IF($B48="","",TONG_HOP_CC!H48)</f>
        <v/>
      </c>
      <c r="I48" s="110">
        <f>IF($B48="","",TONG_HOP_CC!I48)</f>
        <v/>
      </c>
      <c r="J48" s="110">
        <f>IF($B48="","",TONG_HOP_CC!J48)</f>
        <v/>
      </c>
      <c r="K48" s="110">
        <f>IF($B48="","",TONG_HOP_CC!K48)</f>
        <v/>
      </c>
      <c r="L48" s="110">
        <f>IF($B48="","",TONG_HOP_CC!L48)</f>
        <v/>
      </c>
      <c r="M48" s="110">
        <f>IF($B48="","",TONG_HOP_CC!M48)</f>
        <v/>
      </c>
      <c r="N48" s="110">
        <f>IF($B48="","",TONG_HOP_CC!N48)</f>
        <v/>
      </c>
      <c r="P48" s="110">
        <f>IF($B48="","",TONG_HOP_CC!O48)</f>
        <v/>
      </c>
      <c r="Q48" s="110">
        <f>IF($B48="","",TONG_HOP_CC!P48)</f>
        <v/>
      </c>
      <c r="R48" s="110">
        <f>IF($B48="","",TONG_HOP_CC!Q48)</f>
        <v/>
      </c>
      <c r="S48" s="110">
        <f>IF($B48="","",TONG_HOP_CC!R48)</f>
        <v/>
      </c>
      <c r="T48" s="110">
        <f>IF($B48="","",TONG_HOP_CC!S48)</f>
        <v/>
      </c>
      <c r="U48" s="110">
        <f>IF($B48="","",TONG_HOP_CC!T48)</f>
        <v/>
      </c>
      <c r="W48" s="112">
        <f>IF(DM_NHAN_SU!$B48="","",IF(DM_NHAN_SU!$B48="","",DM_NHAN_SU!$B48))</f>
        <v/>
      </c>
      <c r="X48" s="113">
        <f>IF(DM_NHAN_SU!$B48="","",IF(DM_NHAN_SU!$C48="","",DM_NHAN_SU!$C48))</f>
        <v/>
      </c>
      <c r="Y48" s="113">
        <f>IF(DM_NHAN_SU!$B48="","",IF(DM_NHAN_SU!$D48="","",DM_NHAN_SU!$D48))</f>
        <v/>
      </c>
      <c r="Z48" s="113">
        <f>IF(DM_NHAN_SU!$B48="","",IF(DM_NHAN_SU!$E48="","",DM_NHAN_SU!$E48))</f>
        <v/>
      </c>
      <c r="AA48" s="114">
        <f>IF(DM_NHAN_SU!$B48="","",IF(DM_NHAN_SU!$F48="","",DM_NHAN_SU!$F48))</f>
        <v/>
      </c>
      <c r="AB48" s="114">
        <f>IF(DM_NHAN_SU!$B48="","",IF(DM_NHAN_SU!$G48="","",DM_NHAN_SU!$G48))</f>
        <v/>
      </c>
    </row>
    <row r="49" ht="15" customHeight="1" s="63">
      <c r="A49" s="85">
        <f>IF($B49="","",ROW()-5)</f>
        <v/>
      </c>
      <c r="B49" s="103">
        <f>IF(TONG_HOP_CC!B49="","",TONG_HOP_CC!B49)</f>
        <v/>
      </c>
      <c r="C49" s="96">
        <f>IF($B49="","",TONG_HOP_CC!C49)</f>
        <v/>
      </c>
      <c r="E49" s="112">
        <f>IF($B49="","","Tổng hợp")</f>
        <v/>
      </c>
      <c r="F49" s="110">
        <f>IF($B49="","",TONG_HOP_CC!E49)</f>
        <v/>
      </c>
      <c r="G49" s="110">
        <f>IF($B49="","",TONG_HOP_CC!G49)</f>
        <v/>
      </c>
      <c r="H49" s="110">
        <f>IF($B49="","",TONG_HOP_CC!H49)</f>
        <v/>
      </c>
      <c r="I49" s="110">
        <f>IF($B49="","",TONG_HOP_CC!I49)</f>
        <v/>
      </c>
      <c r="J49" s="110">
        <f>IF($B49="","",TONG_HOP_CC!J49)</f>
        <v/>
      </c>
      <c r="K49" s="110">
        <f>IF($B49="","",TONG_HOP_CC!K49)</f>
        <v/>
      </c>
      <c r="L49" s="110">
        <f>IF($B49="","",TONG_HOP_CC!L49)</f>
        <v/>
      </c>
      <c r="M49" s="110">
        <f>IF($B49="","",TONG_HOP_CC!M49)</f>
        <v/>
      </c>
      <c r="N49" s="110">
        <f>IF($B49="","",TONG_HOP_CC!N49)</f>
        <v/>
      </c>
      <c r="P49" s="110">
        <f>IF($B49="","",TONG_HOP_CC!O49)</f>
        <v/>
      </c>
      <c r="Q49" s="110">
        <f>IF($B49="","",TONG_HOP_CC!P49)</f>
        <v/>
      </c>
      <c r="R49" s="110">
        <f>IF($B49="","",TONG_HOP_CC!Q49)</f>
        <v/>
      </c>
      <c r="S49" s="110">
        <f>IF($B49="","",TONG_HOP_CC!R49)</f>
        <v/>
      </c>
      <c r="T49" s="110">
        <f>IF($B49="","",TONG_HOP_CC!S49)</f>
        <v/>
      </c>
      <c r="U49" s="110">
        <f>IF($B49="","",TONG_HOP_CC!T49)</f>
        <v/>
      </c>
      <c r="W49" s="112">
        <f>IF(DM_NHAN_SU!$B49="","",IF(DM_NHAN_SU!$B49="","",DM_NHAN_SU!$B49))</f>
        <v/>
      </c>
      <c r="X49" s="113">
        <f>IF(DM_NHAN_SU!$B49="","",IF(DM_NHAN_SU!$C49="","",DM_NHAN_SU!$C49))</f>
        <v/>
      </c>
      <c r="Y49" s="113">
        <f>IF(DM_NHAN_SU!$B49="","",IF(DM_NHAN_SU!$D49="","",DM_NHAN_SU!$D49))</f>
        <v/>
      </c>
      <c r="Z49" s="113">
        <f>IF(DM_NHAN_SU!$B49="","",IF(DM_NHAN_SU!$E49="","",DM_NHAN_SU!$E49))</f>
        <v/>
      </c>
      <c r="AA49" s="114">
        <f>IF(DM_NHAN_SU!$B49="","",IF(DM_NHAN_SU!$F49="","",DM_NHAN_SU!$F49))</f>
        <v/>
      </c>
      <c r="AB49" s="114">
        <f>IF(DM_NHAN_SU!$B49="","",IF(DM_NHAN_SU!$G49="","",DM_NHAN_SU!$G49))</f>
        <v/>
      </c>
    </row>
    <row r="50" ht="15" customHeight="1" s="63">
      <c r="A50" s="85">
        <f>IF($B50="","",ROW()-5)</f>
        <v/>
      </c>
      <c r="B50" s="103">
        <f>IF(TONG_HOP_CC!B50="","",TONG_HOP_CC!B50)</f>
        <v/>
      </c>
      <c r="C50" s="96">
        <f>IF($B50="","",TONG_HOP_CC!C50)</f>
        <v/>
      </c>
      <c r="E50" s="112">
        <f>IF($B50="","","Tổng hợp")</f>
        <v/>
      </c>
      <c r="F50" s="110">
        <f>IF($B50="","",TONG_HOP_CC!E50)</f>
        <v/>
      </c>
      <c r="G50" s="110">
        <f>IF($B50="","",TONG_HOP_CC!G50)</f>
        <v/>
      </c>
      <c r="H50" s="110">
        <f>IF($B50="","",TONG_HOP_CC!H50)</f>
        <v/>
      </c>
      <c r="I50" s="110">
        <f>IF($B50="","",TONG_HOP_CC!I50)</f>
        <v/>
      </c>
      <c r="J50" s="110">
        <f>IF($B50="","",TONG_HOP_CC!J50)</f>
        <v/>
      </c>
      <c r="K50" s="110">
        <f>IF($B50="","",TONG_HOP_CC!K50)</f>
        <v/>
      </c>
      <c r="L50" s="110">
        <f>IF($B50="","",TONG_HOP_CC!L50)</f>
        <v/>
      </c>
      <c r="M50" s="110">
        <f>IF($B50="","",TONG_HOP_CC!M50)</f>
        <v/>
      </c>
      <c r="N50" s="110">
        <f>IF($B50="","",TONG_HOP_CC!N50)</f>
        <v/>
      </c>
      <c r="P50" s="110">
        <f>IF($B50="","",TONG_HOP_CC!O50)</f>
        <v/>
      </c>
      <c r="Q50" s="110">
        <f>IF($B50="","",TONG_HOP_CC!P50)</f>
        <v/>
      </c>
      <c r="R50" s="110">
        <f>IF($B50="","",TONG_HOP_CC!Q50)</f>
        <v/>
      </c>
      <c r="S50" s="110">
        <f>IF($B50="","",TONG_HOP_CC!R50)</f>
        <v/>
      </c>
      <c r="T50" s="110">
        <f>IF($B50="","",TONG_HOP_CC!S50)</f>
        <v/>
      </c>
      <c r="U50" s="110">
        <f>IF($B50="","",TONG_HOP_CC!T50)</f>
        <v/>
      </c>
      <c r="W50" s="112">
        <f>IF(DM_NHAN_SU!$B50="","",IF(DM_NHAN_SU!$B50="","",DM_NHAN_SU!$B50))</f>
        <v/>
      </c>
      <c r="X50" s="113">
        <f>IF(DM_NHAN_SU!$B50="","",IF(DM_NHAN_SU!$C50="","",DM_NHAN_SU!$C50))</f>
        <v/>
      </c>
      <c r="Y50" s="113">
        <f>IF(DM_NHAN_SU!$B50="","",IF(DM_NHAN_SU!$D50="","",DM_NHAN_SU!$D50))</f>
        <v/>
      </c>
      <c r="Z50" s="113">
        <f>IF(DM_NHAN_SU!$B50="","",IF(DM_NHAN_SU!$E50="","",DM_NHAN_SU!$E50))</f>
        <v/>
      </c>
      <c r="AA50" s="114">
        <f>IF(DM_NHAN_SU!$B50="","",IF(DM_NHAN_SU!$F50="","",DM_NHAN_SU!$F50))</f>
        <v/>
      </c>
      <c r="AB50" s="114">
        <f>IF(DM_NHAN_SU!$B50="","",IF(DM_NHAN_SU!$G50="","",DM_NHAN_SU!$G50))</f>
        <v/>
      </c>
    </row>
    <row r="51" ht="15" customHeight="1" s="63">
      <c r="A51" s="85">
        <f>IF($B51="","",ROW()-5)</f>
        <v/>
      </c>
      <c r="B51" s="103">
        <f>IF(TONG_HOP_CC!B51="","",TONG_HOP_CC!B51)</f>
        <v/>
      </c>
      <c r="C51" s="96">
        <f>IF($B51="","",TONG_HOP_CC!C51)</f>
        <v/>
      </c>
      <c r="E51" s="112">
        <f>IF($B51="","","Tổng hợp")</f>
        <v/>
      </c>
      <c r="F51" s="110">
        <f>IF($B51="","",TONG_HOP_CC!E51)</f>
        <v/>
      </c>
      <c r="G51" s="110">
        <f>IF($B51="","",TONG_HOP_CC!G51)</f>
        <v/>
      </c>
      <c r="H51" s="110">
        <f>IF($B51="","",TONG_HOP_CC!H51)</f>
        <v/>
      </c>
      <c r="I51" s="110">
        <f>IF($B51="","",TONG_HOP_CC!I51)</f>
        <v/>
      </c>
      <c r="J51" s="110">
        <f>IF($B51="","",TONG_HOP_CC!J51)</f>
        <v/>
      </c>
      <c r="K51" s="110">
        <f>IF($B51="","",TONG_HOP_CC!K51)</f>
        <v/>
      </c>
      <c r="L51" s="110">
        <f>IF($B51="","",TONG_HOP_CC!L51)</f>
        <v/>
      </c>
      <c r="M51" s="110">
        <f>IF($B51="","",TONG_HOP_CC!M51)</f>
        <v/>
      </c>
      <c r="N51" s="110">
        <f>IF($B51="","",TONG_HOP_CC!N51)</f>
        <v/>
      </c>
      <c r="P51" s="110">
        <f>IF($B51="","",TONG_HOP_CC!O51)</f>
        <v/>
      </c>
      <c r="Q51" s="110">
        <f>IF($B51="","",TONG_HOP_CC!P51)</f>
        <v/>
      </c>
      <c r="R51" s="110">
        <f>IF($B51="","",TONG_HOP_CC!Q51)</f>
        <v/>
      </c>
      <c r="S51" s="110">
        <f>IF($B51="","",TONG_HOP_CC!R51)</f>
        <v/>
      </c>
      <c r="T51" s="110">
        <f>IF($B51="","",TONG_HOP_CC!S51)</f>
        <v/>
      </c>
      <c r="U51" s="110">
        <f>IF($B51="","",TONG_HOP_CC!T51)</f>
        <v/>
      </c>
      <c r="W51" s="112">
        <f>IF(DM_NHAN_SU!$B51="","",IF(DM_NHAN_SU!$B51="","",DM_NHAN_SU!$B51))</f>
        <v/>
      </c>
      <c r="X51" s="113">
        <f>IF(DM_NHAN_SU!$B51="","",IF(DM_NHAN_SU!$C51="","",DM_NHAN_SU!$C51))</f>
        <v/>
      </c>
      <c r="Y51" s="113">
        <f>IF(DM_NHAN_SU!$B51="","",IF(DM_NHAN_SU!$D51="","",DM_NHAN_SU!$D51))</f>
        <v/>
      </c>
      <c r="Z51" s="113">
        <f>IF(DM_NHAN_SU!$B51="","",IF(DM_NHAN_SU!$E51="","",DM_NHAN_SU!$E51))</f>
        <v/>
      </c>
      <c r="AA51" s="114">
        <f>IF(DM_NHAN_SU!$B51="","",IF(DM_NHAN_SU!$F51="","",DM_NHAN_SU!$F51))</f>
        <v/>
      </c>
      <c r="AB51" s="114">
        <f>IF(DM_NHAN_SU!$B51="","",IF(DM_NHAN_SU!$G51="","",DM_NHAN_SU!$G51))</f>
        <v/>
      </c>
    </row>
    <row r="52" ht="15" customHeight="1" s="63">
      <c r="A52" s="85">
        <f>IF($B52="","",ROW()-5)</f>
        <v/>
      </c>
      <c r="B52" s="103">
        <f>IF(TONG_HOP_CC!B52="","",TONG_HOP_CC!B52)</f>
        <v/>
      </c>
      <c r="C52" s="96">
        <f>IF($B52="","",TONG_HOP_CC!C52)</f>
        <v/>
      </c>
      <c r="E52" s="112">
        <f>IF($B52="","","Tổng hợp")</f>
        <v/>
      </c>
      <c r="F52" s="110">
        <f>IF($B52="","",TONG_HOP_CC!E52)</f>
        <v/>
      </c>
      <c r="G52" s="110">
        <f>IF($B52="","",TONG_HOP_CC!G52)</f>
        <v/>
      </c>
      <c r="H52" s="110">
        <f>IF($B52="","",TONG_HOP_CC!H52)</f>
        <v/>
      </c>
      <c r="I52" s="110">
        <f>IF($B52="","",TONG_HOP_CC!I52)</f>
        <v/>
      </c>
      <c r="J52" s="110">
        <f>IF($B52="","",TONG_HOP_CC!J52)</f>
        <v/>
      </c>
      <c r="K52" s="110">
        <f>IF($B52="","",TONG_HOP_CC!K52)</f>
        <v/>
      </c>
      <c r="L52" s="110">
        <f>IF($B52="","",TONG_HOP_CC!L52)</f>
        <v/>
      </c>
      <c r="M52" s="110">
        <f>IF($B52="","",TONG_HOP_CC!M52)</f>
        <v/>
      </c>
      <c r="N52" s="110">
        <f>IF($B52="","",TONG_HOP_CC!N52)</f>
        <v/>
      </c>
      <c r="P52" s="110">
        <f>IF($B52="","",TONG_HOP_CC!O52)</f>
        <v/>
      </c>
      <c r="Q52" s="110">
        <f>IF($B52="","",TONG_HOP_CC!P52)</f>
        <v/>
      </c>
      <c r="R52" s="110">
        <f>IF($B52="","",TONG_HOP_CC!Q52)</f>
        <v/>
      </c>
      <c r="S52" s="110">
        <f>IF($B52="","",TONG_HOP_CC!R52)</f>
        <v/>
      </c>
      <c r="T52" s="110">
        <f>IF($B52="","",TONG_HOP_CC!S52)</f>
        <v/>
      </c>
      <c r="U52" s="110">
        <f>IF($B52="","",TONG_HOP_CC!T52)</f>
        <v/>
      </c>
      <c r="W52" s="112">
        <f>IF(DM_NHAN_SU!$B52="","",IF(DM_NHAN_SU!$B52="","",DM_NHAN_SU!$B52))</f>
        <v/>
      </c>
      <c r="X52" s="113">
        <f>IF(DM_NHAN_SU!$B52="","",IF(DM_NHAN_SU!$C52="","",DM_NHAN_SU!$C52))</f>
        <v/>
      </c>
      <c r="Y52" s="113">
        <f>IF(DM_NHAN_SU!$B52="","",IF(DM_NHAN_SU!$D52="","",DM_NHAN_SU!$D52))</f>
        <v/>
      </c>
      <c r="Z52" s="113">
        <f>IF(DM_NHAN_SU!$B52="","",IF(DM_NHAN_SU!$E52="","",DM_NHAN_SU!$E52))</f>
        <v/>
      </c>
      <c r="AA52" s="114">
        <f>IF(DM_NHAN_SU!$B52="","",IF(DM_NHAN_SU!$F52="","",DM_NHAN_SU!$F52))</f>
        <v/>
      </c>
      <c r="AB52" s="114">
        <f>IF(DM_NHAN_SU!$B52="","",IF(DM_NHAN_SU!$G52="","",DM_NHAN_SU!$G52))</f>
        <v/>
      </c>
    </row>
    <row r="53" ht="15" customHeight="1" s="63">
      <c r="A53" s="85">
        <f>IF($B53="","",ROW()-5)</f>
        <v/>
      </c>
      <c r="B53" s="103">
        <f>IF(TONG_HOP_CC!B53="","",TONG_HOP_CC!B53)</f>
        <v/>
      </c>
      <c r="C53" s="96">
        <f>IF($B53="","",TONG_HOP_CC!C53)</f>
        <v/>
      </c>
      <c r="E53" s="112">
        <f>IF($B53="","","Tổng hợp")</f>
        <v/>
      </c>
      <c r="F53" s="110">
        <f>IF($B53="","",TONG_HOP_CC!E53)</f>
        <v/>
      </c>
      <c r="G53" s="110">
        <f>IF($B53="","",TONG_HOP_CC!G53)</f>
        <v/>
      </c>
      <c r="H53" s="110">
        <f>IF($B53="","",TONG_HOP_CC!H53)</f>
        <v/>
      </c>
      <c r="I53" s="110">
        <f>IF($B53="","",TONG_HOP_CC!I53)</f>
        <v/>
      </c>
      <c r="J53" s="110">
        <f>IF($B53="","",TONG_HOP_CC!J53)</f>
        <v/>
      </c>
      <c r="K53" s="110">
        <f>IF($B53="","",TONG_HOP_CC!K53)</f>
        <v/>
      </c>
      <c r="L53" s="110">
        <f>IF($B53="","",TONG_HOP_CC!L53)</f>
        <v/>
      </c>
      <c r="M53" s="110">
        <f>IF($B53="","",TONG_HOP_CC!M53)</f>
        <v/>
      </c>
      <c r="N53" s="110">
        <f>IF($B53="","",TONG_HOP_CC!N53)</f>
        <v/>
      </c>
      <c r="P53" s="110">
        <f>IF($B53="","",TONG_HOP_CC!O53)</f>
        <v/>
      </c>
      <c r="Q53" s="110">
        <f>IF($B53="","",TONG_HOP_CC!P53)</f>
        <v/>
      </c>
      <c r="R53" s="110">
        <f>IF($B53="","",TONG_HOP_CC!Q53)</f>
        <v/>
      </c>
      <c r="S53" s="110">
        <f>IF($B53="","",TONG_HOP_CC!R53)</f>
        <v/>
      </c>
      <c r="T53" s="110">
        <f>IF($B53="","",TONG_HOP_CC!S53)</f>
        <v/>
      </c>
      <c r="U53" s="110">
        <f>IF($B53="","",TONG_HOP_CC!T53)</f>
        <v/>
      </c>
      <c r="W53" s="112">
        <f>IF(DM_NHAN_SU!$B53="","",IF(DM_NHAN_SU!$B53="","",DM_NHAN_SU!$B53))</f>
        <v/>
      </c>
      <c r="X53" s="113">
        <f>IF(DM_NHAN_SU!$B53="","",IF(DM_NHAN_SU!$C53="","",DM_NHAN_SU!$C53))</f>
        <v/>
      </c>
      <c r="Y53" s="113">
        <f>IF(DM_NHAN_SU!$B53="","",IF(DM_NHAN_SU!$D53="","",DM_NHAN_SU!$D53))</f>
        <v/>
      </c>
      <c r="Z53" s="113">
        <f>IF(DM_NHAN_SU!$B53="","",IF(DM_NHAN_SU!$E53="","",DM_NHAN_SU!$E53))</f>
        <v/>
      </c>
      <c r="AA53" s="114">
        <f>IF(DM_NHAN_SU!$B53="","",IF(DM_NHAN_SU!$F53="","",DM_NHAN_SU!$F53))</f>
        <v/>
      </c>
      <c r="AB53" s="114">
        <f>IF(DM_NHAN_SU!$B53="","",IF(DM_NHAN_SU!$G53="","",DM_NHAN_SU!$G53))</f>
        <v/>
      </c>
    </row>
    <row r="54" ht="15" customHeight="1" s="63">
      <c r="A54" s="85">
        <f>IF($B54="","",ROW()-5)</f>
        <v/>
      </c>
      <c r="B54" s="103">
        <f>IF(TONG_HOP_CC!B54="","",TONG_HOP_CC!B54)</f>
        <v/>
      </c>
      <c r="C54" s="96">
        <f>IF($B54="","",TONG_HOP_CC!C54)</f>
        <v/>
      </c>
      <c r="E54" s="112">
        <f>IF($B54="","","Tổng hợp")</f>
        <v/>
      </c>
      <c r="F54" s="110">
        <f>IF($B54="","",TONG_HOP_CC!E54)</f>
        <v/>
      </c>
      <c r="G54" s="110">
        <f>IF($B54="","",TONG_HOP_CC!G54)</f>
        <v/>
      </c>
      <c r="H54" s="110">
        <f>IF($B54="","",TONG_HOP_CC!H54)</f>
        <v/>
      </c>
      <c r="I54" s="110">
        <f>IF($B54="","",TONG_HOP_CC!I54)</f>
        <v/>
      </c>
      <c r="J54" s="110">
        <f>IF($B54="","",TONG_HOP_CC!J54)</f>
        <v/>
      </c>
      <c r="K54" s="110">
        <f>IF($B54="","",TONG_HOP_CC!K54)</f>
        <v/>
      </c>
      <c r="L54" s="110">
        <f>IF($B54="","",TONG_HOP_CC!L54)</f>
        <v/>
      </c>
      <c r="M54" s="110">
        <f>IF($B54="","",TONG_HOP_CC!M54)</f>
        <v/>
      </c>
      <c r="N54" s="110">
        <f>IF($B54="","",TONG_HOP_CC!N54)</f>
        <v/>
      </c>
      <c r="P54" s="110">
        <f>IF($B54="","",TONG_HOP_CC!O54)</f>
        <v/>
      </c>
      <c r="Q54" s="110">
        <f>IF($B54="","",TONG_HOP_CC!P54)</f>
        <v/>
      </c>
      <c r="R54" s="110">
        <f>IF($B54="","",TONG_HOP_CC!Q54)</f>
        <v/>
      </c>
      <c r="S54" s="110">
        <f>IF($B54="","",TONG_HOP_CC!R54)</f>
        <v/>
      </c>
      <c r="T54" s="110">
        <f>IF($B54="","",TONG_HOP_CC!S54)</f>
        <v/>
      </c>
      <c r="U54" s="110">
        <f>IF($B54="","",TONG_HOP_CC!T54)</f>
        <v/>
      </c>
      <c r="W54" s="112">
        <f>IF(DM_NHAN_SU!$B54="","",IF(DM_NHAN_SU!$B54="","",DM_NHAN_SU!$B54))</f>
        <v/>
      </c>
      <c r="X54" s="113">
        <f>IF(DM_NHAN_SU!$B54="","",IF(DM_NHAN_SU!$C54="","",DM_NHAN_SU!$C54))</f>
        <v/>
      </c>
      <c r="Y54" s="113">
        <f>IF(DM_NHAN_SU!$B54="","",IF(DM_NHAN_SU!$D54="","",DM_NHAN_SU!$D54))</f>
        <v/>
      </c>
      <c r="Z54" s="113">
        <f>IF(DM_NHAN_SU!$B54="","",IF(DM_NHAN_SU!$E54="","",DM_NHAN_SU!$E54))</f>
        <v/>
      </c>
      <c r="AA54" s="114">
        <f>IF(DM_NHAN_SU!$B54="","",IF(DM_NHAN_SU!$F54="","",DM_NHAN_SU!$F54))</f>
        <v/>
      </c>
      <c r="AB54" s="114">
        <f>IF(DM_NHAN_SU!$B54="","",IF(DM_NHAN_SU!$G54="","",DM_NHAN_SU!$G54))</f>
        <v/>
      </c>
    </row>
    <row r="55" ht="15" customHeight="1" s="63">
      <c r="A55" s="85">
        <f>IF($B55="","",ROW()-5)</f>
        <v/>
      </c>
      <c r="B55" s="103">
        <f>IF(TONG_HOP_CC!B55="","",TONG_HOP_CC!B55)</f>
        <v/>
      </c>
      <c r="C55" s="96">
        <f>IF($B55="","",TONG_HOP_CC!C55)</f>
        <v/>
      </c>
      <c r="E55" s="112">
        <f>IF($B55="","","Tổng hợp")</f>
        <v/>
      </c>
      <c r="F55" s="110">
        <f>IF($B55="","",TONG_HOP_CC!E55)</f>
        <v/>
      </c>
      <c r="G55" s="110">
        <f>IF($B55="","",TONG_HOP_CC!G55)</f>
        <v/>
      </c>
      <c r="H55" s="110">
        <f>IF($B55="","",TONG_HOP_CC!H55)</f>
        <v/>
      </c>
      <c r="I55" s="110">
        <f>IF($B55="","",TONG_HOP_CC!I55)</f>
        <v/>
      </c>
      <c r="J55" s="110">
        <f>IF($B55="","",TONG_HOP_CC!J55)</f>
        <v/>
      </c>
      <c r="K55" s="110">
        <f>IF($B55="","",TONG_HOP_CC!K55)</f>
        <v/>
      </c>
      <c r="L55" s="110">
        <f>IF($B55="","",TONG_HOP_CC!L55)</f>
        <v/>
      </c>
      <c r="M55" s="110">
        <f>IF($B55="","",TONG_HOP_CC!M55)</f>
        <v/>
      </c>
      <c r="N55" s="110">
        <f>IF($B55="","",TONG_HOP_CC!N55)</f>
        <v/>
      </c>
      <c r="P55" s="110">
        <f>IF($B55="","",TONG_HOP_CC!O55)</f>
        <v/>
      </c>
      <c r="Q55" s="110">
        <f>IF($B55="","",TONG_HOP_CC!P55)</f>
        <v/>
      </c>
      <c r="R55" s="110">
        <f>IF($B55="","",TONG_HOP_CC!Q55)</f>
        <v/>
      </c>
      <c r="S55" s="110">
        <f>IF($B55="","",TONG_HOP_CC!R55)</f>
        <v/>
      </c>
      <c r="T55" s="110">
        <f>IF($B55="","",TONG_HOP_CC!S55)</f>
        <v/>
      </c>
      <c r="U55" s="110">
        <f>IF($B55="","",TONG_HOP_CC!T55)</f>
        <v/>
      </c>
      <c r="W55" s="112">
        <f>IF(DM_NHAN_SU!$B55="","",IF(DM_NHAN_SU!$B55="","",DM_NHAN_SU!$B55))</f>
        <v/>
      </c>
      <c r="X55" s="113">
        <f>IF(DM_NHAN_SU!$B55="","",IF(DM_NHAN_SU!$C55="","",DM_NHAN_SU!$C55))</f>
        <v/>
      </c>
      <c r="Y55" s="113">
        <f>IF(DM_NHAN_SU!$B55="","",IF(DM_NHAN_SU!$D55="","",DM_NHAN_SU!$D55))</f>
        <v/>
      </c>
      <c r="Z55" s="113">
        <f>IF(DM_NHAN_SU!$B55="","",IF(DM_NHAN_SU!$E55="","",DM_NHAN_SU!$E55))</f>
        <v/>
      </c>
      <c r="AA55" s="114">
        <f>IF(DM_NHAN_SU!$B55="","",IF(DM_NHAN_SU!$F55="","",DM_NHAN_SU!$F55))</f>
        <v/>
      </c>
      <c r="AB55" s="114">
        <f>IF(DM_NHAN_SU!$B55="","",IF(DM_NHAN_SU!$G55="","",DM_NHAN_SU!$G55))</f>
        <v/>
      </c>
    </row>
    <row r="56" ht="15" customHeight="1" s="63">
      <c r="A56" s="85">
        <f>IF($B56="","",ROW()-5)</f>
        <v/>
      </c>
      <c r="B56" s="103">
        <f>IF(TONG_HOP_CC!B56="","",TONG_HOP_CC!B56)</f>
        <v/>
      </c>
      <c r="C56" s="96">
        <f>IF($B56="","",TONG_HOP_CC!C56)</f>
        <v/>
      </c>
      <c r="E56" s="112">
        <f>IF($B56="","","Tổng hợp")</f>
        <v/>
      </c>
      <c r="F56" s="110">
        <f>IF($B56="","",TONG_HOP_CC!E56)</f>
        <v/>
      </c>
      <c r="G56" s="110">
        <f>IF($B56="","",TONG_HOP_CC!G56)</f>
        <v/>
      </c>
      <c r="H56" s="110">
        <f>IF($B56="","",TONG_HOP_CC!H56)</f>
        <v/>
      </c>
      <c r="I56" s="110">
        <f>IF($B56="","",TONG_HOP_CC!I56)</f>
        <v/>
      </c>
      <c r="J56" s="110">
        <f>IF($B56="","",TONG_HOP_CC!J56)</f>
        <v/>
      </c>
      <c r="K56" s="110">
        <f>IF($B56="","",TONG_HOP_CC!K56)</f>
        <v/>
      </c>
      <c r="L56" s="110">
        <f>IF($B56="","",TONG_HOP_CC!L56)</f>
        <v/>
      </c>
      <c r="M56" s="110">
        <f>IF($B56="","",TONG_HOP_CC!M56)</f>
        <v/>
      </c>
      <c r="N56" s="110">
        <f>IF($B56="","",TONG_HOP_CC!N56)</f>
        <v/>
      </c>
      <c r="P56" s="110">
        <f>IF($B56="","",TONG_HOP_CC!O56)</f>
        <v/>
      </c>
      <c r="Q56" s="110">
        <f>IF($B56="","",TONG_HOP_CC!P56)</f>
        <v/>
      </c>
      <c r="R56" s="110">
        <f>IF($B56="","",TONG_HOP_CC!Q56)</f>
        <v/>
      </c>
      <c r="S56" s="110">
        <f>IF($B56="","",TONG_HOP_CC!R56)</f>
        <v/>
      </c>
      <c r="T56" s="110">
        <f>IF($B56="","",TONG_HOP_CC!S56)</f>
        <v/>
      </c>
      <c r="U56" s="110">
        <f>IF($B56="","",TONG_HOP_CC!T56)</f>
        <v/>
      </c>
      <c r="W56" s="112">
        <f>IF(DM_NHAN_SU!$B56="","",IF(DM_NHAN_SU!$B56="","",DM_NHAN_SU!$B56))</f>
        <v/>
      </c>
      <c r="X56" s="113">
        <f>IF(DM_NHAN_SU!$B56="","",IF(DM_NHAN_SU!$C56="","",DM_NHAN_SU!$C56))</f>
        <v/>
      </c>
      <c r="Y56" s="113">
        <f>IF(DM_NHAN_SU!$B56="","",IF(DM_NHAN_SU!$D56="","",DM_NHAN_SU!$D56))</f>
        <v/>
      </c>
      <c r="Z56" s="113">
        <f>IF(DM_NHAN_SU!$B56="","",IF(DM_NHAN_SU!$E56="","",DM_NHAN_SU!$E56))</f>
        <v/>
      </c>
      <c r="AA56" s="114">
        <f>IF(DM_NHAN_SU!$B56="","",IF(DM_NHAN_SU!$F56="","",DM_NHAN_SU!$F56))</f>
        <v/>
      </c>
      <c r="AB56" s="114">
        <f>IF(DM_NHAN_SU!$B56="","",IF(DM_NHAN_SU!$G56="","",DM_NHAN_SU!$G56))</f>
        <v/>
      </c>
    </row>
    <row r="57" ht="15" customHeight="1" s="63">
      <c r="A57" s="85">
        <f>IF($B57="","",ROW()-5)</f>
        <v/>
      </c>
      <c r="B57" s="103">
        <f>IF(TONG_HOP_CC!B57="","",TONG_HOP_CC!B57)</f>
        <v/>
      </c>
      <c r="C57" s="96">
        <f>IF($B57="","",TONG_HOP_CC!C57)</f>
        <v/>
      </c>
      <c r="E57" s="112">
        <f>IF($B57="","","Tổng hợp")</f>
        <v/>
      </c>
      <c r="F57" s="110">
        <f>IF($B57="","",TONG_HOP_CC!E57)</f>
        <v/>
      </c>
      <c r="G57" s="110">
        <f>IF($B57="","",TONG_HOP_CC!G57)</f>
        <v/>
      </c>
      <c r="H57" s="110">
        <f>IF($B57="","",TONG_HOP_CC!H57)</f>
        <v/>
      </c>
      <c r="I57" s="110">
        <f>IF($B57="","",TONG_HOP_CC!I57)</f>
        <v/>
      </c>
      <c r="J57" s="110">
        <f>IF($B57="","",TONG_HOP_CC!J57)</f>
        <v/>
      </c>
      <c r="K57" s="110">
        <f>IF($B57="","",TONG_HOP_CC!K57)</f>
        <v/>
      </c>
      <c r="L57" s="110">
        <f>IF($B57="","",TONG_HOP_CC!L57)</f>
        <v/>
      </c>
      <c r="M57" s="110">
        <f>IF($B57="","",TONG_HOP_CC!M57)</f>
        <v/>
      </c>
      <c r="N57" s="110">
        <f>IF($B57="","",TONG_HOP_CC!N57)</f>
        <v/>
      </c>
      <c r="P57" s="110">
        <f>IF($B57="","",TONG_HOP_CC!O57)</f>
        <v/>
      </c>
      <c r="Q57" s="110">
        <f>IF($B57="","",TONG_HOP_CC!P57)</f>
        <v/>
      </c>
      <c r="R57" s="110">
        <f>IF($B57="","",TONG_HOP_CC!Q57)</f>
        <v/>
      </c>
      <c r="S57" s="110">
        <f>IF($B57="","",TONG_HOP_CC!R57)</f>
        <v/>
      </c>
      <c r="T57" s="110">
        <f>IF($B57="","",TONG_HOP_CC!S57)</f>
        <v/>
      </c>
      <c r="U57" s="110">
        <f>IF($B57="","",TONG_HOP_CC!T57)</f>
        <v/>
      </c>
      <c r="W57" s="112">
        <f>IF(DM_NHAN_SU!$B57="","",IF(DM_NHAN_SU!$B57="","",DM_NHAN_SU!$B57))</f>
        <v/>
      </c>
      <c r="X57" s="113">
        <f>IF(DM_NHAN_SU!$B57="","",IF(DM_NHAN_SU!$C57="","",DM_NHAN_SU!$C57))</f>
        <v/>
      </c>
      <c r="Y57" s="113">
        <f>IF(DM_NHAN_SU!$B57="","",IF(DM_NHAN_SU!$D57="","",DM_NHAN_SU!$D57))</f>
        <v/>
      </c>
      <c r="Z57" s="113">
        <f>IF(DM_NHAN_SU!$B57="","",IF(DM_NHAN_SU!$E57="","",DM_NHAN_SU!$E57))</f>
        <v/>
      </c>
      <c r="AA57" s="114">
        <f>IF(DM_NHAN_SU!$B57="","",IF(DM_NHAN_SU!$F57="","",DM_NHAN_SU!$F57))</f>
        <v/>
      </c>
      <c r="AB57" s="114">
        <f>IF(DM_NHAN_SU!$B57="","",IF(DM_NHAN_SU!$G57="","",DM_NHAN_SU!$G57))</f>
        <v/>
      </c>
    </row>
    <row r="58" ht="15" customHeight="1" s="63">
      <c r="A58" s="85">
        <f>IF($B58="","",ROW()-5)</f>
        <v/>
      </c>
      <c r="B58" s="103">
        <f>IF(TONG_HOP_CC!B58="","",TONG_HOP_CC!B58)</f>
        <v/>
      </c>
      <c r="C58" s="96">
        <f>IF($B58="","",TONG_HOP_CC!C58)</f>
        <v/>
      </c>
      <c r="E58" s="112">
        <f>IF($B58="","","Tổng hợp")</f>
        <v/>
      </c>
      <c r="F58" s="110">
        <f>IF($B58="","",TONG_HOP_CC!E58)</f>
        <v/>
      </c>
      <c r="G58" s="110">
        <f>IF($B58="","",TONG_HOP_CC!G58)</f>
        <v/>
      </c>
      <c r="H58" s="110">
        <f>IF($B58="","",TONG_HOP_CC!H58)</f>
        <v/>
      </c>
      <c r="I58" s="110">
        <f>IF($B58="","",TONG_HOP_CC!I58)</f>
        <v/>
      </c>
      <c r="J58" s="110">
        <f>IF($B58="","",TONG_HOP_CC!J58)</f>
        <v/>
      </c>
      <c r="K58" s="110">
        <f>IF($B58="","",TONG_HOP_CC!K58)</f>
        <v/>
      </c>
      <c r="L58" s="110">
        <f>IF($B58="","",TONG_HOP_CC!L58)</f>
        <v/>
      </c>
      <c r="M58" s="110">
        <f>IF($B58="","",TONG_HOP_CC!M58)</f>
        <v/>
      </c>
      <c r="N58" s="110">
        <f>IF($B58="","",TONG_HOP_CC!N58)</f>
        <v/>
      </c>
      <c r="P58" s="110">
        <f>IF($B58="","",TONG_HOP_CC!O58)</f>
        <v/>
      </c>
      <c r="Q58" s="110">
        <f>IF($B58="","",TONG_HOP_CC!P58)</f>
        <v/>
      </c>
      <c r="R58" s="110">
        <f>IF($B58="","",TONG_HOP_CC!Q58)</f>
        <v/>
      </c>
      <c r="S58" s="110">
        <f>IF($B58="","",TONG_HOP_CC!R58)</f>
        <v/>
      </c>
      <c r="T58" s="110">
        <f>IF($B58="","",TONG_HOP_CC!S58)</f>
        <v/>
      </c>
      <c r="U58" s="110">
        <f>IF($B58="","",TONG_HOP_CC!T58)</f>
        <v/>
      </c>
      <c r="W58" s="112">
        <f>IF(DM_NHAN_SU!$B58="","",IF(DM_NHAN_SU!$B58="","",DM_NHAN_SU!$B58))</f>
        <v/>
      </c>
      <c r="X58" s="113">
        <f>IF(DM_NHAN_SU!$B58="","",IF(DM_NHAN_SU!$C58="","",DM_NHAN_SU!$C58))</f>
        <v/>
      </c>
      <c r="Y58" s="113">
        <f>IF(DM_NHAN_SU!$B58="","",IF(DM_NHAN_SU!$D58="","",DM_NHAN_SU!$D58))</f>
        <v/>
      </c>
      <c r="Z58" s="113">
        <f>IF(DM_NHAN_SU!$B58="","",IF(DM_NHAN_SU!$E58="","",DM_NHAN_SU!$E58))</f>
        <v/>
      </c>
      <c r="AA58" s="114">
        <f>IF(DM_NHAN_SU!$B58="","",IF(DM_NHAN_SU!$F58="","",DM_NHAN_SU!$F58))</f>
        <v/>
      </c>
      <c r="AB58" s="114">
        <f>IF(DM_NHAN_SU!$B58="","",IF(DM_NHAN_SU!$G58="","",DM_NHAN_SU!$G58))</f>
        <v/>
      </c>
    </row>
    <row r="59" ht="15" customHeight="1" s="63">
      <c r="A59" s="85">
        <f>IF($B59="","",ROW()-5)</f>
        <v/>
      </c>
      <c r="B59" s="103">
        <f>IF(TONG_HOP_CC!B59="","",TONG_HOP_CC!B59)</f>
        <v/>
      </c>
      <c r="C59" s="96">
        <f>IF($B59="","",TONG_HOP_CC!C59)</f>
        <v/>
      </c>
      <c r="E59" s="112">
        <f>IF($B59="","","Tổng hợp")</f>
        <v/>
      </c>
      <c r="F59" s="110">
        <f>IF($B59="","",TONG_HOP_CC!E59)</f>
        <v/>
      </c>
      <c r="G59" s="110">
        <f>IF($B59="","",TONG_HOP_CC!G59)</f>
        <v/>
      </c>
      <c r="H59" s="110">
        <f>IF($B59="","",TONG_HOP_CC!H59)</f>
        <v/>
      </c>
      <c r="I59" s="110">
        <f>IF($B59="","",TONG_HOP_CC!I59)</f>
        <v/>
      </c>
      <c r="J59" s="110">
        <f>IF($B59="","",TONG_HOP_CC!J59)</f>
        <v/>
      </c>
      <c r="K59" s="110">
        <f>IF($B59="","",TONG_HOP_CC!K59)</f>
        <v/>
      </c>
      <c r="L59" s="110">
        <f>IF($B59="","",TONG_HOP_CC!L59)</f>
        <v/>
      </c>
      <c r="M59" s="110">
        <f>IF($B59="","",TONG_HOP_CC!M59)</f>
        <v/>
      </c>
      <c r="N59" s="110">
        <f>IF($B59="","",TONG_HOP_CC!N59)</f>
        <v/>
      </c>
      <c r="P59" s="110">
        <f>IF($B59="","",TONG_HOP_CC!O59)</f>
        <v/>
      </c>
      <c r="Q59" s="110">
        <f>IF($B59="","",TONG_HOP_CC!P59)</f>
        <v/>
      </c>
      <c r="R59" s="110">
        <f>IF($B59="","",TONG_HOP_CC!Q59)</f>
        <v/>
      </c>
      <c r="S59" s="110">
        <f>IF($B59="","",TONG_HOP_CC!R59)</f>
        <v/>
      </c>
      <c r="T59" s="110">
        <f>IF($B59="","",TONG_HOP_CC!S59)</f>
        <v/>
      </c>
      <c r="U59" s="110">
        <f>IF($B59="","",TONG_HOP_CC!T59)</f>
        <v/>
      </c>
      <c r="W59" s="112">
        <f>IF(DM_NHAN_SU!$B59="","",IF(DM_NHAN_SU!$B59="","",DM_NHAN_SU!$B59))</f>
        <v/>
      </c>
      <c r="X59" s="113">
        <f>IF(DM_NHAN_SU!$B59="","",IF(DM_NHAN_SU!$C59="","",DM_NHAN_SU!$C59))</f>
        <v/>
      </c>
      <c r="Y59" s="113">
        <f>IF(DM_NHAN_SU!$B59="","",IF(DM_NHAN_SU!$D59="","",DM_NHAN_SU!$D59))</f>
        <v/>
      </c>
      <c r="Z59" s="113">
        <f>IF(DM_NHAN_SU!$B59="","",IF(DM_NHAN_SU!$E59="","",DM_NHAN_SU!$E59))</f>
        <v/>
      </c>
      <c r="AA59" s="114">
        <f>IF(DM_NHAN_SU!$B59="","",IF(DM_NHAN_SU!$F59="","",DM_NHAN_SU!$F59))</f>
        <v/>
      </c>
      <c r="AB59" s="114">
        <f>IF(DM_NHAN_SU!$B59="","",IF(DM_NHAN_SU!$G59="","",DM_NHAN_SU!$G59))</f>
        <v/>
      </c>
    </row>
    <row r="60" ht="15" customHeight="1" s="63">
      <c r="A60" s="85">
        <f>IF($B60="","",ROW()-5)</f>
        <v/>
      </c>
      <c r="B60" s="103">
        <f>IF(TONG_HOP_CC!B60="","",TONG_HOP_CC!B60)</f>
        <v/>
      </c>
      <c r="C60" s="96">
        <f>IF($B60="","",TONG_HOP_CC!C60)</f>
        <v/>
      </c>
      <c r="E60" s="112">
        <f>IF($B60="","","Tổng hợp")</f>
        <v/>
      </c>
      <c r="F60" s="110">
        <f>IF($B60="","",TONG_HOP_CC!E60)</f>
        <v/>
      </c>
      <c r="G60" s="110">
        <f>IF($B60="","",TONG_HOP_CC!G60)</f>
        <v/>
      </c>
      <c r="H60" s="110">
        <f>IF($B60="","",TONG_HOP_CC!H60)</f>
        <v/>
      </c>
      <c r="I60" s="110">
        <f>IF($B60="","",TONG_HOP_CC!I60)</f>
        <v/>
      </c>
      <c r="J60" s="110">
        <f>IF($B60="","",TONG_HOP_CC!J60)</f>
        <v/>
      </c>
      <c r="K60" s="110">
        <f>IF($B60="","",TONG_HOP_CC!K60)</f>
        <v/>
      </c>
      <c r="L60" s="110">
        <f>IF($B60="","",TONG_HOP_CC!L60)</f>
        <v/>
      </c>
      <c r="M60" s="110">
        <f>IF($B60="","",TONG_HOP_CC!M60)</f>
        <v/>
      </c>
      <c r="N60" s="110">
        <f>IF($B60="","",TONG_HOP_CC!N60)</f>
        <v/>
      </c>
      <c r="P60" s="110">
        <f>IF($B60="","",TONG_HOP_CC!O60)</f>
        <v/>
      </c>
      <c r="Q60" s="110">
        <f>IF($B60="","",TONG_HOP_CC!P60)</f>
        <v/>
      </c>
      <c r="R60" s="110">
        <f>IF($B60="","",TONG_HOP_CC!Q60)</f>
        <v/>
      </c>
      <c r="S60" s="110">
        <f>IF($B60="","",TONG_HOP_CC!R60)</f>
        <v/>
      </c>
      <c r="T60" s="110">
        <f>IF($B60="","",TONG_HOP_CC!S60)</f>
        <v/>
      </c>
      <c r="U60" s="110">
        <f>IF($B60="","",TONG_HOP_CC!T60)</f>
        <v/>
      </c>
      <c r="W60" s="112">
        <f>IF(DM_NHAN_SU!$B60="","",IF(DM_NHAN_SU!$B60="","",DM_NHAN_SU!$B60))</f>
        <v/>
      </c>
      <c r="X60" s="113">
        <f>IF(DM_NHAN_SU!$B60="","",IF(DM_NHAN_SU!$C60="","",DM_NHAN_SU!$C60))</f>
        <v/>
      </c>
      <c r="Y60" s="113">
        <f>IF(DM_NHAN_SU!$B60="","",IF(DM_NHAN_SU!$D60="","",DM_NHAN_SU!$D60))</f>
        <v/>
      </c>
      <c r="Z60" s="113">
        <f>IF(DM_NHAN_SU!$B60="","",IF(DM_NHAN_SU!$E60="","",DM_NHAN_SU!$E60))</f>
        <v/>
      </c>
      <c r="AA60" s="114">
        <f>IF(DM_NHAN_SU!$B60="","",IF(DM_NHAN_SU!$F60="","",DM_NHAN_SU!$F60))</f>
        <v/>
      </c>
      <c r="AB60" s="114">
        <f>IF(DM_NHAN_SU!$B60="","",IF(DM_NHAN_SU!$G60="","",DM_NHAN_SU!$G60))</f>
        <v/>
      </c>
    </row>
    <row r="61" ht="15" customHeight="1" s="63">
      <c r="A61" s="85">
        <f>IF($B61="","",ROW()-5)</f>
        <v/>
      </c>
      <c r="B61" s="103">
        <f>IF(TONG_HOP_CC!B61="","",TONG_HOP_CC!B61)</f>
        <v/>
      </c>
      <c r="C61" s="96">
        <f>IF($B61="","",TONG_HOP_CC!C61)</f>
        <v/>
      </c>
      <c r="E61" s="112">
        <f>IF($B61="","","Tổng hợp")</f>
        <v/>
      </c>
      <c r="F61" s="110">
        <f>IF($B61="","",TONG_HOP_CC!E61)</f>
        <v/>
      </c>
      <c r="G61" s="110">
        <f>IF($B61="","",TONG_HOP_CC!G61)</f>
        <v/>
      </c>
      <c r="H61" s="110">
        <f>IF($B61="","",TONG_HOP_CC!H61)</f>
        <v/>
      </c>
      <c r="I61" s="110">
        <f>IF($B61="","",TONG_HOP_CC!I61)</f>
        <v/>
      </c>
      <c r="J61" s="110">
        <f>IF($B61="","",TONG_HOP_CC!J61)</f>
        <v/>
      </c>
      <c r="K61" s="110">
        <f>IF($B61="","",TONG_HOP_CC!K61)</f>
        <v/>
      </c>
      <c r="L61" s="110">
        <f>IF($B61="","",TONG_HOP_CC!L61)</f>
        <v/>
      </c>
      <c r="M61" s="110">
        <f>IF($B61="","",TONG_HOP_CC!M61)</f>
        <v/>
      </c>
      <c r="N61" s="110">
        <f>IF($B61="","",TONG_HOP_CC!N61)</f>
        <v/>
      </c>
      <c r="P61" s="110">
        <f>IF($B61="","",TONG_HOP_CC!O61)</f>
        <v/>
      </c>
      <c r="Q61" s="110">
        <f>IF($B61="","",TONG_HOP_CC!P61)</f>
        <v/>
      </c>
      <c r="R61" s="110">
        <f>IF($B61="","",TONG_HOP_CC!Q61)</f>
        <v/>
      </c>
      <c r="S61" s="110">
        <f>IF($B61="","",TONG_HOP_CC!R61)</f>
        <v/>
      </c>
      <c r="T61" s="110">
        <f>IF($B61="","",TONG_HOP_CC!S61)</f>
        <v/>
      </c>
      <c r="U61" s="110">
        <f>IF($B61="","",TONG_HOP_CC!T61)</f>
        <v/>
      </c>
      <c r="W61" s="112">
        <f>IF(DM_NHAN_SU!$B61="","",IF(DM_NHAN_SU!$B61="","",DM_NHAN_SU!$B61))</f>
        <v/>
      </c>
      <c r="X61" s="113">
        <f>IF(DM_NHAN_SU!$B61="","",IF(DM_NHAN_SU!$C61="","",DM_NHAN_SU!$C61))</f>
        <v/>
      </c>
      <c r="Y61" s="113">
        <f>IF(DM_NHAN_SU!$B61="","",IF(DM_NHAN_SU!$D61="","",DM_NHAN_SU!$D61))</f>
        <v/>
      </c>
      <c r="Z61" s="113">
        <f>IF(DM_NHAN_SU!$B61="","",IF(DM_NHAN_SU!$E61="","",DM_NHAN_SU!$E61))</f>
        <v/>
      </c>
      <c r="AA61" s="114">
        <f>IF(DM_NHAN_SU!$B61="","",IF(DM_NHAN_SU!$F61="","",DM_NHAN_SU!$F61))</f>
        <v/>
      </c>
      <c r="AB61" s="114">
        <f>IF(DM_NHAN_SU!$B61="","",IF(DM_NHAN_SU!$G61="","",DM_NHAN_SU!$G61))</f>
        <v/>
      </c>
    </row>
    <row r="62" ht="15" customHeight="1" s="63">
      <c r="A62" s="85">
        <f>IF($B62="","",ROW()-5)</f>
        <v/>
      </c>
      <c r="B62" s="103">
        <f>IF(TONG_HOP_CC!B62="","",TONG_HOP_CC!B62)</f>
        <v/>
      </c>
      <c r="C62" s="96">
        <f>IF($B62="","",TONG_HOP_CC!C62)</f>
        <v/>
      </c>
      <c r="E62" s="112">
        <f>IF($B62="","","Tổng hợp")</f>
        <v/>
      </c>
      <c r="F62" s="110">
        <f>IF($B62="","",TONG_HOP_CC!E62)</f>
        <v/>
      </c>
      <c r="G62" s="110">
        <f>IF($B62="","",TONG_HOP_CC!G62)</f>
        <v/>
      </c>
      <c r="H62" s="110">
        <f>IF($B62="","",TONG_HOP_CC!H62)</f>
        <v/>
      </c>
      <c r="I62" s="110">
        <f>IF($B62="","",TONG_HOP_CC!I62)</f>
        <v/>
      </c>
      <c r="J62" s="110">
        <f>IF($B62="","",TONG_HOP_CC!J62)</f>
        <v/>
      </c>
      <c r="K62" s="110">
        <f>IF($B62="","",TONG_HOP_CC!K62)</f>
        <v/>
      </c>
      <c r="L62" s="110">
        <f>IF($B62="","",TONG_HOP_CC!L62)</f>
        <v/>
      </c>
      <c r="M62" s="110">
        <f>IF($B62="","",TONG_HOP_CC!M62)</f>
        <v/>
      </c>
      <c r="N62" s="110">
        <f>IF($B62="","",TONG_HOP_CC!N62)</f>
        <v/>
      </c>
      <c r="P62" s="110">
        <f>IF($B62="","",TONG_HOP_CC!O62)</f>
        <v/>
      </c>
      <c r="Q62" s="110">
        <f>IF($B62="","",TONG_HOP_CC!P62)</f>
        <v/>
      </c>
      <c r="R62" s="110">
        <f>IF($B62="","",TONG_HOP_CC!Q62)</f>
        <v/>
      </c>
      <c r="S62" s="110">
        <f>IF($B62="","",TONG_HOP_CC!R62)</f>
        <v/>
      </c>
      <c r="T62" s="110">
        <f>IF($B62="","",TONG_HOP_CC!S62)</f>
        <v/>
      </c>
      <c r="U62" s="110">
        <f>IF($B62="","",TONG_HOP_CC!T62)</f>
        <v/>
      </c>
      <c r="W62" s="112">
        <f>IF(DM_NHAN_SU!$B62="","",IF(DM_NHAN_SU!$B62="","",DM_NHAN_SU!$B62))</f>
        <v/>
      </c>
      <c r="X62" s="113">
        <f>IF(DM_NHAN_SU!$B62="","",IF(DM_NHAN_SU!$C62="","",DM_NHAN_SU!$C62))</f>
        <v/>
      </c>
      <c r="Y62" s="113">
        <f>IF(DM_NHAN_SU!$B62="","",IF(DM_NHAN_SU!$D62="","",DM_NHAN_SU!$D62))</f>
        <v/>
      </c>
      <c r="Z62" s="113">
        <f>IF(DM_NHAN_SU!$B62="","",IF(DM_NHAN_SU!$E62="","",DM_NHAN_SU!$E62))</f>
        <v/>
      </c>
      <c r="AA62" s="114">
        <f>IF(DM_NHAN_SU!$B62="","",IF(DM_NHAN_SU!$F62="","",DM_NHAN_SU!$F62))</f>
        <v/>
      </c>
      <c r="AB62" s="114">
        <f>IF(DM_NHAN_SU!$B62="","",IF(DM_NHAN_SU!$G62="","",DM_NHAN_SU!$G62))</f>
        <v/>
      </c>
    </row>
    <row r="63" ht="15" customHeight="1" s="63">
      <c r="A63" s="85">
        <f>IF($B63="","",ROW()-5)</f>
        <v/>
      </c>
      <c r="B63" s="103">
        <f>IF(TONG_HOP_CC!B63="","",TONG_HOP_CC!B63)</f>
        <v/>
      </c>
      <c r="C63" s="96">
        <f>IF($B63="","",TONG_HOP_CC!C63)</f>
        <v/>
      </c>
      <c r="E63" s="112">
        <f>IF($B63="","","Tổng hợp")</f>
        <v/>
      </c>
      <c r="F63" s="110">
        <f>IF($B63="","",TONG_HOP_CC!E63)</f>
        <v/>
      </c>
      <c r="G63" s="110">
        <f>IF($B63="","",TONG_HOP_CC!G63)</f>
        <v/>
      </c>
      <c r="H63" s="110">
        <f>IF($B63="","",TONG_HOP_CC!H63)</f>
        <v/>
      </c>
      <c r="I63" s="110">
        <f>IF($B63="","",TONG_HOP_CC!I63)</f>
        <v/>
      </c>
      <c r="J63" s="110">
        <f>IF($B63="","",TONG_HOP_CC!J63)</f>
        <v/>
      </c>
      <c r="K63" s="110">
        <f>IF($B63="","",TONG_HOP_CC!K63)</f>
        <v/>
      </c>
      <c r="L63" s="110">
        <f>IF($B63="","",TONG_HOP_CC!L63)</f>
        <v/>
      </c>
      <c r="M63" s="110">
        <f>IF($B63="","",TONG_HOP_CC!M63)</f>
        <v/>
      </c>
      <c r="N63" s="110">
        <f>IF($B63="","",TONG_HOP_CC!N63)</f>
        <v/>
      </c>
      <c r="P63" s="110">
        <f>IF($B63="","",TONG_HOP_CC!O63)</f>
        <v/>
      </c>
      <c r="Q63" s="110">
        <f>IF($B63="","",TONG_HOP_CC!P63)</f>
        <v/>
      </c>
      <c r="R63" s="110">
        <f>IF($B63="","",TONG_HOP_CC!Q63)</f>
        <v/>
      </c>
      <c r="S63" s="110">
        <f>IF($B63="","",TONG_HOP_CC!R63)</f>
        <v/>
      </c>
      <c r="T63" s="110">
        <f>IF($B63="","",TONG_HOP_CC!S63)</f>
        <v/>
      </c>
      <c r="U63" s="110">
        <f>IF($B63="","",TONG_HOP_CC!T63)</f>
        <v/>
      </c>
      <c r="W63" s="112">
        <f>IF(DM_NHAN_SU!$B63="","",IF(DM_NHAN_SU!$B63="","",DM_NHAN_SU!$B63))</f>
        <v/>
      </c>
      <c r="X63" s="113">
        <f>IF(DM_NHAN_SU!$B63="","",IF(DM_NHAN_SU!$C63="","",DM_NHAN_SU!$C63))</f>
        <v/>
      </c>
      <c r="Y63" s="113">
        <f>IF(DM_NHAN_SU!$B63="","",IF(DM_NHAN_SU!$D63="","",DM_NHAN_SU!$D63))</f>
        <v/>
      </c>
      <c r="Z63" s="113">
        <f>IF(DM_NHAN_SU!$B63="","",IF(DM_NHAN_SU!$E63="","",DM_NHAN_SU!$E63))</f>
        <v/>
      </c>
      <c r="AA63" s="114">
        <f>IF(DM_NHAN_SU!$B63="","",IF(DM_NHAN_SU!$F63="","",DM_NHAN_SU!$F63))</f>
        <v/>
      </c>
      <c r="AB63" s="114">
        <f>IF(DM_NHAN_SU!$B63="","",IF(DM_NHAN_SU!$G63="","",DM_NHAN_SU!$G63))</f>
        <v/>
      </c>
    </row>
    <row r="64" ht="15" customHeight="1" s="63">
      <c r="A64" s="85">
        <f>IF($B64="","",ROW()-5)</f>
        <v/>
      </c>
      <c r="B64" s="103">
        <f>IF(TONG_HOP_CC!B64="","",TONG_HOP_CC!B64)</f>
        <v/>
      </c>
      <c r="C64" s="96">
        <f>IF($B64="","",TONG_HOP_CC!C64)</f>
        <v/>
      </c>
      <c r="E64" s="112">
        <f>IF($B64="","","Tổng hợp")</f>
        <v/>
      </c>
      <c r="F64" s="110">
        <f>IF($B64="","",TONG_HOP_CC!E64)</f>
        <v/>
      </c>
      <c r="G64" s="110">
        <f>IF($B64="","",TONG_HOP_CC!G64)</f>
        <v/>
      </c>
      <c r="H64" s="110">
        <f>IF($B64="","",TONG_HOP_CC!H64)</f>
        <v/>
      </c>
      <c r="I64" s="110">
        <f>IF($B64="","",TONG_HOP_CC!I64)</f>
        <v/>
      </c>
      <c r="J64" s="110">
        <f>IF($B64="","",TONG_HOP_CC!J64)</f>
        <v/>
      </c>
      <c r="K64" s="110">
        <f>IF($B64="","",TONG_HOP_CC!K64)</f>
        <v/>
      </c>
      <c r="L64" s="110">
        <f>IF($B64="","",TONG_HOP_CC!L64)</f>
        <v/>
      </c>
      <c r="M64" s="110">
        <f>IF($B64="","",TONG_HOP_CC!M64)</f>
        <v/>
      </c>
      <c r="N64" s="110">
        <f>IF($B64="","",TONG_HOP_CC!N64)</f>
        <v/>
      </c>
      <c r="P64" s="110">
        <f>IF($B64="","",TONG_HOP_CC!O64)</f>
        <v/>
      </c>
      <c r="Q64" s="110">
        <f>IF($B64="","",TONG_HOP_CC!P64)</f>
        <v/>
      </c>
      <c r="R64" s="110">
        <f>IF($B64="","",TONG_HOP_CC!Q64)</f>
        <v/>
      </c>
      <c r="S64" s="110">
        <f>IF($B64="","",TONG_HOP_CC!R64)</f>
        <v/>
      </c>
      <c r="T64" s="110">
        <f>IF($B64="","",TONG_HOP_CC!S64)</f>
        <v/>
      </c>
      <c r="U64" s="110">
        <f>IF($B64="","",TONG_HOP_CC!T64)</f>
        <v/>
      </c>
      <c r="W64" s="112">
        <f>IF(DM_NHAN_SU!$B64="","",IF(DM_NHAN_SU!$B64="","",DM_NHAN_SU!$B64))</f>
        <v/>
      </c>
      <c r="X64" s="113">
        <f>IF(DM_NHAN_SU!$B64="","",IF(DM_NHAN_SU!$C64="","",DM_NHAN_SU!$C64))</f>
        <v/>
      </c>
      <c r="Y64" s="113">
        <f>IF(DM_NHAN_SU!$B64="","",IF(DM_NHAN_SU!$D64="","",DM_NHAN_SU!$D64))</f>
        <v/>
      </c>
      <c r="Z64" s="113">
        <f>IF(DM_NHAN_SU!$B64="","",IF(DM_NHAN_SU!$E64="","",DM_NHAN_SU!$E64))</f>
        <v/>
      </c>
      <c r="AA64" s="114">
        <f>IF(DM_NHAN_SU!$B64="","",IF(DM_NHAN_SU!$F64="","",DM_NHAN_SU!$F64))</f>
        <v/>
      </c>
      <c r="AB64" s="114">
        <f>IF(DM_NHAN_SU!$B64="","",IF(DM_NHAN_SU!$G64="","",DM_NHAN_SU!$G64))</f>
        <v/>
      </c>
    </row>
    <row r="65" ht="15" customHeight="1" s="63">
      <c r="A65" s="85">
        <f>IF($B65="","",ROW()-5)</f>
        <v/>
      </c>
      <c r="B65" s="103">
        <f>IF(TONG_HOP_CC!B65="","",TONG_HOP_CC!B65)</f>
        <v/>
      </c>
      <c r="C65" s="96">
        <f>IF($B65="","",TONG_HOP_CC!C65)</f>
        <v/>
      </c>
      <c r="E65" s="112">
        <f>IF($B65="","","Tổng hợp")</f>
        <v/>
      </c>
      <c r="F65" s="110">
        <f>IF($B65="","",TONG_HOP_CC!E65)</f>
        <v/>
      </c>
      <c r="G65" s="110">
        <f>IF($B65="","",TONG_HOP_CC!G65)</f>
        <v/>
      </c>
      <c r="H65" s="110">
        <f>IF($B65="","",TONG_HOP_CC!H65)</f>
        <v/>
      </c>
      <c r="I65" s="110">
        <f>IF($B65="","",TONG_HOP_CC!I65)</f>
        <v/>
      </c>
      <c r="J65" s="110">
        <f>IF($B65="","",TONG_HOP_CC!J65)</f>
        <v/>
      </c>
      <c r="K65" s="110">
        <f>IF($B65="","",TONG_HOP_CC!K65)</f>
        <v/>
      </c>
      <c r="L65" s="110">
        <f>IF($B65="","",TONG_HOP_CC!L65)</f>
        <v/>
      </c>
      <c r="M65" s="110">
        <f>IF($B65="","",TONG_HOP_CC!M65)</f>
        <v/>
      </c>
      <c r="N65" s="110">
        <f>IF($B65="","",TONG_HOP_CC!N65)</f>
        <v/>
      </c>
      <c r="P65" s="110">
        <f>IF($B65="","",TONG_HOP_CC!O65)</f>
        <v/>
      </c>
      <c r="Q65" s="110">
        <f>IF($B65="","",TONG_HOP_CC!P65)</f>
        <v/>
      </c>
      <c r="R65" s="110">
        <f>IF($B65="","",TONG_HOP_CC!Q65)</f>
        <v/>
      </c>
      <c r="S65" s="110">
        <f>IF($B65="","",TONG_HOP_CC!R65)</f>
        <v/>
      </c>
      <c r="T65" s="110">
        <f>IF($B65="","",TONG_HOP_CC!S65)</f>
        <v/>
      </c>
      <c r="U65" s="110">
        <f>IF($B65="","",TONG_HOP_CC!T65)</f>
        <v/>
      </c>
      <c r="W65" s="112">
        <f>IF(DM_NHAN_SU!$B65="","",IF(DM_NHAN_SU!$B65="","",DM_NHAN_SU!$B65))</f>
        <v/>
      </c>
      <c r="X65" s="113">
        <f>IF(DM_NHAN_SU!$B65="","",IF(DM_NHAN_SU!$C65="","",DM_NHAN_SU!$C65))</f>
        <v/>
      </c>
      <c r="Y65" s="113">
        <f>IF(DM_NHAN_SU!$B65="","",IF(DM_NHAN_SU!$D65="","",DM_NHAN_SU!$D65))</f>
        <v/>
      </c>
      <c r="Z65" s="113">
        <f>IF(DM_NHAN_SU!$B65="","",IF(DM_NHAN_SU!$E65="","",DM_NHAN_SU!$E65))</f>
        <v/>
      </c>
      <c r="AA65" s="114">
        <f>IF(DM_NHAN_SU!$B65="","",IF(DM_NHAN_SU!$F65="","",DM_NHAN_SU!$F65))</f>
        <v/>
      </c>
      <c r="AB65" s="114">
        <f>IF(DM_NHAN_SU!$B65="","",IF(DM_NHAN_SU!$G65="","",DM_NHAN_SU!$G65))</f>
        <v/>
      </c>
    </row>
    <row r="66" ht="15" customHeight="1" s="63">
      <c r="A66" s="85">
        <f>IF($B66="","",ROW()-5)</f>
        <v/>
      </c>
      <c r="B66" s="103">
        <f>IF(TONG_HOP_CC!B66="","",TONG_HOP_CC!B66)</f>
        <v/>
      </c>
      <c r="C66" s="96">
        <f>IF($B66="","",TONG_HOP_CC!C66)</f>
        <v/>
      </c>
      <c r="E66" s="112">
        <f>IF($B66="","","Tổng hợp")</f>
        <v/>
      </c>
      <c r="F66" s="110">
        <f>IF($B66="","",TONG_HOP_CC!E66)</f>
        <v/>
      </c>
      <c r="G66" s="110">
        <f>IF($B66="","",TONG_HOP_CC!G66)</f>
        <v/>
      </c>
      <c r="H66" s="110">
        <f>IF($B66="","",TONG_HOP_CC!H66)</f>
        <v/>
      </c>
      <c r="I66" s="110">
        <f>IF($B66="","",TONG_HOP_CC!I66)</f>
        <v/>
      </c>
      <c r="J66" s="110">
        <f>IF($B66="","",TONG_HOP_CC!J66)</f>
        <v/>
      </c>
      <c r="K66" s="110">
        <f>IF($B66="","",TONG_HOP_CC!K66)</f>
        <v/>
      </c>
      <c r="L66" s="110">
        <f>IF($B66="","",TONG_HOP_CC!L66)</f>
        <v/>
      </c>
      <c r="M66" s="110">
        <f>IF($B66="","",TONG_HOP_CC!M66)</f>
        <v/>
      </c>
      <c r="N66" s="110">
        <f>IF($B66="","",TONG_HOP_CC!N66)</f>
        <v/>
      </c>
      <c r="P66" s="110">
        <f>IF($B66="","",TONG_HOP_CC!O66)</f>
        <v/>
      </c>
      <c r="Q66" s="110">
        <f>IF($B66="","",TONG_HOP_CC!P66)</f>
        <v/>
      </c>
      <c r="R66" s="110">
        <f>IF($B66="","",TONG_HOP_CC!Q66)</f>
        <v/>
      </c>
      <c r="S66" s="110">
        <f>IF($B66="","",TONG_HOP_CC!R66)</f>
        <v/>
      </c>
      <c r="T66" s="110">
        <f>IF($B66="","",TONG_HOP_CC!S66)</f>
        <v/>
      </c>
      <c r="U66" s="110">
        <f>IF($B66="","",TONG_HOP_CC!T66)</f>
        <v/>
      </c>
      <c r="W66" s="112">
        <f>IF(DM_NHAN_SU!$B66="","",IF(DM_NHAN_SU!$B66="","",DM_NHAN_SU!$B66))</f>
        <v/>
      </c>
      <c r="X66" s="113">
        <f>IF(DM_NHAN_SU!$B66="","",IF(DM_NHAN_SU!$C66="","",DM_NHAN_SU!$C66))</f>
        <v/>
      </c>
      <c r="Y66" s="113">
        <f>IF(DM_NHAN_SU!$B66="","",IF(DM_NHAN_SU!$D66="","",DM_NHAN_SU!$D66))</f>
        <v/>
      </c>
      <c r="Z66" s="113">
        <f>IF(DM_NHAN_SU!$B66="","",IF(DM_NHAN_SU!$E66="","",DM_NHAN_SU!$E66))</f>
        <v/>
      </c>
      <c r="AA66" s="114">
        <f>IF(DM_NHAN_SU!$B66="","",IF(DM_NHAN_SU!$F66="","",DM_NHAN_SU!$F66))</f>
        <v/>
      </c>
      <c r="AB66" s="114">
        <f>IF(DM_NHAN_SU!$B66="","",IF(DM_NHAN_SU!$G66="","",DM_NHAN_SU!$G66))</f>
        <v/>
      </c>
    </row>
    <row r="67" ht="15" customHeight="1" s="63">
      <c r="A67" s="85">
        <f>IF($B67="","",ROW()-5)</f>
        <v/>
      </c>
      <c r="B67" s="103">
        <f>IF(TONG_HOP_CC!B67="","",TONG_HOP_CC!B67)</f>
        <v/>
      </c>
      <c r="C67" s="96">
        <f>IF($B67="","",TONG_HOP_CC!C67)</f>
        <v/>
      </c>
      <c r="E67" s="112">
        <f>IF($B67="","","Tổng hợp")</f>
        <v/>
      </c>
      <c r="F67" s="110">
        <f>IF($B67="","",TONG_HOP_CC!E67)</f>
        <v/>
      </c>
      <c r="G67" s="110">
        <f>IF($B67="","",TONG_HOP_CC!G67)</f>
        <v/>
      </c>
      <c r="H67" s="110">
        <f>IF($B67="","",TONG_HOP_CC!H67)</f>
        <v/>
      </c>
      <c r="I67" s="110">
        <f>IF($B67="","",TONG_HOP_CC!I67)</f>
        <v/>
      </c>
      <c r="J67" s="110">
        <f>IF($B67="","",TONG_HOP_CC!J67)</f>
        <v/>
      </c>
      <c r="K67" s="110">
        <f>IF($B67="","",TONG_HOP_CC!K67)</f>
        <v/>
      </c>
      <c r="L67" s="110">
        <f>IF($B67="","",TONG_HOP_CC!L67)</f>
        <v/>
      </c>
      <c r="M67" s="110">
        <f>IF($B67="","",TONG_HOP_CC!M67)</f>
        <v/>
      </c>
      <c r="N67" s="110">
        <f>IF($B67="","",TONG_HOP_CC!N67)</f>
        <v/>
      </c>
      <c r="P67" s="110">
        <f>IF($B67="","",TONG_HOP_CC!O67)</f>
        <v/>
      </c>
      <c r="Q67" s="110">
        <f>IF($B67="","",TONG_HOP_CC!P67)</f>
        <v/>
      </c>
      <c r="R67" s="110">
        <f>IF($B67="","",TONG_HOP_CC!Q67)</f>
        <v/>
      </c>
      <c r="S67" s="110">
        <f>IF($B67="","",TONG_HOP_CC!R67)</f>
        <v/>
      </c>
      <c r="T67" s="110">
        <f>IF($B67="","",TONG_HOP_CC!S67)</f>
        <v/>
      </c>
      <c r="U67" s="110">
        <f>IF($B67="","",TONG_HOP_CC!T67)</f>
        <v/>
      </c>
      <c r="W67" s="112">
        <f>IF(DM_NHAN_SU!$B67="","",IF(DM_NHAN_SU!$B67="","",DM_NHAN_SU!$B67))</f>
        <v/>
      </c>
      <c r="X67" s="113">
        <f>IF(DM_NHAN_SU!$B67="","",IF(DM_NHAN_SU!$C67="","",DM_NHAN_SU!$C67))</f>
        <v/>
      </c>
      <c r="Y67" s="113">
        <f>IF(DM_NHAN_SU!$B67="","",IF(DM_NHAN_SU!$D67="","",DM_NHAN_SU!$D67))</f>
        <v/>
      </c>
      <c r="Z67" s="113">
        <f>IF(DM_NHAN_SU!$B67="","",IF(DM_NHAN_SU!$E67="","",DM_NHAN_SU!$E67))</f>
        <v/>
      </c>
      <c r="AA67" s="114">
        <f>IF(DM_NHAN_SU!$B67="","",IF(DM_NHAN_SU!$F67="","",DM_NHAN_SU!$F67))</f>
        <v/>
      </c>
      <c r="AB67" s="114">
        <f>IF(DM_NHAN_SU!$B67="","",IF(DM_NHAN_SU!$G67="","",DM_NHAN_SU!$G67))</f>
        <v/>
      </c>
    </row>
    <row r="68" ht="15" customHeight="1" s="63">
      <c r="A68" s="85">
        <f>IF($B68="","",ROW()-5)</f>
        <v/>
      </c>
      <c r="B68" s="103">
        <f>IF(TONG_HOP_CC!B68="","",TONG_HOP_CC!B68)</f>
        <v/>
      </c>
      <c r="C68" s="96">
        <f>IF($B68="","",TONG_HOP_CC!C68)</f>
        <v/>
      </c>
      <c r="E68" s="112">
        <f>IF($B68="","","Tổng hợp")</f>
        <v/>
      </c>
      <c r="F68" s="110">
        <f>IF($B68="","",TONG_HOP_CC!E68)</f>
        <v/>
      </c>
      <c r="G68" s="110">
        <f>IF($B68="","",TONG_HOP_CC!G68)</f>
        <v/>
      </c>
      <c r="H68" s="110">
        <f>IF($B68="","",TONG_HOP_CC!H68)</f>
        <v/>
      </c>
      <c r="I68" s="110">
        <f>IF($B68="","",TONG_HOP_CC!I68)</f>
        <v/>
      </c>
      <c r="J68" s="110">
        <f>IF($B68="","",TONG_HOP_CC!J68)</f>
        <v/>
      </c>
      <c r="K68" s="110">
        <f>IF($B68="","",TONG_HOP_CC!K68)</f>
        <v/>
      </c>
      <c r="L68" s="110">
        <f>IF($B68="","",TONG_HOP_CC!L68)</f>
        <v/>
      </c>
      <c r="M68" s="110">
        <f>IF($B68="","",TONG_HOP_CC!M68)</f>
        <v/>
      </c>
      <c r="N68" s="110">
        <f>IF($B68="","",TONG_HOP_CC!N68)</f>
        <v/>
      </c>
      <c r="P68" s="110">
        <f>IF($B68="","",TONG_HOP_CC!O68)</f>
        <v/>
      </c>
      <c r="Q68" s="110">
        <f>IF($B68="","",TONG_HOP_CC!P68)</f>
        <v/>
      </c>
      <c r="R68" s="110">
        <f>IF($B68="","",TONG_HOP_CC!Q68)</f>
        <v/>
      </c>
      <c r="S68" s="110">
        <f>IF($B68="","",TONG_HOP_CC!R68)</f>
        <v/>
      </c>
      <c r="T68" s="110">
        <f>IF($B68="","",TONG_HOP_CC!S68)</f>
        <v/>
      </c>
      <c r="U68" s="110">
        <f>IF($B68="","",TONG_HOP_CC!T68)</f>
        <v/>
      </c>
      <c r="W68" s="112">
        <f>IF(DM_NHAN_SU!$B68="","",IF(DM_NHAN_SU!$B68="","",DM_NHAN_SU!$B68))</f>
        <v/>
      </c>
      <c r="X68" s="113">
        <f>IF(DM_NHAN_SU!$B68="","",IF(DM_NHAN_SU!$C68="","",DM_NHAN_SU!$C68))</f>
        <v/>
      </c>
      <c r="Y68" s="113">
        <f>IF(DM_NHAN_SU!$B68="","",IF(DM_NHAN_SU!$D68="","",DM_NHAN_SU!$D68))</f>
        <v/>
      </c>
      <c r="Z68" s="113">
        <f>IF(DM_NHAN_SU!$B68="","",IF(DM_NHAN_SU!$E68="","",DM_NHAN_SU!$E68))</f>
        <v/>
      </c>
      <c r="AA68" s="114">
        <f>IF(DM_NHAN_SU!$B68="","",IF(DM_NHAN_SU!$F68="","",DM_NHAN_SU!$F68))</f>
        <v/>
      </c>
      <c r="AB68" s="114">
        <f>IF(DM_NHAN_SU!$B68="","",IF(DM_NHAN_SU!$G68="","",DM_NHAN_SU!$G68))</f>
        <v/>
      </c>
    </row>
    <row r="69" ht="15" customHeight="1" s="63">
      <c r="A69" s="85">
        <f>IF($B69="","",ROW()-5)</f>
        <v/>
      </c>
      <c r="B69" s="103">
        <f>IF(TONG_HOP_CC!B69="","",TONG_HOP_CC!B69)</f>
        <v/>
      </c>
      <c r="C69" s="96">
        <f>IF($B69="","",TONG_HOP_CC!C69)</f>
        <v/>
      </c>
      <c r="E69" s="112">
        <f>IF($B69="","","Tổng hợp")</f>
        <v/>
      </c>
      <c r="F69" s="110">
        <f>IF($B69="","",TONG_HOP_CC!E69)</f>
        <v/>
      </c>
      <c r="G69" s="110">
        <f>IF($B69="","",TONG_HOP_CC!G69)</f>
        <v/>
      </c>
      <c r="H69" s="110">
        <f>IF($B69="","",TONG_HOP_CC!H69)</f>
        <v/>
      </c>
      <c r="I69" s="110">
        <f>IF($B69="","",TONG_HOP_CC!I69)</f>
        <v/>
      </c>
      <c r="J69" s="110">
        <f>IF($B69="","",TONG_HOP_CC!J69)</f>
        <v/>
      </c>
      <c r="K69" s="110">
        <f>IF($B69="","",TONG_HOP_CC!K69)</f>
        <v/>
      </c>
      <c r="L69" s="110">
        <f>IF($B69="","",TONG_HOP_CC!L69)</f>
        <v/>
      </c>
      <c r="M69" s="110">
        <f>IF($B69="","",TONG_HOP_CC!M69)</f>
        <v/>
      </c>
      <c r="N69" s="110">
        <f>IF($B69="","",TONG_HOP_CC!N69)</f>
        <v/>
      </c>
      <c r="P69" s="110">
        <f>IF($B69="","",TONG_HOP_CC!O69)</f>
        <v/>
      </c>
      <c r="Q69" s="110">
        <f>IF($B69="","",TONG_HOP_CC!P69)</f>
        <v/>
      </c>
      <c r="R69" s="110">
        <f>IF($B69="","",TONG_HOP_CC!Q69)</f>
        <v/>
      </c>
      <c r="S69" s="110">
        <f>IF($B69="","",TONG_HOP_CC!R69)</f>
        <v/>
      </c>
      <c r="T69" s="110">
        <f>IF($B69="","",TONG_HOP_CC!S69)</f>
        <v/>
      </c>
      <c r="U69" s="110">
        <f>IF($B69="","",TONG_HOP_CC!T69)</f>
        <v/>
      </c>
      <c r="W69" s="112">
        <f>IF(DM_NHAN_SU!$B69="","",IF(DM_NHAN_SU!$B69="","",DM_NHAN_SU!$B69))</f>
        <v/>
      </c>
      <c r="X69" s="113">
        <f>IF(DM_NHAN_SU!$B69="","",IF(DM_NHAN_SU!$C69="","",DM_NHAN_SU!$C69))</f>
        <v/>
      </c>
      <c r="Y69" s="113">
        <f>IF(DM_NHAN_SU!$B69="","",IF(DM_NHAN_SU!$D69="","",DM_NHAN_SU!$D69))</f>
        <v/>
      </c>
      <c r="Z69" s="113">
        <f>IF(DM_NHAN_SU!$B69="","",IF(DM_NHAN_SU!$E69="","",DM_NHAN_SU!$E69))</f>
        <v/>
      </c>
      <c r="AA69" s="114">
        <f>IF(DM_NHAN_SU!$B69="","",IF(DM_NHAN_SU!$F69="","",DM_NHAN_SU!$F69))</f>
        <v/>
      </c>
      <c r="AB69" s="114">
        <f>IF(DM_NHAN_SU!$B69="","",IF(DM_NHAN_SU!$G69="","",DM_NHAN_SU!$G69))</f>
        <v/>
      </c>
    </row>
    <row r="70" ht="15" customHeight="1" s="63">
      <c r="A70" s="85">
        <f>IF($B70="","",ROW()-5)</f>
        <v/>
      </c>
      <c r="B70" s="103">
        <f>IF(TONG_HOP_CC!B70="","",TONG_HOP_CC!B70)</f>
        <v/>
      </c>
      <c r="C70" s="96">
        <f>IF($B70="","",TONG_HOP_CC!C70)</f>
        <v/>
      </c>
      <c r="E70" s="112">
        <f>IF($B70="","","Tổng hợp")</f>
        <v/>
      </c>
      <c r="F70" s="110">
        <f>IF($B70="","",TONG_HOP_CC!E70)</f>
        <v/>
      </c>
      <c r="G70" s="110">
        <f>IF($B70="","",TONG_HOP_CC!G70)</f>
        <v/>
      </c>
      <c r="H70" s="110">
        <f>IF($B70="","",TONG_HOP_CC!H70)</f>
        <v/>
      </c>
      <c r="I70" s="110">
        <f>IF($B70="","",TONG_HOP_CC!I70)</f>
        <v/>
      </c>
      <c r="J70" s="110">
        <f>IF($B70="","",TONG_HOP_CC!J70)</f>
        <v/>
      </c>
      <c r="K70" s="110">
        <f>IF($B70="","",TONG_HOP_CC!K70)</f>
        <v/>
      </c>
      <c r="L70" s="110">
        <f>IF($B70="","",TONG_HOP_CC!L70)</f>
        <v/>
      </c>
      <c r="M70" s="110">
        <f>IF($B70="","",TONG_HOP_CC!M70)</f>
        <v/>
      </c>
      <c r="N70" s="110">
        <f>IF($B70="","",TONG_HOP_CC!N70)</f>
        <v/>
      </c>
      <c r="P70" s="110">
        <f>IF($B70="","",TONG_HOP_CC!O70)</f>
        <v/>
      </c>
      <c r="Q70" s="110">
        <f>IF($B70="","",TONG_HOP_CC!P70)</f>
        <v/>
      </c>
      <c r="R70" s="110">
        <f>IF($B70="","",TONG_HOP_CC!Q70)</f>
        <v/>
      </c>
      <c r="S70" s="110">
        <f>IF($B70="","",TONG_HOP_CC!R70)</f>
        <v/>
      </c>
      <c r="T70" s="110">
        <f>IF($B70="","",TONG_HOP_CC!S70)</f>
        <v/>
      </c>
      <c r="U70" s="110">
        <f>IF($B70="","",TONG_HOP_CC!T70)</f>
        <v/>
      </c>
      <c r="W70" s="112">
        <f>IF(DM_NHAN_SU!$B70="","",IF(DM_NHAN_SU!$B70="","",DM_NHAN_SU!$B70))</f>
        <v/>
      </c>
      <c r="X70" s="113">
        <f>IF(DM_NHAN_SU!$B70="","",IF(DM_NHAN_SU!$C70="","",DM_NHAN_SU!$C70))</f>
        <v/>
      </c>
      <c r="Y70" s="113">
        <f>IF(DM_NHAN_SU!$B70="","",IF(DM_NHAN_SU!$D70="","",DM_NHAN_SU!$D70))</f>
        <v/>
      </c>
      <c r="Z70" s="113">
        <f>IF(DM_NHAN_SU!$B70="","",IF(DM_NHAN_SU!$E70="","",DM_NHAN_SU!$E70))</f>
        <v/>
      </c>
      <c r="AA70" s="114">
        <f>IF(DM_NHAN_SU!$B70="","",IF(DM_NHAN_SU!$F70="","",DM_NHAN_SU!$F70))</f>
        <v/>
      </c>
      <c r="AB70" s="114">
        <f>IF(DM_NHAN_SU!$B70="","",IF(DM_NHAN_SU!$G70="","",DM_NHAN_SU!$G70))</f>
        <v/>
      </c>
    </row>
    <row r="71" ht="15" customHeight="1" s="63">
      <c r="A71" s="85">
        <f>IF($B71="","",ROW()-5)</f>
        <v/>
      </c>
      <c r="B71" s="103">
        <f>IF(TONG_HOP_CC!B71="","",TONG_HOP_CC!B71)</f>
        <v/>
      </c>
      <c r="C71" s="96">
        <f>IF($B71="","",TONG_HOP_CC!C71)</f>
        <v/>
      </c>
      <c r="E71" s="112">
        <f>IF($B71="","","Tổng hợp")</f>
        <v/>
      </c>
      <c r="F71" s="110">
        <f>IF($B71="","",TONG_HOP_CC!E71)</f>
        <v/>
      </c>
      <c r="G71" s="110">
        <f>IF($B71="","",TONG_HOP_CC!G71)</f>
        <v/>
      </c>
      <c r="H71" s="110">
        <f>IF($B71="","",TONG_HOP_CC!H71)</f>
        <v/>
      </c>
      <c r="I71" s="110">
        <f>IF($B71="","",TONG_HOP_CC!I71)</f>
        <v/>
      </c>
      <c r="J71" s="110">
        <f>IF($B71="","",TONG_HOP_CC!J71)</f>
        <v/>
      </c>
      <c r="K71" s="110">
        <f>IF($B71="","",TONG_HOP_CC!K71)</f>
        <v/>
      </c>
      <c r="L71" s="110">
        <f>IF($B71="","",TONG_HOP_CC!L71)</f>
        <v/>
      </c>
      <c r="M71" s="110">
        <f>IF($B71="","",TONG_HOP_CC!M71)</f>
        <v/>
      </c>
      <c r="N71" s="110">
        <f>IF($B71="","",TONG_HOP_CC!N71)</f>
        <v/>
      </c>
      <c r="P71" s="110">
        <f>IF($B71="","",TONG_HOP_CC!O71)</f>
        <v/>
      </c>
      <c r="Q71" s="110">
        <f>IF($B71="","",TONG_HOP_CC!P71)</f>
        <v/>
      </c>
      <c r="R71" s="110">
        <f>IF($B71="","",TONG_HOP_CC!Q71)</f>
        <v/>
      </c>
      <c r="S71" s="110">
        <f>IF($B71="","",TONG_HOP_CC!R71)</f>
        <v/>
      </c>
      <c r="T71" s="110">
        <f>IF($B71="","",TONG_HOP_CC!S71)</f>
        <v/>
      </c>
      <c r="U71" s="110">
        <f>IF($B71="","",TONG_HOP_CC!T71)</f>
        <v/>
      </c>
      <c r="W71" s="112">
        <f>IF(DM_NHAN_SU!$B71="","",IF(DM_NHAN_SU!$B71="","",DM_NHAN_SU!$B71))</f>
        <v/>
      </c>
      <c r="X71" s="113">
        <f>IF(DM_NHAN_SU!$B71="","",IF(DM_NHAN_SU!$C71="","",DM_NHAN_SU!$C71))</f>
        <v/>
      </c>
      <c r="Y71" s="113">
        <f>IF(DM_NHAN_SU!$B71="","",IF(DM_NHAN_SU!$D71="","",DM_NHAN_SU!$D71))</f>
        <v/>
      </c>
      <c r="Z71" s="113">
        <f>IF(DM_NHAN_SU!$B71="","",IF(DM_NHAN_SU!$E71="","",DM_NHAN_SU!$E71))</f>
        <v/>
      </c>
      <c r="AA71" s="114">
        <f>IF(DM_NHAN_SU!$B71="","",IF(DM_NHAN_SU!$F71="","",DM_NHAN_SU!$F71))</f>
        <v/>
      </c>
      <c r="AB71" s="114">
        <f>IF(DM_NHAN_SU!$B71="","",IF(DM_NHAN_SU!$G71="","",DM_NHAN_SU!$G71))</f>
        <v/>
      </c>
    </row>
    <row r="72" ht="15" customHeight="1" s="63">
      <c r="A72" s="85">
        <f>IF($B72="","",ROW()-5)</f>
        <v/>
      </c>
      <c r="B72" s="103">
        <f>IF(TONG_HOP_CC!B72="","",TONG_HOP_CC!B72)</f>
        <v/>
      </c>
      <c r="C72" s="96">
        <f>IF($B72="","",TONG_HOP_CC!C72)</f>
        <v/>
      </c>
      <c r="E72" s="112">
        <f>IF($B72="","","Tổng hợp")</f>
        <v/>
      </c>
      <c r="F72" s="110">
        <f>IF($B72="","",TONG_HOP_CC!E72)</f>
        <v/>
      </c>
      <c r="G72" s="110">
        <f>IF($B72="","",TONG_HOP_CC!G72)</f>
        <v/>
      </c>
      <c r="H72" s="110">
        <f>IF($B72="","",TONG_HOP_CC!H72)</f>
        <v/>
      </c>
      <c r="I72" s="110">
        <f>IF($B72="","",TONG_HOP_CC!I72)</f>
        <v/>
      </c>
      <c r="J72" s="110">
        <f>IF($B72="","",TONG_HOP_CC!J72)</f>
        <v/>
      </c>
      <c r="K72" s="110">
        <f>IF($B72="","",TONG_HOP_CC!K72)</f>
        <v/>
      </c>
      <c r="L72" s="110">
        <f>IF($B72="","",TONG_HOP_CC!L72)</f>
        <v/>
      </c>
      <c r="M72" s="110">
        <f>IF($B72="","",TONG_HOP_CC!M72)</f>
        <v/>
      </c>
      <c r="N72" s="110">
        <f>IF($B72="","",TONG_HOP_CC!N72)</f>
        <v/>
      </c>
      <c r="P72" s="110">
        <f>IF($B72="","",TONG_HOP_CC!O72)</f>
        <v/>
      </c>
      <c r="Q72" s="110">
        <f>IF($B72="","",TONG_HOP_CC!P72)</f>
        <v/>
      </c>
      <c r="R72" s="110">
        <f>IF($B72="","",TONG_HOP_CC!Q72)</f>
        <v/>
      </c>
      <c r="S72" s="110">
        <f>IF($B72="","",TONG_HOP_CC!R72)</f>
        <v/>
      </c>
      <c r="T72" s="110">
        <f>IF($B72="","",TONG_HOP_CC!S72)</f>
        <v/>
      </c>
      <c r="U72" s="110">
        <f>IF($B72="","",TONG_HOP_CC!T72)</f>
        <v/>
      </c>
      <c r="W72" s="112">
        <f>IF(DM_NHAN_SU!$B72="","",IF(DM_NHAN_SU!$B72="","",DM_NHAN_SU!$B72))</f>
        <v/>
      </c>
      <c r="X72" s="113">
        <f>IF(DM_NHAN_SU!$B72="","",IF(DM_NHAN_SU!$C72="","",DM_NHAN_SU!$C72))</f>
        <v/>
      </c>
      <c r="Y72" s="113">
        <f>IF(DM_NHAN_SU!$B72="","",IF(DM_NHAN_SU!$D72="","",DM_NHAN_SU!$D72))</f>
        <v/>
      </c>
      <c r="Z72" s="113">
        <f>IF(DM_NHAN_SU!$B72="","",IF(DM_NHAN_SU!$E72="","",DM_NHAN_SU!$E72))</f>
        <v/>
      </c>
      <c r="AA72" s="114">
        <f>IF(DM_NHAN_SU!$B72="","",IF(DM_NHAN_SU!$F72="","",DM_NHAN_SU!$F72))</f>
        <v/>
      </c>
      <c r="AB72" s="114">
        <f>IF(DM_NHAN_SU!$B72="","",IF(DM_NHAN_SU!$G72="","",DM_NHAN_SU!$G72))</f>
        <v/>
      </c>
    </row>
    <row r="73" ht="15" customHeight="1" s="63">
      <c r="A73" s="85">
        <f>IF($B73="","",ROW()-5)</f>
        <v/>
      </c>
      <c r="B73" s="103">
        <f>IF(TONG_HOP_CC!B73="","",TONG_HOP_CC!B73)</f>
        <v/>
      </c>
      <c r="C73" s="96">
        <f>IF($B73="","",TONG_HOP_CC!C73)</f>
        <v/>
      </c>
      <c r="E73" s="112">
        <f>IF($B73="","","Tổng hợp")</f>
        <v/>
      </c>
      <c r="F73" s="110">
        <f>IF($B73="","",TONG_HOP_CC!E73)</f>
        <v/>
      </c>
      <c r="G73" s="110">
        <f>IF($B73="","",TONG_HOP_CC!G73)</f>
        <v/>
      </c>
      <c r="H73" s="110">
        <f>IF($B73="","",TONG_HOP_CC!H73)</f>
        <v/>
      </c>
      <c r="I73" s="110">
        <f>IF($B73="","",TONG_HOP_CC!I73)</f>
        <v/>
      </c>
      <c r="J73" s="110">
        <f>IF($B73="","",TONG_HOP_CC!J73)</f>
        <v/>
      </c>
      <c r="K73" s="110">
        <f>IF($B73="","",TONG_HOP_CC!K73)</f>
        <v/>
      </c>
      <c r="L73" s="110">
        <f>IF($B73="","",TONG_HOP_CC!L73)</f>
        <v/>
      </c>
      <c r="M73" s="110">
        <f>IF($B73="","",TONG_HOP_CC!M73)</f>
        <v/>
      </c>
      <c r="N73" s="110">
        <f>IF($B73="","",TONG_HOP_CC!N73)</f>
        <v/>
      </c>
      <c r="P73" s="110">
        <f>IF($B73="","",TONG_HOP_CC!O73)</f>
        <v/>
      </c>
      <c r="Q73" s="110">
        <f>IF($B73="","",TONG_HOP_CC!P73)</f>
        <v/>
      </c>
      <c r="R73" s="110">
        <f>IF($B73="","",TONG_HOP_CC!Q73)</f>
        <v/>
      </c>
      <c r="S73" s="110">
        <f>IF($B73="","",TONG_HOP_CC!R73)</f>
        <v/>
      </c>
      <c r="T73" s="110">
        <f>IF($B73="","",TONG_HOP_CC!S73)</f>
        <v/>
      </c>
      <c r="U73" s="110">
        <f>IF($B73="","",TONG_HOP_CC!T73)</f>
        <v/>
      </c>
      <c r="W73" s="112">
        <f>IF(DM_NHAN_SU!$B73="","",IF(DM_NHAN_SU!$B73="","",DM_NHAN_SU!$B73))</f>
        <v/>
      </c>
      <c r="X73" s="113">
        <f>IF(DM_NHAN_SU!$B73="","",IF(DM_NHAN_SU!$C73="","",DM_NHAN_SU!$C73))</f>
        <v/>
      </c>
      <c r="Y73" s="113">
        <f>IF(DM_NHAN_SU!$B73="","",IF(DM_NHAN_SU!$D73="","",DM_NHAN_SU!$D73))</f>
        <v/>
      </c>
      <c r="Z73" s="113">
        <f>IF(DM_NHAN_SU!$B73="","",IF(DM_NHAN_SU!$E73="","",DM_NHAN_SU!$E73))</f>
        <v/>
      </c>
      <c r="AA73" s="114">
        <f>IF(DM_NHAN_SU!$B73="","",IF(DM_NHAN_SU!$F73="","",DM_NHAN_SU!$F73))</f>
        <v/>
      </c>
      <c r="AB73" s="114">
        <f>IF(DM_NHAN_SU!$B73="","",IF(DM_NHAN_SU!$G73="","",DM_NHAN_SU!$G73))</f>
        <v/>
      </c>
    </row>
    <row r="74" ht="15" customHeight="1" s="63">
      <c r="A74" s="85">
        <f>IF($B74="","",ROW()-5)</f>
        <v/>
      </c>
      <c r="B74" s="103">
        <f>IF(TONG_HOP_CC!B74="","",TONG_HOP_CC!B74)</f>
        <v/>
      </c>
      <c r="C74" s="96">
        <f>IF($B74="","",TONG_HOP_CC!C74)</f>
        <v/>
      </c>
      <c r="E74" s="112">
        <f>IF($B74="","","Tổng hợp")</f>
        <v/>
      </c>
      <c r="F74" s="110">
        <f>IF($B74="","",TONG_HOP_CC!E74)</f>
        <v/>
      </c>
      <c r="G74" s="110">
        <f>IF($B74="","",TONG_HOP_CC!G74)</f>
        <v/>
      </c>
      <c r="H74" s="110">
        <f>IF($B74="","",TONG_HOP_CC!H74)</f>
        <v/>
      </c>
      <c r="I74" s="110">
        <f>IF($B74="","",TONG_HOP_CC!I74)</f>
        <v/>
      </c>
      <c r="J74" s="110">
        <f>IF($B74="","",TONG_HOP_CC!J74)</f>
        <v/>
      </c>
      <c r="K74" s="110">
        <f>IF($B74="","",TONG_HOP_CC!K74)</f>
        <v/>
      </c>
      <c r="L74" s="110">
        <f>IF($B74="","",TONG_HOP_CC!L74)</f>
        <v/>
      </c>
      <c r="M74" s="110">
        <f>IF($B74="","",TONG_HOP_CC!M74)</f>
        <v/>
      </c>
      <c r="N74" s="110">
        <f>IF($B74="","",TONG_HOP_CC!N74)</f>
        <v/>
      </c>
      <c r="P74" s="110">
        <f>IF($B74="","",TONG_HOP_CC!O74)</f>
        <v/>
      </c>
      <c r="Q74" s="110">
        <f>IF($B74="","",TONG_HOP_CC!P74)</f>
        <v/>
      </c>
      <c r="R74" s="110">
        <f>IF($B74="","",TONG_HOP_CC!Q74)</f>
        <v/>
      </c>
      <c r="S74" s="110">
        <f>IF($B74="","",TONG_HOP_CC!R74)</f>
        <v/>
      </c>
      <c r="T74" s="110">
        <f>IF($B74="","",TONG_HOP_CC!S74)</f>
        <v/>
      </c>
      <c r="U74" s="110">
        <f>IF($B74="","",TONG_HOP_CC!T74)</f>
        <v/>
      </c>
      <c r="W74" s="112">
        <f>IF(DM_NHAN_SU!$B74="","",IF(DM_NHAN_SU!$B74="","",DM_NHAN_SU!$B74))</f>
        <v/>
      </c>
      <c r="X74" s="113">
        <f>IF(DM_NHAN_SU!$B74="","",IF(DM_NHAN_SU!$C74="","",DM_NHAN_SU!$C74))</f>
        <v/>
      </c>
      <c r="Y74" s="113">
        <f>IF(DM_NHAN_SU!$B74="","",IF(DM_NHAN_SU!$D74="","",DM_NHAN_SU!$D74))</f>
        <v/>
      </c>
      <c r="Z74" s="113">
        <f>IF(DM_NHAN_SU!$B74="","",IF(DM_NHAN_SU!$E74="","",DM_NHAN_SU!$E74))</f>
        <v/>
      </c>
      <c r="AA74" s="114">
        <f>IF(DM_NHAN_SU!$B74="","",IF(DM_NHAN_SU!$F74="","",DM_NHAN_SU!$F74))</f>
        <v/>
      </c>
      <c r="AB74" s="114">
        <f>IF(DM_NHAN_SU!$B74="","",IF(DM_NHAN_SU!$G74="","",DM_NHAN_SU!$G74))</f>
        <v/>
      </c>
    </row>
    <row r="75" ht="15" customHeight="1" s="63">
      <c r="A75" s="85">
        <f>IF($B75="","",ROW()-5)</f>
        <v/>
      </c>
      <c r="B75" s="103">
        <f>IF(TONG_HOP_CC!B75="","",TONG_HOP_CC!B75)</f>
        <v/>
      </c>
      <c r="C75" s="96">
        <f>IF($B75="","",TONG_HOP_CC!C75)</f>
        <v/>
      </c>
      <c r="E75" s="112">
        <f>IF($B75="","","Tổng hợp")</f>
        <v/>
      </c>
      <c r="F75" s="110">
        <f>IF($B75="","",TONG_HOP_CC!E75)</f>
        <v/>
      </c>
      <c r="G75" s="110">
        <f>IF($B75="","",TONG_HOP_CC!G75)</f>
        <v/>
      </c>
      <c r="H75" s="110">
        <f>IF($B75="","",TONG_HOP_CC!H75)</f>
        <v/>
      </c>
      <c r="I75" s="110">
        <f>IF($B75="","",TONG_HOP_CC!I75)</f>
        <v/>
      </c>
      <c r="J75" s="110">
        <f>IF($B75="","",TONG_HOP_CC!J75)</f>
        <v/>
      </c>
      <c r="K75" s="110">
        <f>IF($B75="","",TONG_HOP_CC!K75)</f>
        <v/>
      </c>
      <c r="L75" s="110">
        <f>IF($B75="","",TONG_HOP_CC!L75)</f>
        <v/>
      </c>
      <c r="M75" s="110">
        <f>IF($B75="","",TONG_HOP_CC!M75)</f>
        <v/>
      </c>
      <c r="N75" s="110">
        <f>IF($B75="","",TONG_HOP_CC!N75)</f>
        <v/>
      </c>
      <c r="P75" s="110">
        <f>IF($B75="","",TONG_HOP_CC!O75)</f>
        <v/>
      </c>
      <c r="Q75" s="110">
        <f>IF($B75="","",TONG_HOP_CC!P75)</f>
        <v/>
      </c>
      <c r="R75" s="110">
        <f>IF($B75="","",TONG_HOP_CC!Q75)</f>
        <v/>
      </c>
      <c r="S75" s="110">
        <f>IF($B75="","",TONG_HOP_CC!R75)</f>
        <v/>
      </c>
      <c r="T75" s="110">
        <f>IF($B75="","",TONG_HOP_CC!S75)</f>
        <v/>
      </c>
      <c r="U75" s="110">
        <f>IF($B75="","",TONG_HOP_CC!T75)</f>
        <v/>
      </c>
      <c r="W75" s="112">
        <f>IF(DM_NHAN_SU!$B75="","",IF(DM_NHAN_SU!$B75="","",DM_NHAN_SU!$B75))</f>
        <v/>
      </c>
      <c r="X75" s="113">
        <f>IF(DM_NHAN_SU!$B75="","",IF(DM_NHAN_SU!$C75="","",DM_NHAN_SU!$C75))</f>
        <v/>
      </c>
      <c r="Y75" s="113">
        <f>IF(DM_NHAN_SU!$B75="","",IF(DM_NHAN_SU!$D75="","",DM_NHAN_SU!$D75))</f>
        <v/>
      </c>
      <c r="Z75" s="113">
        <f>IF(DM_NHAN_SU!$B75="","",IF(DM_NHAN_SU!$E75="","",DM_NHAN_SU!$E75))</f>
        <v/>
      </c>
      <c r="AA75" s="114">
        <f>IF(DM_NHAN_SU!$B75="","",IF(DM_NHAN_SU!$F75="","",DM_NHAN_SU!$F75))</f>
        <v/>
      </c>
      <c r="AB75" s="114">
        <f>IF(DM_NHAN_SU!$B75="","",IF(DM_NHAN_SU!$G75="","",DM_NHAN_SU!$G75))</f>
        <v/>
      </c>
    </row>
    <row r="76" ht="15" customHeight="1" s="63">
      <c r="A76" s="85">
        <f>IF($B76="","",ROW()-5)</f>
        <v/>
      </c>
      <c r="B76" s="103">
        <f>IF(TONG_HOP_CC!B76="","",TONG_HOP_CC!B76)</f>
        <v/>
      </c>
      <c r="C76" s="96">
        <f>IF($B76="","",TONG_HOP_CC!C76)</f>
        <v/>
      </c>
      <c r="E76" s="112">
        <f>IF($B76="","","Tổng hợp")</f>
        <v/>
      </c>
      <c r="F76" s="110">
        <f>IF($B76="","",TONG_HOP_CC!E76)</f>
        <v/>
      </c>
      <c r="G76" s="110">
        <f>IF($B76="","",TONG_HOP_CC!G76)</f>
        <v/>
      </c>
      <c r="H76" s="110">
        <f>IF($B76="","",TONG_HOP_CC!H76)</f>
        <v/>
      </c>
      <c r="I76" s="110">
        <f>IF($B76="","",TONG_HOP_CC!I76)</f>
        <v/>
      </c>
      <c r="J76" s="110">
        <f>IF($B76="","",TONG_HOP_CC!J76)</f>
        <v/>
      </c>
      <c r="K76" s="110">
        <f>IF($B76="","",TONG_HOP_CC!K76)</f>
        <v/>
      </c>
      <c r="L76" s="110">
        <f>IF($B76="","",TONG_HOP_CC!L76)</f>
        <v/>
      </c>
      <c r="M76" s="110">
        <f>IF($B76="","",TONG_HOP_CC!M76)</f>
        <v/>
      </c>
      <c r="N76" s="110">
        <f>IF($B76="","",TONG_HOP_CC!N76)</f>
        <v/>
      </c>
      <c r="P76" s="110">
        <f>IF($B76="","",TONG_HOP_CC!O76)</f>
        <v/>
      </c>
      <c r="Q76" s="110">
        <f>IF($B76="","",TONG_HOP_CC!P76)</f>
        <v/>
      </c>
      <c r="R76" s="110">
        <f>IF($B76="","",TONG_HOP_CC!Q76)</f>
        <v/>
      </c>
      <c r="S76" s="110">
        <f>IF($B76="","",TONG_HOP_CC!R76)</f>
        <v/>
      </c>
      <c r="T76" s="110">
        <f>IF($B76="","",TONG_HOP_CC!S76)</f>
        <v/>
      </c>
      <c r="U76" s="110">
        <f>IF($B76="","",TONG_HOP_CC!T76)</f>
        <v/>
      </c>
      <c r="W76" s="112">
        <f>IF(DM_NHAN_SU!$B76="","",IF(DM_NHAN_SU!$B76="","",DM_NHAN_SU!$B76))</f>
        <v/>
      </c>
      <c r="X76" s="113">
        <f>IF(DM_NHAN_SU!$B76="","",IF(DM_NHAN_SU!$C76="","",DM_NHAN_SU!$C76))</f>
        <v/>
      </c>
      <c r="Y76" s="113">
        <f>IF(DM_NHAN_SU!$B76="","",IF(DM_NHAN_SU!$D76="","",DM_NHAN_SU!$D76))</f>
        <v/>
      </c>
      <c r="Z76" s="113">
        <f>IF(DM_NHAN_SU!$B76="","",IF(DM_NHAN_SU!$E76="","",DM_NHAN_SU!$E76))</f>
        <v/>
      </c>
      <c r="AA76" s="114">
        <f>IF(DM_NHAN_SU!$B76="","",IF(DM_NHAN_SU!$F76="","",DM_NHAN_SU!$F76))</f>
        <v/>
      </c>
      <c r="AB76" s="114">
        <f>IF(DM_NHAN_SU!$B76="","",IF(DM_NHAN_SU!$G76="","",DM_NHAN_SU!$G76))</f>
        <v/>
      </c>
    </row>
    <row r="77" ht="15" customHeight="1" s="63">
      <c r="A77" s="85">
        <f>IF($B77="","",ROW()-5)</f>
        <v/>
      </c>
      <c r="B77" s="103">
        <f>IF(TONG_HOP_CC!B77="","",TONG_HOP_CC!B77)</f>
        <v/>
      </c>
      <c r="C77" s="96">
        <f>IF($B77="","",TONG_HOP_CC!C77)</f>
        <v/>
      </c>
      <c r="E77" s="112">
        <f>IF($B77="","","Tổng hợp")</f>
        <v/>
      </c>
      <c r="F77" s="110">
        <f>IF($B77="","",TONG_HOP_CC!E77)</f>
        <v/>
      </c>
      <c r="G77" s="110">
        <f>IF($B77="","",TONG_HOP_CC!G77)</f>
        <v/>
      </c>
      <c r="H77" s="110">
        <f>IF($B77="","",TONG_HOP_CC!H77)</f>
        <v/>
      </c>
      <c r="I77" s="110">
        <f>IF($B77="","",TONG_HOP_CC!I77)</f>
        <v/>
      </c>
      <c r="J77" s="110">
        <f>IF($B77="","",TONG_HOP_CC!J77)</f>
        <v/>
      </c>
      <c r="K77" s="110">
        <f>IF($B77="","",TONG_HOP_CC!K77)</f>
        <v/>
      </c>
      <c r="L77" s="110">
        <f>IF($B77="","",TONG_HOP_CC!L77)</f>
        <v/>
      </c>
      <c r="M77" s="110">
        <f>IF($B77="","",TONG_HOP_CC!M77)</f>
        <v/>
      </c>
      <c r="N77" s="110">
        <f>IF($B77="","",TONG_HOP_CC!N77)</f>
        <v/>
      </c>
      <c r="P77" s="110">
        <f>IF($B77="","",TONG_HOP_CC!O77)</f>
        <v/>
      </c>
      <c r="Q77" s="110">
        <f>IF($B77="","",TONG_HOP_CC!P77)</f>
        <v/>
      </c>
      <c r="R77" s="110">
        <f>IF($B77="","",TONG_HOP_CC!Q77)</f>
        <v/>
      </c>
      <c r="S77" s="110">
        <f>IF($B77="","",TONG_HOP_CC!R77)</f>
        <v/>
      </c>
      <c r="T77" s="110">
        <f>IF($B77="","",TONG_HOP_CC!S77)</f>
        <v/>
      </c>
      <c r="U77" s="110">
        <f>IF($B77="","",TONG_HOP_CC!T77)</f>
        <v/>
      </c>
      <c r="W77" s="112">
        <f>IF(DM_NHAN_SU!$B77="","",IF(DM_NHAN_SU!$B77="","",DM_NHAN_SU!$B77))</f>
        <v/>
      </c>
      <c r="X77" s="113">
        <f>IF(DM_NHAN_SU!$B77="","",IF(DM_NHAN_SU!$C77="","",DM_NHAN_SU!$C77))</f>
        <v/>
      </c>
      <c r="Y77" s="113">
        <f>IF(DM_NHAN_SU!$B77="","",IF(DM_NHAN_SU!$D77="","",DM_NHAN_SU!$D77))</f>
        <v/>
      </c>
      <c r="Z77" s="113">
        <f>IF(DM_NHAN_SU!$B77="","",IF(DM_NHAN_SU!$E77="","",DM_NHAN_SU!$E77))</f>
        <v/>
      </c>
      <c r="AA77" s="114">
        <f>IF(DM_NHAN_SU!$B77="","",IF(DM_NHAN_SU!$F77="","",DM_NHAN_SU!$F77))</f>
        <v/>
      </c>
      <c r="AB77" s="114">
        <f>IF(DM_NHAN_SU!$B77="","",IF(DM_NHAN_SU!$G77="","",DM_NHAN_SU!$G77))</f>
        <v/>
      </c>
    </row>
    <row r="78" ht="15" customHeight="1" s="63">
      <c r="A78" s="85">
        <f>IF($B78="","",ROW()-5)</f>
        <v/>
      </c>
      <c r="B78" s="103">
        <f>IF(TONG_HOP_CC!B78="","",TONG_HOP_CC!B78)</f>
        <v/>
      </c>
      <c r="C78" s="96">
        <f>IF($B78="","",TONG_HOP_CC!C78)</f>
        <v/>
      </c>
      <c r="E78" s="112">
        <f>IF($B78="","","Tổng hợp")</f>
        <v/>
      </c>
      <c r="F78" s="110">
        <f>IF($B78="","",TONG_HOP_CC!E78)</f>
        <v/>
      </c>
      <c r="G78" s="110">
        <f>IF($B78="","",TONG_HOP_CC!G78)</f>
        <v/>
      </c>
      <c r="H78" s="110">
        <f>IF($B78="","",TONG_HOP_CC!H78)</f>
        <v/>
      </c>
      <c r="I78" s="110">
        <f>IF($B78="","",TONG_HOP_CC!I78)</f>
        <v/>
      </c>
      <c r="J78" s="110">
        <f>IF($B78="","",TONG_HOP_CC!J78)</f>
        <v/>
      </c>
      <c r="K78" s="110">
        <f>IF($B78="","",TONG_HOP_CC!K78)</f>
        <v/>
      </c>
      <c r="L78" s="110">
        <f>IF($B78="","",TONG_HOP_CC!L78)</f>
        <v/>
      </c>
      <c r="M78" s="110">
        <f>IF($B78="","",TONG_HOP_CC!M78)</f>
        <v/>
      </c>
      <c r="N78" s="110">
        <f>IF($B78="","",TONG_HOP_CC!N78)</f>
        <v/>
      </c>
      <c r="P78" s="110">
        <f>IF($B78="","",TONG_HOP_CC!O78)</f>
        <v/>
      </c>
      <c r="Q78" s="110">
        <f>IF($B78="","",TONG_HOP_CC!P78)</f>
        <v/>
      </c>
      <c r="R78" s="110">
        <f>IF($B78="","",TONG_HOP_CC!Q78)</f>
        <v/>
      </c>
      <c r="S78" s="110">
        <f>IF($B78="","",TONG_HOP_CC!R78)</f>
        <v/>
      </c>
      <c r="T78" s="110">
        <f>IF($B78="","",TONG_HOP_CC!S78)</f>
        <v/>
      </c>
      <c r="U78" s="110">
        <f>IF($B78="","",TONG_HOP_CC!T78)</f>
        <v/>
      </c>
      <c r="W78" s="112">
        <f>IF(DM_NHAN_SU!$B78="","",IF(DM_NHAN_SU!$B78="","",DM_NHAN_SU!$B78))</f>
        <v/>
      </c>
      <c r="X78" s="113">
        <f>IF(DM_NHAN_SU!$B78="","",IF(DM_NHAN_SU!$C78="","",DM_NHAN_SU!$C78))</f>
        <v/>
      </c>
      <c r="Y78" s="113">
        <f>IF(DM_NHAN_SU!$B78="","",IF(DM_NHAN_SU!$D78="","",DM_NHAN_SU!$D78))</f>
        <v/>
      </c>
      <c r="Z78" s="113">
        <f>IF(DM_NHAN_SU!$B78="","",IF(DM_NHAN_SU!$E78="","",DM_NHAN_SU!$E78))</f>
        <v/>
      </c>
      <c r="AA78" s="114">
        <f>IF(DM_NHAN_SU!$B78="","",IF(DM_NHAN_SU!$F78="","",DM_NHAN_SU!$F78))</f>
        <v/>
      </c>
      <c r="AB78" s="114">
        <f>IF(DM_NHAN_SU!$B78="","",IF(DM_NHAN_SU!$G78="","",DM_NHAN_SU!$G78))</f>
        <v/>
      </c>
    </row>
    <row r="79" ht="15" customHeight="1" s="63">
      <c r="A79" s="85">
        <f>IF($B79="","",ROW()-5)</f>
        <v/>
      </c>
      <c r="B79" s="103">
        <f>IF(TONG_HOP_CC!B79="","",TONG_HOP_CC!B79)</f>
        <v/>
      </c>
      <c r="C79" s="96">
        <f>IF($B79="","",TONG_HOP_CC!C79)</f>
        <v/>
      </c>
      <c r="E79" s="112">
        <f>IF($B79="","","Tổng hợp")</f>
        <v/>
      </c>
      <c r="F79" s="110">
        <f>IF($B79="","",TONG_HOP_CC!E79)</f>
        <v/>
      </c>
      <c r="G79" s="110">
        <f>IF($B79="","",TONG_HOP_CC!G79)</f>
        <v/>
      </c>
      <c r="H79" s="110">
        <f>IF($B79="","",TONG_HOP_CC!H79)</f>
        <v/>
      </c>
      <c r="I79" s="110">
        <f>IF($B79="","",TONG_HOP_CC!I79)</f>
        <v/>
      </c>
      <c r="J79" s="110">
        <f>IF($B79="","",TONG_HOP_CC!J79)</f>
        <v/>
      </c>
      <c r="K79" s="110">
        <f>IF($B79="","",TONG_HOP_CC!K79)</f>
        <v/>
      </c>
      <c r="L79" s="110">
        <f>IF($B79="","",TONG_HOP_CC!L79)</f>
        <v/>
      </c>
      <c r="M79" s="110">
        <f>IF($B79="","",TONG_HOP_CC!M79)</f>
        <v/>
      </c>
      <c r="N79" s="110">
        <f>IF($B79="","",TONG_HOP_CC!N79)</f>
        <v/>
      </c>
      <c r="P79" s="110">
        <f>IF($B79="","",TONG_HOP_CC!O79)</f>
        <v/>
      </c>
      <c r="Q79" s="110">
        <f>IF($B79="","",TONG_HOP_CC!P79)</f>
        <v/>
      </c>
      <c r="R79" s="110">
        <f>IF($B79="","",TONG_HOP_CC!Q79)</f>
        <v/>
      </c>
      <c r="S79" s="110">
        <f>IF($B79="","",TONG_HOP_CC!R79)</f>
        <v/>
      </c>
      <c r="T79" s="110">
        <f>IF($B79="","",TONG_HOP_CC!S79)</f>
        <v/>
      </c>
      <c r="U79" s="110">
        <f>IF($B79="","",TONG_HOP_CC!T79)</f>
        <v/>
      </c>
      <c r="W79" s="112">
        <f>IF(DM_NHAN_SU!$B79="","",IF(DM_NHAN_SU!$B79="","",DM_NHAN_SU!$B79))</f>
        <v/>
      </c>
      <c r="X79" s="113">
        <f>IF(DM_NHAN_SU!$B79="","",IF(DM_NHAN_SU!$C79="","",DM_NHAN_SU!$C79))</f>
        <v/>
      </c>
      <c r="Y79" s="113">
        <f>IF(DM_NHAN_SU!$B79="","",IF(DM_NHAN_SU!$D79="","",DM_NHAN_SU!$D79))</f>
        <v/>
      </c>
      <c r="Z79" s="113">
        <f>IF(DM_NHAN_SU!$B79="","",IF(DM_NHAN_SU!$E79="","",DM_NHAN_SU!$E79))</f>
        <v/>
      </c>
      <c r="AA79" s="114">
        <f>IF(DM_NHAN_SU!$B79="","",IF(DM_NHAN_SU!$F79="","",DM_NHAN_SU!$F79))</f>
        <v/>
      </c>
      <c r="AB79" s="114">
        <f>IF(DM_NHAN_SU!$B79="","",IF(DM_NHAN_SU!$G79="","",DM_NHAN_SU!$G79))</f>
        <v/>
      </c>
    </row>
    <row r="80" ht="15" customHeight="1" s="63">
      <c r="A80" s="85">
        <f>IF($B80="","",ROW()-5)</f>
        <v/>
      </c>
      <c r="B80" s="103">
        <f>IF(TONG_HOP_CC!B80="","",TONG_HOP_CC!B80)</f>
        <v/>
      </c>
      <c r="C80" s="96">
        <f>IF($B80="","",TONG_HOP_CC!C80)</f>
        <v/>
      </c>
      <c r="E80" s="112">
        <f>IF($B80="","","Tổng hợp")</f>
        <v/>
      </c>
      <c r="F80" s="110">
        <f>IF($B80="","",TONG_HOP_CC!E80)</f>
        <v/>
      </c>
      <c r="G80" s="110">
        <f>IF($B80="","",TONG_HOP_CC!G80)</f>
        <v/>
      </c>
      <c r="H80" s="110">
        <f>IF($B80="","",TONG_HOP_CC!H80)</f>
        <v/>
      </c>
      <c r="I80" s="110">
        <f>IF($B80="","",TONG_HOP_CC!I80)</f>
        <v/>
      </c>
      <c r="J80" s="110">
        <f>IF($B80="","",TONG_HOP_CC!J80)</f>
        <v/>
      </c>
      <c r="K80" s="110">
        <f>IF($B80="","",TONG_HOP_CC!K80)</f>
        <v/>
      </c>
      <c r="L80" s="110">
        <f>IF($B80="","",TONG_HOP_CC!L80)</f>
        <v/>
      </c>
      <c r="M80" s="110">
        <f>IF($B80="","",TONG_HOP_CC!M80)</f>
        <v/>
      </c>
      <c r="N80" s="110">
        <f>IF($B80="","",TONG_HOP_CC!N80)</f>
        <v/>
      </c>
      <c r="P80" s="110">
        <f>IF($B80="","",TONG_HOP_CC!O80)</f>
        <v/>
      </c>
      <c r="Q80" s="110">
        <f>IF($B80="","",TONG_HOP_CC!P80)</f>
        <v/>
      </c>
      <c r="R80" s="110">
        <f>IF($B80="","",TONG_HOP_CC!Q80)</f>
        <v/>
      </c>
      <c r="S80" s="110">
        <f>IF($B80="","",TONG_HOP_CC!R80)</f>
        <v/>
      </c>
      <c r="T80" s="110">
        <f>IF($B80="","",TONG_HOP_CC!S80)</f>
        <v/>
      </c>
      <c r="U80" s="110">
        <f>IF($B80="","",TONG_HOP_CC!T80)</f>
        <v/>
      </c>
      <c r="W80" s="112">
        <f>IF(DM_NHAN_SU!$B80="","",IF(DM_NHAN_SU!$B80="","",DM_NHAN_SU!$B80))</f>
        <v/>
      </c>
      <c r="X80" s="113">
        <f>IF(DM_NHAN_SU!$B80="","",IF(DM_NHAN_SU!$C80="","",DM_NHAN_SU!$C80))</f>
        <v/>
      </c>
      <c r="Y80" s="113">
        <f>IF(DM_NHAN_SU!$B80="","",IF(DM_NHAN_SU!$D80="","",DM_NHAN_SU!$D80))</f>
        <v/>
      </c>
      <c r="Z80" s="113">
        <f>IF(DM_NHAN_SU!$B80="","",IF(DM_NHAN_SU!$E80="","",DM_NHAN_SU!$E80))</f>
        <v/>
      </c>
      <c r="AA80" s="114">
        <f>IF(DM_NHAN_SU!$B80="","",IF(DM_NHAN_SU!$F80="","",DM_NHAN_SU!$F80))</f>
        <v/>
      </c>
      <c r="AB80" s="114">
        <f>IF(DM_NHAN_SU!$B80="","",IF(DM_NHAN_SU!$G80="","",DM_NHAN_SU!$G80))</f>
        <v/>
      </c>
    </row>
    <row r="81" ht="15" customHeight="1" s="63">
      <c r="A81" s="85">
        <f>IF($B81="","",ROW()-5)</f>
        <v/>
      </c>
      <c r="B81" s="103">
        <f>IF(TONG_HOP_CC!B81="","",TONG_HOP_CC!B81)</f>
        <v/>
      </c>
      <c r="C81" s="96">
        <f>IF($B81="","",TONG_HOP_CC!C81)</f>
        <v/>
      </c>
      <c r="E81" s="112">
        <f>IF($B81="","","Tổng hợp")</f>
        <v/>
      </c>
      <c r="F81" s="110">
        <f>IF($B81="","",TONG_HOP_CC!E81)</f>
        <v/>
      </c>
      <c r="G81" s="110">
        <f>IF($B81="","",TONG_HOP_CC!G81)</f>
        <v/>
      </c>
      <c r="H81" s="110">
        <f>IF($B81="","",TONG_HOP_CC!H81)</f>
        <v/>
      </c>
      <c r="I81" s="110">
        <f>IF($B81="","",TONG_HOP_CC!I81)</f>
        <v/>
      </c>
      <c r="J81" s="110">
        <f>IF($B81="","",TONG_HOP_CC!J81)</f>
        <v/>
      </c>
      <c r="K81" s="110">
        <f>IF($B81="","",TONG_HOP_CC!K81)</f>
        <v/>
      </c>
      <c r="L81" s="110">
        <f>IF($B81="","",TONG_HOP_CC!L81)</f>
        <v/>
      </c>
      <c r="M81" s="110">
        <f>IF($B81="","",TONG_HOP_CC!M81)</f>
        <v/>
      </c>
      <c r="N81" s="110">
        <f>IF($B81="","",TONG_HOP_CC!N81)</f>
        <v/>
      </c>
      <c r="P81" s="110">
        <f>IF($B81="","",TONG_HOP_CC!O81)</f>
        <v/>
      </c>
      <c r="Q81" s="110">
        <f>IF($B81="","",TONG_HOP_CC!P81)</f>
        <v/>
      </c>
      <c r="R81" s="110">
        <f>IF($B81="","",TONG_HOP_CC!Q81)</f>
        <v/>
      </c>
      <c r="S81" s="110">
        <f>IF($B81="","",TONG_HOP_CC!R81)</f>
        <v/>
      </c>
      <c r="T81" s="110">
        <f>IF($B81="","",TONG_HOP_CC!S81)</f>
        <v/>
      </c>
      <c r="U81" s="110">
        <f>IF($B81="","",TONG_HOP_CC!T81)</f>
        <v/>
      </c>
      <c r="W81" s="112">
        <f>IF(DM_NHAN_SU!$B81="","",IF(DM_NHAN_SU!$B81="","",DM_NHAN_SU!$B81))</f>
        <v/>
      </c>
      <c r="X81" s="113">
        <f>IF(DM_NHAN_SU!$B81="","",IF(DM_NHAN_SU!$C81="","",DM_NHAN_SU!$C81))</f>
        <v/>
      </c>
      <c r="Y81" s="113">
        <f>IF(DM_NHAN_SU!$B81="","",IF(DM_NHAN_SU!$D81="","",DM_NHAN_SU!$D81))</f>
        <v/>
      </c>
      <c r="Z81" s="113">
        <f>IF(DM_NHAN_SU!$B81="","",IF(DM_NHAN_SU!$E81="","",DM_NHAN_SU!$E81))</f>
        <v/>
      </c>
      <c r="AA81" s="114">
        <f>IF(DM_NHAN_SU!$B81="","",IF(DM_NHAN_SU!$F81="","",DM_NHAN_SU!$F81))</f>
        <v/>
      </c>
      <c r="AB81" s="114">
        <f>IF(DM_NHAN_SU!$B81="","",IF(DM_NHAN_SU!$G81="","",DM_NHAN_SU!$G81))</f>
        <v/>
      </c>
    </row>
    <row r="82" ht="15" customHeight="1" s="63">
      <c r="A82" s="85">
        <f>IF($B82="","",ROW()-5)</f>
        <v/>
      </c>
      <c r="B82" s="103">
        <f>IF(TONG_HOP_CC!B82="","",TONG_HOP_CC!B82)</f>
        <v/>
      </c>
      <c r="C82" s="96">
        <f>IF($B82="","",TONG_HOP_CC!C82)</f>
        <v/>
      </c>
      <c r="E82" s="112">
        <f>IF($B82="","","Tổng hợp")</f>
        <v/>
      </c>
      <c r="F82" s="110">
        <f>IF($B82="","",TONG_HOP_CC!E82)</f>
        <v/>
      </c>
      <c r="G82" s="110">
        <f>IF($B82="","",TONG_HOP_CC!G82)</f>
        <v/>
      </c>
      <c r="H82" s="110">
        <f>IF($B82="","",TONG_HOP_CC!H82)</f>
        <v/>
      </c>
      <c r="I82" s="110">
        <f>IF($B82="","",TONG_HOP_CC!I82)</f>
        <v/>
      </c>
      <c r="J82" s="110">
        <f>IF($B82="","",TONG_HOP_CC!J82)</f>
        <v/>
      </c>
      <c r="K82" s="110">
        <f>IF($B82="","",TONG_HOP_CC!K82)</f>
        <v/>
      </c>
      <c r="L82" s="110">
        <f>IF($B82="","",TONG_HOP_CC!L82)</f>
        <v/>
      </c>
      <c r="M82" s="110">
        <f>IF($B82="","",TONG_HOP_CC!M82)</f>
        <v/>
      </c>
      <c r="N82" s="110">
        <f>IF($B82="","",TONG_HOP_CC!N82)</f>
        <v/>
      </c>
      <c r="P82" s="110">
        <f>IF($B82="","",TONG_HOP_CC!O82)</f>
        <v/>
      </c>
      <c r="Q82" s="110">
        <f>IF($B82="","",TONG_HOP_CC!P82)</f>
        <v/>
      </c>
      <c r="R82" s="110">
        <f>IF($B82="","",TONG_HOP_CC!Q82)</f>
        <v/>
      </c>
      <c r="S82" s="110">
        <f>IF($B82="","",TONG_HOP_CC!R82)</f>
        <v/>
      </c>
      <c r="T82" s="110">
        <f>IF($B82="","",TONG_HOP_CC!S82)</f>
        <v/>
      </c>
      <c r="U82" s="110">
        <f>IF($B82="","",TONG_HOP_CC!T82)</f>
        <v/>
      </c>
      <c r="W82" s="112">
        <f>IF(DM_NHAN_SU!$B82="","",IF(DM_NHAN_SU!$B82="","",DM_NHAN_SU!$B82))</f>
        <v/>
      </c>
      <c r="X82" s="113">
        <f>IF(DM_NHAN_SU!$B82="","",IF(DM_NHAN_SU!$C82="","",DM_NHAN_SU!$C82))</f>
        <v/>
      </c>
      <c r="Y82" s="113">
        <f>IF(DM_NHAN_SU!$B82="","",IF(DM_NHAN_SU!$D82="","",DM_NHAN_SU!$D82))</f>
        <v/>
      </c>
      <c r="Z82" s="113">
        <f>IF(DM_NHAN_SU!$B82="","",IF(DM_NHAN_SU!$E82="","",DM_NHAN_SU!$E82))</f>
        <v/>
      </c>
      <c r="AA82" s="114">
        <f>IF(DM_NHAN_SU!$B82="","",IF(DM_NHAN_SU!$F82="","",DM_NHAN_SU!$F82))</f>
        <v/>
      </c>
      <c r="AB82" s="114">
        <f>IF(DM_NHAN_SU!$B82="","",IF(DM_NHAN_SU!$G82="","",DM_NHAN_SU!$G82))</f>
        <v/>
      </c>
    </row>
    <row r="83" ht="15" customHeight="1" s="63">
      <c r="A83" s="85">
        <f>IF($B83="","",ROW()-5)</f>
        <v/>
      </c>
      <c r="B83" s="103">
        <f>IF(TONG_HOP_CC!B83="","",TONG_HOP_CC!B83)</f>
        <v/>
      </c>
      <c r="C83" s="96">
        <f>IF($B83="","",TONG_HOP_CC!C83)</f>
        <v/>
      </c>
      <c r="E83" s="112">
        <f>IF($B83="","","Tổng hợp")</f>
        <v/>
      </c>
      <c r="F83" s="110">
        <f>IF($B83="","",TONG_HOP_CC!E83)</f>
        <v/>
      </c>
      <c r="G83" s="110">
        <f>IF($B83="","",TONG_HOP_CC!G83)</f>
        <v/>
      </c>
      <c r="H83" s="110">
        <f>IF($B83="","",TONG_HOP_CC!H83)</f>
        <v/>
      </c>
      <c r="I83" s="110">
        <f>IF($B83="","",TONG_HOP_CC!I83)</f>
        <v/>
      </c>
      <c r="J83" s="110">
        <f>IF($B83="","",TONG_HOP_CC!J83)</f>
        <v/>
      </c>
      <c r="K83" s="110">
        <f>IF($B83="","",TONG_HOP_CC!K83)</f>
        <v/>
      </c>
      <c r="L83" s="110">
        <f>IF($B83="","",TONG_HOP_CC!L83)</f>
        <v/>
      </c>
      <c r="M83" s="110">
        <f>IF($B83="","",TONG_HOP_CC!M83)</f>
        <v/>
      </c>
      <c r="N83" s="110">
        <f>IF($B83="","",TONG_HOP_CC!N83)</f>
        <v/>
      </c>
      <c r="P83" s="110">
        <f>IF($B83="","",TONG_HOP_CC!O83)</f>
        <v/>
      </c>
      <c r="Q83" s="110">
        <f>IF($B83="","",TONG_HOP_CC!P83)</f>
        <v/>
      </c>
      <c r="R83" s="110">
        <f>IF($B83="","",TONG_HOP_CC!Q83)</f>
        <v/>
      </c>
      <c r="S83" s="110">
        <f>IF($B83="","",TONG_HOP_CC!R83)</f>
        <v/>
      </c>
      <c r="T83" s="110">
        <f>IF($B83="","",TONG_HOP_CC!S83)</f>
        <v/>
      </c>
      <c r="U83" s="110">
        <f>IF($B83="","",TONG_HOP_CC!T83)</f>
        <v/>
      </c>
      <c r="W83" s="112">
        <f>IF(DM_NHAN_SU!$B83="","",IF(DM_NHAN_SU!$B83="","",DM_NHAN_SU!$B83))</f>
        <v/>
      </c>
      <c r="X83" s="113">
        <f>IF(DM_NHAN_SU!$B83="","",IF(DM_NHAN_SU!$C83="","",DM_NHAN_SU!$C83))</f>
        <v/>
      </c>
      <c r="Y83" s="113">
        <f>IF(DM_NHAN_SU!$B83="","",IF(DM_NHAN_SU!$D83="","",DM_NHAN_SU!$D83))</f>
        <v/>
      </c>
      <c r="Z83" s="113">
        <f>IF(DM_NHAN_SU!$B83="","",IF(DM_NHAN_SU!$E83="","",DM_NHAN_SU!$E83))</f>
        <v/>
      </c>
      <c r="AA83" s="114">
        <f>IF(DM_NHAN_SU!$B83="","",IF(DM_NHAN_SU!$F83="","",DM_NHAN_SU!$F83))</f>
        <v/>
      </c>
      <c r="AB83" s="114">
        <f>IF(DM_NHAN_SU!$B83="","",IF(DM_NHAN_SU!$G83="","",DM_NHAN_SU!$G83))</f>
        <v/>
      </c>
    </row>
    <row r="84" ht="15" customHeight="1" s="63">
      <c r="A84" s="85">
        <f>IF($B84="","",ROW()-5)</f>
        <v/>
      </c>
      <c r="B84" s="103">
        <f>IF(TONG_HOP_CC!B84="","",TONG_HOP_CC!B84)</f>
        <v/>
      </c>
      <c r="C84" s="96">
        <f>IF($B84="","",TONG_HOP_CC!C84)</f>
        <v/>
      </c>
      <c r="E84" s="112">
        <f>IF($B84="","","Tổng hợp")</f>
        <v/>
      </c>
      <c r="F84" s="110">
        <f>IF($B84="","",TONG_HOP_CC!E84)</f>
        <v/>
      </c>
      <c r="G84" s="110">
        <f>IF($B84="","",TONG_HOP_CC!G84)</f>
        <v/>
      </c>
      <c r="H84" s="110">
        <f>IF($B84="","",TONG_HOP_CC!H84)</f>
        <v/>
      </c>
      <c r="I84" s="110">
        <f>IF($B84="","",TONG_HOP_CC!I84)</f>
        <v/>
      </c>
      <c r="J84" s="110">
        <f>IF($B84="","",TONG_HOP_CC!J84)</f>
        <v/>
      </c>
      <c r="K84" s="110">
        <f>IF($B84="","",TONG_HOP_CC!K84)</f>
        <v/>
      </c>
      <c r="L84" s="110">
        <f>IF($B84="","",TONG_HOP_CC!L84)</f>
        <v/>
      </c>
      <c r="M84" s="110">
        <f>IF($B84="","",TONG_HOP_CC!M84)</f>
        <v/>
      </c>
      <c r="N84" s="110">
        <f>IF($B84="","",TONG_HOP_CC!N84)</f>
        <v/>
      </c>
      <c r="P84" s="110">
        <f>IF($B84="","",TONG_HOP_CC!O84)</f>
        <v/>
      </c>
      <c r="Q84" s="110">
        <f>IF($B84="","",TONG_HOP_CC!P84)</f>
        <v/>
      </c>
      <c r="R84" s="110">
        <f>IF($B84="","",TONG_HOP_CC!Q84)</f>
        <v/>
      </c>
      <c r="S84" s="110">
        <f>IF($B84="","",TONG_HOP_CC!R84)</f>
        <v/>
      </c>
      <c r="T84" s="110">
        <f>IF($B84="","",TONG_HOP_CC!S84)</f>
        <v/>
      </c>
      <c r="U84" s="110">
        <f>IF($B84="","",TONG_HOP_CC!T84)</f>
        <v/>
      </c>
      <c r="W84" s="112">
        <f>IF(DM_NHAN_SU!$B84="","",IF(DM_NHAN_SU!$B84="","",DM_NHAN_SU!$B84))</f>
        <v/>
      </c>
      <c r="X84" s="113">
        <f>IF(DM_NHAN_SU!$B84="","",IF(DM_NHAN_SU!$C84="","",DM_NHAN_SU!$C84))</f>
        <v/>
      </c>
      <c r="Y84" s="113">
        <f>IF(DM_NHAN_SU!$B84="","",IF(DM_NHAN_SU!$D84="","",DM_NHAN_SU!$D84))</f>
        <v/>
      </c>
      <c r="Z84" s="113">
        <f>IF(DM_NHAN_SU!$B84="","",IF(DM_NHAN_SU!$E84="","",DM_NHAN_SU!$E84))</f>
        <v/>
      </c>
      <c r="AA84" s="114">
        <f>IF(DM_NHAN_SU!$B84="","",IF(DM_NHAN_SU!$F84="","",DM_NHAN_SU!$F84))</f>
        <v/>
      </c>
      <c r="AB84" s="114">
        <f>IF(DM_NHAN_SU!$B84="","",IF(DM_NHAN_SU!$G84="","",DM_NHAN_SU!$G84))</f>
        <v/>
      </c>
    </row>
    <row r="85" ht="15" customHeight="1" s="63">
      <c r="A85" s="85">
        <f>IF($B85="","",ROW()-5)</f>
        <v/>
      </c>
      <c r="B85" s="103">
        <f>IF(TONG_HOP_CC!B85="","",TONG_HOP_CC!B85)</f>
        <v/>
      </c>
      <c r="C85" s="96">
        <f>IF($B85="","",TONG_HOP_CC!C85)</f>
        <v/>
      </c>
      <c r="E85" s="112">
        <f>IF($B85="","","Tổng hợp")</f>
        <v/>
      </c>
      <c r="F85" s="110">
        <f>IF($B85="","",TONG_HOP_CC!E85)</f>
        <v/>
      </c>
      <c r="G85" s="110">
        <f>IF($B85="","",TONG_HOP_CC!G85)</f>
        <v/>
      </c>
      <c r="H85" s="110">
        <f>IF($B85="","",TONG_HOP_CC!H85)</f>
        <v/>
      </c>
      <c r="I85" s="110">
        <f>IF($B85="","",TONG_HOP_CC!I85)</f>
        <v/>
      </c>
      <c r="J85" s="110">
        <f>IF($B85="","",TONG_HOP_CC!J85)</f>
        <v/>
      </c>
      <c r="K85" s="110">
        <f>IF($B85="","",TONG_HOP_CC!K85)</f>
        <v/>
      </c>
      <c r="L85" s="110">
        <f>IF($B85="","",TONG_HOP_CC!L85)</f>
        <v/>
      </c>
      <c r="M85" s="110">
        <f>IF($B85="","",TONG_HOP_CC!M85)</f>
        <v/>
      </c>
      <c r="N85" s="110">
        <f>IF($B85="","",TONG_HOP_CC!N85)</f>
        <v/>
      </c>
      <c r="P85" s="110">
        <f>IF($B85="","",TONG_HOP_CC!O85)</f>
        <v/>
      </c>
      <c r="Q85" s="110">
        <f>IF($B85="","",TONG_HOP_CC!P85)</f>
        <v/>
      </c>
      <c r="R85" s="110">
        <f>IF($B85="","",TONG_HOP_CC!Q85)</f>
        <v/>
      </c>
      <c r="S85" s="110">
        <f>IF($B85="","",TONG_HOP_CC!R85)</f>
        <v/>
      </c>
      <c r="T85" s="110">
        <f>IF($B85="","",TONG_HOP_CC!S85)</f>
        <v/>
      </c>
      <c r="U85" s="110">
        <f>IF($B85="","",TONG_HOP_CC!T85)</f>
        <v/>
      </c>
      <c r="W85" s="112">
        <f>IF(DM_NHAN_SU!$B85="","",IF(DM_NHAN_SU!$B85="","",DM_NHAN_SU!$B85))</f>
        <v/>
      </c>
      <c r="X85" s="113">
        <f>IF(DM_NHAN_SU!$B85="","",IF(DM_NHAN_SU!$C85="","",DM_NHAN_SU!$C85))</f>
        <v/>
      </c>
      <c r="Y85" s="113">
        <f>IF(DM_NHAN_SU!$B85="","",IF(DM_NHAN_SU!$D85="","",DM_NHAN_SU!$D85))</f>
        <v/>
      </c>
      <c r="Z85" s="113">
        <f>IF(DM_NHAN_SU!$B85="","",IF(DM_NHAN_SU!$E85="","",DM_NHAN_SU!$E85))</f>
        <v/>
      </c>
      <c r="AA85" s="114">
        <f>IF(DM_NHAN_SU!$B85="","",IF(DM_NHAN_SU!$F85="","",DM_NHAN_SU!$F85))</f>
        <v/>
      </c>
      <c r="AB85" s="114">
        <f>IF(DM_NHAN_SU!$B85="","",IF(DM_NHAN_SU!$G85="","",DM_NHAN_SU!$G85))</f>
        <v/>
      </c>
    </row>
    <row r="86" ht="15" customHeight="1" s="63">
      <c r="A86" s="85">
        <f>IF($B86="","",ROW()-5)</f>
        <v/>
      </c>
      <c r="B86" s="103">
        <f>IF(TONG_HOP_CC!B86="","",TONG_HOP_CC!B86)</f>
        <v/>
      </c>
      <c r="C86" s="96">
        <f>IF($B86="","",TONG_HOP_CC!C86)</f>
        <v/>
      </c>
      <c r="E86" s="112">
        <f>IF($B86="","","Tổng hợp")</f>
        <v/>
      </c>
      <c r="F86" s="110">
        <f>IF($B86="","",TONG_HOP_CC!E86)</f>
        <v/>
      </c>
      <c r="G86" s="110">
        <f>IF($B86="","",TONG_HOP_CC!G86)</f>
        <v/>
      </c>
      <c r="H86" s="110">
        <f>IF($B86="","",TONG_HOP_CC!H86)</f>
        <v/>
      </c>
      <c r="I86" s="110">
        <f>IF($B86="","",TONG_HOP_CC!I86)</f>
        <v/>
      </c>
      <c r="J86" s="110">
        <f>IF($B86="","",TONG_HOP_CC!J86)</f>
        <v/>
      </c>
      <c r="K86" s="110">
        <f>IF($B86="","",TONG_HOP_CC!K86)</f>
        <v/>
      </c>
      <c r="L86" s="110">
        <f>IF($B86="","",TONG_HOP_CC!L86)</f>
        <v/>
      </c>
      <c r="M86" s="110">
        <f>IF($B86="","",TONG_HOP_CC!M86)</f>
        <v/>
      </c>
      <c r="N86" s="110">
        <f>IF($B86="","",TONG_HOP_CC!N86)</f>
        <v/>
      </c>
      <c r="P86" s="110">
        <f>IF($B86="","",TONG_HOP_CC!O86)</f>
        <v/>
      </c>
      <c r="Q86" s="110">
        <f>IF($B86="","",TONG_HOP_CC!P86)</f>
        <v/>
      </c>
      <c r="R86" s="110">
        <f>IF($B86="","",TONG_HOP_CC!Q86)</f>
        <v/>
      </c>
      <c r="S86" s="110">
        <f>IF($B86="","",TONG_HOP_CC!R86)</f>
        <v/>
      </c>
      <c r="T86" s="110">
        <f>IF($B86="","",TONG_HOP_CC!S86)</f>
        <v/>
      </c>
      <c r="U86" s="110">
        <f>IF($B86="","",TONG_HOP_CC!T86)</f>
        <v/>
      </c>
      <c r="W86" s="112">
        <f>IF(DM_NHAN_SU!$B86="","",IF(DM_NHAN_SU!$B86="","",DM_NHAN_SU!$B86))</f>
        <v/>
      </c>
      <c r="X86" s="113">
        <f>IF(DM_NHAN_SU!$B86="","",IF(DM_NHAN_SU!$C86="","",DM_NHAN_SU!$C86))</f>
        <v/>
      </c>
      <c r="Y86" s="113">
        <f>IF(DM_NHAN_SU!$B86="","",IF(DM_NHAN_SU!$D86="","",DM_NHAN_SU!$D86))</f>
        <v/>
      </c>
      <c r="Z86" s="113">
        <f>IF(DM_NHAN_SU!$B86="","",IF(DM_NHAN_SU!$E86="","",DM_NHAN_SU!$E86))</f>
        <v/>
      </c>
      <c r="AA86" s="114">
        <f>IF(DM_NHAN_SU!$B86="","",IF(DM_NHAN_SU!$F86="","",DM_NHAN_SU!$F86))</f>
        <v/>
      </c>
      <c r="AB86" s="114">
        <f>IF(DM_NHAN_SU!$B86="","",IF(DM_NHAN_SU!$G86="","",DM_NHAN_SU!$G86))</f>
        <v/>
      </c>
    </row>
    <row r="87" ht="15" customHeight="1" s="63">
      <c r="A87" s="85">
        <f>IF($B87="","",ROW()-5)</f>
        <v/>
      </c>
      <c r="B87" s="103">
        <f>IF(TONG_HOP_CC!B87="","",TONG_HOP_CC!B87)</f>
        <v/>
      </c>
      <c r="C87" s="96">
        <f>IF($B87="","",TONG_HOP_CC!C87)</f>
        <v/>
      </c>
      <c r="E87" s="112">
        <f>IF($B87="","","Tổng hợp")</f>
        <v/>
      </c>
      <c r="F87" s="110">
        <f>IF($B87="","",TONG_HOP_CC!E87)</f>
        <v/>
      </c>
      <c r="G87" s="110">
        <f>IF($B87="","",TONG_HOP_CC!G87)</f>
        <v/>
      </c>
      <c r="H87" s="110">
        <f>IF($B87="","",TONG_HOP_CC!H87)</f>
        <v/>
      </c>
      <c r="I87" s="110">
        <f>IF($B87="","",TONG_HOP_CC!I87)</f>
        <v/>
      </c>
      <c r="J87" s="110">
        <f>IF($B87="","",TONG_HOP_CC!J87)</f>
        <v/>
      </c>
      <c r="K87" s="110">
        <f>IF($B87="","",TONG_HOP_CC!K87)</f>
        <v/>
      </c>
      <c r="L87" s="110">
        <f>IF($B87="","",TONG_HOP_CC!L87)</f>
        <v/>
      </c>
      <c r="M87" s="110">
        <f>IF($B87="","",TONG_HOP_CC!M87)</f>
        <v/>
      </c>
      <c r="N87" s="110">
        <f>IF($B87="","",TONG_HOP_CC!N87)</f>
        <v/>
      </c>
      <c r="P87" s="110">
        <f>IF($B87="","",TONG_HOP_CC!O87)</f>
        <v/>
      </c>
      <c r="Q87" s="110">
        <f>IF($B87="","",TONG_HOP_CC!P87)</f>
        <v/>
      </c>
      <c r="R87" s="110">
        <f>IF($B87="","",TONG_HOP_CC!Q87)</f>
        <v/>
      </c>
      <c r="S87" s="110">
        <f>IF($B87="","",TONG_HOP_CC!R87)</f>
        <v/>
      </c>
      <c r="T87" s="110">
        <f>IF($B87="","",TONG_HOP_CC!S87)</f>
        <v/>
      </c>
      <c r="U87" s="110">
        <f>IF($B87="","",TONG_HOP_CC!T87)</f>
        <v/>
      </c>
      <c r="W87" s="112">
        <f>IF(DM_NHAN_SU!$B87="","",IF(DM_NHAN_SU!$B87="","",DM_NHAN_SU!$B87))</f>
        <v/>
      </c>
      <c r="X87" s="113">
        <f>IF(DM_NHAN_SU!$B87="","",IF(DM_NHAN_SU!$C87="","",DM_NHAN_SU!$C87))</f>
        <v/>
      </c>
      <c r="Y87" s="113">
        <f>IF(DM_NHAN_SU!$B87="","",IF(DM_NHAN_SU!$D87="","",DM_NHAN_SU!$D87))</f>
        <v/>
      </c>
      <c r="Z87" s="113">
        <f>IF(DM_NHAN_SU!$B87="","",IF(DM_NHAN_SU!$E87="","",DM_NHAN_SU!$E87))</f>
        <v/>
      </c>
      <c r="AA87" s="114">
        <f>IF(DM_NHAN_SU!$B87="","",IF(DM_NHAN_SU!$F87="","",DM_NHAN_SU!$F87))</f>
        <v/>
      </c>
      <c r="AB87" s="114">
        <f>IF(DM_NHAN_SU!$B87="","",IF(DM_NHAN_SU!$G87="","",DM_NHAN_SU!$G87))</f>
        <v/>
      </c>
    </row>
    <row r="88" ht="15" customHeight="1" s="63">
      <c r="A88" s="85">
        <f>IF($B88="","",ROW()-5)</f>
        <v/>
      </c>
      <c r="B88" s="103">
        <f>IF(TONG_HOP_CC!B88="","",TONG_HOP_CC!B88)</f>
        <v/>
      </c>
      <c r="C88" s="96">
        <f>IF($B88="","",TONG_HOP_CC!C88)</f>
        <v/>
      </c>
      <c r="E88" s="112">
        <f>IF($B88="","","Tổng hợp")</f>
        <v/>
      </c>
      <c r="F88" s="110">
        <f>IF($B88="","",TONG_HOP_CC!E88)</f>
        <v/>
      </c>
      <c r="G88" s="110">
        <f>IF($B88="","",TONG_HOP_CC!G88)</f>
        <v/>
      </c>
      <c r="H88" s="110">
        <f>IF($B88="","",TONG_HOP_CC!H88)</f>
        <v/>
      </c>
      <c r="I88" s="110">
        <f>IF($B88="","",TONG_HOP_CC!I88)</f>
        <v/>
      </c>
      <c r="J88" s="110">
        <f>IF($B88="","",TONG_HOP_CC!J88)</f>
        <v/>
      </c>
      <c r="K88" s="110">
        <f>IF($B88="","",TONG_HOP_CC!K88)</f>
        <v/>
      </c>
      <c r="L88" s="110">
        <f>IF($B88="","",TONG_HOP_CC!L88)</f>
        <v/>
      </c>
      <c r="M88" s="110">
        <f>IF($B88="","",TONG_HOP_CC!M88)</f>
        <v/>
      </c>
      <c r="N88" s="110">
        <f>IF($B88="","",TONG_HOP_CC!N88)</f>
        <v/>
      </c>
      <c r="P88" s="110">
        <f>IF($B88="","",TONG_HOP_CC!O88)</f>
        <v/>
      </c>
      <c r="Q88" s="110">
        <f>IF($B88="","",TONG_HOP_CC!P88)</f>
        <v/>
      </c>
      <c r="R88" s="110">
        <f>IF($B88="","",TONG_HOP_CC!Q88)</f>
        <v/>
      </c>
      <c r="S88" s="110">
        <f>IF($B88="","",TONG_HOP_CC!R88)</f>
        <v/>
      </c>
      <c r="T88" s="110">
        <f>IF($B88="","",TONG_HOP_CC!S88)</f>
        <v/>
      </c>
      <c r="U88" s="110">
        <f>IF($B88="","",TONG_HOP_CC!T88)</f>
        <v/>
      </c>
      <c r="W88" s="112">
        <f>IF(DM_NHAN_SU!$B88="","",IF(DM_NHAN_SU!$B88="","",DM_NHAN_SU!$B88))</f>
        <v/>
      </c>
      <c r="X88" s="113">
        <f>IF(DM_NHAN_SU!$B88="","",IF(DM_NHAN_SU!$C88="","",DM_NHAN_SU!$C88))</f>
        <v/>
      </c>
      <c r="Y88" s="113">
        <f>IF(DM_NHAN_SU!$B88="","",IF(DM_NHAN_SU!$D88="","",DM_NHAN_SU!$D88))</f>
        <v/>
      </c>
      <c r="Z88" s="113">
        <f>IF(DM_NHAN_SU!$B88="","",IF(DM_NHAN_SU!$E88="","",DM_NHAN_SU!$E88))</f>
        <v/>
      </c>
      <c r="AA88" s="114">
        <f>IF(DM_NHAN_SU!$B88="","",IF(DM_NHAN_SU!$F88="","",DM_NHAN_SU!$F88))</f>
        <v/>
      </c>
      <c r="AB88" s="114">
        <f>IF(DM_NHAN_SU!$B88="","",IF(DM_NHAN_SU!$G88="","",DM_NHAN_SU!$G88))</f>
        <v/>
      </c>
    </row>
    <row r="89" ht="15" customHeight="1" s="63">
      <c r="A89" s="85">
        <f>IF($B89="","",ROW()-5)</f>
        <v/>
      </c>
      <c r="B89" s="103">
        <f>IF(TONG_HOP_CC!B89="","",TONG_HOP_CC!B89)</f>
        <v/>
      </c>
      <c r="C89" s="96">
        <f>IF($B89="","",TONG_HOP_CC!C89)</f>
        <v/>
      </c>
      <c r="E89" s="112">
        <f>IF($B89="","","Tổng hợp")</f>
        <v/>
      </c>
      <c r="F89" s="110">
        <f>IF($B89="","",TONG_HOP_CC!E89)</f>
        <v/>
      </c>
      <c r="G89" s="110">
        <f>IF($B89="","",TONG_HOP_CC!G89)</f>
        <v/>
      </c>
      <c r="H89" s="110">
        <f>IF($B89="","",TONG_HOP_CC!H89)</f>
        <v/>
      </c>
      <c r="I89" s="110">
        <f>IF($B89="","",TONG_HOP_CC!I89)</f>
        <v/>
      </c>
      <c r="J89" s="110">
        <f>IF($B89="","",TONG_HOP_CC!J89)</f>
        <v/>
      </c>
      <c r="K89" s="110">
        <f>IF($B89="","",TONG_HOP_CC!K89)</f>
        <v/>
      </c>
      <c r="L89" s="110">
        <f>IF($B89="","",TONG_HOP_CC!L89)</f>
        <v/>
      </c>
      <c r="M89" s="110">
        <f>IF($B89="","",TONG_HOP_CC!M89)</f>
        <v/>
      </c>
      <c r="N89" s="110">
        <f>IF($B89="","",TONG_HOP_CC!N89)</f>
        <v/>
      </c>
      <c r="P89" s="110">
        <f>IF($B89="","",TONG_HOP_CC!O89)</f>
        <v/>
      </c>
      <c r="Q89" s="110">
        <f>IF($B89="","",TONG_HOP_CC!P89)</f>
        <v/>
      </c>
      <c r="R89" s="110">
        <f>IF($B89="","",TONG_HOP_CC!Q89)</f>
        <v/>
      </c>
      <c r="S89" s="110">
        <f>IF($B89="","",TONG_HOP_CC!R89)</f>
        <v/>
      </c>
      <c r="T89" s="110">
        <f>IF($B89="","",TONG_HOP_CC!S89)</f>
        <v/>
      </c>
      <c r="U89" s="110">
        <f>IF($B89="","",TONG_HOP_CC!T89)</f>
        <v/>
      </c>
      <c r="W89" s="112">
        <f>IF(DM_NHAN_SU!$B89="","",IF(DM_NHAN_SU!$B89="","",DM_NHAN_SU!$B89))</f>
        <v/>
      </c>
      <c r="X89" s="113">
        <f>IF(DM_NHAN_SU!$B89="","",IF(DM_NHAN_SU!$C89="","",DM_NHAN_SU!$C89))</f>
        <v/>
      </c>
      <c r="Y89" s="113">
        <f>IF(DM_NHAN_SU!$B89="","",IF(DM_NHAN_SU!$D89="","",DM_NHAN_SU!$D89))</f>
        <v/>
      </c>
      <c r="Z89" s="113">
        <f>IF(DM_NHAN_SU!$B89="","",IF(DM_NHAN_SU!$E89="","",DM_NHAN_SU!$E89))</f>
        <v/>
      </c>
      <c r="AA89" s="114">
        <f>IF(DM_NHAN_SU!$B89="","",IF(DM_NHAN_SU!$F89="","",DM_NHAN_SU!$F89))</f>
        <v/>
      </c>
      <c r="AB89" s="114">
        <f>IF(DM_NHAN_SU!$B89="","",IF(DM_NHAN_SU!$G89="","",DM_NHAN_SU!$G89))</f>
        <v/>
      </c>
    </row>
    <row r="90" ht="15" customHeight="1" s="63">
      <c r="A90" s="85">
        <f>IF($B90="","",ROW()-5)</f>
        <v/>
      </c>
      <c r="B90" s="103">
        <f>IF(TONG_HOP_CC!B90="","",TONG_HOP_CC!B90)</f>
        <v/>
      </c>
      <c r="C90" s="96">
        <f>IF($B90="","",TONG_HOP_CC!C90)</f>
        <v/>
      </c>
      <c r="E90" s="112">
        <f>IF($B90="","","Tổng hợp")</f>
        <v/>
      </c>
      <c r="F90" s="110">
        <f>IF($B90="","",TONG_HOP_CC!E90)</f>
        <v/>
      </c>
      <c r="G90" s="110">
        <f>IF($B90="","",TONG_HOP_CC!G90)</f>
        <v/>
      </c>
      <c r="H90" s="110">
        <f>IF($B90="","",TONG_HOP_CC!H90)</f>
        <v/>
      </c>
      <c r="I90" s="110">
        <f>IF($B90="","",TONG_HOP_CC!I90)</f>
        <v/>
      </c>
      <c r="J90" s="110">
        <f>IF($B90="","",TONG_HOP_CC!J90)</f>
        <v/>
      </c>
      <c r="K90" s="110">
        <f>IF($B90="","",TONG_HOP_CC!K90)</f>
        <v/>
      </c>
      <c r="L90" s="110">
        <f>IF($B90="","",TONG_HOP_CC!L90)</f>
        <v/>
      </c>
      <c r="M90" s="110">
        <f>IF($B90="","",TONG_HOP_CC!M90)</f>
        <v/>
      </c>
      <c r="N90" s="110">
        <f>IF($B90="","",TONG_HOP_CC!N90)</f>
        <v/>
      </c>
      <c r="P90" s="110">
        <f>IF($B90="","",TONG_HOP_CC!O90)</f>
        <v/>
      </c>
      <c r="Q90" s="110">
        <f>IF($B90="","",TONG_HOP_CC!P90)</f>
        <v/>
      </c>
      <c r="R90" s="110">
        <f>IF($B90="","",TONG_HOP_CC!Q90)</f>
        <v/>
      </c>
      <c r="S90" s="110">
        <f>IF($B90="","",TONG_HOP_CC!R90)</f>
        <v/>
      </c>
      <c r="T90" s="110">
        <f>IF($B90="","",TONG_HOP_CC!S90)</f>
        <v/>
      </c>
      <c r="U90" s="110">
        <f>IF($B90="","",TONG_HOP_CC!T90)</f>
        <v/>
      </c>
      <c r="W90" s="112">
        <f>IF(DM_NHAN_SU!$B90="","",IF(DM_NHAN_SU!$B90="","",DM_NHAN_SU!$B90))</f>
        <v/>
      </c>
      <c r="X90" s="113">
        <f>IF(DM_NHAN_SU!$B90="","",IF(DM_NHAN_SU!$C90="","",DM_NHAN_SU!$C90))</f>
        <v/>
      </c>
      <c r="Y90" s="113">
        <f>IF(DM_NHAN_SU!$B90="","",IF(DM_NHAN_SU!$D90="","",DM_NHAN_SU!$D90))</f>
        <v/>
      </c>
      <c r="Z90" s="113">
        <f>IF(DM_NHAN_SU!$B90="","",IF(DM_NHAN_SU!$E90="","",DM_NHAN_SU!$E90))</f>
        <v/>
      </c>
      <c r="AA90" s="114">
        <f>IF(DM_NHAN_SU!$B90="","",IF(DM_NHAN_SU!$F90="","",DM_NHAN_SU!$F90))</f>
        <v/>
      </c>
      <c r="AB90" s="114">
        <f>IF(DM_NHAN_SU!$B90="","",IF(DM_NHAN_SU!$G90="","",DM_NHAN_SU!$G90))</f>
        <v/>
      </c>
    </row>
    <row r="91" ht="15" customHeight="1" s="63">
      <c r="A91" s="85">
        <f>IF($B91="","",ROW()-5)</f>
        <v/>
      </c>
      <c r="B91" s="103">
        <f>IF(TONG_HOP_CC!B91="","",TONG_HOP_CC!B91)</f>
        <v/>
      </c>
      <c r="C91" s="96">
        <f>IF($B91="","",TONG_HOP_CC!C91)</f>
        <v/>
      </c>
      <c r="E91" s="112">
        <f>IF($B91="","","Tổng hợp")</f>
        <v/>
      </c>
      <c r="F91" s="110">
        <f>IF($B91="","",TONG_HOP_CC!E91)</f>
        <v/>
      </c>
      <c r="G91" s="110">
        <f>IF($B91="","",TONG_HOP_CC!G91)</f>
        <v/>
      </c>
      <c r="H91" s="110">
        <f>IF($B91="","",TONG_HOP_CC!H91)</f>
        <v/>
      </c>
      <c r="I91" s="110">
        <f>IF($B91="","",TONG_HOP_CC!I91)</f>
        <v/>
      </c>
      <c r="J91" s="110">
        <f>IF($B91="","",TONG_HOP_CC!J91)</f>
        <v/>
      </c>
      <c r="K91" s="110">
        <f>IF($B91="","",TONG_HOP_CC!K91)</f>
        <v/>
      </c>
      <c r="L91" s="110">
        <f>IF($B91="","",TONG_HOP_CC!L91)</f>
        <v/>
      </c>
      <c r="M91" s="110">
        <f>IF($B91="","",TONG_HOP_CC!M91)</f>
        <v/>
      </c>
      <c r="N91" s="110">
        <f>IF($B91="","",TONG_HOP_CC!N91)</f>
        <v/>
      </c>
      <c r="P91" s="110">
        <f>IF($B91="","",TONG_HOP_CC!O91)</f>
        <v/>
      </c>
      <c r="Q91" s="110">
        <f>IF($B91="","",TONG_HOP_CC!P91)</f>
        <v/>
      </c>
      <c r="R91" s="110">
        <f>IF($B91="","",TONG_HOP_CC!Q91)</f>
        <v/>
      </c>
      <c r="S91" s="110">
        <f>IF($B91="","",TONG_HOP_CC!R91)</f>
        <v/>
      </c>
      <c r="T91" s="110">
        <f>IF($B91="","",TONG_HOP_CC!S91)</f>
        <v/>
      </c>
      <c r="U91" s="110">
        <f>IF($B91="","",TONG_HOP_CC!T91)</f>
        <v/>
      </c>
      <c r="W91" s="112">
        <f>IF(DM_NHAN_SU!$B91="","",IF(DM_NHAN_SU!$B91="","",DM_NHAN_SU!$B91))</f>
        <v/>
      </c>
      <c r="X91" s="113">
        <f>IF(DM_NHAN_SU!$B91="","",IF(DM_NHAN_SU!$C91="","",DM_NHAN_SU!$C91))</f>
        <v/>
      </c>
      <c r="Y91" s="113">
        <f>IF(DM_NHAN_SU!$B91="","",IF(DM_NHAN_SU!$D91="","",DM_NHAN_SU!$D91))</f>
        <v/>
      </c>
      <c r="Z91" s="113">
        <f>IF(DM_NHAN_SU!$B91="","",IF(DM_NHAN_SU!$E91="","",DM_NHAN_SU!$E91))</f>
        <v/>
      </c>
      <c r="AA91" s="114">
        <f>IF(DM_NHAN_SU!$B91="","",IF(DM_NHAN_SU!$F91="","",DM_NHAN_SU!$F91))</f>
        <v/>
      </c>
      <c r="AB91" s="114">
        <f>IF(DM_NHAN_SU!$B91="","",IF(DM_NHAN_SU!$G91="","",DM_NHAN_SU!$G91))</f>
        <v/>
      </c>
    </row>
    <row r="92" ht="15" customHeight="1" s="63">
      <c r="A92" s="85">
        <f>IF($B92="","",ROW()-5)</f>
        <v/>
      </c>
      <c r="B92" s="103">
        <f>IF(TONG_HOP_CC!B92="","",TONG_HOP_CC!B92)</f>
        <v/>
      </c>
      <c r="C92" s="96">
        <f>IF($B92="","",TONG_HOP_CC!C92)</f>
        <v/>
      </c>
      <c r="E92" s="112">
        <f>IF($B92="","","Tổng hợp")</f>
        <v/>
      </c>
      <c r="F92" s="110">
        <f>IF($B92="","",TONG_HOP_CC!E92)</f>
        <v/>
      </c>
      <c r="G92" s="110">
        <f>IF($B92="","",TONG_HOP_CC!G92)</f>
        <v/>
      </c>
      <c r="H92" s="110">
        <f>IF($B92="","",TONG_HOP_CC!H92)</f>
        <v/>
      </c>
      <c r="I92" s="110">
        <f>IF($B92="","",TONG_HOP_CC!I92)</f>
        <v/>
      </c>
      <c r="J92" s="110">
        <f>IF($B92="","",TONG_HOP_CC!J92)</f>
        <v/>
      </c>
      <c r="K92" s="110">
        <f>IF($B92="","",TONG_HOP_CC!K92)</f>
        <v/>
      </c>
      <c r="L92" s="110">
        <f>IF($B92="","",TONG_HOP_CC!L92)</f>
        <v/>
      </c>
      <c r="M92" s="110">
        <f>IF($B92="","",TONG_HOP_CC!M92)</f>
        <v/>
      </c>
      <c r="N92" s="110">
        <f>IF($B92="","",TONG_HOP_CC!N92)</f>
        <v/>
      </c>
      <c r="P92" s="110">
        <f>IF($B92="","",TONG_HOP_CC!O92)</f>
        <v/>
      </c>
      <c r="Q92" s="110">
        <f>IF($B92="","",TONG_HOP_CC!P92)</f>
        <v/>
      </c>
      <c r="R92" s="110">
        <f>IF($B92="","",TONG_HOP_CC!Q92)</f>
        <v/>
      </c>
      <c r="S92" s="110">
        <f>IF($B92="","",TONG_HOP_CC!R92)</f>
        <v/>
      </c>
      <c r="T92" s="110">
        <f>IF($B92="","",TONG_HOP_CC!S92)</f>
        <v/>
      </c>
      <c r="U92" s="110">
        <f>IF($B92="","",TONG_HOP_CC!T92)</f>
        <v/>
      </c>
      <c r="W92" s="112">
        <f>IF(DM_NHAN_SU!$B92="","",IF(DM_NHAN_SU!$B92="","",DM_NHAN_SU!$B92))</f>
        <v/>
      </c>
      <c r="X92" s="113">
        <f>IF(DM_NHAN_SU!$B92="","",IF(DM_NHAN_SU!$C92="","",DM_NHAN_SU!$C92))</f>
        <v/>
      </c>
      <c r="Y92" s="113">
        <f>IF(DM_NHAN_SU!$B92="","",IF(DM_NHAN_SU!$D92="","",DM_NHAN_SU!$D92))</f>
        <v/>
      </c>
      <c r="Z92" s="113">
        <f>IF(DM_NHAN_SU!$B92="","",IF(DM_NHAN_SU!$E92="","",DM_NHAN_SU!$E92))</f>
        <v/>
      </c>
      <c r="AA92" s="114">
        <f>IF(DM_NHAN_SU!$B92="","",IF(DM_NHAN_SU!$F92="","",DM_NHAN_SU!$F92))</f>
        <v/>
      </c>
      <c r="AB92" s="114">
        <f>IF(DM_NHAN_SU!$B92="","",IF(DM_NHAN_SU!$G92="","",DM_NHAN_SU!$G92))</f>
        <v/>
      </c>
    </row>
    <row r="93" ht="15" customHeight="1" s="63">
      <c r="A93" s="85">
        <f>IF($B93="","",ROW()-5)</f>
        <v/>
      </c>
      <c r="B93" s="103">
        <f>IF(TONG_HOP_CC!B93="","",TONG_HOP_CC!B93)</f>
        <v/>
      </c>
      <c r="C93" s="96">
        <f>IF($B93="","",TONG_HOP_CC!C93)</f>
        <v/>
      </c>
      <c r="E93" s="112">
        <f>IF($B93="","","Tổng hợp")</f>
        <v/>
      </c>
      <c r="F93" s="110">
        <f>IF($B93="","",TONG_HOP_CC!E93)</f>
        <v/>
      </c>
      <c r="G93" s="110">
        <f>IF($B93="","",TONG_HOP_CC!G93)</f>
        <v/>
      </c>
      <c r="H93" s="110">
        <f>IF($B93="","",TONG_HOP_CC!H93)</f>
        <v/>
      </c>
      <c r="I93" s="110">
        <f>IF($B93="","",TONG_HOP_CC!I93)</f>
        <v/>
      </c>
      <c r="J93" s="110">
        <f>IF($B93="","",TONG_HOP_CC!J93)</f>
        <v/>
      </c>
      <c r="K93" s="110">
        <f>IF($B93="","",TONG_HOP_CC!K93)</f>
        <v/>
      </c>
      <c r="L93" s="110">
        <f>IF($B93="","",TONG_HOP_CC!L93)</f>
        <v/>
      </c>
      <c r="M93" s="110">
        <f>IF($B93="","",TONG_HOP_CC!M93)</f>
        <v/>
      </c>
      <c r="N93" s="110">
        <f>IF($B93="","",TONG_HOP_CC!N93)</f>
        <v/>
      </c>
      <c r="P93" s="110">
        <f>IF($B93="","",TONG_HOP_CC!O93)</f>
        <v/>
      </c>
      <c r="Q93" s="110">
        <f>IF($B93="","",TONG_HOP_CC!P93)</f>
        <v/>
      </c>
      <c r="R93" s="110">
        <f>IF($B93="","",TONG_HOP_CC!Q93)</f>
        <v/>
      </c>
      <c r="S93" s="110">
        <f>IF($B93="","",TONG_HOP_CC!R93)</f>
        <v/>
      </c>
      <c r="T93" s="110">
        <f>IF($B93="","",TONG_HOP_CC!S93)</f>
        <v/>
      </c>
      <c r="U93" s="110">
        <f>IF($B93="","",TONG_HOP_CC!T93)</f>
        <v/>
      </c>
      <c r="W93" s="112">
        <f>IF(DM_NHAN_SU!$B93="","",IF(DM_NHAN_SU!$B93="","",DM_NHAN_SU!$B93))</f>
        <v/>
      </c>
      <c r="X93" s="113">
        <f>IF(DM_NHAN_SU!$B93="","",IF(DM_NHAN_SU!$C93="","",DM_NHAN_SU!$C93))</f>
        <v/>
      </c>
      <c r="Y93" s="113">
        <f>IF(DM_NHAN_SU!$B93="","",IF(DM_NHAN_SU!$D93="","",DM_NHAN_SU!$D93))</f>
        <v/>
      </c>
      <c r="Z93" s="113">
        <f>IF(DM_NHAN_SU!$B93="","",IF(DM_NHAN_SU!$E93="","",DM_NHAN_SU!$E93))</f>
        <v/>
      </c>
      <c r="AA93" s="114">
        <f>IF(DM_NHAN_SU!$B93="","",IF(DM_NHAN_SU!$F93="","",DM_NHAN_SU!$F93))</f>
        <v/>
      </c>
      <c r="AB93" s="114">
        <f>IF(DM_NHAN_SU!$B93="","",IF(DM_NHAN_SU!$G93="","",DM_NHAN_SU!$G93))</f>
        <v/>
      </c>
    </row>
    <row r="94" ht="15" customHeight="1" s="63">
      <c r="A94" s="85">
        <f>IF($B94="","",ROW()-5)</f>
        <v/>
      </c>
      <c r="B94" s="103">
        <f>IF(TONG_HOP_CC!B94="","",TONG_HOP_CC!B94)</f>
        <v/>
      </c>
      <c r="C94" s="96">
        <f>IF($B94="","",TONG_HOP_CC!C94)</f>
        <v/>
      </c>
      <c r="E94" s="112">
        <f>IF($B94="","","Tổng hợp")</f>
        <v/>
      </c>
      <c r="F94" s="110">
        <f>IF($B94="","",TONG_HOP_CC!E94)</f>
        <v/>
      </c>
      <c r="G94" s="110">
        <f>IF($B94="","",TONG_HOP_CC!G94)</f>
        <v/>
      </c>
      <c r="H94" s="110">
        <f>IF($B94="","",TONG_HOP_CC!H94)</f>
        <v/>
      </c>
      <c r="I94" s="110">
        <f>IF($B94="","",TONG_HOP_CC!I94)</f>
        <v/>
      </c>
      <c r="J94" s="110">
        <f>IF($B94="","",TONG_HOP_CC!J94)</f>
        <v/>
      </c>
      <c r="K94" s="110">
        <f>IF($B94="","",TONG_HOP_CC!K94)</f>
        <v/>
      </c>
      <c r="L94" s="110">
        <f>IF($B94="","",TONG_HOP_CC!L94)</f>
        <v/>
      </c>
      <c r="M94" s="110">
        <f>IF($B94="","",TONG_HOP_CC!M94)</f>
        <v/>
      </c>
      <c r="N94" s="110">
        <f>IF($B94="","",TONG_HOP_CC!N94)</f>
        <v/>
      </c>
      <c r="P94" s="110">
        <f>IF($B94="","",TONG_HOP_CC!O94)</f>
        <v/>
      </c>
      <c r="Q94" s="110">
        <f>IF($B94="","",TONG_HOP_CC!P94)</f>
        <v/>
      </c>
      <c r="R94" s="110">
        <f>IF($B94="","",TONG_HOP_CC!Q94)</f>
        <v/>
      </c>
      <c r="S94" s="110">
        <f>IF($B94="","",TONG_HOP_CC!R94)</f>
        <v/>
      </c>
      <c r="T94" s="110">
        <f>IF($B94="","",TONG_HOP_CC!S94)</f>
        <v/>
      </c>
      <c r="U94" s="110">
        <f>IF($B94="","",TONG_HOP_CC!T94)</f>
        <v/>
      </c>
      <c r="W94" s="112">
        <f>IF(DM_NHAN_SU!$B94="","",IF(DM_NHAN_SU!$B94="","",DM_NHAN_SU!$B94))</f>
        <v/>
      </c>
      <c r="X94" s="113">
        <f>IF(DM_NHAN_SU!$B94="","",IF(DM_NHAN_SU!$C94="","",DM_NHAN_SU!$C94))</f>
        <v/>
      </c>
      <c r="Y94" s="113">
        <f>IF(DM_NHAN_SU!$B94="","",IF(DM_NHAN_SU!$D94="","",DM_NHAN_SU!$D94))</f>
        <v/>
      </c>
      <c r="Z94" s="113">
        <f>IF(DM_NHAN_SU!$B94="","",IF(DM_NHAN_SU!$E94="","",DM_NHAN_SU!$E94))</f>
        <v/>
      </c>
      <c r="AA94" s="114">
        <f>IF(DM_NHAN_SU!$B94="","",IF(DM_NHAN_SU!$F94="","",DM_NHAN_SU!$F94))</f>
        <v/>
      </c>
      <c r="AB94" s="114">
        <f>IF(DM_NHAN_SU!$B94="","",IF(DM_NHAN_SU!$G94="","",DM_NHAN_SU!$G94))</f>
        <v/>
      </c>
    </row>
    <row r="95" ht="15" customHeight="1" s="63">
      <c r="A95" s="85">
        <f>IF($B95="","",ROW()-5)</f>
        <v/>
      </c>
      <c r="B95" s="103">
        <f>IF(TONG_HOP_CC!B95="","",TONG_HOP_CC!B95)</f>
        <v/>
      </c>
      <c r="C95" s="96">
        <f>IF($B95="","",TONG_HOP_CC!C95)</f>
        <v/>
      </c>
      <c r="E95" s="112">
        <f>IF($B95="","","Tổng hợp")</f>
        <v/>
      </c>
      <c r="F95" s="110">
        <f>IF($B95="","",TONG_HOP_CC!E95)</f>
        <v/>
      </c>
      <c r="G95" s="110">
        <f>IF($B95="","",TONG_HOP_CC!G95)</f>
        <v/>
      </c>
      <c r="H95" s="110">
        <f>IF($B95="","",TONG_HOP_CC!H95)</f>
        <v/>
      </c>
      <c r="I95" s="110">
        <f>IF($B95="","",TONG_HOP_CC!I95)</f>
        <v/>
      </c>
      <c r="J95" s="110">
        <f>IF($B95="","",TONG_HOP_CC!J95)</f>
        <v/>
      </c>
      <c r="K95" s="110">
        <f>IF($B95="","",TONG_HOP_CC!K95)</f>
        <v/>
      </c>
      <c r="L95" s="110">
        <f>IF($B95="","",TONG_HOP_CC!L95)</f>
        <v/>
      </c>
      <c r="M95" s="110">
        <f>IF($B95="","",TONG_HOP_CC!M95)</f>
        <v/>
      </c>
      <c r="N95" s="110">
        <f>IF($B95="","",TONG_HOP_CC!N95)</f>
        <v/>
      </c>
      <c r="P95" s="110">
        <f>IF($B95="","",TONG_HOP_CC!O95)</f>
        <v/>
      </c>
      <c r="Q95" s="110">
        <f>IF($B95="","",TONG_HOP_CC!P95)</f>
        <v/>
      </c>
      <c r="R95" s="110">
        <f>IF($B95="","",TONG_HOP_CC!Q95)</f>
        <v/>
      </c>
      <c r="S95" s="110">
        <f>IF($B95="","",TONG_HOP_CC!R95)</f>
        <v/>
      </c>
      <c r="T95" s="110">
        <f>IF($B95="","",TONG_HOP_CC!S95)</f>
        <v/>
      </c>
      <c r="U95" s="110">
        <f>IF($B95="","",TONG_HOP_CC!T95)</f>
        <v/>
      </c>
      <c r="W95" s="112">
        <f>IF(DM_NHAN_SU!$B95="","",IF(DM_NHAN_SU!$B95="","",DM_NHAN_SU!$B95))</f>
        <v/>
      </c>
      <c r="X95" s="113">
        <f>IF(DM_NHAN_SU!$B95="","",IF(DM_NHAN_SU!$C95="","",DM_NHAN_SU!$C95))</f>
        <v/>
      </c>
      <c r="Y95" s="113">
        <f>IF(DM_NHAN_SU!$B95="","",IF(DM_NHAN_SU!$D95="","",DM_NHAN_SU!$D95))</f>
        <v/>
      </c>
      <c r="Z95" s="113">
        <f>IF(DM_NHAN_SU!$B95="","",IF(DM_NHAN_SU!$E95="","",DM_NHAN_SU!$E95))</f>
        <v/>
      </c>
      <c r="AA95" s="114">
        <f>IF(DM_NHAN_SU!$B95="","",IF(DM_NHAN_SU!$F95="","",DM_NHAN_SU!$F95))</f>
        <v/>
      </c>
      <c r="AB95" s="114">
        <f>IF(DM_NHAN_SU!$B95="","",IF(DM_NHAN_SU!$G95="","",DM_NHAN_SU!$G95))</f>
        <v/>
      </c>
    </row>
    <row r="96" ht="15" customHeight="1" s="63">
      <c r="A96" s="85">
        <f>IF($B96="","",ROW()-5)</f>
        <v/>
      </c>
      <c r="B96" s="103">
        <f>IF(TONG_HOP_CC!B96="","",TONG_HOP_CC!B96)</f>
        <v/>
      </c>
      <c r="C96" s="96">
        <f>IF($B96="","",TONG_HOP_CC!C96)</f>
        <v/>
      </c>
      <c r="E96" s="112">
        <f>IF($B96="","","Tổng hợp")</f>
        <v/>
      </c>
      <c r="F96" s="110">
        <f>IF($B96="","",TONG_HOP_CC!E96)</f>
        <v/>
      </c>
      <c r="G96" s="110">
        <f>IF($B96="","",TONG_HOP_CC!G96)</f>
        <v/>
      </c>
      <c r="H96" s="110">
        <f>IF($B96="","",TONG_HOP_CC!H96)</f>
        <v/>
      </c>
      <c r="I96" s="110">
        <f>IF($B96="","",TONG_HOP_CC!I96)</f>
        <v/>
      </c>
      <c r="J96" s="110">
        <f>IF($B96="","",TONG_HOP_CC!J96)</f>
        <v/>
      </c>
      <c r="K96" s="110">
        <f>IF($B96="","",TONG_HOP_CC!K96)</f>
        <v/>
      </c>
      <c r="L96" s="110">
        <f>IF($B96="","",TONG_HOP_CC!L96)</f>
        <v/>
      </c>
      <c r="M96" s="110">
        <f>IF($B96="","",TONG_HOP_CC!M96)</f>
        <v/>
      </c>
      <c r="N96" s="110">
        <f>IF($B96="","",TONG_HOP_CC!N96)</f>
        <v/>
      </c>
      <c r="P96" s="110">
        <f>IF($B96="","",TONG_HOP_CC!O96)</f>
        <v/>
      </c>
      <c r="Q96" s="110">
        <f>IF($B96="","",TONG_HOP_CC!P96)</f>
        <v/>
      </c>
      <c r="R96" s="110">
        <f>IF($B96="","",TONG_HOP_CC!Q96)</f>
        <v/>
      </c>
      <c r="S96" s="110">
        <f>IF($B96="","",TONG_HOP_CC!R96)</f>
        <v/>
      </c>
      <c r="T96" s="110">
        <f>IF($B96="","",TONG_HOP_CC!S96)</f>
        <v/>
      </c>
      <c r="U96" s="110">
        <f>IF($B96="","",TONG_HOP_CC!T96)</f>
        <v/>
      </c>
      <c r="W96" s="112">
        <f>IF(DM_NHAN_SU!$B96="","",IF(DM_NHAN_SU!$B96="","",DM_NHAN_SU!$B96))</f>
        <v/>
      </c>
      <c r="X96" s="113">
        <f>IF(DM_NHAN_SU!$B96="","",IF(DM_NHAN_SU!$C96="","",DM_NHAN_SU!$C96))</f>
        <v/>
      </c>
      <c r="Y96" s="113">
        <f>IF(DM_NHAN_SU!$B96="","",IF(DM_NHAN_SU!$D96="","",DM_NHAN_SU!$D96))</f>
        <v/>
      </c>
      <c r="Z96" s="113">
        <f>IF(DM_NHAN_SU!$B96="","",IF(DM_NHAN_SU!$E96="","",DM_NHAN_SU!$E96))</f>
        <v/>
      </c>
      <c r="AA96" s="114">
        <f>IF(DM_NHAN_SU!$B96="","",IF(DM_NHAN_SU!$F96="","",DM_NHAN_SU!$F96))</f>
        <v/>
      </c>
      <c r="AB96" s="114">
        <f>IF(DM_NHAN_SU!$B96="","",IF(DM_NHAN_SU!$G96="","",DM_NHAN_SU!$G96))</f>
        <v/>
      </c>
    </row>
    <row r="97" ht="15" customHeight="1" s="63">
      <c r="A97" s="85">
        <f>IF($B97="","",ROW()-5)</f>
        <v/>
      </c>
      <c r="B97" s="103">
        <f>IF(TONG_HOP_CC!B97="","",TONG_HOP_CC!B97)</f>
        <v/>
      </c>
      <c r="C97" s="96">
        <f>IF($B97="","",TONG_HOP_CC!C97)</f>
        <v/>
      </c>
      <c r="E97" s="112">
        <f>IF($B97="","","Tổng hợp")</f>
        <v/>
      </c>
      <c r="F97" s="110">
        <f>IF($B97="","",TONG_HOP_CC!E97)</f>
        <v/>
      </c>
      <c r="G97" s="110">
        <f>IF($B97="","",TONG_HOP_CC!G97)</f>
        <v/>
      </c>
      <c r="H97" s="110">
        <f>IF($B97="","",TONG_HOP_CC!H97)</f>
        <v/>
      </c>
      <c r="I97" s="110">
        <f>IF($B97="","",TONG_HOP_CC!I97)</f>
        <v/>
      </c>
      <c r="J97" s="110">
        <f>IF($B97="","",TONG_HOP_CC!J97)</f>
        <v/>
      </c>
      <c r="K97" s="110">
        <f>IF($B97="","",TONG_HOP_CC!K97)</f>
        <v/>
      </c>
      <c r="L97" s="110">
        <f>IF($B97="","",TONG_HOP_CC!L97)</f>
        <v/>
      </c>
      <c r="M97" s="110">
        <f>IF($B97="","",TONG_HOP_CC!M97)</f>
        <v/>
      </c>
      <c r="N97" s="110">
        <f>IF($B97="","",TONG_HOP_CC!N97)</f>
        <v/>
      </c>
      <c r="P97" s="110">
        <f>IF($B97="","",TONG_HOP_CC!O97)</f>
        <v/>
      </c>
      <c r="Q97" s="110">
        <f>IF($B97="","",TONG_HOP_CC!P97)</f>
        <v/>
      </c>
      <c r="R97" s="110">
        <f>IF($B97="","",TONG_HOP_CC!Q97)</f>
        <v/>
      </c>
      <c r="S97" s="110">
        <f>IF($B97="","",TONG_HOP_CC!R97)</f>
        <v/>
      </c>
      <c r="T97" s="110">
        <f>IF($B97="","",TONG_HOP_CC!S97)</f>
        <v/>
      </c>
      <c r="U97" s="110">
        <f>IF($B97="","",TONG_HOP_CC!T97)</f>
        <v/>
      </c>
      <c r="W97" s="112">
        <f>IF(DM_NHAN_SU!$B97="","",IF(DM_NHAN_SU!$B97="","",DM_NHAN_SU!$B97))</f>
        <v/>
      </c>
      <c r="X97" s="113">
        <f>IF(DM_NHAN_SU!$B97="","",IF(DM_NHAN_SU!$C97="","",DM_NHAN_SU!$C97))</f>
        <v/>
      </c>
      <c r="Y97" s="113">
        <f>IF(DM_NHAN_SU!$B97="","",IF(DM_NHAN_SU!$D97="","",DM_NHAN_SU!$D97))</f>
        <v/>
      </c>
      <c r="Z97" s="113">
        <f>IF(DM_NHAN_SU!$B97="","",IF(DM_NHAN_SU!$E97="","",DM_NHAN_SU!$E97))</f>
        <v/>
      </c>
      <c r="AA97" s="114">
        <f>IF(DM_NHAN_SU!$B97="","",IF(DM_NHAN_SU!$F97="","",DM_NHAN_SU!$F97))</f>
        <v/>
      </c>
      <c r="AB97" s="114">
        <f>IF(DM_NHAN_SU!$B97="","",IF(DM_NHAN_SU!$G97="","",DM_NHAN_SU!$G97))</f>
        <v/>
      </c>
    </row>
    <row r="98" ht="15" customHeight="1" s="63">
      <c r="A98" s="85">
        <f>IF($B98="","",ROW()-5)</f>
        <v/>
      </c>
      <c r="B98" s="103">
        <f>IF(TONG_HOP_CC!B98="","",TONG_HOP_CC!B98)</f>
        <v/>
      </c>
      <c r="C98" s="96">
        <f>IF($B98="","",TONG_HOP_CC!C98)</f>
        <v/>
      </c>
      <c r="E98" s="112">
        <f>IF($B98="","","Tổng hợp")</f>
        <v/>
      </c>
      <c r="F98" s="110">
        <f>IF($B98="","",TONG_HOP_CC!E98)</f>
        <v/>
      </c>
      <c r="G98" s="110">
        <f>IF($B98="","",TONG_HOP_CC!G98)</f>
        <v/>
      </c>
      <c r="H98" s="110">
        <f>IF($B98="","",TONG_HOP_CC!H98)</f>
        <v/>
      </c>
      <c r="I98" s="110">
        <f>IF($B98="","",TONG_HOP_CC!I98)</f>
        <v/>
      </c>
      <c r="J98" s="110">
        <f>IF($B98="","",TONG_HOP_CC!J98)</f>
        <v/>
      </c>
      <c r="K98" s="110">
        <f>IF($B98="","",TONG_HOP_CC!K98)</f>
        <v/>
      </c>
      <c r="L98" s="110">
        <f>IF($B98="","",TONG_HOP_CC!L98)</f>
        <v/>
      </c>
      <c r="M98" s="110">
        <f>IF($B98="","",TONG_HOP_CC!M98)</f>
        <v/>
      </c>
      <c r="N98" s="110">
        <f>IF($B98="","",TONG_HOP_CC!N98)</f>
        <v/>
      </c>
      <c r="P98" s="110">
        <f>IF($B98="","",TONG_HOP_CC!O98)</f>
        <v/>
      </c>
      <c r="Q98" s="110">
        <f>IF($B98="","",TONG_HOP_CC!P98)</f>
        <v/>
      </c>
      <c r="R98" s="110">
        <f>IF($B98="","",TONG_HOP_CC!Q98)</f>
        <v/>
      </c>
      <c r="S98" s="110">
        <f>IF($B98="","",TONG_HOP_CC!R98)</f>
        <v/>
      </c>
      <c r="T98" s="110">
        <f>IF($B98="","",TONG_HOP_CC!S98)</f>
        <v/>
      </c>
      <c r="U98" s="110">
        <f>IF($B98="","",TONG_HOP_CC!T98)</f>
        <v/>
      </c>
      <c r="W98" s="112">
        <f>IF(DM_NHAN_SU!$B98="","",IF(DM_NHAN_SU!$B98="","",DM_NHAN_SU!$B98))</f>
        <v/>
      </c>
      <c r="X98" s="113">
        <f>IF(DM_NHAN_SU!$B98="","",IF(DM_NHAN_SU!$C98="","",DM_NHAN_SU!$C98))</f>
        <v/>
      </c>
      <c r="Y98" s="113">
        <f>IF(DM_NHAN_SU!$B98="","",IF(DM_NHAN_SU!$D98="","",DM_NHAN_SU!$D98))</f>
        <v/>
      </c>
      <c r="Z98" s="113">
        <f>IF(DM_NHAN_SU!$B98="","",IF(DM_NHAN_SU!$E98="","",DM_NHAN_SU!$E98))</f>
        <v/>
      </c>
      <c r="AA98" s="114">
        <f>IF(DM_NHAN_SU!$B98="","",IF(DM_NHAN_SU!$F98="","",DM_NHAN_SU!$F98))</f>
        <v/>
      </c>
      <c r="AB98" s="114">
        <f>IF(DM_NHAN_SU!$B98="","",IF(DM_NHAN_SU!$G98="","",DM_NHAN_SU!$G98))</f>
        <v/>
      </c>
    </row>
    <row r="99" ht="15" customHeight="1" s="63">
      <c r="A99" s="85">
        <f>IF($B99="","",ROW()-5)</f>
        <v/>
      </c>
      <c r="B99" s="103">
        <f>IF(TONG_HOP_CC!B99="","",TONG_HOP_CC!B99)</f>
        <v/>
      </c>
      <c r="C99" s="96">
        <f>IF($B99="","",TONG_HOP_CC!C99)</f>
        <v/>
      </c>
      <c r="E99" s="112">
        <f>IF($B99="","","Tổng hợp")</f>
        <v/>
      </c>
      <c r="F99" s="110">
        <f>IF($B99="","",TONG_HOP_CC!E99)</f>
        <v/>
      </c>
      <c r="G99" s="110">
        <f>IF($B99="","",TONG_HOP_CC!G99)</f>
        <v/>
      </c>
      <c r="H99" s="110">
        <f>IF($B99="","",TONG_HOP_CC!H99)</f>
        <v/>
      </c>
      <c r="I99" s="110">
        <f>IF($B99="","",TONG_HOP_CC!I99)</f>
        <v/>
      </c>
      <c r="J99" s="110">
        <f>IF($B99="","",TONG_HOP_CC!J99)</f>
        <v/>
      </c>
      <c r="K99" s="110">
        <f>IF($B99="","",TONG_HOP_CC!K99)</f>
        <v/>
      </c>
      <c r="L99" s="110">
        <f>IF($B99="","",TONG_HOP_CC!L99)</f>
        <v/>
      </c>
      <c r="M99" s="110">
        <f>IF($B99="","",TONG_HOP_CC!M99)</f>
        <v/>
      </c>
      <c r="N99" s="110">
        <f>IF($B99="","",TONG_HOP_CC!N99)</f>
        <v/>
      </c>
      <c r="P99" s="110">
        <f>IF($B99="","",TONG_HOP_CC!O99)</f>
        <v/>
      </c>
      <c r="Q99" s="110">
        <f>IF($B99="","",TONG_HOP_CC!P99)</f>
        <v/>
      </c>
      <c r="R99" s="110">
        <f>IF($B99="","",TONG_HOP_CC!Q99)</f>
        <v/>
      </c>
      <c r="S99" s="110">
        <f>IF($B99="","",TONG_HOP_CC!R99)</f>
        <v/>
      </c>
      <c r="T99" s="110">
        <f>IF($B99="","",TONG_HOP_CC!S99)</f>
        <v/>
      </c>
      <c r="U99" s="110">
        <f>IF($B99="","",TONG_HOP_CC!T99)</f>
        <v/>
      </c>
      <c r="W99" s="112">
        <f>IF(DM_NHAN_SU!$B99="","",IF(DM_NHAN_SU!$B99="","",DM_NHAN_SU!$B99))</f>
        <v/>
      </c>
      <c r="X99" s="113">
        <f>IF(DM_NHAN_SU!$B99="","",IF(DM_NHAN_SU!$C99="","",DM_NHAN_SU!$C99))</f>
        <v/>
      </c>
      <c r="Y99" s="113">
        <f>IF(DM_NHAN_SU!$B99="","",IF(DM_NHAN_SU!$D99="","",DM_NHAN_SU!$D99))</f>
        <v/>
      </c>
      <c r="Z99" s="113">
        <f>IF(DM_NHAN_SU!$B99="","",IF(DM_NHAN_SU!$E99="","",DM_NHAN_SU!$E99))</f>
        <v/>
      </c>
      <c r="AA99" s="114">
        <f>IF(DM_NHAN_SU!$B99="","",IF(DM_NHAN_SU!$F99="","",DM_NHAN_SU!$F99))</f>
        <v/>
      </c>
      <c r="AB99" s="114">
        <f>IF(DM_NHAN_SU!$B99="","",IF(DM_NHAN_SU!$G99="","",DM_NHAN_SU!$G99))</f>
        <v/>
      </c>
    </row>
    <row r="100" ht="15" customHeight="1" s="63">
      <c r="A100" s="85">
        <f>IF($B100="","",ROW()-5)</f>
        <v/>
      </c>
      <c r="B100" s="103">
        <f>IF(TONG_HOP_CC!B100="","",TONG_HOP_CC!B100)</f>
        <v/>
      </c>
      <c r="C100" s="96">
        <f>IF($B100="","",TONG_HOP_CC!C100)</f>
        <v/>
      </c>
      <c r="E100" s="112">
        <f>IF($B100="","","Tổng hợp")</f>
        <v/>
      </c>
      <c r="F100" s="110">
        <f>IF($B100="","",TONG_HOP_CC!E100)</f>
        <v/>
      </c>
      <c r="G100" s="110">
        <f>IF($B100="","",TONG_HOP_CC!G100)</f>
        <v/>
      </c>
      <c r="H100" s="110">
        <f>IF($B100="","",TONG_HOP_CC!H100)</f>
        <v/>
      </c>
      <c r="I100" s="110">
        <f>IF($B100="","",TONG_HOP_CC!I100)</f>
        <v/>
      </c>
      <c r="J100" s="110">
        <f>IF($B100="","",TONG_HOP_CC!J100)</f>
        <v/>
      </c>
      <c r="K100" s="110">
        <f>IF($B100="","",TONG_HOP_CC!K100)</f>
        <v/>
      </c>
      <c r="L100" s="110">
        <f>IF($B100="","",TONG_HOP_CC!L100)</f>
        <v/>
      </c>
      <c r="M100" s="110">
        <f>IF($B100="","",TONG_HOP_CC!M100)</f>
        <v/>
      </c>
      <c r="N100" s="110">
        <f>IF($B100="","",TONG_HOP_CC!N100)</f>
        <v/>
      </c>
      <c r="P100" s="110">
        <f>IF($B100="","",TONG_HOP_CC!O100)</f>
        <v/>
      </c>
      <c r="Q100" s="110">
        <f>IF($B100="","",TONG_HOP_CC!P100)</f>
        <v/>
      </c>
      <c r="R100" s="110">
        <f>IF($B100="","",TONG_HOP_CC!Q100)</f>
        <v/>
      </c>
      <c r="S100" s="110">
        <f>IF($B100="","",TONG_HOP_CC!R100)</f>
        <v/>
      </c>
      <c r="T100" s="110">
        <f>IF($B100="","",TONG_HOP_CC!S100)</f>
        <v/>
      </c>
      <c r="U100" s="110">
        <f>IF($B100="","",TONG_HOP_CC!T100)</f>
        <v/>
      </c>
      <c r="W100" s="112">
        <f>IF(DM_NHAN_SU!$B100="","",IF(DM_NHAN_SU!$B100="","",DM_NHAN_SU!$B100))</f>
        <v/>
      </c>
      <c r="X100" s="113">
        <f>IF(DM_NHAN_SU!$B100="","",IF(DM_NHAN_SU!$C100="","",DM_NHAN_SU!$C100))</f>
        <v/>
      </c>
      <c r="Y100" s="113">
        <f>IF(DM_NHAN_SU!$B100="","",IF(DM_NHAN_SU!$D100="","",DM_NHAN_SU!$D100))</f>
        <v/>
      </c>
      <c r="Z100" s="113">
        <f>IF(DM_NHAN_SU!$B100="","",IF(DM_NHAN_SU!$E100="","",DM_NHAN_SU!$E100))</f>
        <v/>
      </c>
      <c r="AA100" s="114">
        <f>IF(DM_NHAN_SU!$B100="","",IF(DM_NHAN_SU!$F100="","",DM_NHAN_SU!$F100))</f>
        <v/>
      </c>
      <c r="AB100" s="114">
        <f>IF(DM_NHAN_SU!$B100="","",IF(DM_NHAN_SU!$G100="","",DM_NHAN_SU!$G100))</f>
        <v/>
      </c>
    </row>
    <row r="101" ht="15" customHeight="1" s="63">
      <c r="A101" s="85">
        <f>IF($B101="","",ROW()-5)</f>
        <v/>
      </c>
      <c r="B101" s="103">
        <f>IF(TONG_HOP_CC!B101="","",TONG_HOP_CC!B101)</f>
        <v/>
      </c>
      <c r="C101" s="96">
        <f>IF($B101="","",TONG_HOP_CC!C101)</f>
        <v/>
      </c>
      <c r="E101" s="112">
        <f>IF($B101="","","Tổng hợp")</f>
        <v/>
      </c>
      <c r="F101" s="110">
        <f>IF($B101="","",TONG_HOP_CC!E101)</f>
        <v/>
      </c>
      <c r="G101" s="110">
        <f>IF($B101="","",TONG_HOP_CC!G101)</f>
        <v/>
      </c>
      <c r="H101" s="110">
        <f>IF($B101="","",TONG_HOP_CC!H101)</f>
        <v/>
      </c>
      <c r="I101" s="110">
        <f>IF($B101="","",TONG_HOP_CC!I101)</f>
        <v/>
      </c>
      <c r="J101" s="110">
        <f>IF($B101="","",TONG_HOP_CC!J101)</f>
        <v/>
      </c>
      <c r="K101" s="110">
        <f>IF($B101="","",TONG_HOP_CC!K101)</f>
        <v/>
      </c>
      <c r="L101" s="110">
        <f>IF($B101="","",TONG_HOP_CC!L101)</f>
        <v/>
      </c>
      <c r="M101" s="110">
        <f>IF($B101="","",TONG_HOP_CC!M101)</f>
        <v/>
      </c>
      <c r="N101" s="110">
        <f>IF($B101="","",TONG_HOP_CC!N101)</f>
        <v/>
      </c>
      <c r="P101" s="110">
        <f>IF($B101="","",TONG_HOP_CC!O101)</f>
        <v/>
      </c>
      <c r="Q101" s="110">
        <f>IF($B101="","",TONG_HOP_CC!P101)</f>
        <v/>
      </c>
      <c r="R101" s="110">
        <f>IF($B101="","",TONG_HOP_CC!Q101)</f>
        <v/>
      </c>
      <c r="S101" s="110">
        <f>IF($B101="","",TONG_HOP_CC!R101)</f>
        <v/>
      </c>
      <c r="T101" s="110">
        <f>IF($B101="","",TONG_HOP_CC!S101)</f>
        <v/>
      </c>
      <c r="U101" s="110">
        <f>IF($B101="","",TONG_HOP_CC!T101)</f>
        <v/>
      </c>
      <c r="W101" s="112">
        <f>IF(DM_NHAN_SU!$B101="","",IF(DM_NHAN_SU!$B101="","",DM_NHAN_SU!$B101))</f>
        <v/>
      </c>
      <c r="X101" s="113">
        <f>IF(DM_NHAN_SU!$B101="","",IF(DM_NHAN_SU!$C101="","",DM_NHAN_SU!$C101))</f>
        <v/>
      </c>
      <c r="Y101" s="113">
        <f>IF(DM_NHAN_SU!$B101="","",IF(DM_NHAN_SU!$D101="","",DM_NHAN_SU!$D101))</f>
        <v/>
      </c>
      <c r="Z101" s="113">
        <f>IF(DM_NHAN_SU!$B101="","",IF(DM_NHAN_SU!$E101="","",DM_NHAN_SU!$E101))</f>
        <v/>
      </c>
      <c r="AA101" s="114">
        <f>IF(DM_NHAN_SU!$B101="","",IF(DM_NHAN_SU!$F101="","",DM_NHAN_SU!$F101))</f>
        <v/>
      </c>
      <c r="AB101" s="114">
        <f>IF(DM_NHAN_SU!$B101="","",IF(DM_NHAN_SU!$G101="","",DM_NHAN_SU!$G101))</f>
        <v/>
      </c>
    </row>
    <row r="102" ht="15" customHeight="1" s="63">
      <c r="A102" s="85">
        <f>IF($B102="","",ROW()-5)</f>
        <v/>
      </c>
      <c r="B102" s="103">
        <f>IF(TONG_HOP_CC!B102="","",TONG_HOP_CC!B102)</f>
        <v/>
      </c>
      <c r="C102" s="96">
        <f>IF($B102="","",TONG_HOP_CC!C102)</f>
        <v/>
      </c>
      <c r="E102" s="112">
        <f>IF($B102="","","Tổng hợp")</f>
        <v/>
      </c>
      <c r="F102" s="110">
        <f>IF($B102="","",TONG_HOP_CC!E102)</f>
        <v/>
      </c>
      <c r="G102" s="110">
        <f>IF($B102="","",TONG_HOP_CC!G102)</f>
        <v/>
      </c>
      <c r="H102" s="110">
        <f>IF($B102="","",TONG_HOP_CC!H102)</f>
        <v/>
      </c>
      <c r="I102" s="110">
        <f>IF($B102="","",TONG_HOP_CC!I102)</f>
        <v/>
      </c>
      <c r="J102" s="110">
        <f>IF($B102="","",TONG_HOP_CC!J102)</f>
        <v/>
      </c>
      <c r="K102" s="110">
        <f>IF($B102="","",TONG_HOP_CC!K102)</f>
        <v/>
      </c>
      <c r="L102" s="110">
        <f>IF($B102="","",TONG_HOP_CC!L102)</f>
        <v/>
      </c>
      <c r="M102" s="110">
        <f>IF($B102="","",TONG_HOP_CC!M102)</f>
        <v/>
      </c>
      <c r="N102" s="110">
        <f>IF($B102="","",TONG_HOP_CC!N102)</f>
        <v/>
      </c>
      <c r="P102" s="110">
        <f>IF($B102="","",TONG_HOP_CC!O102)</f>
        <v/>
      </c>
      <c r="Q102" s="110">
        <f>IF($B102="","",TONG_HOP_CC!P102)</f>
        <v/>
      </c>
      <c r="R102" s="110">
        <f>IF($B102="","",TONG_HOP_CC!Q102)</f>
        <v/>
      </c>
      <c r="S102" s="110">
        <f>IF($B102="","",TONG_HOP_CC!R102)</f>
        <v/>
      </c>
      <c r="T102" s="110">
        <f>IF($B102="","",TONG_HOP_CC!S102)</f>
        <v/>
      </c>
      <c r="U102" s="110">
        <f>IF($B102="","",TONG_HOP_CC!T102)</f>
        <v/>
      </c>
      <c r="W102" s="112">
        <f>IF(DM_NHAN_SU!$B102="","",IF(DM_NHAN_SU!$B102="","",DM_NHAN_SU!$B102))</f>
        <v/>
      </c>
      <c r="X102" s="113">
        <f>IF(DM_NHAN_SU!$B102="","",IF(DM_NHAN_SU!$C102="","",DM_NHAN_SU!$C102))</f>
        <v/>
      </c>
      <c r="Y102" s="113">
        <f>IF(DM_NHAN_SU!$B102="","",IF(DM_NHAN_SU!$D102="","",DM_NHAN_SU!$D102))</f>
        <v/>
      </c>
      <c r="Z102" s="113">
        <f>IF(DM_NHAN_SU!$B102="","",IF(DM_NHAN_SU!$E102="","",DM_NHAN_SU!$E102))</f>
        <v/>
      </c>
      <c r="AA102" s="114">
        <f>IF(DM_NHAN_SU!$B102="","",IF(DM_NHAN_SU!$F102="","",DM_NHAN_SU!$F102))</f>
        <v/>
      </c>
      <c r="AB102" s="114">
        <f>IF(DM_NHAN_SU!$B102="","",IF(DM_NHAN_SU!$G102="","",DM_NHAN_SU!$G102))</f>
        <v/>
      </c>
    </row>
    <row r="103" ht="15" customHeight="1" s="63">
      <c r="A103" s="85">
        <f>IF($B103="","",ROW()-5)</f>
        <v/>
      </c>
      <c r="B103" s="103">
        <f>IF(TONG_HOP_CC!B103="","",TONG_HOP_CC!B103)</f>
        <v/>
      </c>
      <c r="C103" s="96">
        <f>IF($B103="","",TONG_HOP_CC!C103)</f>
        <v/>
      </c>
      <c r="E103" s="112">
        <f>IF($B103="","","Tổng hợp")</f>
        <v/>
      </c>
      <c r="F103" s="110">
        <f>IF($B103="","",TONG_HOP_CC!E103)</f>
        <v/>
      </c>
      <c r="G103" s="110">
        <f>IF($B103="","",TONG_HOP_CC!G103)</f>
        <v/>
      </c>
      <c r="H103" s="110">
        <f>IF($B103="","",TONG_HOP_CC!H103)</f>
        <v/>
      </c>
      <c r="I103" s="110">
        <f>IF($B103="","",TONG_HOP_CC!I103)</f>
        <v/>
      </c>
      <c r="J103" s="110">
        <f>IF($B103="","",TONG_HOP_CC!J103)</f>
        <v/>
      </c>
      <c r="K103" s="110">
        <f>IF($B103="","",TONG_HOP_CC!K103)</f>
        <v/>
      </c>
      <c r="L103" s="110">
        <f>IF($B103="","",TONG_HOP_CC!L103)</f>
        <v/>
      </c>
      <c r="M103" s="110">
        <f>IF($B103="","",TONG_HOP_CC!M103)</f>
        <v/>
      </c>
      <c r="N103" s="110">
        <f>IF($B103="","",TONG_HOP_CC!N103)</f>
        <v/>
      </c>
      <c r="P103" s="110">
        <f>IF($B103="","",TONG_HOP_CC!O103)</f>
        <v/>
      </c>
      <c r="Q103" s="110">
        <f>IF($B103="","",TONG_HOP_CC!P103)</f>
        <v/>
      </c>
      <c r="R103" s="110">
        <f>IF($B103="","",TONG_HOP_CC!Q103)</f>
        <v/>
      </c>
      <c r="S103" s="110">
        <f>IF($B103="","",TONG_HOP_CC!R103)</f>
        <v/>
      </c>
      <c r="T103" s="110">
        <f>IF($B103="","",TONG_HOP_CC!S103)</f>
        <v/>
      </c>
      <c r="U103" s="110">
        <f>IF($B103="","",TONG_HOP_CC!T103)</f>
        <v/>
      </c>
      <c r="W103" s="112">
        <f>IF(DM_NHAN_SU!$B103="","",IF(DM_NHAN_SU!$B103="","",DM_NHAN_SU!$B103))</f>
        <v/>
      </c>
      <c r="X103" s="113">
        <f>IF(DM_NHAN_SU!$B103="","",IF(DM_NHAN_SU!$C103="","",DM_NHAN_SU!$C103))</f>
        <v/>
      </c>
      <c r="Y103" s="113">
        <f>IF(DM_NHAN_SU!$B103="","",IF(DM_NHAN_SU!$D103="","",DM_NHAN_SU!$D103))</f>
        <v/>
      </c>
      <c r="Z103" s="113">
        <f>IF(DM_NHAN_SU!$B103="","",IF(DM_NHAN_SU!$E103="","",DM_NHAN_SU!$E103))</f>
        <v/>
      </c>
      <c r="AA103" s="114">
        <f>IF(DM_NHAN_SU!$B103="","",IF(DM_NHAN_SU!$F103="","",DM_NHAN_SU!$F103))</f>
        <v/>
      </c>
      <c r="AB103" s="114">
        <f>IF(DM_NHAN_SU!$B103="","",IF(DM_NHAN_SU!$G103="","",DM_NHAN_SU!$G103))</f>
        <v/>
      </c>
    </row>
    <row r="104" ht="15" customHeight="1" s="63">
      <c r="A104" s="85">
        <f>IF($B104="","",ROW()-5)</f>
        <v/>
      </c>
      <c r="B104" s="103">
        <f>IF(TONG_HOP_CC!B104="","",TONG_HOP_CC!B104)</f>
        <v/>
      </c>
      <c r="C104" s="96">
        <f>IF($B104="","",TONG_HOP_CC!C104)</f>
        <v/>
      </c>
      <c r="E104" s="112">
        <f>IF($B104="","","Tổng hợp")</f>
        <v/>
      </c>
      <c r="F104" s="110">
        <f>IF($B104="","",TONG_HOP_CC!E104)</f>
        <v/>
      </c>
      <c r="G104" s="110">
        <f>IF($B104="","",TONG_HOP_CC!G104)</f>
        <v/>
      </c>
      <c r="H104" s="110">
        <f>IF($B104="","",TONG_HOP_CC!H104)</f>
        <v/>
      </c>
      <c r="I104" s="110">
        <f>IF($B104="","",TONG_HOP_CC!I104)</f>
        <v/>
      </c>
      <c r="J104" s="110">
        <f>IF($B104="","",TONG_HOP_CC!J104)</f>
        <v/>
      </c>
      <c r="K104" s="110">
        <f>IF($B104="","",TONG_HOP_CC!K104)</f>
        <v/>
      </c>
      <c r="L104" s="110">
        <f>IF($B104="","",TONG_HOP_CC!L104)</f>
        <v/>
      </c>
      <c r="M104" s="110">
        <f>IF($B104="","",TONG_HOP_CC!M104)</f>
        <v/>
      </c>
      <c r="N104" s="110">
        <f>IF($B104="","",TONG_HOP_CC!N104)</f>
        <v/>
      </c>
      <c r="P104" s="110">
        <f>IF($B104="","",TONG_HOP_CC!O104)</f>
        <v/>
      </c>
      <c r="Q104" s="110">
        <f>IF($B104="","",TONG_HOP_CC!P104)</f>
        <v/>
      </c>
      <c r="R104" s="110">
        <f>IF($B104="","",TONG_HOP_CC!Q104)</f>
        <v/>
      </c>
      <c r="S104" s="110">
        <f>IF($B104="","",TONG_HOP_CC!R104)</f>
        <v/>
      </c>
      <c r="T104" s="110">
        <f>IF($B104="","",TONG_HOP_CC!S104)</f>
        <v/>
      </c>
      <c r="U104" s="110">
        <f>IF($B104="","",TONG_HOP_CC!T104)</f>
        <v/>
      </c>
      <c r="W104" s="112">
        <f>IF(DM_NHAN_SU!$B104="","",IF(DM_NHAN_SU!$B104="","",DM_NHAN_SU!$B104))</f>
        <v/>
      </c>
      <c r="X104" s="113">
        <f>IF(DM_NHAN_SU!$B104="","",IF(DM_NHAN_SU!$C104="","",DM_NHAN_SU!$C104))</f>
        <v/>
      </c>
      <c r="Y104" s="113">
        <f>IF(DM_NHAN_SU!$B104="","",IF(DM_NHAN_SU!$D104="","",DM_NHAN_SU!$D104))</f>
        <v/>
      </c>
      <c r="Z104" s="113">
        <f>IF(DM_NHAN_SU!$B104="","",IF(DM_NHAN_SU!$E104="","",DM_NHAN_SU!$E104))</f>
        <v/>
      </c>
      <c r="AA104" s="114">
        <f>IF(DM_NHAN_SU!$B104="","",IF(DM_NHAN_SU!$F104="","",DM_NHAN_SU!$F104))</f>
        <v/>
      </c>
      <c r="AB104" s="114">
        <f>IF(DM_NHAN_SU!$B104="","",IF(DM_NHAN_SU!$G104="","",DM_NHAN_SU!$G104))</f>
        <v/>
      </c>
    </row>
    <row r="105" ht="15" customHeight="1" s="63">
      <c r="A105" s="85">
        <f>IF($B105="","",ROW()-5)</f>
        <v/>
      </c>
      <c r="B105" s="103">
        <f>IF(TONG_HOP_CC!B105="","",TONG_HOP_CC!B105)</f>
        <v/>
      </c>
      <c r="C105" s="96">
        <f>IF($B105="","",TONG_HOP_CC!C105)</f>
        <v/>
      </c>
      <c r="E105" s="112">
        <f>IF($B105="","","Tổng hợp")</f>
        <v/>
      </c>
      <c r="F105" s="110">
        <f>IF($B105="","",TONG_HOP_CC!E105)</f>
        <v/>
      </c>
      <c r="G105" s="110">
        <f>IF($B105="","",TONG_HOP_CC!G105)</f>
        <v/>
      </c>
      <c r="H105" s="110">
        <f>IF($B105="","",TONG_HOP_CC!H105)</f>
        <v/>
      </c>
      <c r="I105" s="110">
        <f>IF($B105="","",TONG_HOP_CC!I105)</f>
        <v/>
      </c>
      <c r="J105" s="110">
        <f>IF($B105="","",TONG_HOP_CC!J105)</f>
        <v/>
      </c>
      <c r="K105" s="110">
        <f>IF($B105="","",TONG_HOP_CC!K105)</f>
        <v/>
      </c>
      <c r="L105" s="110">
        <f>IF($B105="","",TONG_HOP_CC!L105)</f>
        <v/>
      </c>
      <c r="M105" s="110">
        <f>IF($B105="","",TONG_HOP_CC!M105)</f>
        <v/>
      </c>
      <c r="N105" s="110">
        <f>IF($B105="","",TONG_HOP_CC!N105)</f>
        <v/>
      </c>
      <c r="P105" s="110">
        <f>IF($B105="","",TONG_HOP_CC!O105)</f>
        <v/>
      </c>
      <c r="Q105" s="110">
        <f>IF($B105="","",TONG_HOP_CC!P105)</f>
        <v/>
      </c>
      <c r="R105" s="110">
        <f>IF($B105="","",TONG_HOP_CC!Q105)</f>
        <v/>
      </c>
      <c r="S105" s="110">
        <f>IF($B105="","",TONG_HOP_CC!R105)</f>
        <v/>
      </c>
      <c r="T105" s="110">
        <f>IF($B105="","",TONG_HOP_CC!S105)</f>
        <v/>
      </c>
      <c r="U105" s="110">
        <f>IF($B105="","",TONG_HOP_CC!T105)</f>
        <v/>
      </c>
      <c r="W105" s="112">
        <f>IF(DM_NHAN_SU!$B105="","",IF(DM_NHAN_SU!$B105="","",DM_NHAN_SU!$B105))</f>
        <v/>
      </c>
      <c r="X105" s="113">
        <f>IF(DM_NHAN_SU!$B105="","",IF(DM_NHAN_SU!$C105="","",DM_NHAN_SU!$C105))</f>
        <v/>
      </c>
      <c r="Y105" s="113">
        <f>IF(DM_NHAN_SU!$B105="","",IF(DM_NHAN_SU!$D105="","",DM_NHAN_SU!$D105))</f>
        <v/>
      </c>
      <c r="Z105" s="113">
        <f>IF(DM_NHAN_SU!$B105="","",IF(DM_NHAN_SU!$E105="","",DM_NHAN_SU!$E105))</f>
        <v/>
      </c>
      <c r="AA105" s="114">
        <f>IF(DM_NHAN_SU!$B105="","",IF(DM_NHAN_SU!$F105="","",DM_NHAN_SU!$F105))</f>
        <v/>
      </c>
      <c r="AB105" s="114">
        <f>IF(DM_NHAN_SU!$B105="","",IF(DM_NHAN_SU!$G105="","",DM_NHAN_SU!$G105))</f>
        <v/>
      </c>
    </row>
    <row r="106" ht="15" customHeight="1" s="63">
      <c r="A106" s="85">
        <f>IF($B106="","",ROW()-5)</f>
        <v/>
      </c>
      <c r="B106" s="103">
        <f>IF(TONG_HOP_CC!B106="","",TONG_HOP_CC!B106)</f>
        <v/>
      </c>
      <c r="C106" s="96">
        <f>IF($B106="","",TONG_HOP_CC!C106)</f>
        <v/>
      </c>
      <c r="E106" s="112">
        <f>IF($B106="","","Tổng hợp")</f>
        <v/>
      </c>
      <c r="F106" s="110">
        <f>IF($B106="","",TONG_HOP_CC!E106)</f>
        <v/>
      </c>
      <c r="G106" s="110">
        <f>IF($B106="","",TONG_HOP_CC!G106)</f>
        <v/>
      </c>
      <c r="H106" s="110">
        <f>IF($B106="","",TONG_HOP_CC!H106)</f>
        <v/>
      </c>
      <c r="I106" s="110">
        <f>IF($B106="","",TONG_HOP_CC!I106)</f>
        <v/>
      </c>
      <c r="J106" s="110">
        <f>IF($B106="","",TONG_HOP_CC!J106)</f>
        <v/>
      </c>
      <c r="K106" s="110">
        <f>IF($B106="","",TONG_HOP_CC!K106)</f>
        <v/>
      </c>
      <c r="L106" s="110">
        <f>IF($B106="","",TONG_HOP_CC!L106)</f>
        <v/>
      </c>
      <c r="M106" s="110">
        <f>IF($B106="","",TONG_HOP_CC!M106)</f>
        <v/>
      </c>
      <c r="N106" s="110">
        <f>IF($B106="","",TONG_HOP_CC!N106)</f>
        <v/>
      </c>
      <c r="P106" s="110">
        <f>IF($B106="","",TONG_HOP_CC!O106)</f>
        <v/>
      </c>
      <c r="Q106" s="110">
        <f>IF($B106="","",TONG_HOP_CC!P106)</f>
        <v/>
      </c>
      <c r="R106" s="110">
        <f>IF($B106="","",TONG_HOP_CC!Q106)</f>
        <v/>
      </c>
      <c r="S106" s="110">
        <f>IF($B106="","",TONG_HOP_CC!R106)</f>
        <v/>
      </c>
      <c r="T106" s="110">
        <f>IF($B106="","",TONG_HOP_CC!S106)</f>
        <v/>
      </c>
      <c r="U106" s="110">
        <f>IF($B106="","",TONG_HOP_CC!T106)</f>
        <v/>
      </c>
      <c r="W106" s="112">
        <f>IF(DM_NHAN_SU!$B106="","",IF(DM_NHAN_SU!$B106="","",DM_NHAN_SU!$B106))</f>
        <v/>
      </c>
      <c r="X106" s="113">
        <f>IF(DM_NHAN_SU!$B106="","",IF(DM_NHAN_SU!$C106="","",DM_NHAN_SU!$C106))</f>
        <v/>
      </c>
      <c r="Y106" s="113">
        <f>IF(DM_NHAN_SU!$B106="","",IF(DM_NHAN_SU!$D106="","",DM_NHAN_SU!$D106))</f>
        <v/>
      </c>
      <c r="Z106" s="113">
        <f>IF(DM_NHAN_SU!$B106="","",IF(DM_NHAN_SU!$E106="","",DM_NHAN_SU!$E106))</f>
        <v/>
      </c>
      <c r="AA106" s="114">
        <f>IF(DM_NHAN_SU!$B106="","",IF(DM_NHAN_SU!$F106="","",DM_NHAN_SU!$F106))</f>
        <v/>
      </c>
      <c r="AB106" s="114">
        <f>IF(DM_NHAN_SU!$B106="","",IF(DM_NHAN_SU!$G106="","",DM_NHAN_SU!$G106))</f>
        <v/>
      </c>
    </row>
    <row r="107" ht="15" customHeight="1" s="63">
      <c r="A107" s="85">
        <f>IF($B107="","",ROW()-5)</f>
        <v/>
      </c>
      <c r="B107" s="103">
        <f>IF(TONG_HOP_CC!B107="","",TONG_HOP_CC!B107)</f>
        <v/>
      </c>
      <c r="C107" s="96">
        <f>IF($B107="","",TONG_HOP_CC!C107)</f>
        <v/>
      </c>
      <c r="E107" s="112">
        <f>IF($B107="","","Tổng hợp")</f>
        <v/>
      </c>
      <c r="F107" s="110">
        <f>IF($B107="","",TONG_HOP_CC!E107)</f>
        <v/>
      </c>
      <c r="G107" s="110">
        <f>IF($B107="","",TONG_HOP_CC!G107)</f>
        <v/>
      </c>
      <c r="H107" s="110">
        <f>IF($B107="","",TONG_HOP_CC!H107)</f>
        <v/>
      </c>
      <c r="I107" s="110">
        <f>IF($B107="","",TONG_HOP_CC!I107)</f>
        <v/>
      </c>
      <c r="J107" s="110">
        <f>IF($B107="","",TONG_HOP_CC!J107)</f>
        <v/>
      </c>
      <c r="K107" s="110">
        <f>IF($B107="","",TONG_HOP_CC!K107)</f>
        <v/>
      </c>
      <c r="L107" s="110">
        <f>IF($B107="","",TONG_HOP_CC!L107)</f>
        <v/>
      </c>
      <c r="M107" s="110">
        <f>IF($B107="","",TONG_HOP_CC!M107)</f>
        <v/>
      </c>
      <c r="N107" s="110">
        <f>IF($B107="","",TONG_HOP_CC!N107)</f>
        <v/>
      </c>
      <c r="P107" s="110">
        <f>IF($B107="","",TONG_HOP_CC!O107)</f>
        <v/>
      </c>
      <c r="Q107" s="110">
        <f>IF($B107="","",TONG_HOP_CC!P107)</f>
        <v/>
      </c>
      <c r="R107" s="110">
        <f>IF($B107="","",TONG_HOP_CC!Q107)</f>
        <v/>
      </c>
      <c r="S107" s="110">
        <f>IF($B107="","",TONG_HOP_CC!R107)</f>
        <v/>
      </c>
      <c r="T107" s="110">
        <f>IF($B107="","",TONG_HOP_CC!S107)</f>
        <v/>
      </c>
      <c r="U107" s="110">
        <f>IF($B107="","",TONG_HOP_CC!T107)</f>
        <v/>
      </c>
      <c r="W107" s="112">
        <f>IF(DM_NHAN_SU!$B107="","",IF(DM_NHAN_SU!$B107="","",DM_NHAN_SU!$B107))</f>
        <v/>
      </c>
      <c r="X107" s="113">
        <f>IF(DM_NHAN_SU!$B107="","",IF(DM_NHAN_SU!$C107="","",DM_NHAN_SU!$C107))</f>
        <v/>
      </c>
      <c r="Y107" s="113">
        <f>IF(DM_NHAN_SU!$B107="","",IF(DM_NHAN_SU!$D107="","",DM_NHAN_SU!$D107))</f>
        <v/>
      </c>
      <c r="Z107" s="113">
        <f>IF(DM_NHAN_SU!$B107="","",IF(DM_NHAN_SU!$E107="","",DM_NHAN_SU!$E107))</f>
        <v/>
      </c>
      <c r="AA107" s="114">
        <f>IF(DM_NHAN_SU!$B107="","",IF(DM_NHAN_SU!$F107="","",DM_NHAN_SU!$F107))</f>
        <v/>
      </c>
      <c r="AB107" s="114">
        <f>IF(DM_NHAN_SU!$B107="","",IF(DM_NHAN_SU!$G107="","",DM_NHAN_SU!$G107))</f>
        <v/>
      </c>
    </row>
    <row r="108" ht="15" customHeight="1" s="63">
      <c r="A108" s="85">
        <f>IF($B108="","",ROW()-5)</f>
        <v/>
      </c>
      <c r="B108" s="103">
        <f>IF(TONG_HOP_CC!B108="","",TONG_HOP_CC!B108)</f>
        <v/>
      </c>
      <c r="C108" s="96">
        <f>IF($B108="","",TONG_HOP_CC!C108)</f>
        <v/>
      </c>
      <c r="E108" s="112">
        <f>IF($B108="","","Tổng hợp")</f>
        <v/>
      </c>
      <c r="F108" s="110">
        <f>IF($B108="","",TONG_HOP_CC!E108)</f>
        <v/>
      </c>
      <c r="G108" s="110">
        <f>IF($B108="","",TONG_HOP_CC!G108)</f>
        <v/>
      </c>
      <c r="H108" s="110">
        <f>IF($B108="","",TONG_HOP_CC!H108)</f>
        <v/>
      </c>
      <c r="I108" s="110">
        <f>IF($B108="","",TONG_HOP_CC!I108)</f>
        <v/>
      </c>
      <c r="J108" s="110">
        <f>IF($B108="","",TONG_HOP_CC!J108)</f>
        <v/>
      </c>
      <c r="K108" s="110">
        <f>IF($B108="","",TONG_HOP_CC!K108)</f>
        <v/>
      </c>
      <c r="L108" s="110">
        <f>IF($B108="","",TONG_HOP_CC!L108)</f>
        <v/>
      </c>
      <c r="M108" s="110">
        <f>IF($B108="","",TONG_HOP_CC!M108)</f>
        <v/>
      </c>
      <c r="N108" s="110">
        <f>IF($B108="","",TONG_HOP_CC!N108)</f>
        <v/>
      </c>
      <c r="P108" s="110">
        <f>IF($B108="","",TONG_HOP_CC!O108)</f>
        <v/>
      </c>
      <c r="Q108" s="110">
        <f>IF($B108="","",TONG_HOP_CC!P108)</f>
        <v/>
      </c>
      <c r="R108" s="110">
        <f>IF($B108="","",TONG_HOP_CC!Q108)</f>
        <v/>
      </c>
      <c r="S108" s="110">
        <f>IF($B108="","",TONG_HOP_CC!R108)</f>
        <v/>
      </c>
      <c r="T108" s="110">
        <f>IF($B108="","",TONG_HOP_CC!S108)</f>
        <v/>
      </c>
      <c r="U108" s="110">
        <f>IF($B108="","",TONG_HOP_CC!T108)</f>
        <v/>
      </c>
      <c r="W108" s="112">
        <f>IF(DM_NHAN_SU!$B108="","",IF(DM_NHAN_SU!$B108="","",DM_NHAN_SU!$B108))</f>
        <v/>
      </c>
      <c r="X108" s="113">
        <f>IF(DM_NHAN_SU!$B108="","",IF(DM_NHAN_SU!$C108="","",DM_NHAN_SU!$C108))</f>
        <v/>
      </c>
      <c r="Y108" s="113">
        <f>IF(DM_NHAN_SU!$B108="","",IF(DM_NHAN_SU!$D108="","",DM_NHAN_SU!$D108))</f>
        <v/>
      </c>
      <c r="Z108" s="113">
        <f>IF(DM_NHAN_SU!$B108="","",IF(DM_NHAN_SU!$E108="","",DM_NHAN_SU!$E108))</f>
        <v/>
      </c>
      <c r="AA108" s="114">
        <f>IF(DM_NHAN_SU!$B108="","",IF(DM_NHAN_SU!$F108="","",DM_NHAN_SU!$F108))</f>
        <v/>
      </c>
      <c r="AB108" s="114">
        <f>IF(DM_NHAN_SU!$B108="","",IF(DM_NHAN_SU!$G108="","",DM_NHAN_SU!$G108))</f>
        <v/>
      </c>
    </row>
    <row r="109" ht="15" customHeight="1" s="63">
      <c r="A109" s="85">
        <f>IF($B109="","",ROW()-5)</f>
        <v/>
      </c>
      <c r="B109" s="103">
        <f>IF(TONG_HOP_CC!B109="","",TONG_HOP_CC!B109)</f>
        <v/>
      </c>
      <c r="C109" s="96">
        <f>IF($B109="","",TONG_HOP_CC!C109)</f>
        <v/>
      </c>
      <c r="E109" s="112">
        <f>IF($B109="","","Tổng hợp")</f>
        <v/>
      </c>
      <c r="F109" s="110">
        <f>IF($B109="","",TONG_HOP_CC!E109)</f>
        <v/>
      </c>
      <c r="G109" s="110">
        <f>IF($B109="","",TONG_HOP_CC!G109)</f>
        <v/>
      </c>
      <c r="H109" s="110">
        <f>IF($B109="","",TONG_HOP_CC!H109)</f>
        <v/>
      </c>
      <c r="I109" s="110">
        <f>IF($B109="","",TONG_HOP_CC!I109)</f>
        <v/>
      </c>
      <c r="J109" s="110">
        <f>IF($B109="","",TONG_HOP_CC!J109)</f>
        <v/>
      </c>
      <c r="K109" s="110">
        <f>IF($B109="","",TONG_HOP_CC!K109)</f>
        <v/>
      </c>
      <c r="L109" s="110">
        <f>IF($B109="","",TONG_HOP_CC!L109)</f>
        <v/>
      </c>
      <c r="M109" s="110">
        <f>IF($B109="","",TONG_HOP_CC!M109)</f>
        <v/>
      </c>
      <c r="N109" s="110">
        <f>IF($B109="","",TONG_HOP_CC!N109)</f>
        <v/>
      </c>
      <c r="P109" s="110">
        <f>IF($B109="","",TONG_HOP_CC!O109)</f>
        <v/>
      </c>
      <c r="Q109" s="110">
        <f>IF($B109="","",TONG_HOP_CC!P109)</f>
        <v/>
      </c>
      <c r="R109" s="110">
        <f>IF($B109="","",TONG_HOP_CC!Q109)</f>
        <v/>
      </c>
      <c r="S109" s="110">
        <f>IF($B109="","",TONG_HOP_CC!R109)</f>
        <v/>
      </c>
      <c r="T109" s="110">
        <f>IF($B109="","",TONG_HOP_CC!S109)</f>
        <v/>
      </c>
      <c r="U109" s="110">
        <f>IF($B109="","",TONG_HOP_CC!T109)</f>
        <v/>
      </c>
      <c r="W109" s="112">
        <f>IF(DM_NHAN_SU!$B109="","",IF(DM_NHAN_SU!$B109="","",DM_NHAN_SU!$B109))</f>
        <v/>
      </c>
      <c r="X109" s="113">
        <f>IF(DM_NHAN_SU!$B109="","",IF(DM_NHAN_SU!$C109="","",DM_NHAN_SU!$C109))</f>
        <v/>
      </c>
      <c r="Y109" s="113">
        <f>IF(DM_NHAN_SU!$B109="","",IF(DM_NHAN_SU!$D109="","",DM_NHAN_SU!$D109))</f>
        <v/>
      </c>
      <c r="Z109" s="113">
        <f>IF(DM_NHAN_SU!$B109="","",IF(DM_NHAN_SU!$E109="","",DM_NHAN_SU!$E109))</f>
        <v/>
      </c>
      <c r="AA109" s="114">
        <f>IF(DM_NHAN_SU!$B109="","",IF(DM_NHAN_SU!$F109="","",DM_NHAN_SU!$F109))</f>
        <v/>
      </c>
      <c r="AB109" s="114">
        <f>IF(DM_NHAN_SU!$B109="","",IF(DM_NHAN_SU!$G109="","",DM_NHAN_SU!$G109))</f>
        <v/>
      </c>
    </row>
    <row r="110" ht="15" customHeight="1" s="63">
      <c r="A110" s="85">
        <f>IF($B110="","",ROW()-5)</f>
        <v/>
      </c>
      <c r="B110" s="103">
        <f>IF(TONG_HOP_CC!B110="","",TONG_HOP_CC!B110)</f>
        <v/>
      </c>
      <c r="C110" s="96">
        <f>IF($B110="","",TONG_HOP_CC!C110)</f>
        <v/>
      </c>
      <c r="E110" s="112">
        <f>IF($B110="","","Tổng hợp")</f>
        <v/>
      </c>
      <c r="F110" s="110">
        <f>IF($B110="","",TONG_HOP_CC!E110)</f>
        <v/>
      </c>
      <c r="G110" s="110">
        <f>IF($B110="","",TONG_HOP_CC!G110)</f>
        <v/>
      </c>
      <c r="H110" s="110">
        <f>IF($B110="","",TONG_HOP_CC!H110)</f>
        <v/>
      </c>
      <c r="I110" s="110">
        <f>IF($B110="","",TONG_HOP_CC!I110)</f>
        <v/>
      </c>
      <c r="J110" s="110">
        <f>IF($B110="","",TONG_HOP_CC!J110)</f>
        <v/>
      </c>
      <c r="K110" s="110">
        <f>IF($B110="","",TONG_HOP_CC!K110)</f>
        <v/>
      </c>
      <c r="L110" s="110">
        <f>IF($B110="","",TONG_HOP_CC!L110)</f>
        <v/>
      </c>
      <c r="M110" s="110">
        <f>IF($B110="","",TONG_HOP_CC!M110)</f>
        <v/>
      </c>
      <c r="N110" s="110">
        <f>IF($B110="","",TONG_HOP_CC!N110)</f>
        <v/>
      </c>
      <c r="P110" s="110">
        <f>IF($B110="","",TONG_HOP_CC!O110)</f>
        <v/>
      </c>
      <c r="Q110" s="110">
        <f>IF($B110="","",TONG_HOP_CC!P110)</f>
        <v/>
      </c>
      <c r="R110" s="110">
        <f>IF($B110="","",TONG_HOP_CC!Q110)</f>
        <v/>
      </c>
      <c r="S110" s="110">
        <f>IF($B110="","",TONG_HOP_CC!R110)</f>
        <v/>
      </c>
      <c r="T110" s="110">
        <f>IF($B110="","",TONG_HOP_CC!S110)</f>
        <v/>
      </c>
      <c r="U110" s="110">
        <f>IF($B110="","",TONG_HOP_CC!T110)</f>
        <v/>
      </c>
      <c r="W110" s="112">
        <f>IF(DM_NHAN_SU!$B110="","",IF(DM_NHAN_SU!$B110="","",DM_NHAN_SU!$B110))</f>
        <v/>
      </c>
      <c r="X110" s="113">
        <f>IF(DM_NHAN_SU!$B110="","",IF(DM_NHAN_SU!$C110="","",DM_NHAN_SU!$C110))</f>
        <v/>
      </c>
      <c r="Y110" s="113">
        <f>IF(DM_NHAN_SU!$B110="","",IF(DM_NHAN_SU!$D110="","",DM_NHAN_SU!$D110))</f>
        <v/>
      </c>
      <c r="Z110" s="113">
        <f>IF(DM_NHAN_SU!$B110="","",IF(DM_NHAN_SU!$E110="","",DM_NHAN_SU!$E110))</f>
        <v/>
      </c>
      <c r="AA110" s="114">
        <f>IF(DM_NHAN_SU!$B110="","",IF(DM_NHAN_SU!$F110="","",DM_NHAN_SU!$F110))</f>
        <v/>
      </c>
      <c r="AB110" s="114">
        <f>IF(DM_NHAN_SU!$B110="","",IF(DM_NHAN_SU!$G110="","",DM_NHAN_SU!$G110))</f>
        <v/>
      </c>
    </row>
    <row r="111" ht="15" customHeight="1" s="63">
      <c r="A111" s="85">
        <f>IF($B111="","",ROW()-5)</f>
        <v/>
      </c>
      <c r="B111" s="103">
        <f>IF(TONG_HOP_CC!B111="","",TONG_HOP_CC!B111)</f>
        <v/>
      </c>
      <c r="C111" s="96">
        <f>IF($B111="","",TONG_HOP_CC!C111)</f>
        <v/>
      </c>
      <c r="E111" s="112">
        <f>IF($B111="","","Tổng hợp")</f>
        <v/>
      </c>
      <c r="F111" s="110">
        <f>IF($B111="","",TONG_HOP_CC!E111)</f>
        <v/>
      </c>
      <c r="G111" s="110">
        <f>IF($B111="","",TONG_HOP_CC!G111)</f>
        <v/>
      </c>
      <c r="H111" s="110">
        <f>IF($B111="","",TONG_HOP_CC!H111)</f>
        <v/>
      </c>
      <c r="I111" s="110">
        <f>IF($B111="","",TONG_HOP_CC!I111)</f>
        <v/>
      </c>
      <c r="J111" s="110">
        <f>IF($B111="","",TONG_HOP_CC!J111)</f>
        <v/>
      </c>
      <c r="K111" s="110">
        <f>IF($B111="","",TONG_HOP_CC!K111)</f>
        <v/>
      </c>
      <c r="L111" s="110">
        <f>IF($B111="","",TONG_HOP_CC!L111)</f>
        <v/>
      </c>
      <c r="M111" s="110">
        <f>IF($B111="","",TONG_HOP_CC!M111)</f>
        <v/>
      </c>
      <c r="N111" s="110">
        <f>IF($B111="","",TONG_HOP_CC!N111)</f>
        <v/>
      </c>
      <c r="P111" s="110">
        <f>IF($B111="","",TONG_HOP_CC!O111)</f>
        <v/>
      </c>
      <c r="Q111" s="110">
        <f>IF($B111="","",TONG_HOP_CC!P111)</f>
        <v/>
      </c>
      <c r="R111" s="110">
        <f>IF($B111="","",TONG_HOP_CC!Q111)</f>
        <v/>
      </c>
      <c r="S111" s="110">
        <f>IF($B111="","",TONG_HOP_CC!R111)</f>
        <v/>
      </c>
      <c r="T111" s="110">
        <f>IF($B111="","",TONG_HOP_CC!S111)</f>
        <v/>
      </c>
      <c r="U111" s="110">
        <f>IF($B111="","",TONG_HOP_CC!T111)</f>
        <v/>
      </c>
      <c r="W111" s="112">
        <f>IF(DM_NHAN_SU!$B111="","",IF(DM_NHAN_SU!$B111="","",DM_NHAN_SU!$B111))</f>
        <v/>
      </c>
      <c r="X111" s="113">
        <f>IF(DM_NHAN_SU!$B111="","",IF(DM_NHAN_SU!$C111="","",DM_NHAN_SU!$C111))</f>
        <v/>
      </c>
      <c r="Y111" s="113">
        <f>IF(DM_NHAN_SU!$B111="","",IF(DM_NHAN_SU!$D111="","",DM_NHAN_SU!$D111))</f>
        <v/>
      </c>
      <c r="Z111" s="113">
        <f>IF(DM_NHAN_SU!$B111="","",IF(DM_NHAN_SU!$E111="","",DM_NHAN_SU!$E111))</f>
        <v/>
      </c>
      <c r="AA111" s="114">
        <f>IF(DM_NHAN_SU!$B111="","",IF(DM_NHAN_SU!$F111="","",DM_NHAN_SU!$F111))</f>
        <v/>
      </c>
      <c r="AB111" s="114">
        <f>IF(DM_NHAN_SU!$B111="","",IF(DM_NHAN_SU!$G111="","",DM_NHAN_SU!$G111))</f>
        <v/>
      </c>
    </row>
    <row r="112" ht="15" customHeight="1" s="63">
      <c r="A112" s="85">
        <f>IF($B112="","",ROW()-5)</f>
        <v/>
      </c>
      <c r="B112" s="103">
        <f>IF(TONG_HOP_CC!B112="","",TONG_HOP_CC!B112)</f>
        <v/>
      </c>
      <c r="C112" s="96">
        <f>IF($B112="","",TONG_HOP_CC!C112)</f>
        <v/>
      </c>
      <c r="E112" s="112">
        <f>IF($B112="","","Tổng hợp")</f>
        <v/>
      </c>
      <c r="F112" s="110">
        <f>IF($B112="","",TONG_HOP_CC!E112)</f>
        <v/>
      </c>
      <c r="G112" s="110">
        <f>IF($B112="","",TONG_HOP_CC!G112)</f>
        <v/>
      </c>
      <c r="H112" s="110">
        <f>IF($B112="","",TONG_HOP_CC!H112)</f>
        <v/>
      </c>
      <c r="I112" s="110">
        <f>IF($B112="","",TONG_HOP_CC!I112)</f>
        <v/>
      </c>
      <c r="J112" s="110">
        <f>IF($B112="","",TONG_HOP_CC!J112)</f>
        <v/>
      </c>
      <c r="K112" s="110">
        <f>IF($B112="","",TONG_HOP_CC!K112)</f>
        <v/>
      </c>
      <c r="L112" s="110">
        <f>IF($B112="","",TONG_HOP_CC!L112)</f>
        <v/>
      </c>
      <c r="M112" s="110">
        <f>IF($B112="","",TONG_HOP_CC!M112)</f>
        <v/>
      </c>
      <c r="N112" s="110">
        <f>IF($B112="","",TONG_HOP_CC!N112)</f>
        <v/>
      </c>
      <c r="P112" s="110">
        <f>IF($B112="","",TONG_HOP_CC!O112)</f>
        <v/>
      </c>
      <c r="Q112" s="110">
        <f>IF($B112="","",TONG_HOP_CC!P112)</f>
        <v/>
      </c>
      <c r="R112" s="110">
        <f>IF($B112="","",TONG_HOP_CC!Q112)</f>
        <v/>
      </c>
      <c r="S112" s="110">
        <f>IF($B112="","",TONG_HOP_CC!R112)</f>
        <v/>
      </c>
      <c r="T112" s="110">
        <f>IF($B112="","",TONG_HOP_CC!S112)</f>
        <v/>
      </c>
      <c r="U112" s="110">
        <f>IF($B112="","",TONG_HOP_CC!T112)</f>
        <v/>
      </c>
      <c r="W112" s="112">
        <f>IF(DM_NHAN_SU!$B112="","",IF(DM_NHAN_SU!$B112="","",DM_NHAN_SU!$B112))</f>
        <v/>
      </c>
      <c r="X112" s="113">
        <f>IF(DM_NHAN_SU!$B112="","",IF(DM_NHAN_SU!$C112="","",DM_NHAN_SU!$C112))</f>
        <v/>
      </c>
      <c r="Y112" s="113">
        <f>IF(DM_NHAN_SU!$B112="","",IF(DM_NHAN_SU!$D112="","",DM_NHAN_SU!$D112))</f>
        <v/>
      </c>
      <c r="Z112" s="113">
        <f>IF(DM_NHAN_SU!$B112="","",IF(DM_NHAN_SU!$E112="","",DM_NHAN_SU!$E112))</f>
        <v/>
      </c>
      <c r="AA112" s="114">
        <f>IF(DM_NHAN_SU!$B112="","",IF(DM_NHAN_SU!$F112="","",DM_NHAN_SU!$F112))</f>
        <v/>
      </c>
      <c r="AB112" s="114">
        <f>IF(DM_NHAN_SU!$B112="","",IF(DM_NHAN_SU!$G112="","",DM_NHAN_SU!$G112))</f>
        <v/>
      </c>
    </row>
    <row r="113" ht="15" customHeight="1" s="63">
      <c r="A113" s="85">
        <f>IF($B113="","",ROW()-5)</f>
        <v/>
      </c>
      <c r="B113" s="103">
        <f>IF(TONG_HOP_CC!B113="","",TONG_HOP_CC!B113)</f>
        <v/>
      </c>
      <c r="C113" s="96">
        <f>IF($B113="","",TONG_HOP_CC!C113)</f>
        <v/>
      </c>
      <c r="E113" s="112">
        <f>IF($B113="","","Tổng hợp")</f>
        <v/>
      </c>
      <c r="F113" s="110">
        <f>IF($B113="","",TONG_HOP_CC!E113)</f>
        <v/>
      </c>
      <c r="G113" s="110">
        <f>IF($B113="","",TONG_HOP_CC!G113)</f>
        <v/>
      </c>
      <c r="H113" s="110">
        <f>IF($B113="","",TONG_HOP_CC!H113)</f>
        <v/>
      </c>
      <c r="I113" s="110">
        <f>IF($B113="","",TONG_HOP_CC!I113)</f>
        <v/>
      </c>
      <c r="J113" s="110">
        <f>IF($B113="","",TONG_HOP_CC!J113)</f>
        <v/>
      </c>
      <c r="K113" s="110">
        <f>IF($B113="","",TONG_HOP_CC!K113)</f>
        <v/>
      </c>
      <c r="L113" s="110">
        <f>IF($B113="","",TONG_HOP_CC!L113)</f>
        <v/>
      </c>
      <c r="M113" s="110">
        <f>IF($B113="","",TONG_HOP_CC!M113)</f>
        <v/>
      </c>
      <c r="N113" s="110">
        <f>IF($B113="","",TONG_HOP_CC!N113)</f>
        <v/>
      </c>
      <c r="P113" s="110">
        <f>IF($B113="","",TONG_HOP_CC!O113)</f>
        <v/>
      </c>
      <c r="Q113" s="110">
        <f>IF($B113="","",TONG_HOP_CC!P113)</f>
        <v/>
      </c>
      <c r="R113" s="110">
        <f>IF($B113="","",TONG_HOP_CC!Q113)</f>
        <v/>
      </c>
      <c r="S113" s="110">
        <f>IF($B113="","",TONG_HOP_CC!R113)</f>
        <v/>
      </c>
      <c r="T113" s="110">
        <f>IF($B113="","",TONG_HOP_CC!S113)</f>
        <v/>
      </c>
      <c r="U113" s="110">
        <f>IF($B113="","",TONG_HOP_CC!T113)</f>
        <v/>
      </c>
      <c r="W113" s="112">
        <f>IF(DM_NHAN_SU!$B113="","",IF(DM_NHAN_SU!$B113="","",DM_NHAN_SU!$B113))</f>
        <v/>
      </c>
      <c r="X113" s="113">
        <f>IF(DM_NHAN_SU!$B113="","",IF(DM_NHAN_SU!$C113="","",DM_NHAN_SU!$C113))</f>
        <v/>
      </c>
      <c r="Y113" s="113">
        <f>IF(DM_NHAN_SU!$B113="","",IF(DM_NHAN_SU!$D113="","",DM_NHAN_SU!$D113))</f>
        <v/>
      </c>
      <c r="Z113" s="113">
        <f>IF(DM_NHAN_SU!$B113="","",IF(DM_NHAN_SU!$E113="","",DM_NHAN_SU!$E113))</f>
        <v/>
      </c>
      <c r="AA113" s="114">
        <f>IF(DM_NHAN_SU!$B113="","",IF(DM_NHAN_SU!$F113="","",DM_NHAN_SU!$F113))</f>
        <v/>
      </c>
      <c r="AB113" s="114">
        <f>IF(DM_NHAN_SU!$B113="","",IF(DM_NHAN_SU!$G113="","",DM_NHAN_SU!$G113))</f>
        <v/>
      </c>
    </row>
    <row r="114" ht="15" customHeight="1" s="63">
      <c r="A114" s="85">
        <f>IF($B114="","",ROW()-5)</f>
        <v/>
      </c>
      <c r="B114" s="103">
        <f>IF(TONG_HOP_CC!B114="","",TONG_HOP_CC!B114)</f>
        <v/>
      </c>
      <c r="C114" s="96">
        <f>IF($B114="","",TONG_HOP_CC!C114)</f>
        <v/>
      </c>
      <c r="E114" s="112">
        <f>IF($B114="","","Tổng hợp")</f>
        <v/>
      </c>
      <c r="F114" s="110">
        <f>IF($B114="","",TONG_HOP_CC!E114)</f>
        <v/>
      </c>
      <c r="G114" s="110">
        <f>IF($B114="","",TONG_HOP_CC!G114)</f>
        <v/>
      </c>
      <c r="H114" s="110">
        <f>IF($B114="","",TONG_HOP_CC!H114)</f>
        <v/>
      </c>
      <c r="I114" s="110">
        <f>IF($B114="","",TONG_HOP_CC!I114)</f>
        <v/>
      </c>
      <c r="J114" s="110">
        <f>IF($B114="","",TONG_HOP_CC!J114)</f>
        <v/>
      </c>
      <c r="K114" s="110">
        <f>IF($B114="","",TONG_HOP_CC!K114)</f>
        <v/>
      </c>
      <c r="L114" s="110">
        <f>IF($B114="","",TONG_HOP_CC!L114)</f>
        <v/>
      </c>
      <c r="M114" s="110">
        <f>IF($B114="","",TONG_HOP_CC!M114)</f>
        <v/>
      </c>
      <c r="N114" s="110">
        <f>IF($B114="","",TONG_HOP_CC!N114)</f>
        <v/>
      </c>
      <c r="P114" s="110">
        <f>IF($B114="","",TONG_HOP_CC!O114)</f>
        <v/>
      </c>
      <c r="Q114" s="110">
        <f>IF($B114="","",TONG_HOP_CC!P114)</f>
        <v/>
      </c>
      <c r="R114" s="110">
        <f>IF($B114="","",TONG_HOP_CC!Q114)</f>
        <v/>
      </c>
      <c r="S114" s="110">
        <f>IF($B114="","",TONG_HOP_CC!R114)</f>
        <v/>
      </c>
      <c r="T114" s="110">
        <f>IF($B114="","",TONG_HOP_CC!S114)</f>
        <v/>
      </c>
      <c r="U114" s="110">
        <f>IF($B114="","",TONG_HOP_CC!T114)</f>
        <v/>
      </c>
      <c r="W114" s="112">
        <f>IF(DM_NHAN_SU!$B114="","",IF(DM_NHAN_SU!$B114="","",DM_NHAN_SU!$B114))</f>
        <v/>
      </c>
      <c r="X114" s="113">
        <f>IF(DM_NHAN_SU!$B114="","",IF(DM_NHAN_SU!$C114="","",DM_NHAN_SU!$C114))</f>
        <v/>
      </c>
      <c r="Y114" s="113">
        <f>IF(DM_NHAN_SU!$B114="","",IF(DM_NHAN_SU!$D114="","",DM_NHAN_SU!$D114))</f>
        <v/>
      </c>
      <c r="Z114" s="113">
        <f>IF(DM_NHAN_SU!$B114="","",IF(DM_NHAN_SU!$E114="","",DM_NHAN_SU!$E114))</f>
        <v/>
      </c>
      <c r="AA114" s="114">
        <f>IF(DM_NHAN_SU!$B114="","",IF(DM_NHAN_SU!$F114="","",DM_NHAN_SU!$F114))</f>
        <v/>
      </c>
      <c r="AB114" s="114">
        <f>IF(DM_NHAN_SU!$B114="","",IF(DM_NHAN_SU!$G114="","",DM_NHAN_SU!$G114))</f>
        <v/>
      </c>
    </row>
    <row r="115" ht="15" customHeight="1" s="63">
      <c r="A115" s="85">
        <f>IF($B115="","",ROW()-5)</f>
        <v/>
      </c>
      <c r="B115" s="103">
        <f>IF(TONG_HOP_CC!B115="","",TONG_HOP_CC!B115)</f>
        <v/>
      </c>
      <c r="C115" s="96">
        <f>IF($B115="","",TONG_HOP_CC!C115)</f>
        <v/>
      </c>
      <c r="E115" s="112">
        <f>IF($B115="","","Tổng hợp")</f>
        <v/>
      </c>
      <c r="F115" s="110">
        <f>IF($B115="","",TONG_HOP_CC!E115)</f>
        <v/>
      </c>
      <c r="G115" s="110">
        <f>IF($B115="","",TONG_HOP_CC!G115)</f>
        <v/>
      </c>
      <c r="H115" s="110">
        <f>IF($B115="","",TONG_HOP_CC!H115)</f>
        <v/>
      </c>
      <c r="I115" s="110">
        <f>IF($B115="","",TONG_HOP_CC!I115)</f>
        <v/>
      </c>
      <c r="J115" s="110">
        <f>IF($B115="","",TONG_HOP_CC!J115)</f>
        <v/>
      </c>
      <c r="K115" s="110">
        <f>IF($B115="","",TONG_HOP_CC!K115)</f>
        <v/>
      </c>
      <c r="L115" s="110">
        <f>IF($B115="","",TONG_HOP_CC!L115)</f>
        <v/>
      </c>
      <c r="M115" s="110">
        <f>IF($B115="","",TONG_HOP_CC!M115)</f>
        <v/>
      </c>
      <c r="N115" s="110">
        <f>IF($B115="","",TONG_HOP_CC!N115)</f>
        <v/>
      </c>
      <c r="P115" s="110">
        <f>IF($B115="","",TONG_HOP_CC!O115)</f>
        <v/>
      </c>
      <c r="Q115" s="110">
        <f>IF($B115="","",TONG_HOP_CC!P115)</f>
        <v/>
      </c>
      <c r="R115" s="110">
        <f>IF($B115="","",TONG_HOP_CC!Q115)</f>
        <v/>
      </c>
      <c r="S115" s="110">
        <f>IF($B115="","",TONG_HOP_CC!R115)</f>
        <v/>
      </c>
      <c r="T115" s="110">
        <f>IF($B115="","",TONG_HOP_CC!S115)</f>
        <v/>
      </c>
      <c r="U115" s="110">
        <f>IF($B115="","",TONG_HOP_CC!T115)</f>
        <v/>
      </c>
      <c r="W115" s="112">
        <f>IF(DM_NHAN_SU!$B115="","",IF(DM_NHAN_SU!$B115="","",DM_NHAN_SU!$B115))</f>
        <v/>
      </c>
      <c r="X115" s="113">
        <f>IF(DM_NHAN_SU!$B115="","",IF(DM_NHAN_SU!$C115="","",DM_NHAN_SU!$C115))</f>
        <v/>
      </c>
      <c r="Y115" s="113">
        <f>IF(DM_NHAN_SU!$B115="","",IF(DM_NHAN_SU!$D115="","",DM_NHAN_SU!$D115))</f>
        <v/>
      </c>
      <c r="Z115" s="113">
        <f>IF(DM_NHAN_SU!$B115="","",IF(DM_NHAN_SU!$E115="","",DM_NHAN_SU!$E115))</f>
        <v/>
      </c>
      <c r="AA115" s="114">
        <f>IF(DM_NHAN_SU!$B115="","",IF(DM_NHAN_SU!$F115="","",DM_NHAN_SU!$F115))</f>
        <v/>
      </c>
      <c r="AB115" s="114">
        <f>IF(DM_NHAN_SU!$B115="","",IF(DM_NHAN_SU!$G115="","",DM_NHAN_SU!$G115))</f>
        <v/>
      </c>
    </row>
    <row r="116" ht="15" customHeight="1" s="63">
      <c r="A116" s="85">
        <f>IF($B116="","",ROW()-5)</f>
        <v/>
      </c>
      <c r="B116" s="103">
        <f>IF(TONG_HOP_CC!B116="","",TONG_HOP_CC!B116)</f>
        <v/>
      </c>
      <c r="C116" s="96">
        <f>IF($B116="","",TONG_HOP_CC!C116)</f>
        <v/>
      </c>
      <c r="E116" s="112">
        <f>IF($B116="","","Tổng hợp")</f>
        <v/>
      </c>
      <c r="F116" s="110">
        <f>IF($B116="","",TONG_HOP_CC!E116)</f>
        <v/>
      </c>
      <c r="G116" s="110">
        <f>IF($B116="","",TONG_HOP_CC!G116)</f>
        <v/>
      </c>
      <c r="H116" s="110">
        <f>IF($B116="","",TONG_HOP_CC!H116)</f>
        <v/>
      </c>
      <c r="I116" s="110">
        <f>IF($B116="","",TONG_HOP_CC!I116)</f>
        <v/>
      </c>
      <c r="J116" s="110">
        <f>IF($B116="","",TONG_HOP_CC!J116)</f>
        <v/>
      </c>
      <c r="K116" s="110">
        <f>IF($B116="","",TONG_HOP_CC!K116)</f>
        <v/>
      </c>
      <c r="L116" s="110">
        <f>IF($B116="","",TONG_HOP_CC!L116)</f>
        <v/>
      </c>
      <c r="M116" s="110">
        <f>IF($B116="","",TONG_HOP_CC!M116)</f>
        <v/>
      </c>
      <c r="N116" s="110">
        <f>IF($B116="","",TONG_HOP_CC!N116)</f>
        <v/>
      </c>
      <c r="P116" s="110">
        <f>IF($B116="","",TONG_HOP_CC!O116)</f>
        <v/>
      </c>
      <c r="Q116" s="110">
        <f>IF($B116="","",TONG_HOP_CC!P116)</f>
        <v/>
      </c>
      <c r="R116" s="110">
        <f>IF($B116="","",TONG_HOP_CC!Q116)</f>
        <v/>
      </c>
      <c r="S116" s="110">
        <f>IF($B116="","",TONG_HOP_CC!R116)</f>
        <v/>
      </c>
      <c r="T116" s="110">
        <f>IF($B116="","",TONG_HOP_CC!S116)</f>
        <v/>
      </c>
      <c r="U116" s="110">
        <f>IF($B116="","",TONG_HOP_CC!T116)</f>
        <v/>
      </c>
      <c r="W116" s="112">
        <f>IF(DM_NHAN_SU!$B116="","",IF(DM_NHAN_SU!$B116="","",DM_NHAN_SU!$B116))</f>
        <v/>
      </c>
      <c r="X116" s="113">
        <f>IF(DM_NHAN_SU!$B116="","",IF(DM_NHAN_SU!$C116="","",DM_NHAN_SU!$C116))</f>
        <v/>
      </c>
      <c r="Y116" s="113">
        <f>IF(DM_NHAN_SU!$B116="","",IF(DM_NHAN_SU!$D116="","",DM_NHAN_SU!$D116))</f>
        <v/>
      </c>
      <c r="Z116" s="113">
        <f>IF(DM_NHAN_SU!$B116="","",IF(DM_NHAN_SU!$E116="","",DM_NHAN_SU!$E116))</f>
        <v/>
      </c>
      <c r="AA116" s="114">
        <f>IF(DM_NHAN_SU!$B116="","",IF(DM_NHAN_SU!$F116="","",DM_NHAN_SU!$F116))</f>
        <v/>
      </c>
      <c r="AB116" s="114">
        <f>IF(DM_NHAN_SU!$B116="","",IF(DM_NHAN_SU!$G116="","",DM_NHAN_SU!$G116))</f>
        <v/>
      </c>
    </row>
    <row r="117" ht="15" customHeight="1" s="63">
      <c r="A117" s="85">
        <f>IF($B117="","",ROW()-5)</f>
        <v/>
      </c>
      <c r="B117" s="103">
        <f>IF(TONG_HOP_CC!B117="","",TONG_HOP_CC!B117)</f>
        <v/>
      </c>
      <c r="C117" s="96">
        <f>IF($B117="","",TONG_HOP_CC!C117)</f>
        <v/>
      </c>
      <c r="E117" s="112">
        <f>IF($B117="","","Tổng hợp")</f>
        <v/>
      </c>
      <c r="F117" s="110">
        <f>IF($B117="","",TONG_HOP_CC!E117)</f>
        <v/>
      </c>
      <c r="G117" s="110">
        <f>IF($B117="","",TONG_HOP_CC!G117)</f>
        <v/>
      </c>
      <c r="H117" s="110">
        <f>IF($B117="","",TONG_HOP_CC!H117)</f>
        <v/>
      </c>
      <c r="I117" s="110">
        <f>IF($B117="","",TONG_HOP_CC!I117)</f>
        <v/>
      </c>
      <c r="J117" s="110">
        <f>IF($B117="","",TONG_HOP_CC!J117)</f>
        <v/>
      </c>
      <c r="K117" s="110">
        <f>IF($B117="","",TONG_HOP_CC!K117)</f>
        <v/>
      </c>
      <c r="L117" s="110">
        <f>IF($B117="","",TONG_HOP_CC!L117)</f>
        <v/>
      </c>
      <c r="M117" s="110">
        <f>IF($B117="","",TONG_HOP_CC!M117)</f>
        <v/>
      </c>
      <c r="N117" s="110">
        <f>IF($B117="","",TONG_HOP_CC!N117)</f>
        <v/>
      </c>
      <c r="P117" s="110">
        <f>IF($B117="","",TONG_HOP_CC!O117)</f>
        <v/>
      </c>
      <c r="Q117" s="110">
        <f>IF($B117="","",TONG_HOP_CC!P117)</f>
        <v/>
      </c>
      <c r="R117" s="110">
        <f>IF($B117="","",TONG_HOP_CC!Q117)</f>
        <v/>
      </c>
      <c r="S117" s="110">
        <f>IF($B117="","",TONG_HOP_CC!R117)</f>
        <v/>
      </c>
      <c r="T117" s="110">
        <f>IF($B117="","",TONG_HOP_CC!S117)</f>
        <v/>
      </c>
      <c r="U117" s="110">
        <f>IF($B117="","",TONG_HOP_CC!T117)</f>
        <v/>
      </c>
      <c r="W117" s="112">
        <f>IF(DM_NHAN_SU!$B117="","",IF(DM_NHAN_SU!$B117="","",DM_NHAN_SU!$B117))</f>
        <v/>
      </c>
      <c r="X117" s="113">
        <f>IF(DM_NHAN_SU!$B117="","",IF(DM_NHAN_SU!$C117="","",DM_NHAN_SU!$C117))</f>
        <v/>
      </c>
      <c r="Y117" s="113">
        <f>IF(DM_NHAN_SU!$B117="","",IF(DM_NHAN_SU!$D117="","",DM_NHAN_SU!$D117))</f>
        <v/>
      </c>
      <c r="Z117" s="113">
        <f>IF(DM_NHAN_SU!$B117="","",IF(DM_NHAN_SU!$E117="","",DM_NHAN_SU!$E117))</f>
        <v/>
      </c>
      <c r="AA117" s="114">
        <f>IF(DM_NHAN_SU!$B117="","",IF(DM_NHAN_SU!$F117="","",DM_NHAN_SU!$F117))</f>
        <v/>
      </c>
      <c r="AB117" s="114">
        <f>IF(DM_NHAN_SU!$B117="","",IF(DM_NHAN_SU!$G117="","",DM_NHAN_SU!$G117))</f>
        <v/>
      </c>
    </row>
    <row r="118" ht="15" customHeight="1" s="63">
      <c r="A118" s="85">
        <f>IF($B118="","",ROW()-5)</f>
        <v/>
      </c>
      <c r="B118" s="103">
        <f>IF(TONG_HOP_CC!B118="","",TONG_HOP_CC!B118)</f>
        <v/>
      </c>
      <c r="C118" s="96">
        <f>IF($B118="","",TONG_HOP_CC!C118)</f>
        <v/>
      </c>
      <c r="E118" s="112">
        <f>IF($B118="","","Tổng hợp")</f>
        <v/>
      </c>
      <c r="F118" s="110">
        <f>IF($B118="","",TONG_HOP_CC!E118)</f>
        <v/>
      </c>
      <c r="G118" s="110">
        <f>IF($B118="","",TONG_HOP_CC!G118)</f>
        <v/>
      </c>
      <c r="H118" s="110">
        <f>IF($B118="","",TONG_HOP_CC!H118)</f>
        <v/>
      </c>
      <c r="I118" s="110">
        <f>IF($B118="","",TONG_HOP_CC!I118)</f>
        <v/>
      </c>
      <c r="J118" s="110">
        <f>IF($B118="","",TONG_HOP_CC!J118)</f>
        <v/>
      </c>
      <c r="K118" s="110">
        <f>IF($B118="","",TONG_HOP_CC!K118)</f>
        <v/>
      </c>
      <c r="L118" s="110">
        <f>IF($B118="","",TONG_HOP_CC!L118)</f>
        <v/>
      </c>
      <c r="M118" s="110">
        <f>IF($B118="","",TONG_HOP_CC!M118)</f>
        <v/>
      </c>
      <c r="N118" s="110">
        <f>IF($B118="","",TONG_HOP_CC!N118)</f>
        <v/>
      </c>
      <c r="P118" s="110">
        <f>IF($B118="","",TONG_HOP_CC!O118)</f>
        <v/>
      </c>
      <c r="Q118" s="110">
        <f>IF($B118="","",TONG_HOP_CC!P118)</f>
        <v/>
      </c>
      <c r="R118" s="110">
        <f>IF($B118="","",TONG_HOP_CC!Q118)</f>
        <v/>
      </c>
      <c r="S118" s="110">
        <f>IF($B118="","",TONG_HOP_CC!R118)</f>
        <v/>
      </c>
      <c r="T118" s="110">
        <f>IF($B118="","",TONG_HOP_CC!S118)</f>
        <v/>
      </c>
      <c r="U118" s="110">
        <f>IF($B118="","",TONG_HOP_CC!T118)</f>
        <v/>
      </c>
      <c r="W118" s="112">
        <f>IF(DM_NHAN_SU!$B118="","",IF(DM_NHAN_SU!$B118="","",DM_NHAN_SU!$B118))</f>
        <v/>
      </c>
      <c r="X118" s="113">
        <f>IF(DM_NHAN_SU!$B118="","",IF(DM_NHAN_SU!$C118="","",DM_NHAN_SU!$C118))</f>
        <v/>
      </c>
      <c r="Y118" s="113">
        <f>IF(DM_NHAN_SU!$B118="","",IF(DM_NHAN_SU!$D118="","",DM_NHAN_SU!$D118))</f>
        <v/>
      </c>
      <c r="Z118" s="113">
        <f>IF(DM_NHAN_SU!$B118="","",IF(DM_NHAN_SU!$E118="","",DM_NHAN_SU!$E118))</f>
        <v/>
      </c>
      <c r="AA118" s="114">
        <f>IF(DM_NHAN_SU!$B118="","",IF(DM_NHAN_SU!$F118="","",DM_NHAN_SU!$F118))</f>
        <v/>
      </c>
      <c r="AB118" s="114">
        <f>IF(DM_NHAN_SU!$B118="","",IF(DM_NHAN_SU!$G118="","",DM_NHAN_SU!$G118))</f>
        <v/>
      </c>
    </row>
    <row r="119" ht="15" customHeight="1" s="63">
      <c r="A119" s="85">
        <f>IF($B119="","",ROW()-5)</f>
        <v/>
      </c>
      <c r="B119" s="103">
        <f>IF(TONG_HOP_CC!B119="","",TONG_HOP_CC!B119)</f>
        <v/>
      </c>
      <c r="C119" s="96">
        <f>IF($B119="","",TONG_HOP_CC!C119)</f>
        <v/>
      </c>
      <c r="E119" s="112">
        <f>IF($B119="","","Tổng hợp")</f>
        <v/>
      </c>
      <c r="F119" s="110">
        <f>IF($B119="","",TONG_HOP_CC!E119)</f>
        <v/>
      </c>
      <c r="G119" s="110">
        <f>IF($B119="","",TONG_HOP_CC!G119)</f>
        <v/>
      </c>
      <c r="H119" s="110">
        <f>IF($B119="","",TONG_HOP_CC!H119)</f>
        <v/>
      </c>
      <c r="I119" s="110">
        <f>IF($B119="","",TONG_HOP_CC!I119)</f>
        <v/>
      </c>
      <c r="J119" s="110">
        <f>IF($B119="","",TONG_HOP_CC!J119)</f>
        <v/>
      </c>
      <c r="K119" s="110">
        <f>IF($B119="","",TONG_HOP_CC!K119)</f>
        <v/>
      </c>
      <c r="L119" s="110">
        <f>IF($B119="","",TONG_HOP_CC!L119)</f>
        <v/>
      </c>
      <c r="M119" s="110">
        <f>IF($B119="","",TONG_HOP_CC!M119)</f>
        <v/>
      </c>
      <c r="N119" s="110">
        <f>IF($B119="","",TONG_HOP_CC!N119)</f>
        <v/>
      </c>
      <c r="P119" s="110">
        <f>IF($B119="","",TONG_HOP_CC!O119)</f>
        <v/>
      </c>
      <c r="Q119" s="110">
        <f>IF($B119="","",TONG_HOP_CC!P119)</f>
        <v/>
      </c>
      <c r="R119" s="110">
        <f>IF($B119="","",TONG_HOP_CC!Q119)</f>
        <v/>
      </c>
      <c r="S119" s="110">
        <f>IF($B119="","",TONG_HOP_CC!R119)</f>
        <v/>
      </c>
      <c r="T119" s="110">
        <f>IF($B119="","",TONG_HOP_CC!S119)</f>
        <v/>
      </c>
      <c r="U119" s="110">
        <f>IF($B119="","",TONG_HOP_CC!T119)</f>
        <v/>
      </c>
      <c r="W119" s="112">
        <f>IF(DM_NHAN_SU!$B119="","",IF(DM_NHAN_SU!$B119="","",DM_NHAN_SU!$B119))</f>
        <v/>
      </c>
      <c r="X119" s="113">
        <f>IF(DM_NHAN_SU!$B119="","",IF(DM_NHAN_SU!$C119="","",DM_NHAN_SU!$C119))</f>
        <v/>
      </c>
      <c r="Y119" s="113">
        <f>IF(DM_NHAN_SU!$B119="","",IF(DM_NHAN_SU!$D119="","",DM_NHAN_SU!$D119))</f>
        <v/>
      </c>
      <c r="Z119" s="113">
        <f>IF(DM_NHAN_SU!$B119="","",IF(DM_NHAN_SU!$E119="","",DM_NHAN_SU!$E119))</f>
        <v/>
      </c>
      <c r="AA119" s="114">
        <f>IF(DM_NHAN_SU!$B119="","",IF(DM_NHAN_SU!$F119="","",DM_NHAN_SU!$F119))</f>
        <v/>
      </c>
      <c r="AB119" s="114">
        <f>IF(DM_NHAN_SU!$B119="","",IF(DM_NHAN_SU!$G119="","",DM_NHAN_SU!$G119))</f>
        <v/>
      </c>
    </row>
    <row r="120" ht="15" customHeight="1" s="63">
      <c r="A120" s="85">
        <f>IF($B120="","",ROW()-5)</f>
        <v/>
      </c>
      <c r="B120" s="103">
        <f>IF(TONG_HOP_CC!B120="","",TONG_HOP_CC!B120)</f>
        <v/>
      </c>
      <c r="C120" s="96">
        <f>IF($B120="","",TONG_HOP_CC!C120)</f>
        <v/>
      </c>
      <c r="E120" s="112">
        <f>IF($B120="","","Tổng hợp")</f>
        <v/>
      </c>
      <c r="F120" s="110">
        <f>IF($B120="","",TONG_HOP_CC!E120)</f>
        <v/>
      </c>
      <c r="G120" s="110">
        <f>IF($B120="","",TONG_HOP_CC!G120)</f>
        <v/>
      </c>
      <c r="H120" s="110">
        <f>IF($B120="","",TONG_HOP_CC!H120)</f>
        <v/>
      </c>
      <c r="I120" s="110">
        <f>IF($B120="","",TONG_HOP_CC!I120)</f>
        <v/>
      </c>
      <c r="J120" s="110">
        <f>IF($B120="","",TONG_HOP_CC!J120)</f>
        <v/>
      </c>
      <c r="K120" s="110">
        <f>IF($B120="","",TONG_HOP_CC!K120)</f>
        <v/>
      </c>
      <c r="L120" s="110">
        <f>IF($B120="","",TONG_HOP_CC!L120)</f>
        <v/>
      </c>
      <c r="M120" s="110">
        <f>IF($B120="","",TONG_HOP_CC!M120)</f>
        <v/>
      </c>
      <c r="N120" s="110">
        <f>IF($B120="","",TONG_HOP_CC!N120)</f>
        <v/>
      </c>
      <c r="P120" s="110">
        <f>IF($B120="","",TONG_HOP_CC!O120)</f>
        <v/>
      </c>
      <c r="Q120" s="110">
        <f>IF($B120="","",TONG_HOP_CC!P120)</f>
        <v/>
      </c>
      <c r="R120" s="110">
        <f>IF($B120="","",TONG_HOP_CC!Q120)</f>
        <v/>
      </c>
      <c r="S120" s="110">
        <f>IF($B120="","",TONG_HOP_CC!R120)</f>
        <v/>
      </c>
      <c r="T120" s="110">
        <f>IF($B120="","",TONG_HOP_CC!S120)</f>
        <v/>
      </c>
      <c r="U120" s="110">
        <f>IF($B120="","",TONG_HOP_CC!T120)</f>
        <v/>
      </c>
      <c r="W120" s="112">
        <f>IF(DM_NHAN_SU!$B120="","",IF(DM_NHAN_SU!$B120="","",DM_NHAN_SU!$B120))</f>
        <v/>
      </c>
      <c r="X120" s="113">
        <f>IF(DM_NHAN_SU!$B120="","",IF(DM_NHAN_SU!$C120="","",DM_NHAN_SU!$C120))</f>
        <v/>
      </c>
      <c r="Y120" s="113">
        <f>IF(DM_NHAN_SU!$B120="","",IF(DM_NHAN_SU!$D120="","",DM_NHAN_SU!$D120))</f>
        <v/>
      </c>
      <c r="Z120" s="113">
        <f>IF(DM_NHAN_SU!$B120="","",IF(DM_NHAN_SU!$E120="","",DM_NHAN_SU!$E120))</f>
        <v/>
      </c>
      <c r="AA120" s="114">
        <f>IF(DM_NHAN_SU!$B120="","",IF(DM_NHAN_SU!$F120="","",DM_NHAN_SU!$F120))</f>
        <v/>
      </c>
      <c r="AB120" s="114">
        <f>IF(DM_NHAN_SU!$B120="","",IF(DM_NHAN_SU!$G120="","",DM_NHAN_SU!$G120))</f>
        <v/>
      </c>
    </row>
    <row r="121" ht="15" customHeight="1" s="63">
      <c r="A121" s="85">
        <f>IF($B121="","",ROW()-5)</f>
        <v/>
      </c>
      <c r="B121" s="103">
        <f>IF(TONG_HOP_CC!B121="","",TONG_HOP_CC!B121)</f>
        <v/>
      </c>
      <c r="C121" s="96">
        <f>IF($B121="","",TONG_HOP_CC!C121)</f>
        <v/>
      </c>
      <c r="E121" s="112">
        <f>IF($B121="","","Tổng hợp")</f>
        <v/>
      </c>
      <c r="F121" s="110">
        <f>IF($B121="","",TONG_HOP_CC!E121)</f>
        <v/>
      </c>
      <c r="G121" s="110">
        <f>IF($B121="","",TONG_HOP_CC!G121)</f>
        <v/>
      </c>
      <c r="H121" s="110">
        <f>IF($B121="","",TONG_HOP_CC!H121)</f>
        <v/>
      </c>
      <c r="I121" s="110">
        <f>IF($B121="","",TONG_HOP_CC!I121)</f>
        <v/>
      </c>
      <c r="J121" s="110">
        <f>IF($B121="","",TONG_HOP_CC!J121)</f>
        <v/>
      </c>
      <c r="K121" s="110">
        <f>IF($B121="","",TONG_HOP_CC!K121)</f>
        <v/>
      </c>
      <c r="L121" s="110">
        <f>IF($B121="","",TONG_HOP_CC!L121)</f>
        <v/>
      </c>
      <c r="M121" s="110">
        <f>IF($B121="","",TONG_HOP_CC!M121)</f>
        <v/>
      </c>
      <c r="N121" s="110">
        <f>IF($B121="","",TONG_HOP_CC!N121)</f>
        <v/>
      </c>
      <c r="P121" s="110">
        <f>IF($B121="","",TONG_HOP_CC!O121)</f>
        <v/>
      </c>
      <c r="Q121" s="110">
        <f>IF($B121="","",TONG_HOP_CC!P121)</f>
        <v/>
      </c>
      <c r="R121" s="110">
        <f>IF($B121="","",TONG_HOP_CC!Q121)</f>
        <v/>
      </c>
      <c r="S121" s="110">
        <f>IF($B121="","",TONG_HOP_CC!R121)</f>
        <v/>
      </c>
      <c r="T121" s="110">
        <f>IF($B121="","",TONG_HOP_CC!S121)</f>
        <v/>
      </c>
      <c r="U121" s="110">
        <f>IF($B121="","",TONG_HOP_CC!T121)</f>
        <v/>
      </c>
      <c r="W121" s="112">
        <f>IF(DM_NHAN_SU!$B121="","",IF(DM_NHAN_SU!$B121="","",DM_NHAN_SU!$B121))</f>
        <v/>
      </c>
      <c r="X121" s="113">
        <f>IF(DM_NHAN_SU!$B121="","",IF(DM_NHAN_SU!$C121="","",DM_NHAN_SU!$C121))</f>
        <v/>
      </c>
      <c r="Y121" s="113">
        <f>IF(DM_NHAN_SU!$B121="","",IF(DM_NHAN_SU!$D121="","",DM_NHAN_SU!$D121))</f>
        <v/>
      </c>
      <c r="Z121" s="113">
        <f>IF(DM_NHAN_SU!$B121="","",IF(DM_NHAN_SU!$E121="","",DM_NHAN_SU!$E121))</f>
        <v/>
      </c>
      <c r="AA121" s="114">
        <f>IF(DM_NHAN_SU!$B121="","",IF(DM_NHAN_SU!$F121="","",DM_NHAN_SU!$F121))</f>
        <v/>
      </c>
      <c r="AB121" s="114">
        <f>IF(DM_NHAN_SU!$B121="","",IF(DM_NHAN_SU!$G121="","",DM_NHAN_SU!$G121))</f>
        <v/>
      </c>
    </row>
    <row r="122" ht="15" customHeight="1" s="63">
      <c r="A122" s="85">
        <f>IF($B122="","",ROW()-5)</f>
        <v/>
      </c>
      <c r="B122" s="103">
        <f>IF(TONG_HOP_CC!B122="","",TONG_HOP_CC!B122)</f>
        <v/>
      </c>
      <c r="C122" s="96">
        <f>IF($B122="","",TONG_HOP_CC!C122)</f>
        <v/>
      </c>
      <c r="E122" s="112">
        <f>IF($B122="","","Tổng hợp")</f>
        <v/>
      </c>
      <c r="F122" s="110">
        <f>IF($B122="","",TONG_HOP_CC!E122)</f>
        <v/>
      </c>
      <c r="G122" s="110">
        <f>IF($B122="","",TONG_HOP_CC!G122)</f>
        <v/>
      </c>
      <c r="H122" s="110">
        <f>IF($B122="","",TONG_HOP_CC!H122)</f>
        <v/>
      </c>
      <c r="I122" s="110">
        <f>IF($B122="","",TONG_HOP_CC!I122)</f>
        <v/>
      </c>
      <c r="J122" s="110">
        <f>IF($B122="","",TONG_HOP_CC!J122)</f>
        <v/>
      </c>
      <c r="K122" s="110">
        <f>IF($B122="","",TONG_HOP_CC!K122)</f>
        <v/>
      </c>
      <c r="L122" s="110">
        <f>IF($B122="","",TONG_HOP_CC!L122)</f>
        <v/>
      </c>
      <c r="M122" s="110">
        <f>IF($B122="","",TONG_HOP_CC!M122)</f>
        <v/>
      </c>
      <c r="N122" s="110">
        <f>IF($B122="","",TONG_HOP_CC!N122)</f>
        <v/>
      </c>
      <c r="P122" s="110">
        <f>IF($B122="","",TONG_HOP_CC!O122)</f>
        <v/>
      </c>
      <c r="Q122" s="110">
        <f>IF($B122="","",TONG_HOP_CC!P122)</f>
        <v/>
      </c>
      <c r="R122" s="110">
        <f>IF($B122="","",TONG_HOP_CC!Q122)</f>
        <v/>
      </c>
      <c r="S122" s="110">
        <f>IF($B122="","",TONG_HOP_CC!R122)</f>
        <v/>
      </c>
      <c r="T122" s="110">
        <f>IF($B122="","",TONG_HOP_CC!S122)</f>
        <v/>
      </c>
      <c r="U122" s="110">
        <f>IF($B122="","",TONG_HOP_CC!T122)</f>
        <v/>
      </c>
      <c r="W122" s="112">
        <f>IF(DM_NHAN_SU!$B122="","",IF(DM_NHAN_SU!$B122="","",DM_NHAN_SU!$B122))</f>
        <v/>
      </c>
      <c r="X122" s="113">
        <f>IF(DM_NHAN_SU!$B122="","",IF(DM_NHAN_SU!$C122="","",DM_NHAN_SU!$C122))</f>
        <v/>
      </c>
      <c r="Y122" s="113">
        <f>IF(DM_NHAN_SU!$B122="","",IF(DM_NHAN_SU!$D122="","",DM_NHAN_SU!$D122))</f>
        <v/>
      </c>
      <c r="Z122" s="113">
        <f>IF(DM_NHAN_SU!$B122="","",IF(DM_NHAN_SU!$E122="","",DM_NHAN_SU!$E122))</f>
        <v/>
      </c>
      <c r="AA122" s="114">
        <f>IF(DM_NHAN_SU!$B122="","",IF(DM_NHAN_SU!$F122="","",DM_NHAN_SU!$F122))</f>
        <v/>
      </c>
      <c r="AB122" s="114">
        <f>IF(DM_NHAN_SU!$B122="","",IF(DM_NHAN_SU!$G122="","",DM_NHAN_SU!$G122))</f>
        <v/>
      </c>
    </row>
    <row r="123" ht="15" customHeight="1" s="63">
      <c r="A123" s="85">
        <f>IF($B123="","",ROW()-5)</f>
        <v/>
      </c>
      <c r="B123" s="103">
        <f>IF(TONG_HOP_CC!B123="","",TONG_HOP_CC!B123)</f>
        <v/>
      </c>
      <c r="C123" s="96">
        <f>IF($B123="","",TONG_HOP_CC!C123)</f>
        <v/>
      </c>
      <c r="E123" s="112">
        <f>IF($B123="","","Tổng hợp")</f>
        <v/>
      </c>
      <c r="F123" s="110">
        <f>IF($B123="","",TONG_HOP_CC!E123)</f>
        <v/>
      </c>
      <c r="G123" s="110">
        <f>IF($B123="","",TONG_HOP_CC!G123)</f>
        <v/>
      </c>
      <c r="H123" s="110">
        <f>IF($B123="","",TONG_HOP_CC!H123)</f>
        <v/>
      </c>
      <c r="I123" s="110">
        <f>IF($B123="","",TONG_HOP_CC!I123)</f>
        <v/>
      </c>
      <c r="J123" s="110">
        <f>IF($B123="","",TONG_HOP_CC!J123)</f>
        <v/>
      </c>
      <c r="K123" s="110">
        <f>IF($B123="","",TONG_HOP_CC!K123)</f>
        <v/>
      </c>
      <c r="L123" s="110">
        <f>IF($B123="","",TONG_HOP_CC!L123)</f>
        <v/>
      </c>
      <c r="M123" s="110">
        <f>IF($B123="","",TONG_HOP_CC!M123)</f>
        <v/>
      </c>
      <c r="N123" s="110">
        <f>IF($B123="","",TONG_HOP_CC!N123)</f>
        <v/>
      </c>
      <c r="P123" s="110">
        <f>IF($B123="","",TONG_HOP_CC!O123)</f>
        <v/>
      </c>
      <c r="Q123" s="110">
        <f>IF($B123="","",TONG_HOP_CC!P123)</f>
        <v/>
      </c>
      <c r="R123" s="110">
        <f>IF($B123="","",TONG_HOP_CC!Q123)</f>
        <v/>
      </c>
      <c r="S123" s="110">
        <f>IF($B123="","",TONG_HOP_CC!R123)</f>
        <v/>
      </c>
      <c r="T123" s="110">
        <f>IF($B123="","",TONG_HOP_CC!S123)</f>
        <v/>
      </c>
      <c r="U123" s="110">
        <f>IF($B123="","",TONG_HOP_CC!T123)</f>
        <v/>
      </c>
      <c r="W123" s="112">
        <f>IF(DM_NHAN_SU!$B123="","",IF(DM_NHAN_SU!$B123="","",DM_NHAN_SU!$B123))</f>
        <v/>
      </c>
      <c r="X123" s="113">
        <f>IF(DM_NHAN_SU!$B123="","",IF(DM_NHAN_SU!$C123="","",DM_NHAN_SU!$C123))</f>
        <v/>
      </c>
      <c r="Y123" s="113">
        <f>IF(DM_NHAN_SU!$B123="","",IF(DM_NHAN_SU!$D123="","",DM_NHAN_SU!$D123))</f>
        <v/>
      </c>
      <c r="Z123" s="113">
        <f>IF(DM_NHAN_SU!$B123="","",IF(DM_NHAN_SU!$E123="","",DM_NHAN_SU!$E123))</f>
        <v/>
      </c>
      <c r="AA123" s="114">
        <f>IF(DM_NHAN_SU!$B123="","",IF(DM_NHAN_SU!$F123="","",DM_NHAN_SU!$F123))</f>
        <v/>
      </c>
      <c r="AB123" s="114">
        <f>IF(DM_NHAN_SU!$B123="","",IF(DM_NHAN_SU!$G123="","",DM_NHAN_SU!$G123))</f>
        <v/>
      </c>
    </row>
    <row r="124" ht="15" customHeight="1" s="63">
      <c r="A124" s="85">
        <f>IF($B124="","",ROW()-5)</f>
        <v/>
      </c>
      <c r="B124" s="103">
        <f>IF(TONG_HOP_CC!B124="","",TONG_HOP_CC!B124)</f>
        <v/>
      </c>
      <c r="C124" s="96">
        <f>IF($B124="","",TONG_HOP_CC!C124)</f>
        <v/>
      </c>
      <c r="E124" s="112">
        <f>IF($B124="","","Tổng hợp")</f>
        <v/>
      </c>
      <c r="F124" s="110">
        <f>IF($B124="","",TONG_HOP_CC!E124)</f>
        <v/>
      </c>
      <c r="G124" s="110">
        <f>IF($B124="","",TONG_HOP_CC!G124)</f>
        <v/>
      </c>
      <c r="H124" s="110">
        <f>IF($B124="","",TONG_HOP_CC!H124)</f>
        <v/>
      </c>
      <c r="I124" s="110">
        <f>IF($B124="","",TONG_HOP_CC!I124)</f>
        <v/>
      </c>
      <c r="J124" s="110">
        <f>IF($B124="","",TONG_HOP_CC!J124)</f>
        <v/>
      </c>
      <c r="K124" s="110">
        <f>IF($B124="","",TONG_HOP_CC!K124)</f>
        <v/>
      </c>
      <c r="L124" s="110">
        <f>IF($B124="","",TONG_HOP_CC!L124)</f>
        <v/>
      </c>
      <c r="M124" s="110">
        <f>IF($B124="","",TONG_HOP_CC!M124)</f>
        <v/>
      </c>
      <c r="N124" s="110">
        <f>IF($B124="","",TONG_HOP_CC!N124)</f>
        <v/>
      </c>
      <c r="P124" s="110">
        <f>IF($B124="","",TONG_HOP_CC!O124)</f>
        <v/>
      </c>
      <c r="Q124" s="110">
        <f>IF($B124="","",TONG_HOP_CC!P124)</f>
        <v/>
      </c>
      <c r="R124" s="110">
        <f>IF($B124="","",TONG_HOP_CC!Q124)</f>
        <v/>
      </c>
      <c r="S124" s="110">
        <f>IF($B124="","",TONG_HOP_CC!R124)</f>
        <v/>
      </c>
      <c r="T124" s="110">
        <f>IF($B124="","",TONG_HOP_CC!S124)</f>
        <v/>
      </c>
      <c r="U124" s="110">
        <f>IF($B124="","",TONG_HOP_CC!T124)</f>
        <v/>
      </c>
      <c r="W124" s="112">
        <f>IF(DM_NHAN_SU!$B124="","",IF(DM_NHAN_SU!$B124="","",DM_NHAN_SU!$B124))</f>
        <v/>
      </c>
      <c r="X124" s="113">
        <f>IF(DM_NHAN_SU!$B124="","",IF(DM_NHAN_SU!$C124="","",DM_NHAN_SU!$C124))</f>
        <v/>
      </c>
      <c r="Y124" s="113">
        <f>IF(DM_NHAN_SU!$B124="","",IF(DM_NHAN_SU!$D124="","",DM_NHAN_SU!$D124))</f>
        <v/>
      </c>
      <c r="Z124" s="113">
        <f>IF(DM_NHAN_SU!$B124="","",IF(DM_NHAN_SU!$E124="","",DM_NHAN_SU!$E124))</f>
        <v/>
      </c>
      <c r="AA124" s="114">
        <f>IF(DM_NHAN_SU!$B124="","",IF(DM_NHAN_SU!$F124="","",DM_NHAN_SU!$F124))</f>
        <v/>
      </c>
      <c r="AB124" s="114">
        <f>IF(DM_NHAN_SU!$B124="","",IF(DM_NHAN_SU!$G124="","",DM_NHAN_SU!$G124))</f>
        <v/>
      </c>
    </row>
    <row r="125" ht="15" customHeight="1" s="63">
      <c r="A125" s="85">
        <f>IF($B125="","",ROW()-5)</f>
        <v/>
      </c>
      <c r="B125" s="103">
        <f>IF(TONG_HOP_CC!B125="","",TONG_HOP_CC!B125)</f>
        <v/>
      </c>
      <c r="C125" s="96">
        <f>IF($B125="","",TONG_HOP_CC!C125)</f>
        <v/>
      </c>
      <c r="E125" s="112">
        <f>IF($B125="","","Tổng hợp")</f>
        <v/>
      </c>
      <c r="F125" s="110">
        <f>IF($B125="","",TONG_HOP_CC!E125)</f>
        <v/>
      </c>
      <c r="G125" s="110">
        <f>IF($B125="","",TONG_HOP_CC!G125)</f>
        <v/>
      </c>
      <c r="H125" s="110">
        <f>IF($B125="","",TONG_HOP_CC!H125)</f>
        <v/>
      </c>
      <c r="I125" s="110">
        <f>IF($B125="","",TONG_HOP_CC!I125)</f>
        <v/>
      </c>
      <c r="J125" s="110">
        <f>IF($B125="","",TONG_HOP_CC!J125)</f>
        <v/>
      </c>
      <c r="K125" s="110">
        <f>IF($B125="","",TONG_HOP_CC!K125)</f>
        <v/>
      </c>
      <c r="L125" s="110">
        <f>IF($B125="","",TONG_HOP_CC!L125)</f>
        <v/>
      </c>
      <c r="M125" s="110">
        <f>IF($B125="","",TONG_HOP_CC!M125)</f>
        <v/>
      </c>
      <c r="N125" s="110">
        <f>IF($B125="","",TONG_HOP_CC!N125)</f>
        <v/>
      </c>
      <c r="P125" s="110">
        <f>IF($B125="","",TONG_HOP_CC!O125)</f>
        <v/>
      </c>
      <c r="Q125" s="110">
        <f>IF($B125="","",TONG_HOP_CC!P125)</f>
        <v/>
      </c>
      <c r="R125" s="110">
        <f>IF($B125="","",TONG_HOP_CC!Q125)</f>
        <v/>
      </c>
      <c r="S125" s="110">
        <f>IF($B125="","",TONG_HOP_CC!R125)</f>
        <v/>
      </c>
      <c r="T125" s="110">
        <f>IF($B125="","",TONG_HOP_CC!S125)</f>
        <v/>
      </c>
      <c r="U125" s="110">
        <f>IF($B125="","",TONG_HOP_CC!T125)</f>
        <v/>
      </c>
      <c r="W125" s="112">
        <f>IF(DM_NHAN_SU!$B125="","",IF(DM_NHAN_SU!$B125="","",DM_NHAN_SU!$B125))</f>
        <v/>
      </c>
      <c r="X125" s="113">
        <f>IF(DM_NHAN_SU!$B125="","",IF(DM_NHAN_SU!$C125="","",DM_NHAN_SU!$C125))</f>
        <v/>
      </c>
      <c r="Y125" s="113">
        <f>IF(DM_NHAN_SU!$B125="","",IF(DM_NHAN_SU!$D125="","",DM_NHAN_SU!$D125))</f>
        <v/>
      </c>
      <c r="Z125" s="113">
        <f>IF(DM_NHAN_SU!$B125="","",IF(DM_NHAN_SU!$E125="","",DM_NHAN_SU!$E125))</f>
        <v/>
      </c>
      <c r="AA125" s="114">
        <f>IF(DM_NHAN_SU!$B125="","",IF(DM_NHAN_SU!$F125="","",DM_NHAN_SU!$F125))</f>
        <v/>
      </c>
      <c r="AB125" s="114">
        <f>IF(DM_NHAN_SU!$B125="","",IF(DM_NHAN_SU!$G125="","",DM_NHAN_SU!$G125))</f>
        <v/>
      </c>
    </row>
    <row r="126" ht="15" customHeight="1" s="63">
      <c r="A126" s="85">
        <f>IF($B126="","",ROW()-5)</f>
        <v/>
      </c>
      <c r="B126" s="103">
        <f>IF(TONG_HOP_CC!B126="","",TONG_HOP_CC!B126)</f>
        <v/>
      </c>
      <c r="C126" s="96">
        <f>IF($B126="","",TONG_HOP_CC!C126)</f>
        <v/>
      </c>
      <c r="E126" s="112">
        <f>IF($B126="","","Tổng hợp")</f>
        <v/>
      </c>
      <c r="F126" s="110">
        <f>IF($B126="","",TONG_HOP_CC!E126)</f>
        <v/>
      </c>
      <c r="G126" s="110">
        <f>IF($B126="","",TONG_HOP_CC!G126)</f>
        <v/>
      </c>
      <c r="H126" s="110">
        <f>IF($B126="","",TONG_HOP_CC!H126)</f>
        <v/>
      </c>
      <c r="I126" s="110">
        <f>IF($B126="","",TONG_HOP_CC!I126)</f>
        <v/>
      </c>
      <c r="J126" s="110">
        <f>IF($B126="","",TONG_HOP_CC!J126)</f>
        <v/>
      </c>
      <c r="K126" s="110">
        <f>IF($B126="","",TONG_HOP_CC!K126)</f>
        <v/>
      </c>
      <c r="L126" s="110">
        <f>IF($B126="","",TONG_HOP_CC!L126)</f>
        <v/>
      </c>
      <c r="M126" s="110">
        <f>IF($B126="","",TONG_HOP_CC!M126)</f>
        <v/>
      </c>
      <c r="N126" s="110">
        <f>IF($B126="","",TONG_HOP_CC!N126)</f>
        <v/>
      </c>
      <c r="P126" s="110">
        <f>IF($B126="","",TONG_HOP_CC!O126)</f>
        <v/>
      </c>
      <c r="Q126" s="110">
        <f>IF($B126="","",TONG_HOP_CC!P126)</f>
        <v/>
      </c>
      <c r="R126" s="110">
        <f>IF($B126="","",TONG_HOP_CC!Q126)</f>
        <v/>
      </c>
      <c r="S126" s="110">
        <f>IF($B126="","",TONG_HOP_CC!R126)</f>
        <v/>
      </c>
      <c r="T126" s="110">
        <f>IF($B126="","",TONG_HOP_CC!S126)</f>
        <v/>
      </c>
      <c r="U126" s="110">
        <f>IF($B126="","",TONG_HOP_CC!T126)</f>
        <v/>
      </c>
      <c r="W126" s="112">
        <f>IF(DM_NHAN_SU!$B126="","",IF(DM_NHAN_SU!$B126="","",DM_NHAN_SU!$B126))</f>
        <v/>
      </c>
      <c r="X126" s="113">
        <f>IF(DM_NHAN_SU!$B126="","",IF(DM_NHAN_SU!$C126="","",DM_NHAN_SU!$C126))</f>
        <v/>
      </c>
      <c r="Y126" s="113">
        <f>IF(DM_NHAN_SU!$B126="","",IF(DM_NHAN_SU!$D126="","",DM_NHAN_SU!$D126))</f>
        <v/>
      </c>
      <c r="Z126" s="113">
        <f>IF(DM_NHAN_SU!$B126="","",IF(DM_NHAN_SU!$E126="","",DM_NHAN_SU!$E126))</f>
        <v/>
      </c>
      <c r="AA126" s="114">
        <f>IF(DM_NHAN_SU!$B126="","",IF(DM_NHAN_SU!$F126="","",DM_NHAN_SU!$F126))</f>
        <v/>
      </c>
      <c r="AB126" s="114">
        <f>IF(DM_NHAN_SU!$B126="","",IF(DM_NHAN_SU!$G126="","",DM_NHAN_SU!$G126))</f>
        <v/>
      </c>
    </row>
    <row r="127" ht="15" customHeight="1" s="63">
      <c r="A127" s="85">
        <f>IF($B127="","",ROW()-5)</f>
        <v/>
      </c>
      <c r="B127" s="103">
        <f>IF(TONG_HOP_CC!B127="","",TONG_HOP_CC!B127)</f>
        <v/>
      </c>
      <c r="C127" s="96">
        <f>IF($B127="","",TONG_HOP_CC!C127)</f>
        <v/>
      </c>
      <c r="E127" s="112">
        <f>IF($B127="","","Tổng hợp")</f>
        <v/>
      </c>
      <c r="F127" s="110">
        <f>IF($B127="","",TONG_HOP_CC!E127)</f>
        <v/>
      </c>
      <c r="G127" s="110">
        <f>IF($B127="","",TONG_HOP_CC!G127)</f>
        <v/>
      </c>
      <c r="H127" s="110">
        <f>IF($B127="","",TONG_HOP_CC!H127)</f>
        <v/>
      </c>
      <c r="I127" s="110">
        <f>IF($B127="","",TONG_HOP_CC!I127)</f>
        <v/>
      </c>
      <c r="J127" s="110">
        <f>IF($B127="","",TONG_HOP_CC!J127)</f>
        <v/>
      </c>
      <c r="K127" s="110">
        <f>IF($B127="","",TONG_HOP_CC!K127)</f>
        <v/>
      </c>
      <c r="L127" s="110">
        <f>IF($B127="","",TONG_HOP_CC!L127)</f>
        <v/>
      </c>
      <c r="M127" s="110">
        <f>IF($B127="","",TONG_HOP_CC!M127)</f>
        <v/>
      </c>
      <c r="N127" s="110">
        <f>IF($B127="","",TONG_HOP_CC!N127)</f>
        <v/>
      </c>
      <c r="P127" s="110">
        <f>IF($B127="","",TONG_HOP_CC!O127)</f>
        <v/>
      </c>
      <c r="Q127" s="110">
        <f>IF($B127="","",TONG_HOP_CC!P127)</f>
        <v/>
      </c>
      <c r="R127" s="110">
        <f>IF($B127="","",TONG_HOP_CC!Q127)</f>
        <v/>
      </c>
      <c r="S127" s="110">
        <f>IF($B127="","",TONG_HOP_CC!R127)</f>
        <v/>
      </c>
      <c r="T127" s="110">
        <f>IF($B127="","",TONG_HOP_CC!S127)</f>
        <v/>
      </c>
      <c r="U127" s="110">
        <f>IF($B127="","",TONG_HOP_CC!T127)</f>
        <v/>
      </c>
      <c r="W127" s="112">
        <f>IF(DM_NHAN_SU!$B127="","",IF(DM_NHAN_SU!$B127="","",DM_NHAN_SU!$B127))</f>
        <v/>
      </c>
      <c r="X127" s="113">
        <f>IF(DM_NHAN_SU!$B127="","",IF(DM_NHAN_SU!$C127="","",DM_NHAN_SU!$C127))</f>
        <v/>
      </c>
      <c r="Y127" s="113">
        <f>IF(DM_NHAN_SU!$B127="","",IF(DM_NHAN_SU!$D127="","",DM_NHAN_SU!$D127))</f>
        <v/>
      </c>
      <c r="Z127" s="113">
        <f>IF(DM_NHAN_SU!$B127="","",IF(DM_NHAN_SU!$E127="","",DM_NHAN_SU!$E127))</f>
        <v/>
      </c>
      <c r="AA127" s="114">
        <f>IF(DM_NHAN_SU!$B127="","",IF(DM_NHAN_SU!$F127="","",DM_NHAN_SU!$F127))</f>
        <v/>
      </c>
      <c r="AB127" s="114">
        <f>IF(DM_NHAN_SU!$B127="","",IF(DM_NHAN_SU!$G127="","",DM_NHAN_SU!$G127))</f>
        <v/>
      </c>
    </row>
    <row r="128" ht="15" customHeight="1" s="63">
      <c r="A128" s="85">
        <f>IF($B128="","",ROW()-5)</f>
        <v/>
      </c>
      <c r="B128" s="103">
        <f>IF(TONG_HOP_CC!B128="","",TONG_HOP_CC!B128)</f>
        <v/>
      </c>
      <c r="C128" s="96">
        <f>IF($B128="","",TONG_HOP_CC!C128)</f>
        <v/>
      </c>
      <c r="E128" s="112">
        <f>IF($B128="","","Tổng hợp")</f>
        <v/>
      </c>
      <c r="F128" s="110">
        <f>IF($B128="","",TONG_HOP_CC!E128)</f>
        <v/>
      </c>
      <c r="G128" s="110">
        <f>IF($B128="","",TONG_HOP_CC!G128)</f>
        <v/>
      </c>
      <c r="H128" s="110">
        <f>IF($B128="","",TONG_HOP_CC!H128)</f>
        <v/>
      </c>
      <c r="I128" s="110">
        <f>IF($B128="","",TONG_HOP_CC!I128)</f>
        <v/>
      </c>
      <c r="J128" s="110">
        <f>IF($B128="","",TONG_HOP_CC!J128)</f>
        <v/>
      </c>
      <c r="K128" s="110">
        <f>IF($B128="","",TONG_HOP_CC!K128)</f>
        <v/>
      </c>
      <c r="L128" s="110">
        <f>IF($B128="","",TONG_HOP_CC!L128)</f>
        <v/>
      </c>
      <c r="M128" s="110">
        <f>IF($B128="","",TONG_HOP_CC!M128)</f>
        <v/>
      </c>
      <c r="N128" s="110">
        <f>IF($B128="","",TONG_HOP_CC!N128)</f>
        <v/>
      </c>
      <c r="P128" s="110">
        <f>IF($B128="","",TONG_HOP_CC!O128)</f>
        <v/>
      </c>
      <c r="Q128" s="110">
        <f>IF($B128="","",TONG_HOP_CC!P128)</f>
        <v/>
      </c>
      <c r="R128" s="110">
        <f>IF($B128="","",TONG_HOP_CC!Q128)</f>
        <v/>
      </c>
      <c r="S128" s="110">
        <f>IF($B128="","",TONG_HOP_CC!R128)</f>
        <v/>
      </c>
      <c r="T128" s="110">
        <f>IF($B128="","",TONG_HOP_CC!S128)</f>
        <v/>
      </c>
      <c r="U128" s="110">
        <f>IF($B128="","",TONG_HOP_CC!T128)</f>
        <v/>
      </c>
      <c r="W128" s="112">
        <f>IF(DM_NHAN_SU!$B128="","",IF(DM_NHAN_SU!$B128="","",DM_NHAN_SU!$B128))</f>
        <v/>
      </c>
      <c r="X128" s="113">
        <f>IF(DM_NHAN_SU!$B128="","",IF(DM_NHAN_SU!$C128="","",DM_NHAN_SU!$C128))</f>
        <v/>
      </c>
      <c r="Y128" s="113">
        <f>IF(DM_NHAN_SU!$B128="","",IF(DM_NHAN_SU!$D128="","",DM_NHAN_SU!$D128))</f>
        <v/>
      </c>
      <c r="Z128" s="113">
        <f>IF(DM_NHAN_SU!$B128="","",IF(DM_NHAN_SU!$E128="","",DM_NHAN_SU!$E128))</f>
        <v/>
      </c>
      <c r="AA128" s="114">
        <f>IF(DM_NHAN_SU!$B128="","",IF(DM_NHAN_SU!$F128="","",DM_NHAN_SU!$F128))</f>
        <v/>
      </c>
      <c r="AB128" s="114">
        <f>IF(DM_NHAN_SU!$B128="","",IF(DM_NHAN_SU!$G128="","",DM_NHAN_SU!$G128))</f>
        <v/>
      </c>
    </row>
    <row r="129" ht="15" customHeight="1" s="63">
      <c r="A129" s="85">
        <f>IF($B129="","",ROW()-5)</f>
        <v/>
      </c>
      <c r="B129" s="103">
        <f>IF(TONG_HOP_CC!B129="","",TONG_HOP_CC!B129)</f>
        <v/>
      </c>
      <c r="C129" s="96">
        <f>IF($B129="","",TONG_HOP_CC!C129)</f>
        <v/>
      </c>
      <c r="E129" s="112">
        <f>IF($B129="","","Tổng hợp")</f>
        <v/>
      </c>
      <c r="F129" s="110">
        <f>IF($B129="","",TONG_HOP_CC!E129)</f>
        <v/>
      </c>
      <c r="G129" s="110">
        <f>IF($B129="","",TONG_HOP_CC!G129)</f>
        <v/>
      </c>
      <c r="H129" s="110">
        <f>IF($B129="","",TONG_HOP_CC!H129)</f>
        <v/>
      </c>
      <c r="I129" s="110">
        <f>IF($B129="","",TONG_HOP_CC!I129)</f>
        <v/>
      </c>
      <c r="J129" s="110">
        <f>IF($B129="","",TONG_HOP_CC!J129)</f>
        <v/>
      </c>
      <c r="K129" s="110">
        <f>IF($B129="","",TONG_HOP_CC!K129)</f>
        <v/>
      </c>
      <c r="L129" s="110">
        <f>IF($B129="","",TONG_HOP_CC!L129)</f>
        <v/>
      </c>
      <c r="M129" s="110">
        <f>IF($B129="","",TONG_HOP_CC!M129)</f>
        <v/>
      </c>
      <c r="N129" s="110">
        <f>IF($B129="","",TONG_HOP_CC!N129)</f>
        <v/>
      </c>
      <c r="P129" s="110">
        <f>IF($B129="","",TONG_HOP_CC!O129)</f>
        <v/>
      </c>
      <c r="Q129" s="110">
        <f>IF($B129="","",TONG_HOP_CC!P129)</f>
        <v/>
      </c>
      <c r="R129" s="110">
        <f>IF($B129="","",TONG_HOP_CC!Q129)</f>
        <v/>
      </c>
      <c r="S129" s="110">
        <f>IF($B129="","",TONG_HOP_CC!R129)</f>
        <v/>
      </c>
      <c r="T129" s="110">
        <f>IF($B129="","",TONG_HOP_CC!S129)</f>
        <v/>
      </c>
      <c r="U129" s="110">
        <f>IF($B129="","",TONG_HOP_CC!T129)</f>
        <v/>
      </c>
      <c r="W129" s="112">
        <f>IF(DM_NHAN_SU!$B129="","",IF(DM_NHAN_SU!$B129="","",DM_NHAN_SU!$B129))</f>
        <v/>
      </c>
      <c r="X129" s="113">
        <f>IF(DM_NHAN_SU!$B129="","",IF(DM_NHAN_SU!$C129="","",DM_NHAN_SU!$C129))</f>
        <v/>
      </c>
      <c r="Y129" s="113">
        <f>IF(DM_NHAN_SU!$B129="","",IF(DM_NHAN_SU!$D129="","",DM_NHAN_SU!$D129))</f>
        <v/>
      </c>
      <c r="Z129" s="113">
        <f>IF(DM_NHAN_SU!$B129="","",IF(DM_NHAN_SU!$E129="","",DM_NHAN_SU!$E129))</f>
        <v/>
      </c>
      <c r="AA129" s="114">
        <f>IF(DM_NHAN_SU!$B129="","",IF(DM_NHAN_SU!$F129="","",DM_NHAN_SU!$F129))</f>
        <v/>
      </c>
      <c r="AB129" s="114">
        <f>IF(DM_NHAN_SU!$B129="","",IF(DM_NHAN_SU!$G129="","",DM_NHAN_SU!$G129))</f>
        <v/>
      </c>
    </row>
    <row r="130" ht="15" customHeight="1" s="63">
      <c r="A130" s="85">
        <f>IF($B130="","",ROW()-5)</f>
        <v/>
      </c>
      <c r="B130" s="103">
        <f>IF(TONG_HOP_CC!B130="","",TONG_HOP_CC!B130)</f>
        <v/>
      </c>
      <c r="C130" s="96">
        <f>IF($B130="","",TONG_HOP_CC!C130)</f>
        <v/>
      </c>
      <c r="E130" s="112">
        <f>IF($B130="","","Tổng hợp")</f>
        <v/>
      </c>
      <c r="F130" s="110">
        <f>IF($B130="","",TONG_HOP_CC!E130)</f>
        <v/>
      </c>
      <c r="G130" s="110">
        <f>IF($B130="","",TONG_HOP_CC!G130)</f>
        <v/>
      </c>
      <c r="H130" s="110">
        <f>IF($B130="","",TONG_HOP_CC!H130)</f>
        <v/>
      </c>
      <c r="I130" s="110">
        <f>IF($B130="","",TONG_HOP_CC!I130)</f>
        <v/>
      </c>
      <c r="J130" s="110">
        <f>IF($B130="","",TONG_HOP_CC!J130)</f>
        <v/>
      </c>
      <c r="K130" s="110">
        <f>IF($B130="","",TONG_HOP_CC!K130)</f>
        <v/>
      </c>
      <c r="L130" s="110">
        <f>IF($B130="","",TONG_HOP_CC!L130)</f>
        <v/>
      </c>
      <c r="M130" s="110">
        <f>IF($B130="","",TONG_HOP_CC!M130)</f>
        <v/>
      </c>
      <c r="N130" s="110">
        <f>IF($B130="","",TONG_HOP_CC!N130)</f>
        <v/>
      </c>
      <c r="P130" s="110">
        <f>IF($B130="","",TONG_HOP_CC!O130)</f>
        <v/>
      </c>
      <c r="Q130" s="110">
        <f>IF($B130="","",TONG_HOP_CC!P130)</f>
        <v/>
      </c>
      <c r="R130" s="110">
        <f>IF($B130="","",TONG_HOP_CC!Q130)</f>
        <v/>
      </c>
      <c r="S130" s="110">
        <f>IF($B130="","",TONG_HOP_CC!R130)</f>
        <v/>
      </c>
      <c r="T130" s="110">
        <f>IF($B130="","",TONG_HOP_CC!S130)</f>
        <v/>
      </c>
      <c r="U130" s="110">
        <f>IF($B130="","",TONG_HOP_CC!T130)</f>
        <v/>
      </c>
      <c r="W130" s="112">
        <f>IF(DM_NHAN_SU!$B130="","",IF(DM_NHAN_SU!$B130="","",DM_NHAN_SU!$B130))</f>
        <v/>
      </c>
      <c r="X130" s="113">
        <f>IF(DM_NHAN_SU!$B130="","",IF(DM_NHAN_SU!$C130="","",DM_NHAN_SU!$C130))</f>
        <v/>
      </c>
      <c r="Y130" s="113">
        <f>IF(DM_NHAN_SU!$B130="","",IF(DM_NHAN_SU!$D130="","",DM_NHAN_SU!$D130))</f>
        <v/>
      </c>
      <c r="Z130" s="113">
        <f>IF(DM_NHAN_SU!$B130="","",IF(DM_NHAN_SU!$E130="","",DM_NHAN_SU!$E130))</f>
        <v/>
      </c>
      <c r="AA130" s="114">
        <f>IF(DM_NHAN_SU!$B130="","",IF(DM_NHAN_SU!$F130="","",DM_NHAN_SU!$F130))</f>
        <v/>
      </c>
      <c r="AB130" s="114">
        <f>IF(DM_NHAN_SU!$B130="","",IF(DM_NHAN_SU!$G130="","",DM_NHAN_SU!$G130))</f>
        <v/>
      </c>
    </row>
    <row r="131" ht="15" customHeight="1" s="63">
      <c r="A131" s="85">
        <f>IF($B131="","",ROW()-5)</f>
        <v/>
      </c>
      <c r="B131" s="103">
        <f>IF(TONG_HOP_CC!B131="","",TONG_HOP_CC!B131)</f>
        <v/>
      </c>
      <c r="C131" s="96">
        <f>IF($B131="","",TONG_HOP_CC!C131)</f>
        <v/>
      </c>
      <c r="E131" s="112">
        <f>IF($B131="","","Tổng hợp")</f>
        <v/>
      </c>
      <c r="F131" s="110">
        <f>IF($B131="","",TONG_HOP_CC!E131)</f>
        <v/>
      </c>
      <c r="G131" s="110">
        <f>IF($B131="","",TONG_HOP_CC!G131)</f>
        <v/>
      </c>
      <c r="H131" s="110">
        <f>IF($B131="","",TONG_HOP_CC!H131)</f>
        <v/>
      </c>
      <c r="I131" s="110">
        <f>IF($B131="","",TONG_HOP_CC!I131)</f>
        <v/>
      </c>
      <c r="J131" s="110">
        <f>IF($B131="","",TONG_HOP_CC!J131)</f>
        <v/>
      </c>
      <c r="K131" s="110">
        <f>IF($B131="","",TONG_HOP_CC!K131)</f>
        <v/>
      </c>
      <c r="L131" s="110">
        <f>IF($B131="","",TONG_HOP_CC!L131)</f>
        <v/>
      </c>
      <c r="M131" s="110">
        <f>IF($B131="","",TONG_HOP_CC!M131)</f>
        <v/>
      </c>
      <c r="N131" s="110">
        <f>IF($B131="","",TONG_HOP_CC!N131)</f>
        <v/>
      </c>
      <c r="P131" s="110">
        <f>IF($B131="","",TONG_HOP_CC!O131)</f>
        <v/>
      </c>
      <c r="Q131" s="110">
        <f>IF($B131="","",TONG_HOP_CC!P131)</f>
        <v/>
      </c>
      <c r="R131" s="110">
        <f>IF($B131="","",TONG_HOP_CC!Q131)</f>
        <v/>
      </c>
      <c r="S131" s="110">
        <f>IF($B131="","",TONG_HOP_CC!R131)</f>
        <v/>
      </c>
      <c r="T131" s="110">
        <f>IF($B131="","",TONG_HOP_CC!S131)</f>
        <v/>
      </c>
      <c r="U131" s="110">
        <f>IF($B131="","",TONG_HOP_CC!T131)</f>
        <v/>
      </c>
      <c r="W131" s="112">
        <f>IF(DM_NHAN_SU!$B131="","",IF(DM_NHAN_SU!$B131="","",DM_NHAN_SU!$B131))</f>
        <v/>
      </c>
      <c r="X131" s="113">
        <f>IF(DM_NHAN_SU!$B131="","",IF(DM_NHAN_SU!$C131="","",DM_NHAN_SU!$C131))</f>
        <v/>
      </c>
      <c r="Y131" s="113">
        <f>IF(DM_NHAN_SU!$B131="","",IF(DM_NHAN_SU!$D131="","",DM_NHAN_SU!$D131))</f>
        <v/>
      </c>
      <c r="Z131" s="113">
        <f>IF(DM_NHAN_SU!$B131="","",IF(DM_NHAN_SU!$E131="","",DM_NHAN_SU!$E131))</f>
        <v/>
      </c>
      <c r="AA131" s="114">
        <f>IF(DM_NHAN_SU!$B131="","",IF(DM_NHAN_SU!$F131="","",DM_NHAN_SU!$F131))</f>
        <v/>
      </c>
      <c r="AB131" s="114">
        <f>IF(DM_NHAN_SU!$B131="","",IF(DM_NHAN_SU!$G131="","",DM_NHAN_SU!$G131))</f>
        <v/>
      </c>
    </row>
    <row r="132" ht="15" customHeight="1" s="63">
      <c r="A132" s="85">
        <f>IF($B132="","",ROW()-5)</f>
        <v/>
      </c>
      <c r="B132" s="103">
        <f>IF(TONG_HOP_CC!B132="","",TONG_HOP_CC!B132)</f>
        <v/>
      </c>
      <c r="C132" s="96">
        <f>IF($B132="","",TONG_HOP_CC!C132)</f>
        <v/>
      </c>
      <c r="E132" s="112">
        <f>IF($B132="","","Tổng hợp")</f>
        <v/>
      </c>
      <c r="F132" s="110">
        <f>IF($B132="","",TONG_HOP_CC!E132)</f>
        <v/>
      </c>
      <c r="G132" s="110">
        <f>IF($B132="","",TONG_HOP_CC!G132)</f>
        <v/>
      </c>
      <c r="H132" s="110">
        <f>IF($B132="","",TONG_HOP_CC!H132)</f>
        <v/>
      </c>
      <c r="I132" s="110">
        <f>IF($B132="","",TONG_HOP_CC!I132)</f>
        <v/>
      </c>
      <c r="J132" s="110">
        <f>IF($B132="","",TONG_HOP_CC!J132)</f>
        <v/>
      </c>
      <c r="K132" s="110">
        <f>IF($B132="","",TONG_HOP_CC!K132)</f>
        <v/>
      </c>
      <c r="L132" s="110">
        <f>IF($B132="","",TONG_HOP_CC!L132)</f>
        <v/>
      </c>
      <c r="M132" s="110">
        <f>IF($B132="","",TONG_HOP_CC!M132)</f>
        <v/>
      </c>
      <c r="N132" s="110">
        <f>IF($B132="","",TONG_HOP_CC!N132)</f>
        <v/>
      </c>
      <c r="P132" s="110">
        <f>IF($B132="","",TONG_HOP_CC!O132)</f>
        <v/>
      </c>
      <c r="Q132" s="110">
        <f>IF($B132="","",TONG_HOP_CC!P132)</f>
        <v/>
      </c>
      <c r="R132" s="110">
        <f>IF($B132="","",TONG_HOP_CC!Q132)</f>
        <v/>
      </c>
      <c r="S132" s="110">
        <f>IF($B132="","",TONG_HOP_CC!R132)</f>
        <v/>
      </c>
      <c r="T132" s="110">
        <f>IF($B132="","",TONG_HOP_CC!S132)</f>
        <v/>
      </c>
      <c r="U132" s="110">
        <f>IF($B132="","",TONG_HOP_CC!T132)</f>
        <v/>
      </c>
      <c r="W132" s="112">
        <f>IF(DM_NHAN_SU!$B132="","",IF(DM_NHAN_SU!$B132="","",DM_NHAN_SU!$B132))</f>
        <v/>
      </c>
      <c r="X132" s="113">
        <f>IF(DM_NHAN_SU!$B132="","",IF(DM_NHAN_SU!$C132="","",DM_NHAN_SU!$C132))</f>
        <v/>
      </c>
      <c r="Y132" s="113">
        <f>IF(DM_NHAN_SU!$B132="","",IF(DM_NHAN_SU!$D132="","",DM_NHAN_SU!$D132))</f>
        <v/>
      </c>
      <c r="Z132" s="113">
        <f>IF(DM_NHAN_SU!$B132="","",IF(DM_NHAN_SU!$E132="","",DM_NHAN_SU!$E132))</f>
        <v/>
      </c>
      <c r="AA132" s="114">
        <f>IF(DM_NHAN_SU!$B132="","",IF(DM_NHAN_SU!$F132="","",DM_NHAN_SU!$F132))</f>
        <v/>
      </c>
      <c r="AB132" s="114">
        <f>IF(DM_NHAN_SU!$B132="","",IF(DM_NHAN_SU!$G132="","",DM_NHAN_SU!$G132))</f>
        <v/>
      </c>
    </row>
    <row r="133" ht="15" customHeight="1" s="63">
      <c r="A133" s="85">
        <f>IF($B133="","",ROW()-5)</f>
        <v/>
      </c>
      <c r="B133" s="103">
        <f>IF(TONG_HOP_CC!B133="","",TONG_HOP_CC!B133)</f>
        <v/>
      </c>
      <c r="C133" s="96">
        <f>IF($B133="","",TONG_HOP_CC!C133)</f>
        <v/>
      </c>
      <c r="E133" s="112">
        <f>IF($B133="","","Tổng hợp")</f>
        <v/>
      </c>
      <c r="F133" s="110">
        <f>IF($B133="","",TONG_HOP_CC!E133)</f>
        <v/>
      </c>
      <c r="G133" s="110">
        <f>IF($B133="","",TONG_HOP_CC!G133)</f>
        <v/>
      </c>
      <c r="H133" s="110">
        <f>IF($B133="","",TONG_HOP_CC!H133)</f>
        <v/>
      </c>
      <c r="I133" s="110">
        <f>IF($B133="","",TONG_HOP_CC!I133)</f>
        <v/>
      </c>
      <c r="J133" s="110">
        <f>IF($B133="","",TONG_HOP_CC!J133)</f>
        <v/>
      </c>
      <c r="K133" s="110">
        <f>IF($B133="","",TONG_HOP_CC!K133)</f>
        <v/>
      </c>
      <c r="L133" s="110">
        <f>IF($B133="","",TONG_HOP_CC!L133)</f>
        <v/>
      </c>
      <c r="M133" s="110">
        <f>IF($B133="","",TONG_HOP_CC!M133)</f>
        <v/>
      </c>
      <c r="N133" s="110">
        <f>IF($B133="","",TONG_HOP_CC!N133)</f>
        <v/>
      </c>
      <c r="P133" s="110">
        <f>IF($B133="","",TONG_HOP_CC!O133)</f>
        <v/>
      </c>
      <c r="Q133" s="110">
        <f>IF($B133="","",TONG_HOP_CC!P133)</f>
        <v/>
      </c>
      <c r="R133" s="110">
        <f>IF($B133="","",TONG_HOP_CC!Q133)</f>
        <v/>
      </c>
      <c r="S133" s="110">
        <f>IF($B133="","",TONG_HOP_CC!R133)</f>
        <v/>
      </c>
      <c r="T133" s="110">
        <f>IF($B133="","",TONG_HOP_CC!S133)</f>
        <v/>
      </c>
      <c r="U133" s="110">
        <f>IF($B133="","",TONG_HOP_CC!T133)</f>
        <v/>
      </c>
      <c r="W133" s="112">
        <f>IF(DM_NHAN_SU!$B133="","",IF(DM_NHAN_SU!$B133="","",DM_NHAN_SU!$B133))</f>
        <v/>
      </c>
      <c r="X133" s="113">
        <f>IF(DM_NHAN_SU!$B133="","",IF(DM_NHAN_SU!$C133="","",DM_NHAN_SU!$C133))</f>
        <v/>
      </c>
      <c r="Y133" s="113">
        <f>IF(DM_NHAN_SU!$B133="","",IF(DM_NHAN_SU!$D133="","",DM_NHAN_SU!$D133))</f>
        <v/>
      </c>
      <c r="Z133" s="113">
        <f>IF(DM_NHAN_SU!$B133="","",IF(DM_NHAN_SU!$E133="","",DM_NHAN_SU!$E133))</f>
        <v/>
      </c>
      <c r="AA133" s="114">
        <f>IF(DM_NHAN_SU!$B133="","",IF(DM_NHAN_SU!$F133="","",DM_NHAN_SU!$F133))</f>
        <v/>
      </c>
      <c r="AB133" s="114">
        <f>IF(DM_NHAN_SU!$B133="","",IF(DM_NHAN_SU!$G133="","",DM_NHAN_SU!$G133))</f>
        <v/>
      </c>
    </row>
    <row r="134" ht="15" customHeight="1" s="63">
      <c r="A134" s="85">
        <f>IF($B134="","",ROW()-5)</f>
        <v/>
      </c>
      <c r="B134" s="103">
        <f>IF(TONG_HOP_CC!B134="","",TONG_HOP_CC!B134)</f>
        <v/>
      </c>
      <c r="C134" s="96">
        <f>IF($B134="","",TONG_HOP_CC!C134)</f>
        <v/>
      </c>
      <c r="E134" s="112">
        <f>IF($B134="","","Tổng hợp")</f>
        <v/>
      </c>
      <c r="F134" s="110">
        <f>IF($B134="","",TONG_HOP_CC!E134)</f>
        <v/>
      </c>
      <c r="G134" s="110">
        <f>IF($B134="","",TONG_HOP_CC!G134)</f>
        <v/>
      </c>
      <c r="H134" s="110">
        <f>IF($B134="","",TONG_HOP_CC!H134)</f>
        <v/>
      </c>
      <c r="I134" s="110">
        <f>IF($B134="","",TONG_HOP_CC!I134)</f>
        <v/>
      </c>
      <c r="J134" s="110">
        <f>IF($B134="","",TONG_HOP_CC!J134)</f>
        <v/>
      </c>
      <c r="K134" s="110">
        <f>IF($B134="","",TONG_HOP_CC!K134)</f>
        <v/>
      </c>
      <c r="L134" s="110">
        <f>IF($B134="","",TONG_HOP_CC!L134)</f>
        <v/>
      </c>
      <c r="M134" s="110">
        <f>IF($B134="","",TONG_HOP_CC!M134)</f>
        <v/>
      </c>
      <c r="N134" s="110">
        <f>IF($B134="","",TONG_HOP_CC!N134)</f>
        <v/>
      </c>
      <c r="P134" s="110">
        <f>IF($B134="","",TONG_HOP_CC!O134)</f>
        <v/>
      </c>
      <c r="Q134" s="110">
        <f>IF($B134="","",TONG_HOP_CC!P134)</f>
        <v/>
      </c>
      <c r="R134" s="110">
        <f>IF($B134="","",TONG_HOP_CC!Q134)</f>
        <v/>
      </c>
      <c r="S134" s="110">
        <f>IF($B134="","",TONG_HOP_CC!R134)</f>
        <v/>
      </c>
      <c r="T134" s="110">
        <f>IF($B134="","",TONG_HOP_CC!S134)</f>
        <v/>
      </c>
      <c r="U134" s="110">
        <f>IF($B134="","",TONG_HOP_CC!T134)</f>
        <v/>
      </c>
      <c r="W134" s="112">
        <f>IF(DM_NHAN_SU!$B134="","",IF(DM_NHAN_SU!$B134="","",DM_NHAN_SU!$B134))</f>
        <v/>
      </c>
      <c r="X134" s="113">
        <f>IF(DM_NHAN_SU!$B134="","",IF(DM_NHAN_SU!$C134="","",DM_NHAN_SU!$C134))</f>
        <v/>
      </c>
      <c r="Y134" s="113">
        <f>IF(DM_NHAN_SU!$B134="","",IF(DM_NHAN_SU!$D134="","",DM_NHAN_SU!$D134))</f>
        <v/>
      </c>
      <c r="Z134" s="113">
        <f>IF(DM_NHAN_SU!$B134="","",IF(DM_NHAN_SU!$E134="","",DM_NHAN_SU!$E134))</f>
        <v/>
      </c>
      <c r="AA134" s="114">
        <f>IF(DM_NHAN_SU!$B134="","",IF(DM_NHAN_SU!$F134="","",DM_NHAN_SU!$F134))</f>
        <v/>
      </c>
      <c r="AB134" s="114">
        <f>IF(DM_NHAN_SU!$B134="","",IF(DM_NHAN_SU!$G134="","",DM_NHAN_SU!$G134))</f>
        <v/>
      </c>
    </row>
    <row r="135" ht="15" customHeight="1" s="63">
      <c r="A135" s="85">
        <f>IF($B135="","",ROW()-5)</f>
        <v/>
      </c>
      <c r="B135" s="103">
        <f>IF(TONG_HOP_CC!B135="","",TONG_HOP_CC!B135)</f>
        <v/>
      </c>
      <c r="C135" s="96">
        <f>IF($B135="","",TONG_HOP_CC!C135)</f>
        <v/>
      </c>
      <c r="E135" s="112">
        <f>IF($B135="","","Tổng hợp")</f>
        <v/>
      </c>
      <c r="F135" s="110">
        <f>IF($B135="","",TONG_HOP_CC!E135)</f>
        <v/>
      </c>
      <c r="G135" s="110">
        <f>IF($B135="","",TONG_HOP_CC!G135)</f>
        <v/>
      </c>
      <c r="H135" s="110">
        <f>IF($B135="","",TONG_HOP_CC!H135)</f>
        <v/>
      </c>
      <c r="I135" s="110">
        <f>IF($B135="","",TONG_HOP_CC!I135)</f>
        <v/>
      </c>
      <c r="J135" s="110">
        <f>IF($B135="","",TONG_HOP_CC!J135)</f>
        <v/>
      </c>
      <c r="K135" s="110">
        <f>IF($B135="","",TONG_HOP_CC!K135)</f>
        <v/>
      </c>
      <c r="L135" s="110">
        <f>IF($B135="","",TONG_HOP_CC!L135)</f>
        <v/>
      </c>
      <c r="M135" s="110">
        <f>IF($B135="","",TONG_HOP_CC!M135)</f>
        <v/>
      </c>
      <c r="N135" s="110">
        <f>IF($B135="","",TONG_HOP_CC!N135)</f>
        <v/>
      </c>
      <c r="P135" s="110">
        <f>IF($B135="","",TONG_HOP_CC!O135)</f>
        <v/>
      </c>
      <c r="Q135" s="110">
        <f>IF($B135="","",TONG_HOP_CC!P135)</f>
        <v/>
      </c>
      <c r="R135" s="110">
        <f>IF($B135="","",TONG_HOP_CC!Q135)</f>
        <v/>
      </c>
      <c r="S135" s="110">
        <f>IF($B135="","",TONG_HOP_CC!R135)</f>
        <v/>
      </c>
      <c r="T135" s="110">
        <f>IF($B135="","",TONG_HOP_CC!S135)</f>
        <v/>
      </c>
      <c r="U135" s="110">
        <f>IF($B135="","",TONG_HOP_CC!T135)</f>
        <v/>
      </c>
      <c r="W135" s="112">
        <f>IF(DM_NHAN_SU!$B135="","",IF(DM_NHAN_SU!$B135="","",DM_NHAN_SU!$B135))</f>
        <v/>
      </c>
      <c r="X135" s="113">
        <f>IF(DM_NHAN_SU!$B135="","",IF(DM_NHAN_SU!$C135="","",DM_NHAN_SU!$C135))</f>
        <v/>
      </c>
      <c r="Y135" s="113">
        <f>IF(DM_NHAN_SU!$B135="","",IF(DM_NHAN_SU!$D135="","",DM_NHAN_SU!$D135))</f>
        <v/>
      </c>
      <c r="Z135" s="113">
        <f>IF(DM_NHAN_SU!$B135="","",IF(DM_NHAN_SU!$E135="","",DM_NHAN_SU!$E135))</f>
        <v/>
      </c>
      <c r="AA135" s="114">
        <f>IF(DM_NHAN_SU!$B135="","",IF(DM_NHAN_SU!$F135="","",DM_NHAN_SU!$F135))</f>
        <v/>
      </c>
      <c r="AB135" s="114">
        <f>IF(DM_NHAN_SU!$B135="","",IF(DM_NHAN_SU!$G135="","",DM_NHAN_SU!$G135))</f>
        <v/>
      </c>
    </row>
    <row r="136" ht="15" customHeight="1" s="63">
      <c r="A136" s="85">
        <f>IF($B136="","",ROW()-5)</f>
        <v/>
      </c>
      <c r="B136" s="103">
        <f>IF(TONG_HOP_CC!B136="","",TONG_HOP_CC!B136)</f>
        <v/>
      </c>
      <c r="C136" s="96">
        <f>IF($B136="","",TONG_HOP_CC!C136)</f>
        <v/>
      </c>
      <c r="E136" s="112">
        <f>IF($B136="","","Tổng hợp")</f>
        <v/>
      </c>
      <c r="F136" s="110">
        <f>IF($B136="","",TONG_HOP_CC!E136)</f>
        <v/>
      </c>
      <c r="G136" s="110">
        <f>IF($B136="","",TONG_HOP_CC!G136)</f>
        <v/>
      </c>
      <c r="H136" s="110">
        <f>IF($B136="","",TONG_HOP_CC!H136)</f>
        <v/>
      </c>
      <c r="I136" s="110">
        <f>IF($B136="","",TONG_HOP_CC!I136)</f>
        <v/>
      </c>
      <c r="J136" s="110">
        <f>IF($B136="","",TONG_HOP_CC!J136)</f>
        <v/>
      </c>
      <c r="K136" s="110">
        <f>IF($B136="","",TONG_HOP_CC!K136)</f>
        <v/>
      </c>
      <c r="L136" s="110">
        <f>IF($B136="","",TONG_HOP_CC!L136)</f>
        <v/>
      </c>
      <c r="M136" s="110">
        <f>IF($B136="","",TONG_HOP_CC!M136)</f>
        <v/>
      </c>
      <c r="N136" s="110">
        <f>IF($B136="","",TONG_HOP_CC!N136)</f>
        <v/>
      </c>
      <c r="P136" s="110">
        <f>IF($B136="","",TONG_HOP_CC!O136)</f>
        <v/>
      </c>
      <c r="Q136" s="110">
        <f>IF($B136="","",TONG_HOP_CC!P136)</f>
        <v/>
      </c>
      <c r="R136" s="110">
        <f>IF($B136="","",TONG_HOP_CC!Q136)</f>
        <v/>
      </c>
      <c r="S136" s="110">
        <f>IF($B136="","",TONG_HOP_CC!R136)</f>
        <v/>
      </c>
      <c r="T136" s="110">
        <f>IF($B136="","",TONG_HOP_CC!S136)</f>
        <v/>
      </c>
      <c r="U136" s="110">
        <f>IF($B136="","",TONG_HOP_CC!T136)</f>
        <v/>
      </c>
      <c r="W136" s="112">
        <f>IF(DM_NHAN_SU!$B136="","",IF(DM_NHAN_SU!$B136="","",DM_NHAN_SU!$B136))</f>
        <v/>
      </c>
      <c r="X136" s="113">
        <f>IF(DM_NHAN_SU!$B136="","",IF(DM_NHAN_SU!$C136="","",DM_NHAN_SU!$C136))</f>
        <v/>
      </c>
      <c r="Y136" s="113">
        <f>IF(DM_NHAN_SU!$B136="","",IF(DM_NHAN_SU!$D136="","",DM_NHAN_SU!$D136))</f>
        <v/>
      </c>
      <c r="Z136" s="113">
        <f>IF(DM_NHAN_SU!$B136="","",IF(DM_NHAN_SU!$E136="","",DM_NHAN_SU!$E136))</f>
        <v/>
      </c>
      <c r="AA136" s="114">
        <f>IF(DM_NHAN_SU!$B136="","",IF(DM_NHAN_SU!$F136="","",DM_NHAN_SU!$F136))</f>
        <v/>
      </c>
      <c r="AB136" s="114">
        <f>IF(DM_NHAN_SU!$B136="","",IF(DM_NHAN_SU!$G136="","",DM_NHAN_SU!$G136))</f>
        <v/>
      </c>
    </row>
    <row r="137" ht="15" customHeight="1" s="63">
      <c r="A137" s="85">
        <f>IF($B137="","",ROW()-5)</f>
        <v/>
      </c>
      <c r="B137" s="103">
        <f>IF(TONG_HOP_CC!B137="","",TONG_HOP_CC!B137)</f>
        <v/>
      </c>
      <c r="C137" s="96">
        <f>IF($B137="","",TONG_HOP_CC!C137)</f>
        <v/>
      </c>
      <c r="E137" s="112">
        <f>IF($B137="","","Tổng hợp")</f>
        <v/>
      </c>
      <c r="F137" s="110">
        <f>IF($B137="","",TONG_HOP_CC!E137)</f>
        <v/>
      </c>
      <c r="G137" s="110">
        <f>IF($B137="","",TONG_HOP_CC!G137)</f>
        <v/>
      </c>
      <c r="H137" s="110">
        <f>IF($B137="","",TONG_HOP_CC!H137)</f>
        <v/>
      </c>
      <c r="I137" s="110">
        <f>IF($B137="","",TONG_HOP_CC!I137)</f>
        <v/>
      </c>
      <c r="J137" s="110">
        <f>IF($B137="","",TONG_HOP_CC!J137)</f>
        <v/>
      </c>
      <c r="K137" s="110">
        <f>IF($B137="","",TONG_HOP_CC!K137)</f>
        <v/>
      </c>
      <c r="L137" s="110">
        <f>IF($B137="","",TONG_HOP_CC!L137)</f>
        <v/>
      </c>
      <c r="M137" s="110">
        <f>IF($B137="","",TONG_HOP_CC!M137)</f>
        <v/>
      </c>
      <c r="N137" s="110">
        <f>IF($B137="","",TONG_HOP_CC!N137)</f>
        <v/>
      </c>
      <c r="P137" s="110">
        <f>IF($B137="","",TONG_HOP_CC!O137)</f>
        <v/>
      </c>
      <c r="Q137" s="110">
        <f>IF($B137="","",TONG_HOP_CC!P137)</f>
        <v/>
      </c>
      <c r="R137" s="110">
        <f>IF($B137="","",TONG_HOP_CC!Q137)</f>
        <v/>
      </c>
      <c r="S137" s="110">
        <f>IF($B137="","",TONG_HOP_CC!R137)</f>
        <v/>
      </c>
      <c r="T137" s="110">
        <f>IF($B137="","",TONG_HOP_CC!S137)</f>
        <v/>
      </c>
      <c r="U137" s="110">
        <f>IF($B137="","",TONG_HOP_CC!T137)</f>
        <v/>
      </c>
      <c r="W137" s="112">
        <f>IF(DM_NHAN_SU!$B137="","",IF(DM_NHAN_SU!$B137="","",DM_NHAN_SU!$B137))</f>
        <v/>
      </c>
      <c r="X137" s="113">
        <f>IF(DM_NHAN_SU!$B137="","",IF(DM_NHAN_SU!$C137="","",DM_NHAN_SU!$C137))</f>
        <v/>
      </c>
      <c r="Y137" s="113">
        <f>IF(DM_NHAN_SU!$B137="","",IF(DM_NHAN_SU!$D137="","",DM_NHAN_SU!$D137))</f>
        <v/>
      </c>
      <c r="Z137" s="113">
        <f>IF(DM_NHAN_SU!$B137="","",IF(DM_NHAN_SU!$E137="","",DM_NHAN_SU!$E137))</f>
        <v/>
      </c>
      <c r="AA137" s="114">
        <f>IF(DM_NHAN_SU!$B137="","",IF(DM_NHAN_SU!$F137="","",DM_NHAN_SU!$F137))</f>
        <v/>
      </c>
      <c r="AB137" s="114">
        <f>IF(DM_NHAN_SU!$B137="","",IF(DM_NHAN_SU!$G137="","",DM_NHAN_SU!$G137))</f>
        <v/>
      </c>
    </row>
    <row r="138" ht="15" customHeight="1" s="63">
      <c r="A138" s="85">
        <f>IF($B138="","",ROW()-5)</f>
        <v/>
      </c>
      <c r="B138" s="103">
        <f>IF(TONG_HOP_CC!B138="","",TONG_HOP_CC!B138)</f>
        <v/>
      </c>
      <c r="C138" s="96">
        <f>IF($B138="","",TONG_HOP_CC!C138)</f>
        <v/>
      </c>
      <c r="E138" s="112">
        <f>IF($B138="","","Tổng hợp")</f>
        <v/>
      </c>
      <c r="F138" s="110">
        <f>IF($B138="","",TONG_HOP_CC!E138)</f>
        <v/>
      </c>
      <c r="G138" s="110">
        <f>IF($B138="","",TONG_HOP_CC!G138)</f>
        <v/>
      </c>
      <c r="H138" s="110">
        <f>IF($B138="","",TONG_HOP_CC!H138)</f>
        <v/>
      </c>
      <c r="I138" s="110">
        <f>IF($B138="","",TONG_HOP_CC!I138)</f>
        <v/>
      </c>
      <c r="J138" s="110">
        <f>IF($B138="","",TONG_HOP_CC!J138)</f>
        <v/>
      </c>
      <c r="K138" s="110">
        <f>IF($B138="","",TONG_HOP_CC!K138)</f>
        <v/>
      </c>
      <c r="L138" s="110">
        <f>IF($B138="","",TONG_HOP_CC!L138)</f>
        <v/>
      </c>
      <c r="M138" s="110">
        <f>IF($B138="","",TONG_HOP_CC!M138)</f>
        <v/>
      </c>
      <c r="N138" s="110">
        <f>IF($B138="","",TONG_HOP_CC!N138)</f>
        <v/>
      </c>
      <c r="P138" s="110">
        <f>IF($B138="","",TONG_HOP_CC!O138)</f>
        <v/>
      </c>
      <c r="Q138" s="110">
        <f>IF($B138="","",TONG_HOP_CC!P138)</f>
        <v/>
      </c>
      <c r="R138" s="110">
        <f>IF($B138="","",TONG_HOP_CC!Q138)</f>
        <v/>
      </c>
      <c r="S138" s="110">
        <f>IF($B138="","",TONG_HOP_CC!R138)</f>
        <v/>
      </c>
      <c r="T138" s="110">
        <f>IF($B138="","",TONG_HOP_CC!S138)</f>
        <v/>
      </c>
      <c r="U138" s="110">
        <f>IF($B138="","",TONG_HOP_CC!T138)</f>
        <v/>
      </c>
      <c r="W138" s="112">
        <f>IF(DM_NHAN_SU!$B138="","",IF(DM_NHAN_SU!$B138="","",DM_NHAN_SU!$B138))</f>
        <v/>
      </c>
      <c r="X138" s="113">
        <f>IF(DM_NHAN_SU!$B138="","",IF(DM_NHAN_SU!$C138="","",DM_NHAN_SU!$C138))</f>
        <v/>
      </c>
      <c r="Y138" s="113">
        <f>IF(DM_NHAN_SU!$B138="","",IF(DM_NHAN_SU!$D138="","",DM_NHAN_SU!$D138))</f>
        <v/>
      </c>
      <c r="Z138" s="113">
        <f>IF(DM_NHAN_SU!$B138="","",IF(DM_NHAN_SU!$E138="","",DM_NHAN_SU!$E138))</f>
        <v/>
      </c>
      <c r="AA138" s="114">
        <f>IF(DM_NHAN_SU!$B138="","",IF(DM_NHAN_SU!$F138="","",DM_NHAN_SU!$F138))</f>
        <v/>
      </c>
      <c r="AB138" s="114">
        <f>IF(DM_NHAN_SU!$B138="","",IF(DM_NHAN_SU!$G138="","",DM_NHAN_SU!$G138))</f>
        <v/>
      </c>
    </row>
    <row r="139" ht="15" customHeight="1" s="63">
      <c r="A139" s="85">
        <f>IF($B139="","",ROW()-5)</f>
        <v/>
      </c>
      <c r="B139" s="103">
        <f>IF(TONG_HOP_CC!B139="","",TONG_HOP_CC!B139)</f>
        <v/>
      </c>
      <c r="C139" s="96">
        <f>IF($B139="","",TONG_HOP_CC!C139)</f>
        <v/>
      </c>
      <c r="E139" s="112">
        <f>IF($B139="","","Tổng hợp")</f>
        <v/>
      </c>
      <c r="F139" s="110">
        <f>IF($B139="","",TONG_HOP_CC!E139)</f>
        <v/>
      </c>
      <c r="G139" s="110">
        <f>IF($B139="","",TONG_HOP_CC!G139)</f>
        <v/>
      </c>
      <c r="H139" s="110">
        <f>IF($B139="","",TONG_HOP_CC!H139)</f>
        <v/>
      </c>
      <c r="I139" s="110">
        <f>IF($B139="","",TONG_HOP_CC!I139)</f>
        <v/>
      </c>
      <c r="J139" s="110">
        <f>IF($B139="","",TONG_HOP_CC!J139)</f>
        <v/>
      </c>
      <c r="K139" s="110">
        <f>IF($B139="","",TONG_HOP_CC!K139)</f>
        <v/>
      </c>
      <c r="L139" s="110">
        <f>IF($B139="","",TONG_HOP_CC!L139)</f>
        <v/>
      </c>
      <c r="M139" s="110">
        <f>IF($B139="","",TONG_HOP_CC!M139)</f>
        <v/>
      </c>
      <c r="N139" s="110">
        <f>IF($B139="","",TONG_HOP_CC!N139)</f>
        <v/>
      </c>
      <c r="P139" s="110">
        <f>IF($B139="","",TONG_HOP_CC!O139)</f>
        <v/>
      </c>
      <c r="Q139" s="110">
        <f>IF($B139="","",TONG_HOP_CC!P139)</f>
        <v/>
      </c>
      <c r="R139" s="110">
        <f>IF($B139="","",TONG_HOP_CC!Q139)</f>
        <v/>
      </c>
      <c r="S139" s="110">
        <f>IF($B139="","",TONG_HOP_CC!R139)</f>
        <v/>
      </c>
      <c r="T139" s="110">
        <f>IF($B139="","",TONG_HOP_CC!S139)</f>
        <v/>
      </c>
      <c r="U139" s="110">
        <f>IF($B139="","",TONG_HOP_CC!T139)</f>
        <v/>
      </c>
      <c r="W139" s="112">
        <f>IF(DM_NHAN_SU!$B139="","",IF(DM_NHAN_SU!$B139="","",DM_NHAN_SU!$B139))</f>
        <v/>
      </c>
      <c r="X139" s="113">
        <f>IF(DM_NHAN_SU!$B139="","",IF(DM_NHAN_SU!$C139="","",DM_NHAN_SU!$C139))</f>
        <v/>
      </c>
      <c r="Y139" s="113">
        <f>IF(DM_NHAN_SU!$B139="","",IF(DM_NHAN_SU!$D139="","",DM_NHAN_SU!$D139))</f>
        <v/>
      </c>
      <c r="Z139" s="113">
        <f>IF(DM_NHAN_SU!$B139="","",IF(DM_NHAN_SU!$E139="","",DM_NHAN_SU!$E139))</f>
        <v/>
      </c>
      <c r="AA139" s="114">
        <f>IF(DM_NHAN_SU!$B139="","",IF(DM_NHAN_SU!$F139="","",DM_NHAN_SU!$F139))</f>
        <v/>
      </c>
      <c r="AB139" s="114">
        <f>IF(DM_NHAN_SU!$B139="","",IF(DM_NHAN_SU!$G139="","",DM_NHAN_SU!$G139))</f>
        <v/>
      </c>
    </row>
    <row r="140" ht="15" customHeight="1" s="63">
      <c r="A140" s="85">
        <f>IF($B140="","",ROW()-5)</f>
        <v/>
      </c>
      <c r="B140" s="103">
        <f>IF(TONG_HOP_CC!B140="","",TONG_HOP_CC!B140)</f>
        <v/>
      </c>
      <c r="C140" s="96">
        <f>IF($B140="","",TONG_HOP_CC!C140)</f>
        <v/>
      </c>
      <c r="E140" s="112">
        <f>IF($B140="","","Tổng hợp")</f>
        <v/>
      </c>
      <c r="F140" s="110">
        <f>IF($B140="","",TONG_HOP_CC!E140)</f>
        <v/>
      </c>
      <c r="G140" s="110">
        <f>IF($B140="","",TONG_HOP_CC!G140)</f>
        <v/>
      </c>
      <c r="H140" s="110">
        <f>IF($B140="","",TONG_HOP_CC!H140)</f>
        <v/>
      </c>
      <c r="I140" s="110">
        <f>IF($B140="","",TONG_HOP_CC!I140)</f>
        <v/>
      </c>
      <c r="J140" s="110">
        <f>IF($B140="","",TONG_HOP_CC!J140)</f>
        <v/>
      </c>
      <c r="K140" s="110">
        <f>IF($B140="","",TONG_HOP_CC!K140)</f>
        <v/>
      </c>
      <c r="L140" s="110">
        <f>IF($B140="","",TONG_HOP_CC!L140)</f>
        <v/>
      </c>
      <c r="M140" s="110">
        <f>IF($B140="","",TONG_HOP_CC!M140)</f>
        <v/>
      </c>
      <c r="N140" s="110">
        <f>IF($B140="","",TONG_HOP_CC!N140)</f>
        <v/>
      </c>
      <c r="P140" s="110">
        <f>IF($B140="","",TONG_HOP_CC!O140)</f>
        <v/>
      </c>
      <c r="Q140" s="110">
        <f>IF($B140="","",TONG_HOP_CC!P140)</f>
        <v/>
      </c>
      <c r="R140" s="110">
        <f>IF($B140="","",TONG_HOP_CC!Q140)</f>
        <v/>
      </c>
      <c r="S140" s="110">
        <f>IF($B140="","",TONG_HOP_CC!R140)</f>
        <v/>
      </c>
      <c r="T140" s="110">
        <f>IF($B140="","",TONG_HOP_CC!S140)</f>
        <v/>
      </c>
      <c r="U140" s="110">
        <f>IF($B140="","",TONG_HOP_CC!T140)</f>
        <v/>
      </c>
      <c r="W140" s="112">
        <f>IF(DM_NHAN_SU!$B140="","",IF(DM_NHAN_SU!$B140="","",DM_NHAN_SU!$B140))</f>
        <v/>
      </c>
      <c r="X140" s="113">
        <f>IF(DM_NHAN_SU!$B140="","",IF(DM_NHAN_SU!$C140="","",DM_NHAN_SU!$C140))</f>
        <v/>
      </c>
      <c r="Y140" s="113">
        <f>IF(DM_NHAN_SU!$B140="","",IF(DM_NHAN_SU!$D140="","",DM_NHAN_SU!$D140))</f>
        <v/>
      </c>
      <c r="Z140" s="113">
        <f>IF(DM_NHAN_SU!$B140="","",IF(DM_NHAN_SU!$E140="","",DM_NHAN_SU!$E140))</f>
        <v/>
      </c>
      <c r="AA140" s="114">
        <f>IF(DM_NHAN_SU!$B140="","",IF(DM_NHAN_SU!$F140="","",DM_NHAN_SU!$F140))</f>
        <v/>
      </c>
      <c r="AB140" s="114">
        <f>IF(DM_NHAN_SU!$B140="","",IF(DM_NHAN_SU!$G140="","",DM_NHAN_SU!$G140))</f>
        <v/>
      </c>
    </row>
    <row r="141" ht="15" customHeight="1" s="63">
      <c r="A141" s="85">
        <f>IF($B141="","",ROW()-5)</f>
        <v/>
      </c>
      <c r="B141" s="103">
        <f>IF(TONG_HOP_CC!B141="","",TONG_HOP_CC!B141)</f>
        <v/>
      </c>
      <c r="C141" s="96">
        <f>IF($B141="","",TONG_HOP_CC!C141)</f>
        <v/>
      </c>
      <c r="E141" s="112">
        <f>IF($B141="","","Tổng hợp")</f>
        <v/>
      </c>
      <c r="F141" s="110">
        <f>IF($B141="","",TONG_HOP_CC!E141)</f>
        <v/>
      </c>
      <c r="G141" s="110">
        <f>IF($B141="","",TONG_HOP_CC!G141)</f>
        <v/>
      </c>
      <c r="H141" s="110">
        <f>IF($B141="","",TONG_HOP_CC!H141)</f>
        <v/>
      </c>
      <c r="I141" s="110">
        <f>IF($B141="","",TONG_HOP_CC!I141)</f>
        <v/>
      </c>
      <c r="J141" s="110">
        <f>IF($B141="","",TONG_HOP_CC!J141)</f>
        <v/>
      </c>
      <c r="K141" s="110">
        <f>IF($B141="","",TONG_HOP_CC!K141)</f>
        <v/>
      </c>
      <c r="L141" s="110">
        <f>IF($B141="","",TONG_HOP_CC!L141)</f>
        <v/>
      </c>
      <c r="M141" s="110">
        <f>IF($B141="","",TONG_HOP_CC!M141)</f>
        <v/>
      </c>
      <c r="N141" s="110">
        <f>IF($B141="","",TONG_HOP_CC!N141)</f>
        <v/>
      </c>
      <c r="P141" s="110">
        <f>IF($B141="","",TONG_HOP_CC!O141)</f>
        <v/>
      </c>
      <c r="Q141" s="110">
        <f>IF($B141="","",TONG_HOP_CC!P141)</f>
        <v/>
      </c>
      <c r="R141" s="110">
        <f>IF($B141="","",TONG_HOP_CC!Q141)</f>
        <v/>
      </c>
      <c r="S141" s="110">
        <f>IF($B141="","",TONG_HOP_CC!R141)</f>
        <v/>
      </c>
      <c r="T141" s="110">
        <f>IF($B141="","",TONG_HOP_CC!S141)</f>
        <v/>
      </c>
      <c r="U141" s="110">
        <f>IF($B141="","",TONG_HOP_CC!T141)</f>
        <v/>
      </c>
      <c r="W141" s="112">
        <f>IF(DM_NHAN_SU!$B141="","",IF(DM_NHAN_SU!$B141="","",DM_NHAN_SU!$B141))</f>
        <v/>
      </c>
      <c r="X141" s="113">
        <f>IF(DM_NHAN_SU!$B141="","",IF(DM_NHAN_SU!$C141="","",DM_NHAN_SU!$C141))</f>
        <v/>
      </c>
      <c r="Y141" s="113">
        <f>IF(DM_NHAN_SU!$B141="","",IF(DM_NHAN_SU!$D141="","",DM_NHAN_SU!$D141))</f>
        <v/>
      </c>
      <c r="Z141" s="113">
        <f>IF(DM_NHAN_SU!$B141="","",IF(DM_NHAN_SU!$E141="","",DM_NHAN_SU!$E141))</f>
        <v/>
      </c>
      <c r="AA141" s="114">
        <f>IF(DM_NHAN_SU!$B141="","",IF(DM_NHAN_SU!$F141="","",DM_NHAN_SU!$F141))</f>
        <v/>
      </c>
      <c r="AB141" s="114">
        <f>IF(DM_NHAN_SU!$B141="","",IF(DM_NHAN_SU!$G141="","",DM_NHAN_SU!$G141))</f>
        <v/>
      </c>
    </row>
    <row r="142" ht="15" customHeight="1" s="63">
      <c r="A142" s="85">
        <f>IF($B142="","",ROW()-5)</f>
        <v/>
      </c>
      <c r="B142" s="103">
        <f>IF(TONG_HOP_CC!B142="","",TONG_HOP_CC!B142)</f>
        <v/>
      </c>
      <c r="C142" s="96">
        <f>IF($B142="","",TONG_HOP_CC!C142)</f>
        <v/>
      </c>
      <c r="E142" s="112">
        <f>IF($B142="","","Tổng hợp")</f>
        <v/>
      </c>
      <c r="F142" s="110">
        <f>IF($B142="","",TONG_HOP_CC!E142)</f>
        <v/>
      </c>
      <c r="G142" s="110">
        <f>IF($B142="","",TONG_HOP_CC!G142)</f>
        <v/>
      </c>
      <c r="H142" s="110">
        <f>IF($B142="","",TONG_HOP_CC!H142)</f>
        <v/>
      </c>
      <c r="I142" s="110">
        <f>IF($B142="","",TONG_HOP_CC!I142)</f>
        <v/>
      </c>
      <c r="J142" s="110">
        <f>IF($B142="","",TONG_HOP_CC!J142)</f>
        <v/>
      </c>
      <c r="K142" s="110">
        <f>IF($B142="","",TONG_HOP_CC!K142)</f>
        <v/>
      </c>
      <c r="L142" s="110">
        <f>IF($B142="","",TONG_HOP_CC!L142)</f>
        <v/>
      </c>
      <c r="M142" s="110">
        <f>IF($B142="","",TONG_HOP_CC!M142)</f>
        <v/>
      </c>
      <c r="N142" s="110">
        <f>IF($B142="","",TONG_HOP_CC!N142)</f>
        <v/>
      </c>
      <c r="P142" s="110">
        <f>IF($B142="","",TONG_HOP_CC!O142)</f>
        <v/>
      </c>
      <c r="Q142" s="110">
        <f>IF($B142="","",TONG_HOP_CC!P142)</f>
        <v/>
      </c>
      <c r="R142" s="110">
        <f>IF($B142="","",TONG_HOP_CC!Q142)</f>
        <v/>
      </c>
      <c r="S142" s="110">
        <f>IF($B142="","",TONG_HOP_CC!R142)</f>
        <v/>
      </c>
      <c r="T142" s="110">
        <f>IF($B142="","",TONG_HOP_CC!S142)</f>
        <v/>
      </c>
      <c r="U142" s="110">
        <f>IF($B142="","",TONG_HOP_CC!T142)</f>
        <v/>
      </c>
      <c r="W142" s="112">
        <f>IF(DM_NHAN_SU!$B142="","",IF(DM_NHAN_SU!$B142="","",DM_NHAN_SU!$B142))</f>
        <v/>
      </c>
      <c r="X142" s="113">
        <f>IF(DM_NHAN_SU!$B142="","",IF(DM_NHAN_SU!$C142="","",DM_NHAN_SU!$C142))</f>
        <v/>
      </c>
      <c r="Y142" s="113">
        <f>IF(DM_NHAN_SU!$B142="","",IF(DM_NHAN_SU!$D142="","",DM_NHAN_SU!$D142))</f>
        <v/>
      </c>
      <c r="Z142" s="113">
        <f>IF(DM_NHAN_SU!$B142="","",IF(DM_NHAN_SU!$E142="","",DM_NHAN_SU!$E142))</f>
        <v/>
      </c>
      <c r="AA142" s="114">
        <f>IF(DM_NHAN_SU!$B142="","",IF(DM_NHAN_SU!$F142="","",DM_NHAN_SU!$F142))</f>
        <v/>
      </c>
      <c r="AB142" s="114">
        <f>IF(DM_NHAN_SU!$B142="","",IF(DM_NHAN_SU!$G142="","",DM_NHAN_SU!$G142))</f>
        <v/>
      </c>
    </row>
    <row r="143" ht="15" customHeight="1" s="63">
      <c r="A143" s="85">
        <f>IF($B143="","",ROW()-5)</f>
        <v/>
      </c>
      <c r="B143" s="103">
        <f>IF(TONG_HOP_CC!B143="","",TONG_HOP_CC!B143)</f>
        <v/>
      </c>
      <c r="C143" s="96">
        <f>IF($B143="","",TONG_HOP_CC!C143)</f>
        <v/>
      </c>
      <c r="E143" s="112">
        <f>IF($B143="","","Tổng hợp")</f>
        <v/>
      </c>
      <c r="F143" s="110">
        <f>IF($B143="","",TONG_HOP_CC!E143)</f>
        <v/>
      </c>
      <c r="G143" s="110">
        <f>IF($B143="","",TONG_HOP_CC!G143)</f>
        <v/>
      </c>
      <c r="H143" s="110">
        <f>IF($B143="","",TONG_HOP_CC!H143)</f>
        <v/>
      </c>
      <c r="I143" s="110">
        <f>IF($B143="","",TONG_HOP_CC!I143)</f>
        <v/>
      </c>
      <c r="J143" s="110">
        <f>IF($B143="","",TONG_HOP_CC!J143)</f>
        <v/>
      </c>
      <c r="K143" s="110">
        <f>IF($B143="","",TONG_HOP_CC!K143)</f>
        <v/>
      </c>
      <c r="L143" s="110">
        <f>IF($B143="","",TONG_HOP_CC!L143)</f>
        <v/>
      </c>
      <c r="M143" s="110">
        <f>IF($B143="","",TONG_HOP_CC!M143)</f>
        <v/>
      </c>
      <c r="N143" s="110">
        <f>IF($B143="","",TONG_HOP_CC!N143)</f>
        <v/>
      </c>
      <c r="P143" s="110">
        <f>IF($B143="","",TONG_HOP_CC!O143)</f>
        <v/>
      </c>
      <c r="Q143" s="110">
        <f>IF($B143="","",TONG_HOP_CC!P143)</f>
        <v/>
      </c>
      <c r="R143" s="110">
        <f>IF($B143="","",TONG_HOP_CC!Q143)</f>
        <v/>
      </c>
      <c r="S143" s="110">
        <f>IF($B143="","",TONG_HOP_CC!R143)</f>
        <v/>
      </c>
      <c r="T143" s="110">
        <f>IF($B143="","",TONG_HOP_CC!S143)</f>
        <v/>
      </c>
      <c r="U143" s="110">
        <f>IF($B143="","",TONG_HOP_CC!T143)</f>
        <v/>
      </c>
      <c r="W143" s="112">
        <f>IF(DM_NHAN_SU!$B143="","",IF(DM_NHAN_SU!$B143="","",DM_NHAN_SU!$B143))</f>
        <v/>
      </c>
      <c r="X143" s="113">
        <f>IF(DM_NHAN_SU!$B143="","",IF(DM_NHAN_SU!$C143="","",DM_NHAN_SU!$C143))</f>
        <v/>
      </c>
      <c r="Y143" s="113">
        <f>IF(DM_NHAN_SU!$B143="","",IF(DM_NHAN_SU!$D143="","",DM_NHAN_SU!$D143))</f>
        <v/>
      </c>
      <c r="Z143" s="113">
        <f>IF(DM_NHAN_SU!$B143="","",IF(DM_NHAN_SU!$E143="","",DM_NHAN_SU!$E143))</f>
        <v/>
      </c>
      <c r="AA143" s="114">
        <f>IF(DM_NHAN_SU!$B143="","",IF(DM_NHAN_SU!$F143="","",DM_NHAN_SU!$F143))</f>
        <v/>
      </c>
      <c r="AB143" s="114">
        <f>IF(DM_NHAN_SU!$B143="","",IF(DM_NHAN_SU!$G143="","",DM_NHAN_SU!$G143))</f>
        <v/>
      </c>
    </row>
    <row r="144" ht="15" customHeight="1" s="63">
      <c r="A144" s="85">
        <f>IF($B144="","",ROW()-5)</f>
        <v/>
      </c>
      <c r="B144" s="103">
        <f>IF(TONG_HOP_CC!B144="","",TONG_HOP_CC!B144)</f>
        <v/>
      </c>
      <c r="C144" s="96">
        <f>IF($B144="","",TONG_HOP_CC!C144)</f>
        <v/>
      </c>
      <c r="E144" s="112">
        <f>IF($B144="","","Tổng hợp")</f>
        <v/>
      </c>
      <c r="F144" s="110">
        <f>IF($B144="","",TONG_HOP_CC!E144)</f>
        <v/>
      </c>
      <c r="G144" s="110">
        <f>IF($B144="","",TONG_HOP_CC!G144)</f>
        <v/>
      </c>
      <c r="H144" s="110">
        <f>IF($B144="","",TONG_HOP_CC!H144)</f>
        <v/>
      </c>
      <c r="I144" s="110">
        <f>IF($B144="","",TONG_HOP_CC!I144)</f>
        <v/>
      </c>
      <c r="J144" s="110">
        <f>IF($B144="","",TONG_HOP_CC!J144)</f>
        <v/>
      </c>
      <c r="K144" s="110">
        <f>IF($B144="","",TONG_HOP_CC!K144)</f>
        <v/>
      </c>
      <c r="L144" s="110">
        <f>IF($B144="","",TONG_HOP_CC!L144)</f>
        <v/>
      </c>
      <c r="M144" s="110">
        <f>IF($B144="","",TONG_HOP_CC!M144)</f>
        <v/>
      </c>
      <c r="N144" s="110">
        <f>IF($B144="","",TONG_HOP_CC!N144)</f>
        <v/>
      </c>
      <c r="P144" s="110">
        <f>IF($B144="","",TONG_HOP_CC!O144)</f>
        <v/>
      </c>
      <c r="Q144" s="110">
        <f>IF($B144="","",TONG_HOP_CC!P144)</f>
        <v/>
      </c>
      <c r="R144" s="110">
        <f>IF($B144="","",TONG_HOP_CC!Q144)</f>
        <v/>
      </c>
      <c r="S144" s="110">
        <f>IF($B144="","",TONG_HOP_CC!R144)</f>
        <v/>
      </c>
      <c r="T144" s="110">
        <f>IF($B144="","",TONG_HOP_CC!S144)</f>
        <v/>
      </c>
      <c r="U144" s="110">
        <f>IF($B144="","",TONG_HOP_CC!T144)</f>
        <v/>
      </c>
      <c r="W144" s="112">
        <f>IF(DM_NHAN_SU!$B144="","",IF(DM_NHAN_SU!$B144="","",DM_NHAN_SU!$B144))</f>
        <v/>
      </c>
      <c r="X144" s="113">
        <f>IF(DM_NHAN_SU!$B144="","",IF(DM_NHAN_SU!$C144="","",DM_NHAN_SU!$C144))</f>
        <v/>
      </c>
      <c r="Y144" s="113">
        <f>IF(DM_NHAN_SU!$B144="","",IF(DM_NHAN_SU!$D144="","",DM_NHAN_SU!$D144))</f>
        <v/>
      </c>
      <c r="Z144" s="113">
        <f>IF(DM_NHAN_SU!$B144="","",IF(DM_NHAN_SU!$E144="","",DM_NHAN_SU!$E144))</f>
        <v/>
      </c>
      <c r="AA144" s="114">
        <f>IF(DM_NHAN_SU!$B144="","",IF(DM_NHAN_SU!$F144="","",DM_NHAN_SU!$F144))</f>
        <v/>
      </c>
      <c r="AB144" s="114">
        <f>IF(DM_NHAN_SU!$B144="","",IF(DM_NHAN_SU!$G144="","",DM_NHAN_SU!$G144))</f>
        <v/>
      </c>
    </row>
    <row r="145" ht="15" customHeight="1" s="63">
      <c r="A145" s="85">
        <f>IF($B145="","",ROW()-5)</f>
        <v/>
      </c>
      <c r="B145" s="103">
        <f>IF(TONG_HOP_CC!B145="","",TONG_HOP_CC!B145)</f>
        <v/>
      </c>
      <c r="C145" s="96">
        <f>IF($B145="","",TONG_HOP_CC!C145)</f>
        <v/>
      </c>
      <c r="E145" s="112">
        <f>IF($B145="","","Tổng hợp")</f>
        <v/>
      </c>
      <c r="F145" s="110">
        <f>IF($B145="","",TONG_HOP_CC!E145)</f>
        <v/>
      </c>
      <c r="G145" s="110">
        <f>IF($B145="","",TONG_HOP_CC!G145)</f>
        <v/>
      </c>
      <c r="H145" s="110">
        <f>IF($B145="","",TONG_HOP_CC!H145)</f>
        <v/>
      </c>
      <c r="I145" s="110">
        <f>IF($B145="","",TONG_HOP_CC!I145)</f>
        <v/>
      </c>
      <c r="J145" s="110">
        <f>IF($B145="","",TONG_HOP_CC!J145)</f>
        <v/>
      </c>
      <c r="K145" s="110">
        <f>IF($B145="","",TONG_HOP_CC!K145)</f>
        <v/>
      </c>
      <c r="L145" s="110">
        <f>IF($B145="","",TONG_HOP_CC!L145)</f>
        <v/>
      </c>
      <c r="M145" s="110">
        <f>IF($B145="","",TONG_HOP_CC!M145)</f>
        <v/>
      </c>
      <c r="N145" s="110">
        <f>IF($B145="","",TONG_HOP_CC!N145)</f>
        <v/>
      </c>
      <c r="P145" s="110">
        <f>IF($B145="","",TONG_HOP_CC!O145)</f>
        <v/>
      </c>
      <c r="Q145" s="110">
        <f>IF($B145="","",TONG_HOP_CC!P145)</f>
        <v/>
      </c>
      <c r="R145" s="110">
        <f>IF($B145="","",TONG_HOP_CC!Q145)</f>
        <v/>
      </c>
      <c r="S145" s="110">
        <f>IF($B145="","",TONG_HOP_CC!R145)</f>
        <v/>
      </c>
      <c r="T145" s="110">
        <f>IF($B145="","",TONG_HOP_CC!S145)</f>
        <v/>
      </c>
      <c r="U145" s="110">
        <f>IF($B145="","",TONG_HOP_CC!T145)</f>
        <v/>
      </c>
      <c r="W145" s="112">
        <f>IF(DM_NHAN_SU!$B145="","",IF(DM_NHAN_SU!$B145="","",DM_NHAN_SU!$B145))</f>
        <v/>
      </c>
      <c r="X145" s="113">
        <f>IF(DM_NHAN_SU!$B145="","",IF(DM_NHAN_SU!$C145="","",DM_NHAN_SU!$C145))</f>
        <v/>
      </c>
      <c r="Y145" s="113">
        <f>IF(DM_NHAN_SU!$B145="","",IF(DM_NHAN_SU!$D145="","",DM_NHAN_SU!$D145))</f>
        <v/>
      </c>
      <c r="Z145" s="113">
        <f>IF(DM_NHAN_SU!$B145="","",IF(DM_NHAN_SU!$E145="","",DM_NHAN_SU!$E145))</f>
        <v/>
      </c>
      <c r="AA145" s="114">
        <f>IF(DM_NHAN_SU!$B145="","",IF(DM_NHAN_SU!$F145="","",DM_NHAN_SU!$F145))</f>
        <v/>
      </c>
      <c r="AB145" s="114">
        <f>IF(DM_NHAN_SU!$B145="","",IF(DM_NHAN_SU!$G145="","",DM_NHAN_SU!$G145))</f>
        <v/>
      </c>
    </row>
    <row r="146" ht="15" customHeight="1" s="63">
      <c r="A146" s="85">
        <f>IF($B146="","",ROW()-5)</f>
        <v/>
      </c>
      <c r="B146" s="103">
        <f>IF(TONG_HOP_CC!B146="","",TONG_HOP_CC!B146)</f>
        <v/>
      </c>
      <c r="C146" s="96">
        <f>IF($B146="","",TONG_HOP_CC!C146)</f>
        <v/>
      </c>
      <c r="E146" s="112">
        <f>IF($B146="","","Tổng hợp")</f>
        <v/>
      </c>
      <c r="F146" s="110">
        <f>IF($B146="","",TONG_HOP_CC!E146)</f>
        <v/>
      </c>
      <c r="G146" s="110">
        <f>IF($B146="","",TONG_HOP_CC!G146)</f>
        <v/>
      </c>
      <c r="H146" s="110">
        <f>IF($B146="","",TONG_HOP_CC!H146)</f>
        <v/>
      </c>
      <c r="I146" s="110">
        <f>IF($B146="","",TONG_HOP_CC!I146)</f>
        <v/>
      </c>
      <c r="J146" s="110">
        <f>IF($B146="","",TONG_HOP_CC!J146)</f>
        <v/>
      </c>
      <c r="K146" s="110">
        <f>IF($B146="","",TONG_HOP_CC!K146)</f>
        <v/>
      </c>
      <c r="L146" s="110">
        <f>IF($B146="","",TONG_HOP_CC!L146)</f>
        <v/>
      </c>
      <c r="M146" s="110">
        <f>IF($B146="","",TONG_HOP_CC!M146)</f>
        <v/>
      </c>
      <c r="N146" s="110">
        <f>IF($B146="","",TONG_HOP_CC!N146)</f>
        <v/>
      </c>
      <c r="P146" s="110">
        <f>IF($B146="","",TONG_HOP_CC!O146)</f>
        <v/>
      </c>
      <c r="Q146" s="110">
        <f>IF($B146="","",TONG_HOP_CC!P146)</f>
        <v/>
      </c>
      <c r="R146" s="110">
        <f>IF($B146="","",TONG_HOP_CC!Q146)</f>
        <v/>
      </c>
      <c r="S146" s="110">
        <f>IF($B146="","",TONG_HOP_CC!R146)</f>
        <v/>
      </c>
      <c r="T146" s="110">
        <f>IF($B146="","",TONG_HOP_CC!S146)</f>
        <v/>
      </c>
      <c r="U146" s="110">
        <f>IF($B146="","",TONG_HOP_CC!T146)</f>
        <v/>
      </c>
      <c r="W146" s="112">
        <f>IF(DM_NHAN_SU!$B146="","",IF(DM_NHAN_SU!$B146="","",DM_NHAN_SU!$B146))</f>
        <v/>
      </c>
      <c r="X146" s="113">
        <f>IF(DM_NHAN_SU!$B146="","",IF(DM_NHAN_SU!$C146="","",DM_NHAN_SU!$C146))</f>
        <v/>
      </c>
      <c r="Y146" s="113">
        <f>IF(DM_NHAN_SU!$B146="","",IF(DM_NHAN_SU!$D146="","",DM_NHAN_SU!$D146))</f>
        <v/>
      </c>
      <c r="Z146" s="113">
        <f>IF(DM_NHAN_SU!$B146="","",IF(DM_NHAN_SU!$E146="","",DM_NHAN_SU!$E146))</f>
        <v/>
      </c>
      <c r="AA146" s="114">
        <f>IF(DM_NHAN_SU!$B146="","",IF(DM_NHAN_SU!$F146="","",DM_NHAN_SU!$F146))</f>
        <v/>
      </c>
      <c r="AB146" s="114">
        <f>IF(DM_NHAN_SU!$B146="","",IF(DM_NHAN_SU!$G146="","",DM_NHAN_SU!$G146))</f>
        <v/>
      </c>
    </row>
    <row r="147" ht="15" customHeight="1" s="63">
      <c r="A147" s="85">
        <f>IF($B147="","",ROW()-5)</f>
        <v/>
      </c>
      <c r="B147" s="103">
        <f>IF(TONG_HOP_CC!B147="","",TONG_HOP_CC!B147)</f>
        <v/>
      </c>
      <c r="C147" s="96">
        <f>IF($B147="","",TONG_HOP_CC!C147)</f>
        <v/>
      </c>
      <c r="E147" s="112">
        <f>IF($B147="","","Tổng hợp")</f>
        <v/>
      </c>
      <c r="F147" s="110">
        <f>IF($B147="","",TONG_HOP_CC!E147)</f>
        <v/>
      </c>
      <c r="G147" s="110">
        <f>IF($B147="","",TONG_HOP_CC!G147)</f>
        <v/>
      </c>
      <c r="H147" s="110">
        <f>IF($B147="","",TONG_HOP_CC!H147)</f>
        <v/>
      </c>
      <c r="I147" s="110">
        <f>IF($B147="","",TONG_HOP_CC!I147)</f>
        <v/>
      </c>
      <c r="J147" s="110">
        <f>IF($B147="","",TONG_HOP_CC!J147)</f>
        <v/>
      </c>
      <c r="K147" s="110">
        <f>IF($B147="","",TONG_HOP_CC!K147)</f>
        <v/>
      </c>
      <c r="L147" s="110">
        <f>IF($B147="","",TONG_HOP_CC!L147)</f>
        <v/>
      </c>
      <c r="M147" s="110">
        <f>IF($B147="","",TONG_HOP_CC!M147)</f>
        <v/>
      </c>
      <c r="N147" s="110">
        <f>IF($B147="","",TONG_HOP_CC!N147)</f>
        <v/>
      </c>
      <c r="P147" s="110">
        <f>IF($B147="","",TONG_HOP_CC!O147)</f>
        <v/>
      </c>
      <c r="Q147" s="110">
        <f>IF($B147="","",TONG_HOP_CC!P147)</f>
        <v/>
      </c>
      <c r="R147" s="110">
        <f>IF($B147="","",TONG_HOP_CC!Q147)</f>
        <v/>
      </c>
      <c r="S147" s="110">
        <f>IF($B147="","",TONG_HOP_CC!R147)</f>
        <v/>
      </c>
      <c r="T147" s="110">
        <f>IF($B147="","",TONG_HOP_CC!S147)</f>
        <v/>
      </c>
      <c r="U147" s="110">
        <f>IF($B147="","",TONG_HOP_CC!T147)</f>
        <v/>
      </c>
      <c r="W147" s="112">
        <f>IF(DM_NHAN_SU!$B147="","",IF(DM_NHAN_SU!$B147="","",DM_NHAN_SU!$B147))</f>
        <v/>
      </c>
      <c r="X147" s="113">
        <f>IF(DM_NHAN_SU!$B147="","",IF(DM_NHAN_SU!$C147="","",DM_NHAN_SU!$C147))</f>
        <v/>
      </c>
      <c r="Y147" s="113">
        <f>IF(DM_NHAN_SU!$B147="","",IF(DM_NHAN_SU!$D147="","",DM_NHAN_SU!$D147))</f>
        <v/>
      </c>
      <c r="Z147" s="113">
        <f>IF(DM_NHAN_SU!$B147="","",IF(DM_NHAN_SU!$E147="","",DM_NHAN_SU!$E147))</f>
        <v/>
      </c>
      <c r="AA147" s="114">
        <f>IF(DM_NHAN_SU!$B147="","",IF(DM_NHAN_SU!$F147="","",DM_NHAN_SU!$F147))</f>
        <v/>
      </c>
      <c r="AB147" s="114">
        <f>IF(DM_NHAN_SU!$B147="","",IF(DM_NHAN_SU!$G147="","",DM_NHAN_SU!$G147))</f>
        <v/>
      </c>
    </row>
    <row r="148" ht="15" customHeight="1" s="63">
      <c r="A148" s="85">
        <f>IF($B148="","",ROW()-5)</f>
        <v/>
      </c>
      <c r="B148" s="103">
        <f>IF(TONG_HOP_CC!B148="","",TONG_HOP_CC!B148)</f>
        <v/>
      </c>
      <c r="C148" s="96">
        <f>IF($B148="","",TONG_HOP_CC!C148)</f>
        <v/>
      </c>
      <c r="E148" s="112">
        <f>IF($B148="","","Tổng hợp")</f>
        <v/>
      </c>
      <c r="F148" s="110">
        <f>IF($B148="","",TONG_HOP_CC!E148)</f>
        <v/>
      </c>
      <c r="G148" s="110">
        <f>IF($B148="","",TONG_HOP_CC!G148)</f>
        <v/>
      </c>
      <c r="H148" s="110">
        <f>IF($B148="","",TONG_HOP_CC!H148)</f>
        <v/>
      </c>
      <c r="I148" s="110">
        <f>IF($B148="","",TONG_HOP_CC!I148)</f>
        <v/>
      </c>
      <c r="J148" s="110">
        <f>IF($B148="","",TONG_HOP_CC!J148)</f>
        <v/>
      </c>
      <c r="K148" s="110">
        <f>IF($B148="","",TONG_HOP_CC!K148)</f>
        <v/>
      </c>
      <c r="L148" s="110">
        <f>IF($B148="","",TONG_HOP_CC!L148)</f>
        <v/>
      </c>
      <c r="M148" s="110">
        <f>IF($B148="","",TONG_HOP_CC!M148)</f>
        <v/>
      </c>
      <c r="N148" s="110">
        <f>IF($B148="","",TONG_HOP_CC!N148)</f>
        <v/>
      </c>
      <c r="P148" s="110">
        <f>IF($B148="","",TONG_HOP_CC!O148)</f>
        <v/>
      </c>
      <c r="Q148" s="110">
        <f>IF($B148="","",TONG_HOP_CC!P148)</f>
        <v/>
      </c>
      <c r="R148" s="110">
        <f>IF($B148="","",TONG_HOP_CC!Q148)</f>
        <v/>
      </c>
      <c r="S148" s="110">
        <f>IF($B148="","",TONG_HOP_CC!R148)</f>
        <v/>
      </c>
      <c r="T148" s="110">
        <f>IF($B148="","",TONG_HOP_CC!S148)</f>
        <v/>
      </c>
      <c r="U148" s="110">
        <f>IF($B148="","",TONG_HOP_CC!T148)</f>
        <v/>
      </c>
      <c r="W148" s="112">
        <f>IF(DM_NHAN_SU!$B148="","",IF(DM_NHAN_SU!$B148="","",DM_NHAN_SU!$B148))</f>
        <v/>
      </c>
      <c r="X148" s="113">
        <f>IF(DM_NHAN_SU!$B148="","",IF(DM_NHAN_SU!$C148="","",DM_NHAN_SU!$C148))</f>
        <v/>
      </c>
      <c r="Y148" s="113">
        <f>IF(DM_NHAN_SU!$B148="","",IF(DM_NHAN_SU!$D148="","",DM_NHAN_SU!$D148))</f>
        <v/>
      </c>
      <c r="Z148" s="113">
        <f>IF(DM_NHAN_SU!$B148="","",IF(DM_NHAN_SU!$E148="","",DM_NHAN_SU!$E148))</f>
        <v/>
      </c>
      <c r="AA148" s="114">
        <f>IF(DM_NHAN_SU!$B148="","",IF(DM_NHAN_SU!$F148="","",DM_NHAN_SU!$F148))</f>
        <v/>
      </c>
      <c r="AB148" s="114">
        <f>IF(DM_NHAN_SU!$B148="","",IF(DM_NHAN_SU!$G148="","",DM_NHAN_SU!$G148))</f>
        <v/>
      </c>
    </row>
    <row r="149" ht="15" customHeight="1" s="63">
      <c r="A149" s="85">
        <f>IF($B149="","",ROW()-5)</f>
        <v/>
      </c>
      <c r="B149" s="103">
        <f>IF(TONG_HOP_CC!B149="","",TONG_HOP_CC!B149)</f>
        <v/>
      </c>
      <c r="C149" s="96">
        <f>IF($B149="","",TONG_HOP_CC!C149)</f>
        <v/>
      </c>
      <c r="E149" s="112">
        <f>IF($B149="","","Tổng hợp")</f>
        <v/>
      </c>
      <c r="F149" s="110">
        <f>IF($B149="","",TONG_HOP_CC!E149)</f>
        <v/>
      </c>
      <c r="G149" s="110">
        <f>IF($B149="","",TONG_HOP_CC!G149)</f>
        <v/>
      </c>
      <c r="H149" s="110">
        <f>IF($B149="","",TONG_HOP_CC!H149)</f>
        <v/>
      </c>
      <c r="I149" s="110">
        <f>IF($B149="","",TONG_HOP_CC!I149)</f>
        <v/>
      </c>
      <c r="J149" s="110">
        <f>IF($B149="","",TONG_HOP_CC!J149)</f>
        <v/>
      </c>
      <c r="K149" s="110">
        <f>IF($B149="","",TONG_HOP_CC!K149)</f>
        <v/>
      </c>
      <c r="L149" s="110">
        <f>IF($B149="","",TONG_HOP_CC!L149)</f>
        <v/>
      </c>
      <c r="M149" s="110">
        <f>IF($B149="","",TONG_HOP_CC!M149)</f>
        <v/>
      </c>
      <c r="N149" s="110">
        <f>IF($B149="","",TONG_HOP_CC!N149)</f>
        <v/>
      </c>
      <c r="P149" s="110">
        <f>IF($B149="","",TONG_HOP_CC!O149)</f>
        <v/>
      </c>
      <c r="Q149" s="110">
        <f>IF($B149="","",TONG_HOP_CC!P149)</f>
        <v/>
      </c>
      <c r="R149" s="110">
        <f>IF($B149="","",TONG_HOP_CC!Q149)</f>
        <v/>
      </c>
      <c r="S149" s="110">
        <f>IF($B149="","",TONG_HOP_CC!R149)</f>
        <v/>
      </c>
      <c r="T149" s="110">
        <f>IF($B149="","",TONG_HOP_CC!S149)</f>
        <v/>
      </c>
      <c r="U149" s="110">
        <f>IF($B149="","",TONG_HOP_CC!T149)</f>
        <v/>
      </c>
      <c r="W149" s="112">
        <f>IF(DM_NHAN_SU!$B149="","",IF(DM_NHAN_SU!$B149="","",DM_NHAN_SU!$B149))</f>
        <v/>
      </c>
      <c r="X149" s="113">
        <f>IF(DM_NHAN_SU!$B149="","",IF(DM_NHAN_SU!$C149="","",DM_NHAN_SU!$C149))</f>
        <v/>
      </c>
      <c r="Y149" s="113">
        <f>IF(DM_NHAN_SU!$B149="","",IF(DM_NHAN_SU!$D149="","",DM_NHAN_SU!$D149))</f>
        <v/>
      </c>
      <c r="Z149" s="113">
        <f>IF(DM_NHAN_SU!$B149="","",IF(DM_NHAN_SU!$E149="","",DM_NHAN_SU!$E149))</f>
        <v/>
      </c>
      <c r="AA149" s="114">
        <f>IF(DM_NHAN_SU!$B149="","",IF(DM_NHAN_SU!$F149="","",DM_NHAN_SU!$F149))</f>
        <v/>
      </c>
      <c r="AB149" s="114">
        <f>IF(DM_NHAN_SU!$B149="","",IF(DM_NHAN_SU!$G149="","",DM_NHAN_SU!$G149))</f>
        <v/>
      </c>
    </row>
    <row r="150" ht="15" customHeight="1" s="63">
      <c r="A150" s="85">
        <f>IF($B150="","",ROW()-5)</f>
        <v/>
      </c>
      <c r="B150" s="103">
        <f>IF(TONG_HOP_CC!B150="","",TONG_HOP_CC!B150)</f>
        <v/>
      </c>
      <c r="C150" s="96">
        <f>IF($B150="","",TONG_HOP_CC!C150)</f>
        <v/>
      </c>
      <c r="E150" s="112">
        <f>IF($B150="","","Tổng hợp")</f>
        <v/>
      </c>
      <c r="F150" s="110">
        <f>IF($B150="","",TONG_HOP_CC!E150)</f>
        <v/>
      </c>
      <c r="G150" s="110">
        <f>IF($B150="","",TONG_HOP_CC!G150)</f>
        <v/>
      </c>
      <c r="H150" s="110">
        <f>IF($B150="","",TONG_HOP_CC!H150)</f>
        <v/>
      </c>
      <c r="I150" s="110">
        <f>IF($B150="","",TONG_HOP_CC!I150)</f>
        <v/>
      </c>
      <c r="J150" s="110">
        <f>IF($B150="","",TONG_HOP_CC!J150)</f>
        <v/>
      </c>
      <c r="K150" s="110">
        <f>IF($B150="","",TONG_HOP_CC!K150)</f>
        <v/>
      </c>
      <c r="L150" s="110">
        <f>IF($B150="","",TONG_HOP_CC!L150)</f>
        <v/>
      </c>
      <c r="M150" s="110">
        <f>IF($B150="","",TONG_HOP_CC!M150)</f>
        <v/>
      </c>
      <c r="N150" s="110">
        <f>IF($B150="","",TONG_HOP_CC!N150)</f>
        <v/>
      </c>
      <c r="P150" s="110">
        <f>IF($B150="","",TONG_HOP_CC!O150)</f>
        <v/>
      </c>
      <c r="Q150" s="110">
        <f>IF($B150="","",TONG_HOP_CC!P150)</f>
        <v/>
      </c>
      <c r="R150" s="110">
        <f>IF($B150="","",TONG_HOP_CC!Q150)</f>
        <v/>
      </c>
      <c r="S150" s="110">
        <f>IF($B150="","",TONG_HOP_CC!R150)</f>
        <v/>
      </c>
      <c r="T150" s="110">
        <f>IF($B150="","",TONG_HOP_CC!S150)</f>
        <v/>
      </c>
      <c r="U150" s="110">
        <f>IF($B150="","",TONG_HOP_CC!T150)</f>
        <v/>
      </c>
      <c r="W150" s="112">
        <f>IF(DM_NHAN_SU!$B150="","",IF(DM_NHAN_SU!$B150="","",DM_NHAN_SU!$B150))</f>
        <v/>
      </c>
      <c r="X150" s="113">
        <f>IF(DM_NHAN_SU!$B150="","",IF(DM_NHAN_SU!$C150="","",DM_NHAN_SU!$C150))</f>
        <v/>
      </c>
      <c r="Y150" s="113">
        <f>IF(DM_NHAN_SU!$B150="","",IF(DM_NHAN_SU!$D150="","",DM_NHAN_SU!$D150))</f>
        <v/>
      </c>
      <c r="Z150" s="113">
        <f>IF(DM_NHAN_SU!$B150="","",IF(DM_NHAN_SU!$E150="","",DM_NHAN_SU!$E150))</f>
        <v/>
      </c>
      <c r="AA150" s="114">
        <f>IF(DM_NHAN_SU!$B150="","",IF(DM_NHAN_SU!$F150="","",DM_NHAN_SU!$F150))</f>
        <v/>
      </c>
      <c r="AB150" s="114">
        <f>IF(DM_NHAN_SU!$B150="","",IF(DM_NHAN_SU!$G150="","",DM_NHAN_SU!$G150))</f>
        <v/>
      </c>
    </row>
    <row r="151" ht="15" customHeight="1" s="63">
      <c r="A151" s="85">
        <f>IF($B151="","",ROW()-5)</f>
        <v/>
      </c>
      <c r="B151" s="103">
        <f>IF(TONG_HOP_CC!B151="","",TONG_HOP_CC!B151)</f>
        <v/>
      </c>
      <c r="C151" s="96">
        <f>IF($B151="","",TONG_HOP_CC!C151)</f>
        <v/>
      </c>
      <c r="E151" s="112">
        <f>IF($B151="","","Tổng hợp")</f>
        <v/>
      </c>
      <c r="F151" s="110">
        <f>IF($B151="","",TONG_HOP_CC!E151)</f>
        <v/>
      </c>
      <c r="G151" s="110">
        <f>IF($B151="","",TONG_HOP_CC!G151)</f>
        <v/>
      </c>
      <c r="H151" s="110">
        <f>IF($B151="","",TONG_HOP_CC!H151)</f>
        <v/>
      </c>
      <c r="I151" s="110">
        <f>IF($B151="","",TONG_HOP_CC!I151)</f>
        <v/>
      </c>
      <c r="J151" s="110">
        <f>IF($B151="","",TONG_HOP_CC!J151)</f>
        <v/>
      </c>
      <c r="K151" s="110">
        <f>IF($B151="","",TONG_HOP_CC!K151)</f>
        <v/>
      </c>
      <c r="L151" s="110">
        <f>IF($B151="","",TONG_HOP_CC!L151)</f>
        <v/>
      </c>
      <c r="M151" s="110">
        <f>IF($B151="","",TONG_HOP_CC!M151)</f>
        <v/>
      </c>
      <c r="N151" s="110">
        <f>IF($B151="","",TONG_HOP_CC!N151)</f>
        <v/>
      </c>
      <c r="P151" s="110">
        <f>IF($B151="","",TONG_HOP_CC!O151)</f>
        <v/>
      </c>
      <c r="Q151" s="110">
        <f>IF($B151="","",TONG_HOP_CC!P151)</f>
        <v/>
      </c>
      <c r="R151" s="110">
        <f>IF($B151="","",TONG_HOP_CC!Q151)</f>
        <v/>
      </c>
      <c r="S151" s="110">
        <f>IF($B151="","",TONG_HOP_CC!R151)</f>
        <v/>
      </c>
      <c r="T151" s="110">
        <f>IF($B151="","",TONG_HOP_CC!S151)</f>
        <v/>
      </c>
      <c r="U151" s="110">
        <f>IF($B151="","",TONG_HOP_CC!T151)</f>
        <v/>
      </c>
      <c r="W151" s="112">
        <f>IF(DM_NHAN_SU!$B151="","",IF(DM_NHAN_SU!$B151="","",DM_NHAN_SU!$B151))</f>
        <v/>
      </c>
      <c r="X151" s="113">
        <f>IF(DM_NHAN_SU!$B151="","",IF(DM_NHAN_SU!$C151="","",DM_NHAN_SU!$C151))</f>
        <v/>
      </c>
      <c r="Y151" s="113">
        <f>IF(DM_NHAN_SU!$B151="","",IF(DM_NHAN_SU!$D151="","",DM_NHAN_SU!$D151))</f>
        <v/>
      </c>
      <c r="Z151" s="113">
        <f>IF(DM_NHAN_SU!$B151="","",IF(DM_NHAN_SU!$E151="","",DM_NHAN_SU!$E151))</f>
        <v/>
      </c>
      <c r="AA151" s="114">
        <f>IF(DM_NHAN_SU!$B151="","",IF(DM_NHAN_SU!$F151="","",DM_NHAN_SU!$F151))</f>
        <v/>
      </c>
      <c r="AB151" s="114">
        <f>IF(DM_NHAN_SU!$B151="","",IF(DM_NHAN_SU!$G151="","",DM_NHAN_SU!$G151))</f>
        <v/>
      </c>
    </row>
    <row r="152" ht="15" customHeight="1" s="63">
      <c r="A152" s="85">
        <f>IF($B152="","",ROW()-5)</f>
        <v/>
      </c>
      <c r="B152" s="103">
        <f>IF(TONG_HOP_CC!B152="","",TONG_HOP_CC!B152)</f>
        <v/>
      </c>
      <c r="C152" s="96">
        <f>IF($B152="","",TONG_HOP_CC!C152)</f>
        <v/>
      </c>
      <c r="E152" s="112">
        <f>IF($B152="","","Tổng hợp")</f>
        <v/>
      </c>
      <c r="F152" s="110">
        <f>IF($B152="","",TONG_HOP_CC!E152)</f>
        <v/>
      </c>
      <c r="G152" s="110">
        <f>IF($B152="","",TONG_HOP_CC!G152)</f>
        <v/>
      </c>
      <c r="H152" s="110">
        <f>IF($B152="","",TONG_HOP_CC!H152)</f>
        <v/>
      </c>
      <c r="I152" s="110">
        <f>IF($B152="","",TONG_HOP_CC!I152)</f>
        <v/>
      </c>
      <c r="J152" s="110">
        <f>IF($B152="","",TONG_HOP_CC!J152)</f>
        <v/>
      </c>
      <c r="K152" s="110">
        <f>IF($B152="","",TONG_HOP_CC!K152)</f>
        <v/>
      </c>
      <c r="L152" s="110">
        <f>IF($B152="","",TONG_HOP_CC!L152)</f>
        <v/>
      </c>
      <c r="M152" s="110">
        <f>IF($B152="","",TONG_HOP_CC!M152)</f>
        <v/>
      </c>
      <c r="N152" s="110">
        <f>IF($B152="","",TONG_HOP_CC!N152)</f>
        <v/>
      </c>
      <c r="P152" s="110">
        <f>IF($B152="","",TONG_HOP_CC!O152)</f>
        <v/>
      </c>
      <c r="Q152" s="110">
        <f>IF($B152="","",TONG_HOP_CC!P152)</f>
        <v/>
      </c>
      <c r="R152" s="110">
        <f>IF($B152="","",TONG_HOP_CC!Q152)</f>
        <v/>
      </c>
      <c r="S152" s="110">
        <f>IF($B152="","",TONG_HOP_CC!R152)</f>
        <v/>
      </c>
      <c r="T152" s="110">
        <f>IF($B152="","",TONG_HOP_CC!S152)</f>
        <v/>
      </c>
      <c r="U152" s="110">
        <f>IF($B152="","",TONG_HOP_CC!T152)</f>
        <v/>
      </c>
      <c r="W152" s="112">
        <f>IF(DM_NHAN_SU!$B152="","",IF(DM_NHAN_SU!$B152="","",DM_NHAN_SU!$B152))</f>
        <v/>
      </c>
      <c r="X152" s="113">
        <f>IF(DM_NHAN_SU!$B152="","",IF(DM_NHAN_SU!$C152="","",DM_NHAN_SU!$C152))</f>
        <v/>
      </c>
      <c r="Y152" s="113">
        <f>IF(DM_NHAN_SU!$B152="","",IF(DM_NHAN_SU!$D152="","",DM_NHAN_SU!$D152))</f>
        <v/>
      </c>
      <c r="Z152" s="113">
        <f>IF(DM_NHAN_SU!$B152="","",IF(DM_NHAN_SU!$E152="","",DM_NHAN_SU!$E152))</f>
        <v/>
      </c>
      <c r="AA152" s="114">
        <f>IF(DM_NHAN_SU!$B152="","",IF(DM_NHAN_SU!$F152="","",DM_NHAN_SU!$F152))</f>
        <v/>
      </c>
      <c r="AB152" s="114">
        <f>IF(DM_NHAN_SU!$B152="","",IF(DM_NHAN_SU!$G152="","",DM_NHAN_SU!$G152))</f>
        <v/>
      </c>
    </row>
    <row r="153" ht="15" customHeight="1" s="63">
      <c r="A153" s="85">
        <f>IF($B153="","",ROW()-5)</f>
        <v/>
      </c>
      <c r="B153" s="103">
        <f>IF(TONG_HOP_CC!B153="","",TONG_HOP_CC!B153)</f>
        <v/>
      </c>
      <c r="C153" s="96">
        <f>IF($B153="","",TONG_HOP_CC!C153)</f>
        <v/>
      </c>
      <c r="E153" s="112">
        <f>IF($B153="","","Tổng hợp")</f>
        <v/>
      </c>
      <c r="F153" s="110">
        <f>IF($B153="","",TONG_HOP_CC!E153)</f>
        <v/>
      </c>
      <c r="G153" s="110">
        <f>IF($B153="","",TONG_HOP_CC!G153)</f>
        <v/>
      </c>
      <c r="H153" s="110">
        <f>IF($B153="","",TONG_HOP_CC!H153)</f>
        <v/>
      </c>
      <c r="I153" s="110">
        <f>IF($B153="","",TONG_HOP_CC!I153)</f>
        <v/>
      </c>
      <c r="J153" s="110">
        <f>IF($B153="","",TONG_HOP_CC!J153)</f>
        <v/>
      </c>
      <c r="K153" s="110">
        <f>IF($B153="","",TONG_HOP_CC!K153)</f>
        <v/>
      </c>
      <c r="L153" s="110">
        <f>IF($B153="","",TONG_HOP_CC!L153)</f>
        <v/>
      </c>
      <c r="M153" s="110">
        <f>IF($B153="","",TONG_HOP_CC!M153)</f>
        <v/>
      </c>
      <c r="N153" s="110">
        <f>IF($B153="","",TONG_HOP_CC!N153)</f>
        <v/>
      </c>
      <c r="P153" s="110">
        <f>IF($B153="","",TONG_HOP_CC!O153)</f>
        <v/>
      </c>
      <c r="Q153" s="110">
        <f>IF($B153="","",TONG_HOP_CC!P153)</f>
        <v/>
      </c>
      <c r="R153" s="110">
        <f>IF($B153="","",TONG_HOP_CC!Q153)</f>
        <v/>
      </c>
      <c r="S153" s="110">
        <f>IF($B153="","",TONG_HOP_CC!R153)</f>
        <v/>
      </c>
      <c r="T153" s="110">
        <f>IF($B153="","",TONG_HOP_CC!S153)</f>
        <v/>
      </c>
      <c r="U153" s="110">
        <f>IF($B153="","",TONG_HOP_CC!T153)</f>
        <v/>
      </c>
      <c r="W153" s="112">
        <f>IF(DM_NHAN_SU!$B153="","",IF(DM_NHAN_SU!$B153="","",DM_NHAN_SU!$B153))</f>
        <v/>
      </c>
      <c r="X153" s="113">
        <f>IF(DM_NHAN_SU!$B153="","",IF(DM_NHAN_SU!$C153="","",DM_NHAN_SU!$C153))</f>
        <v/>
      </c>
      <c r="Y153" s="113">
        <f>IF(DM_NHAN_SU!$B153="","",IF(DM_NHAN_SU!$D153="","",DM_NHAN_SU!$D153))</f>
        <v/>
      </c>
      <c r="Z153" s="113">
        <f>IF(DM_NHAN_SU!$B153="","",IF(DM_NHAN_SU!$E153="","",DM_NHAN_SU!$E153))</f>
        <v/>
      </c>
      <c r="AA153" s="114">
        <f>IF(DM_NHAN_SU!$B153="","",IF(DM_NHAN_SU!$F153="","",DM_NHAN_SU!$F153))</f>
        <v/>
      </c>
      <c r="AB153" s="114">
        <f>IF(DM_NHAN_SU!$B153="","",IF(DM_NHAN_SU!$G153="","",DM_NHAN_SU!$G153))</f>
        <v/>
      </c>
    </row>
    <row r="154" ht="15" customHeight="1" s="63">
      <c r="A154" s="85">
        <f>IF($B154="","",ROW()-5)</f>
        <v/>
      </c>
      <c r="B154" s="103">
        <f>IF(TONG_HOP_CC!B154="","",TONG_HOP_CC!B154)</f>
        <v/>
      </c>
      <c r="C154" s="96">
        <f>IF($B154="","",TONG_HOP_CC!C154)</f>
        <v/>
      </c>
      <c r="E154" s="112">
        <f>IF($B154="","","Tổng hợp")</f>
        <v/>
      </c>
      <c r="F154" s="110">
        <f>IF($B154="","",TONG_HOP_CC!E154)</f>
        <v/>
      </c>
      <c r="G154" s="110">
        <f>IF($B154="","",TONG_HOP_CC!G154)</f>
        <v/>
      </c>
      <c r="H154" s="110">
        <f>IF($B154="","",TONG_HOP_CC!H154)</f>
        <v/>
      </c>
      <c r="I154" s="110">
        <f>IF($B154="","",TONG_HOP_CC!I154)</f>
        <v/>
      </c>
      <c r="J154" s="110">
        <f>IF($B154="","",TONG_HOP_CC!J154)</f>
        <v/>
      </c>
      <c r="K154" s="110">
        <f>IF($B154="","",TONG_HOP_CC!K154)</f>
        <v/>
      </c>
      <c r="L154" s="110">
        <f>IF($B154="","",TONG_HOP_CC!L154)</f>
        <v/>
      </c>
      <c r="M154" s="110">
        <f>IF($B154="","",TONG_HOP_CC!M154)</f>
        <v/>
      </c>
      <c r="N154" s="110">
        <f>IF($B154="","",TONG_HOP_CC!N154)</f>
        <v/>
      </c>
      <c r="P154" s="110">
        <f>IF($B154="","",TONG_HOP_CC!O154)</f>
        <v/>
      </c>
      <c r="Q154" s="110">
        <f>IF($B154="","",TONG_HOP_CC!P154)</f>
        <v/>
      </c>
      <c r="R154" s="110">
        <f>IF($B154="","",TONG_HOP_CC!Q154)</f>
        <v/>
      </c>
      <c r="S154" s="110">
        <f>IF($B154="","",TONG_HOP_CC!R154)</f>
        <v/>
      </c>
      <c r="T154" s="110">
        <f>IF($B154="","",TONG_HOP_CC!S154)</f>
        <v/>
      </c>
      <c r="U154" s="110">
        <f>IF($B154="","",TONG_HOP_CC!T154)</f>
        <v/>
      </c>
      <c r="W154" s="112">
        <f>IF(DM_NHAN_SU!$B154="","",IF(DM_NHAN_SU!$B154="","",DM_NHAN_SU!$B154))</f>
        <v/>
      </c>
      <c r="X154" s="113">
        <f>IF(DM_NHAN_SU!$B154="","",IF(DM_NHAN_SU!$C154="","",DM_NHAN_SU!$C154))</f>
        <v/>
      </c>
      <c r="Y154" s="113">
        <f>IF(DM_NHAN_SU!$B154="","",IF(DM_NHAN_SU!$D154="","",DM_NHAN_SU!$D154))</f>
        <v/>
      </c>
      <c r="Z154" s="113">
        <f>IF(DM_NHAN_SU!$B154="","",IF(DM_NHAN_SU!$E154="","",DM_NHAN_SU!$E154))</f>
        <v/>
      </c>
      <c r="AA154" s="114">
        <f>IF(DM_NHAN_SU!$B154="","",IF(DM_NHAN_SU!$F154="","",DM_NHAN_SU!$F154))</f>
        <v/>
      </c>
      <c r="AB154" s="114">
        <f>IF(DM_NHAN_SU!$B154="","",IF(DM_NHAN_SU!$G154="","",DM_NHAN_SU!$G154))</f>
        <v/>
      </c>
    </row>
    <row r="155" ht="15" customHeight="1" s="63">
      <c r="A155" s="85">
        <f>IF($B155="","",ROW()-5)</f>
        <v/>
      </c>
      <c r="B155" s="103">
        <f>IF(TONG_HOP_CC!B155="","",TONG_HOP_CC!B155)</f>
        <v/>
      </c>
      <c r="C155" s="96">
        <f>IF($B155="","",TONG_HOP_CC!C155)</f>
        <v/>
      </c>
      <c r="E155" s="112">
        <f>IF($B155="","","Tổng hợp")</f>
        <v/>
      </c>
      <c r="F155" s="110">
        <f>IF($B155="","",TONG_HOP_CC!E155)</f>
        <v/>
      </c>
      <c r="G155" s="110">
        <f>IF($B155="","",TONG_HOP_CC!G155)</f>
        <v/>
      </c>
      <c r="H155" s="110">
        <f>IF($B155="","",TONG_HOP_CC!H155)</f>
        <v/>
      </c>
      <c r="I155" s="110">
        <f>IF($B155="","",TONG_HOP_CC!I155)</f>
        <v/>
      </c>
      <c r="J155" s="110">
        <f>IF($B155="","",TONG_HOP_CC!J155)</f>
        <v/>
      </c>
      <c r="K155" s="110">
        <f>IF($B155="","",TONG_HOP_CC!K155)</f>
        <v/>
      </c>
      <c r="L155" s="110">
        <f>IF($B155="","",TONG_HOP_CC!L155)</f>
        <v/>
      </c>
      <c r="M155" s="110">
        <f>IF($B155="","",TONG_HOP_CC!M155)</f>
        <v/>
      </c>
      <c r="N155" s="110">
        <f>IF($B155="","",TONG_HOP_CC!N155)</f>
        <v/>
      </c>
      <c r="P155" s="110">
        <f>IF($B155="","",TONG_HOP_CC!O155)</f>
        <v/>
      </c>
      <c r="Q155" s="110">
        <f>IF($B155="","",TONG_HOP_CC!P155)</f>
        <v/>
      </c>
      <c r="R155" s="110">
        <f>IF($B155="","",TONG_HOP_CC!Q155)</f>
        <v/>
      </c>
      <c r="S155" s="110">
        <f>IF($B155="","",TONG_HOP_CC!R155)</f>
        <v/>
      </c>
      <c r="T155" s="110">
        <f>IF($B155="","",TONG_HOP_CC!S155)</f>
        <v/>
      </c>
      <c r="U155" s="110">
        <f>IF($B155="","",TONG_HOP_CC!T155)</f>
        <v/>
      </c>
      <c r="W155" s="112">
        <f>IF(DM_NHAN_SU!$B155="","",IF(DM_NHAN_SU!$B155="","",DM_NHAN_SU!$B155))</f>
        <v/>
      </c>
      <c r="X155" s="113">
        <f>IF(DM_NHAN_SU!$B155="","",IF(DM_NHAN_SU!$C155="","",DM_NHAN_SU!$C155))</f>
        <v/>
      </c>
      <c r="Y155" s="113">
        <f>IF(DM_NHAN_SU!$B155="","",IF(DM_NHAN_SU!$D155="","",DM_NHAN_SU!$D155))</f>
        <v/>
      </c>
      <c r="Z155" s="113">
        <f>IF(DM_NHAN_SU!$B155="","",IF(DM_NHAN_SU!$E155="","",DM_NHAN_SU!$E155))</f>
        <v/>
      </c>
      <c r="AA155" s="114">
        <f>IF(DM_NHAN_SU!$B155="","",IF(DM_NHAN_SU!$F155="","",DM_NHAN_SU!$F155))</f>
        <v/>
      </c>
      <c r="AB155" s="114">
        <f>IF(DM_NHAN_SU!$B155="","",IF(DM_NHAN_SU!$G155="","",DM_NHAN_SU!$G155))</f>
        <v/>
      </c>
    </row>
  </sheetData>
  <mergeCells count="6">
    <mergeCell ref="A2:AB3"/>
    <mergeCell ref="E4:N4"/>
    <mergeCell ref="A1:AB1"/>
    <mergeCell ref="W4:AB4"/>
    <mergeCell ref="A4:C4"/>
    <mergeCell ref="P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5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62" min="1" max="1"/>
    <col width="32" customWidth="1" style="62" min="2" max="2"/>
    <col width="15" customWidth="1" style="62" min="3" max="11"/>
    <col width="38" customWidth="1" style="62" min="12" max="12"/>
  </cols>
  <sheetData>
    <row r="1" ht="30" customHeight="1" s="63">
      <c r="A1" s="64" t="inlineStr">
        <is>
          <t>BÁO CÁO CHẤM CÔNG VÀ KIỂM TRA KHỚP NỐI</t>
        </is>
      </c>
    </row>
    <row r="2" ht="15" customHeight="1" s="63">
      <c r="A2" s="65" t="inlineStr">
        <is>
          <t>Khối trên là tổng toàn đơn vị. Khối giữa tổng hợp theo bộ phận – gõ tên bộ phận vào ô vàng đúng như đã khai tại DM_NHAN_SU. Khối dưới là các phép kiểm tra, tất cả phải bằng 0 trước khi dán số sang file lương.</t>
        </is>
      </c>
    </row>
    <row r="3" ht="15" customHeight="1" s="63"/>
    <row r="4"/>
    <row r="5" ht="15" customHeight="1" s="63">
      <c r="A5" s="66" t="inlineStr">
        <is>
          <t>TỔNG TOÀN ĐƠN VỊ</t>
        </is>
      </c>
      <c r="B5" s="67" t="n"/>
      <c r="C5" s="67" t="n"/>
      <c r="D5" s="67" t="n"/>
      <c r="E5" s="67" t="n"/>
      <c r="F5" s="67" t="n"/>
      <c r="G5" s="67" t="n"/>
      <c r="H5" s="67" t="n"/>
      <c r="I5" s="67" t="n"/>
      <c r="J5" s="67" t="n"/>
      <c r="K5" s="67" t="n"/>
      <c r="L5" s="68" t="n"/>
    </row>
    <row r="6" ht="15" customHeight="1" s="63">
      <c r="A6" s="69" t="inlineStr">
        <is>
          <t>Số nhân viên có chấm công</t>
        </is>
      </c>
      <c r="B6" s="68" t="n"/>
      <c r="C6" s="115">
        <f>COUNTIF(TONG_HOP_CC!$B$6:$B$155,"?*")</f>
        <v/>
      </c>
    </row>
    <row r="7" ht="15" customHeight="1" s="63">
      <c r="A7" s="69" t="inlineStr">
        <is>
          <t>Tổng công làm việc (ngày)</t>
        </is>
      </c>
      <c r="B7" s="68" t="n"/>
      <c r="C7" s="116">
        <f>SUM(TONG_HOP_CC!$E$6:$E$155)</f>
        <v/>
      </c>
    </row>
    <row r="8" ht="15" customHeight="1" s="63">
      <c r="A8" s="69" t="inlineStr">
        <is>
          <t>Tổng giờ làm việc bình thường (giờ)</t>
        </is>
      </c>
      <c r="B8" s="68" t="n"/>
      <c r="C8" s="117">
        <f>SUM(TONG_HOP_CC!$G$6:$G$155)</f>
        <v/>
      </c>
    </row>
    <row r="9" ht="15" customHeight="1" s="63">
      <c r="A9" s="69" t="inlineStr">
        <is>
          <t>Tổng giờ đêm trong ca (giờ)</t>
        </is>
      </c>
      <c r="B9" s="68" t="n"/>
      <c r="C9" s="117">
        <f>SUM(TONG_HOP_CC!$H$6:$H$155)</f>
        <v/>
      </c>
    </row>
    <row r="10" ht="15" customHeight="1" s="63">
      <c r="A10" s="69" t="inlineStr">
        <is>
          <t>Tổng giờ làm thêm (giờ)</t>
        </is>
      </c>
      <c r="B10" s="68" t="n"/>
      <c r="C10" s="117">
        <f>SUM(TONG_HOP_CC!$U$6:$U$155)</f>
        <v/>
      </c>
    </row>
    <row r="11" ht="15" customHeight="1" s="63">
      <c r="A11" s="69" t="inlineStr">
        <is>
          <t>Tổng ngày phép năm hưởng lương</t>
        </is>
      </c>
      <c r="B11" s="68" t="n"/>
      <c r="C11" s="116">
        <f>SUM(TONG_HOP_CC!$O$6:$O$155)</f>
        <v/>
      </c>
    </row>
    <row r="12" ht="15" customHeight="1" s="63">
      <c r="A12" s="69" t="inlineStr">
        <is>
          <t>Tổng ngày lễ, Tết hưởng lương</t>
        </is>
      </c>
      <c r="B12" s="68" t="n"/>
      <c r="C12" s="116">
        <f>SUM(TONG_HOP_CC!$P$6:$P$155)</f>
        <v/>
      </c>
    </row>
    <row r="13" ht="15" customHeight="1" s="63">
      <c r="A13" s="69" t="inlineStr">
        <is>
          <t>Tổng ngày việc riêng hưởng lương</t>
        </is>
      </c>
      <c r="B13" s="68" t="n"/>
      <c r="C13" s="116">
        <f>SUM(TONG_HOP_CC!$Q$6:$Q$155)</f>
        <v/>
      </c>
    </row>
    <row r="14" ht="15" customHeight="1" s="63">
      <c r="A14" s="69" t="inlineStr">
        <is>
          <t>Tổng ngày nghỉ ốm hưởng BHXH</t>
        </is>
      </c>
      <c r="B14" s="68" t="n"/>
      <c r="C14" s="116">
        <f>SUM(TONG_HOP_CC!$R$6:$R$155)</f>
        <v/>
      </c>
    </row>
    <row r="15" ht="15" customHeight="1" s="63">
      <c r="A15" s="69" t="inlineStr">
        <is>
          <t>Tổng ngày nghỉ thai sản</t>
        </is>
      </c>
      <c r="B15" s="68" t="n"/>
      <c r="C15" s="116">
        <f>SUM(TONG_HOP_CC!$S$6:$S$155)</f>
        <v/>
      </c>
    </row>
    <row r="16" ht="15" customHeight="1" s="63">
      <c r="A16" s="69" t="inlineStr">
        <is>
          <t>Tổng ngày nghỉ không lương</t>
        </is>
      </c>
      <c r="B16" s="68" t="n"/>
      <c r="C16" s="116">
        <f>SUM(TONG_HOP_CC!$T$6:$T$155)</f>
        <v/>
      </c>
    </row>
    <row r="17"/>
    <row r="18" ht="15" customHeight="1" s="63">
      <c r="A18" s="66" t="inlineStr">
        <is>
          <t>TỔNG HỢP THEO BỘ PHẬN</t>
        </is>
      </c>
      <c r="B18" s="67" t="n"/>
      <c r="C18" s="67" t="n"/>
      <c r="D18" s="67" t="n"/>
      <c r="E18" s="67" t="n"/>
      <c r="F18" s="67" t="n"/>
      <c r="G18" s="67" t="n"/>
      <c r="H18" s="67" t="n"/>
      <c r="I18" s="67" t="n"/>
      <c r="J18" s="67" t="n"/>
      <c r="K18" s="67" t="n"/>
      <c r="L18" s="68" t="n"/>
    </row>
    <row r="19" ht="45.75" customHeight="1" s="63">
      <c r="A19" s="83" t="inlineStr">
        <is>
          <t>STT</t>
        </is>
      </c>
      <c r="B19" s="83" t="inlineStr">
        <is>
          <t>Bộ phận</t>
        </is>
      </c>
      <c r="C19" s="83" t="inlineStr">
        <is>
          <t>Số NV</t>
        </is>
      </c>
      <c r="D19" s="83" t="inlineStr">
        <is>
          <t>Công làm việc</t>
        </is>
      </c>
      <c r="E19" s="83" t="inlineStr">
        <is>
          <t>Giờ thường</t>
        </is>
      </c>
      <c r="F19" s="83" t="inlineStr">
        <is>
          <t>Giờ đêm trong ca</t>
        </is>
      </c>
      <c r="G19" s="83" t="inlineStr">
        <is>
          <t>Tổng giờ OT</t>
        </is>
      </c>
      <c r="H19" s="83" t="inlineStr">
        <is>
          <t>Phép năm</t>
        </is>
      </c>
      <c r="I19" s="83" t="inlineStr">
        <is>
          <t>Lễ/Tết</t>
        </is>
      </c>
      <c r="J19" s="83" t="inlineStr">
        <is>
          <t>Việc riêng</t>
        </is>
      </c>
      <c r="K19" s="83" t="inlineStr">
        <is>
          <t>Ốm + Thai sản</t>
        </is>
      </c>
      <c r="L19" s="83" t="inlineStr">
        <is>
          <t>Không lương</t>
        </is>
      </c>
    </row>
    <row r="20" ht="15" customHeight="1" s="63">
      <c r="A20" s="85">
        <f>IF($B20="","",ROW()-19)</f>
        <v/>
      </c>
      <c r="B20" s="81" t="n"/>
      <c r="C20" s="118">
        <f>IF($B20="","",COUNTIFS(TONG_HOP_CC!$D$6:$D$155,$B20))</f>
        <v/>
      </c>
      <c r="D20" s="117">
        <f>IF($B20="","",SUMIFS(TONG_HOP_CC!$E$6:$E$155,TONG_HOP_CC!$D$6:$D$155,$B20))</f>
        <v/>
      </c>
      <c r="E20" s="117">
        <f>IF($B20="","",SUMIFS(TONG_HOP_CC!$G$6:$G$155,TONG_HOP_CC!$D$6:$D$155,$B20))</f>
        <v/>
      </c>
      <c r="F20" s="117">
        <f>IF($B20="","",SUMIFS(TONG_HOP_CC!$H$6:$H$155,TONG_HOP_CC!$D$6:$D$155,$B20))</f>
        <v/>
      </c>
      <c r="G20" s="117">
        <f>IF($B20="","",SUMIFS(TONG_HOP_CC!$U$6:$U$155,TONG_HOP_CC!$D$6:$D$155,$B20))</f>
        <v/>
      </c>
      <c r="H20" s="117">
        <f>IF($B20="","",SUMIFS(TONG_HOP_CC!$O$6:$O$155,TONG_HOP_CC!$D$6:$D$155,$B20))</f>
        <v/>
      </c>
      <c r="I20" s="117">
        <f>IF($B20="","",SUMIFS(TONG_HOP_CC!$P$6:$P$155,TONG_HOP_CC!$D$6:$D$155,$B20))</f>
        <v/>
      </c>
      <c r="J20" s="117">
        <f>IF($B20="","",SUMIFS(TONG_HOP_CC!$Q$6:$Q$155,TONG_HOP_CC!$D$6:$D$155,$B20))</f>
        <v/>
      </c>
      <c r="K20" s="117">
        <f>IF($B20="","",SUMIFS(TONG_HOP_CC!$R$6:$R$155,TONG_HOP_CC!$D$6:$D$155,$B20)+SUMIFS(TONG_HOP_CC!$S$6:$S$155,TONG_HOP_CC!$D$6:$D$155,$B20))</f>
        <v/>
      </c>
      <c r="L20" s="117">
        <f>IF($B20="","",SUMIFS(TONG_HOP_CC!$T$6:$T$155,TONG_HOP_CC!$D$6:$D$155,$B20))</f>
        <v/>
      </c>
    </row>
    <row r="21" ht="15" customHeight="1" s="63">
      <c r="A21" s="85">
        <f>IF($B21="","",ROW()-19)</f>
        <v/>
      </c>
      <c r="B21" s="81" t="n"/>
      <c r="C21" s="118">
        <f>IF($B21="","",COUNTIFS(TONG_HOP_CC!$D$6:$D$155,$B21))</f>
        <v/>
      </c>
      <c r="D21" s="117">
        <f>IF($B21="","",SUMIFS(TONG_HOP_CC!$E$6:$E$155,TONG_HOP_CC!$D$6:$D$155,$B21))</f>
        <v/>
      </c>
      <c r="E21" s="117">
        <f>IF($B21="","",SUMIFS(TONG_HOP_CC!$G$6:$G$155,TONG_HOP_CC!$D$6:$D$155,$B21))</f>
        <v/>
      </c>
      <c r="F21" s="117">
        <f>IF($B21="","",SUMIFS(TONG_HOP_CC!$H$6:$H$155,TONG_HOP_CC!$D$6:$D$155,$B21))</f>
        <v/>
      </c>
      <c r="G21" s="117">
        <f>IF($B21="","",SUMIFS(TONG_HOP_CC!$U$6:$U$155,TONG_HOP_CC!$D$6:$D$155,$B21))</f>
        <v/>
      </c>
      <c r="H21" s="117">
        <f>IF($B21="","",SUMIFS(TONG_HOP_CC!$O$6:$O$155,TONG_HOP_CC!$D$6:$D$155,$B21))</f>
        <v/>
      </c>
      <c r="I21" s="117">
        <f>IF($B21="","",SUMIFS(TONG_HOP_CC!$P$6:$P$155,TONG_HOP_CC!$D$6:$D$155,$B21))</f>
        <v/>
      </c>
      <c r="J21" s="117">
        <f>IF($B21="","",SUMIFS(TONG_HOP_CC!$Q$6:$Q$155,TONG_HOP_CC!$D$6:$D$155,$B21))</f>
        <v/>
      </c>
      <c r="K21" s="117">
        <f>IF($B21="","",SUMIFS(TONG_HOP_CC!$R$6:$R$155,TONG_HOP_CC!$D$6:$D$155,$B21)+SUMIFS(TONG_HOP_CC!$S$6:$S$155,TONG_HOP_CC!$D$6:$D$155,$B21))</f>
        <v/>
      </c>
      <c r="L21" s="117">
        <f>IF($B21="","",SUMIFS(TONG_HOP_CC!$T$6:$T$155,TONG_HOP_CC!$D$6:$D$155,$B21))</f>
        <v/>
      </c>
    </row>
    <row r="22" ht="15" customHeight="1" s="63">
      <c r="A22" s="85">
        <f>IF($B22="","",ROW()-19)</f>
        <v/>
      </c>
      <c r="B22" s="81" t="n"/>
      <c r="C22" s="118">
        <f>IF($B22="","",COUNTIFS(TONG_HOP_CC!$D$6:$D$155,$B22))</f>
        <v/>
      </c>
      <c r="D22" s="117">
        <f>IF($B22="","",SUMIFS(TONG_HOP_CC!$E$6:$E$155,TONG_HOP_CC!$D$6:$D$155,$B22))</f>
        <v/>
      </c>
      <c r="E22" s="117">
        <f>IF($B22="","",SUMIFS(TONG_HOP_CC!$G$6:$G$155,TONG_HOP_CC!$D$6:$D$155,$B22))</f>
        <v/>
      </c>
      <c r="F22" s="117">
        <f>IF($B22="","",SUMIFS(TONG_HOP_CC!$H$6:$H$155,TONG_HOP_CC!$D$6:$D$155,$B22))</f>
        <v/>
      </c>
      <c r="G22" s="117">
        <f>IF($B22="","",SUMIFS(TONG_HOP_CC!$U$6:$U$155,TONG_HOP_CC!$D$6:$D$155,$B22))</f>
        <v/>
      </c>
      <c r="H22" s="117">
        <f>IF($B22="","",SUMIFS(TONG_HOP_CC!$O$6:$O$155,TONG_HOP_CC!$D$6:$D$155,$B22))</f>
        <v/>
      </c>
      <c r="I22" s="117">
        <f>IF($B22="","",SUMIFS(TONG_HOP_CC!$P$6:$P$155,TONG_HOP_CC!$D$6:$D$155,$B22))</f>
        <v/>
      </c>
      <c r="J22" s="117">
        <f>IF($B22="","",SUMIFS(TONG_HOP_CC!$Q$6:$Q$155,TONG_HOP_CC!$D$6:$D$155,$B22))</f>
        <v/>
      </c>
      <c r="K22" s="117">
        <f>IF($B22="","",SUMIFS(TONG_HOP_CC!$R$6:$R$155,TONG_HOP_CC!$D$6:$D$155,$B22)+SUMIFS(TONG_HOP_CC!$S$6:$S$155,TONG_HOP_CC!$D$6:$D$155,$B22))</f>
        <v/>
      </c>
      <c r="L22" s="117">
        <f>IF($B22="","",SUMIFS(TONG_HOP_CC!$T$6:$T$155,TONG_HOP_CC!$D$6:$D$155,$B22))</f>
        <v/>
      </c>
    </row>
    <row r="23" ht="15" customHeight="1" s="63">
      <c r="A23" s="85">
        <f>IF($B23="","",ROW()-19)</f>
        <v/>
      </c>
      <c r="B23" s="81" t="n"/>
      <c r="C23" s="118">
        <f>IF($B23="","",COUNTIFS(TONG_HOP_CC!$D$6:$D$155,$B23))</f>
        <v/>
      </c>
      <c r="D23" s="117">
        <f>IF($B23="","",SUMIFS(TONG_HOP_CC!$E$6:$E$155,TONG_HOP_CC!$D$6:$D$155,$B23))</f>
        <v/>
      </c>
      <c r="E23" s="117">
        <f>IF($B23="","",SUMIFS(TONG_HOP_CC!$G$6:$G$155,TONG_HOP_CC!$D$6:$D$155,$B23))</f>
        <v/>
      </c>
      <c r="F23" s="117">
        <f>IF($B23="","",SUMIFS(TONG_HOP_CC!$H$6:$H$155,TONG_HOP_CC!$D$6:$D$155,$B23))</f>
        <v/>
      </c>
      <c r="G23" s="117">
        <f>IF($B23="","",SUMIFS(TONG_HOP_CC!$U$6:$U$155,TONG_HOP_CC!$D$6:$D$155,$B23))</f>
        <v/>
      </c>
      <c r="H23" s="117">
        <f>IF($B23="","",SUMIFS(TONG_HOP_CC!$O$6:$O$155,TONG_HOP_CC!$D$6:$D$155,$B23))</f>
        <v/>
      </c>
      <c r="I23" s="117">
        <f>IF($B23="","",SUMIFS(TONG_HOP_CC!$P$6:$P$155,TONG_HOP_CC!$D$6:$D$155,$B23))</f>
        <v/>
      </c>
      <c r="J23" s="117">
        <f>IF($B23="","",SUMIFS(TONG_HOP_CC!$Q$6:$Q$155,TONG_HOP_CC!$D$6:$D$155,$B23))</f>
        <v/>
      </c>
      <c r="K23" s="117">
        <f>IF($B23="","",SUMIFS(TONG_HOP_CC!$R$6:$R$155,TONG_HOP_CC!$D$6:$D$155,$B23)+SUMIFS(TONG_HOP_CC!$S$6:$S$155,TONG_HOP_CC!$D$6:$D$155,$B23))</f>
        <v/>
      </c>
      <c r="L23" s="117">
        <f>IF($B23="","",SUMIFS(TONG_HOP_CC!$T$6:$T$155,TONG_HOP_CC!$D$6:$D$155,$B23))</f>
        <v/>
      </c>
    </row>
    <row r="24" ht="15" customHeight="1" s="63">
      <c r="A24" s="85">
        <f>IF($B24="","",ROW()-19)</f>
        <v/>
      </c>
      <c r="B24" s="81" t="n"/>
      <c r="C24" s="118">
        <f>IF($B24="","",COUNTIFS(TONG_HOP_CC!$D$6:$D$155,$B24))</f>
        <v/>
      </c>
      <c r="D24" s="117">
        <f>IF($B24="","",SUMIFS(TONG_HOP_CC!$E$6:$E$155,TONG_HOP_CC!$D$6:$D$155,$B24))</f>
        <v/>
      </c>
      <c r="E24" s="117">
        <f>IF($B24="","",SUMIFS(TONG_HOP_CC!$G$6:$G$155,TONG_HOP_CC!$D$6:$D$155,$B24))</f>
        <v/>
      </c>
      <c r="F24" s="117">
        <f>IF($B24="","",SUMIFS(TONG_HOP_CC!$H$6:$H$155,TONG_HOP_CC!$D$6:$D$155,$B24))</f>
        <v/>
      </c>
      <c r="G24" s="117">
        <f>IF($B24="","",SUMIFS(TONG_HOP_CC!$U$6:$U$155,TONG_HOP_CC!$D$6:$D$155,$B24))</f>
        <v/>
      </c>
      <c r="H24" s="117">
        <f>IF($B24="","",SUMIFS(TONG_HOP_CC!$O$6:$O$155,TONG_HOP_CC!$D$6:$D$155,$B24))</f>
        <v/>
      </c>
      <c r="I24" s="117">
        <f>IF($B24="","",SUMIFS(TONG_HOP_CC!$P$6:$P$155,TONG_HOP_CC!$D$6:$D$155,$B24))</f>
        <v/>
      </c>
      <c r="J24" s="117">
        <f>IF($B24="","",SUMIFS(TONG_HOP_CC!$Q$6:$Q$155,TONG_HOP_CC!$D$6:$D$155,$B24))</f>
        <v/>
      </c>
      <c r="K24" s="117">
        <f>IF($B24="","",SUMIFS(TONG_HOP_CC!$R$6:$R$155,TONG_HOP_CC!$D$6:$D$155,$B24)+SUMIFS(TONG_HOP_CC!$S$6:$S$155,TONG_HOP_CC!$D$6:$D$155,$B24))</f>
        <v/>
      </c>
      <c r="L24" s="117">
        <f>IF($B24="","",SUMIFS(TONG_HOP_CC!$T$6:$T$155,TONG_HOP_CC!$D$6:$D$155,$B24))</f>
        <v/>
      </c>
    </row>
    <row r="25" ht="15" customHeight="1" s="63">
      <c r="A25" s="85">
        <f>IF($B25="","",ROW()-19)</f>
        <v/>
      </c>
      <c r="B25" s="81" t="n"/>
      <c r="C25" s="118">
        <f>IF($B25="","",COUNTIFS(TONG_HOP_CC!$D$6:$D$155,$B25))</f>
        <v/>
      </c>
      <c r="D25" s="117">
        <f>IF($B25="","",SUMIFS(TONG_HOP_CC!$E$6:$E$155,TONG_HOP_CC!$D$6:$D$155,$B25))</f>
        <v/>
      </c>
      <c r="E25" s="117">
        <f>IF($B25="","",SUMIFS(TONG_HOP_CC!$G$6:$G$155,TONG_HOP_CC!$D$6:$D$155,$B25))</f>
        <v/>
      </c>
      <c r="F25" s="117">
        <f>IF($B25="","",SUMIFS(TONG_HOP_CC!$H$6:$H$155,TONG_HOP_CC!$D$6:$D$155,$B25))</f>
        <v/>
      </c>
      <c r="G25" s="117">
        <f>IF($B25="","",SUMIFS(TONG_HOP_CC!$U$6:$U$155,TONG_HOP_CC!$D$6:$D$155,$B25))</f>
        <v/>
      </c>
      <c r="H25" s="117">
        <f>IF($B25="","",SUMIFS(TONG_HOP_CC!$O$6:$O$155,TONG_HOP_CC!$D$6:$D$155,$B25))</f>
        <v/>
      </c>
      <c r="I25" s="117">
        <f>IF($B25="","",SUMIFS(TONG_HOP_CC!$P$6:$P$155,TONG_HOP_CC!$D$6:$D$155,$B25))</f>
        <v/>
      </c>
      <c r="J25" s="117">
        <f>IF($B25="","",SUMIFS(TONG_HOP_CC!$Q$6:$Q$155,TONG_HOP_CC!$D$6:$D$155,$B25))</f>
        <v/>
      </c>
      <c r="K25" s="117">
        <f>IF($B25="","",SUMIFS(TONG_HOP_CC!$R$6:$R$155,TONG_HOP_CC!$D$6:$D$155,$B25)+SUMIFS(TONG_HOP_CC!$S$6:$S$155,TONG_HOP_CC!$D$6:$D$155,$B25))</f>
        <v/>
      </c>
      <c r="L25" s="117">
        <f>IF($B25="","",SUMIFS(TONG_HOP_CC!$T$6:$T$155,TONG_HOP_CC!$D$6:$D$155,$B25))</f>
        <v/>
      </c>
    </row>
    <row r="26" ht="15" customHeight="1" s="63">
      <c r="A26" s="85">
        <f>IF($B26="","",ROW()-19)</f>
        <v/>
      </c>
      <c r="B26" s="81" t="n"/>
      <c r="C26" s="118">
        <f>IF($B26="","",COUNTIFS(TONG_HOP_CC!$D$6:$D$155,$B26))</f>
        <v/>
      </c>
      <c r="D26" s="117">
        <f>IF($B26="","",SUMIFS(TONG_HOP_CC!$E$6:$E$155,TONG_HOP_CC!$D$6:$D$155,$B26))</f>
        <v/>
      </c>
      <c r="E26" s="117">
        <f>IF($B26="","",SUMIFS(TONG_HOP_CC!$G$6:$G$155,TONG_HOP_CC!$D$6:$D$155,$B26))</f>
        <v/>
      </c>
      <c r="F26" s="117">
        <f>IF($B26="","",SUMIFS(TONG_HOP_CC!$H$6:$H$155,TONG_HOP_CC!$D$6:$D$155,$B26))</f>
        <v/>
      </c>
      <c r="G26" s="117">
        <f>IF($B26="","",SUMIFS(TONG_HOP_CC!$U$6:$U$155,TONG_HOP_CC!$D$6:$D$155,$B26))</f>
        <v/>
      </c>
      <c r="H26" s="117">
        <f>IF($B26="","",SUMIFS(TONG_HOP_CC!$O$6:$O$155,TONG_HOP_CC!$D$6:$D$155,$B26))</f>
        <v/>
      </c>
      <c r="I26" s="117">
        <f>IF($B26="","",SUMIFS(TONG_HOP_CC!$P$6:$P$155,TONG_HOP_CC!$D$6:$D$155,$B26))</f>
        <v/>
      </c>
      <c r="J26" s="117">
        <f>IF($B26="","",SUMIFS(TONG_HOP_CC!$Q$6:$Q$155,TONG_HOP_CC!$D$6:$D$155,$B26))</f>
        <v/>
      </c>
      <c r="K26" s="117">
        <f>IF($B26="","",SUMIFS(TONG_HOP_CC!$R$6:$R$155,TONG_HOP_CC!$D$6:$D$155,$B26)+SUMIFS(TONG_HOP_CC!$S$6:$S$155,TONG_HOP_CC!$D$6:$D$155,$B26))</f>
        <v/>
      </c>
      <c r="L26" s="117">
        <f>IF($B26="","",SUMIFS(TONG_HOP_CC!$T$6:$T$155,TONG_HOP_CC!$D$6:$D$155,$B26))</f>
        <v/>
      </c>
    </row>
    <row r="27" ht="15" customHeight="1" s="63">
      <c r="A27" s="85">
        <f>IF($B27="","",ROW()-19)</f>
        <v/>
      </c>
      <c r="B27" s="81" t="n"/>
      <c r="C27" s="118">
        <f>IF($B27="","",COUNTIFS(TONG_HOP_CC!$D$6:$D$155,$B27))</f>
        <v/>
      </c>
      <c r="D27" s="117">
        <f>IF($B27="","",SUMIFS(TONG_HOP_CC!$E$6:$E$155,TONG_HOP_CC!$D$6:$D$155,$B27))</f>
        <v/>
      </c>
      <c r="E27" s="117">
        <f>IF($B27="","",SUMIFS(TONG_HOP_CC!$G$6:$G$155,TONG_HOP_CC!$D$6:$D$155,$B27))</f>
        <v/>
      </c>
      <c r="F27" s="117">
        <f>IF($B27="","",SUMIFS(TONG_HOP_CC!$H$6:$H$155,TONG_HOP_CC!$D$6:$D$155,$B27))</f>
        <v/>
      </c>
      <c r="G27" s="117">
        <f>IF($B27="","",SUMIFS(TONG_HOP_CC!$U$6:$U$155,TONG_HOP_CC!$D$6:$D$155,$B27))</f>
        <v/>
      </c>
      <c r="H27" s="117">
        <f>IF($B27="","",SUMIFS(TONG_HOP_CC!$O$6:$O$155,TONG_HOP_CC!$D$6:$D$155,$B27))</f>
        <v/>
      </c>
      <c r="I27" s="117">
        <f>IF($B27="","",SUMIFS(TONG_HOP_CC!$P$6:$P$155,TONG_HOP_CC!$D$6:$D$155,$B27))</f>
        <v/>
      </c>
      <c r="J27" s="117">
        <f>IF($B27="","",SUMIFS(TONG_HOP_CC!$Q$6:$Q$155,TONG_HOP_CC!$D$6:$D$155,$B27))</f>
        <v/>
      </c>
      <c r="K27" s="117">
        <f>IF($B27="","",SUMIFS(TONG_HOP_CC!$R$6:$R$155,TONG_HOP_CC!$D$6:$D$155,$B27)+SUMIFS(TONG_HOP_CC!$S$6:$S$155,TONG_HOP_CC!$D$6:$D$155,$B27))</f>
        <v/>
      </c>
      <c r="L27" s="117">
        <f>IF($B27="","",SUMIFS(TONG_HOP_CC!$T$6:$T$155,TONG_HOP_CC!$D$6:$D$155,$B27))</f>
        <v/>
      </c>
    </row>
    <row r="28" ht="15" customHeight="1" s="63">
      <c r="A28" s="85">
        <f>IF($B28="","",ROW()-19)</f>
        <v/>
      </c>
      <c r="B28" s="81" t="n"/>
      <c r="C28" s="118">
        <f>IF($B28="","",COUNTIFS(TONG_HOP_CC!$D$6:$D$155,$B28))</f>
        <v/>
      </c>
      <c r="D28" s="117">
        <f>IF($B28="","",SUMIFS(TONG_HOP_CC!$E$6:$E$155,TONG_HOP_CC!$D$6:$D$155,$B28))</f>
        <v/>
      </c>
      <c r="E28" s="117">
        <f>IF($B28="","",SUMIFS(TONG_HOP_CC!$G$6:$G$155,TONG_HOP_CC!$D$6:$D$155,$B28))</f>
        <v/>
      </c>
      <c r="F28" s="117">
        <f>IF($B28="","",SUMIFS(TONG_HOP_CC!$H$6:$H$155,TONG_HOP_CC!$D$6:$D$155,$B28))</f>
        <v/>
      </c>
      <c r="G28" s="117">
        <f>IF($B28="","",SUMIFS(TONG_HOP_CC!$U$6:$U$155,TONG_HOP_CC!$D$6:$D$155,$B28))</f>
        <v/>
      </c>
      <c r="H28" s="117">
        <f>IF($B28="","",SUMIFS(TONG_HOP_CC!$O$6:$O$155,TONG_HOP_CC!$D$6:$D$155,$B28))</f>
        <v/>
      </c>
      <c r="I28" s="117">
        <f>IF($B28="","",SUMIFS(TONG_HOP_CC!$P$6:$P$155,TONG_HOP_CC!$D$6:$D$155,$B28))</f>
        <v/>
      </c>
      <c r="J28" s="117">
        <f>IF($B28="","",SUMIFS(TONG_HOP_CC!$Q$6:$Q$155,TONG_HOP_CC!$D$6:$D$155,$B28))</f>
        <v/>
      </c>
      <c r="K28" s="117">
        <f>IF($B28="","",SUMIFS(TONG_HOP_CC!$R$6:$R$155,TONG_HOP_CC!$D$6:$D$155,$B28)+SUMIFS(TONG_HOP_CC!$S$6:$S$155,TONG_HOP_CC!$D$6:$D$155,$B28))</f>
        <v/>
      </c>
      <c r="L28" s="117">
        <f>IF($B28="","",SUMIFS(TONG_HOP_CC!$T$6:$T$155,TONG_HOP_CC!$D$6:$D$155,$B28))</f>
        <v/>
      </c>
    </row>
    <row r="29" ht="15" customHeight="1" s="63">
      <c r="A29" s="85">
        <f>IF($B29="","",ROW()-19)</f>
        <v/>
      </c>
      <c r="B29" s="81" t="n"/>
      <c r="C29" s="118">
        <f>IF($B29="","",COUNTIFS(TONG_HOP_CC!$D$6:$D$155,$B29))</f>
        <v/>
      </c>
      <c r="D29" s="117">
        <f>IF($B29="","",SUMIFS(TONG_HOP_CC!$E$6:$E$155,TONG_HOP_CC!$D$6:$D$155,$B29))</f>
        <v/>
      </c>
      <c r="E29" s="117">
        <f>IF($B29="","",SUMIFS(TONG_HOP_CC!$G$6:$G$155,TONG_HOP_CC!$D$6:$D$155,$B29))</f>
        <v/>
      </c>
      <c r="F29" s="117">
        <f>IF($B29="","",SUMIFS(TONG_HOP_CC!$H$6:$H$155,TONG_HOP_CC!$D$6:$D$155,$B29))</f>
        <v/>
      </c>
      <c r="G29" s="117">
        <f>IF($B29="","",SUMIFS(TONG_HOP_CC!$U$6:$U$155,TONG_HOP_CC!$D$6:$D$155,$B29))</f>
        <v/>
      </c>
      <c r="H29" s="117">
        <f>IF($B29="","",SUMIFS(TONG_HOP_CC!$O$6:$O$155,TONG_HOP_CC!$D$6:$D$155,$B29))</f>
        <v/>
      </c>
      <c r="I29" s="117">
        <f>IF($B29="","",SUMIFS(TONG_HOP_CC!$P$6:$P$155,TONG_HOP_CC!$D$6:$D$155,$B29))</f>
        <v/>
      </c>
      <c r="J29" s="117">
        <f>IF($B29="","",SUMIFS(TONG_HOP_CC!$Q$6:$Q$155,TONG_HOP_CC!$D$6:$D$155,$B29))</f>
        <v/>
      </c>
      <c r="K29" s="117">
        <f>IF($B29="","",SUMIFS(TONG_HOP_CC!$R$6:$R$155,TONG_HOP_CC!$D$6:$D$155,$B29)+SUMIFS(TONG_HOP_CC!$S$6:$S$155,TONG_HOP_CC!$D$6:$D$155,$B29))</f>
        <v/>
      </c>
      <c r="L29" s="117">
        <f>IF($B29="","",SUMIFS(TONG_HOP_CC!$T$6:$T$155,TONG_HOP_CC!$D$6:$D$155,$B29))</f>
        <v/>
      </c>
    </row>
    <row r="30" ht="15" customHeight="1" s="63">
      <c r="A30" s="85">
        <f>IF($B30="","",ROW()-19)</f>
        <v/>
      </c>
      <c r="B30" s="81" t="n"/>
      <c r="C30" s="118">
        <f>IF($B30="","",COUNTIFS(TONG_HOP_CC!$D$6:$D$155,$B30))</f>
        <v/>
      </c>
      <c r="D30" s="117">
        <f>IF($B30="","",SUMIFS(TONG_HOP_CC!$E$6:$E$155,TONG_HOP_CC!$D$6:$D$155,$B30))</f>
        <v/>
      </c>
      <c r="E30" s="117">
        <f>IF($B30="","",SUMIFS(TONG_HOP_CC!$G$6:$G$155,TONG_HOP_CC!$D$6:$D$155,$B30))</f>
        <v/>
      </c>
      <c r="F30" s="117">
        <f>IF($B30="","",SUMIFS(TONG_HOP_CC!$H$6:$H$155,TONG_HOP_CC!$D$6:$D$155,$B30))</f>
        <v/>
      </c>
      <c r="G30" s="117">
        <f>IF($B30="","",SUMIFS(TONG_HOP_CC!$U$6:$U$155,TONG_HOP_CC!$D$6:$D$155,$B30))</f>
        <v/>
      </c>
      <c r="H30" s="117">
        <f>IF($B30="","",SUMIFS(TONG_HOP_CC!$O$6:$O$155,TONG_HOP_CC!$D$6:$D$155,$B30))</f>
        <v/>
      </c>
      <c r="I30" s="117">
        <f>IF($B30="","",SUMIFS(TONG_HOP_CC!$P$6:$P$155,TONG_HOP_CC!$D$6:$D$155,$B30))</f>
        <v/>
      </c>
      <c r="J30" s="117">
        <f>IF($B30="","",SUMIFS(TONG_HOP_CC!$Q$6:$Q$155,TONG_HOP_CC!$D$6:$D$155,$B30))</f>
        <v/>
      </c>
      <c r="K30" s="117">
        <f>IF($B30="","",SUMIFS(TONG_HOP_CC!$R$6:$R$155,TONG_HOP_CC!$D$6:$D$155,$B30)+SUMIFS(TONG_HOP_CC!$S$6:$S$155,TONG_HOP_CC!$D$6:$D$155,$B30))</f>
        <v/>
      </c>
      <c r="L30" s="117">
        <f>IF($B30="","",SUMIFS(TONG_HOP_CC!$T$6:$T$155,TONG_HOP_CC!$D$6:$D$155,$B30))</f>
        <v/>
      </c>
    </row>
    <row r="31" ht="15" customHeight="1" s="63">
      <c r="A31" s="85">
        <f>IF($B31="","",ROW()-19)</f>
        <v/>
      </c>
      <c r="B31" s="81" t="n"/>
      <c r="C31" s="118">
        <f>IF($B31="","",COUNTIFS(TONG_HOP_CC!$D$6:$D$155,$B31))</f>
        <v/>
      </c>
      <c r="D31" s="117">
        <f>IF($B31="","",SUMIFS(TONG_HOP_CC!$E$6:$E$155,TONG_HOP_CC!$D$6:$D$155,$B31))</f>
        <v/>
      </c>
      <c r="E31" s="117">
        <f>IF($B31="","",SUMIFS(TONG_HOP_CC!$G$6:$G$155,TONG_HOP_CC!$D$6:$D$155,$B31))</f>
        <v/>
      </c>
      <c r="F31" s="117">
        <f>IF($B31="","",SUMIFS(TONG_HOP_CC!$H$6:$H$155,TONG_HOP_CC!$D$6:$D$155,$B31))</f>
        <v/>
      </c>
      <c r="G31" s="117">
        <f>IF($B31="","",SUMIFS(TONG_HOP_CC!$U$6:$U$155,TONG_HOP_CC!$D$6:$D$155,$B31))</f>
        <v/>
      </c>
      <c r="H31" s="117">
        <f>IF($B31="","",SUMIFS(TONG_HOP_CC!$O$6:$O$155,TONG_HOP_CC!$D$6:$D$155,$B31))</f>
        <v/>
      </c>
      <c r="I31" s="117">
        <f>IF($B31="","",SUMIFS(TONG_HOP_CC!$P$6:$P$155,TONG_HOP_CC!$D$6:$D$155,$B31))</f>
        <v/>
      </c>
      <c r="J31" s="117">
        <f>IF($B31="","",SUMIFS(TONG_HOP_CC!$Q$6:$Q$155,TONG_HOP_CC!$D$6:$D$155,$B31))</f>
        <v/>
      </c>
      <c r="K31" s="117">
        <f>IF($B31="","",SUMIFS(TONG_HOP_CC!$R$6:$R$155,TONG_HOP_CC!$D$6:$D$155,$B31)+SUMIFS(TONG_HOP_CC!$S$6:$S$155,TONG_HOP_CC!$D$6:$D$155,$B31))</f>
        <v/>
      </c>
      <c r="L31" s="117">
        <f>IF($B31="","",SUMIFS(TONG_HOP_CC!$T$6:$T$155,TONG_HOP_CC!$D$6:$D$155,$B31))</f>
        <v/>
      </c>
    </row>
    <row r="32" ht="15" customHeight="1" s="63">
      <c r="A32" s="85">
        <f>IF($B32="","",ROW()-19)</f>
        <v/>
      </c>
      <c r="B32" s="81" t="n"/>
      <c r="C32" s="118">
        <f>IF($B32="","",COUNTIFS(TONG_HOP_CC!$D$6:$D$155,$B32))</f>
        <v/>
      </c>
      <c r="D32" s="117">
        <f>IF($B32="","",SUMIFS(TONG_HOP_CC!$E$6:$E$155,TONG_HOP_CC!$D$6:$D$155,$B32))</f>
        <v/>
      </c>
      <c r="E32" s="117">
        <f>IF($B32="","",SUMIFS(TONG_HOP_CC!$G$6:$G$155,TONG_HOP_CC!$D$6:$D$155,$B32))</f>
        <v/>
      </c>
      <c r="F32" s="117">
        <f>IF($B32="","",SUMIFS(TONG_HOP_CC!$H$6:$H$155,TONG_HOP_CC!$D$6:$D$155,$B32))</f>
        <v/>
      </c>
      <c r="G32" s="117">
        <f>IF($B32="","",SUMIFS(TONG_HOP_CC!$U$6:$U$155,TONG_HOP_CC!$D$6:$D$155,$B32))</f>
        <v/>
      </c>
      <c r="H32" s="117">
        <f>IF($B32="","",SUMIFS(TONG_HOP_CC!$O$6:$O$155,TONG_HOP_CC!$D$6:$D$155,$B32))</f>
        <v/>
      </c>
      <c r="I32" s="117">
        <f>IF($B32="","",SUMIFS(TONG_HOP_CC!$P$6:$P$155,TONG_HOP_CC!$D$6:$D$155,$B32))</f>
        <v/>
      </c>
      <c r="J32" s="117">
        <f>IF($B32="","",SUMIFS(TONG_HOP_CC!$Q$6:$Q$155,TONG_HOP_CC!$D$6:$D$155,$B32))</f>
        <v/>
      </c>
      <c r="K32" s="117">
        <f>IF($B32="","",SUMIFS(TONG_HOP_CC!$R$6:$R$155,TONG_HOP_CC!$D$6:$D$155,$B32)+SUMIFS(TONG_HOP_CC!$S$6:$S$155,TONG_HOP_CC!$D$6:$D$155,$B32))</f>
        <v/>
      </c>
      <c r="L32" s="117">
        <f>IF($B32="","",SUMIFS(TONG_HOP_CC!$T$6:$T$155,TONG_HOP_CC!$D$6:$D$155,$B32))</f>
        <v/>
      </c>
    </row>
    <row r="33" ht="15" customHeight="1" s="63">
      <c r="A33" s="85">
        <f>IF($B33="","",ROW()-19)</f>
        <v/>
      </c>
      <c r="B33" s="81" t="n"/>
      <c r="C33" s="118">
        <f>IF($B33="","",COUNTIFS(TONG_HOP_CC!$D$6:$D$155,$B33))</f>
        <v/>
      </c>
      <c r="D33" s="117">
        <f>IF($B33="","",SUMIFS(TONG_HOP_CC!$E$6:$E$155,TONG_HOP_CC!$D$6:$D$155,$B33))</f>
        <v/>
      </c>
      <c r="E33" s="117">
        <f>IF($B33="","",SUMIFS(TONG_HOP_CC!$G$6:$G$155,TONG_HOP_CC!$D$6:$D$155,$B33))</f>
        <v/>
      </c>
      <c r="F33" s="117">
        <f>IF($B33="","",SUMIFS(TONG_HOP_CC!$H$6:$H$155,TONG_HOP_CC!$D$6:$D$155,$B33))</f>
        <v/>
      </c>
      <c r="G33" s="117">
        <f>IF($B33="","",SUMIFS(TONG_HOP_CC!$U$6:$U$155,TONG_HOP_CC!$D$6:$D$155,$B33))</f>
        <v/>
      </c>
      <c r="H33" s="117">
        <f>IF($B33="","",SUMIFS(TONG_HOP_CC!$O$6:$O$155,TONG_HOP_CC!$D$6:$D$155,$B33))</f>
        <v/>
      </c>
      <c r="I33" s="117">
        <f>IF($B33="","",SUMIFS(TONG_HOP_CC!$P$6:$P$155,TONG_HOP_CC!$D$6:$D$155,$B33))</f>
        <v/>
      </c>
      <c r="J33" s="117">
        <f>IF($B33="","",SUMIFS(TONG_HOP_CC!$Q$6:$Q$155,TONG_HOP_CC!$D$6:$D$155,$B33))</f>
        <v/>
      </c>
      <c r="K33" s="117">
        <f>IF($B33="","",SUMIFS(TONG_HOP_CC!$R$6:$R$155,TONG_HOP_CC!$D$6:$D$155,$B33)+SUMIFS(TONG_HOP_CC!$S$6:$S$155,TONG_HOP_CC!$D$6:$D$155,$B33))</f>
        <v/>
      </c>
      <c r="L33" s="117">
        <f>IF($B33="","",SUMIFS(TONG_HOP_CC!$T$6:$T$155,TONG_HOP_CC!$D$6:$D$155,$B33))</f>
        <v/>
      </c>
    </row>
    <row r="34" ht="15" customHeight="1" s="63">
      <c r="A34" s="85">
        <f>IF($B34="","",ROW()-19)</f>
        <v/>
      </c>
      <c r="B34" s="81" t="n"/>
      <c r="C34" s="118">
        <f>IF($B34="","",COUNTIFS(TONG_HOP_CC!$D$6:$D$155,$B34))</f>
        <v/>
      </c>
      <c r="D34" s="117">
        <f>IF($B34="","",SUMIFS(TONG_HOP_CC!$E$6:$E$155,TONG_HOP_CC!$D$6:$D$155,$B34))</f>
        <v/>
      </c>
      <c r="E34" s="117">
        <f>IF($B34="","",SUMIFS(TONG_HOP_CC!$G$6:$G$155,TONG_HOP_CC!$D$6:$D$155,$B34))</f>
        <v/>
      </c>
      <c r="F34" s="117">
        <f>IF($B34="","",SUMIFS(TONG_HOP_CC!$H$6:$H$155,TONG_HOP_CC!$D$6:$D$155,$B34))</f>
        <v/>
      </c>
      <c r="G34" s="117">
        <f>IF($B34="","",SUMIFS(TONG_HOP_CC!$U$6:$U$155,TONG_HOP_CC!$D$6:$D$155,$B34))</f>
        <v/>
      </c>
      <c r="H34" s="117">
        <f>IF($B34="","",SUMIFS(TONG_HOP_CC!$O$6:$O$155,TONG_HOP_CC!$D$6:$D$155,$B34))</f>
        <v/>
      </c>
      <c r="I34" s="117">
        <f>IF($B34="","",SUMIFS(TONG_HOP_CC!$P$6:$P$155,TONG_HOP_CC!$D$6:$D$155,$B34))</f>
        <v/>
      </c>
      <c r="J34" s="117">
        <f>IF($B34="","",SUMIFS(TONG_HOP_CC!$Q$6:$Q$155,TONG_HOP_CC!$D$6:$D$155,$B34))</f>
        <v/>
      </c>
      <c r="K34" s="117">
        <f>IF($B34="","",SUMIFS(TONG_HOP_CC!$R$6:$R$155,TONG_HOP_CC!$D$6:$D$155,$B34)+SUMIFS(TONG_HOP_CC!$S$6:$S$155,TONG_HOP_CC!$D$6:$D$155,$B34))</f>
        <v/>
      </c>
      <c r="L34" s="117">
        <f>IF($B34="","",SUMIFS(TONG_HOP_CC!$T$6:$T$155,TONG_HOP_CC!$D$6:$D$155,$B34))</f>
        <v/>
      </c>
    </row>
    <row r="35" ht="15" customHeight="1" s="63">
      <c r="A35" s="85">
        <f>IF($B35="","",ROW()-19)</f>
        <v/>
      </c>
      <c r="B35" s="81" t="n"/>
      <c r="C35" s="118">
        <f>IF($B35="","",COUNTIFS(TONG_HOP_CC!$D$6:$D$155,$B35))</f>
        <v/>
      </c>
      <c r="D35" s="117">
        <f>IF($B35="","",SUMIFS(TONG_HOP_CC!$E$6:$E$155,TONG_HOP_CC!$D$6:$D$155,$B35))</f>
        <v/>
      </c>
      <c r="E35" s="117">
        <f>IF($B35="","",SUMIFS(TONG_HOP_CC!$G$6:$G$155,TONG_HOP_CC!$D$6:$D$155,$B35))</f>
        <v/>
      </c>
      <c r="F35" s="117">
        <f>IF($B35="","",SUMIFS(TONG_HOP_CC!$H$6:$H$155,TONG_HOP_CC!$D$6:$D$155,$B35))</f>
        <v/>
      </c>
      <c r="G35" s="117">
        <f>IF($B35="","",SUMIFS(TONG_HOP_CC!$U$6:$U$155,TONG_HOP_CC!$D$6:$D$155,$B35))</f>
        <v/>
      </c>
      <c r="H35" s="117">
        <f>IF($B35="","",SUMIFS(TONG_HOP_CC!$O$6:$O$155,TONG_HOP_CC!$D$6:$D$155,$B35))</f>
        <v/>
      </c>
      <c r="I35" s="117">
        <f>IF($B35="","",SUMIFS(TONG_HOP_CC!$P$6:$P$155,TONG_HOP_CC!$D$6:$D$155,$B35))</f>
        <v/>
      </c>
      <c r="J35" s="117">
        <f>IF($B35="","",SUMIFS(TONG_HOP_CC!$Q$6:$Q$155,TONG_HOP_CC!$D$6:$D$155,$B35))</f>
        <v/>
      </c>
      <c r="K35" s="117">
        <f>IF($B35="","",SUMIFS(TONG_HOP_CC!$R$6:$R$155,TONG_HOP_CC!$D$6:$D$155,$B35)+SUMIFS(TONG_HOP_CC!$S$6:$S$155,TONG_HOP_CC!$D$6:$D$155,$B35))</f>
        <v/>
      </c>
      <c r="L35" s="117">
        <f>IF($B35="","",SUMIFS(TONG_HOP_CC!$T$6:$T$155,TONG_HOP_CC!$D$6:$D$155,$B35))</f>
        <v/>
      </c>
    </row>
    <row r="36" ht="15" customHeight="1" s="63">
      <c r="A36" s="85">
        <f>IF($B36="","",ROW()-19)</f>
        <v/>
      </c>
      <c r="B36" s="81" t="n"/>
      <c r="C36" s="118">
        <f>IF($B36="","",COUNTIFS(TONG_HOP_CC!$D$6:$D$155,$B36))</f>
        <v/>
      </c>
      <c r="D36" s="117">
        <f>IF($B36="","",SUMIFS(TONG_HOP_CC!$E$6:$E$155,TONG_HOP_CC!$D$6:$D$155,$B36))</f>
        <v/>
      </c>
      <c r="E36" s="117">
        <f>IF($B36="","",SUMIFS(TONG_HOP_CC!$G$6:$G$155,TONG_HOP_CC!$D$6:$D$155,$B36))</f>
        <v/>
      </c>
      <c r="F36" s="117">
        <f>IF($B36="","",SUMIFS(TONG_HOP_CC!$H$6:$H$155,TONG_HOP_CC!$D$6:$D$155,$B36))</f>
        <v/>
      </c>
      <c r="G36" s="117">
        <f>IF($B36="","",SUMIFS(TONG_HOP_CC!$U$6:$U$155,TONG_HOP_CC!$D$6:$D$155,$B36))</f>
        <v/>
      </c>
      <c r="H36" s="117">
        <f>IF($B36="","",SUMIFS(TONG_HOP_CC!$O$6:$O$155,TONG_HOP_CC!$D$6:$D$155,$B36))</f>
        <v/>
      </c>
      <c r="I36" s="117">
        <f>IF($B36="","",SUMIFS(TONG_HOP_CC!$P$6:$P$155,TONG_HOP_CC!$D$6:$D$155,$B36))</f>
        <v/>
      </c>
      <c r="J36" s="117">
        <f>IF($B36="","",SUMIFS(TONG_HOP_CC!$Q$6:$Q$155,TONG_HOP_CC!$D$6:$D$155,$B36))</f>
        <v/>
      </c>
      <c r="K36" s="117">
        <f>IF($B36="","",SUMIFS(TONG_HOP_CC!$R$6:$R$155,TONG_HOP_CC!$D$6:$D$155,$B36)+SUMIFS(TONG_HOP_CC!$S$6:$S$155,TONG_HOP_CC!$D$6:$D$155,$B36))</f>
        <v/>
      </c>
      <c r="L36" s="117">
        <f>IF($B36="","",SUMIFS(TONG_HOP_CC!$T$6:$T$155,TONG_HOP_CC!$D$6:$D$155,$B36))</f>
        <v/>
      </c>
    </row>
    <row r="37" ht="15" customHeight="1" s="63">
      <c r="A37" s="85">
        <f>IF($B37="","",ROW()-19)</f>
        <v/>
      </c>
      <c r="B37" s="81" t="n"/>
      <c r="C37" s="118">
        <f>IF($B37="","",COUNTIFS(TONG_HOP_CC!$D$6:$D$155,$B37))</f>
        <v/>
      </c>
      <c r="D37" s="117">
        <f>IF($B37="","",SUMIFS(TONG_HOP_CC!$E$6:$E$155,TONG_HOP_CC!$D$6:$D$155,$B37))</f>
        <v/>
      </c>
      <c r="E37" s="117">
        <f>IF($B37="","",SUMIFS(TONG_HOP_CC!$G$6:$G$155,TONG_HOP_CC!$D$6:$D$155,$B37))</f>
        <v/>
      </c>
      <c r="F37" s="117">
        <f>IF($B37="","",SUMIFS(TONG_HOP_CC!$H$6:$H$155,TONG_HOP_CC!$D$6:$D$155,$B37))</f>
        <v/>
      </c>
      <c r="G37" s="117">
        <f>IF($B37="","",SUMIFS(TONG_HOP_CC!$U$6:$U$155,TONG_HOP_CC!$D$6:$D$155,$B37))</f>
        <v/>
      </c>
      <c r="H37" s="117">
        <f>IF($B37="","",SUMIFS(TONG_HOP_CC!$O$6:$O$155,TONG_HOP_CC!$D$6:$D$155,$B37))</f>
        <v/>
      </c>
      <c r="I37" s="117">
        <f>IF($B37="","",SUMIFS(TONG_HOP_CC!$P$6:$P$155,TONG_HOP_CC!$D$6:$D$155,$B37))</f>
        <v/>
      </c>
      <c r="J37" s="117">
        <f>IF($B37="","",SUMIFS(TONG_HOP_CC!$Q$6:$Q$155,TONG_HOP_CC!$D$6:$D$155,$B37))</f>
        <v/>
      </c>
      <c r="K37" s="117">
        <f>IF($B37="","",SUMIFS(TONG_HOP_CC!$R$6:$R$155,TONG_HOP_CC!$D$6:$D$155,$B37)+SUMIFS(TONG_HOP_CC!$S$6:$S$155,TONG_HOP_CC!$D$6:$D$155,$B37))</f>
        <v/>
      </c>
      <c r="L37" s="117">
        <f>IF($B37="","",SUMIFS(TONG_HOP_CC!$T$6:$T$155,TONG_HOP_CC!$D$6:$D$155,$B37))</f>
        <v/>
      </c>
    </row>
    <row r="38" ht="15" customHeight="1" s="63">
      <c r="A38" s="85">
        <f>IF($B38="","",ROW()-19)</f>
        <v/>
      </c>
      <c r="B38" s="81" t="n"/>
      <c r="C38" s="118">
        <f>IF($B38="","",COUNTIFS(TONG_HOP_CC!$D$6:$D$155,$B38))</f>
        <v/>
      </c>
      <c r="D38" s="117">
        <f>IF($B38="","",SUMIFS(TONG_HOP_CC!$E$6:$E$155,TONG_HOP_CC!$D$6:$D$155,$B38))</f>
        <v/>
      </c>
      <c r="E38" s="117">
        <f>IF($B38="","",SUMIFS(TONG_HOP_CC!$G$6:$G$155,TONG_HOP_CC!$D$6:$D$155,$B38))</f>
        <v/>
      </c>
      <c r="F38" s="117">
        <f>IF($B38="","",SUMIFS(TONG_HOP_CC!$H$6:$H$155,TONG_HOP_CC!$D$6:$D$155,$B38))</f>
        <v/>
      </c>
      <c r="G38" s="117">
        <f>IF($B38="","",SUMIFS(TONG_HOP_CC!$U$6:$U$155,TONG_HOP_CC!$D$6:$D$155,$B38))</f>
        <v/>
      </c>
      <c r="H38" s="117">
        <f>IF($B38="","",SUMIFS(TONG_HOP_CC!$O$6:$O$155,TONG_HOP_CC!$D$6:$D$155,$B38))</f>
        <v/>
      </c>
      <c r="I38" s="117">
        <f>IF($B38="","",SUMIFS(TONG_HOP_CC!$P$6:$P$155,TONG_HOP_CC!$D$6:$D$155,$B38))</f>
        <v/>
      </c>
      <c r="J38" s="117">
        <f>IF($B38="","",SUMIFS(TONG_HOP_CC!$Q$6:$Q$155,TONG_HOP_CC!$D$6:$D$155,$B38))</f>
        <v/>
      </c>
      <c r="K38" s="117">
        <f>IF($B38="","",SUMIFS(TONG_HOP_CC!$R$6:$R$155,TONG_HOP_CC!$D$6:$D$155,$B38)+SUMIFS(TONG_HOP_CC!$S$6:$S$155,TONG_HOP_CC!$D$6:$D$155,$B38))</f>
        <v/>
      </c>
      <c r="L38" s="117">
        <f>IF($B38="","",SUMIFS(TONG_HOP_CC!$T$6:$T$155,TONG_HOP_CC!$D$6:$D$155,$B38))</f>
        <v/>
      </c>
    </row>
    <row r="39" ht="15" customHeight="1" s="63">
      <c r="A39" s="102" t="n"/>
      <c r="B39" s="119" t="inlineStr">
        <is>
          <t>CỘNG THEO BỘ PHẬN ĐÃ LIỆT KÊ</t>
        </is>
      </c>
      <c r="C39" s="120">
        <f>SUM(C20:C38)</f>
        <v/>
      </c>
      <c r="D39" s="121">
        <f>SUM(D20:D38)</f>
        <v/>
      </c>
      <c r="E39" s="121">
        <f>SUM(E20:E38)</f>
        <v/>
      </c>
      <c r="F39" s="121">
        <f>SUM(F20:F38)</f>
        <v/>
      </c>
      <c r="G39" s="121">
        <f>SUM(G20:G38)</f>
        <v/>
      </c>
      <c r="H39" s="121">
        <f>SUM(H20:H38)</f>
        <v/>
      </c>
      <c r="I39" s="121">
        <f>SUM(I20:I38)</f>
        <v/>
      </c>
      <c r="J39" s="121">
        <f>SUM(J20:J38)</f>
        <v/>
      </c>
      <c r="K39" s="121">
        <f>SUM(K20:K38)</f>
        <v/>
      </c>
      <c r="L39" s="121">
        <f>SUM(L20:L38)</f>
        <v/>
      </c>
    </row>
    <row r="40"/>
    <row r="41" ht="15" customHeight="1" s="63">
      <c r="A41" s="66" t="inlineStr">
        <is>
          <t>KIỂM TRA TRƯỚC KHI DÁN SANG FILE LƯƠNG – TẤT CẢ PHẢI BẰNG 0</t>
        </is>
      </c>
      <c r="B41" s="67" t="n"/>
      <c r="C41" s="67" t="n"/>
      <c r="D41" s="67" t="n"/>
      <c r="E41" s="67" t="n"/>
      <c r="F41" s="67" t="n"/>
      <c r="G41" s="67" t="n"/>
      <c r="H41" s="67" t="n"/>
      <c r="I41" s="67" t="n"/>
      <c r="J41" s="67" t="n"/>
      <c r="K41" s="67" t="n"/>
      <c r="L41" s="68" t="n"/>
    </row>
    <row r="42" ht="31.5" customHeight="1" s="63">
      <c r="A42" s="122" t="inlineStr">
        <is>
          <t>Số dòng có cảnh báo tại BANG_CHAM_CONG</t>
        </is>
      </c>
      <c r="B42" s="68" t="n"/>
      <c r="C42" s="117">
        <f>COUNTIF(BANG_CHAM_CONG!$AU$6:$AU$155,"?*")</f>
        <v/>
      </c>
      <c r="D42" s="70" t="inlineStr">
        <is>
          <t>Mở BANG_CHAM_CONG, lọc cột Cảnh báo để xử lý từng dòng.</t>
        </is>
      </c>
      <c r="E42" s="67" t="n"/>
      <c r="F42" s="67" t="n"/>
      <c r="G42" s="67" t="n"/>
      <c r="H42" s="67" t="n"/>
      <c r="I42" s="67" t="n"/>
      <c r="J42" s="67" t="n"/>
      <c r="K42" s="67" t="n"/>
      <c r="L42" s="68" t="n"/>
    </row>
    <row r="43" ht="31.5" customHeight="1" s="63">
      <c r="A43" s="122" t="inlineStr">
        <is>
          <t>Số dòng có cảnh báo tại TONG_HOP_CC</t>
        </is>
      </c>
      <c r="B43" s="68" t="n"/>
      <c r="C43" s="117">
        <f>COUNTIF(TONG_HOP_CC!$V$6:$V$155,"?*")</f>
        <v/>
      </c>
      <c r="D43" s="70" t="inlineStr">
        <is>
          <t>Gồm cả cảnh báo giới hạn giờ làm thêm và dòng chưa có dữ liệu chấm công.</t>
        </is>
      </c>
      <c r="E43" s="67" t="n"/>
      <c r="F43" s="67" t="n"/>
      <c r="G43" s="67" t="n"/>
      <c r="H43" s="67" t="n"/>
      <c r="I43" s="67" t="n"/>
      <c r="J43" s="67" t="n"/>
      <c r="K43" s="67" t="n"/>
      <c r="L43" s="68" t="n"/>
    </row>
    <row r="44" ht="31.5" customHeight="1" s="63">
      <c r="A44" s="122" t="inlineStr">
        <is>
          <t>Số dòng CC_OT_GIO sai mã nhân viên</t>
        </is>
      </c>
      <c r="B44" s="68" t="n"/>
      <c r="C44" s="117">
        <f>COUNTIF(CC_OT_GIO!$C$6:$C$2005,"SAI MÃ NV")</f>
        <v/>
      </c>
      <c r="D44" s="70" t="inlineStr">
        <is>
          <t>Mã NV nhập tại CC_OT_GIO phải có trong DM_NHAN_SU.</t>
        </is>
      </c>
      <c r="E44" s="67" t="n"/>
      <c r="F44" s="67" t="n"/>
      <c r="G44" s="67" t="n"/>
      <c r="H44" s="67" t="n"/>
      <c r="I44" s="67" t="n"/>
      <c r="J44" s="67" t="n"/>
      <c r="K44" s="67" t="n"/>
      <c r="L44" s="68" t="n"/>
    </row>
    <row r="45" ht="31.5" customHeight="1" s="63">
      <c r="A45" s="122" t="inlineStr">
        <is>
          <t>Số dòng CC_OT_GIO có ngày ngoài kỳ chấm công</t>
        </is>
      </c>
      <c r="B45" s="68" t="n"/>
      <c r="C45" s="117">
        <f>SUMPRODUCT((CC_OT_GIO!$B$6:$B$2005&lt;&gt;"")*(CC_OT_GIO!$D$6:$D$2005&lt;&gt;"")*((CC_OT_GIO!$D$6:$D$2005&lt;THAM_SO_CC!$B$8)+(CC_OT_GIO!$D$6:$D$2005&gt;THAM_SO_CC!$B$9)))</f>
        <v/>
      </c>
      <c r="D45" s="70" t="inlineStr">
        <is>
          <t>Giờ OT ngoài kỳ không được cộng vào TONG_HOP_CC. Sửa ngày hoặc chuyển sang kỳ đúng.</t>
        </is>
      </c>
      <c r="E45" s="67" t="n"/>
      <c r="F45" s="67" t="n"/>
      <c r="G45" s="67" t="n"/>
      <c r="H45" s="67" t="n"/>
      <c r="I45" s="67" t="n"/>
      <c r="J45" s="67" t="n"/>
      <c r="K45" s="67" t="n"/>
      <c r="L45" s="68" t="n"/>
    </row>
    <row r="46" ht="31.5" customHeight="1" s="63">
      <c r="A46" s="122" t="inlineStr">
        <is>
          <t>Số ký hiệu tại KY_HIEU có tổng quy đổi lớn hơn 1</t>
        </is>
      </c>
      <c r="B46" s="68" t="n"/>
      <c r="C46" s="117">
        <f>SUMPRODUCT((KY_HIEU!$A$6:$A$45&lt;&gt;"")*(KY_HIEU!$J$6:$J$45&gt;1))</f>
        <v/>
      </c>
      <c r="D46" s="70" t="inlineStr">
        <is>
          <t>Một ô chấm không được quy đổi quá 1 ngày.</t>
        </is>
      </c>
      <c r="E46" s="67" t="n"/>
      <c r="F46" s="67" t="n"/>
      <c r="G46" s="67" t="n"/>
      <c r="H46" s="67" t="n"/>
      <c r="I46" s="67" t="n"/>
      <c r="J46" s="67" t="n"/>
      <c r="K46" s="67" t="n"/>
      <c r="L46" s="68" t="n"/>
    </row>
    <row r="47" ht="31.5" customHeight="1" s="63">
      <c r="A47" s="122" t="inlineStr">
        <is>
          <t>Chênh lệch tổng công làm việc: TONG_HOP_CC so với XUAT_SANG_LUONG</t>
        </is>
      </c>
      <c r="B47" s="68" t="n"/>
      <c r="C47" s="117">
        <f>SUM(TONG_HOP_CC!$E$6:$E$155)-SUM(XUAT_SANG_LUONG!$F$6:$F$155)</f>
        <v/>
      </c>
      <c r="D47" s="70" t="inlineStr">
        <is>
          <t>Phép đối chiếu khối kết xuất Khối 1.</t>
        </is>
      </c>
      <c r="E47" s="67" t="n"/>
      <c r="F47" s="67" t="n"/>
      <c r="G47" s="67" t="n"/>
      <c r="H47" s="67" t="n"/>
      <c r="I47" s="67" t="n"/>
      <c r="J47" s="67" t="n"/>
      <c r="K47" s="67" t="n"/>
      <c r="L47" s="68" t="n"/>
    </row>
    <row r="48" ht="31.5" customHeight="1" s="63">
      <c r="A48" s="122" t="inlineStr">
        <is>
          <t>Chênh lệch tổng giờ OT: TONG_HOP_CC so với XUAT_SANG_LUONG</t>
        </is>
      </c>
      <c r="B48" s="68" t="n"/>
      <c r="C48" s="117">
        <f>SUM(TONG_HOP_CC!$U$6:$U$155)-SUM(XUAT_SANG_LUONG!$I$6:$I$155)-SUM(XUAT_SANG_LUONG!$J$6:$J$155)-SUM(XUAT_SANG_LUONG!$K$6:$K$155)-SUM(XUAT_SANG_LUONG!$L$6:$L$155)-SUM(XUAT_SANG_LUONG!$M$6:$M$155)-SUM(XUAT_SANG_LUONG!$N$6:$N$155)</f>
        <v/>
      </c>
      <c r="D48" s="70" t="inlineStr">
        <is>
          <t>Phép đối chiếu sáu nhóm giờ làm thêm.</t>
        </is>
      </c>
      <c r="E48" s="67" t="n"/>
      <c r="F48" s="67" t="n"/>
      <c r="G48" s="67" t="n"/>
      <c r="H48" s="67" t="n"/>
      <c r="I48" s="67" t="n"/>
      <c r="J48" s="67" t="n"/>
      <c r="K48" s="67" t="n"/>
      <c r="L48" s="68" t="n"/>
    </row>
    <row r="49" ht="31.5" customHeight="1" s="63">
      <c r="A49" s="122" t="inlineStr">
        <is>
          <t>Số NV tại DM_NHAN_SU so với số dòng kết xuất</t>
        </is>
      </c>
      <c r="B49" s="68" t="n"/>
      <c r="C49" s="117">
        <f>COUNTIF(DM_NHAN_SU!$B$6:$B$155,"?*")-COUNTIF(XUAT_SANG_LUONG!$B$6:$B$155,"?*")</f>
        <v/>
      </c>
      <c r="D49" s="70" t="inlineStr">
        <is>
          <t>Khác 0 là danh sách nhân sự có dòng trống ở giữa.</t>
        </is>
      </c>
      <c r="E49" s="67" t="n"/>
      <c r="F49" s="67" t="n"/>
      <c r="G49" s="67" t="n"/>
      <c r="H49" s="67" t="n"/>
      <c r="I49" s="67" t="n"/>
      <c r="J49" s="67" t="n"/>
      <c r="K49" s="67" t="n"/>
      <c r="L49" s="68" t="n"/>
    </row>
    <row r="50"/>
    <row r="51" ht="15" customHeight="1" s="63">
      <c r="A51" s="66" t="inlineStr">
        <is>
          <t>CHỮ KÝ</t>
        </is>
      </c>
      <c r="B51" s="67" t="n"/>
      <c r="C51" s="67" t="n"/>
      <c r="D51" s="67" t="n"/>
      <c r="E51" s="67" t="n"/>
      <c r="F51" s="67" t="n"/>
      <c r="G51" s="67" t="n"/>
      <c r="H51" s="67" t="n"/>
      <c r="I51" s="67" t="n"/>
      <c r="J51" s="67" t="n"/>
      <c r="K51" s="67" t="n"/>
      <c r="L51" s="68" t="n"/>
    </row>
    <row r="52" ht="15" customHeight="1" s="63">
      <c r="A52" s="123" t="inlineStr">
        <is>
          <t>Người chấm công</t>
        </is>
      </c>
      <c r="E52" s="123" t="inlineStr">
        <is>
          <t>Trưởng bộ phận</t>
        </is>
      </c>
      <c r="I52" s="123" t="inlineStr">
        <is>
          <t>Người duyệt</t>
        </is>
      </c>
    </row>
    <row r="53" ht="15" customHeight="1" s="63">
      <c r="A53" s="124" t="inlineStr">
        <is>
          <t>(Ký, ghi rõ họ tên)</t>
        </is>
      </c>
      <c r="E53" s="124" t="inlineStr">
        <is>
          <t>(Ký, ghi rõ họ tên)</t>
        </is>
      </c>
      <c r="I53" s="124" t="inlineStr">
        <is>
          <t>(Ký, ghi rõ họ tên)</t>
        </is>
      </c>
    </row>
    <row r="54"/>
    <row r="55"/>
    <row r="56" ht="15" customHeight="1" s="63">
      <c r="A56" s="125">
        <f>THAM_SO_CC!$B$13</f>
        <v/>
      </c>
      <c r="I56" s="125">
        <f>THAM_SO_CC!$B$14</f>
        <v/>
      </c>
    </row>
  </sheetData>
  <mergeCells count="41">
    <mergeCell ref="A48:B48"/>
    <mergeCell ref="D49:L49"/>
    <mergeCell ref="A15:B15"/>
    <mergeCell ref="A41:L41"/>
    <mergeCell ref="A11:B11"/>
    <mergeCell ref="A49:B49"/>
    <mergeCell ref="A45:B45"/>
    <mergeCell ref="I53:K53"/>
    <mergeCell ref="A56:C56"/>
    <mergeCell ref="D48:L48"/>
    <mergeCell ref="I56:K56"/>
    <mergeCell ref="A18:L18"/>
    <mergeCell ref="D47:L47"/>
    <mergeCell ref="A6:B6"/>
    <mergeCell ref="A16:B16"/>
    <mergeCell ref="D43:L43"/>
    <mergeCell ref="A7:B7"/>
    <mergeCell ref="I52:K52"/>
    <mergeCell ref="A5:L5"/>
    <mergeCell ref="A46:B46"/>
    <mergeCell ref="A53:C53"/>
    <mergeCell ref="A12:B12"/>
    <mergeCell ref="A52:C52"/>
    <mergeCell ref="D42:L42"/>
    <mergeCell ref="E53:G53"/>
    <mergeCell ref="A47:B47"/>
    <mergeCell ref="A42:B42"/>
    <mergeCell ref="A14:B14"/>
    <mergeCell ref="D44:L44"/>
    <mergeCell ref="A8:B8"/>
    <mergeCell ref="A2:L3"/>
    <mergeCell ref="E52:G52"/>
    <mergeCell ref="A43:B43"/>
    <mergeCell ref="A51:L51"/>
    <mergeCell ref="A1:L1"/>
    <mergeCell ref="A10:B10"/>
    <mergeCell ref="D46:L46"/>
    <mergeCell ref="A13:B13"/>
    <mergeCell ref="A44:B44"/>
    <mergeCell ref="D45:L45"/>
    <mergeCell ref="A9:B9"/>
  </mergeCells>
  <conditionalFormatting sqref="C42:C49">
    <cfRule type="expression" rank="0" priority="2" equalAverage="0" aboveAverage="0" dxfId="0" text="" percent="0" bottom="0">
      <formula>ROUND(C42,4)&lt;&gt;0</formula>
    </cfRule>
    <cfRule type="expression" rank="0" priority="3" equalAverage="0" aboveAverage="0" dxfId="5" text="" percent="0" bottom="0">
      <formula>ROUND(C42,4)=0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2026-09-07T04:14:20Z</dcterms:created>
  <dcterms:modified xmlns:dcterms="http://purl.org/dc/terms/" xmlns:xsi="http://www.w3.org/2001/XMLSchema-instance" xsi:type="dcterms:W3CDTF">2026-10-25T09:13:31Z</dcterms:modified>
  <cp:revision>0</cp:revision>
</cp:coreProperties>
</file>